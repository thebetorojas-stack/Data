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5.xml" ContentType="application/vnd.openxmlformats-officedocument.spreadsheetml.table+xml"/>
  <Override PartName="/xl/tables/table14.xml" ContentType="application/vnd.openxmlformats-officedocument.spreadsheetml.table+xml"/>
  <Override PartName="/xl/tables/table27.xml" ContentType="application/vnd.openxmlformats-officedocument.spreadsheetml.table+xml"/>
  <Override PartName="/xl/tables/table8.xml" ContentType="application/vnd.openxmlformats-officedocument.spreadsheetml.table+xml"/>
  <Override PartName="/xl/tables/table28.xml" ContentType="application/vnd.openxmlformats-officedocument.spreadsheetml.table+xml"/>
  <Override PartName="/xl/tables/table24.xml" ContentType="application/vnd.openxmlformats-officedocument.spreadsheetml.table+xml"/>
  <Override PartName="/xl/tables/table12.xml" ContentType="application/vnd.openxmlformats-officedocument.spreadsheetml.table+xml"/>
  <Override PartName="/xl/tables/table25.xml" ContentType="application/vnd.openxmlformats-officedocument.spreadsheetml.table+xml"/>
  <Override PartName="/xl/tables/table7.xml" ContentType="application/vnd.openxmlformats-officedocument.spreadsheetml.table+xml"/>
  <Override PartName="/xl/tables/table20.xml" ContentType="application/vnd.openxmlformats-officedocument.spreadsheetml.table+xml"/>
  <Override PartName="/xl/tables/table13.xml" ContentType="application/vnd.openxmlformats-officedocument.spreadsheetml.table+xml"/>
  <Override PartName="/xl/tables/table26.xml" ContentType="application/vnd.openxmlformats-officedocument.spreadsheetml.table+xml"/>
  <Override PartName="/xl/tables/table16.xml" ContentType="application/vnd.openxmlformats-officedocument.spreadsheetml.table+xml"/>
  <Override PartName="/xl/tables/table9.xml" ContentType="application/vnd.openxmlformats-officedocument.spreadsheetml.table+xml"/>
  <Override PartName="/xl/tables/table21.xml" ContentType="application/vnd.openxmlformats-officedocument.spreadsheetml.table+xml"/>
  <Override PartName="/xl/tables/table11.xml" ContentType="application/vnd.openxmlformats-officedocument.spreadsheetml.table+xml"/>
  <Override PartName="/xl/tables/table1.xml" ContentType="application/vnd.openxmlformats-officedocument.spreadsheetml.table+xml"/>
  <Override PartName="/xl/tables/table17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9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10.xml" ContentType="application/vnd.openxmlformats-officedocument.spreadsheetml.table+xml"/>
  <Override PartName="/xl/tables/table18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olors9.xml" ContentType="application/vnd.ms-office.chartcolorstyle+xml"/>
  <Override PartName="/xl/charts/style4.xml" ContentType="application/vnd.ms-office.chartstyle+xml"/>
  <Override PartName="/xl/charts/colors8.xml" ContentType="application/vnd.ms-office.chartcolorstyle+xml"/>
  <Override PartName="/xl/charts/style3.xml" ContentType="application/vnd.ms-office.chartstyle+xml"/>
  <Override PartName="/xl/charts/style2.xml" ContentType="application/vnd.ms-office.chartstyle+xml"/>
  <Override PartName="/xl/charts/style7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hart10.xml" ContentType="application/vnd.openxmlformats-officedocument.drawingml.chart+xml"/>
  <Override PartName="/xl/charts/style5.xml" ContentType="application/vnd.ms-office.chartstyle+xml"/>
  <Override PartName="/xl/charts/style11.xml" ContentType="application/vnd.ms-office.chartstyle+xml"/>
  <Override PartName="/xl/charts/style13.xml" ContentType="application/vnd.ms-office.chartstyle+xml"/>
  <Override PartName="/xl/charts/colors2.xml" ContentType="application/vnd.ms-office.chartcolorstyle+xml"/>
  <Override PartName="/xl/charts/chart9.xml" ContentType="application/vnd.openxmlformats-officedocument.drawingml.chart+xml"/>
  <Override PartName="/xl/charts/colors13.xml" ContentType="application/vnd.ms-office.chartcolorstyle+xml"/>
  <Override PartName="/xl/charts/colors5.xml" ContentType="application/vnd.ms-office.chartcolorstyle+xml"/>
  <Override PartName="/xl/charts/style8.xml" ContentType="application/vnd.ms-office.chartstyle+xml"/>
  <Override PartName="/xl/charts/chart14.xml" ContentType="application/vnd.openxmlformats-officedocument.drawingml.chart+xml"/>
  <Override PartName="/xl/charts/colors1.xml" ContentType="application/vnd.ms-office.chartcolorstyle+xml"/>
  <Override PartName="/xl/charts/colors3.xml" ContentType="application/vnd.ms-office.chartcolor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colors4.xml" ContentType="application/vnd.ms-office.chartcolorstyle+xml"/>
  <Override PartName="/xl/charts/style12.xml" ContentType="application/vnd.ms-office.chartstyle+xml"/>
  <Override PartName="/xl/charts/style10.xml" ContentType="application/vnd.ms-office.chartstyle+xml"/>
  <Override PartName="/xl/charts/colors14.xml" ContentType="application/vnd.ms-office.chartcolor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chart1.xml" ContentType="application/vnd.openxmlformats-officedocument.drawingml.chart+xml"/>
  <Override PartName="/xl/charts/colors15.xml" ContentType="application/vnd.ms-office.chartcolorstyle+xml"/>
  <Override PartName="/xl/charts/style14.xml" ContentType="application/vnd.ms-office.chartstyle+xml"/>
  <Override PartName="/xl/charts/colors12.xml" ContentType="application/vnd.ms-office.chartcolorstyle+xml"/>
  <Override PartName="/xl/charts/colors10.xml" ContentType="application/vnd.ms-office.chartcolorstyle+xml"/>
  <Override PartName="/xl/charts/chart15.xml" ContentType="application/vnd.openxmlformats-officedocument.drawingml.chart+xml"/>
  <Override PartName="/xl/charts/chart4.xml" ContentType="application/vnd.openxmlformats-officedocument.drawingml.chart+xml"/>
  <Override PartName="/xl/charts/chart7.xml" ContentType="application/vnd.openxmlformats-officedocument.drawingml.chart+xml"/>
  <Override PartName="/xl/charts/style1.xml" ContentType="application/vnd.ms-office.chartstyle+xml"/>
  <Override PartName="/xl/charts/style9.xml" ContentType="application/vnd.ms-office.chartstyle+xml"/>
  <Override PartName="/xl/charts/chart3.xml" ContentType="application/vnd.openxmlformats-officedocument.drawingml.chart+xml"/>
  <Override PartName="/xl/charts/chart6.xml" ContentType="application/vnd.openxmlformats-officedocument.drawingml.chart+xml"/>
  <Override PartName="/xl/charts/chart5.xml" ContentType="application/vnd.openxmlformats-officedocument.drawingml.chart+xml"/>
  <Override PartName="/xl/charts/style15.xml" ContentType="application/vnd.ms-office.chartstyle+xml"/>
  <Override PartName="/xl/charts/chart2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des" sheetId="2" state="visible" r:id="rId4"/>
    <sheet name="GDP" sheetId="3" state="visible" r:id="rId5"/>
    <sheet name="Inflation" sheetId="4" state="visible" r:id="rId6"/>
    <sheet name="Fiscal" sheetId="5" state="visible" r:id="rId7"/>
    <sheet name="BoP" sheetId="6" state="visible" r:id="rId8"/>
    <sheet name="Reserves" sheetId="7" state="visible" r:id="rId9"/>
    <sheet name="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<sst xmlns="http://schemas.openxmlformats.org/spreadsheetml/2006/main" count="524" uniqueCount="163">
  <si>
    <t xml:space="preserve">Macro Tracker — Chile</t>
  </si>
  <si>
    <t xml:space="preserve">Generated 2026-05-03 15:06.  Edit the Codes sheet, then run refresh.py.</t>
  </si>
  <si>
    <t xml:space="preserve">How this works</t>
  </si>
  <si>
    <t xml:space="preserve">1. Codes sheet</t>
  </si>
  <si>
    <t xml:space="preserve">One row per indicator. Section drives which tab the indicator lands on. Edit cells in yellow.</t>
  </si>
  <si>
    <t xml:space="preserve">2. Run refresh.py</t>
  </si>
  <si>
    <t xml:space="preserve">Pulls every series from Haver (or CSV / synthetic fallback) and rebuilds every tab and chart.</t>
  </si>
  <si>
    <t xml:space="preserve">3. Open this file</t>
  </si>
  <si>
    <t xml:space="preserve">Each category tab shows quarterly + annual blocks, a 2-year forecast, and a chart that auto-extends with the underlying Tables.</t>
  </si>
  <si>
    <t xml:space="preserve">Color convention</t>
  </si>
  <si>
    <t xml:space="preserve">Yellow fill</t>
  </si>
  <si>
    <t xml:space="preserve">Inputs you can change (codes on the Codes tab).</t>
  </si>
  <si>
    <t xml:space="preserve">Blue text</t>
  </si>
  <si>
    <t xml:space="preserve">Hardcoded values written by refresh.py (raw data, forecasts).</t>
  </si>
  <si>
    <t xml:space="preserve">Black text</t>
  </si>
  <si>
    <t xml:space="preserve">Excel formulas (growth rates, aggregations).</t>
  </si>
  <si>
    <t xml:space="preserve">Green text</t>
  </si>
  <si>
    <t xml:space="preserve">Cross-sheet links.</t>
  </si>
  <si>
    <t xml:space="preserve">Forecast methods</t>
  </si>
  <si>
    <t xml:space="preserve">Linear trend</t>
  </si>
  <si>
    <t xml:space="preserve">Log-linear regression on the full quarterly history, extended 8 quarters.</t>
  </si>
  <si>
    <t xml:space="preserve">Holt-Winters</t>
  </si>
  <si>
    <t xml:space="preserve">Additive damped-trend exponential smoothing with seasonal terms when history allows. 95% bands are residual-σ × √h.</t>
  </si>
  <si>
    <t xml:space="preserve">Aggregation rules</t>
  </si>
  <si>
    <t xml:space="preserve">GDP / Inflation</t>
  </si>
  <si>
    <t xml:space="preserve">Average across periods (works for SAAR levels and price indices).</t>
  </si>
  <si>
    <t xml:space="preserve">Fiscal / BoP flows</t>
  </si>
  <si>
    <t xml:space="preserve">Sum across periods.</t>
  </si>
  <si>
    <t xml:space="preserve">Stocks (Debt, Reserves)</t>
  </si>
  <si>
    <t xml:space="preserve">Last value of period.</t>
  </si>
  <si>
    <t xml:space="preserve">Codes — Single Source of Truth  (Chile)</t>
  </si>
  <si>
    <t xml:space="preserve">Edit codes here, then run refresh.py. Frequency: D/W/M/Q/A. Annual Code is optional (auto-derived from quarterly if blank).</t>
  </si>
  <si>
    <t xml:space="preserve">Section</t>
  </si>
  <si>
    <t xml:space="preserve">Indicator</t>
  </si>
  <si>
    <t xml:space="preserve">Country</t>
  </si>
  <si>
    <t xml:space="preserve">Frequency</t>
  </si>
  <si>
    <t xml:space="preserve">Quarterly Code</t>
  </si>
  <si>
    <t xml:space="preserve">Annual Code</t>
  </si>
  <si>
    <t xml:space="preserve">Units</t>
  </si>
  <si>
    <t xml:space="preserve">Notes</t>
  </si>
  <si>
    <t xml:space="preserve">GDP</t>
  </si>
  <si>
    <t xml:space="preserve">Real GDP (SA)</t>
  </si>
  <si>
    <t xml:space="preserve">Chile</t>
  </si>
  <si>
    <t xml:space="preserve">Q</t>
  </si>
  <si>
    <t xml:space="preserve">S228NGPC@LATAM</t>
  </si>
  <si>
    <t xml:space="preserve">S228NGPCA@LATAM</t>
  </si>
  <si>
    <t xml:space="preserve">Mn 2018 CLP</t>
  </si>
  <si>
    <t xml:space="preserve">Chile is country code 228 in IFS-style mnemonics. [VERIFY]</t>
  </si>
  <si>
    <t xml:space="preserve">Nominal GDP</t>
  </si>
  <si>
    <t xml:space="preserve">S228NGDP@LATAM</t>
  </si>
  <si>
    <t xml:space="preserve">S228NGDPA@LATAM</t>
  </si>
  <si>
    <t xml:space="preserve">Mn CLP</t>
  </si>
  <si>
    <t xml:space="preserve">[VERIFY]</t>
  </si>
  <si>
    <t xml:space="preserve">IMACEC Monthly Activity</t>
  </si>
  <si>
    <t xml:space="preserve">M</t>
  </si>
  <si>
    <t xml:space="preserve">IMACEC@CHILE</t>
  </si>
  <si>
    <t xml:space="preserve">IMACECA@CHILE</t>
  </si>
  <si>
    <t xml:space="preserve">Index 2018=100</t>
  </si>
  <si>
    <t xml:space="preserve">Banco Central de Chile monthly activity proxy. [VERIFY] code; @CHILE may differ on your subscription.</t>
  </si>
  <si>
    <t xml:space="preserve">Inflation</t>
  </si>
  <si>
    <t xml:space="preserve">CPI Headline (IPC)</t>
  </si>
  <si>
    <t xml:space="preserve">IPC@CHILE</t>
  </si>
  <si>
    <t xml:space="preserve">IPCA@CHILE</t>
  </si>
  <si>
    <t xml:space="preserve">Index Dec-2018=100</t>
  </si>
  <si>
    <t xml:space="preserve">INE IPC. [VERIFY]</t>
  </si>
  <si>
    <t xml:space="preserve">Core CPI (IPC sin volátiles)</t>
  </si>
  <si>
    <t xml:space="preserve">IPCSAE@CHILE</t>
  </si>
  <si>
    <t xml:space="preserve">IPCSAEA@CHILE</t>
  </si>
  <si>
    <t xml:space="preserve">Index</t>
  </si>
  <si>
    <t xml:space="preserve">Sin alimentos y energia. [VERIFY]</t>
  </si>
  <si>
    <t xml:space="preserve">Producer Price Index (IPP)</t>
  </si>
  <si>
    <t xml:space="preserve">IPP@CHILE</t>
  </si>
  <si>
    <t xml:space="preserve">IPPA@CHILE</t>
  </si>
  <si>
    <t xml:space="preserve">Fiscal</t>
  </si>
  <si>
    <t xml:space="preserve">Central Govt Balance</t>
  </si>
  <si>
    <t xml:space="preserve">FBCGOB@CHILE</t>
  </si>
  <si>
    <t xml:space="preserve">FBCGOBA@CHILE</t>
  </si>
  <si>
    <t xml:space="preserve">DIPRES central government balance. [VERIFY]</t>
  </si>
  <si>
    <t xml:space="preserve">Tax Revenue</t>
  </si>
  <si>
    <t xml:space="preserve">RECTRIB@CHILE</t>
  </si>
  <si>
    <t xml:space="preserve">RECTRIBA@CHILE</t>
  </si>
  <si>
    <t xml:space="preserve">Gross Public Debt</t>
  </si>
  <si>
    <t xml:space="preserve">DEUDABRT@CHILE</t>
  </si>
  <si>
    <t xml:space="preserve">DEUDABRTA@CHILE</t>
  </si>
  <si>
    <t xml:space="preserve">% of GDP</t>
  </si>
  <si>
    <t xml:space="preserve">BoP</t>
  </si>
  <si>
    <t xml:space="preserve">Current Account Balance</t>
  </si>
  <si>
    <t xml:space="preserve">S228NCABA@LATAM</t>
  </si>
  <si>
    <t xml:space="preserve">S228NCABAA@LATAM</t>
  </si>
  <si>
    <t xml:space="preserve">USD Mn</t>
  </si>
  <si>
    <t xml:space="preserve">Trade Balance</t>
  </si>
  <si>
    <t xml:space="preserve">EXPMPC@CHILE</t>
  </si>
  <si>
    <t xml:space="preserve">EXPMPCA@CHILE</t>
  </si>
  <si>
    <t xml:space="preserve">Exports minus imports. [VERIFY]</t>
  </si>
  <si>
    <t xml:space="preserve">Copper Exports</t>
  </si>
  <si>
    <t xml:space="preserve">EXPCU@CHILE</t>
  </si>
  <si>
    <t xml:space="preserve">EXPCUA@CHILE</t>
  </si>
  <si>
    <t xml:space="preserve">Key Chile-specific series; copper drives the trade balance. [VERIFY]</t>
  </si>
  <si>
    <t xml:space="preserve">Foreign Direct Investment</t>
  </si>
  <si>
    <t xml:space="preserve">FDICHL@CHILE</t>
  </si>
  <si>
    <t xml:space="preserve">FDICHLA@CHILE</t>
  </si>
  <si>
    <t xml:space="preserve">Reserves</t>
  </si>
  <si>
    <t xml:space="preserve">BCCh International Reserves</t>
  </si>
  <si>
    <t xml:space="preserve">RESINTC@CHILE</t>
  </si>
  <si>
    <t xml:space="preserve">RESINTCA@CHILE</t>
  </si>
  <si>
    <t xml:space="preserve">Banco Central de Chile total international reserves. [VERIFY]</t>
  </si>
  <si>
    <t xml:space="preserve">Sovereign Wealth Funds (FRP+FEES)</t>
  </si>
  <si>
    <t xml:space="preserve">SWF@CHILE</t>
  </si>
  <si>
    <t xml:space="preserve">SWFA@CHILE</t>
  </si>
  <si>
    <t xml:space="preserve">Fondo Reserva Pensiones + Fondo Estabilizacion. [VERIFY]</t>
  </si>
  <si>
    <t xml:space="preserve">GDP — Chile</t>
  </si>
  <si>
    <t xml:space="preserve">3 indicator(s) — pulled from Codes sheet.</t>
  </si>
  <si>
    <t xml:space="preserve">Real GDP (SA)    [S228NGPC@LATAM]    Mn 2018 CLP</t>
  </si>
  <si>
    <t xml:space="preserve">Source</t>
  </si>
  <si>
    <t xml:space="preserve">Synthetic demo</t>
  </si>
  <si>
    <t xml:space="preserve">Forecast (linear)</t>
  </si>
  <si>
    <t xml:space="preserve">Log-linear regression on full history. Implied annualised growth: 2.01%</t>
  </si>
  <si>
    <t xml:space="preserve">Forecast (HW)</t>
  </si>
  <si>
    <t xml:space="preserve">numpy Holt-Winters fallback (additive, damped, seasonal=add)</t>
  </si>
  <si>
    <t xml:space="preserve">Quarterly</t>
  </si>
  <si>
    <t xml:space="preserve">Annual</t>
  </si>
  <si>
    <t xml:space="preserve">Date</t>
  </si>
  <si>
    <t xml:space="preserve">Level</t>
  </si>
  <si>
    <t xml:space="preserve">QoQ %</t>
  </si>
  <si>
    <t xml:space="preserve">YoY %</t>
  </si>
  <si>
    <t xml:space="preserve">Linear Fcst</t>
  </si>
  <si>
    <t xml:space="preserve">HW Fcst</t>
  </si>
  <si>
    <t xml:space="preserve">HW Range</t>
  </si>
  <si>
    <t xml:space="preserve">Year</t>
  </si>
  <si>
    <t xml:space="preserve">Annual Fcst (HW)</t>
  </si>
  <si>
    <t xml:space="preserve">Nominal GDP    [S228NGDP@LATAM]    Mn CLP</t>
  </si>
  <si>
    <t xml:space="preserve">Log-linear regression on full history. Implied annualised growth: 2.25%</t>
  </si>
  <si>
    <t xml:space="preserve">IMACEC Monthly Activity    [IMACEC@CHILE]    Index 2018=100</t>
  </si>
  <si>
    <t xml:space="preserve">Log-linear regression on full history. Implied annualised growth: 2.00%</t>
  </si>
  <si>
    <t xml:space="preserve">Inflation — Chile</t>
  </si>
  <si>
    <t xml:space="preserve">CPI Headline (IPC)    [IPC@CHILE]    Index Dec-2018=100</t>
  </si>
  <si>
    <t xml:space="preserve">Core CPI (IPC sin volátiles)    [IPCSAE@CHILE]    Index</t>
  </si>
  <si>
    <t xml:space="preserve">Log-linear regression on full history. Implied annualised growth: 2.04%</t>
  </si>
  <si>
    <t xml:space="preserve">Producer Price Index (IPP)    [IPP@CHILE]    Index</t>
  </si>
  <si>
    <t xml:space="preserve">Log-linear regression on full history. Implied annualised growth: 2.02%</t>
  </si>
  <si>
    <t xml:space="preserve">Fiscal — Chile</t>
  </si>
  <si>
    <t xml:space="preserve">Central Govt Balance    [FBCGOB@CHILE]    Mn CLP</t>
  </si>
  <si>
    <t xml:space="preserve">Tax Revenue    [RECTRIB@CHILE]    Mn CLP</t>
  </si>
  <si>
    <t xml:space="preserve">Gross Public Debt    [DEUDABRT@CHILE]    % of GDP</t>
  </si>
  <si>
    <t xml:space="preserve">Log-linear regression on full history. Implied annualised growth: 1.97%</t>
  </si>
  <si>
    <t xml:space="preserve">BoP — Chile</t>
  </si>
  <si>
    <t xml:space="preserve">4 indicator(s) — pulled from Codes sheet.</t>
  </si>
  <si>
    <t xml:space="preserve">Current Account Balance    [S228NCABA@LATAM]    USD Mn</t>
  </si>
  <si>
    <t xml:space="preserve">Log-linear regression on full history. Implied annualised growth: 2.05%</t>
  </si>
  <si>
    <t xml:space="preserve">Trade Balance    [EXPMPC@CHILE]    USD Mn</t>
  </si>
  <si>
    <t xml:space="preserve">Copper Exports    [EXPCU@CHILE]    USD Mn</t>
  </si>
  <si>
    <t xml:space="preserve">Log-linear regression on full history. Implied annualised growth: 2.52%</t>
  </si>
  <si>
    <t xml:space="preserve">Foreign Direct Investment    [FDICHL@CHILE]    USD Mn</t>
  </si>
  <si>
    <t xml:space="preserve">Reserves — Chile</t>
  </si>
  <si>
    <t xml:space="preserve">2 indicator(s) — pulled from Codes sheet.</t>
  </si>
  <si>
    <t xml:space="preserve">BCCh International Reserves    [RESINTC@CHILE]    USD Mn</t>
  </si>
  <si>
    <t xml:space="preserve">Sovereign Wealth Funds (FRP+FEES)    [SWF@CHILE]    USD Mn</t>
  </si>
  <si>
    <t xml:space="preserve">Log-linear regression on full history. Implied annualised growth: 2.03%</t>
  </si>
  <si>
    <t xml:space="preserve">Dashboard — Latest Reads &amp; 2y Forecast  (Chile)</t>
  </si>
  <si>
    <t xml:space="preserve">Cross-sheet KPIs (links pull live from each category tab).</t>
  </si>
  <si>
    <t xml:space="preserve">Latest date</t>
  </si>
  <si>
    <t xml:space="preserve">Latest value</t>
  </si>
  <si>
    <t xml:space="preserve">2y forecast (HW)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</si>
</sst>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.00;\(#,##0.00\);\-"/>
    <numFmt numFmtId="167" formatCode="0"/>
    <numFmt numFmtId="168" formatCode="0.00\%;\(0.00&quot;%)&quot;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_rels/chart11.xml.rels><?xml version="1.0" encoding="UTF-8"?>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
</Relationships>
</file>

<file path=xl/charts/_rels/chart12.xml.rels><?xml version="1.0" encoding="UTF-8"?>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
</Relationships>
</file>

<file path=xl/charts/_rels/chart13.xml.rels><?xml version="1.0" encoding="UTF-8"?>
<Relationships xmlns="http://schemas.openxmlformats.org/package/2006/relationships"><Relationship Id="rId1" Type="http://schemas.microsoft.com/office/2011/relationships/chartStyle" Target="style13.xml"/><Relationship Id="rId2" Type="http://schemas.microsoft.com/office/2011/relationships/chartColorStyle" Target="colors13.xml"/>
</Relationships>
</file>

<file path=xl/charts/_rels/chart14.xml.rels><?xml version="1.0" encoding="UTF-8"?>
<Relationships xmlns="http://schemas.openxmlformats.org/package/2006/relationships"><Relationship Id="rId1" Type="http://schemas.microsoft.com/office/2011/relationships/chartStyle" Target="style14.xml"/><Relationship Id="rId2" Type="http://schemas.microsoft.com/office/2011/relationships/chartColorStyle" Target="colors14.xml"/>
</Relationships>
</file>

<file path=xl/charts/_rels/chart15.xml.rels><?xml version="1.0" encoding="UTF-8"?>
<Relationships xmlns="http://schemas.openxmlformats.org/package/2006/relationships"><Relationship Id="rId1" Type="http://schemas.microsoft.com/office/2011/relationships/chartStyle" Target="style15.xml"/><Relationship Id="rId2" Type="http://schemas.microsoft.com/office/2011/relationships/chartColorStyle" Target="colors1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Real GDP (SA)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GDP!B7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GDP!$B$8:$B$99</c:f>
              <c:numCache>
                <c:formatCode>#,##0.00;\(#,##0.00\);\-</c:formatCode>
                <c:ptCount val="92"/>
                <c:pt idx="0">
                  <c:v>100.000415380884</c:v>
                </c:pt>
                <c:pt idx="1">
                  <c:v>99.6964469367722</c:v>
                </c:pt>
                <c:pt idx="2">
                  <c:v>100.606071373329</c:v>
                </c:pt>
                <c:pt idx="3">
                  <c:v>102.051340894047</c:v>
                </c:pt>
                <c:pt idx="4">
                  <c:v>101.848130866561</c:v>
                </c:pt>
                <c:pt idx="5">
                  <c:v>102.381051791352</c:v>
                </c:pt>
                <c:pt idx="6">
                  <c:v>103.252846779729</c:v>
                </c:pt>
                <c:pt idx="7">
                  <c:v>104.221697108625</c:v>
                </c:pt>
                <c:pt idx="8">
                  <c:v>104.252103814434</c:v>
                </c:pt>
                <c:pt idx="9">
                  <c:v>105.164752313864</c:v>
                </c:pt>
                <c:pt idx="10">
                  <c:v>105.439105840615</c:v>
                </c:pt>
                <c:pt idx="11">
                  <c:v>104.736375215262</c:v>
                </c:pt>
                <c:pt idx="12">
                  <c:v>106.285657294755</c:v>
                </c:pt>
                <c:pt idx="13">
                  <c:v>106.40820328668</c:v>
                </c:pt>
                <c:pt idx="14">
                  <c:v>106.72432835113</c:v>
                </c:pt>
                <c:pt idx="15">
                  <c:v>108.104014471617</c:v>
                </c:pt>
                <c:pt idx="16">
                  <c:v>108.448300069894</c:v>
                </c:pt>
                <c:pt idx="17">
                  <c:v>108.793825901006</c:v>
                </c:pt>
                <c:pt idx="18">
                  <c:v>110.031220496311</c:v>
                </c:pt>
                <c:pt idx="19">
                  <c:v>108.764596416925</c:v>
                </c:pt>
                <c:pt idx="20">
                  <c:v>110.363229309845</c:v>
                </c:pt>
                <c:pt idx="21">
                  <c:v>111.699466972884</c:v>
                </c:pt>
                <c:pt idx="22">
                  <c:v>111.215587689392</c:v>
                </c:pt>
                <c:pt idx="23">
                  <c:v>111.429085136554</c:v>
                </c:pt>
                <c:pt idx="24">
                  <c:v>112.907109370972</c:v>
                </c:pt>
                <c:pt idx="25">
                  <c:v>113.275268166487</c:v>
                </c:pt>
                <c:pt idx="26">
                  <c:v>113.608577279018</c:v>
                </c:pt>
                <c:pt idx="27">
                  <c:v>113.993495792103</c:v>
                </c:pt>
                <c:pt idx="28">
                  <c:v>114.700414292682</c:v>
                </c:pt>
                <c:pt idx="29">
                  <c:v>115.616093364562</c:v>
                </c:pt>
                <c:pt idx="30">
                  <c:v>115.937678260138</c:v>
                </c:pt>
                <c:pt idx="31">
                  <c:v>116.983293009382</c:v>
                </c:pt>
                <c:pt idx="32">
                  <c:v>117.334044602116</c:v>
                </c:pt>
                <c:pt idx="33">
                  <c:v>117.500374169931</c:v>
                </c:pt>
                <c:pt idx="34">
                  <c:v>119.301588088134</c:v>
                </c:pt>
                <c:pt idx="35">
                  <c:v>120.274260850842</c:v>
                </c:pt>
                <c:pt idx="36">
                  <c:v>120.098055026923</c:v>
                </c:pt>
                <c:pt idx="37">
                  <c:v>120.5016569995</c:v>
                </c:pt>
                <c:pt idx="38">
                  <c:v>120.928348997818</c:v>
                </c:pt>
                <c:pt idx="39">
                  <c:v>121.308433889992</c:v>
                </c:pt>
                <c:pt idx="40">
                  <c:v>122.148694374851</c:v>
                </c:pt>
                <c:pt idx="41">
                  <c:v>123.03500381333</c:v>
                </c:pt>
                <c:pt idx="42">
                  <c:v>124.331542547268</c:v>
                </c:pt>
                <c:pt idx="43">
                  <c:v>125.110146769638</c:v>
                </c:pt>
                <c:pt idx="44">
                  <c:v>125.358323957263</c:v>
                </c:pt>
                <c:pt idx="45">
                  <c:v>124.198514453537</c:v>
                </c:pt>
                <c:pt idx="46">
                  <c:v>126.02120366793</c:v>
                </c:pt>
                <c:pt idx="47">
                  <c:v>126.978580421244</c:v>
                </c:pt>
                <c:pt idx="48">
                  <c:v>127.319491601056</c:v>
                </c:pt>
                <c:pt idx="49">
                  <c:v>127.695951590092</c:v>
                </c:pt>
                <c:pt idx="50">
                  <c:v>128.219135172478</c:v>
                </c:pt>
                <c:pt idx="51">
                  <c:v>129.366835434576</c:v>
                </c:pt>
                <c:pt idx="52">
                  <c:v>128.897140984041</c:v>
                </c:pt>
                <c:pt idx="53">
                  <c:v>130.673558377755</c:v>
                </c:pt>
                <c:pt idx="54">
                  <c:v>130.98696015555</c:v>
                </c:pt>
                <c:pt idx="55">
                  <c:v>131.813104425013</c:v>
                </c:pt>
                <c:pt idx="56">
                  <c:v>132.085726192354</c:v>
                </c:pt>
                <c:pt idx="57">
                  <c:v>132.7327254577</c:v>
                </c:pt>
                <c:pt idx="58">
                  <c:v>133.572208717547</c:v>
                </c:pt>
                <c:pt idx="59">
                  <c:v>133.319073828005</c:v>
                </c:pt>
                <c:pt idx="60">
                  <c:v>135.441137074844</c:v>
                </c:pt>
                <c:pt idx="61">
                  <c:v>135.776357851757</c:v>
                </c:pt>
                <c:pt idx="62">
                  <c:v>136.71749960541</c:v>
                </c:pt>
                <c:pt idx="63">
                  <c:v>136.695390109738</c:v>
                </c:pt>
                <c:pt idx="64">
                  <c:v>137.365706132079</c:v>
                </c:pt>
                <c:pt idx="65">
                  <c:v>138.10807264725</c:v>
                </c:pt>
                <c:pt idx="66">
                  <c:v>138.711427038988</c:v>
                </c:pt>
                <c:pt idx="67">
                  <c:v>139.897422707367</c:v>
                </c:pt>
                <c:pt idx="68">
                  <c:v>141.355671044194</c:v>
                </c:pt>
                <c:pt idx="69">
                  <c:v>141.154852035488</c:v>
                </c:pt>
                <c:pt idx="70">
                  <c:v>140.923259225954</c:v>
                </c:pt>
                <c:pt idx="71">
                  <c:v>142.107093498889</c:v>
                </c:pt>
                <c:pt idx="72">
                  <c:v>143.74349415986</c:v>
                </c:pt>
                <c:pt idx="73">
                  <c:v>144.331913945058</c:v>
                </c:pt>
                <c:pt idx="74">
                  <c:v>144.584811858531</c:v>
                </c:pt>
                <c:pt idx="75">
                  <c:v>144.327320987414</c:v>
                </c:pt>
                <c:pt idx="76">
                  <c:v>147.288113338655</c:v>
                </c:pt>
                <c:pt idx="77">
                  <c:v>146.774940372679</c:v>
                </c:pt>
                <c:pt idx="78">
                  <c:v>147.495734745094</c:v>
                </c:pt>
                <c:pt idx="79">
                  <c:v>147.550159739004</c:v>
                </c:pt>
                <c:pt idx="80">
                  <c:v>149.02195614471</c:v>
                </c:pt>
                <c:pt idx="81">
                  <c:v>151.037013938975</c:v>
                </c:pt>
                <c:pt idx="82">
                  <c:v>150.562298619414</c:v>
                </c:pt>
                <c:pt idx="83">
                  <c:v>151.020549482316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GDP!E7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GDP!$E$8:$E$99</c:f>
              <c:numCache>
                <c:formatCode>#,##0.00;\(#,##0.00\);\-</c:formatCode>
                <c:ptCount val="92"/>
                <c:pt idx="84">
                  <c:v>152.055645435222</c:v>
                </c:pt>
                <c:pt idx="85">
                  <c:v>152.814530707195</c:v>
                </c:pt>
                <c:pt idx="86">
                  <c:v>153.577203453511</c:v>
                </c:pt>
                <c:pt idx="87">
                  <c:v>154.343682576848</c:v>
                </c:pt>
                <c:pt idx="88">
                  <c:v>155.11398707422</c:v>
                </c:pt>
                <c:pt idx="89">
                  <c:v>155.888136037454</c:v>
                </c:pt>
                <c:pt idx="90">
                  <c:v>156.666148653661</c:v>
                </c:pt>
                <c:pt idx="91">
                  <c:v>157.448044205711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GDP!F7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GDP!$F$8:$F$99</c:f>
              <c:numCache>
                <c:formatCode>#,##0.00;\(#,##0.00\);\-</c:formatCode>
                <c:ptCount val="92"/>
                <c:pt idx="84">
                  <c:v>151.880498497524</c:v>
                </c:pt>
                <c:pt idx="85">
                  <c:v>151.7680693111</c:v>
                </c:pt>
                <c:pt idx="86">
                  <c:v>152.1637020126</c:v>
                </c:pt>
                <c:pt idx="87">
                  <c:v>152.786021016655</c:v>
                </c:pt>
                <c:pt idx="88">
                  <c:v>153.524813720922</c:v>
                </c:pt>
                <c:pt idx="89">
                  <c:v>153.330168773328</c:v>
                </c:pt>
                <c:pt idx="90">
                  <c:v>153.647696501716</c:v>
                </c:pt>
                <c:pt idx="91">
                  <c:v>154.195815781315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165223"/>
        <c:axId val="52548160"/>
      </c:lineChart>
      <c:catAx>
        <c:axId val="571652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548160"/>
        <c:crosses val="autoZero"/>
        <c:auto val="1"/>
        <c:lblAlgn val="ctr"/>
        <c:lblOffset val="100"/>
        <c:noMultiLvlLbl val="0"/>
      </c:catAx>
      <c:valAx>
        <c:axId val="525481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Mn 2018 CLP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16522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Nominal GDP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GDP!B105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GDP!$B$106:$B$197</c:f>
              <c:numCache>
                <c:formatCode>#,##0.00;\(#,##0.00\);\-</c:formatCode>
                <c:ptCount val="92"/>
                <c:pt idx="0">
                  <c:v>18023.2925966749</c:v>
                </c:pt>
                <c:pt idx="1">
                  <c:v>18021.9375021464</c:v>
                </c:pt>
                <c:pt idx="2">
                  <c:v>18129.6357024348</c:v>
                </c:pt>
                <c:pt idx="3">
                  <c:v>18183.8449951523</c:v>
                </c:pt>
                <c:pt idx="4">
                  <c:v>18367.5777144236</c:v>
                </c:pt>
                <c:pt idx="5">
                  <c:v>18518.4954084731</c:v>
                </c:pt>
                <c:pt idx="6">
                  <c:v>18511.5703565468</c:v>
                </c:pt>
                <c:pt idx="7">
                  <c:v>18694.1569017764</c:v>
                </c:pt>
                <c:pt idx="8">
                  <c:v>18807.1588412696</c:v>
                </c:pt>
                <c:pt idx="9">
                  <c:v>18949.8881097341</c:v>
                </c:pt>
                <c:pt idx="10">
                  <c:v>19077.0176459651</c:v>
                </c:pt>
                <c:pt idx="11">
                  <c:v>18950.7154867677</c:v>
                </c:pt>
                <c:pt idx="12">
                  <c:v>18497.8385979218</c:v>
                </c:pt>
                <c:pt idx="13">
                  <c:v>18464.3312630085</c:v>
                </c:pt>
                <c:pt idx="14">
                  <c:v>18633.3557174376</c:v>
                </c:pt>
                <c:pt idx="15">
                  <c:v>18860.9102814107</c:v>
                </c:pt>
                <c:pt idx="16">
                  <c:v>18885.9057522936</c:v>
                </c:pt>
                <c:pt idx="17">
                  <c:v>18864.0141780664</c:v>
                </c:pt>
                <c:pt idx="18">
                  <c:v>19173.3151269457</c:v>
                </c:pt>
                <c:pt idx="19">
                  <c:v>18995.8944408687</c:v>
                </c:pt>
                <c:pt idx="20">
                  <c:v>20044.8684540047</c:v>
                </c:pt>
                <c:pt idx="21">
                  <c:v>20172.8022552492</c:v>
                </c:pt>
                <c:pt idx="22">
                  <c:v>20381.7614041887</c:v>
                </c:pt>
                <c:pt idx="23">
                  <c:v>20561.9774627094</c:v>
                </c:pt>
                <c:pt idx="24">
                  <c:v>20616.0508169682</c:v>
                </c:pt>
                <c:pt idx="25">
                  <c:v>20702.5507062841</c:v>
                </c:pt>
                <c:pt idx="26">
                  <c:v>20699.0578049397</c:v>
                </c:pt>
                <c:pt idx="27">
                  <c:v>20847.1571599429</c:v>
                </c:pt>
                <c:pt idx="28">
                  <c:v>20935.3861246493</c:v>
                </c:pt>
                <c:pt idx="29">
                  <c:v>21076.5366316937</c:v>
                </c:pt>
                <c:pt idx="30">
                  <c:v>21156.4561874006</c:v>
                </c:pt>
                <c:pt idx="31">
                  <c:v>21195.1073317119</c:v>
                </c:pt>
                <c:pt idx="32">
                  <c:v>21410.382561982</c:v>
                </c:pt>
                <c:pt idx="33">
                  <c:v>21596.1789682592</c:v>
                </c:pt>
                <c:pt idx="34">
                  <c:v>21585.3593468619</c:v>
                </c:pt>
                <c:pt idx="35">
                  <c:v>21839.0748201872</c:v>
                </c:pt>
                <c:pt idx="36">
                  <c:v>21798.8909245273</c:v>
                </c:pt>
                <c:pt idx="37">
                  <c:v>21975.1494831968</c:v>
                </c:pt>
                <c:pt idx="38">
                  <c:v>22050.5644831926</c:v>
                </c:pt>
                <c:pt idx="39">
                  <c:v>22381.438360572</c:v>
                </c:pt>
                <c:pt idx="40">
                  <c:v>22431.2598594905</c:v>
                </c:pt>
                <c:pt idx="41">
                  <c:v>22377.0863619237</c:v>
                </c:pt>
                <c:pt idx="42">
                  <c:v>22773.6523396468</c:v>
                </c:pt>
                <c:pt idx="43">
                  <c:v>22728.2416603602</c:v>
                </c:pt>
                <c:pt idx="44">
                  <c:v>22908.3917641272</c:v>
                </c:pt>
                <c:pt idx="45">
                  <c:v>23226.9903582615</c:v>
                </c:pt>
                <c:pt idx="46">
                  <c:v>23112.1439006619</c:v>
                </c:pt>
                <c:pt idx="47">
                  <c:v>23236.7158803467</c:v>
                </c:pt>
                <c:pt idx="48">
                  <c:v>23489.7511461668</c:v>
                </c:pt>
                <c:pt idx="49">
                  <c:v>23631.2306705839</c:v>
                </c:pt>
                <c:pt idx="50">
                  <c:v>23636.9467979403</c:v>
                </c:pt>
                <c:pt idx="51">
                  <c:v>23784.0498351909</c:v>
                </c:pt>
                <c:pt idx="52">
                  <c:v>23972.2561208761</c:v>
                </c:pt>
                <c:pt idx="53">
                  <c:v>24036.3251862397</c:v>
                </c:pt>
                <c:pt idx="54">
                  <c:v>24118.6076229819</c:v>
                </c:pt>
                <c:pt idx="55">
                  <c:v>24247.9547277298</c:v>
                </c:pt>
                <c:pt idx="56">
                  <c:v>24531.2701694207</c:v>
                </c:pt>
                <c:pt idx="57">
                  <c:v>24658.0554054654</c:v>
                </c:pt>
                <c:pt idx="58">
                  <c:v>24517.2019413291</c:v>
                </c:pt>
                <c:pt idx="59">
                  <c:v>24647.6197632104</c:v>
                </c:pt>
                <c:pt idx="60">
                  <c:v>23990.6256643458</c:v>
                </c:pt>
                <c:pt idx="61">
                  <c:v>23959.5617610254</c:v>
                </c:pt>
                <c:pt idx="62">
                  <c:v>24543.3570449214</c:v>
                </c:pt>
                <c:pt idx="63">
                  <c:v>24400.2682679923</c:v>
                </c:pt>
                <c:pt idx="64">
                  <c:v>25642.6431854881</c:v>
                </c:pt>
                <c:pt idx="65">
                  <c:v>25731.8226173614</c:v>
                </c:pt>
                <c:pt idx="66">
                  <c:v>25992.5874301523</c:v>
                </c:pt>
                <c:pt idx="67">
                  <c:v>25929.4562976294</c:v>
                </c:pt>
                <c:pt idx="68">
                  <c:v>26415.3082036842</c:v>
                </c:pt>
                <c:pt idx="69">
                  <c:v>26044.7402813994</c:v>
                </c:pt>
                <c:pt idx="70">
                  <c:v>26262.3021489361</c:v>
                </c:pt>
                <c:pt idx="71">
                  <c:v>26686.8798421199</c:v>
                </c:pt>
                <c:pt idx="72">
                  <c:v>26647.4932350857</c:v>
                </c:pt>
                <c:pt idx="73">
                  <c:v>26832.4907662433</c:v>
                </c:pt>
                <c:pt idx="74">
                  <c:v>27084.1679734326</c:v>
                </c:pt>
                <c:pt idx="75">
                  <c:v>27010.5519883438</c:v>
                </c:pt>
                <c:pt idx="76">
                  <c:v>27454.5144472737</c:v>
                </c:pt>
                <c:pt idx="77">
                  <c:v>27530.3555797439</c:v>
                </c:pt>
                <c:pt idx="78">
                  <c:v>27688.1307658885</c:v>
                </c:pt>
                <c:pt idx="79">
                  <c:v>27738.1588948901</c:v>
                </c:pt>
                <c:pt idx="80">
                  <c:v>27748.6820235695</c:v>
                </c:pt>
                <c:pt idx="81">
                  <c:v>27965.8814611655</c:v>
                </c:pt>
                <c:pt idx="82">
                  <c:v>28365.0028963422</c:v>
                </c:pt>
                <c:pt idx="83">
                  <c:v>28515.0714061866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GDP!E105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GDP!$E$106:$E$197</c:f>
              <c:numCache>
                <c:formatCode>#,##0.00;\(#,##0.00\);\-</c:formatCode>
                <c:ptCount val="92"/>
                <c:pt idx="84">
                  <c:v>28461.550742746</c:v>
                </c:pt>
                <c:pt idx="85">
                  <c:v>28620.3430276502</c:v>
                </c:pt>
                <c:pt idx="86">
                  <c:v>28780.0212442444</c:v>
                </c:pt>
                <c:pt idx="87">
                  <c:v>28940.590335306</c:v>
                </c:pt>
                <c:pt idx="88">
                  <c:v>29102.0552711895</c:v>
                </c:pt>
                <c:pt idx="89">
                  <c:v>29264.4210499798</c:v>
                </c:pt>
                <c:pt idx="90">
                  <c:v>29427.6926976468</c:v>
                </c:pt>
                <c:pt idx="91">
                  <c:v>29591.8752682017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GDP!F105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GDP!$F$106:$F$197</c:f>
              <c:numCache>
                <c:formatCode>#,##0.00;\(#,##0.00\);\-</c:formatCode>
                <c:ptCount val="92"/>
                <c:pt idx="84">
                  <c:v>28462.9020477015</c:v>
                </c:pt>
                <c:pt idx="85">
                  <c:v>28562.5458287361</c:v>
                </c:pt>
                <c:pt idx="86">
                  <c:v>28704.9875908195</c:v>
                </c:pt>
                <c:pt idx="87">
                  <c:v>28776.396488099</c:v>
                </c:pt>
                <c:pt idx="88">
                  <c:v>28832.4632638504</c:v>
                </c:pt>
                <c:pt idx="89">
                  <c:v>28913.6289840776</c:v>
                </c:pt>
                <c:pt idx="90">
                  <c:v>29038.5165883939</c:v>
                </c:pt>
                <c:pt idx="91">
                  <c:v>29093.2490357947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025491"/>
        <c:axId val="29901615"/>
      </c:lineChart>
      <c:catAx>
        <c:axId val="490254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901615"/>
        <c:crosses val="autoZero"/>
        <c:auto val="1"/>
        <c:lblAlgn val="ctr"/>
        <c:lblOffset val="100"/>
        <c:noMultiLvlLbl val="0"/>
      </c:catAx>
      <c:valAx>
        <c:axId val="299016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Mn CLP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02549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IMACEC Monthly Activity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GDP!B203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GDP!$B$204:$B$295</c:f>
              <c:numCache>
                <c:formatCode>#,##0.00;\(#,##0.00\);\-</c:formatCode>
                <c:ptCount val="92"/>
                <c:pt idx="0">
                  <c:v>100.159994308724</c:v>
                </c:pt>
                <c:pt idx="1">
                  <c:v>100.389690951457</c:v>
                </c:pt>
                <c:pt idx="2">
                  <c:v>100.221596443501</c:v>
                </c:pt>
                <c:pt idx="3">
                  <c:v>100.715911220587</c:v>
                </c:pt>
                <c:pt idx="4">
                  <c:v>102.23877333795</c:v>
                </c:pt>
                <c:pt idx="5">
                  <c:v>102.017100428793</c:v>
                </c:pt>
                <c:pt idx="6">
                  <c:v>102.832550256438</c:v>
                </c:pt>
                <c:pt idx="7">
                  <c:v>104.288380021755</c:v>
                </c:pt>
                <c:pt idx="8">
                  <c:v>104.124644667836</c:v>
                </c:pt>
                <c:pt idx="9">
                  <c:v>104.136471589609</c:v>
                </c:pt>
                <c:pt idx="10">
                  <c:v>105.191858262857</c:v>
                </c:pt>
                <c:pt idx="11">
                  <c:v>106.090384979409</c:v>
                </c:pt>
                <c:pt idx="12">
                  <c:v>105.941514402904</c:v>
                </c:pt>
                <c:pt idx="13">
                  <c:v>106.82436018035</c:v>
                </c:pt>
                <c:pt idx="14">
                  <c:v>107.777747081891</c:v>
                </c:pt>
                <c:pt idx="15">
                  <c:v>107.703985505491</c:v>
                </c:pt>
                <c:pt idx="16">
                  <c:v>107.936218676679</c:v>
                </c:pt>
                <c:pt idx="17">
                  <c:v>108.624452512593</c:v>
                </c:pt>
                <c:pt idx="18">
                  <c:v>109.123860413149</c:v>
                </c:pt>
                <c:pt idx="19">
                  <c:v>109.421345371624</c:v>
                </c:pt>
                <c:pt idx="20">
                  <c:v>110.622760907259</c:v>
                </c:pt>
                <c:pt idx="21">
                  <c:v>111.434730831272</c:v>
                </c:pt>
                <c:pt idx="22">
                  <c:v>112.035258164406</c:v>
                </c:pt>
                <c:pt idx="23">
                  <c:v>112.059842181241</c:v>
                </c:pt>
                <c:pt idx="24">
                  <c:v>112.200472663802</c:v>
                </c:pt>
                <c:pt idx="25">
                  <c:v>112.797348793888</c:v>
                </c:pt>
                <c:pt idx="26">
                  <c:v>113.974078395867</c:v>
                </c:pt>
                <c:pt idx="27">
                  <c:v>114.180094973929</c:v>
                </c:pt>
                <c:pt idx="28">
                  <c:v>115.856201485032</c:v>
                </c:pt>
                <c:pt idx="29">
                  <c:v>115.392286042546</c:v>
                </c:pt>
                <c:pt idx="30">
                  <c:v>116.407609542699</c:v>
                </c:pt>
                <c:pt idx="31">
                  <c:v>117.179301774738</c:v>
                </c:pt>
                <c:pt idx="32">
                  <c:v>117.171445302075</c:v>
                </c:pt>
                <c:pt idx="33">
                  <c:v>117.702473644016</c:v>
                </c:pt>
                <c:pt idx="34">
                  <c:v>119.684612805521</c:v>
                </c:pt>
                <c:pt idx="35">
                  <c:v>118.930058575614</c:v>
                </c:pt>
                <c:pt idx="36">
                  <c:v>119.893115972976</c:v>
                </c:pt>
                <c:pt idx="37">
                  <c:v>120.262890827796</c:v>
                </c:pt>
                <c:pt idx="38">
                  <c:v>121.435812068381</c:v>
                </c:pt>
                <c:pt idx="39">
                  <c:v>121.974531498742</c:v>
                </c:pt>
                <c:pt idx="40">
                  <c:v>122.056257366719</c:v>
                </c:pt>
                <c:pt idx="41">
                  <c:v>122.195227063391</c:v>
                </c:pt>
                <c:pt idx="42">
                  <c:v>124.332839626545</c:v>
                </c:pt>
                <c:pt idx="43">
                  <c:v>123.580741012351</c:v>
                </c:pt>
                <c:pt idx="44">
                  <c:v>124.577143430722</c:v>
                </c:pt>
                <c:pt idx="45">
                  <c:v>124.918040400092</c:v>
                </c:pt>
                <c:pt idx="46">
                  <c:v>125.78011787955</c:v>
                </c:pt>
                <c:pt idx="47">
                  <c:v>126.336529796911</c:v>
                </c:pt>
                <c:pt idx="48">
                  <c:v>127.039347193617</c:v>
                </c:pt>
                <c:pt idx="49">
                  <c:v>127.466085492967</c:v>
                </c:pt>
                <c:pt idx="50">
                  <c:v>128.173078845439</c:v>
                </c:pt>
                <c:pt idx="51">
                  <c:v>128.987048832929</c:v>
                </c:pt>
                <c:pt idx="52">
                  <c:v>130.00915987602</c:v>
                </c:pt>
                <c:pt idx="53">
                  <c:v>130.388676685083</c:v>
                </c:pt>
                <c:pt idx="54">
                  <c:v>130.167346713087</c:v>
                </c:pt>
                <c:pt idx="55">
                  <c:v>132.139754998475</c:v>
                </c:pt>
                <c:pt idx="56">
                  <c:v>131.698394140903</c:v>
                </c:pt>
                <c:pt idx="57">
                  <c:v>132.911433464899</c:v>
                </c:pt>
                <c:pt idx="58">
                  <c:v>133.223769991329</c:v>
                </c:pt>
                <c:pt idx="59">
                  <c:v>134.501174246136</c:v>
                </c:pt>
                <c:pt idx="60">
                  <c:v>134.538863222268</c:v>
                </c:pt>
                <c:pt idx="61">
                  <c:v>135.219073485403</c:v>
                </c:pt>
                <c:pt idx="62">
                  <c:v>136.727557689879</c:v>
                </c:pt>
                <c:pt idx="63">
                  <c:v>136.821146906717</c:v>
                </c:pt>
                <c:pt idx="64">
                  <c:v>137.347056969794</c:v>
                </c:pt>
                <c:pt idx="65">
                  <c:v>138.160573486636</c:v>
                </c:pt>
                <c:pt idx="66">
                  <c:v>139.272983579648</c:v>
                </c:pt>
                <c:pt idx="67">
                  <c:v>139.80681982094</c:v>
                </c:pt>
                <c:pt idx="68">
                  <c:v>140.275104016871</c:v>
                </c:pt>
                <c:pt idx="69">
                  <c:v>140.11999640781</c:v>
                </c:pt>
                <c:pt idx="70">
                  <c:v>141.687641187992</c:v>
                </c:pt>
                <c:pt idx="71">
                  <c:v>143.138833488721</c:v>
                </c:pt>
                <c:pt idx="72">
                  <c:v>143.093311533638</c:v>
                </c:pt>
                <c:pt idx="73">
                  <c:v>142.572891386108</c:v>
                </c:pt>
                <c:pt idx="74">
                  <c:v>144.524334568967</c:v>
                </c:pt>
                <c:pt idx="75">
                  <c:v>144.690213165576</c:v>
                </c:pt>
                <c:pt idx="76">
                  <c:v>144.897950694887</c:v>
                </c:pt>
                <c:pt idx="77">
                  <c:v>145.968637917822</c:v>
                </c:pt>
                <c:pt idx="78">
                  <c:v>146.976554647948</c:v>
                </c:pt>
                <c:pt idx="79">
                  <c:v>148.840931221743</c:v>
                </c:pt>
                <c:pt idx="80">
                  <c:v>149.131428756939</c:v>
                </c:pt>
                <c:pt idx="81">
                  <c:v>149.041909657863</c:v>
                </c:pt>
                <c:pt idx="82">
                  <c:v>151.128702170005</c:v>
                </c:pt>
                <c:pt idx="83">
                  <c:v>151.778398562235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GDP!E203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GDP!$E$204:$E$295</c:f>
              <c:numCache>
                <c:formatCode>#,##0.00;\(#,##0.00\);\-</c:formatCode>
                <c:ptCount val="92"/>
                <c:pt idx="84">
                  <c:v>151.77996146572</c:v>
                </c:pt>
                <c:pt idx="85">
                  <c:v>152.533507002117</c:v>
                </c:pt>
                <c:pt idx="86">
                  <c:v>153.290793683721</c:v>
                </c:pt>
                <c:pt idx="87">
                  <c:v>154.051840084284</c:v>
                </c:pt>
                <c:pt idx="88">
                  <c:v>154.81666486977</c:v>
                </c:pt>
                <c:pt idx="89">
                  <c:v>155.585286798817</c:v>
                </c:pt>
                <c:pt idx="90">
                  <c:v>156.357724723191</c:v>
                </c:pt>
                <c:pt idx="91">
                  <c:v>157.133997588255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GDP!F203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GDP!$F$204:$F$295</c:f>
              <c:numCache>
                <c:formatCode>#,##0.00;\(#,##0.00\);\-</c:formatCode>
                <c:ptCount val="92"/>
                <c:pt idx="84">
                  <c:v>151.270045326733</c:v>
                </c:pt>
                <c:pt idx="85">
                  <c:v>151.49042444193</c:v>
                </c:pt>
                <c:pt idx="86">
                  <c:v>152.625482614351</c:v>
                </c:pt>
                <c:pt idx="87">
                  <c:v>153.400232955804</c:v>
                </c:pt>
                <c:pt idx="88">
                  <c:v>153.022285943479</c:v>
                </c:pt>
                <c:pt idx="89">
                  <c:v>153.155053027839</c:v>
                </c:pt>
                <c:pt idx="90">
                  <c:v>154.206879770964</c:v>
                </c:pt>
                <c:pt idx="91">
                  <c:v>154.902560254587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380253"/>
        <c:axId val="94589505"/>
      </c:lineChart>
      <c:catAx>
        <c:axId val="133802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589505"/>
        <c:crosses val="autoZero"/>
        <c:auto val="1"/>
        <c:lblAlgn val="ctr"/>
        <c:lblOffset val="100"/>
        <c:noMultiLvlLbl val="0"/>
      </c:catAx>
      <c:valAx>
        <c:axId val="945895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Index 2018=100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38025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CPI Headline (IPC)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Inflation!B7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Inflation!$B$8:$B$99</c:f>
              <c:numCache>
                <c:formatCode>#,##0.00;\(#,##0.00\);\-</c:formatCode>
                <c:ptCount val="92"/>
                <c:pt idx="0">
                  <c:v>100.287417786648</c:v>
                </c:pt>
                <c:pt idx="1">
                  <c:v>100.24073246456</c:v>
                </c:pt>
                <c:pt idx="2">
                  <c:v>102.042606402203</c:v>
                </c:pt>
                <c:pt idx="3">
                  <c:v>101.317502366103</c:v>
                </c:pt>
                <c:pt idx="4">
                  <c:v>102.319325439823</c:v>
                </c:pt>
                <c:pt idx="5">
                  <c:v>102.692878454945</c:v>
                </c:pt>
                <c:pt idx="6">
                  <c:v>102.605986715312</c:v>
                </c:pt>
                <c:pt idx="7">
                  <c:v>103.933440439196</c:v>
                </c:pt>
                <c:pt idx="8">
                  <c:v>104.32795313221</c:v>
                </c:pt>
                <c:pt idx="9">
                  <c:v>105.140728297704</c:v>
                </c:pt>
                <c:pt idx="10">
                  <c:v>105.731203437888</c:v>
                </c:pt>
                <c:pt idx="11">
                  <c:v>106.10135767373</c:v>
                </c:pt>
                <c:pt idx="12">
                  <c:v>105.298533451203</c:v>
                </c:pt>
                <c:pt idx="13">
                  <c:v>105.925239285152</c:v>
                </c:pt>
                <c:pt idx="14">
                  <c:v>107.799343555341</c:v>
                </c:pt>
                <c:pt idx="15">
                  <c:v>107.221219478094</c:v>
                </c:pt>
                <c:pt idx="16">
                  <c:v>108.853449262505</c:v>
                </c:pt>
                <c:pt idx="17">
                  <c:v>108.756951963805</c:v>
                </c:pt>
                <c:pt idx="18">
                  <c:v>109.196197685666</c:v>
                </c:pt>
                <c:pt idx="19">
                  <c:v>110.681817156044</c:v>
                </c:pt>
                <c:pt idx="20">
                  <c:v>109.520905303081</c:v>
                </c:pt>
                <c:pt idx="21">
                  <c:v>111.00943056568</c:v>
                </c:pt>
                <c:pt idx="22">
                  <c:v>111.591963248587</c:v>
                </c:pt>
                <c:pt idx="23">
                  <c:v>111.431450766545</c:v>
                </c:pt>
                <c:pt idx="24">
                  <c:v>112.107791708991</c:v>
                </c:pt>
                <c:pt idx="25">
                  <c:v>113.085099107219</c:v>
                </c:pt>
                <c:pt idx="26">
                  <c:v>113.63618549087</c:v>
                </c:pt>
                <c:pt idx="27">
                  <c:v>113.703543143617</c:v>
                </c:pt>
                <c:pt idx="28">
                  <c:v>114.727403214553</c:v>
                </c:pt>
                <c:pt idx="29">
                  <c:v>114.449470477849</c:v>
                </c:pt>
                <c:pt idx="30">
                  <c:v>115.975924780004</c:v>
                </c:pt>
                <c:pt idx="31">
                  <c:v>116.882232122438</c:v>
                </c:pt>
                <c:pt idx="32">
                  <c:v>117.430503756105</c:v>
                </c:pt>
                <c:pt idx="33">
                  <c:v>118.241799762194</c:v>
                </c:pt>
                <c:pt idx="34">
                  <c:v>117.980963540891</c:v>
                </c:pt>
                <c:pt idx="35">
                  <c:v>118.988022606166</c:v>
                </c:pt>
                <c:pt idx="36">
                  <c:v>119.404613689777</c:v>
                </c:pt>
                <c:pt idx="37">
                  <c:v>120.35812026765</c:v>
                </c:pt>
                <c:pt idx="38">
                  <c:v>120.335570230608</c:v>
                </c:pt>
                <c:pt idx="39">
                  <c:v>122.087603987546</c:v>
                </c:pt>
                <c:pt idx="40">
                  <c:v>121.833022522244</c:v>
                </c:pt>
                <c:pt idx="41">
                  <c:v>123.341373954858</c:v>
                </c:pt>
                <c:pt idx="42">
                  <c:v>123.028659405367</c:v>
                </c:pt>
                <c:pt idx="43">
                  <c:v>123.131872329664</c:v>
                </c:pt>
                <c:pt idx="44">
                  <c:v>124.222696269834</c:v>
                </c:pt>
                <c:pt idx="45">
                  <c:v>125.593681860352</c:v>
                </c:pt>
                <c:pt idx="46">
                  <c:v>126.113973928523</c:v>
                </c:pt>
                <c:pt idx="47">
                  <c:v>126.066111709362</c:v>
                </c:pt>
                <c:pt idx="48">
                  <c:v>127.556658335232</c:v>
                </c:pt>
                <c:pt idx="49">
                  <c:v>127.69760362903</c:v>
                </c:pt>
                <c:pt idx="50">
                  <c:v>128.563106995512</c:v>
                </c:pt>
                <c:pt idx="51">
                  <c:v>129.140901547106</c:v>
                </c:pt>
                <c:pt idx="52">
                  <c:v>130.285487520447</c:v>
                </c:pt>
                <c:pt idx="53">
                  <c:v>129.968634535628</c:v>
                </c:pt>
                <c:pt idx="54">
                  <c:v>130.622968998322</c:v>
                </c:pt>
                <c:pt idx="55">
                  <c:v>130.750533574666</c:v>
                </c:pt>
                <c:pt idx="56">
                  <c:v>132.353294855605</c:v>
                </c:pt>
                <c:pt idx="57">
                  <c:v>133.828964999302</c:v>
                </c:pt>
                <c:pt idx="58">
                  <c:v>133.746869461222</c:v>
                </c:pt>
                <c:pt idx="59">
                  <c:v>133.832822163455</c:v>
                </c:pt>
                <c:pt idx="60">
                  <c:v>133.70510817694</c:v>
                </c:pt>
                <c:pt idx="61">
                  <c:v>135.947191907077</c:v>
                </c:pt>
                <c:pt idx="62">
                  <c:v>136.48238993438</c:v>
                </c:pt>
                <c:pt idx="63">
                  <c:v>136.748733158825</c:v>
                </c:pt>
                <c:pt idx="64">
                  <c:v>137.529841916848</c:v>
                </c:pt>
                <c:pt idx="65">
                  <c:v>138.620302809499</c:v>
                </c:pt>
                <c:pt idx="66">
                  <c:v>139.755785406822</c:v>
                </c:pt>
                <c:pt idx="67">
                  <c:v>139.628115559416</c:v>
                </c:pt>
                <c:pt idx="68">
                  <c:v>139.584646405145</c:v>
                </c:pt>
                <c:pt idx="69">
                  <c:v>139.873875430449</c:v>
                </c:pt>
                <c:pt idx="70">
                  <c:v>142.055316523805</c:v>
                </c:pt>
                <c:pt idx="71">
                  <c:v>142.033479128221</c:v>
                </c:pt>
                <c:pt idx="72">
                  <c:v>143.676348154702</c:v>
                </c:pt>
                <c:pt idx="73">
                  <c:v>144.860059853802</c:v>
                </c:pt>
                <c:pt idx="74">
                  <c:v>144.818855747748</c:v>
                </c:pt>
                <c:pt idx="75">
                  <c:v>145.412569537867</c:v>
                </c:pt>
                <c:pt idx="76">
                  <c:v>147.279239818338</c:v>
                </c:pt>
                <c:pt idx="77">
                  <c:v>146.112449186528</c:v>
                </c:pt>
                <c:pt idx="78">
                  <c:v>147.791047394789</c:v>
                </c:pt>
                <c:pt idx="79">
                  <c:v>147.808797102283</c:v>
                </c:pt>
                <c:pt idx="80">
                  <c:v>149.007119414172</c:v>
                </c:pt>
                <c:pt idx="81">
                  <c:v>149.783229034867</c:v>
                </c:pt>
                <c:pt idx="82">
                  <c:v>149.991835234274</c:v>
                </c:pt>
                <c:pt idx="83">
                  <c:v>151.230957805459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Inflation!E7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Inflation!$E$8:$E$99</c:f>
              <c:numCache>
                <c:formatCode>#,##0.00;\(#,##0.00\);\-</c:formatCode>
                <c:ptCount val="92"/>
                <c:pt idx="84">
                  <c:v>151.973396157862</c:v>
                </c:pt>
                <c:pt idx="85">
                  <c:v>152.729310285038</c:v>
                </c:pt>
                <c:pt idx="86">
                  <c:v>153.488984321396</c:v>
                </c:pt>
                <c:pt idx="87">
                  <c:v>154.252436968686</c:v>
                </c:pt>
                <c:pt idx="88">
                  <c:v>155.019687021681</c:v>
                </c:pt>
                <c:pt idx="89">
                  <c:v>155.790753368638</c:v>
                </c:pt>
                <c:pt idx="90">
                  <c:v>156.565654991764</c:v>
                </c:pt>
                <c:pt idx="91">
                  <c:v>157.344410967685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Inflation!F7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Inflation!$F$8:$F$99</c:f>
              <c:numCache>
                <c:formatCode>#,##0.00;\(#,##0.00\);\-</c:formatCode>
                <c:ptCount val="92"/>
                <c:pt idx="84">
                  <c:v>150.956948574415</c:v>
                </c:pt>
                <c:pt idx="85">
                  <c:v>151.469081717691</c:v>
                </c:pt>
                <c:pt idx="86">
                  <c:v>152.160896722471</c:v>
                </c:pt>
                <c:pt idx="87">
                  <c:v>152.403145885851</c:v>
                </c:pt>
                <c:pt idx="88">
                  <c:v>152.524241492431</c:v>
                </c:pt>
                <c:pt idx="89">
                  <c:v>152.958009989807</c:v>
                </c:pt>
                <c:pt idx="90">
                  <c:v>153.575378580981</c:v>
                </c:pt>
                <c:pt idx="91">
                  <c:v>153.746903651435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206102"/>
        <c:axId val="80687860"/>
      </c:lineChart>
      <c:catAx>
        <c:axId val="272061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687860"/>
        <c:crosses val="autoZero"/>
        <c:auto val="1"/>
        <c:lblAlgn val="ctr"/>
        <c:lblOffset val="100"/>
        <c:noMultiLvlLbl val="0"/>
      </c:catAx>
      <c:valAx>
        <c:axId val="806878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Index Dec-2018=100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20610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Core CPI (IPC sin volátiles)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Inflation!B105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Inflation!$B$106:$B$197</c:f>
              <c:numCache>
                <c:formatCode>#,##0.00;\(#,##0.00\);\-</c:formatCode>
                <c:ptCount val="92"/>
                <c:pt idx="0">
                  <c:v>100.050510972449</c:v>
                </c:pt>
                <c:pt idx="1">
                  <c:v>100.978105916469</c:v>
                </c:pt>
                <c:pt idx="2">
                  <c:v>101.138536602632</c:v>
                </c:pt>
                <c:pt idx="3">
                  <c:v>101.56311253241</c:v>
                </c:pt>
                <c:pt idx="4">
                  <c:v>102.166897051887</c:v>
                </c:pt>
                <c:pt idx="5">
                  <c:v>103.232476813722</c:v>
                </c:pt>
                <c:pt idx="6">
                  <c:v>103.460015177149</c:v>
                </c:pt>
                <c:pt idx="7">
                  <c:v>103.234535321495</c:v>
                </c:pt>
                <c:pt idx="8">
                  <c:v>104.026348911983</c:v>
                </c:pt>
                <c:pt idx="9">
                  <c:v>104.590555176993</c:v>
                </c:pt>
                <c:pt idx="10">
                  <c:v>104.650552851824</c:v>
                </c:pt>
                <c:pt idx="11">
                  <c:v>106.021716914131</c:v>
                </c:pt>
                <c:pt idx="12">
                  <c:v>107.410534666825</c:v>
                </c:pt>
                <c:pt idx="13">
                  <c:v>106.09032106606</c:v>
                </c:pt>
                <c:pt idx="14">
                  <c:v>107.020543042087</c:v>
                </c:pt>
                <c:pt idx="15">
                  <c:v>107.955957028838</c:v>
                </c:pt>
                <c:pt idx="16">
                  <c:v>107.950116204806</c:v>
                </c:pt>
                <c:pt idx="17">
                  <c:v>108.955470311343</c:v>
                </c:pt>
                <c:pt idx="18">
                  <c:v>110.134986767554</c:v>
                </c:pt>
                <c:pt idx="19">
                  <c:v>109.276810958124</c:v>
                </c:pt>
                <c:pt idx="20">
                  <c:v>110.582656051589</c:v>
                </c:pt>
                <c:pt idx="21">
                  <c:v>110.789168481914</c:v>
                </c:pt>
                <c:pt idx="22">
                  <c:v>112.028197645468</c:v>
                </c:pt>
                <c:pt idx="23">
                  <c:v>112.143831678409</c:v>
                </c:pt>
                <c:pt idx="24">
                  <c:v>112.902348347582</c:v>
                </c:pt>
                <c:pt idx="25">
                  <c:v>113.325775590583</c:v>
                </c:pt>
                <c:pt idx="26">
                  <c:v>113.524317244081</c:v>
                </c:pt>
                <c:pt idx="27">
                  <c:v>114.540743253725</c:v>
                </c:pt>
                <c:pt idx="28">
                  <c:v>114.346978794082</c:v>
                </c:pt>
                <c:pt idx="29">
                  <c:v>116.081091003825</c:v>
                </c:pt>
                <c:pt idx="30">
                  <c:v>115.927707139624</c:v>
                </c:pt>
                <c:pt idx="31">
                  <c:v>116.946195464223</c:v>
                </c:pt>
                <c:pt idx="32">
                  <c:v>117.845560340469</c:v>
                </c:pt>
                <c:pt idx="33">
                  <c:v>117.069993526723</c:v>
                </c:pt>
                <c:pt idx="34">
                  <c:v>118.039480708892</c:v>
                </c:pt>
                <c:pt idx="35">
                  <c:v>119.883462402309</c:v>
                </c:pt>
                <c:pt idx="36">
                  <c:v>119.98925602101</c:v>
                </c:pt>
                <c:pt idx="37">
                  <c:v>119.894191774903</c:v>
                </c:pt>
                <c:pt idx="38">
                  <c:v>121.24663727055</c:v>
                </c:pt>
                <c:pt idx="39">
                  <c:v>122.437120791625</c:v>
                </c:pt>
                <c:pt idx="40">
                  <c:v>121.972281087494</c:v>
                </c:pt>
                <c:pt idx="41">
                  <c:v>122.564713764803</c:v>
                </c:pt>
                <c:pt idx="42">
                  <c:v>124.744572419701</c:v>
                </c:pt>
                <c:pt idx="43">
                  <c:v>123.901384535924</c:v>
                </c:pt>
                <c:pt idx="44">
                  <c:v>124.850412076622</c:v>
                </c:pt>
                <c:pt idx="45">
                  <c:v>124.335440830072</c:v>
                </c:pt>
                <c:pt idx="46">
                  <c:v>125.703505981366</c:v>
                </c:pt>
                <c:pt idx="47">
                  <c:v>126.924146864189</c:v>
                </c:pt>
                <c:pt idx="48">
                  <c:v>127.177414253379</c:v>
                </c:pt>
                <c:pt idx="49">
                  <c:v>128.329212781796</c:v>
                </c:pt>
                <c:pt idx="50">
                  <c:v>128.773958741107</c:v>
                </c:pt>
                <c:pt idx="51">
                  <c:v>128.563134987783</c:v>
                </c:pt>
                <c:pt idx="52">
                  <c:v>128.958945493466</c:v>
                </c:pt>
                <c:pt idx="53">
                  <c:v>130.828825369287</c:v>
                </c:pt>
                <c:pt idx="54">
                  <c:v>130.629567010555</c:v>
                </c:pt>
                <c:pt idx="55">
                  <c:v>131.857448542395</c:v>
                </c:pt>
                <c:pt idx="56">
                  <c:v>132.065293368163</c:v>
                </c:pt>
                <c:pt idx="57">
                  <c:v>132.785051048499</c:v>
                </c:pt>
                <c:pt idx="58">
                  <c:v>132.993285916994</c:v>
                </c:pt>
                <c:pt idx="59">
                  <c:v>135.20261088667</c:v>
                </c:pt>
                <c:pt idx="60">
                  <c:v>135.014182144991</c:v>
                </c:pt>
                <c:pt idx="61">
                  <c:v>135.334767129236</c:v>
                </c:pt>
                <c:pt idx="62">
                  <c:v>136.178242734799</c:v>
                </c:pt>
                <c:pt idx="63">
                  <c:v>137.290312136711</c:v>
                </c:pt>
                <c:pt idx="64">
                  <c:v>137.176843539752</c:v>
                </c:pt>
                <c:pt idx="65">
                  <c:v>137.04440020079</c:v>
                </c:pt>
                <c:pt idx="66">
                  <c:v>139.37365264483</c:v>
                </c:pt>
                <c:pt idx="67">
                  <c:v>138.468412891467</c:v>
                </c:pt>
                <c:pt idx="68">
                  <c:v>140.107553246964</c:v>
                </c:pt>
                <c:pt idx="69">
                  <c:v>141.829812852643</c:v>
                </c:pt>
                <c:pt idx="70">
                  <c:v>141.986733111088</c:v>
                </c:pt>
                <c:pt idx="71">
                  <c:v>141.963885751007</c:v>
                </c:pt>
                <c:pt idx="72">
                  <c:v>143.545774223293</c:v>
                </c:pt>
                <c:pt idx="73">
                  <c:v>143.502632545099</c:v>
                </c:pt>
                <c:pt idx="74">
                  <c:v>145.089221917108</c:v>
                </c:pt>
                <c:pt idx="75">
                  <c:v>146.145649189659</c:v>
                </c:pt>
                <c:pt idx="76">
                  <c:v>145.802001081458</c:v>
                </c:pt>
                <c:pt idx="77">
                  <c:v>147.2458492461</c:v>
                </c:pt>
                <c:pt idx="78">
                  <c:v>147.877997574527</c:v>
                </c:pt>
                <c:pt idx="79">
                  <c:v>149.284062247607</c:v>
                </c:pt>
                <c:pt idx="80">
                  <c:v>150.234417903727</c:v>
                </c:pt>
                <c:pt idx="81">
                  <c:v>150.424146209661</c:v>
                </c:pt>
                <c:pt idx="82">
                  <c:v>150.670184589063</c:v>
                </c:pt>
                <c:pt idx="83">
                  <c:v>150.912468938227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Inflation!E105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Inflation!$E$106:$E$197</c:f>
              <c:numCache>
                <c:formatCode>#,##0.00;\(#,##0.00\);\-</c:formatCode>
                <c:ptCount val="92"/>
                <c:pt idx="84">
                  <c:v>152.296710710534</c:v>
                </c:pt>
                <c:pt idx="85">
                  <c:v>153.067280789102</c:v>
                </c:pt>
                <c:pt idx="86">
                  <c:v>153.841749692819</c:v>
                </c:pt>
                <c:pt idx="87">
                  <c:v>154.620137148429</c:v>
                </c:pt>
                <c:pt idx="88">
                  <c:v>155.402462982485</c:v>
                </c:pt>
                <c:pt idx="89">
                  <c:v>156.188747121856</c:v>
                </c:pt>
                <c:pt idx="90">
                  <c:v>156.979009594233</c:v>
                </c:pt>
                <c:pt idx="91">
                  <c:v>157.773270528643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Inflation!F105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Inflation!$F$106:$F$197</c:f>
              <c:numCache>
                <c:formatCode>#,##0.00;\(#,##0.00\);\-</c:formatCode>
                <c:ptCount val="92"/>
                <c:pt idx="84">
                  <c:v>151.358500326103</c:v>
                </c:pt>
                <c:pt idx="85">
                  <c:v>151.502804815413</c:v>
                </c:pt>
                <c:pt idx="86">
                  <c:v>152.150432367524</c:v>
                </c:pt>
                <c:pt idx="87">
                  <c:v>152.918001848078</c:v>
                </c:pt>
                <c:pt idx="88">
                  <c:v>152.882039960331</c:v>
                </c:pt>
                <c:pt idx="89">
                  <c:v>152.950167467929</c:v>
                </c:pt>
                <c:pt idx="90">
                  <c:v>153.525426887414</c:v>
                </c:pt>
                <c:pt idx="91">
                  <c:v>154.224246641974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8988895"/>
        <c:axId val="50061165"/>
      </c:lineChart>
      <c:catAx>
        <c:axId val="389888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061165"/>
        <c:crosses val="autoZero"/>
        <c:auto val="1"/>
        <c:lblAlgn val="ctr"/>
        <c:lblOffset val="100"/>
        <c:noMultiLvlLbl val="0"/>
      </c:catAx>
      <c:valAx>
        <c:axId val="500611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98889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Producer Price Index (IPP)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Inflation!B203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Inflation!$B$204:$B$295</c:f>
              <c:numCache>
                <c:formatCode>#,##0.00;\(#,##0.00\);\-</c:formatCode>
                <c:ptCount val="92"/>
                <c:pt idx="0">
                  <c:v>101.581955400777</c:v>
                </c:pt>
                <c:pt idx="1">
                  <c:v>100.630198911237</c:v>
                </c:pt>
                <c:pt idx="2">
                  <c:v>101.309614940888</c:v>
                </c:pt>
                <c:pt idx="3">
                  <c:v>101.727917753705</c:v>
                </c:pt>
                <c:pt idx="4">
                  <c:v>101.573599150635</c:v>
                </c:pt>
                <c:pt idx="5">
                  <c:v>101.51408464951</c:v>
                </c:pt>
                <c:pt idx="6">
                  <c:v>104.295305913927</c:v>
                </c:pt>
                <c:pt idx="7">
                  <c:v>102.817524211565</c:v>
                </c:pt>
                <c:pt idx="8">
                  <c:v>103.741265031484</c:v>
                </c:pt>
                <c:pt idx="9">
                  <c:v>104.616515010859</c:v>
                </c:pt>
                <c:pt idx="10">
                  <c:v>104.434785585189</c:v>
                </c:pt>
                <c:pt idx="11">
                  <c:v>105.370933789778</c:v>
                </c:pt>
                <c:pt idx="12">
                  <c:v>106.383045545251</c:v>
                </c:pt>
                <c:pt idx="13">
                  <c:v>106.682173460877</c:v>
                </c:pt>
                <c:pt idx="14">
                  <c:v>107.4289947817</c:v>
                </c:pt>
                <c:pt idx="15">
                  <c:v>107.948502075522</c:v>
                </c:pt>
                <c:pt idx="16">
                  <c:v>107.874870848568</c:v>
                </c:pt>
                <c:pt idx="17">
                  <c:v>108.630917631307</c:v>
                </c:pt>
                <c:pt idx="18">
                  <c:v>109.494204204484</c:v>
                </c:pt>
                <c:pt idx="19">
                  <c:v>110.794925519159</c:v>
                </c:pt>
                <c:pt idx="20">
                  <c:v>110.396761781789</c:v>
                </c:pt>
                <c:pt idx="21">
                  <c:v>111.073561434533</c:v>
                </c:pt>
                <c:pt idx="22">
                  <c:v>111.337702248957</c:v>
                </c:pt>
                <c:pt idx="23">
                  <c:v>111.746897562615</c:v>
                </c:pt>
                <c:pt idx="24">
                  <c:v>112.407666083436</c:v>
                </c:pt>
                <c:pt idx="25">
                  <c:v>113.178819640604</c:v>
                </c:pt>
                <c:pt idx="26">
                  <c:v>114.029736978228</c:v>
                </c:pt>
                <c:pt idx="27">
                  <c:v>114.426568854923</c:v>
                </c:pt>
                <c:pt idx="28">
                  <c:v>115.454844438941</c:v>
                </c:pt>
                <c:pt idx="29">
                  <c:v>115.758361234794</c:v>
                </c:pt>
                <c:pt idx="30">
                  <c:v>116.370839888892</c:v>
                </c:pt>
                <c:pt idx="31">
                  <c:v>116.930134118136</c:v>
                </c:pt>
                <c:pt idx="32">
                  <c:v>117.123085339486</c:v>
                </c:pt>
                <c:pt idx="33">
                  <c:v>118.846565162422</c:v>
                </c:pt>
                <c:pt idx="34">
                  <c:v>118.958152786877</c:v>
                </c:pt>
                <c:pt idx="35">
                  <c:v>119.625079696422</c:v>
                </c:pt>
                <c:pt idx="36">
                  <c:v>118.586122823559</c:v>
                </c:pt>
                <c:pt idx="37">
                  <c:v>121.379442314094</c:v>
                </c:pt>
                <c:pt idx="38">
                  <c:v>121.577240785737</c:v>
                </c:pt>
                <c:pt idx="39">
                  <c:v>121.588894584422</c:v>
                </c:pt>
                <c:pt idx="40">
                  <c:v>121.515364827121</c:v>
                </c:pt>
                <c:pt idx="41">
                  <c:v>122.290384058746</c:v>
                </c:pt>
                <c:pt idx="42">
                  <c:v>123.507882299557</c:v>
                </c:pt>
                <c:pt idx="43">
                  <c:v>123.935496123467</c:v>
                </c:pt>
                <c:pt idx="44">
                  <c:v>124.291866012062</c:v>
                </c:pt>
                <c:pt idx="45">
                  <c:v>124.850839300152</c:v>
                </c:pt>
                <c:pt idx="46">
                  <c:v>126.165342103457</c:v>
                </c:pt>
                <c:pt idx="47">
                  <c:v>125.997269439602</c:v>
                </c:pt>
                <c:pt idx="48">
                  <c:v>126.226054575057</c:v>
                </c:pt>
                <c:pt idx="49">
                  <c:v>128.024622460977</c:v>
                </c:pt>
                <c:pt idx="50">
                  <c:v>128.709258877126</c:v>
                </c:pt>
                <c:pt idx="51">
                  <c:v>128.966831131504</c:v>
                </c:pt>
                <c:pt idx="52">
                  <c:v>129.947538929568</c:v>
                </c:pt>
                <c:pt idx="53">
                  <c:v>130.319035848755</c:v>
                </c:pt>
                <c:pt idx="54">
                  <c:v>129.842531985029</c:v>
                </c:pt>
                <c:pt idx="55">
                  <c:v>130.48419886521</c:v>
                </c:pt>
                <c:pt idx="56">
                  <c:v>131.423032039962</c:v>
                </c:pt>
                <c:pt idx="57">
                  <c:v>132.232491591912</c:v>
                </c:pt>
                <c:pt idx="58">
                  <c:v>133.120062906852</c:v>
                </c:pt>
                <c:pt idx="59">
                  <c:v>134.074591910056</c:v>
                </c:pt>
                <c:pt idx="60">
                  <c:v>134.265183010674</c:v>
                </c:pt>
                <c:pt idx="61">
                  <c:v>135.847409731119</c:v>
                </c:pt>
                <c:pt idx="62">
                  <c:v>135.884740513641</c:v>
                </c:pt>
                <c:pt idx="63">
                  <c:v>137.008368251684</c:v>
                </c:pt>
                <c:pt idx="64">
                  <c:v>137.97999332322</c:v>
                </c:pt>
                <c:pt idx="65">
                  <c:v>138.309630779907</c:v>
                </c:pt>
                <c:pt idx="66">
                  <c:v>139.373887413258</c:v>
                </c:pt>
                <c:pt idx="67">
                  <c:v>139.368520673717</c:v>
                </c:pt>
                <c:pt idx="68">
                  <c:v>139.954967453527</c:v>
                </c:pt>
                <c:pt idx="69">
                  <c:v>140.438566705093</c:v>
                </c:pt>
                <c:pt idx="70">
                  <c:v>141.102958115404</c:v>
                </c:pt>
                <c:pt idx="71">
                  <c:v>141.73652781182</c:v>
                </c:pt>
                <c:pt idx="72">
                  <c:v>142.820880109659</c:v>
                </c:pt>
                <c:pt idx="73">
                  <c:v>142.935806403803</c:v>
                </c:pt>
                <c:pt idx="74">
                  <c:v>144.852183774645</c:v>
                </c:pt>
                <c:pt idx="75">
                  <c:v>144.759306943708</c:v>
                </c:pt>
                <c:pt idx="76">
                  <c:v>146.468717316977</c:v>
                </c:pt>
                <c:pt idx="77">
                  <c:v>147.267812728137</c:v>
                </c:pt>
                <c:pt idx="78">
                  <c:v>148.3055781423</c:v>
                </c:pt>
                <c:pt idx="79">
                  <c:v>148.063230701227</c:v>
                </c:pt>
                <c:pt idx="80">
                  <c:v>148.466551119198</c:v>
                </c:pt>
                <c:pt idx="81">
                  <c:v>149.901917864973</c:v>
                </c:pt>
                <c:pt idx="82">
                  <c:v>150.452905716056</c:v>
                </c:pt>
                <c:pt idx="83">
                  <c:v>150.840443096942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Inflation!E203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Inflation!$E$204:$E$295</c:f>
              <c:numCache>
                <c:formatCode>#,##0.00;\(#,##0.00\);\-</c:formatCode>
                <c:ptCount val="92"/>
                <c:pt idx="84">
                  <c:v>151.867313229341</c:v>
                </c:pt>
                <c:pt idx="85">
                  <c:v>152.629919835548</c:v>
                </c:pt>
                <c:pt idx="86">
                  <c:v>153.396355895398</c:v>
                </c:pt>
                <c:pt idx="87">
                  <c:v>154.166640638616</c:v>
                </c:pt>
                <c:pt idx="88">
                  <c:v>154.940793391488</c:v>
                </c:pt>
                <c:pt idx="89">
                  <c:v>155.71883357735</c:v>
                </c:pt>
                <c:pt idx="90">
                  <c:v>156.500780717073</c:v>
                </c:pt>
                <c:pt idx="91">
                  <c:v>157.28665442955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Inflation!F203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Inflation!$A$204:$A$295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Inflation!$F$204:$F$295</c:f>
              <c:numCache>
                <c:formatCode>#,##0.00;\(#,##0.00\);\-</c:formatCode>
                <c:ptCount val="92"/>
                <c:pt idx="84">
                  <c:v>150.890554762285</c:v>
                </c:pt>
                <c:pt idx="85">
                  <c:v>151.406590008453</c:v>
                </c:pt>
                <c:pt idx="86">
                  <c:v>152.195686185414</c:v>
                </c:pt>
                <c:pt idx="87">
                  <c:v>152.3796245674</c:v>
                </c:pt>
                <c:pt idx="88">
                  <c:v>152.473702466477</c:v>
                </c:pt>
                <c:pt idx="89">
                  <c:v>152.910580327436</c:v>
                </c:pt>
                <c:pt idx="90">
                  <c:v>153.624476988448</c:v>
                </c:pt>
                <c:pt idx="91">
                  <c:v>153.736975830282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027427"/>
        <c:axId val="98422580"/>
      </c:lineChart>
      <c:catAx>
        <c:axId val="420274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422580"/>
        <c:crosses val="autoZero"/>
        <c:auto val="1"/>
        <c:lblAlgn val="ctr"/>
        <c:lblOffset val="100"/>
        <c:noMultiLvlLbl val="0"/>
      </c:catAx>
      <c:valAx>
        <c:axId val="984225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02742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Central Govt Balance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Fiscal!B7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Fiscal!$B$8:$B$99</c:f>
              <c:numCache>
                <c:formatCode>#,##0.00;\(#,##0.00\);\-</c:formatCode>
                <c:ptCount val="92"/>
                <c:pt idx="0">
                  <c:v>99.873514538005</c:v>
                </c:pt>
                <c:pt idx="1">
                  <c:v>100.505211604824</c:v>
                </c:pt>
                <c:pt idx="2">
                  <c:v>101.045123639676</c:v>
                </c:pt>
                <c:pt idx="3">
                  <c:v>100.94506721405</c:v>
                </c:pt>
                <c:pt idx="4">
                  <c:v>102.238295114045</c:v>
                </c:pt>
                <c:pt idx="5">
                  <c:v>102.512462838854</c:v>
                </c:pt>
                <c:pt idx="6">
                  <c:v>103.04782687599</c:v>
                </c:pt>
                <c:pt idx="7">
                  <c:v>103.823527460274</c:v>
                </c:pt>
                <c:pt idx="8">
                  <c:v>104.402333274605</c:v>
                </c:pt>
                <c:pt idx="9">
                  <c:v>105.111472100267</c:v>
                </c:pt>
                <c:pt idx="10">
                  <c:v>105.10858666208</c:v>
                </c:pt>
                <c:pt idx="11">
                  <c:v>104.985707276265</c:v>
                </c:pt>
                <c:pt idx="12">
                  <c:v>106.297361543388</c:v>
                </c:pt>
                <c:pt idx="13">
                  <c:v>106.866175237732</c:v>
                </c:pt>
                <c:pt idx="14">
                  <c:v>107.947048059554</c:v>
                </c:pt>
                <c:pt idx="15">
                  <c:v>107.601048256858</c:v>
                </c:pt>
                <c:pt idx="16">
                  <c:v>108.540684555435</c:v>
                </c:pt>
                <c:pt idx="17">
                  <c:v>108.771601335107</c:v>
                </c:pt>
                <c:pt idx="18">
                  <c:v>110.308659508372</c:v>
                </c:pt>
                <c:pt idx="19">
                  <c:v>110.457904019978</c:v>
                </c:pt>
                <c:pt idx="20">
                  <c:v>110.33144887542</c:v>
                </c:pt>
                <c:pt idx="21">
                  <c:v>109.755406851289</c:v>
                </c:pt>
                <c:pt idx="22">
                  <c:v>111.460799810226</c:v>
                </c:pt>
                <c:pt idx="23">
                  <c:v>112.811807785714</c:v>
                </c:pt>
                <c:pt idx="24">
                  <c:v>112.743450247432</c:v>
                </c:pt>
                <c:pt idx="25">
                  <c:v>112.835400817279</c:v>
                </c:pt>
                <c:pt idx="26">
                  <c:v>113.71875942084</c:v>
                </c:pt>
                <c:pt idx="27">
                  <c:v>114.025552028115</c:v>
                </c:pt>
                <c:pt idx="28">
                  <c:v>114.680974754603</c:v>
                </c:pt>
                <c:pt idx="29">
                  <c:v>115.002337570911</c:v>
                </c:pt>
                <c:pt idx="30">
                  <c:v>115.359651510316</c:v>
                </c:pt>
                <c:pt idx="31">
                  <c:v>117.158217147644</c:v>
                </c:pt>
                <c:pt idx="32">
                  <c:v>117.328841423474</c:v>
                </c:pt>
                <c:pt idx="33">
                  <c:v>117.617679712671</c:v>
                </c:pt>
                <c:pt idx="34">
                  <c:v>119.083416838175</c:v>
                </c:pt>
                <c:pt idx="35">
                  <c:v>119.58355504104</c:v>
                </c:pt>
                <c:pt idx="36">
                  <c:v>119.141252708067</c:v>
                </c:pt>
                <c:pt idx="37">
                  <c:v>120.260932065052</c:v>
                </c:pt>
                <c:pt idx="38">
                  <c:v>121.410691637768</c:v>
                </c:pt>
                <c:pt idx="39">
                  <c:v>121.9541751088</c:v>
                </c:pt>
                <c:pt idx="40">
                  <c:v>122.809827379074</c:v>
                </c:pt>
                <c:pt idx="41">
                  <c:v>122.930549687171</c:v>
                </c:pt>
                <c:pt idx="42">
                  <c:v>122.595406265652</c:v>
                </c:pt>
                <c:pt idx="43">
                  <c:v>123.737176201917</c:v>
                </c:pt>
                <c:pt idx="44">
                  <c:v>124.697135789516</c:v>
                </c:pt>
                <c:pt idx="45">
                  <c:v>125.531138100029</c:v>
                </c:pt>
                <c:pt idx="46">
                  <c:v>126.228962813617</c:v>
                </c:pt>
                <c:pt idx="47">
                  <c:v>126.530874134474</c:v>
                </c:pt>
                <c:pt idx="48">
                  <c:v>127.564528311965</c:v>
                </c:pt>
                <c:pt idx="49">
                  <c:v>127.406144899205</c:v>
                </c:pt>
                <c:pt idx="50">
                  <c:v>127.942971860662</c:v>
                </c:pt>
                <c:pt idx="51">
                  <c:v>128.794646633232</c:v>
                </c:pt>
                <c:pt idx="52">
                  <c:v>129.747030737333</c:v>
                </c:pt>
                <c:pt idx="53">
                  <c:v>131.17402133003</c:v>
                </c:pt>
                <c:pt idx="54">
                  <c:v>131.206207198506</c:v>
                </c:pt>
                <c:pt idx="55">
                  <c:v>132.209469210972</c:v>
                </c:pt>
                <c:pt idx="56">
                  <c:v>131.995188568335</c:v>
                </c:pt>
                <c:pt idx="57">
                  <c:v>132.564495433554</c:v>
                </c:pt>
                <c:pt idx="58">
                  <c:v>133.900790704699</c:v>
                </c:pt>
                <c:pt idx="59">
                  <c:v>134.043882287963</c:v>
                </c:pt>
                <c:pt idx="60">
                  <c:v>134.261809640594</c:v>
                </c:pt>
                <c:pt idx="61">
                  <c:v>135.727582716415</c:v>
                </c:pt>
                <c:pt idx="62">
                  <c:v>136.049383602477</c:v>
                </c:pt>
                <c:pt idx="63">
                  <c:v>137.819231964443</c:v>
                </c:pt>
                <c:pt idx="64">
                  <c:v>137.547478224016</c:v>
                </c:pt>
                <c:pt idx="65">
                  <c:v>138.543048543381</c:v>
                </c:pt>
                <c:pt idx="66">
                  <c:v>138.716437392895</c:v>
                </c:pt>
                <c:pt idx="67">
                  <c:v>140.063448085731</c:v>
                </c:pt>
                <c:pt idx="68">
                  <c:v>140.703401797503</c:v>
                </c:pt>
                <c:pt idx="69">
                  <c:v>141.289304222582</c:v>
                </c:pt>
                <c:pt idx="70">
                  <c:v>142.28755498193</c:v>
                </c:pt>
                <c:pt idx="71">
                  <c:v>142.631250777907</c:v>
                </c:pt>
                <c:pt idx="72">
                  <c:v>142.784318865825</c:v>
                </c:pt>
                <c:pt idx="73">
                  <c:v>144.615284267238</c:v>
                </c:pt>
                <c:pt idx="74">
                  <c:v>144.858077840921</c:v>
                </c:pt>
                <c:pt idx="75">
                  <c:v>145.695158512815</c:v>
                </c:pt>
                <c:pt idx="76">
                  <c:v>146.326533459247</c:v>
                </c:pt>
                <c:pt idx="77">
                  <c:v>147.606428045527</c:v>
                </c:pt>
                <c:pt idx="78">
                  <c:v>147.745768493752</c:v>
                </c:pt>
                <c:pt idx="79">
                  <c:v>148.244689777356</c:v>
                </c:pt>
                <c:pt idx="80">
                  <c:v>148.374253594417</c:v>
                </c:pt>
                <c:pt idx="81">
                  <c:v>149.779013894402</c:v>
                </c:pt>
                <c:pt idx="82">
                  <c:v>151.2968108925</c:v>
                </c:pt>
                <c:pt idx="83">
                  <c:v>150.990677317384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Fiscal!E7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Fiscal!$E$8:$E$99</c:f>
              <c:numCache>
                <c:formatCode>#,##0.00;\(#,##0.00\);\-</c:formatCode>
                <c:ptCount val="92"/>
                <c:pt idx="84">
                  <c:v>152.179688110659</c:v>
                </c:pt>
                <c:pt idx="85">
                  <c:v>152.939476020778</c:v>
                </c:pt>
                <c:pt idx="86">
                  <c:v>153.7030573259</c:v>
                </c:pt>
                <c:pt idx="87">
                  <c:v>154.470450965317</c:v>
                </c:pt>
                <c:pt idx="88">
                  <c:v>155.24167597288</c:v>
                </c:pt>
                <c:pt idx="89">
                  <c:v>156.016751477471</c:v>
                </c:pt>
                <c:pt idx="90">
                  <c:v>156.795696703475</c:v>
                </c:pt>
                <c:pt idx="91">
                  <c:v>157.578530971261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Fiscal!F7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Fiscal!$F$8:$F$99</c:f>
              <c:numCache>
                <c:formatCode>#,##0.00;\(#,##0.00\);\-</c:formatCode>
                <c:ptCount val="92"/>
                <c:pt idx="84">
                  <c:v>150.867996112147</c:v>
                </c:pt>
                <c:pt idx="85">
                  <c:v>151.737391956307</c:v>
                </c:pt>
                <c:pt idx="86">
                  <c:v>152.230558915745</c:v>
                </c:pt>
                <c:pt idx="87">
                  <c:v>152.701999423457</c:v>
                </c:pt>
                <c:pt idx="88">
                  <c:v>152.425765852033</c:v>
                </c:pt>
                <c:pt idx="89">
                  <c:v>153.217273209198</c:v>
                </c:pt>
                <c:pt idx="90">
                  <c:v>153.636446105992</c:v>
                </c:pt>
                <c:pt idx="91">
                  <c:v>154.037592254191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619466"/>
        <c:axId val="42348850"/>
      </c:lineChart>
      <c:catAx>
        <c:axId val="496194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348850"/>
        <c:crosses val="autoZero"/>
        <c:auto val="1"/>
        <c:lblAlgn val="ctr"/>
        <c:lblOffset val="100"/>
        <c:noMultiLvlLbl val="0"/>
      </c:catAx>
      <c:valAx>
        <c:axId val="423488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Mn CLP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6194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Tax Revenue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Fiscal!B105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Fiscal!$B$106:$B$197</c:f>
              <c:numCache>
                <c:formatCode>#,##0.00;\(#,##0.00\);\-</c:formatCode>
                <c:ptCount val="92"/>
                <c:pt idx="0">
                  <c:v>100.664975958698</c:v>
                </c:pt>
                <c:pt idx="1">
                  <c:v>100.856065504504</c:v>
                </c:pt>
                <c:pt idx="2">
                  <c:v>100.880953171184</c:v>
                </c:pt>
                <c:pt idx="3">
                  <c:v>101.646584256159</c:v>
                </c:pt>
                <c:pt idx="4">
                  <c:v>101.758016405927</c:v>
                </c:pt>
                <c:pt idx="5">
                  <c:v>103.957066289427</c:v>
                </c:pt>
                <c:pt idx="6">
                  <c:v>102.70499015361</c:v>
                </c:pt>
                <c:pt idx="7">
                  <c:v>102.838422934691</c:v>
                </c:pt>
                <c:pt idx="8">
                  <c:v>103.906079538435</c:v>
                </c:pt>
                <c:pt idx="9">
                  <c:v>104.617218964192</c:v>
                </c:pt>
                <c:pt idx="10">
                  <c:v>105.475307759365</c:v>
                </c:pt>
                <c:pt idx="11">
                  <c:v>105.788333963264</c:v>
                </c:pt>
                <c:pt idx="12">
                  <c:v>106.163197041734</c:v>
                </c:pt>
                <c:pt idx="13">
                  <c:v>106.826418298475</c:v>
                </c:pt>
                <c:pt idx="14">
                  <c:v>107.086558268546</c:v>
                </c:pt>
                <c:pt idx="15">
                  <c:v>107.663910237405</c:v>
                </c:pt>
                <c:pt idx="16">
                  <c:v>108.324232801462</c:v>
                </c:pt>
                <c:pt idx="17">
                  <c:v>109.500532670909</c:v>
                </c:pt>
                <c:pt idx="18">
                  <c:v>109.413711802579</c:v>
                </c:pt>
                <c:pt idx="19">
                  <c:v>109.459113523693</c:v>
                </c:pt>
                <c:pt idx="20">
                  <c:v>110.51871280829</c:v>
                </c:pt>
                <c:pt idx="21">
                  <c:v>110.646289727588</c:v>
                </c:pt>
                <c:pt idx="22">
                  <c:v>111.922099868194</c:v>
                </c:pt>
                <c:pt idx="23">
                  <c:v>112.756985686808</c:v>
                </c:pt>
                <c:pt idx="24">
                  <c:v>112.284339212634</c:v>
                </c:pt>
                <c:pt idx="25">
                  <c:v>113.332097978271</c:v>
                </c:pt>
                <c:pt idx="26">
                  <c:v>113.45358672821</c:v>
                </c:pt>
                <c:pt idx="27">
                  <c:v>114.714516360264</c:v>
                </c:pt>
                <c:pt idx="28">
                  <c:v>114.862675048967</c:v>
                </c:pt>
                <c:pt idx="29">
                  <c:v>114.929749992729</c:v>
                </c:pt>
                <c:pt idx="30">
                  <c:v>116.753537188547</c:v>
                </c:pt>
                <c:pt idx="31">
                  <c:v>116.149295719154</c:v>
                </c:pt>
                <c:pt idx="32">
                  <c:v>117.478340072142</c:v>
                </c:pt>
                <c:pt idx="33">
                  <c:v>118.248670454956</c:v>
                </c:pt>
                <c:pt idx="34">
                  <c:v>119.036205969559</c:v>
                </c:pt>
                <c:pt idx="35">
                  <c:v>118.262461265501</c:v>
                </c:pt>
                <c:pt idx="36">
                  <c:v>119.659681245226</c:v>
                </c:pt>
                <c:pt idx="37">
                  <c:v>121.032029442249</c:v>
                </c:pt>
                <c:pt idx="38">
                  <c:v>120.695665521979</c:v>
                </c:pt>
                <c:pt idx="39">
                  <c:v>121.524805025718</c:v>
                </c:pt>
                <c:pt idx="40">
                  <c:v>122.772400202938</c:v>
                </c:pt>
                <c:pt idx="41">
                  <c:v>122.111880126492</c:v>
                </c:pt>
                <c:pt idx="42">
                  <c:v>124.054057700806</c:v>
                </c:pt>
                <c:pt idx="43">
                  <c:v>123.997432849958</c:v>
                </c:pt>
                <c:pt idx="44">
                  <c:v>124.435787192841</c:v>
                </c:pt>
                <c:pt idx="45">
                  <c:v>125.822428784407</c:v>
                </c:pt>
                <c:pt idx="46">
                  <c:v>125.873395370792</c:v>
                </c:pt>
                <c:pt idx="47">
                  <c:v>126.782634841844</c:v>
                </c:pt>
                <c:pt idx="48">
                  <c:v>127.165580358256</c:v>
                </c:pt>
                <c:pt idx="49">
                  <c:v>127.709783367152</c:v>
                </c:pt>
                <c:pt idx="50">
                  <c:v>129.096199668633</c:v>
                </c:pt>
                <c:pt idx="51">
                  <c:v>128.644174826261</c:v>
                </c:pt>
                <c:pt idx="52">
                  <c:v>130.004322376569</c:v>
                </c:pt>
                <c:pt idx="53">
                  <c:v>130.125683376912</c:v>
                </c:pt>
                <c:pt idx="54">
                  <c:v>130.280055783159</c:v>
                </c:pt>
                <c:pt idx="55">
                  <c:v>131.562477739758</c:v>
                </c:pt>
                <c:pt idx="56">
                  <c:v>131.520880003216</c:v>
                </c:pt>
                <c:pt idx="57">
                  <c:v>132.927088046165</c:v>
                </c:pt>
                <c:pt idx="58">
                  <c:v>133.68386937489</c:v>
                </c:pt>
                <c:pt idx="59">
                  <c:v>133.955386306841</c:v>
                </c:pt>
                <c:pt idx="60">
                  <c:v>135.025347398406</c:v>
                </c:pt>
                <c:pt idx="61">
                  <c:v>135.643176572513</c:v>
                </c:pt>
                <c:pt idx="62">
                  <c:v>136.05228999594</c:v>
                </c:pt>
                <c:pt idx="63">
                  <c:v>136.504447968742</c:v>
                </c:pt>
                <c:pt idx="64">
                  <c:v>137.531875189491</c:v>
                </c:pt>
                <c:pt idx="65">
                  <c:v>137.503007375584</c:v>
                </c:pt>
                <c:pt idx="66">
                  <c:v>139.063950137072</c:v>
                </c:pt>
                <c:pt idx="67">
                  <c:v>140.029195832892</c:v>
                </c:pt>
                <c:pt idx="68">
                  <c:v>139.984152007853</c:v>
                </c:pt>
                <c:pt idx="69">
                  <c:v>141.443028437148</c:v>
                </c:pt>
                <c:pt idx="70">
                  <c:v>141.1612236729</c:v>
                </c:pt>
                <c:pt idx="71">
                  <c:v>142.135691949684</c:v>
                </c:pt>
                <c:pt idx="72">
                  <c:v>143.577415288449</c:v>
                </c:pt>
                <c:pt idx="73">
                  <c:v>143.057433389101</c:v>
                </c:pt>
                <c:pt idx="74">
                  <c:v>145.528472980986</c:v>
                </c:pt>
                <c:pt idx="75">
                  <c:v>145.156311108042</c:v>
                </c:pt>
                <c:pt idx="76">
                  <c:v>145.831138254046</c:v>
                </c:pt>
                <c:pt idx="77">
                  <c:v>147.32569132686</c:v>
                </c:pt>
                <c:pt idx="78">
                  <c:v>147.922119372808</c:v>
                </c:pt>
                <c:pt idx="79">
                  <c:v>148.18989478004</c:v>
                </c:pt>
                <c:pt idx="80">
                  <c:v>149.039280282361</c:v>
                </c:pt>
                <c:pt idx="81">
                  <c:v>150.679641496581</c:v>
                </c:pt>
                <c:pt idx="82">
                  <c:v>151.275834757409</c:v>
                </c:pt>
                <c:pt idx="83">
                  <c:v>151.477299197719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Fiscal!E105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Fiscal!$E$106:$E$197</c:f>
              <c:numCache>
                <c:formatCode>#,##0.00;\(#,##0.00\);\-</c:formatCode>
                <c:ptCount val="92"/>
                <c:pt idx="84">
                  <c:v>152.122076298958</c:v>
                </c:pt>
                <c:pt idx="85">
                  <c:v>152.885356764113</c:v>
                </c:pt>
                <c:pt idx="86">
                  <c:v>153.652467028878</c:v>
                </c:pt>
                <c:pt idx="87">
                  <c:v>154.423426309473</c:v>
                </c:pt>
                <c:pt idx="88">
                  <c:v>155.198253918535</c:v>
                </c:pt>
                <c:pt idx="89">
                  <c:v>155.976969265605</c:v>
                </c:pt>
                <c:pt idx="90">
                  <c:v>156.759591857611</c:v>
                </c:pt>
                <c:pt idx="91">
                  <c:v>157.54614129936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Fiscal!F105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Fiscal!$F$106:$F$197</c:f>
              <c:numCache>
                <c:formatCode>#,##0.00;\(#,##0.00\);\-</c:formatCode>
                <c:ptCount val="92"/>
                <c:pt idx="84">
                  <c:v>151.499924537372</c:v>
                </c:pt>
                <c:pt idx="85">
                  <c:v>152.261165713795</c:v>
                </c:pt>
                <c:pt idx="86">
                  <c:v>152.799423037259</c:v>
                </c:pt>
                <c:pt idx="87">
                  <c:v>153.258328985147</c:v>
                </c:pt>
                <c:pt idx="88">
                  <c:v>153.20996448134</c:v>
                </c:pt>
                <c:pt idx="89">
                  <c:v>153.885703660565</c:v>
                </c:pt>
                <c:pt idx="90">
                  <c:v>154.34273408669</c:v>
                </c:pt>
                <c:pt idx="91">
                  <c:v>154.724474482106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448596"/>
        <c:axId val="22846520"/>
      </c:lineChart>
      <c:catAx>
        <c:axId val="684485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846520"/>
        <c:crosses val="autoZero"/>
        <c:auto val="1"/>
        <c:lblAlgn val="ctr"/>
        <c:lblOffset val="100"/>
        <c:noMultiLvlLbl val="0"/>
      </c:catAx>
      <c:valAx>
        <c:axId val="228465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Mn CLP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44859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Gross Public Debt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Fiscal!B203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Fiscal!$B$204:$B$295</c:f>
              <c:numCache>
                <c:formatCode>#,##0.00;\(#,##0.00\);\-</c:formatCode>
                <c:ptCount val="92"/>
                <c:pt idx="0">
                  <c:v>100.36525455519</c:v>
                </c:pt>
                <c:pt idx="1">
                  <c:v>100.808500089731</c:v>
                </c:pt>
                <c:pt idx="2">
                  <c:v>101.031226089628</c:v>
                </c:pt>
                <c:pt idx="3">
                  <c:v>101.551525511566</c:v>
                </c:pt>
                <c:pt idx="4">
                  <c:v>101.950011240918</c:v>
                </c:pt>
                <c:pt idx="5">
                  <c:v>102.175878513164</c:v>
                </c:pt>
                <c:pt idx="6">
                  <c:v>102.609989924144</c:v>
                </c:pt>
                <c:pt idx="7">
                  <c:v>104.206450834331</c:v>
                </c:pt>
                <c:pt idx="8">
                  <c:v>104.526442451122</c:v>
                </c:pt>
                <c:pt idx="9">
                  <c:v>104.481994814557</c:v>
                </c:pt>
                <c:pt idx="10">
                  <c:v>104.16859573608</c:v>
                </c:pt>
                <c:pt idx="11">
                  <c:v>106.121527757563</c:v>
                </c:pt>
                <c:pt idx="12">
                  <c:v>106.10510826261</c:v>
                </c:pt>
                <c:pt idx="13">
                  <c:v>106.705876563654</c:v>
                </c:pt>
                <c:pt idx="14">
                  <c:v>107.697817798863</c:v>
                </c:pt>
                <c:pt idx="15">
                  <c:v>107.7830566725</c:v>
                </c:pt>
                <c:pt idx="16">
                  <c:v>107.917179250035</c:v>
                </c:pt>
                <c:pt idx="17">
                  <c:v>109.386471141746</c:v>
                </c:pt>
                <c:pt idx="18">
                  <c:v>109.118233922672</c:v>
                </c:pt>
                <c:pt idx="19">
                  <c:v>110.246141724158</c:v>
                </c:pt>
                <c:pt idx="20">
                  <c:v>110.808836548138</c:v>
                </c:pt>
                <c:pt idx="21">
                  <c:v>111.13066743331</c:v>
                </c:pt>
                <c:pt idx="22">
                  <c:v>111.056119370664</c:v>
                </c:pt>
                <c:pt idx="23">
                  <c:v>113.084333219979</c:v>
                </c:pt>
                <c:pt idx="24">
                  <c:v>113.069689740442</c:v>
                </c:pt>
                <c:pt idx="25">
                  <c:v>112.783159272237</c:v>
                </c:pt>
                <c:pt idx="26">
                  <c:v>114.227022920482</c:v>
                </c:pt>
                <c:pt idx="27">
                  <c:v>114.189859982065</c:v>
                </c:pt>
                <c:pt idx="28">
                  <c:v>114.139834046758</c:v>
                </c:pt>
                <c:pt idx="29">
                  <c:v>115.50907227935</c:v>
                </c:pt>
                <c:pt idx="30">
                  <c:v>116.081414366912</c:v>
                </c:pt>
                <c:pt idx="31">
                  <c:v>117.283793836661</c:v>
                </c:pt>
                <c:pt idx="32">
                  <c:v>117.545970756097</c:v>
                </c:pt>
                <c:pt idx="33">
                  <c:v>118.307888788704</c:v>
                </c:pt>
                <c:pt idx="34">
                  <c:v>117.686714564238</c:v>
                </c:pt>
                <c:pt idx="35">
                  <c:v>119.170268128797</c:v>
                </c:pt>
                <c:pt idx="36">
                  <c:v>120.319648491834</c:v>
                </c:pt>
                <c:pt idx="37">
                  <c:v>119.466219818908</c:v>
                </c:pt>
                <c:pt idx="38">
                  <c:v>121.081891531618</c:v>
                </c:pt>
                <c:pt idx="39">
                  <c:v>121.087158375202</c:v>
                </c:pt>
                <c:pt idx="40">
                  <c:v>122.494767391248</c:v>
                </c:pt>
                <c:pt idx="41">
                  <c:v>123.484199072844</c:v>
                </c:pt>
                <c:pt idx="42">
                  <c:v>123.80526222399</c:v>
                </c:pt>
                <c:pt idx="43">
                  <c:v>124.032053232118</c:v>
                </c:pt>
                <c:pt idx="44">
                  <c:v>125.425687090152</c:v>
                </c:pt>
                <c:pt idx="45">
                  <c:v>125.410345546089</c:v>
                </c:pt>
                <c:pt idx="46">
                  <c:v>125.116027186194</c:v>
                </c:pt>
                <c:pt idx="47">
                  <c:v>127.390310877242</c:v>
                </c:pt>
                <c:pt idx="48">
                  <c:v>127.249252277771</c:v>
                </c:pt>
                <c:pt idx="49">
                  <c:v>128.23396506336</c:v>
                </c:pt>
                <c:pt idx="50">
                  <c:v>128.085158925476</c:v>
                </c:pt>
                <c:pt idx="51">
                  <c:v>128.617499412535</c:v>
                </c:pt>
                <c:pt idx="52">
                  <c:v>130.150774587661</c:v>
                </c:pt>
                <c:pt idx="53">
                  <c:v>130.357424307739</c:v>
                </c:pt>
                <c:pt idx="54">
                  <c:v>131.473934469929</c:v>
                </c:pt>
                <c:pt idx="55">
                  <c:v>132.374477141835</c:v>
                </c:pt>
                <c:pt idx="56">
                  <c:v>132.22987191512</c:v>
                </c:pt>
                <c:pt idx="57">
                  <c:v>133.26758055163</c:v>
                </c:pt>
                <c:pt idx="58">
                  <c:v>133.780575216333</c:v>
                </c:pt>
                <c:pt idx="59">
                  <c:v>133.974508030483</c:v>
                </c:pt>
                <c:pt idx="60">
                  <c:v>135.783369299866</c:v>
                </c:pt>
                <c:pt idx="61">
                  <c:v>135.500990366418</c:v>
                </c:pt>
                <c:pt idx="62">
                  <c:v>135.784970035786</c:v>
                </c:pt>
                <c:pt idx="63">
                  <c:v>137.339861391812</c:v>
                </c:pt>
                <c:pt idx="64">
                  <c:v>137.655585270993</c:v>
                </c:pt>
                <c:pt idx="65">
                  <c:v>138.485737634305</c:v>
                </c:pt>
                <c:pt idx="66">
                  <c:v>139.31782888519</c:v>
                </c:pt>
                <c:pt idx="67">
                  <c:v>139.35809892142</c:v>
                </c:pt>
                <c:pt idx="68">
                  <c:v>141.078674189925</c:v>
                </c:pt>
                <c:pt idx="69">
                  <c:v>140.321955406924</c:v>
                </c:pt>
                <c:pt idx="70">
                  <c:v>142.251446467071</c:v>
                </c:pt>
                <c:pt idx="71">
                  <c:v>141.941305906116</c:v>
                </c:pt>
                <c:pt idx="72">
                  <c:v>142.991982266889</c:v>
                </c:pt>
                <c:pt idx="73">
                  <c:v>143.951908250638</c:v>
                </c:pt>
                <c:pt idx="74">
                  <c:v>145.07200928136</c:v>
                </c:pt>
                <c:pt idx="75">
                  <c:v>144.986780338603</c:v>
                </c:pt>
                <c:pt idx="76">
                  <c:v>146.282533308711</c:v>
                </c:pt>
                <c:pt idx="77">
                  <c:v>146.820170002089</c:v>
                </c:pt>
                <c:pt idx="78">
                  <c:v>146.893244311713</c:v>
                </c:pt>
                <c:pt idx="79">
                  <c:v>147.923514003735</c:v>
                </c:pt>
                <c:pt idx="80">
                  <c:v>148.739104995562</c:v>
                </c:pt>
                <c:pt idx="81">
                  <c:v>149.524540232301</c:v>
                </c:pt>
                <c:pt idx="82">
                  <c:v>150.091897749657</c:v>
                </c:pt>
                <c:pt idx="83">
                  <c:v>151.317371244079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Fiscal!E203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Fiscal!$E$204:$E$295</c:f>
              <c:numCache>
                <c:formatCode>#,##0.00;\(#,##0.00\);\-</c:formatCode>
                <c:ptCount val="92"/>
                <c:pt idx="84">
                  <c:v>151.754300871105</c:v>
                </c:pt>
                <c:pt idx="85">
                  <c:v>152.494563122079</c:v>
                </c:pt>
                <c:pt idx="86">
                  <c:v>153.238436395587</c:v>
                </c:pt>
                <c:pt idx="87">
                  <c:v>153.985938306311</c:v>
                </c:pt>
                <c:pt idx="88">
                  <c:v>154.737086554859</c:v>
                </c:pt>
                <c:pt idx="89">
                  <c:v>155.49189892818</c:v>
                </c:pt>
                <c:pt idx="90">
                  <c:v>156.25039329999</c:v>
                </c:pt>
                <c:pt idx="91">
                  <c:v>157.012587631193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Fiscal!F203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Fiscal!$A$204:$A$295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Fiscal!$F$204:$F$295</c:f>
              <c:numCache>
                <c:formatCode>#,##0.00;\(#,##0.00\);\-</c:formatCode>
                <c:ptCount val="92"/>
                <c:pt idx="84">
                  <c:v>151.273522529107</c:v>
                </c:pt>
                <c:pt idx="85">
                  <c:v>151.469274190001</c:v>
                </c:pt>
                <c:pt idx="86">
                  <c:v>151.73924722747</c:v>
                </c:pt>
                <c:pt idx="87">
                  <c:v>152.656710139384</c:v>
                </c:pt>
                <c:pt idx="88">
                  <c:v>152.8879788613</c:v>
                </c:pt>
                <c:pt idx="89">
                  <c:v>153.003007705585</c:v>
                </c:pt>
                <c:pt idx="90">
                  <c:v>153.196294067275</c:v>
                </c:pt>
                <c:pt idx="91">
                  <c:v>154.040904637199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319206"/>
        <c:axId val="91438821"/>
      </c:lineChart>
      <c:catAx>
        <c:axId val="393192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438821"/>
        <c:crosses val="autoZero"/>
        <c:auto val="1"/>
        <c:lblAlgn val="ctr"/>
        <c:lblOffset val="100"/>
        <c:noMultiLvlLbl val="0"/>
      </c:catAx>
      <c:valAx>
        <c:axId val="914388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 of GDP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3192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Current Account Balance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BoP!B7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BoP!$B$8:$B$99</c:f>
              <c:numCache>
                <c:formatCode>#,##0.00;\(#,##0.00\);\-</c:formatCode>
                <c:ptCount val="92"/>
                <c:pt idx="0">
                  <c:v>100.019350442205</c:v>
                </c:pt>
                <c:pt idx="1">
                  <c:v>99.939440363457</c:v>
                </c:pt>
                <c:pt idx="2">
                  <c:v>100.979519295998</c:v>
                </c:pt>
                <c:pt idx="3">
                  <c:v>101.203786063945</c:v>
                </c:pt>
                <c:pt idx="4">
                  <c:v>101.958718002794</c:v>
                </c:pt>
                <c:pt idx="5">
                  <c:v>102.811031052861</c:v>
                </c:pt>
                <c:pt idx="6">
                  <c:v>103.066794114861</c:v>
                </c:pt>
                <c:pt idx="7">
                  <c:v>102.756823898927</c:v>
                </c:pt>
                <c:pt idx="8">
                  <c:v>104.962695590934</c:v>
                </c:pt>
                <c:pt idx="9">
                  <c:v>103.206353187194</c:v>
                </c:pt>
                <c:pt idx="10">
                  <c:v>105.68993145919</c:v>
                </c:pt>
                <c:pt idx="11">
                  <c:v>106.125272165145</c:v>
                </c:pt>
                <c:pt idx="12">
                  <c:v>106.986801296243</c:v>
                </c:pt>
                <c:pt idx="13">
                  <c:v>107.105924413075</c:v>
                </c:pt>
                <c:pt idx="14">
                  <c:v>106.935825545918</c:v>
                </c:pt>
                <c:pt idx="15">
                  <c:v>107.118822124972</c:v>
                </c:pt>
                <c:pt idx="16">
                  <c:v>108.70742360169</c:v>
                </c:pt>
                <c:pt idx="17">
                  <c:v>109.051511598595</c:v>
                </c:pt>
                <c:pt idx="18">
                  <c:v>108.201865741472</c:v>
                </c:pt>
                <c:pt idx="19">
                  <c:v>109.420406229858</c:v>
                </c:pt>
                <c:pt idx="20">
                  <c:v>111.480795463448</c:v>
                </c:pt>
                <c:pt idx="21">
                  <c:v>111.204231974723</c:v>
                </c:pt>
                <c:pt idx="22">
                  <c:v>112.453381915568</c:v>
                </c:pt>
                <c:pt idx="23">
                  <c:v>112.773660465147</c:v>
                </c:pt>
                <c:pt idx="24">
                  <c:v>112.29864359656</c:v>
                </c:pt>
                <c:pt idx="25">
                  <c:v>113.384588770984</c:v>
                </c:pt>
                <c:pt idx="26">
                  <c:v>113.923478942737</c:v>
                </c:pt>
                <c:pt idx="27">
                  <c:v>113.377873581532</c:v>
                </c:pt>
                <c:pt idx="28">
                  <c:v>115.477879823065</c:v>
                </c:pt>
                <c:pt idx="29">
                  <c:v>116.796339554799</c:v>
                </c:pt>
                <c:pt idx="30">
                  <c:v>116.513548175799</c:v>
                </c:pt>
                <c:pt idx="31">
                  <c:v>116.906785282821</c:v>
                </c:pt>
                <c:pt idx="32">
                  <c:v>116.71890051563</c:v>
                </c:pt>
                <c:pt idx="33">
                  <c:v>117.662895317308</c:v>
                </c:pt>
                <c:pt idx="34">
                  <c:v>118.39685985612</c:v>
                </c:pt>
                <c:pt idx="35">
                  <c:v>118.445718917173</c:v>
                </c:pt>
                <c:pt idx="36">
                  <c:v>120.308010911307</c:v>
                </c:pt>
                <c:pt idx="37">
                  <c:v>120.868802101989</c:v>
                </c:pt>
                <c:pt idx="38">
                  <c:v>120.273235990546</c:v>
                </c:pt>
                <c:pt idx="39">
                  <c:v>121.570613360532</c:v>
                </c:pt>
                <c:pt idx="40">
                  <c:v>121.669015744318</c:v>
                </c:pt>
                <c:pt idx="41">
                  <c:v>122.935624872949</c:v>
                </c:pt>
                <c:pt idx="42">
                  <c:v>123.209626139027</c:v>
                </c:pt>
                <c:pt idx="43">
                  <c:v>123.841233264712</c:v>
                </c:pt>
                <c:pt idx="44">
                  <c:v>123.787788175864</c:v>
                </c:pt>
                <c:pt idx="45">
                  <c:v>124.755803504854</c:v>
                </c:pt>
                <c:pt idx="46">
                  <c:v>125.978191468107</c:v>
                </c:pt>
                <c:pt idx="47">
                  <c:v>126.862069343498</c:v>
                </c:pt>
                <c:pt idx="48">
                  <c:v>126.184735462833</c:v>
                </c:pt>
                <c:pt idx="49">
                  <c:v>127.39683038591</c:v>
                </c:pt>
                <c:pt idx="50">
                  <c:v>128.104852980876</c:v>
                </c:pt>
                <c:pt idx="51">
                  <c:v>128.860536450328</c:v>
                </c:pt>
                <c:pt idx="52">
                  <c:v>129.79569336158</c:v>
                </c:pt>
                <c:pt idx="53">
                  <c:v>129.94445146639</c:v>
                </c:pt>
                <c:pt idx="54">
                  <c:v>130.820965552273</c:v>
                </c:pt>
                <c:pt idx="55">
                  <c:v>131.474486106297</c:v>
                </c:pt>
                <c:pt idx="56">
                  <c:v>132.067633266057</c:v>
                </c:pt>
                <c:pt idx="57">
                  <c:v>132.7520020546</c:v>
                </c:pt>
                <c:pt idx="58">
                  <c:v>133.44274803528</c:v>
                </c:pt>
                <c:pt idx="59">
                  <c:v>134.275440077799</c:v>
                </c:pt>
                <c:pt idx="60">
                  <c:v>134.604155079894</c:v>
                </c:pt>
                <c:pt idx="61">
                  <c:v>135.269663017894</c:v>
                </c:pt>
                <c:pt idx="62">
                  <c:v>136.892567405151</c:v>
                </c:pt>
                <c:pt idx="63">
                  <c:v>137.020684298338</c:v>
                </c:pt>
                <c:pt idx="64">
                  <c:v>138.208491767598</c:v>
                </c:pt>
                <c:pt idx="65">
                  <c:v>138.04548300557</c:v>
                </c:pt>
                <c:pt idx="66">
                  <c:v>139.73832895709</c:v>
                </c:pt>
                <c:pt idx="67">
                  <c:v>138.757312239626</c:v>
                </c:pt>
                <c:pt idx="68">
                  <c:v>139.725967368151</c:v>
                </c:pt>
                <c:pt idx="69">
                  <c:v>140.804754660227</c:v>
                </c:pt>
                <c:pt idx="70">
                  <c:v>142.072832135038</c:v>
                </c:pt>
                <c:pt idx="71">
                  <c:v>141.516451804746</c:v>
                </c:pt>
                <c:pt idx="72">
                  <c:v>143.668835329035</c:v>
                </c:pt>
                <c:pt idx="73">
                  <c:v>143.529677808545</c:v>
                </c:pt>
                <c:pt idx="74">
                  <c:v>144.887152384267</c:v>
                </c:pt>
                <c:pt idx="75">
                  <c:v>145.340748244525</c:v>
                </c:pt>
                <c:pt idx="76">
                  <c:v>145.817876365214</c:v>
                </c:pt>
                <c:pt idx="77">
                  <c:v>146.793227985023</c:v>
                </c:pt>
                <c:pt idx="78">
                  <c:v>147.682855146416</c:v>
                </c:pt>
                <c:pt idx="79">
                  <c:v>149.168293885183</c:v>
                </c:pt>
                <c:pt idx="80">
                  <c:v>149.532701043759</c:v>
                </c:pt>
                <c:pt idx="81">
                  <c:v>150.867111315567</c:v>
                </c:pt>
                <c:pt idx="82">
                  <c:v>150.378480487884</c:v>
                </c:pt>
                <c:pt idx="83">
                  <c:v>151.392616988374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BoP!E7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BoP!$E$8:$E$99</c:f>
              <c:numCache>
                <c:formatCode>#,##0.00;\(#,##0.00\);\-</c:formatCode>
                <c:ptCount val="92"/>
                <c:pt idx="84">
                  <c:v>152.284564791457</c:v>
                </c:pt>
                <c:pt idx="85">
                  <c:v>153.060406892589</c:v>
                </c:pt>
                <c:pt idx="86">
                  <c:v>153.840201665921</c:v>
                </c:pt>
                <c:pt idx="87">
                  <c:v>154.62396924908</c:v>
                </c:pt>
                <c:pt idx="88">
                  <c:v>155.411729882285</c:v>
                </c:pt>
                <c:pt idx="89">
                  <c:v>156.203503908874</c:v>
                </c:pt>
                <c:pt idx="90">
                  <c:v>156.999311775829</c:v>
                </c:pt>
                <c:pt idx="91">
                  <c:v>157.799174034299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BoP!F7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BoP!$F$8:$F$99</c:f>
              <c:numCache>
                <c:formatCode>#,##0.00;\(#,##0.00\);\-</c:formatCode>
                <c:ptCount val="92"/>
                <c:pt idx="84">
                  <c:v>151.282909702967</c:v>
                </c:pt>
                <c:pt idx="85">
                  <c:v>151.702664446587</c:v>
                </c:pt>
                <c:pt idx="86">
                  <c:v>152.497032107764</c:v>
                </c:pt>
                <c:pt idx="87">
                  <c:v>153.127720454933</c:v>
                </c:pt>
                <c:pt idx="88">
                  <c:v>152.902823986223</c:v>
                </c:pt>
                <c:pt idx="89">
                  <c:v>153.24158301568</c:v>
                </c:pt>
                <c:pt idx="90">
                  <c:v>153.959004748403</c:v>
                </c:pt>
                <c:pt idx="91">
                  <c:v>154.516594463539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094379"/>
        <c:axId val="33461589"/>
      </c:lineChart>
      <c:catAx>
        <c:axId val="120943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461589"/>
        <c:crosses val="autoZero"/>
        <c:auto val="1"/>
        <c:lblAlgn val="ctr"/>
        <c:lblOffset val="100"/>
        <c:noMultiLvlLbl val="0"/>
      </c:catAx>
      <c:valAx>
        <c:axId val="334615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 Mn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09437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Trade Balance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BoP!B105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BoP!$B$106:$B$197</c:f>
              <c:numCache>
                <c:formatCode>#,##0.00;\(#,##0.00\);\-</c:formatCode>
                <c:ptCount val="92"/>
                <c:pt idx="0">
                  <c:v>100.118052881478</c:v>
                </c:pt>
                <c:pt idx="1">
                  <c:v>101.123807075126</c:v>
                </c:pt>
                <c:pt idx="2">
                  <c:v>100.608846163367</c:v>
                </c:pt>
                <c:pt idx="3">
                  <c:v>101.165101686466</c:v>
                </c:pt>
                <c:pt idx="4">
                  <c:v>102.476882160083</c:v>
                </c:pt>
                <c:pt idx="5">
                  <c:v>102.708233154416</c:v>
                </c:pt>
                <c:pt idx="6">
                  <c:v>103.51584281333</c:v>
                </c:pt>
                <c:pt idx="7">
                  <c:v>103.876811735678</c:v>
                </c:pt>
                <c:pt idx="8">
                  <c:v>104.043331092109</c:v>
                </c:pt>
                <c:pt idx="9">
                  <c:v>105.503942463833</c:v>
                </c:pt>
                <c:pt idx="10">
                  <c:v>104.947845626693</c:v>
                </c:pt>
                <c:pt idx="11">
                  <c:v>105.248761938068</c:v>
                </c:pt>
                <c:pt idx="12">
                  <c:v>107.003028108405</c:v>
                </c:pt>
                <c:pt idx="13">
                  <c:v>106.740107148656</c:v>
                </c:pt>
                <c:pt idx="14">
                  <c:v>107.057147434781</c:v>
                </c:pt>
                <c:pt idx="15">
                  <c:v>107.592466814129</c:v>
                </c:pt>
                <c:pt idx="16">
                  <c:v>109.598066755772</c:v>
                </c:pt>
                <c:pt idx="17">
                  <c:v>109.296524891136</c:v>
                </c:pt>
                <c:pt idx="18">
                  <c:v>109.825859524261</c:v>
                </c:pt>
                <c:pt idx="19">
                  <c:v>109.904840800297</c:v>
                </c:pt>
                <c:pt idx="20">
                  <c:v>110.166349309133</c:v>
                </c:pt>
                <c:pt idx="21">
                  <c:v>110.858645964984</c:v>
                </c:pt>
                <c:pt idx="22">
                  <c:v>111.606323288494</c:v>
                </c:pt>
                <c:pt idx="23">
                  <c:v>112.302937498709</c:v>
                </c:pt>
                <c:pt idx="24">
                  <c:v>112.551378401176</c:v>
                </c:pt>
                <c:pt idx="25">
                  <c:v>112.842376505101</c:v>
                </c:pt>
                <c:pt idx="26">
                  <c:v>112.558321827838</c:v>
                </c:pt>
                <c:pt idx="27">
                  <c:v>113.660667994514</c:v>
                </c:pt>
                <c:pt idx="28">
                  <c:v>114.318338252085</c:v>
                </c:pt>
                <c:pt idx="29">
                  <c:v>116.114959277946</c:v>
                </c:pt>
                <c:pt idx="30">
                  <c:v>116.629372606061</c:v>
                </c:pt>
                <c:pt idx="31">
                  <c:v>117.490233061922</c:v>
                </c:pt>
                <c:pt idx="32">
                  <c:v>116.643859191886</c:v>
                </c:pt>
                <c:pt idx="33">
                  <c:v>117.53319952773</c:v>
                </c:pt>
                <c:pt idx="34">
                  <c:v>118.472774496717</c:v>
                </c:pt>
                <c:pt idx="35">
                  <c:v>118.918697296103</c:v>
                </c:pt>
                <c:pt idx="36">
                  <c:v>119.755948791549</c:v>
                </c:pt>
                <c:pt idx="37">
                  <c:v>120.299880600458</c:v>
                </c:pt>
                <c:pt idx="38">
                  <c:v>120.262076832779</c:v>
                </c:pt>
                <c:pt idx="39">
                  <c:v>121.345309299563</c:v>
                </c:pt>
                <c:pt idx="40">
                  <c:v>122.631169713071</c:v>
                </c:pt>
                <c:pt idx="41">
                  <c:v>122.350546630417</c:v>
                </c:pt>
                <c:pt idx="42">
                  <c:v>123.369896595534</c:v>
                </c:pt>
                <c:pt idx="43">
                  <c:v>123.775116894384</c:v>
                </c:pt>
                <c:pt idx="44">
                  <c:v>124.629354277408</c:v>
                </c:pt>
                <c:pt idx="45">
                  <c:v>124.940042718069</c:v>
                </c:pt>
                <c:pt idx="46">
                  <c:v>125.472238291235</c:v>
                </c:pt>
                <c:pt idx="47">
                  <c:v>126.47705310041</c:v>
                </c:pt>
                <c:pt idx="48">
                  <c:v>127.046927646778</c:v>
                </c:pt>
                <c:pt idx="49">
                  <c:v>126.988045705237</c:v>
                </c:pt>
                <c:pt idx="50">
                  <c:v>127.860184485789</c:v>
                </c:pt>
                <c:pt idx="51">
                  <c:v>129.240370344907</c:v>
                </c:pt>
                <c:pt idx="52">
                  <c:v>129.076587043919</c:v>
                </c:pt>
                <c:pt idx="53">
                  <c:v>130.828085603978</c:v>
                </c:pt>
                <c:pt idx="54">
                  <c:v>130.715866953843</c:v>
                </c:pt>
                <c:pt idx="55">
                  <c:v>131.125590907874</c:v>
                </c:pt>
                <c:pt idx="56">
                  <c:v>131.967263243195</c:v>
                </c:pt>
                <c:pt idx="57">
                  <c:v>132.798907225319</c:v>
                </c:pt>
                <c:pt idx="58">
                  <c:v>133.147224485016</c:v>
                </c:pt>
                <c:pt idx="59">
                  <c:v>134.295262198242</c:v>
                </c:pt>
                <c:pt idx="60">
                  <c:v>135.232086735252</c:v>
                </c:pt>
                <c:pt idx="61">
                  <c:v>135.623702981384</c:v>
                </c:pt>
                <c:pt idx="62">
                  <c:v>135.761060086173</c:v>
                </c:pt>
                <c:pt idx="63">
                  <c:v>136.402550759886</c:v>
                </c:pt>
                <c:pt idx="64">
                  <c:v>137.689276316908</c:v>
                </c:pt>
                <c:pt idx="65">
                  <c:v>137.3633160356</c:v>
                </c:pt>
                <c:pt idx="66">
                  <c:v>139.532166224685</c:v>
                </c:pt>
                <c:pt idx="67">
                  <c:v>139.56909929798</c:v>
                </c:pt>
                <c:pt idx="68">
                  <c:v>140.342080506209</c:v>
                </c:pt>
                <c:pt idx="69">
                  <c:v>141.375305053297</c:v>
                </c:pt>
                <c:pt idx="70">
                  <c:v>142.457488248338</c:v>
                </c:pt>
                <c:pt idx="71">
                  <c:v>142.728727093916</c:v>
                </c:pt>
                <c:pt idx="72">
                  <c:v>142.986736528899</c:v>
                </c:pt>
                <c:pt idx="73">
                  <c:v>144.088886782902</c:v>
                </c:pt>
                <c:pt idx="74">
                  <c:v>144.501620995695</c:v>
                </c:pt>
                <c:pt idx="75">
                  <c:v>145.283398340079</c:v>
                </c:pt>
                <c:pt idx="76">
                  <c:v>145.863374480853</c:v>
                </c:pt>
                <c:pt idx="77">
                  <c:v>146.037732030107</c:v>
                </c:pt>
                <c:pt idx="78">
                  <c:v>147.669411710419</c:v>
                </c:pt>
                <c:pt idx="79">
                  <c:v>148.019086080421</c:v>
                </c:pt>
                <c:pt idx="80">
                  <c:v>148.5944933103</c:v>
                </c:pt>
                <c:pt idx="81">
                  <c:v>149.487515786437</c:v>
                </c:pt>
                <c:pt idx="82">
                  <c:v>149.625087414801</c:v>
                </c:pt>
                <c:pt idx="83">
                  <c:v>151.211191896028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BoP!E105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BoP!$E$106:$E$197</c:f>
              <c:numCache>
                <c:formatCode>#,##0.00;\(#,##0.00\);\-</c:formatCode>
                <c:ptCount val="92"/>
                <c:pt idx="84">
                  <c:v>151.85743588291</c:v>
                </c:pt>
                <c:pt idx="85">
                  <c:v>152.61529854739</c:v>
                </c:pt>
                <c:pt idx="86">
                  <c:v>153.376943415981</c:v>
                </c:pt>
                <c:pt idx="87">
                  <c:v>154.142389364223</c:v>
                </c:pt>
                <c:pt idx="88">
                  <c:v>154.911655361859</c:v>
                </c:pt>
                <c:pt idx="89">
                  <c:v>155.684760473301</c:v>
                </c:pt>
                <c:pt idx="90">
                  <c:v>156.461723858105</c:v>
                </c:pt>
                <c:pt idx="91">
                  <c:v>157.242564771445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BoP!F105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BoP!$F$106:$F$197</c:f>
              <c:numCache>
                <c:formatCode>#,##0.00;\(#,##0.00\);\-</c:formatCode>
                <c:ptCount val="92"/>
                <c:pt idx="84">
                  <c:v>150.735295203017</c:v>
                </c:pt>
                <c:pt idx="85">
                  <c:v>151.108176711897</c:v>
                </c:pt>
                <c:pt idx="86">
                  <c:v>151.673281897512</c:v>
                </c:pt>
                <c:pt idx="87">
                  <c:v>152.414466885002</c:v>
                </c:pt>
                <c:pt idx="88">
                  <c:v>152.285389957629</c:v>
                </c:pt>
                <c:pt idx="89">
                  <c:v>152.580766728778</c:v>
                </c:pt>
                <c:pt idx="90">
                  <c:v>153.072242413549</c:v>
                </c:pt>
                <c:pt idx="91">
                  <c:v>153.743479375238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19955"/>
        <c:axId val="93507127"/>
      </c:lineChart>
      <c:catAx>
        <c:axId val="84199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507127"/>
        <c:crosses val="autoZero"/>
        <c:auto val="1"/>
        <c:lblAlgn val="ctr"/>
        <c:lblOffset val="100"/>
        <c:noMultiLvlLbl val="0"/>
      </c:catAx>
      <c:valAx>
        <c:axId val="935071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 Mn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199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Copper Exports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BoP!B203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BoP!$B$204:$B$295</c:f>
              <c:numCache>
                <c:formatCode>#,##0.00;\(#,##0.00\);\-</c:formatCode>
                <c:ptCount val="92"/>
                <c:pt idx="0">
                  <c:v>301.121369041036</c:v>
                </c:pt>
                <c:pt idx="1">
                  <c:v>303.730640563659</c:v>
                </c:pt>
                <c:pt idx="2">
                  <c:v>304.237965001925</c:v>
                </c:pt>
                <c:pt idx="3">
                  <c:v>305.567836451431</c:v>
                </c:pt>
                <c:pt idx="4">
                  <c:v>308.591176394903</c:v>
                </c:pt>
                <c:pt idx="5">
                  <c:v>310.76011103953</c:v>
                </c:pt>
                <c:pt idx="6">
                  <c:v>311.781474979319</c:v>
                </c:pt>
                <c:pt idx="7">
                  <c:v>313.39250521502</c:v>
                </c:pt>
                <c:pt idx="8">
                  <c:v>316.225111078589</c:v>
                </c:pt>
                <c:pt idx="9">
                  <c:v>318.073408752339</c:v>
                </c:pt>
                <c:pt idx="10">
                  <c:v>319.152406442561</c:v>
                </c:pt>
                <c:pt idx="11">
                  <c:v>321.041850862815</c:v>
                </c:pt>
                <c:pt idx="12">
                  <c:v>324.257963663953</c:v>
                </c:pt>
                <c:pt idx="13">
                  <c:v>326.822429767543</c:v>
                </c:pt>
                <c:pt idx="14">
                  <c:v>327.608149187723</c:v>
                </c:pt>
                <c:pt idx="15">
                  <c:v>329.43352160099</c:v>
                </c:pt>
                <c:pt idx="16">
                  <c:v>332.452198325155</c:v>
                </c:pt>
                <c:pt idx="17">
                  <c:v>335.035056102072</c:v>
                </c:pt>
                <c:pt idx="18">
                  <c:v>335.678521669082</c:v>
                </c:pt>
                <c:pt idx="19">
                  <c:v>337.683484278072</c:v>
                </c:pt>
                <c:pt idx="20">
                  <c:v>340.886774075616</c:v>
                </c:pt>
                <c:pt idx="21">
                  <c:v>343.846745813642</c:v>
                </c:pt>
                <c:pt idx="22">
                  <c:v>343.958635090393</c:v>
                </c:pt>
                <c:pt idx="23">
                  <c:v>346.128098293927</c:v>
                </c:pt>
                <c:pt idx="24">
                  <c:v>349.461794355869</c:v>
                </c:pt>
                <c:pt idx="25">
                  <c:v>351.791693722714</c:v>
                </c:pt>
                <c:pt idx="26">
                  <c:v>352.908832637416</c:v>
                </c:pt>
                <c:pt idx="27">
                  <c:v>355.372886920543</c:v>
                </c:pt>
                <c:pt idx="28">
                  <c:v>358.135813382284</c:v>
                </c:pt>
                <c:pt idx="29">
                  <c:v>361.742674513291</c:v>
                </c:pt>
                <c:pt idx="30">
                  <c:v>362.558810594821</c:v>
                </c:pt>
                <c:pt idx="31">
                  <c:v>363.462294126368</c:v>
                </c:pt>
                <c:pt idx="32">
                  <c:v>367.758674123216</c:v>
                </c:pt>
                <c:pt idx="33">
                  <c:v>370.907405993724</c:v>
                </c:pt>
                <c:pt idx="34">
                  <c:v>371.048702359313</c:v>
                </c:pt>
                <c:pt idx="35">
                  <c:v>373.677516102201</c:v>
                </c:pt>
                <c:pt idx="36">
                  <c:v>376.735719182617</c:v>
                </c:pt>
                <c:pt idx="37">
                  <c:v>379.698487781251</c:v>
                </c:pt>
                <c:pt idx="38">
                  <c:v>380.710239867355</c:v>
                </c:pt>
                <c:pt idx="39">
                  <c:v>382.914560776771</c:v>
                </c:pt>
                <c:pt idx="40">
                  <c:v>386.291549338559</c:v>
                </c:pt>
                <c:pt idx="41">
                  <c:v>389.463413783177</c:v>
                </c:pt>
                <c:pt idx="42">
                  <c:v>390.702854248417</c:v>
                </c:pt>
                <c:pt idx="43">
                  <c:v>393.05290941682</c:v>
                </c:pt>
                <c:pt idx="44">
                  <c:v>396.089116621219</c:v>
                </c:pt>
                <c:pt idx="45">
                  <c:v>398.721315108949</c:v>
                </c:pt>
                <c:pt idx="46">
                  <c:v>400.133915180569</c:v>
                </c:pt>
                <c:pt idx="47">
                  <c:v>402.376870560229</c:v>
                </c:pt>
                <c:pt idx="48">
                  <c:v>406.825789556505</c:v>
                </c:pt>
                <c:pt idx="49">
                  <c:v>409.469590442908</c:v>
                </c:pt>
                <c:pt idx="50">
                  <c:v>410.262843489202</c:v>
                </c:pt>
                <c:pt idx="51">
                  <c:v>412.192132263959</c:v>
                </c:pt>
                <c:pt idx="52">
                  <c:v>415.98069531235</c:v>
                </c:pt>
                <c:pt idx="53">
                  <c:v>419.564523623829</c:v>
                </c:pt>
                <c:pt idx="54">
                  <c:v>421.011339138461</c:v>
                </c:pt>
                <c:pt idx="55">
                  <c:v>422.576241688069</c:v>
                </c:pt>
                <c:pt idx="56">
                  <c:v>427.666256658585</c:v>
                </c:pt>
                <c:pt idx="57">
                  <c:v>430.605169659658</c:v>
                </c:pt>
                <c:pt idx="58">
                  <c:v>431.335566705032</c:v>
                </c:pt>
                <c:pt idx="59">
                  <c:v>433.382271443616</c:v>
                </c:pt>
                <c:pt idx="60">
                  <c:v>437.516251528124</c:v>
                </c:pt>
                <c:pt idx="61">
                  <c:v>441.342430960362</c:v>
                </c:pt>
                <c:pt idx="62">
                  <c:v>442.471533069865</c:v>
                </c:pt>
                <c:pt idx="63">
                  <c:v>444.351016356509</c:v>
                </c:pt>
                <c:pt idx="64">
                  <c:v>449.629522232111</c:v>
                </c:pt>
                <c:pt idx="65">
                  <c:v>452.187899785659</c:v>
                </c:pt>
                <c:pt idx="66">
                  <c:v>453.528666597999</c:v>
                </c:pt>
                <c:pt idx="67">
                  <c:v>455.555389644105</c:v>
                </c:pt>
                <c:pt idx="68">
                  <c:v>460.581163478383</c:v>
                </c:pt>
                <c:pt idx="69">
                  <c:v>463.569659170587</c:v>
                </c:pt>
                <c:pt idx="70">
                  <c:v>464.495592989269</c:v>
                </c:pt>
                <c:pt idx="71">
                  <c:v>466.801739105105</c:v>
                </c:pt>
                <c:pt idx="72">
                  <c:v>471.211885172771</c:v>
                </c:pt>
                <c:pt idx="73">
                  <c:v>475.201369907696</c:v>
                </c:pt>
                <c:pt idx="74">
                  <c:v>476.892652147968</c:v>
                </c:pt>
                <c:pt idx="75">
                  <c:v>479.133838931483</c:v>
                </c:pt>
                <c:pt idx="76">
                  <c:v>483.931559866033</c:v>
                </c:pt>
                <c:pt idx="77">
                  <c:v>487.588160030162</c:v>
                </c:pt>
                <c:pt idx="78">
                  <c:v>488.509982289838</c:v>
                </c:pt>
                <c:pt idx="79">
                  <c:v>490.61994041725</c:v>
                </c:pt>
                <c:pt idx="80">
                  <c:v>496.075180380486</c:v>
                </c:pt>
                <c:pt idx="81">
                  <c:v>499.936516029145</c:v>
                </c:pt>
                <c:pt idx="82">
                  <c:v>500.492398581337</c:v>
                </c:pt>
                <c:pt idx="83">
                  <c:v>504.296308027319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BoP!E203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BoP!$E$204:$E$295</c:f>
              <c:numCache>
                <c:formatCode>#,##0.00;\(#,##0.00\);\-</c:formatCode>
                <c:ptCount val="92"/>
                <c:pt idx="84">
                  <c:v>507.781919563901</c:v>
                </c:pt>
                <c:pt idx="85">
                  <c:v>510.952706363192</c:v>
                </c:pt>
                <c:pt idx="86">
                  <c:v>514.143292782239</c:v>
                </c:pt>
                <c:pt idx="87">
                  <c:v>517.35380245753</c:v>
                </c:pt>
                <c:pt idx="88">
                  <c:v>520.584359797586</c:v>
                </c:pt>
                <c:pt idx="89">
                  <c:v>523.835089987785</c:v>
                </c:pt>
                <c:pt idx="90">
                  <c:v>527.106118995208</c:v>
                </c:pt>
                <c:pt idx="91">
                  <c:v>530.397573573525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BoP!F203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BoP!$A$204:$A$295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BoP!$F$204:$F$295</c:f>
              <c:numCache>
                <c:formatCode>#,##0.00;\(#,##0.00\);\-</c:formatCode>
                <c:ptCount val="92"/>
                <c:pt idx="84">
                  <c:v>505.015689558486</c:v>
                </c:pt>
                <c:pt idx="85">
                  <c:v>507.341423107595</c:v>
                </c:pt>
                <c:pt idx="86">
                  <c:v>507.929342818608</c:v>
                </c:pt>
                <c:pt idx="87">
                  <c:v>510.215139599639</c:v>
                </c:pt>
                <c:pt idx="88">
                  <c:v>511.748168229362</c:v>
                </c:pt>
                <c:pt idx="89">
                  <c:v>513.737277844927</c:v>
                </c:pt>
                <c:pt idx="90">
                  <c:v>514.005404819074</c:v>
                </c:pt>
                <c:pt idx="91">
                  <c:v>515.987398500081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688595"/>
        <c:axId val="13143888"/>
      </c:lineChart>
      <c:catAx>
        <c:axId val="346885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143888"/>
        <c:crosses val="autoZero"/>
        <c:auto val="1"/>
        <c:lblAlgn val="ctr"/>
        <c:lblOffset val="100"/>
        <c:noMultiLvlLbl val="0"/>
      </c:catAx>
      <c:valAx>
        <c:axId val="131438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 Mn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68859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Foreign Direct Investment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BoP!B301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BoP!$A$302:$A$393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BoP!$B$302:$B$393</c:f>
              <c:numCache>
                <c:formatCode>#,##0.00;\(#,##0.00\);\-</c:formatCode>
                <c:ptCount val="92"/>
                <c:pt idx="0">
                  <c:v>100.401837706735</c:v>
                </c:pt>
                <c:pt idx="1">
                  <c:v>100.033143769995</c:v>
                </c:pt>
                <c:pt idx="2">
                  <c:v>100.756003848331</c:v>
                </c:pt>
                <c:pt idx="3">
                  <c:v>100.964493940808</c:v>
                </c:pt>
                <c:pt idx="4">
                  <c:v>102.335353633842</c:v>
                </c:pt>
                <c:pt idx="5">
                  <c:v>101.753500308234</c:v>
                </c:pt>
                <c:pt idx="6">
                  <c:v>103.395805705348</c:v>
                </c:pt>
                <c:pt idx="7">
                  <c:v>103.619636317819</c:v>
                </c:pt>
                <c:pt idx="8">
                  <c:v>104.137714495671</c:v>
                </c:pt>
                <c:pt idx="9">
                  <c:v>104.394945254885</c:v>
                </c:pt>
                <c:pt idx="10">
                  <c:v>104.850134351704</c:v>
                </c:pt>
                <c:pt idx="11">
                  <c:v>106.79139744285</c:v>
                </c:pt>
                <c:pt idx="12">
                  <c:v>105.953729626266</c:v>
                </c:pt>
                <c:pt idx="13">
                  <c:v>106.646132705796</c:v>
                </c:pt>
                <c:pt idx="14">
                  <c:v>107.076678979122</c:v>
                </c:pt>
                <c:pt idx="15">
                  <c:v>107.833911280915</c:v>
                </c:pt>
                <c:pt idx="16">
                  <c:v>108.238958352377</c:v>
                </c:pt>
                <c:pt idx="17">
                  <c:v>108.313625475312</c:v>
                </c:pt>
                <c:pt idx="18">
                  <c:v>110.137710806933</c:v>
                </c:pt>
                <c:pt idx="19">
                  <c:v>108.810440728562</c:v>
                </c:pt>
                <c:pt idx="20">
                  <c:v>109.559870109765</c:v>
                </c:pt>
                <c:pt idx="21">
                  <c:v>109.769483163447</c:v>
                </c:pt>
                <c:pt idx="22">
                  <c:v>110.74846666359</c:v>
                </c:pt>
                <c:pt idx="23">
                  <c:v>111.928206587958</c:v>
                </c:pt>
                <c:pt idx="24">
                  <c:v>112.843032739054</c:v>
                </c:pt>
                <c:pt idx="25">
                  <c:v>112.946387924262</c:v>
                </c:pt>
                <c:pt idx="26">
                  <c:v>113.537026508701</c:v>
                </c:pt>
                <c:pt idx="27">
                  <c:v>115.247584670934</c:v>
                </c:pt>
                <c:pt idx="28">
                  <c:v>114.639799752527</c:v>
                </c:pt>
                <c:pt idx="29">
                  <c:v>115.651575319766</c:v>
                </c:pt>
                <c:pt idx="30">
                  <c:v>116.894561750634</c:v>
                </c:pt>
                <c:pt idx="31">
                  <c:v>116.146460119058</c:v>
                </c:pt>
                <c:pt idx="32">
                  <c:v>117.176623395381</c:v>
                </c:pt>
                <c:pt idx="33">
                  <c:v>117.770245450348</c:v>
                </c:pt>
                <c:pt idx="34">
                  <c:v>118.020713927556</c:v>
                </c:pt>
                <c:pt idx="35">
                  <c:v>119.044153319174</c:v>
                </c:pt>
                <c:pt idx="36">
                  <c:v>119.322503918277</c:v>
                </c:pt>
                <c:pt idx="37">
                  <c:v>121.130371117213</c:v>
                </c:pt>
                <c:pt idx="38">
                  <c:v>121.923401554328</c:v>
                </c:pt>
                <c:pt idx="39">
                  <c:v>121.884493099569</c:v>
                </c:pt>
                <c:pt idx="40">
                  <c:v>121.779975405068</c:v>
                </c:pt>
                <c:pt idx="41">
                  <c:v>122.16135662729</c:v>
                </c:pt>
                <c:pt idx="42">
                  <c:v>123.66016678252</c:v>
                </c:pt>
                <c:pt idx="43">
                  <c:v>123.780762369307</c:v>
                </c:pt>
                <c:pt idx="44">
                  <c:v>124.974398202918</c:v>
                </c:pt>
                <c:pt idx="45">
                  <c:v>125.121599169476</c:v>
                </c:pt>
                <c:pt idx="46">
                  <c:v>125.578509471425</c:v>
                </c:pt>
                <c:pt idx="47">
                  <c:v>125.570662923422</c:v>
                </c:pt>
                <c:pt idx="48">
                  <c:v>127.471449772296</c:v>
                </c:pt>
                <c:pt idx="49">
                  <c:v>128.167333899762</c:v>
                </c:pt>
                <c:pt idx="50">
                  <c:v>128.101559916089</c:v>
                </c:pt>
                <c:pt idx="51">
                  <c:v>129.29337282916</c:v>
                </c:pt>
                <c:pt idx="52">
                  <c:v>129.528057903303</c:v>
                </c:pt>
                <c:pt idx="53">
                  <c:v>130.08803431918</c:v>
                </c:pt>
                <c:pt idx="54">
                  <c:v>130.182828116586</c:v>
                </c:pt>
                <c:pt idx="55">
                  <c:v>131.836030672267</c:v>
                </c:pt>
                <c:pt idx="56">
                  <c:v>131.667116929056</c:v>
                </c:pt>
                <c:pt idx="57">
                  <c:v>133.113559757486</c:v>
                </c:pt>
                <c:pt idx="58">
                  <c:v>131.961675837973</c:v>
                </c:pt>
                <c:pt idx="59">
                  <c:v>133.53006401316</c:v>
                </c:pt>
                <c:pt idx="60">
                  <c:v>134.693462925609</c:v>
                </c:pt>
                <c:pt idx="61">
                  <c:v>135.797687554627</c:v>
                </c:pt>
                <c:pt idx="62">
                  <c:v>136.659083235117</c:v>
                </c:pt>
                <c:pt idx="63">
                  <c:v>137.03273595474</c:v>
                </c:pt>
                <c:pt idx="64">
                  <c:v>137.268392146705</c:v>
                </c:pt>
                <c:pt idx="65">
                  <c:v>139.347190077351</c:v>
                </c:pt>
                <c:pt idx="66">
                  <c:v>139.63534280448</c:v>
                </c:pt>
                <c:pt idx="67">
                  <c:v>140.390322665447</c:v>
                </c:pt>
                <c:pt idx="68">
                  <c:v>141.151087939369</c:v>
                </c:pt>
                <c:pt idx="69">
                  <c:v>140.712080013212</c:v>
                </c:pt>
                <c:pt idx="70">
                  <c:v>142.188579282904</c:v>
                </c:pt>
                <c:pt idx="71">
                  <c:v>142.015794504873</c:v>
                </c:pt>
                <c:pt idx="72">
                  <c:v>142.900348669371</c:v>
                </c:pt>
                <c:pt idx="73">
                  <c:v>143.3825391028</c:v>
                </c:pt>
                <c:pt idx="74">
                  <c:v>144.652172129037</c:v>
                </c:pt>
                <c:pt idx="75">
                  <c:v>144.837164566934</c:v>
                </c:pt>
                <c:pt idx="76">
                  <c:v>145.930636300563</c:v>
                </c:pt>
                <c:pt idx="77">
                  <c:v>146.41873179906</c:v>
                </c:pt>
                <c:pt idx="78">
                  <c:v>147.192309245692</c:v>
                </c:pt>
                <c:pt idx="79">
                  <c:v>148.548259947582</c:v>
                </c:pt>
                <c:pt idx="80">
                  <c:v>148.860677455257</c:v>
                </c:pt>
                <c:pt idx="81">
                  <c:v>149.529399816696</c:v>
                </c:pt>
                <c:pt idx="82">
                  <c:v>149.751983835335</c:v>
                </c:pt>
                <c:pt idx="83">
                  <c:v>151.73255812137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BoP!E301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BoP!$A$302:$A$393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BoP!$E$302:$E$393</c:f>
              <c:numCache>
                <c:formatCode>#,##0.00;\(#,##0.00\);\-</c:formatCode>
                <c:ptCount val="92"/>
                <c:pt idx="84">
                  <c:v>151.920144372426</c:v>
                </c:pt>
                <c:pt idx="85">
                  <c:v>152.677662481846</c:v>
                </c:pt>
                <c:pt idx="86">
                  <c:v>153.4389577973</c:v>
                </c:pt>
                <c:pt idx="87">
                  <c:v>154.204049153039</c:v>
                </c:pt>
                <c:pt idx="88">
                  <c:v>154.972955477226</c:v>
                </c:pt>
                <c:pt idx="89">
                  <c:v>155.745695792404</c:v>
                </c:pt>
                <c:pt idx="90">
                  <c:v>156.522289215971</c:v>
                </c:pt>
                <c:pt idx="91">
                  <c:v>157.302754960647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BoP!F301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BoP!$A$302:$A$393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BoP!$F$302:$F$393</c:f>
              <c:numCache>
                <c:formatCode>#,##0.00;\(#,##0.00\);\-</c:formatCode>
                <c:ptCount val="92"/>
                <c:pt idx="84">
                  <c:v>151.192854922066</c:v>
                </c:pt>
                <c:pt idx="85">
                  <c:v>151.664223523897</c:v>
                </c:pt>
                <c:pt idx="86">
                  <c:v>152.108056126939</c:v>
                </c:pt>
                <c:pt idx="87">
                  <c:v>152.768440938176</c:v>
                </c:pt>
                <c:pt idx="88">
                  <c:v>152.851309039774</c:v>
                </c:pt>
                <c:pt idx="89">
                  <c:v>153.23975493572</c:v>
                </c:pt>
                <c:pt idx="90">
                  <c:v>153.60481096817</c:v>
                </c:pt>
                <c:pt idx="91">
                  <c:v>154.190358037346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1149"/>
        <c:axId val="37600503"/>
      </c:lineChart>
      <c:catAx>
        <c:axId val="5911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600503"/>
        <c:crosses val="autoZero"/>
        <c:auto val="1"/>
        <c:lblAlgn val="ctr"/>
        <c:lblOffset val="100"/>
        <c:noMultiLvlLbl val="0"/>
      </c:catAx>
      <c:valAx>
        <c:axId val="376005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 Mn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11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BCCh International Reserves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Reserves!B7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Reserves!$A$8:$A$99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Reserves!$B$8:$B$99</c:f>
              <c:numCache>
                <c:formatCode>#,##0.00;\(#,##0.00\);\-</c:formatCode>
                <c:ptCount val="92"/>
                <c:pt idx="0">
                  <c:v>99.973314400757</c:v>
                </c:pt>
                <c:pt idx="1">
                  <c:v>100.653845847</c:v>
                </c:pt>
                <c:pt idx="2">
                  <c:v>101.670824681681</c:v>
                </c:pt>
                <c:pt idx="3">
                  <c:v>100.880242575288</c:v>
                </c:pt>
                <c:pt idx="4">
                  <c:v>102.385413696559</c:v>
                </c:pt>
                <c:pt idx="5">
                  <c:v>102.286186982062</c:v>
                </c:pt>
                <c:pt idx="6">
                  <c:v>102.587729516207</c:v>
                </c:pt>
                <c:pt idx="7">
                  <c:v>103.772420795862</c:v>
                </c:pt>
                <c:pt idx="8">
                  <c:v>104.042534892646</c:v>
                </c:pt>
                <c:pt idx="9">
                  <c:v>104.77738971827</c:v>
                </c:pt>
                <c:pt idx="10">
                  <c:v>105.489873266691</c:v>
                </c:pt>
                <c:pt idx="11">
                  <c:v>106.050820037053</c:v>
                </c:pt>
                <c:pt idx="12">
                  <c:v>106.143661174895</c:v>
                </c:pt>
                <c:pt idx="13">
                  <c:v>106.178322442757</c:v>
                </c:pt>
                <c:pt idx="14">
                  <c:v>106.143142801533</c:v>
                </c:pt>
                <c:pt idx="15">
                  <c:v>108.451085884315</c:v>
                </c:pt>
                <c:pt idx="16">
                  <c:v>107.708115710673</c:v>
                </c:pt>
                <c:pt idx="17">
                  <c:v>108.732097379741</c:v>
                </c:pt>
                <c:pt idx="18">
                  <c:v>109.878853406631</c:v>
                </c:pt>
                <c:pt idx="19">
                  <c:v>110.110170012925</c:v>
                </c:pt>
                <c:pt idx="20">
                  <c:v>110.13778356471</c:v>
                </c:pt>
                <c:pt idx="21">
                  <c:v>110.991526767721</c:v>
                </c:pt>
                <c:pt idx="22">
                  <c:v>111.423759464763</c:v>
                </c:pt>
                <c:pt idx="23">
                  <c:v>112.483233922178</c:v>
                </c:pt>
                <c:pt idx="24">
                  <c:v>112.749183536203</c:v>
                </c:pt>
                <c:pt idx="25">
                  <c:v>113.83742401851</c:v>
                </c:pt>
                <c:pt idx="26">
                  <c:v>113.105653732198</c:v>
                </c:pt>
                <c:pt idx="27">
                  <c:v>114.217581201279</c:v>
                </c:pt>
                <c:pt idx="28">
                  <c:v>115.466053070449</c:v>
                </c:pt>
                <c:pt idx="29">
                  <c:v>115.472369154946</c:v>
                </c:pt>
                <c:pt idx="30">
                  <c:v>116.931543399836</c:v>
                </c:pt>
                <c:pt idx="31">
                  <c:v>115.72448566728</c:v>
                </c:pt>
                <c:pt idx="32">
                  <c:v>116.8473467553</c:v>
                </c:pt>
                <c:pt idx="33">
                  <c:v>117.458280413365</c:v>
                </c:pt>
                <c:pt idx="34">
                  <c:v>118.21531621404</c:v>
                </c:pt>
                <c:pt idx="35">
                  <c:v>119.231525473763</c:v>
                </c:pt>
                <c:pt idx="36">
                  <c:v>119.114684182007</c:v>
                </c:pt>
                <c:pt idx="37">
                  <c:v>120.091492585518</c:v>
                </c:pt>
                <c:pt idx="38">
                  <c:v>121.017052361458</c:v>
                </c:pt>
                <c:pt idx="39">
                  <c:v>121.343143750951</c:v>
                </c:pt>
                <c:pt idx="40">
                  <c:v>121.807999795322</c:v>
                </c:pt>
                <c:pt idx="41">
                  <c:v>123.439593136619</c:v>
                </c:pt>
                <c:pt idx="42">
                  <c:v>122.392527616532</c:v>
                </c:pt>
                <c:pt idx="43">
                  <c:v>124.580977694993</c:v>
                </c:pt>
                <c:pt idx="44">
                  <c:v>125.249603831813</c:v>
                </c:pt>
                <c:pt idx="45">
                  <c:v>125.908336543374</c:v>
                </c:pt>
                <c:pt idx="46">
                  <c:v>126.384314457623</c:v>
                </c:pt>
                <c:pt idx="47">
                  <c:v>126.15287934481</c:v>
                </c:pt>
                <c:pt idx="48">
                  <c:v>127.314186032815</c:v>
                </c:pt>
                <c:pt idx="49">
                  <c:v>128.075654268501</c:v>
                </c:pt>
                <c:pt idx="50">
                  <c:v>129.277690840529</c:v>
                </c:pt>
                <c:pt idx="51">
                  <c:v>129.122428294008</c:v>
                </c:pt>
                <c:pt idx="52">
                  <c:v>129.670092061811</c:v>
                </c:pt>
                <c:pt idx="53">
                  <c:v>130.222607656672</c:v>
                </c:pt>
                <c:pt idx="54">
                  <c:v>130.377971130849</c:v>
                </c:pt>
                <c:pt idx="55">
                  <c:v>131.138097798889</c:v>
                </c:pt>
                <c:pt idx="56">
                  <c:v>132.482842869181</c:v>
                </c:pt>
                <c:pt idx="57">
                  <c:v>132.706660409534</c:v>
                </c:pt>
                <c:pt idx="58">
                  <c:v>132.907435244395</c:v>
                </c:pt>
                <c:pt idx="59">
                  <c:v>134.629906779845</c:v>
                </c:pt>
                <c:pt idx="60">
                  <c:v>134.834436782222</c:v>
                </c:pt>
                <c:pt idx="61">
                  <c:v>135.762031765786</c:v>
                </c:pt>
                <c:pt idx="62">
                  <c:v>136.366324701275</c:v>
                </c:pt>
                <c:pt idx="63">
                  <c:v>136.848293498262</c:v>
                </c:pt>
                <c:pt idx="64">
                  <c:v>136.924664497136</c:v>
                </c:pt>
                <c:pt idx="65">
                  <c:v>138.678904964411</c:v>
                </c:pt>
                <c:pt idx="66">
                  <c:v>138.711251786855</c:v>
                </c:pt>
                <c:pt idx="67">
                  <c:v>138.674904778968</c:v>
                </c:pt>
                <c:pt idx="68">
                  <c:v>139.378717535604</c:v>
                </c:pt>
                <c:pt idx="69">
                  <c:v>141.614777658738</c:v>
                </c:pt>
                <c:pt idx="70">
                  <c:v>142.11106195704</c:v>
                </c:pt>
                <c:pt idx="71">
                  <c:v>142.07842426987</c:v>
                </c:pt>
                <c:pt idx="72">
                  <c:v>143.446367952661</c:v>
                </c:pt>
                <c:pt idx="73">
                  <c:v>143.26100761367</c:v>
                </c:pt>
                <c:pt idx="74">
                  <c:v>144.852051059819</c:v>
                </c:pt>
                <c:pt idx="75">
                  <c:v>145.451530671778</c:v>
                </c:pt>
                <c:pt idx="76">
                  <c:v>146.238357804976</c:v>
                </c:pt>
                <c:pt idx="77">
                  <c:v>146.021373836073</c:v>
                </c:pt>
                <c:pt idx="78">
                  <c:v>147.487664453492</c:v>
                </c:pt>
                <c:pt idx="79">
                  <c:v>147.769265985604</c:v>
                </c:pt>
                <c:pt idx="80">
                  <c:v>148.583249949918</c:v>
                </c:pt>
                <c:pt idx="81">
                  <c:v>149.565800151144</c:v>
                </c:pt>
                <c:pt idx="82">
                  <c:v>150.324221368455</c:v>
                </c:pt>
                <c:pt idx="83">
                  <c:v>151.962040462415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Reserves!E7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Reserves!$A$8:$A$99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Reserves!$E$8:$E$99</c:f>
              <c:numCache>
                <c:formatCode>#,##0.00;\(#,##0.00\);\-</c:formatCode>
                <c:ptCount val="92"/>
                <c:pt idx="84">
                  <c:v>151.67996184171</c:v>
                </c:pt>
                <c:pt idx="85">
                  <c:v>152.421682587661</c:v>
                </c:pt>
                <c:pt idx="86">
                  <c:v>153.167030376092</c:v>
                </c:pt>
                <c:pt idx="87">
                  <c:v>153.916022943378</c:v>
                </c:pt>
                <c:pt idx="88">
                  <c:v>154.668678112625</c:v>
                </c:pt>
                <c:pt idx="89">
                  <c:v>155.425013794096</c:v>
                </c:pt>
                <c:pt idx="90">
                  <c:v>156.185047985633</c:v>
                </c:pt>
                <c:pt idx="91">
                  <c:v>156.948798773092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Reserves!F7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Reserves!$A$8:$A$99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Reserves!$F$8:$F$99</c:f>
              <c:numCache>
                <c:formatCode>#,##0.00;\(#,##0.00\);\-</c:formatCode>
                <c:ptCount val="92"/>
                <c:pt idx="84">
                  <c:v>151.30238257778</c:v>
                </c:pt>
                <c:pt idx="85">
                  <c:v>151.922410446079</c:v>
                </c:pt>
                <c:pt idx="86">
                  <c:v>152.608682080805</c:v>
                </c:pt>
                <c:pt idx="87">
                  <c:v>152.967539087273</c:v>
                </c:pt>
                <c:pt idx="88">
                  <c:v>153.043252286874</c:v>
                </c:pt>
                <c:pt idx="89">
                  <c:v>153.576236669719</c:v>
                </c:pt>
                <c:pt idx="90">
                  <c:v>154.179816993263</c:v>
                </c:pt>
                <c:pt idx="91">
                  <c:v>154.460117254107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395109"/>
        <c:axId val="5926200"/>
      </c:lineChart>
      <c:catAx>
        <c:axId val="343951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26200"/>
        <c:crosses val="autoZero"/>
        <c:auto val="1"/>
        <c:lblAlgn val="ctr"/>
        <c:lblOffset val="100"/>
        <c:noMultiLvlLbl val="0"/>
      </c:catAx>
      <c:valAx>
        <c:axId val="59262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 Mn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39510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Sovereign Wealth Funds (FRP+FEES) — quarterly history + 2y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Reserves!B105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Reserves!$A$106:$A$197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Reserves!$B$106:$B$197</c:f>
              <c:numCache>
                <c:formatCode>#,##0.00;\(#,##0.00\);\-</c:formatCode>
                <c:ptCount val="92"/>
                <c:pt idx="0">
                  <c:v>101.173924191328</c:v>
                </c:pt>
                <c:pt idx="1">
                  <c:v>100.613624108734</c:v>
                </c:pt>
                <c:pt idx="2">
                  <c:v>100.054749712603</c:v>
                </c:pt>
                <c:pt idx="3">
                  <c:v>101.618687168843</c:v>
                </c:pt>
                <c:pt idx="4">
                  <c:v>101.76484898062</c:v>
                </c:pt>
                <c:pt idx="5">
                  <c:v>101.363955442605</c:v>
                </c:pt>
                <c:pt idx="6">
                  <c:v>103.175234673021</c:v>
                </c:pt>
                <c:pt idx="7">
                  <c:v>104.164376793227</c:v>
                </c:pt>
                <c:pt idx="8">
                  <c:v>104.01895213578</c:v>
                </c:pt>
                <c:pt idx="9">
                  <c:v>104.872194046134</c:v>
                </c:pt>
                <c:pt idx="10">
                  <c:v>105.177152393957</c:v>
                </c:pt>
                <c:pt idx="11">
                  <c:v>106.315838324578</c:v>
                </c:pt>
                <c:pt idx="12">
                  <c:v>106.212457463534</c:v>
                </c:pt>
                <c:pt idx="13">
                  <c:v>106.877275115087</c:v>
                </c:pt>
                <c:pt idx="14">
                  <c:v>107.106026762215</c:v>
                </c:pt>
                <c:pt idx="15">
                  <c:v>106.963811843207</c:v>
                </c:pt>
                <c:pt idx="16">
                  <c:v>107.508895406301</c:v>
                </c:pt>
                <c:pt idx="17">
                  <c:v>109.165575765347</c:v>
                </c:pt>
                <c:pt idx="18">
                  <c:v>108.936636659422</c:v>
                </c:pt>
                <c:pt idx="19">
                  <c:v>109.412765447697</c:v>
                </c:pt>
                <c:pt idx="20">
                  <c:v>111.157794317112</c:v>
                </c:pt>
                <c:pt idx="21">
                  <c:v>110.760753272211</c:v>
                </c:pt>
                <c:pt idx="22">
                  <c:v>111.025561011839</c:v>
                </c:pt>
                <c:pt idx="23">
                  <c:v>112.025952387128</c:v>
                </c:pt>
                <c:pt idx="24">
                  <c:v>112.196644417837</c:v>
                </c:pt>
                <c:pt idx="25">
                  <c:v>111.320544193511</c:v>
                </c:pt>
                <c:pt idx="26">
                  <c:v>114.167691749661</c:v>
                </c:pt>
                <c:pt idx="27">
                  <c:v>114.544138229534</c:v>
                </c:pt>
                <c:pt idx="28">
                  <c:v>115.984042810436</c:v>
                </c:pt>
                <c:pt idx="29">
                  <c:v>116.041760127496</c:v>
                </c:pt>
                <c:pt idx="30">
                  <c:v>115.252264527461</c:v>
                </c:pt>
                <c:pt idx="31">
                  <c:v>115.851008546744</c:v>
                </c:pt>
                <c:pt idx="32">
                  <c:v>117.599835662273</c:v>
                </c:pt>
                <c:pt idx="33">
                  <c:v>119.263984858964</c:v>
                </c:pt>
                <c:pt idx="34">
                  <c:v>117.853339107604</c:v>
                </c:pt>
                <c:pt idx="35">
                  <c:v>118.864493907389</c:v>
                </c:pt>
                <c:pt idx="36">
                  <c:v>119.790926665174</c:v>
                </c:pt>
                <c:pt idx="37">
                  <c:v>119.537327512883</c:v>
                </c:pt>
                <c:pt idx="38">
                  <c:v>121.642592001609</c:v>
                </c:pt>
                <c:pt idx="39">
                  <c:v>121.778353244422</c:v>
                </c:pt>
                <c:pt idx="40">
                  <c:v>121.911299378456</c:v>
                </c:pt>
                <c:pt idx="41">
                  <c:v>122.37124651552</c:v>
                </c:pt>
                <c:pt idx="42">
                  <c:v>123.548901914695</c:v>
                </c:pt>
                <c:pt idx="43">
                  <c:v>124.373655216265</c:v>
                </c:pt>
                <c:pt idx="44">
                  <c:v>124.328002207241</c:v>
                </c:pt>
                <c:pt idx="45">
                  <c:v>125.616745950274</c:v>
                </c:pt>
                <c:pt idx="46">
                  <c:v>126.053450741318</c:v>
                </c:pt>
                <c:pt idx="47">
                  <c:v>125.851764275759</c:v>
                </c:pt>
                <c:pt idx="48">
                  <c:v>127.062721358814</c:v>
                </c:pt>
                <c:pt idx="49">
                  <c:v>127.230196743111</c:v>
                </c:pt>
                <c:pt idx="50">
                  <c:v>127.457190768547</c:v>
                </c:pt>
                <c:pt idx="51">
                  <c:v>129.499366886919</c:v>
                </c:pt>
                <c:pt idx="52">
                  <c:v>128.630065462528</c:v>
                </c:pt>
                <c:pt idx="53">
                  <c:v>131.309524657788</c:v>
                </c:pt>
                <c:pt idx="54">
                  <c:v>131.913459216487</c:v>
                </c:pt>
                <c:pt idx="55">
                  <c:v>131.383103383489</c:v>
                </c:pt>
                <c:pt idx="56">
                  <c:v>131.417696266202</c:v>
                </c:pt>
                <c:pt idx="57">
                  <c:v>133.047191241611</c:v>
                </c:pt>
                <c:pt idx="58">
                  <c:v>133.512582603992</c:v>
                </c:pt>
                <c:pt idx="59">
                  <c:v>134.072647043284</c:v>
                </c:pt>
                <c:pt idx="60">
                  <c:v>134.963250201942</c:v>
                </c:pt>
                <c:pt idx="61">
                  <c:v>134.858518269963</c:v>
                </c:pt>
                <c:pt idx="62">
                  <c:v>135.747213334535</c:v>
                </c:pt>
                <c:pt idx="63">
                  <c:v>136.67780863227</c:v>
                </c:pt>
                <c:pt idx="64">
                  <c:v>137.142831482452</c:v>
                </c:pt>
                <c:pt idx="65">
                  <c:v>139.250638886168</c:v>
                </c:pt>
                <c:pt idx="66">
                  <c:v>138.69102249552</c:v>
                </c:pt>
                <c:pt idx="67">
                  <c:v>139.328061098343</c:v>
                </c:pt>
                <c:pt idx="68">
                  <c:v>140.117032302535</c:v>
                </c:pt>
                <c:pt idx="69">
                  <c:v>141.638634618846</c:v>
                </c:pt>
                <c:pt idx="70">
                  <c:v>141.909280538604</c:v>
                </c:pt>
                <c:pt idx="71">
                  <c:v>142.197687246371</c:v>
                </c:pt>
                <c:pt idx="72">
                  <c:v>142.98387404806</c:v>
                </c:pt>
                <c:pt idx="73">
                  <c:v>144.765793085316</c:v>
                </c:pt>
                <c:pt idx="74">
                  <c:v>145.285340299546</c:v>
                </c:pt>
                <c:pt idx="75">
                  <c:v>145.580375997066</c:v>
                </c:pt>
                <c:pt idx="76">
                  <c:v>146.065689530808</c:v>
                </c:pt>
                <c:pt idx="77">
                  <c:v>147.160339831499</c:v>
                </c:pt>
                <c:pt idx="78">
                  <c:v>148.187170707446</c:v>
                </c:pt>
                <c:pt idx="79">
                  <c:v>147.830970513176</c:v>
                </c:pt>
                <c:pt idx="80">
                  <c:v>148.00269346069</c:v>
                </c:pt>
                <c:pt idx="81">
                  <c:v>150.436496359438</c:v>
                </c:pt>
                <c:pt idx="82">
                  <c:v>150.431595592731</c:v>
                </c:pt>
                <c:pt idx="83">
                  <c:v>151.690617578851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Reserves!E105</c:f>
              <c:strCache>
                <c:ptCount val="1"/>
                <c:pt idx="0">
                  <c:v>Linear Fcst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Reserves!$A$106:$A$197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Reserves!$E$106:$E$197</c:f>
              <c:numCache>
                <c:formatCode>#,##0.00;\(#,##0.00\);\-</c:formatCode>
                <c:ptCount val="92"/>
                <c:pt idx="84">
                  <c:v>152.169783411268</c:v>
                </c:pt>
                <c:pt idx="85">
                  <c:v>152.937690975758</c:v>
                </c:pt>
                <c:pt idx="86">
                  <c:v>153.709473698735</c:v>
                </c:pt>
                <c:pt idx="87">
                  <c:v>154.485151135747</c:v>
                </c:pt>
                <c:pt idx="88">
                  <c:v>155.264742941027</c:v>
                </c:pt>
                <c:pt idx="89">
                  <c:v>156.04826886799</c:v>
                </c:pt>
                <c:pt idx="90">
                  <c:v>156.835748769735</c:v>
                </c:pt>
                <c:pt idx="91">
                  <c:v>157.627202599549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Reserves!F105</c:f>
              <c:strCache>
                <c:ptCount val="1"/>
                <c:pt idx="0">
                  <c:v>HW Fcst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Reserves!$A$106:$A$197</c:f>
              <c:strCache>
                <c:ptCount val="92"/>
                <c:pt idx="0">
                  <c:v>2005-01-01</c:v>
                </c:pt>
                <c:pt idx="1">
                  <c:v>2005-04-01</c:v>
                </c:pt>
                <c:pt idx="2">
                  <c:v>2005-07-01</c:v>
                </c:pt>
                <c:pt idx="3">
                  <c:v>2005-10-01</c:v>
                </c:pt>
                <c:pt idx="4">
                  <c:v>2006-01-01</c:v>
                </c:pt>
                <c:pt idx="5">
                  <c:v>2006-04-01</c:v>
                </c:pt>
                <c:pt idx="6">
                  <c:v>2006-07-01</c:v>
                </c:pt>
                <c:pt idx="7">
                  <c:v>2006-10-01</c:v>
                </c:pt>
                <c:pt idx="8">
                  <c:v>2007-01-01</c:v>
                </c:pt>
                <c:pt idx="9">
                  <c:v>2007-04-01</c:v>
                </c:pt>
                <c:pt idx="10">
                  <c:v>2007-07-01</c:v>
                </c:pt>
                <c:pt idx="11">
                  <c:v>2007-10-01</c:v>
                </c:pt>
                <c:pt idx="12">
                  <c:v>2008-01-01</c:v>
                </c:pt>
                <c:pt idx="13">
                  <c:v>2008-04-01</c:v>
                </c:pt>
                <c:pt idx="14">
                  <c:v>2008-07-01</c:v>
                </c:pt>
                <c:pt idx="15">
                  <c:v>2008-10-01</c:v>
                </c:pt>
                <c:pt idx="16">
                  <c:v>2009-01-01</c:v>
                </c:pt>
                <c:pt idx="17">
                  <c:v>2009-04-01</c:v>
                </c:pt>
                <c:pt idx="18">
                  <c:v>2009-07-01</c:v>
                </c:pt>
                <c:pt idx="19">
                  <c:v>2009-10-01</c:v>
                </c:pt>
                <c:pt idx="20">
                  <c:v>2010-01-01</c:v>
                </c:pt>
                <c:pt idx="21">
                  <c:v>2010-04-01</c:v>
                </c:pt>
                <c:pt idx="22">
                  <c:v>2010-07-01</c:v>
                </c:pt>
                <c:pt idx="23">
                  <c:v>2010-10-01</c:v>
                </c:pt>
                <c:pt idx="24">
                  <c:v>2011-01-01</c:v>
                </c:pt>
                <c:pt idx="25">
                  <c:v>2011-04-01</c:v>
                </c:pt>
                <c:pt idx="26">
                  <c:v>2011-07-01</c:v>
                </c:pt>
                <c:pt idx="27">
                  <c:v>2011-10-01</c:v>
                </c:pt>
                <c:pt idx="28">
                  <c:v>2012-01-01</c:v>
                </c:pt>
                <c:pt idx="29">
                  <c:v>2012-04-01</c:v>
                </c:pt>
                <c:pt idx="30">
                  <c:v>2012-07-01</c:v>
                </c:pt>
                <c:pt idx="31">
                  <c:v>2012-10-01</c:v>
                </c:pt>
                <c:pt idx="32">
                  <c:v>2013-01-01</c:v>
                </c:pt>
                <c:pt idx="33">
                  <c:v>2013-04-01</c:v>
                </c:pt>
                <c:pt idx="34">
                  <c:v>2013-07-01</c:v>
                </c:pt>
                <c:pt idx="35">
                  <c:v>2013-10-01</c:v>
                </c:pt>
                <c:pt idx="36">
                  <c:v>2014-01-01</c:v>
                </c:pt>
                <c:pt idx="37">
                  <c:v>2014-04-01</c:v>
                </c:pt>
                <c:pt idx="38">
                  <c:v>2014-07-01</c:v>
                </c:pt>
                <c:pt idx="39">
                  <c:v>2014-10-01</c:v>
                </c:pt>
                <c:pt idx="40">
                  <c:v>2015-01-01</c:v>
                </c:pt>
                <c:pt idx="41">
                  <c:v>2015-04-01</c:v>
                </c:pt>
                <c:pt idx="42">
                  <c:v>2015-07-01</c:v>
                </c:pt>
                <c:pt idx="43">
                  <c:v>2015-10-01</c:v>
                </c:pt>
                <c:pt idx="44">
                  <c:v>2016-01-01</c:v>
                </c:pt>
                <c:pt idx="45">
                  <c:v>2016-04-01</c:v>
                </c:pt>
                <c:pt idx="46">
                  <c:v>2016-07-01</c:v>
                </c:pt>
                <c:pt idx="47">
                  <c:v>2016-10-01</c:v>
                </c:pt>
                <c:pt idx="48">
                  <c:v>2017-01-01</c:v>
                </c:pt>
                <c:pt idx="49">
                  <c:v>2017-04-01</c:v>
                </c:pt>
                <c:pt idx="50">
                  <c:v>2017-07-01</c:v>
                </c:pt>
                <c:pt idx="51">
                  <c:v>2017-10-01</c:v>
                </c:pt>
                <c:pt idx="52">
                  <c:v>2018-01-01</c:v>
                </c:pt>
                <c:pt idx="53">
                  <c:v>2018-04-01</c:v>
                </c:pt>
                <c:pt idx="54">
                  <c:v>2018-07-01</c:v>
                </c:pt>
                <c:pt idx="55">
                  <c:v>2018-10-01</c:v>
                </c:pt>
                <c:pt idx="56">
                  <c:v>2019-01-01</c:v>
                </c:pt>
                <c:pt idx="57">
                  <c:v>2019-04-01</c:v>
                </c:pt>
                <c:pt idx="58">
                  <c:v>2019-07-01</c:v>
                </c:pt>
                <c:pt idx="59">
                  <c:v>2019-10-01</c:v>
                </c:pt>
                <c:pt idx="60">
                  <c:v>2020-01-01</c:v>
                </c:pt>
                <c:pt idx="61">
                  <c:v>2020-04-01</c:v>
                </c:pt>
                <c:pt idx="62">
                  <c:v>2020-07-01</c:v>
                </c:pt>
                <c:pt idx="63">
                  <c:v>2020-10-01</c:v>
                </c:pt>
                <c:pt idx="64">
                  <c:v>2021-01-01</c:v>
                </c:pt>
                <c:pt idx="65">
                  <c:v>2021-04-01</c:v>
                </c:pt>
                <c:pt idx="66">
                  <c:v>2021-07-01</c:v>
                </c:pt>
                <c:pt idx="67">
                  <c:v>2021-10-01</c:v>
                </c:pt>
                <c:pt idx="68">
                  <c:v>2022-01-01</c:v>
                </c:pt>
                <c:pt idx="69">
                  <c:v>2022-04-01</c:v>
                </c:pt>
                <c:pt idx="70">
                  <c:v>2022-07-01</c:v>
                </c:pt>
                <c:pt idx="71">
                  <c:v>2022-10-01</c:v>
                </c:pt>
                <c:pt idx="72">
                  <c:v>2023-01-01</c:v>
                </c:pt>
                <c:pt idx="73">
                  <c:v>2023-04-01</c:v>
                </c:pt>
                <c:pt idx="74">
                  <c:v>2023-07-01</c:v>
                </c:pt>
                <c:pt idx="75">
                  <c:v>2023-10-01</c:v>
                </c:pt>
                <c:pt idx="76">
                  <c:v>2024-01-01</c:v>
                </c:pt>
                <c:pt idx="77">
                  <c:v>2024-04-01</c:v>
                </c:pt>
                <c:pt idx="78">
                  <c:v>2024-07-01</c:v>
                </c:pt>
                <c:pt idx="79">
                  <c:v>2024-10-01</c:v>
                </c:pt>
                <c:pt idx="80">
                  <c:v>2025-01-01</c:v>
                </c:pt>
                <c:pt idx="81">
                  <c:v>2025-04-01</c:v>
                </c:pt>
                <c:pt idx="82">
                  <c:v>2025-07-01</c:v>
                </c:pt>
                <c:pt idx="83">
                  <c:v>2025-10-01</c:v>
                </c:pt>
                <c:pt idx="84">
                  <c:v>2026-01-01</c:v>
                </c:pt>
                <c:pt idx="85">
                  <c:v>2026-04-01</c:v>
                </c:pt>
                <c:pt idx="86">
                  <c:v>2026-07-01</c:v>
                </c:pt>
                <c:pt idx="87">
                  <c:v>2026-10-01</c:v>
                </c:pt>
                <c:pt idx="88">
                  <c:v>2027-01-01</c:v>
                </c:pt>
                <c:pt idx="89">
                  <c:v>2027-04-01</c:v>
                </c:pt>
                <c:pt idx="90">
                  <c:v>2027-07-01</c:v>
                </c:pt>
                <c:pt idx="91">
                  <c:v>2027-10-01</c:v>
                </c:pt>
              </c:strCache>
            </c:strRef>
          </c:cat>
          <c:val>
            <c:numRef>
              <c:f>Reserves!$F$106:$F$197</c:f>
              <c:numCache>
                <c:formatCode>#,##0.00;\(#,##0.00\);\-</c:formatCode>
                <c:ptCount val="92"/>
                <c:pt idx="84">
                  <c:v>150.928500561297</c:v>
                </c:pt>
                <c:pt idx="85">
                  <c:v>152.258716078375</c:v>
                </c:pt>
                <c:pt idx="86">
                  <c:v>152.52988710546</c:v>
                </c:pt>
                <c:pt idx="87">
                  <c:v>152.834523561873</c:v>
                </c:pt>
                <c:pt idx="88">
                  <c:v>152.583330152969</c:v>
                </c:pt>
                <c:pt idx="89">
                  <c:v>153.830804190463</c:v>
                </c:pt>
                <c:pt idx="90">
                  <c:v>154.023370811944</c:v>
                </c:pt>
                <c:pt idx="91">
                  <c:v>154.253333083033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013955"/>
        <c:axId val="70034283"/>
      </c:lineChart>
      <c:catAx>
        <c:axId val="670139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034283"/>
        <c:crosses val="autoZero"/>
        <c:auto val="1"/>
        <c:lblAlgn val="ctr"/>
        <c:lblOffset val="100"/>
        <c:noMultiLvlLbl val="0"/>
      </c:catAx>
      <c:valAx>
        <c:axId val="700342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 Mn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0139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6</xdr:row>
      <xdr:rowOff>0</xdr:rowOff>
    </xdr:from>
    <xdr:to>
      <xdr:col>25</xdr:col>
      <xdr:colOff>581760</xdr:colOff>
      <xdr:row>23</xdr:row>
      <xdr:rowOff>1080</xdr:rowOff>
    </xdr:to>
    <xdr:graphicFrame>
      <xdr:nvGraphicFramePr>
        <xdr:cNvPr id="1" name="Chart 1"/>
        <xdr:cNvGraphicFramePr/>
      </xdr:nvGraphicFramePr>
      <xdr:xfrm>
        <a:off x="10409040" y="13564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104</xdr:row>
      <xdr:rowOff>0</xdr:rowOff>
    </xdr:from>
    <xdr:to>
      <xdr:col>25</xdr:col>
      <xdr:colOff>581760</xdr:colOff>
      <xdr:row>121</xdr:row>
      <xdr:rowOff>1080</xdr:rowOff>
    </xdr:to>
    <xdr:graphicFrame>
      <xdr:nvGraphicFramePr>
        <xdr:cNvPr id="2" name="Chart 2"/>
        <xdr:cNvGraphicFramePr/>
      </xdr:nvGraphicFramePr>
      <xdr:xfrm>
        <a:off x="10409040" y="201492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202</xdr:row>
      <xdr:rowOff>0</xdr:rowOff>
    </xdr:from>
    <xdr:to>
      <xdr:col>25</xdr:col>
      <xdr:colOff>581760</xdr:colOff>
      <xdr:row>219</xdr:row>
      <xdr:rowOff>1080</xdr:rowOff>
    </xdr:to>
    <xdr:graphicFrame>
      <xdr:nvGraphicFramePr>
        <xdr:cNvPr id="3" name="Chart 3"/>
        <xdr:cNvGraphicFramePr/>
      </xdr:nvGraphicFramePr>
      <xdr:xfrm>
        <a:off x="10409040" y="3894192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6</xdr:row>
      <xdr:rowOff>0</xdr:rowOff>
    </xdr:from>
    <xdr:to>
      <xdr:col>25</xdr:col>
      <xdr:colOff>581760</xdr:colOff>
      <xdr:row>23</xdr:row>
      <xdr:rowOff>1080</xdr:rowOff>
    </xdr:to>
    <xdr:graphicFrame>
      <xdr:nvGraphicFramePr>
        <xdr:cNvPr id="4" name="Chart 1"/>
        <xdr:cNvGraphicFramePr/>
      </xdr:nvGraphicFramePr>
      <xdr:xfrm>
        <a:off x="10409040" y="13564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104</xdr:row>
      <xdr:rowOff>0</xdr:rowOff>
    </xdr:from>
    <xdr:to>
      <xdr:col>25</xdr:col>
      <xdr:colOff>581760</xdr:colOff>
      <xdr:row>121</xdr:row>
      <xdr:rowOff>1080</xdr:rowOff>
    </xdr:to>
    <xdr:graphicFrame>
      <xdr:nvGraphicFramePr>
        <xdr:cNvPr id="5" name="Chart 2"/>
        <xdr:cNvGraphicFramePr/>
      </xdr:nvGraphicFramePr>
      <xdr:xfrm>
        <a:off x="10409040" y="201492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202</xdr:row>
      <xdr:rowOff>0</xdr:rowOff>
    </xdr:from>
    <xdr:to>
      <xdr:col>25</xdr:col>
      <xdr:colOff>581760</xdr:colOff>
      <xdr:row>219</xdr:row>
      <xdr:rowOff>1080</xdr:rowOff>
    </xdr:to>
    <xdr:graphicFrame>
      <xdr:nvGraphicFramePr>
        <xdr:cNvPr id="6" name="Chart 3"/>
        <xdr:cNvGraphicFramePr/>
      </xdr:nvGraphicFramePr>
      <xdr:xfrm>
        <a:off x="10409040" y="3894192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6</xdr:row>
      <xdr:rowOff>0</xdr:rowOff>
    </xdr:from>
    <xdr:to>
      <xdr:col>25</xdr:col>
      <xdr:colOff>581760</xdr:colOff>
      <xdr:row>23</xdr:row>
      <xdr:rowOff>1080</xdr:rowOff>
    </xdr:to>
    <xdr:graphicFrame>
      <xdr:nvGraphicFramePr>
        <xdr:cNvPr id="7" name="Chart 1"/>
        <xdr:cNvGraphicFramePr/>
      </xdr:nvGraphicFramePr>
      <xdr:xfrm>
        <a:off x="10409040" y="13564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104</xdr:row>
      <xdr:rowOff>0</xdr:rowOff>
    </xdr:from>
    <xdr:to>
      <xdr:col>25</xdr:col>
      <xdr:colOff>581760</xdr:colOff>
      <xdr:row>121</xdr:row>
      <xdr:rowOff>1080</xdr:rowOff>
    </xdr:to>
    <xdr:graphicFrame>
      <xdr:nvGraphicFramePr>
        <xdr:cNvPr id="8" name="Chart 2"/>
        <xdr:cNvGraphicFramePr/>
      </xdr:nvGraphicFramePr>
      <xdr:xfrm>
        <a:off x="10409040" y="201492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202</xdr:row>
      <xdr:rowOff>0</xdr:rowOff>
    </xdr:from>
    <xdr:to>
      <xdr:col>25</xdr:col>
      <xdr:colOff>581760</xdr:colOff>
      <xdr:row>219</xdr:row>
      <xdr:rowOff>1080</xdr:rowOff>
    </xdr:to>
    <xdr:graphicFrame>
      <xdr:nvGraphicFramePr>
        <xdr:cNvPr id="9" name="Chart 3"/>
        <xdr:cNvGraphicFramePr/>
      </xdr:nvGraphicFramePr>
      <xdr:xfrm>
        <a:off x="10409040" y="3894192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6</xdr:row>
      <xdr:rowOff>0</xdr:rowOff>
    </xdr:from>
    <xdr:to>
      <xdr:col>25</xdr:col>
      <xdr:colOff>581760</xdr:colOff>
      <xdr:row>23</xdr:row>
      <xdr:rowOff>1080</xdr:rowOff>
    </xdr:to>
    <xdr:graphicFrame>
      <xdr:nvGraphicFramePr>
        <xdr:cNvPr id="10" name="Chart 1"/>
        <xdr:cNvGraphicFramePr/>
      </xdr:nvGraphicFramePr>
      <xdr:xfrm>
        <a:off x="10409040" y="13564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104</xdr:row>
      <xdr:rowOff>0</xdr:rowOff>
    </xdr:from>
    <xdr:to>
      <xdr:col>25</xdr:col>
      <xdr:colOff>581760</xdr:colOff>
      <xdr:row>121</xdr:row>
      <xdr:rowOff>1080</xdr:rowOff>
    </xdr:to>
    <xdr:graphicFrame>
      <xdr:nvGraphicFramePr>
        <xdr:cNvPr id="11" name="Chart 2"/>
        <xdr:cNvGraphicFramePr/>
      </xdr:nvGraphicFramePr>
      <xdr:xfrm>
        <a:off x="10409040" y="201492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202</xdr:row>
      <xdr:rowOff>0</xdr:rowOff>
    </xdr:from>
    <xdr:to>
      <xdr:col>25</xdr:col>
      <xdr:colOff>581760</xdr:colOff>
      <xdr:row>219</xdr:row>
      <xdr:rowOff>1080</xdr:rowOff>
    </xdr:to>
    <xdr:graphicFrame>
      <xdr:nvGraphicFramePr>
        <xdr:cNvPr id="12" name="Chart 3"/>
        <xdr:cNvGraphicFramePr/>
      </xdr:nvGraphicFramePr>
      <xdr:xfrm>
        <a:off x="10409040" y="3894192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300</xdr:row>
      <xdr:rowOff>0</xdr:rowOff>
    </xdr:from>
    <xdr:to>
      <xdr:col>25</xdr:col>
      <xdr:colOff>581760</xdr:colOff>
      <xdr:row>317</xdr:row>
      <xdr:rowOff>1440</xdr:rowOff>
    </xdr:to>
    <xdr:graphicFrame>
      <xdr:nvGraphicFramePr>
        <xdr:cNvPr id="13" name="Chart 4"/>
        <xdr:cNvGraphicFramePr/>
      </xdr:nvGraphicFramePr>
      <xdr:xfrm>
        <a:off x="10409040" y="577350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6</xdr:row>
      <xdr:rowOff>0</xdr:rowOff>
    </xdr:from>
    <xdr:to>
      <xdr:col>25</xdr:col>
      <xdr:colOff>581760</xdr:colOff>
      <xdr:row>23</xdr:row>
      <xdr:rowOff>1080</xdr:rowOff>
    </xdr:to>
    <xdr:graphicFrame>
      <xdr:nvGraphicFramePr>
        <xdr:cNvPr id="14" name="Chart 1"/>
        <xdr:cNvGraphicFramePr/>
      </xdr:nvGraphicFramePr>
      <xdr:xfrm>
        <a:off x="10409040" y="13564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104</xdr:row>
      <xdr:rowOff>0</xdr:rowOff>
    </xdr:from>
    <xdr:to>
      <xdr:col>25</xdr:col>
      <xdr:colOff>581760</xdr:colOff>
      <xdr:row>121</xdr:row>
      <xdr:rowOff>1080</xdr:rowOff>
    </xdr:to>
    <xdr:graphicFrame>
      <xdr:nvGraphicFramePr>
        <xdr:cNvPr id="15" name="Chart 2"/>
        <xdr:cNvGraphicFramePr/>
      </xdr:nvGraphicFramePr>
      <xdr:xfrm>
        <a:off x="10409040" y="201492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A_BoP_Copper_Exports" displayName="tbl_A_BoP_Copper_Exports" ref="I203:L226" headerRowCount="1" totalsRowCount="0" totalsRowShown="0">
  <autoFilter ref="I203:L226"/>
  <tableColumns count="4">
    <tableColumn id="1" name="Year"/>
    <tableColumn id="2" name="Level"/>
    <tableColumn id="3" name="YoY %"/>
    <tableColumn id="4" name="Annual Fcst (HW)"/>
  </tableColumns>
</table>
</file>

<file path=xl/tables/table2.xml><?xml version="1.0" encoding="utf-8"?>
<table xmlns="http://schemas.openxmlformats.org/spreadsheetml/2006/main" id="2" name="tbl_A_BoP_Current_Account_Balance" displayName="tbl_A_BoP_Current_Account_Balance" ref="I7:L30" headerRowCount="1" totalsRowCount="0" totalsRowShown="0">
  <autoFilter ref="I7:L30"/>
  <tableColumns count="4">
    <tableColumn id="1" name="Year"/>
    <tableColumn id="2" name="Level"/>
    <tableColumn id="3" name="YoY %"/>
    <tableColumn id="4" name="Annual Fcst (HW)"/>
  </tableColumns>
</table>
</file>

<file path=xl/tables/table3.xml><?xml version="1.0" encoding="utf-8"?>
<table xmlns="http://schemas.openxmlformats.org/spreadsheetml/2006/main" id="3" name="tbl_A_BoP_Foreign_Direct_Investment" displayName="tbl_A_BoP_Foreign_Direct_Investment" ref="I301:L324" headerRowCount="1" totalsRowCount="0" totalsRowShown="0">
  <autoFilter ref="I301:L324"/>
  <tableColumns count="4">
    <tableColumn id="1" name="Year"/>
    <tableColumn id="2" name="Level"/>
    <tableColumn id="3" name="YoY %"/>
    <tableColumn id="4" name="Annual Fcst (HW)"/>
  </tableColumns>
</table>
</file>

<file path=xl/tables/table4.xml><?xml version="1.0" encoding="utf-8"?>
<table xmlns="http://schemas.openxmlformats.org/spreadsheetml/2006/main" id="4" name="tbl_A_BoP_Trade_Balance" displayName="tbl_A_BoP_Trade_Balance" ref="I105:L128" headerRowCount="1" totalsRowCount="0" totalsRowShown="0">
  <autoFilter ref="I105:L128"/>
  <tableColumns count="4">
    <tableColumn id="1" name="Year"/>
    <tableColumn id="2" name="Level"/>
    <tableColumn id="3" name="YoY %"/>
    <tableColumn id="4" name="Annual Fcst (HW)"/>
  </tableColumns>
</table>
</file>

<file path=xl/tables/table5.xml><?xml version="1.0" encoding="utf-8"?>
<table xmlns="http://schemas.openxmlformats.org/spreadsheetml/2006/main" id="5" name="tbl_A_Fiscal_Central_Govt_Balance" displayName="tbl_A_Fiscal_Central_Govt_Balance" ref="I7:L30" headerRowCount="1" totalsRowCount="0" totalsRowShown="0">
  <autoFilter ref="I7:L30"/>
  <tableColumns count="4">
    <tableColumn id="1" name="Year"/>
    <tableColumn id="2" name="Level"/>
    <tableColumn id="3" name="YoY %"/>
    <tableColumn id="4" name="Annual Fcst (HW)"/>
  </tableColumns>
</table>
</file>

<file path=xl/tables/table6.xml><?xml version="1.0" encoding="utf-8"?>
<table xmlns="http://schemas.openxmlformats.org/spreadsheetml/2006/main" id="6" name="tbl_A_Fiscal_Gross_Public_Debt" displayName="tbl_A_Fiscal_Gross_Public_Debt" ref="I203:L226" headerRowCount="1" totalsRowCount="0" totalsRowShown="0">
  <autoFilter ref="I203:L226"/>
  <tableColumns count="4">
    <tableColumn id="1" name="Year"/>
    <tableColumn id="2" name="Level"/>
    <tableColumn id="3" name="YoY %"/>
    <tableColumn id="4" name="Annual Fcst (HW)"/>
  </tableColumns>
</table>
</file>

<file path=xl/tables/table7.xml><?xml version="1.0" encoding="utf-8"?>
<table xmlns="http://schemas.openxmlformats.org/spreadsheetml/2006/main" id="7" name="tbl_A_Fiscal_Tax_Revenue" displayName="tbl_A_Fiscal_Tax_Revenue" ref="I105:L128" headerRowCount="1" totalsRowCount="0" totalsRowShown="0">
  <autoFilter ref="I105:L128"/>
  <tableColumns count="4">
    <tableColumn id="1" name="Year"/>
    <tableColumn id="2" name="Level"/>
    <tableColumn id="3" name="YoY %"/>
    <tableColumn id="4" name="Annual Fcst (HW)"/>
  </tableColumns>
</table>
</file>

<file path=xl/tables/table8.xml><?xml version="1.0" encoding="utf-8"?>
<table xmlns="http://schemas.openxmlformats.org/spreadsheetml/2006/main" id="8" name="tbl_A_GDP_IMACEC_Monthly_Activity" displayName="tbl_A_GDP_IMACEC_Monthly_Activity" ref="I203:L226" headerRowCount="1" totalsRowCount="0" totalsRowShown="0">
  <autoFilter ref="I203:L226"/>
  <tableColumns count="4">
    <tableColumn id="1" name="Year"/>
    <tableColumn id="2" name="Level"/>
    <tableColumn id="3" name="YoY %"/>
    <tableColumn id="4" name="Annual Fcst (HW)"/>
  </tableColumns>
</table>
</file>

<file path=xl/tables/table9.xml><?xml version="1.0" encoding="utf-8"?>
<table xmlns="http://schemas.openxmlformats.org/spreadsheetml/2006/main" id="9" name="tbl_A_GDP_Nominal_GDP" displayName="tbl_A_GDP_Nominal_GDP" ref="I105:L128" headerRowCount="1" totalsRowCount="0" totalsRowShown="0">
  <autoFilter ref="I105:L128"/>
  <tableColumns count="4">
    <tableColumn id="1" name="Year"/>
    <tableColumn id="2" name="Level"/>
    <tableColumn id="3" name="YoY %"/>
    <tableColumn id="4" name="Annual Fcst (HW)"/>
  </tableColumns>
</table>
</file>

<file path=xl/tables/table10.xml><?xml version="1.0" encoding="utf-8"?>
<table xmlns="http://schemas.openxmlformats.org/spreadsheetml/2006/main" id="10" name="tbl_A_GDP_Real_GDP_SA" displayName="tbl_A_GDP_Real_GDP_SA" ref="I7:L30" headerRowCount="1" totalsRowCount="0" totalsRowShown="0">
  <autoFilter ref="I7:L30"/>
  <tableColumns count="4">
    <tableColumn id="1" name="Year"/>
    <tableColumn id="2" name="Level"/>
    <tableColumn id="3" name="YoY %"/>
    <tableColumn id="4" name="Annual Fcst (HW)"/>
  </tableColumns>
</table>
</file>

<file path=xl/tables/table11.xml><?xml version="1.0" encoding="utf-8"?>
<table xmlns="http://schemas.openxmlformats.org/spreadsheetml/2006/main" id="11" name="tbl_A_Inflation_Core_CPI_IPC_sin_vol_tiles" displayName="tbl_A_Inflation_Core_CPI_IPC_sin_vol_tiles" ref="I105:L128" headerRowCount="1" totalsRowCount="0" totalsRowShown="0">
  <autoFilter ref="I105:L128"/>
  <tableColumns count="4">
    <tableColumn id="1" name="Year"/>
    <tableColumn id="2" name="Level"/>
    <tableColumn id="3" name="YoY %"/>
    <tableColumn id="4" name="Annual Fcst (HW)"/>
  </tableColumns>
</table>
</file>

<file path=xl/tables/table12.xml><?xml version="1.0" encoding="utf-8"?>
<table xmlns="http://schemas.openxmlformats.org/spreadsheetml/2006/main" id="12" name="tbl_A_Inflation_CPI_Headline_IPC" displayName="tbl_A_Inflation_CPI_Headline_IPC" ref="I7:L30" headerRowCount="1" totalsRowCount="0" totalsRowShown="0">
  <autoFilter ref="I7:L30"/>
  <tableColumns count="4">
    <tableColumn id="1" name="Year"/>
    <tableColumn id="2" name="Level"/>
    <tableColumn id="3" name="YoY %"/>
    <tableColumn id="4" name="Annual Fcst (HW)"/>
  </tableColumns>
</table>
</file>

<file path=xl/tables/table13.xml><?xml version="1.0" encoding="utf-8"?>
<table xmlns="http://schemas.openxmlformats.org/spreadsheetml/2006/main" id="13" name="tbl_A_Inflation_Producer_Price_Index_IPP" displayName="tbl_A_Inflation_Producer_Price_Index_IPP" ref="I203:L226" headerRowCount="1" totalsRowCount="0" totalsRowShown="0">
  <autoFilter ref="I203:L226"/>
  <tableColumns count="4">
    <tableColumn id="1" name="Year"/>
    <tableColumn id="2" name="Level"/>
    <tableColumn id="3" name="YoY %"/>
    <tableColumn id="4" name="Annual Fcst (HW)"/>
  </tableColumns>
</table>
</file>

<file path=xl/tables/table14.xml><?xml version="1.0" encoding="utf-8"?>
<table xmlns="http://schemas.openxmlformats.org/spreadsheetml/2006/main" id="14" name="tbl_A_Reserves_BCCh_International_Reserves" displayName="tbl_A_Reserves_BCCh_International_Reserves" ref="I7:L30" headerRowCount="1" totalsRowCount="0" totalsRowShown="0">
  <autoFilter ref="I7:L30"/>
  <tableColumns count="4">
    <tableColumn id="1" name="Year"/>
    <tableColumn id="2" name="Level"/>
    <tableColumn id="3" name="YoY %"/>
    <tableColumn id="4" name="Annual Fcst (HW)"/>
  </tableColumns>
</table>
</file>

<file path=xl/tables/table15.xml><?xml version="1.0" encoding="utf-8"?>
<table xmlns="http://schemas.openxmlformats.org/spreadsheetml/2006/main" id="15" name="tbl_A_Reserves_Sovereign_Wealth_Funds_FRP_FEES" displayName="tbl_A_Reserves_Sovereign_Wealth_Funds_FRP_FEES" ref="I105:L128" headerRowCount="1" totalsRowCount="0" totalsRowShown="0">
  <autoFilter ref="I105:L128"/>
  <tableColumns count="4">
    <tableColumn id="1" name="Year"/>
    <tableColumn id="2" name="Level"/>
    <tableColumn id="3" name="YoY %"/>
    <tableColumn id="4" name="Annual Fcst (HW)"/>
  </tableColumns>
</table>
</file>

<file path=xl/tables/table16.xml><?xml version="1.0" encoding="utf-8"?>
<table xmlns="http://schemas.openxmlformats.org/spreadsheetml/2006/main" id="16" name="tbl_Codes" displayName="tbl_Codes" ref="A4:H19" headerRowCount="1" totalsRowCount="0" totalsRowShown="0">
  <autoFilter ref="A4:H19"/>
  <tableColumns count="8">
    <tableColumn id="1" name="Section"/>
    <tableColumn id="2" name="Indicator"/>
    <tableColumn id="3" name="Country"/>
    <tableColumn id="4" name="Frequency"/>
    <tableColumn id="5" name="Quarterly Code"/>
    <tableColumn id="6" name="Annual Code"/>
    <tableColumn id="7" name="Units"/>
    <tableColumn id="8" name="Notes"/>
  </tableColumns>
</table>
</file>

<file path=xl/tables/table17.xml><?xml version="1.0" encoding="utf-8"?>
<table xmlns="http://schemas.openxmlformats.org/spreadsheetml/2006/main" id="17" name="tbl_Q_BoP_Copper_Exports" displayName="tbl_Q_BoP_Copper_Exports" ref="A203:G295" headerRowCount="1" totalsRowCount="0" totalsRowShown="0">
  <autoFilter ref="A203:G295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18.xml><?xml version="1.0" encoding="utf-8"?>
<table xmlns="http://schemas.openxmlformats.org/spreadsheetml/2006/main" id="18" name="tbl_Q_BoP_Current_Account_Balance" displayName="tbl_Q_BoP_Current_Account_Balance" ref="A7:G99" headerRowCount="1" totalsRowCount="0" totalsRowShown="0">
  <autoFilter ref="A7:G99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19.xml><?xml version="1.0" encoding="utf-8"?>
<table xmlns="http://schemas.openxmlformats.org/spreadsheetml/2006/main" id="19" name="tbl_Q_BoP_Foreign_Direct_Investment" displayName="tbl_Q_BoP_Foreign_Direct_Investment" ref="A301:G393" headerRowCount="1" totalsRowCount="0" totalsRowShown="0">
  <autoFilter ref="A301:G393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20.xml><?xml version="1.0" encoding="utf-8"?>
<table xmlns="http://schemas.openxmlformats.org/spreadsheetml/2006/main" id="20" name="tbl_Q_BoP_Trade_Balance" displayName="tbl_Q_BoP_Trade_Balance" ref="A105:G197" headerRowCount="1" totalsRowCount="0" totalsRowShown="0">
  <autoFilter ref="A105:G197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21.xml><?xml version="1.0" encoding="utf-8"?>
<table xmlns="http://schemas.openxmlformats.org/spreadsheetml/2006/main" id="21" name="tbl_Q_Fiscal_Central_Govt_Balance" displayName="tbl_Q_Fiscal_Central_Govt_Balance" ref="A7:G99" headerRowCount="1" totalsRowCount="0" totalsRowShown="0">
  <autoFilter ref="A7:G99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22.xml><?xml version="1.0" encoding="utf-8"?>
<table xmlns="http://schemas.openxmlformats.org/spreadsheetml/2006/main" id="22" name="tbl_Q_Fiscal_Gross_Public_Debt" displayName="tbl_Q_Fiscal_Gross_Public_Debt" ref="A203:G295" headerRowCount="1" totalsRowCount="0" totalsRowShown="0">
  <autoFilter ref="A203:G295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23.xml><?xml version="1.0" encoding="utf-8"?>
<table xmlns="http://schemas.openxmlformats.org/spreadsheetml/2006/main" id="23" name="tbl_Q_Fiscal_Tax_Revenue" displayName="tbl_Q_Fiscal_Tax_Revenue" ref="A105:G197" headerRowCount="1" totalsRowCount="0" totalsRowShown="0">
  <autoFilter ref="A105:G197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24.xml><?xml version="1.0" encoding="utf-8"?>
<table xmlns="http://schemas.openxmlformats.org/spreadsheetml/2006/main" id="24" name="tbl_Q_GDP_IMACEC_Monthly_Activity" displayName="tbl_Q_GDP_IMACEC_Monthly_Activity" ref="A203:G295" headerRowCount="1" totalsRowCount="0" totalsRowShown="0">
  <autoFilter ref="A203:G295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25.xml><?xml version="1.0" encoding="utf-8"?>
<table xmlns="http://schemas.openxmlformats.org/spreadsheetml/2006/main" id="25" name="tbl_Q_GDP_Nominal_GDP" displayName="tbl_Q_GDP_Nominal_GDP" ref="A105:G197" headerRowCount="1" totalsRowCount="0" totalsRowShown="0">
  <autoFilter ref="A105:G197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26.xml><?xml version="1.0" encoding="utf-8"?>
<table xmlns="http://schemas.openxmlformats.org/spreadsheetml/2006/main" id="26" name="tbl_Q_GDP_Real_GDP_SA" displayName="tbl_Q_GDP_Real_GDP_SA" ref="A7:G99" headerRowCount="1" totalsRowCount="0" totalsRowShown="0">
  <autoFilter ref="A7:G99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27.xml><?xml version="1.0" encoding="utf-8"?>
<table xmlns="http://schemas.openxmlformats.org/spreadsheetml/2006/main" id="27" name="tbl_Q_Inflation_Core_CPI_IPC_sin_vol_tiles" displayName="tbl_Q_Inflation_Core_CPI_IPC_sin_vol_tiles" ref="A105:G197" headerRowCount="1" totalsRowCount="0" totalsRowShown="0">
  <autoFilter ref="A105:G197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28.xml><?xml version="1.0" encoding="utf-8"?>
<table xmlns="http://schemas.openxmlformats.org/spreadsheetml/2006/main" id="28" name="tbl_Q_Inflation_CPI_Headline_IPC" displayName="tbl_Q_Inflation_CPI_Headline_IPC" ref="A7:G99" headerRowCount="1" totalsRowCount="0" totalsRowShown="0">
  <autoFilter ref="A7:G99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29.xml><?xml version="1.0" encoding="utf-8"?>
<table xmlns="http://schemas.openxmlformats.org/spreadsheetml/2006/main" id="29" name="tbl_Q_Inflation_Producer_Price_Index_IPP" displayName="tbl_Q_Inflation_Producer_Price_Index_IPP" ref="A203:G295" headerRowCount="1" totalsRowCount="0" totalsRowShown="0">
  <autoFilter ref="A203:G295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30.xml><?xml version="1.0" encoding="utf-8"?>
<table xmlns="http://schemas.openxmlformats.org/spreadsheetml/2006/main" id="30" name="tbl_Q_Reserves_BCCh_International_Reserves" displayName="tbl_Q_Reserves_BCCh_International_Reserves" ref="A7:G99" headerRowCount="1" totalsRowCount="0" totalsRowShown="0">
  <autoFilter ref="A7:G99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ables/table31.xml><?xml version="1.0" encoding="utf-8"?>
<table xmlns="http://schemas.openxmlformats.org/spreadsheetml/2006/main" id="31" name="tbl_Q_Reserves_Sovereign_Wealth_Funds_FRP_FEES" displayName="tbl_Q_Reserves_Sovereign_Wealth_Funds_FRP_FEES" ref="A105:G197" headerRowCount="1" totalsRowCount="0" totalsRowShown="0">
  <autoFilter ref="A105:G197"/>
  <tableColumns count="7">
    <tableColumn id="1" name="Date"/>
    <tableColumn id="2" name="Level"/>
    <tableColumn id="3" name="QoQ %"/>
    <tableColumn id="4" name="YoY %"/>
    <tableColumn id="5" name="Linear Fcst"/>
    <tableColumn id="6" name="HW Fcst"/>
    <tableColumn id="7" name="HW Ran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8.xml"/><Relationship Id="rId3" Type="http://schemas.openxmlformats.org/officeDocument/2006/relationships/table" Target="../tables/table9.xml"/><Relationship Id="rId4" Type="http://schemas.openxmlformats.org/officeDocument/2006/relationships/table" Target="../tables/table10.xml"/><Relationship Id="rId5" Type="http://schemas.openxmlformats.org/officeDocument/2006/relationships/table" Target="../tables/table24.xml"/><Relationship Id="rId6" Type="http://schemas.openxmlformats.org/officeDocument/2006/relationships/table" Target="../tables/table25.xml"/><Relationship Id="rId7" Type="http://schemas.openxmlformats.org/officeDocument/2006/relationships/table" Target="../tables/table2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1.xml"/><Relationship Id="rId3" Type="http://schemas.openxmlformats.org/officeDocument/2006/relationships/table" Target="../tables/table12.xml"/><Relationship Id="rId4" Type="http://schemas.openxmlformats.org/officeDocument/2006/relationships/table" Target="../tables/table13.xml"/><Relationship Id="rId5" Type="http://schemas.openxmlformats.org/officeDocument/2006/relationships/table" Target="../tables/table27.xml"/><Relationship Id="rId6" Type="http://schemas.openxmlformats.org/officeDocument/2006/relationships/table" Target="../tables/table28.xml"/><Relationship Id="rId7" Type="http://schemas.openxmlformats.org/officeDocument/2006/relationships/table" Target="../tables/table2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5.xml"/><Relationship Id="rId3" Type="http://schemas.openxmlformats.org/officeDocument/2006/relationships/table" Target="../tables/table6.xml"/><Relationship Id="rId4" Type="http://schemas.openxmlformats.org/officeDocument/2006/relationships/table" Target="../tables/table7.xml"/><Relationship Id="rId5" Type="http://schemas.openxmlformats.org/officeDocument/2006/relationships/table" Target="../tables/table21.xml"/><Relationship Id="rId6" Type="http://schemas.openxmlformats.org/officeDocument/2006/relationships/table" Target="../tables/table22.xml"/><Relationship Id="rId7" Type="http://schemas.openxmlformats.org/officeDocument/2006/relationships/table" Target="../tables/table2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Relationship Id="rId8" Type="http://schemas.openxmlformats.org/officeDocument/2006/relationships/table" Target="../tables/table19.xml"/><Relationship Id="rId9" Type="http://schemas.openxmlformats.org/officeDocument/2006/relationships/table" Target="../tables/table2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14.xml"/><Relationship Id="rId3" Type="http://schemas.openxmlformats.org/officeDocument/2006/relationships/table" Target="../tables/table15.xml"/><Relationship Id="rId4" Type="http://schemas.openxmlformats.org/officeDocument/2006/relationships/table" Target="../tables/table30.xml"/><Relationship Id="rId5" Type="http://schemas.openxmlformats.org/officeDocument/2006/relationships/table" Target="../tables/table3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23.8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5"/>
      <c r="B8" s="4"/>
    </row>
    <row r="9" customFormat="false" ht="15" hidden="false" customHeight="false" outlineLevel="0" collapsed="false">
      <c r="A9" s="3" t="s">
        <v>9</v>
      </c>
      <c r="B9" s="4"/>
    </row>
    <row r="10" customFormat="false" ht="15" hidden="false" customHeight="false" outlineLevel="0" collapsed="false">
      <c r="A10" s="5" t="s">
        <v>10</v>
      </c>
      <c r="B10" s="4" t="s">
        <v>11</v>
      </c>
    </row>
    <row r="11" customFormat="false" ht="15" hidden="false" customHeight="false" outlineLevel="0" collapsed="false">
      <c r="A11" s="5" t="s">
        <v>12</v>
      </c>
      <c r="B11" s="4" t="s">
        <v>13</v>
      </c>
    </row>
    <row r="12" customFormat="false" ht="15" hidden="false" customHeight="false" outlineLevel="0" collapsed="false">
      <c r="A12" s="5" t="s">
        <v>14</v>
      </c>
      <c r="B12" s="4" t="s">
        <v>15</v>
      </c>
    </row>
    <row r="13" customFormat="false" ht="15" hidden="false" customHeight="false" outlineLevel="0" collapsed="false">
      <c r="A13" s="5" t="s">
        <v>16</v>
      </c>
      <c r="B13" s="4" t="s">
        <v>17</v>
      </c>
    </row>
    <row r="14" customFormat="false" ht="15" hidden="false" customHeight="false" outlineLevel="0" collapsed="false">
      <c r="A14" s="5"/>
      <c r="B14" s="4"/>
    </row>
    <row r="15" customFormat="false" ht="15" hidden="false" customHeight="false" outlineLevel="0" collapsed="false">
      <c r="A15" s="3" t="s">
        <v>18</v>
      </c>
      <c r="B15" s="4"/>
    </row>
    <row r="16" customFormat="false" ht="15" hidden="false" customHeight="false" outlineLevel="0" collapsed="false">
      <c r="A16" s="5" t="s">
        <v>19</v>
      </c>
      <c r="B16" s="4" t="s">
        <v>20</v>
      </c>
    </row>
    <row r="17" customFormat="false" ht="23.85" hidden="false" customHeight="false" outlineLevel="0" collapsed="false">
      <c r="A17" s="5" t="s">
        <v>21</v>
      </c>
      <c r="B17" s="4" t="s">
        <v>22</v>
      </c>
    </row>
    <row r="18" customFormat="false" ht="15" hidden="false" customHeight="false" outlineLevel="0" collapsed="false">
      <c r="A18" s="5"/>
      <c r="B18" s="4"/>
    </row>
    <row r="19" customFormat="false" ht="15" hidden="false" customHeight="false" outlineLevel="0" collapsed="false">
      <c r="A19" s="3" t="s">
        <v>23</v>
      </c>
      <c r="B19" s="4"/>
    </row>
    <row r="20" customFormat="false" ht="15" hidden="false" customHeight="false" outlineLevel="0" collapsed="false">
      <c r="A20" s="5" t="s">
        <v>24</v>
      </c>
      <c r="B20" s="4" t="s">
        <v>25</v>
      </c>
    </row>
    <row r="21" customFormat="false" ht="15" hidden="false" customHeight="false" outlineLevel="0" collapsed="false">
      <c r="A21" s="5" t="s">
        <v>26</v>
      </c>
      <c r="B21" s="4" t="s">
        <v>27</v>
      </c>
    </row>
    <row r="22" customFormat="false" ht="15" hidden="false" customHeight="false" outlineLevel="0" collapsed="false">
      <c r="A22" s="5" t="s">
        <v>28</v>
      </c>
      <c r="B22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7" min="5" style="0" width="22"/>
    <col collapsed="false" customWidth="true" hidden="false" outlineLevel="0" max="8" min="8" style="0" width="50"/>
  </cols>
  <sheetData>
    <row r="1" customFormat="false" ht="22.0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6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</row>
    <row r="5" customFormat="false" ht="23.85" hidden="false" customHeight="false" outlineLevel="0" collapsed="false">
      <c r="A5" s="7" t="s">
        <v>40</v>
      </c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  <c r="H5" s="8" t="s">
        <v>47</v>
      </c>
    </row>
    <row r="6" customFormat="false" ht="15" hidden="false" customHeight="false" outlineLevel="0" collapsed="false">
      <c r="A6" s="7" t="s">
        <v>40</v>
      </c>
      <c r="B6" s="7" t="s">
        <v>48</v>
      </c>
      <c r="C6" s="7" t="s">
        <v>42</v>
      </c>
      <c r="D6" s="7" t="s">
        <v>43</v>
      </c>
      <c r="E6" s="7" t="s">
        <v>49</v>
      </c>
      <c r="F6" s="7" t="s">
        <v>50</v>
      </c>
      <c r="G6" s="7" t="s">
        <v>51</v>
      </c>
      <c r="H6" s="8" t="s">
        <v>52</v>
      </c>
    </row>
    <row r="7" customFormat="false" ht="23.85" hidden="false" customHeight="false" outlineLevel="0" collapsed="false">
      <c r="A7" s="7" t="s">
        <v>40</v>
      </c>
      <c r="B7" s="7" t="s">
        <v>53</v>
      </c>
      <c r="C7" s="7" t="s">
        <v>42</v>
      </c>
      <c r="D7" s="7" t="s">
        <v>54</v>
      </c>
      <c r="E7" s="7" t="s">
        <v>55</v>
      </c>
      <c r="F7" s="7" t="s">
        <v>56</v>
      </c>
      <c r="G7" s="7" t="s">
        <v>57</v>
      </c>
      <c r="H7" s="8" t="s">
        <v>58</v>
      </c>
    </row>
    <row r="8" customFormat="false" ht="15" hidden="false" customHeight="false" outlineLevel="0" collapsed="false">
      <c r="A8" s="7" t="s">
        <v>59</v>
      </c>
      <c r="B8" s="7" t="s">
        <v>60</v>
      </c>
      <c r="C8" s="7" t="s">
        <v>42</v>
      </c>
      <c r="D8" s="7" t="s">
        <v>54</v>
      </c>
      <c r="E8" s="7" t="s">
        <v>61</v>
      </c>
      <c r="F8" s="7" t="s">
        <v>62</v>
      </c>
      <c r="G8" s="7" t="s">
        <v>63</v>
      </c>
      <c r="H8" s="8" t="s">
        <v>64</v>
      </c>
    </row>
    <row r="9" customFormat="false" ht="15" hidden="false" customHeight="false" outlineLevel="0" collapsed="false">
      <c r="A9" s="7" t="s">
        <v>59</v>
      </c>
      <c r="B9" s="7" t="s">
        <v>65</v>
      </c>
      <c r="C9" s="7" t="s">
        <v>42</v>
      </c>
      <c r="D9" s="7" t="s">
        <v>54</v>
      </c>
      <c r="E9" s="7" t="s">
        <v>66</v>
      </c>
      <c r="F9" s="7" t="s">
        <v>67</v>
      </c>
      <c r="G9" s="7" t="s">
        <v>68</v>
      </c>
      <c r="H9" s="8" t="s">
        <v>69</v>
      </c>
    </row>
    <row r="10" customFormat="false" ht="15" hidden="false" customHeight="false" outlineLevel="0" collapsed="false">
      <c r="A10" s="7" t="s">
        <v>59</v>
      </c>
      <c r="B10" s="7" t="s">
        <v>70</v>
      </c>
      <c r="C10" s="7" t="s">
        <v>42</v>
      </c>
      <c r="D10" s="7" t="s">
        <v>54</v>
      </c>
      <c r="E10" s="7" t="s">
        <v>71</v>
      </c>
      <c r="F10" s="7" t="s">
        <v>72</v>
      </c>
      <c r="G10" s="7" t="s">
        <v>68</v>
      </c>
      <c r="H10" s="8" t="s">
        <v>52</v>
      </c>
    </row>
    <row r="11" customFormat="false" ht="15" hidden="false" customHeight="false" outlineLevel="0" collapsed="false">
      <c r="A11" s="7" t="s">
        <v>73</v>
      </c>
      <c r="B11" s="7" t="s">
        <v>74</v>
      </c>
      <c r="C11" s="7" t="s">
        <v>42</v>
      </c>
      <c r="D11" s="7" t="s">
        <v>54</v>
      </c>
      <c r="E11" s="7" t="s">
        <v>75</v>
      </c>
      <c r="F11" s="7" t="s">
        <v>76</v>
      </c>
      <c r="G11" s="7" t="s">
        <v>51</v>
      </c>
      <c r="H11" s="8" t="s">
        <v>77</v>
      </c>
    </row>
    <row r="12" customFormat="false" ht="15" hidden="false" customHeight="false" outlineLevel="0" collapsed="false">
      <c r="A12" s="7" t="s">
        <v>73</v>
      </c>
      <c r="B12" s="7" t="s">
        <v>78</v>
      </c>
      <c r="C12" s="7" t="s">
        <v>42</v>
      </c>
      <c r="D12" s="7" t="s">
        <v>54</v>
      </c>
      <c r="E12" s="7" t="s">
        <v>79</v>
      </c>
      <c r="F12" s="7" t="s">
        <v>80</v>
      </c>
      <c r="G12" s="7" t="s">
        <v>51</v>
      </c>
      <c r="H12" s="8" t="s">
        <v>52</v>
      </c>
    </row>
    <row r="13" customFormat="false" ht="15" hidden="false" customHeight="false" outlineLevel="0" collapsed="false">
      <c r="A13" s="7" t="s">
        <v>73</v>
      </c>
      <c r="B13" s="7" t="s">
        <v>81</v>
      </c>
      <c r="C13" s="7" t="s">
        <v>42</v>
      </c>
      <c r="D13" s="7" t="s">
        <v>43</v>
      </c>
      <c r="E13" s="7" t="s">
        <v>82</v>
      </c>
      <c r="F13" s="7" t="s">
        <v>83</v>
      </c>
      <c r="G13" s="7" t="s">
        <v>84</v>
      </c>
      <c r="H13" s="8" t="s">
        <v>52</v>
      </c>
    </row>
    <row r="14" customFormat="false" ht="15" hidden="false" customHeight="false" outlineLevel="0" collapsed="false">
      <c r="A14" s="7" t="s">
        <v>85</v>
      </c>
      <c r="B14" s="7" t="s">
        <v>86</v>
      </c>
      <c r="C14" s="7" t="s">
        <v>42</v>
      </c>
      <c r="D14" s="7" t="s">
        <v>43</v>
      </c>
      <c r="E14" s="7" t="s">
        <v>87</v>
      </c>
      <c r="F14" s="7" t="s">
        <v>88</v>
      </c>
      <c r="G14" s="7" t="s">
        <v>89</v>
      </c>
      <c r="H14" s="8" t="s">
        <v>52</v>
      </c>
    </row>
    <row r="15" customFormat="false" ht="15" hidden="false" customHeight="false" outlineLevel="0" collapsed="false">
      <c r="A15" s="7" t="s">
        <v>85</v>
      </c>
      <c r="B15" s="7" t="s">
        <v>90</v>
      </c>
      <c r="C15" s="7" t="s">
        <v>42</v>
      </c>
      <c r="D15" s="7" t="s">
        <v>54</v>
      </c>
      <c r="E15" s="7" t="s">
        <v>91</v>
      </c>
      <c r="F15" s="7" t="s">
        <v>92</v>
      </c>
      <c r="G15" s="7" t="s">
        <v>89</v>
      </c>
      <c r="H15" s="8" t="s">
        <v>93</v>
      </c>
    </row>
    <row r="16" customFormat="false" ht="23.85" hidden="false" customHeight="false" outlineLevel="0" collapsed="false">
      <c r="A16" s="7" t="s">
        <v>85</v>
      </c>
      <c r="B16" s="7" t="s">
        <v>94</v>
      </c>
      <c r="C16" s="7" t="s">
        <v>42</v>
      </c>
      <c r="D16" s="7" t="s">
        <v>54</v>
      </c>
      <c r="E16" s="7" t="s">
        <v>95</v>
      </c>
      <c r="F16" s="7" t="s">
        <v>96</v>
      </c>
      <c r="G16" s="7" t="s">
        <v>89</v>
      </c>
      <c r="H16" s="8" t="s">
        <v>97</v>
      </c>
    </row>
    <row r="17" customFormat="false" ht="15" hidden="false" customHeight="false" outlineLevel="0" collapsed="false">
      <c r="A17" s="7" t="s">
        <v>85</v>
      </c>
      <c r="B17" s="7" t="s">
        <v>98</v>
      </c>
      <c r="C17" s="7" t="s">
        <v>42</v>
      </c>
      <c r="D17" s="7" t="s">
        <v>43</v>
      </c>
      <c r="E17" s="7" t="s">
        <v>99</v>
      </c>
      <c r="F17" s="7" t="s">
        <v>100</v>
      </c>
      <c r="G17" s="7" t="s">
        <v>89</v>
      </c>
      <c r="H17" s="8" t="s">
        <v>52</v>
      </c>
    </row>
    <row r="18" customFormat="false" ht="23.85" hidden="false" customHeight="false" outlineLevel="0" collapsed="false">
      <c r="A18" s="7" t="s">
        <v>101</v>
      </c>
      <c r="B18" s="7" t="s">
        <v>102</v>
      </c>
      <c r="C18" s="7" t="s">
        <v>42</v>
      </c>
      <c r="D18" s="7" t="s">
        <v>54</v>
      </c>
      <c r="E18" s="7" t="s">
        <v>103</v>
      </c>
      <c r="F18" s="7" t="s">
        <v>104</v>
      </c>
      <c r="G18" s="7" t="s">
        <v>89</v>
      </c>
      <c r="H18" s="8" t="s">
        <v>105</v>
      </c>
    </row>
    <row r="19" customFormat="false" ht="23.85" hidden="false" customHeight="false" outlineLevel="0" collapsed="false">
      <c r="A19" s="7" t="s">
        <v>101</v>
      </c>
      <c r="B19" s="7" t="s">
        <v>106</v>
      </c>
      <c r="C19" s="7" t="s">
        <v>42</v>
      </c>
      <c r="D19" s="7" t="s">
        <v>54</v>
      </c>
      <c r="E19" s="7" t="s">
        <v>107</v>
      </c>
      <c r="F19" s="7" t="s">
        <v>108</v>
      </c>
      <c r="G19" s="7" t="s">
        <v>89</v>
      </c>
      <c r="H19" s="8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1"/>
    <col collapsed="false" customWidth="true" hidden="false" outlineLevel="0" max="7" min="5" style="0" width="13"/>
    <col collapsed="false" customWidth="true" hidden="false" outlineLevel="0" max="8" min="8" style="0" width="2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6"/>
  </cols>
  <sheetData>
    <row r="1" customFormat="false" ht="22.0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21.75" hidden="false" customHeight="true" outlineLevel="0" collapsed="false">
      <c r="A4" s="9" t="s">
        <v>112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false" outlineLevel="0" collapsed="false">
      <c r="A5" s="5" t="s">
        <v>113</v>
      </c>
      <c r="B5" s="10" t="s">
        <v>114</v>
      </c>
      <c r="D5" s="5" t="s">
        <v>115</v>
      </c>
      <c r="E5" s="2" t="s">
        <v>116</v>
      </c>
      <c r="H5" s="5" t="s">
        <v>117</v>
      </c>
      <c r="I5" s="2" t="s">
        <v>118</v>
      </c>
    </row>
    <row r="6" customFormat="false" ht="18" hidden="false" customHeight="true" outlineLevel="0" collapsed="false">
      <c r="A6" s="11" t="s">
        <v>119</v>
      </c>
      <c r="B6" s="11"/>
      <c r="C6" s="11"/>
      <c r="D6" s="11"/>
      <c r="E6" s="11"/>
      <c r="F6" s="11"/>
      <c r="G6" s="11"/>
      <c r="I6" s="11" t="s">
        <v>120</v>
      </c>
      <c r="J6" s="11"/>
      <c r="K6" s="11"/>
      <c r="L6" s="11"/>
    </row>
    <row r="7" customFormat="false" ht="15" hidden="false" customHeight="false" outlineLevel="0" collapsed="false">
      <c r="A7" s="6" t="s">
        <v>121</v>
      </c>
      <c r="B7" s="6" t="s">
        <v>122</v>
      </c>
      <c r="C7" s="6" t="s">
        <v>123</v>
      </c>
      <c r="D7" s="6" t="s">
        <v>124</v>
      </c>
      <c r="E7" s="6" t="s">
        <v>125</v>
      </c>
      <c r="F7" s="6" t="s">
        <v>126</v>
      </c>
      <c r="G7" s="6" t="s">
        <v>127</v>
      </c>
      <c r="I7" s="6" t="s">
        <v>128</v>
      </c>
      <c r="J7" s="6" t="s">
        <v>122</v>
      </c>
      <c r="K7" s="6" t="s">
        <v>124</v>
      </c>
      <c r="L7" s="6" t="s">
        <v>129</v>
      </c>
    </row>
    <row r="8" customFormat="false" ht="15" hidden="false" customHeight="false" outlineLevel="0" collapsed="false">
      <c r="A8" s="12" t="n">
        <v>38353</v>
      </c>
      <c r="B8" s="13" t="n">
        <v>100.000415380884</v>
      </c>
      <c r="C8" s="14"/>
      <c r="D8" s="14"/>
      <c r="E8" s="14"/>
      <c r="F8" s="14"/>
      <c r="G8" s="14"/>
      <c r="I8" s="15" t="n">
        <v>2005</v>
      </c>
      <c r="J8" s="13" t="n">
        <v>100.588568646258</v>
      </c>
      <c r="K8" s="14"/>
      <c r="L8" s="14"/>
    </row>
    <row r="9" customFormat="false" ht="15" hidden="false" customHeight="false" outlineLevel="0" collapsed="false">
      <c r="A9" s="16" t="n">
        <v>38443</v>
      </c>
      <c r="B9" s="17" t="n">
        <v>99.6964469367722</v>
      </c>
      <c r="C9" s="18" t="n">
        <f aca="false">IFERROR((B9/B8-1)*100,"")</f>
        <v>-0.303967181490417</v>
      </c>
      <c r="D9" s="19"/>
      <c r="E9" s="19"/>
      <c r="F9" s="19"/>
      <c r="G9" s="19"/>
      <c r="I9" s="20" t="n">
        <v>2006</v>
      </c>
      <c r="J9" s="17" t="n">
        <v>102.925931636567</v>
      </c>
      <c r="K9" s="18" t="n">
        <f aca="false">IFERROR((J9/J8-1)*100,"")</f>
        <v>2.32368650013179</v>
      </c>
      <c r="L9" s="19"/>
    </row>
    <row r="10" customFormat="false" ht="15" hidden="false" customHeight="false" outlineLevel="0" collapsed="false">
      <c r="A10" s="12" t="n">
        <v>38534</v>
      </c>
      <c r="B10" s="13" t="n">
        <v>100.606071373329</v>
      </c>
      <c r="C10" s="21" t="n">
        <f aca="false">IFERROR((B10/B9-1)*100,"")</f>
        <v>0.912394036603192</v>
      </c>
      <c r="D10" s="14"/>
      <c r="E10" s="14"/>
      <c r="F10" s="14"/>
      <c r="G10" s="14"/>
      <c r="I10" s="15" t="n">
        <v>2007</v>
      </c>
      <c r="J10" s="13" t="n">
        <v>104.898084296044</v>
      </c>
      <c r="K10" s="21" t="n">
        <f aca="false">IFERROR((J10/J9-1)*100,"")</f>
        <v>1.91608919940653</v>
      </c>
      <c r="L10" s="14"/>
    </row>
    <row r="11" customFormat="false" ht="15" hidden="false" customHeight="false" outlineLevel="0" collapsed="false">
      <c r="A11" s="16" t="n">
        <v>38626</v>
      </c>
      <c r="B11" s="17" t="n">
        <v>102.051340894047</v>
      </c>
      <c r="C11" s="18" t="n">
        <f aca="false">IFERROR((B11/B10-1)*100,"")</f>
        <v>1.43656292407612</v>
      </c>
      <c r="D11" s="19"/>
      <c r="E11" s="19"/>
      <c r="F11" s="19"/>
      <c r="G11" s="19"/>
      <c r="I11" s="20" t="n">
        <v>2008</v>
      </c>
      <c r="J11" s="17" t="n">
        <v>106.880550851045</v>
      </c>
      <c r="K11" s="18" t="n">
        <f aca="false">IFERROR((J11/J10-1)*100,"")</f>
        <v>1.88989776915893</v>
      </c>
      <c r="L11" s="19"/>
    </row>
    <row r="12" customFormat="false" ht="15" hidden="false" customHeight="false" outlineLevel="0" collapsed="false">
      <c r="A12" s="12" t="n">
        <v>38718</v>
      </c>
      <c r="B12" s="13" t="n">
        <v>101.848130866561</v>
      </c>
      <c r="C12" s="21" t="n">
        <f aca="false">IFERROR((B12/B11-1)*100,"")</f>
        <v>-0.1991252890025</v>
      </c>
      <c r="D12" s="21" t="n">
        <f aca="false">IFERROR((B12/B8-1)*100,"")</f>
        <v>1.84770781065196</v>
      </c>
      <c r="E12" s="14"/>
      <c r="F12" s="14"/>
      <c r="G12" s="14"/>
      <c r="I12" s="15" t="n">
        <v>2009</v>
      </c>
      <c r="J12" s="13" t="n">
        <v>109.009485721034</v>
      </c>
      <c r="K12" s="21" t="n">
        <f aca="false">IFERROR((J12/J11-1)*100,"")</f>
        <v>1.99188238929973</v>
      </c>
      <c r="L12" s="14"/>
    </row>
    <row r="13" customFormat="false" ht="15" hidden="false" customHeight="false" outlineLevel="0" collapsed="false">
      <c r="A13" s="16" t="n">
        <v>38808</v>
      </c>
      <c r="B13" s="17" t="n">
        <v>102.381051791352</v>
      </c>
      <c r="C13" s="18" t="n">
        <f aca="false">IFERROR((B13/B12-1)*100,"")</f>
        <v>0.523250569506684</v>
      </c>
      <c r="D13" s="18" t="n">
        <f aca="false">IFERROR((B13/B9-1)*100,"")</f>
        <v>2.69277886731789</v>
      </c>
      <c r="E13" s="19"/>
      <c r="F13" s="19"/>
      <c r="G13" s="19"/>
      <c r="I13" s="20" t="n">
        <v>2010</v>
      </c>
      <c r="J13" s="17" t="n">
        <v>111.176842277169</v>
      </c>
      <c r="K13" s="18" t="n">
        <f aca="false">IFERROR((J13/J12-1)*100,"")</f>
        <v>1.98822748479091</v>
      </c>
      <c r="L13" s="19"/>
    </row>
    <row r="14" customFormat="false" ht="15" hidden="false" customHeight="false" outlineLevel="0" collapsed="false">
      <c r="A14" s="12" t="n">
        <v>38899</v>
      </c>
      <c r="B14" s="13" t="n">
        <v>103.252846779729</v>
      </c>
      <c r="C14" s="21" t="n">
        <f aca="false">IFERROR((B14/B13-1)*100,"")</f>
        <v>0.851519859508154</v>
      </c>
      <c r="D14" s="21" t="n">
        <f aca="false">IFERROR((B14/B10-1)*100,"")</f>
        <v>2.63083069467931</v>
      </c>
      <c r="E14" s="14"/>
      <c r="F14" s="14"/>
      <c r="G14" s="14"/>
      <c r="I14" s="15" t="n">
        <v>2011</v>
      </c>
      <c r="J14" s="13" t="n">
        <v>113.446112652145</v>
      </c>
      <c r="K14" s="21" t="n">
        <f aca="false">IFERROR((J14/J13-1)*100,"")</f>
        <v>2.04113584132872</v>
      </c>
      <c r="L14" s="14"/>
    </row>
    <row r="15" customFormat="false" ht="15" hidden="false" customHeight="false" outlineLevel="0" collapsed="false">
      <c r="A15" s="16" t="n">
        <v>38991</v>
      </c>
      <c r="B15" s="17" t="n">
        <v>104.221697108625</v>
      </c>
      <c r="C15" s="18" t="n">
        <f aca="false">IFERROR((B15/B14-1)*100,"")</f>
        <v>0.938327958126872</v>
      </c>
      <c r="D15" s="18" t="n">
        <f aca="false">IFERROR((B15/B11-1)*100,"")</f>
        <v>2.12672973776122</v>
      </c>
      <c r="E15" s="19"/>
      <c r="F15" s="19"/>
      <c r="G15" s="19"/>
      <c r="I15" s="20" t="n">
        <v>2012</v>
      </c>
      <c r="J15" s="17" t="n">
        <v>115.809369731691</v>
      </c>
      <c r="K15" s="18" t="n">
        <f aca="false">IFERROR((J15/J14-1)*100,"")</f>
        <v>2.08315386424207</v>
      </c>
      <c r="L15" s="19"/>
    </row>
    <row r="16" customFormat="false" ht="15" hidden="false" customHeight="false" outlineLevel="0" collapsed="false">
      <c r="A16" s="12" t="n">
        <v>39083</v>
      </c>
      <c r="B16" s="13" t="n">
        <v>104.252103814434</v>
      </c>
      <c r="C16" s="21" t="n">
        <f aca="false">IFERROR((B16/B15-1)*100,"")</f>
        <v>0.0291750246368627</v>
      </c>
      <c r="D16" s="21" t="n">
        <f aca="false">IFERROR((B16/B12-1)*100,"")</f>
        <v>2.36035058023991</v>
      </c>
      <c r="E16" s="14"/>
      <c r="F16" s="14"/>
      <c r="G16" s="14"/>
      <c r="I16" s="15" t="n">
        <v>2013</v>
      </c>
      <c r="J16" s="13" t="n">
        <v>118.602566927756</v>
      </c>
      <c r="K16" s="21" t="n">
        <f aca="false">IFERROR((J16/J15-1)*100,"")</f>
        <v>2.41189223508973</v>
      </c>
      <c r="L16" s="14"/>
    </row>
    <row r="17" customFormat="false" ht="15" hidden="false" customHeight="false" outlineLevel="0" collapsed="false">
      <c r="A17" s="16" t="n">
        <v>39173</v>
      </c>
      <c r="B17" s="17" t="n">
        <v>105.164752313864</v>
      </c>
      <c r="C17" s="18" t="n">
        <f aca="false">IFERROR((B17/B16-1)*100,"")</f>
        <v>0.875424539206704</v>
      </c>
      <c r="D17" s="18" t="n">
        <f aca="false">IFERROR((B17/B13-1)*100,"")</f>
        <v>2.71896066098738</v>
      </c>
      <c r="E17" s="19"/>
      <c r="F17" s="19"/>
      <c r="G17" s="19"/>
      <c r="I17" s="20" t="n">
        <v>2014</v>
      </c>
      <c r="J17" s="17" t="n">
        <v>120.709123728558</v>
      </c>
      <c r="K17" s="18" t="n">
        <f aca="false">IFERROR((J17/J16-1)*100,"")</f>
        <v>1.77614773050025</v>
      </c>
      <c r="L17" s="19"/>
    </row>
    <row r="18" customFormat="false" ht="15" hidden="false" customHeight="false" outlineLevel="0" collapsed="false">
      <c r="A18" s="12" t="n">
        <v>39264</v>
      </c>
      <c r="B18" s="13" t="n">
        <v>105.439105840615</v>
      </c>
      <c r="C18" s="21" t="n">
        <f aca="false">IFERROR((B18/B17-1)*100,"")</f>
        <v>0.260879734620101</v>
      </c>
      <c r="D18" s="21" t="n">
        <f aca="false">IFERROR((B18/B14-1)*100,"")</f>
        <v>2.11738380981357</v>
      </c>
      <c r="E18" s="14"/>
      <c r="F18" s="14"/>
      <c r="G18" s="14"/>
      <c r="I18" s="15" t="n">
        <v>2015</v>
      </c>
      <c r="J18" s="13" t="n">
        <v>123.656346876272</v>
      </c>
      <c r="K18" s="21" t="n">
        <f aca="false">IFERROR((J18/J17-1)*100,"")</f>
        <v>2.44159103858694</v>
      </c>
      <c r="L18" s="14"/>
    </row>
    <row r="19" customFormat="false" ht="15" hidden="false" customHeight="false" outlineLevel="0" collapsed="false">
      <c r="A19" s="16" t="n">
        <v>39356</v>
      </c>
      <c r="B19" s="17" t="n">
        <v>104.736375215262</v>
      </c>
      <c r="C19" s="18" t="n">
        <f aca="false">IFERROR((B19/B18-1)*100,"")</f>
        <v>-0.666480068993158</v>
      </c>
      <c r="D19" s="18" t="n">
        <f aca="false">IFERROR((B19/B15-1)*100,"")</f>
        <v>0.493830095762871</v>
      </c>
      <c r="E19" s="19"/>
      <c r="F19" s="19"/>
      <c r="G19" s="19"/>
      <c r="I19" s="20" t="n">
        <v>2016</v>
      </c>
      <c r="J19" s="17" t="n">
        <v>125.639155624993</v>
      </c>
      <c r="K19" s="18" t="n">
        <f aca="false">IFERROR((J19/J18-1)*100,"")</f>
        <v>1.60348320066885</v>
      </c>
      <c r="L19" s="19"/>
    </row>
    <row r="20" customFormat="false" ht="15" hidden="false" customHeight="false" outlineLevel="0" collapsed="false">
      <c r="A20" s="12" t="n">
        <v>39448</v>
      </c>
      <c r="B20" s="13" t="n">
        <v>106.285657294755</v>
      </c>
      <c r="C20" s="21" t="n">
        <f aca="false">IFERROR((B20/B19-1)*100,"")</f>
        <v>1.47922063973285</v>
      </c>
      <c r="D20" s="21" t="n">
        <f aca="false">IFERROR((B20/B16-1)*100,"")</f>
        <v>1.95061145618767</v>
      </c>
      <c r="E20" s="14"/>
      <c r="F20" s="14"/>
      <c r="G20" s="14"/>
      <c r="I20" s="15" t="n">
        <v>2017</v>
      </c>
      <c r="J20" s="13" t="n">
        <v>128.150353449551</v>
      </c>
      <c r="K20" s="21" t="n">
        <f aca="false">IFERROR((J20/J19-1)*100,"")</f>
        <v>1.99873822142875</v>
      </c>
      <c r="L20" s="14"/>
    </row>
    <row r="21" customFormat="false" ht="15" hidden="false" customHeight="false" outlineLevel="0" collapsed="false">
      <c r="A21" s="16" t="n">
        <v>39539</v>
      </c>
      <c r="B21" s="17" t="n">
        <v>106.40820328668</v>
      </c>
      <c r="C21" s="18" t="n">
        <f aca="false">IFERROR((B21/B20-1)*100,"")</f>
        <v>0.115298710140199</v>
      </c>
      <c r="D21" s="18" t="n">
        <f aca="false">IFERROR((B21/B17-1)*100,"")</f>
        <v>1.18238377921911</v>
      </c>
      <c r="E21" s="19"/>
      <c r="F21" s="19"/>
      <c r="G21" s="19"/>
      <c r="I21" s="20" t="n">
        <v>2018</v>
      </c>
      <c r="J21" s="17" t="n">
        <v>130.59269098559</v>
      </c>
      <c r="K21" s="18" t="n">
        <f aca="false">IFERROR((J21/J20-1)*100,"")</f>
        <v>1.90583753403435</v>
      </c>
      <c r="L21" s="19"/>
    </row>
    <row r="22" customFormat="false" ht="15" hidden="false" customHeight="false" outlineLevel="0" collapsed="false">
      <c r="A22" s="12" t="n">
        <v>39630</v>
      </c>
      <c r="B22" s="13" t="n">
        <v>106.72432835113</v>
      </c>
      <c r="C22" s="21" t="n">
        <f aca="false">IFERROR((B22/B21-1)*100,"")</f>
        <v>0.297087117990902</v>
      </c>
      <c r="D22" s="21" t="n">
        <f aca="false">IFERROR((B22/B18-1)*100,"")</f>
        <v>1.21892394692524</v>
      </c>
      <c r="E22" s="14"/>
      <c r="F22" s="14"/>
      <c r="G22" s="14"/>
      <c r="I22" s="15" t="n">
        <v>2019</v>
      </c>
      <c r="J22" s="13" t="n">
        <v>132.927433548901</v>
      </c>
      <c r="K22" s="21" t="n">
        <f aca="false">IFERROR((J22/J21-1)*100,"")</f>
        <v>1.78780492667021</v>
      </c>
      <c r="L22" s="14"/>
    </row>
    <row r="23" customFormat="false" ht="15" hidden="false" customHeight="false" outlineLevel="0" collapsed="false">
      <c r="A23" s="16" t="n">
        <v>39722</v>
      </c>
      <c r="B23" s="17" t="n">
        <v>108.104014471617</v>
      </c>
      <c r="C23" s="18" t="n">
        <f aca="false">IFERROR((B23/B22-1)*100,"")</f>
        <v>1.2927569016389</v>
      </c>
      <c r="D23" s="18" t="n">
        <f aca="false">IFERROR((B23/B19-1)*100,"")</f>
        <v>3.21534829655215</v>
      </c>
      <c r="E23" s="19"/>
      <c r="F23" s="19"/>
      <c r="G23" s="19"/>
      <c r="I23" s="20" t="n">
        <v>2020</v>
      </c>
      <c r="J23" s="17" t="n">
        <v>136.157596160437</v>
      </c>
      <c r="K23" s="18" t="n">
        <f aca="false">IFERROR((J23/J22-1)*100,"")</f>
        <v>2.43001954171305</v>
      </c>
      <c r="L23" s="19"/>
    </row>
    <row r="24" customFormat="false" ht="15" hidden="false" customHeight="false" outlineLevel="0" collapsed="false">
      <c r="A24" s="12" t="n">
        <v>39814</v>
      </c>
      <c r="B24" s="13" t="n">
        <v>108.448300069894</v>
      </c>
      <c r="C24" s="21" t="n">
        <f aca="false">IFERROR((B24/B23-1)*100,"")</f>
        <v>0.31847623787109</v>
      </c>
      <c r="D24" s="21" t="n">
        <f aca="false">IFERROR((B24/B20-1)*100,"")</f>
        <v>2.03474563754307</v>
      </c>
      <c r="E24" s="14"/>
      <c r="F24" s="14"/>
      <c r="G24" s="14"/>
      <c r="I24" s="15" t="n">
        <v>2021</v>
      </c>
      <c r="J24" s="13" t="n">
        <v>138.520657131421</v>
      </c>
      <c r="K24" s="21" t="n">
        <f aca="false">IFERROR((J24/J23-1)*100,"")</f>
        <v>1.7355337033119</v>
      </c>
      <c r="L24" s="14"/>
    </row>
    <row r="25" customFormat="false" ht="15" hidden="false" customHeight="false" outlineLevel="0" collapsed="false">
      <c r="A25" s="16" t="n">
        <v>39904</v>
      </c>
      <c r="B25" s="17" t="n">
        <v>108.793825901006</v>
      </c>
      <c r="C25" s="18" t="n">
        <f aca="false">IFERROR((B25/B24-1)*100,"")</f>
        <v>0.318608803355525</v>
      </c>
      <c r="D25" s="18" t="n">
        <f aca="false">IFERROR((B25/B21-1)*100,"")</f>
        <v>2.24195366582687</v>
      </c>
      <c r="E25" s="19"/>
      <c r="F25" s="19"/>
      <c r="G25" s="19"/>
      <c r="I25" s="20" t="n">
        <v>2022</v>
      </c>
      <c r="J25" s="17" t="n">
        <v>141.385218951131</v>
      </c>
      <c r="K25" s="18" t="n">
        <f aca="false">IFERROR((J25/J24-1)*100,"")</f>
        <v>2.06796724693024</v>
      </c>
      <c r="L25" s="19"/>
    </row>
    <row r="26" customFormat="false" ht="15" hidden="false" customHeight="false" outlineLevel="0" collapsed="false">
      <c r="A26" s="12" t="n">
        <v>39995</v>
      </c>
      <c r="B26" s="13" t="n">
        <v>110.031220496311</v>
      </c>
      <c r="C26" s="21" t="n">
        <f aca="false">IFERROR((B26/B25-1)*100,"")</f>
        <v>1.13737575184738</v>
      </c>
      <c r="D26" s="21" t="n">
        <f aca="false">IFERROR((B26/B22-1)*100,"")</f>
        <v>3.09853638460118</v>
      </c>
      <c r="E26" s="14"/>
      <c r="F26" s="14"/>
      <c r="G26" s="14"/>
      <c r="I26" s="15" t="n">
        <v>2023</v>
      </c>
      <c r="J26" s="13" t="n">
        <v>144.246885237716</v>
      </c>
      <c r="K26" s="21" t="n">
        <f aca="false">IFERROR((J26/J25-1)*100,"")</f>
        <v>2.02402083316326</v>
      </c>
      <c r="L26" s="14"/>
    </row>
    <row r="27" customFormat="false" ht="15" hidden="false" customHeight="false" outlineLevel="0" collapsed="false">
      <c r="A27" s="16" t="n">
        <v>40087</v>
      </c>
      <c r="B27" s="17" t="n">
        <v>108.764596416925</v>
      </c>
      <c r="C27" s="18" t="n">
        <f aca="false">IFERROR((B27/B26-1)*100,"")</f>
        <v>-1.1511497133929</v>
      </c>
      <c r="D27" s="18" t="n">
        <f aca="false">IFERROR((B27/B23-1)*100,"")</f>
        <v>0.611061437946359</v>
      </c>
      <c r="E27" s="19"/>
      <c r="F27" s="19"/>
      <c r="G27" s="19"/>
      <c r="I27" s="20" t="n">
        <v>2024</v>
      </c>
      <c r="J27" s="17" t="n">
        <v>147.277237048858</v>
      </c>
      <c r="K27" s="18" t="n">
        <f aca="false">IFERROR((J27/J26-1)*100,"")</f>
        <v>2.1008091829146</v>
      </c>
      <c r="L27" s="19"/>
    </row>
    <row r="28" customFormat="false" ht="15" hidden="false" customHeight="false" outlineLevel="0" collapsed="false">
      <c r="A28" s="12" t="n">
        <v>40179</v>
      </c>
      <c r="B28" s="13" t="n">
        <v>110.363229309845</v>
      </c>
      <c r="C28" s="21" t="n">
        <f aca="false">IFERROR((B28/B27-1)*100,"")</f>
        <v>1.46980998007089</v>
      </c>
      <c r="D28" s="21" t="n">
        <f aca="false">IFERROR((B28/B24-1)*100,"")</f>
        <v>1.76575311804505</v>
      </c>
      <c r="E28" s="14"/>
      <c r="F28" s="14"/>
      <c r="G28" s="14"/>
      <c r="I28" s="15" t="n">
        <v>2025</v>
      </c>
      <c r="J28" s="13" t="n">
        <v>150.410454546354</v>
      </c>
      <c r="K28" s="21" t="n">
        <f aca="false">IFERROR((J28/J27-1)*100,"")</f>
        <v>2.12742821652498</v>
      </c>
      <c r="L28" s="14"/>
    </row>
    <row r="29" customFormat="false" ht="15" hidden="false" customHeight="false" outlineLevel="0" collapsed="false">
      <c r="A29" s="16" t="n">
        <v>40269</v>
      </c>
      <c r="B29" s="17" t="n">
        <v>111.699466972884</v>
      </c>
      <c r="C29" s="18" t="n">
        <f aca="false">IFERROR((B29/B28-1)*100,"")</f>
        <v>1.21076346840876</v>
      </c>
      <c r="D29" s="18" t="n">
        <f aca="false">IFERROR((B29/B25-1)*100,"")</f>
        <v>2.67077754441931</v>
      </c>
      <c r="E29" s="19"/>
      <c r="F29" s="19"/>
      <c r="G29" s="19"/>
      <c r="I29" s="20" t="n">
        <v>2026</v>
      </c>
      <c r="J29" s="19"/>
      <c r="K29" s="18" t="n">
        <f aca="false">IFERROR((J29/J28-1)*100,"")</f>
        <v>-100</v>
      </c>
      <c r="L29" s="17" t="n">
        <v>152.14957270947</v>
      </c>
    </row>
    <row r="30" customFormat="false" ht="15" hidden="false" customHeight="false" outlineLevel="0" collapsed="false">
      <c r="A30" s="12" t="n">
        <v>40360</v>
      </c>
      <c r="B30" s="13" t="n">
        <v>111.215587689392</v>
      </c>
      <c r="C30" s="21" t="n">
        <f aca="false">IFERROR((B30/B29-1)*100,"")</f>
        <v>-0.433197486618586</v>
      </c>
      <c r="D30" s="21" t="n">
        <f aca="false">IFERROR((B30/B26-1)*100,"")</f>
        <v>1.07639194379419</v>
      </c>
      <c r="E30" s="14"/>
      <c r="F30" s="14"/>
      <c r="G30" s="14"/>
      <c r="I30" s="15" t="n">
        <v>2027</v>
      </c>
      <c r="J30" s="14"/>
      <c r="K30" s="21" t="str">
        <f aca="false">IFERROR((J30/J29-1)*100,"")</f>
        <v/>
      </c>
      <c r="L30" s="13" t="n">
        <v>153.674623694321</v>
      </c>
    </row>
    <row r="31" customFormat="false" ht="15" hidden="false" customHeight="false" outlineLevel="0" collapsed="false">
      <c r="A31" s="16" t="n">
        <v>40452</v>
      </c>
      <c r="B31" s="17" t="n">
        <v>111.429085136554</v>
      </c>
      <c r="C31" s="18" t="n">
        <f aca="false">IFERROR((B31/B30-1)*100,"")</f>
        <v>0.191967197762111</v>
      </c>
      <c r="D31" s="18" t="n">
        <f aca="false">IFERROR((B31/B27-1)*100,"")</f>
        <v>2.44977576105276</v>
      </c>
      <c r="E31" s="19"/>
      <c r="F31" s="19"/>
      <c r="G31" s="19"/>
    </row>
    <row r="32" customFormat="false" ht="15" hidden="false" customHeight="false" outlineLevel="0" collapsed="false">
      <c r="A32" s="12" t="n">
        <v>40544</v>
      </c>
      <c r="B32" s="13" t="n">
        <v>112.907109370972</v>
      </c>
      <c r="C32" s="21" t="n">
        <f aca="false">IFERROR((B32/B31-1)*100,"")</f>
        <v>1.32642589015932</v>
      </c>
      <c r="D32" s="21" t="n">
        <f aca="false">IFERROR((B32/B28-1)*100,"")</f>
        <v>2.30500690948963</v>
      </c>
      <c r="E32" s="14"/>
      <c r="F32" s="14"/>
      <c r="G32" s="14"/>
    </row>
    <row r="33" customFormat="false" ht="15" hidden="false" customHeight="false" outlineLevel="0" collapsed="false">
      <c r="A33" s="16" t="n">
        <v>40634</v>
      </c>
      <c r="B33" s="17" t="n">
        <v>113.275268166487</v>
      </c>
      <c r="C33" s="18" t="n">
        <f aca="false">IFERROR((B33/B32-1)*100,"")</f>
        <v>0.326072288597135</v>
      </c>
      <c r="D33" s="18" t="n">
        <f aca="false">IFERROR((B33/B29-1)*100,"")</f>
        <v>1.41075086238802</v>
      </c>
      <c r="E33" s="19"/>
      <c r="F33" s="19"/>
      <c r="G33" s="19"/>
    </row>
    <row r="34" customFormat="false" ht="15" hidden="false" customHeight="false" outlineLevel="0" collapsed="false">
      <c r="A34" s="12" t="n">
        <v>40725</v>
      </c>
      <c r="B34" s="13" t="n">
        <v>113.608577279018</v>
      </c>
      <c r="C34" s="21" t="n">
        <f aca="false">IFERROR((B34/B33-1)*100,"")</f>
        <v>0.294247030200201</v>
      </c>
      <c r="D34" s="21" t="n">
        <f aca="false">IFERROR((B34/B30-1)*100,"")</f>
        <v>2.15166744099773</v>
      </c>
      <c r="E34" s="14"/>
      <c r="F34" s="14"/>
      <c r="G34" s="14"/>
    </row>
    <row r="35" customFormat="false" ht="15" hidden="false" customHeight="false" outlineLevel="0" collapsed="false">
      <c r="A35" s="16" t="n">
        <v>40817</v>
      </c>
      <c r="B35" s="17" t="n">
        <v>113.993495792103</v>
      </c>
      <c r="C35" s="18" t="n">
        <f aca="false">IFERROR((B35/B34-1)*100,"")</f>
        <v>0.338811137595241</v>
      </c>
      <c r="D35" s="18" t="n">
        <f aca="false">IFERROR((B35/B31-1)*100,"")</f>
        <v>2.30138356821927</v>
      </c>
      <c r="E35" s="19"/>
      <c r="F35" s="19"/>
      <c r="G35" s="19"/>
    </row>
    <row r="36" customFormat="false" ht="15" hidden="false" customHeight="false" outlineLevel="0" collapsed="false">
      <c r="A36" s="12" t="n">
        <v>40909</v>
      </c>
      <c r="B36" s="13" t="n">
        <v>114.700414292682</v>
      </c>
      <c r="C36" s="21" t="n">
        <f aca="false">IFERROR((B36/B35-1)*100,"")</f>
        <v>0.620139329587488</v>
      </c>
      <c r="D36" s="21" t="n">
        <f aca="false">IFERROR((B36/B32-1)*100,"")</f>
        <v>1.58830115455098</v>
      </c>
      <c r="E36" s="14"/>
      <c r="F36" s="14"/>
      <c r="G36" s="14"/>
    </row>
    <row r="37" customFormat="false" ht="15" hidden="false" customHeight="false" outlineLevel="0" collapsed="false">
      <c r="A37" s="16" t="n">
        <v>41000</v>
      </c>
      <c r="B37" s="17" t="n">
        <v>115.616093364562</v>
      </c>
      <c r="C37" s="18" t="n">
        <f aca="false">IFERROR((B37/B36-1)*100,"")</f>
        <v>0.79832237531754</v>
      </c>
      <c r="D37" s="18" t="n">
        <f aca="false">IFERROR((B37/B33-1)*100,"")</f>
        <v>2.06649274458963</v>
      </c>
      <c r="E37" s="19"/>
      <c r="F37" s="19"/>
      <c r="G37" s="19"/>
    </row>
    <row r="38" customFormat="false" ht="15" hidden="false" customHeight="false" outlineLevel="0" collapsed="false">
      <c r="A38" s="12" t="n">
        <v>41091</v>
      </c>
      <c r="B38" s="13" t="n">
        <v>115.937678260138</v>
      </c>
      <c r="C38" s="21" t="n">
        <f aca="false">IFERROR((B38/B37-1)*100,"")</f>
        <v>0.278148903165132</v>
      </c>
      <c r="D38" s="21" t="n">
        <f aca="false">IFERROR((B38/B34-1)*100,"")</f>
        <v>2.05011015620715</v>
      </c>
      <c r="E38" s="14"/>
      <c r="F38" s="14"/>
      <c r="G38" s="14"/>
    </row>
    <row r="39" customFormat="false" ht="15" hidden="false" customHeight="false" outlineLevel="0" collapsed="false">
      <c r="A39" s="16" t="n">
        <v>41183</v>
      </c>
      <c r="B39" s="17" t="n">
        <v>116.983293009382</v>
      </c>
      <c r="C39" s="18" t="n">
        <f aca="false">IFERROR((B39/B38-1)*100,"")</f>
        <v>0.901876564146442</v>
      </c>
      <c r="D39" s="18" t="n">
        <f aca="false">IFERROR((B39/B35-1)*100,"")</f>
        <v>2.62277877917805</v>
      </c>
      <c r="E39" s="19"/>
      <c r="F39" s="19"/>
      <c r="G39" s="19"/>
    </row>
    <row r="40" customFormat="false" ht="15" hidden="false" customHeight="false" outlineLevel="0" collapsed="false">
      <c r="A40" s="12" t="n">
        <v>41275</v>
      </c>
      <c r="B40" s="13" t="n">
        <v>117.334044602116</v>
      </c>
      <c r="C40" s="21" t="n">
        <f aca="false">IFERROR((B40/B39-1)*100,"")</f>
        <v>0.299830500331666</v>
      </c>
      <c r="D40" s="21" t="n">
        <f aca="false">IFERROR((B40/B36-1)*100,"")</f>
        <v>2.29609485342768</v>
      </c>
      <c r="E40" s="14"/>
      <c r="F40" s="14"/>
      <c r="G40" s="14"/>
    </row>
    <row r="41" customFormat="false" ht="15" hidden="false" customHeight="false" outlineLevel="0" collapsed="false">
      <c r="A41" s="16" t="n">
        <v>41365</v>
      </c>
      <c r="B41" s="17" t="n">
        <v>117.500374169931</v>
      </c>
      <c r="C41" s="18" t="n">
        <f aca="false">IFERROR((B41/B40-1)*100,"")</f>
        <v>0.141757295062339</v>
      </c>
      <c r="D41" s="18" t="n">
        <f aca="false">IFERROR((B41/B37-1)*100,"")</f>
        <v>1.62977380616707</v>
      </c>
      <c r="E41" s="19"/>
      <c r="F41" s="19"/>
      <c r="G41" s="19"/>
    </row>
    <row r="42" customFormat="false" ht="15" hidden="false" customHeight="false" outlineLevel="0" collapsed="false">
      <c r="A42" s="12" t="n">
        <v>41456</v>
      </c>
      <c r="B42" s="13" t="n">
        <v>119.301588088134</v>
      </c>
      <c r="C42" s="21" t="n">
        <f aca="false">IFERROR((B42/B41-1)*100,"")</f>
        <v>1.53294313394887</v>
      </c>
      <c r="D42" s="21" t="n">
        <f aca="false">IFERROR((B42/B38-1)*100,"")</f>
        <v>2.90148110474298</v>
      </c>
      <c r="E42" s="14"/>
      <c r="F42" s="14"/>
      <c r="G42" s="14"/>
    </row>
    <row r="43" customFormat="false" ht="15" hidden="false" customHeight="false" outlineLevel="0" collapsed="false">
      <c r="A43" s="16" t="n">
        <v>41548</v>
      </c>
      <c r="B43" s="17" t="n">
        <v>120.274260850842</v>
      </c>
      <c r="C43" s="18" t="n">
        <f aca="false">IFERROR((B43/B42-1)*100,"")</f>
        <v>0.815305796256571</v>
      </c>
      <c r="D43" s="18" t="n">
        <f aca="false">IFERROR((B43/B39-1)*100,"")</f>
        <v>2.81319473644555</v>
      </c>
      <c r="E43" s="19"/>
      <c r="F43" s="19"/>
      <c r="G43" s="19"/>
    </row>
    <row r="44" customFormat="false" ht="15" hidden="false" customHeight="false" outlineLevel="0" collapsed="false">
      <c r="A44" s="12" t="n">
        <v>41640</v>
      </c>
      <c r="B44" s="13" t="n">
        <v>120.098055026923</v>
      </c>
      <c r="C44" s="21" t="n">
        <f aca="false">IFERROR((B44/B43-1)*100,"")</f>
        <v>-0.146503352148974</v>
      </c>
      <c r="D44" s="21" t="n">
        <f aca="false">IFERROR((B44/B40-1)*100,"")</f>
        <v>2.35567642296834</v>
      </c>
      <c r="E44" s="14"/>
      <c r="F44" s="14"/>
      <c r="G44" s="14"/>
    </row>
    <row r="45" customFormat="false" ht="15" hidden="false" customHeight="false" outlineLevel="0" collapsed="false">
      <c r="A45" s="16" t="n">
        <v>41730</v>
      </c>
      <c r="B45" s="17" t="n">
        <v>120.5016569995</v>
      </c>
      <c r="C45" s="18" t="n">
        <f aca="false">IFERROR((B45/B44-1)*100,"")</f>
        <v>0.336060373738789</v>
      </c>
      <c r="D45" s="18" t="n">
        <f aca="false">IFERROR((B45/B41-1)*100,"")</f>
        <v>2.55427512530979</v>
      </c>
      <c r="E45" s="19"/>
      <c r="F45" s="19"/>
      <c r="G45" s="19"/>
    </row>
    <row r="46" customFormat="false" ht="15" hidden="false" customHeight="false" outlineLevel="0" collapsed="false">
      <c r="A46" s="12" t="n">
        <v>41821</v>
      </c>
      <c r="B46" s="13" t="n">
        <v>120.928348997818</v>
      </c>
      <c r="C46" s="21" t="n">
        <f aca="false">IFERROR((B46/B45-1)*100,"")</f>
        <v>0.354096374226764</v>
      </c>
      <c r="D46" s="21" t="n">
        <f aca="false">IFERROR((B46/B42-1)*100,"")</f>
        <v>1.36357020535463</v>
      </c>
      <c r="E46" s="14"/>
      <c r="F46" s="14"/>
      <c r="G46" s="14"/>
    </row>
    <row r="47" customFormat="false" ht="15" hidden="false" customHeight="false" outlineLevel="0" collapsed="false">
      <c r="A47" s="16" t="n">
        <v>41913</v>
      </c>
      <c r="B47" s="17" t="n">
        <v>121.308433889992</v>
      </c>
      <c r="C47" s="18" t="n">
        <f aca="false">IFERROR((B47/B46-1)*100,"")</f>
        <v>0.314305864028763</v>
      </c>
      <c r="D47" s="18" t="n">
        <f aca="false">IFERROR((B47/B43-1)*100,"")</f>
        <v>0.859845682553662</v>
      </c>
      <c r="E47" s="19"/>
      <c r="F47" s="19"/>
      <c r="G47" s="19"/>
    </row>
    <row r="48" customFormat="false" ht="15" hidden="false" customHeight="false" outlineLevel="0" collapsed="false">
      <c r="A48" s="12" t="n">
        <v>42005</v>
      </c>
      <c r="B48" s="13" t="n">
        <v>122.148694374851</v>
      </c>
      <c r="C48" s="21" t="n">
        <f aca="false">IFERROR((B48/B47-1)*100,"")</f>
        <v>0.692664522914366</v>
      </c>
      <c r="D48" s="21" t="n">
        <f aca="false">IFERROR((B48/B44-1)*100,"")</f>
        <v>1.70747090572574</v>
      </c>
      <c r="E48" s="14"/>
      <c r="F48" s="14"/>
      <c r="G48" s="14"/>
    </row>
    <row r="49" customFormat="false" ht="15" hidden="false" customHeight="false" outlineLevel="0" collapsed="false">
      <c r="A49" s="16" t="n">
        <v>42095</v>
      </c>
      <c r="B49" s="17" t="n">
        <v>123.03500381333</v>
      </c>
      <c r="C49" s="18" t="n">
        <f aca="false">IFERROR((B49/B48-1)*100,"")</f>
        <v>0.725598781890691</v>
      </c>
      <c r="D49" s="18" t="n">
        <f aca="false">IFERROR((B49/B45-1)*100,"")</f>
        <v>2.10233359184473</v>
      </c>
      <c r="E49" s="19"/>
      <c r="F49" s="19"/>
      <c r="G49" s="19"/>
    </row>
    <row r="50" customFormat="false" ht="15" hidden="false" customHeight="false" outlineLevel="0" collapsed="false">
      <c r="A50" s="12" t="n">
        <v>42186</v>
      </c>
      <c r="B50" s="13" t="n">
        <v>124.331542547268</v>
      </c>
      <c r="C50" s="21" t="n">
        <f aca="false">IFERROR((B50/B49-1)*100,"")</f>
        <v>1.05379663815457</v>
      </c>
      <c r="D50" s="21" t="n">
        <f aca="false">IFERROR((B50/B46-1)*100,"")</f>
        <v>2.81422311447517</v>
      </c>
      <c r="E50" s="14"/>
      <c r="F50" s="14"/>
      <c r="G50" s="14"/>
    </row>
    <row r="51" customFormat="false" ht="15" hidden="false" customHeight="false" outlineLevel="0" collapsed="false">
      <c r="A51" s="16" t="n">
        <v>42278</v>
      </c>
      <c r="B51" s="17" t="n">
        <v>125.110146769638</v>
      </c>
      <c r="C51" s="18" t="n">
        <f aca="false">IFERROR((B51/B50-1)*100,"")</f>
        <v>0.626232254838932</v>
      </c>
      <c r="D51" s="18" t="n">
        <f aca="false">IFERROR((B51/B47-1)*100,"")</f>
        <v>3.13392297446842</v>
      </c>
      <c r="E51" s="19"/>
      <c r="F51" s="19"/>
      <c r="G51" s="19"/>
    </row>
    <row r="52" customFormat="false" ht="15" hidden="false" customHeight="false" outlineLevel="0" collapsed="false">
      <c r="A52" s="12" t="n">
        <v>42370</v>
      </c>
      <c r="B52" s="13" t="n">
        <v>125.358323957263</v>
      </c>
      <c r="C52" s="21" t="n">
        <f aca="false">IFERROR((B52/B51-1)*100,"")</f>
        <v>0.198366954266516</v>
      </c>
      <c r="D52" s="21" t="n">
        <f aca="false">IFERROR((B52/B48-1)*100,"")</f>
        <v>2.62764133406359</v>
      </c>
      <c r="E52" s="14"/>
      <c r="F52" s="14"/>
      <c r="G52" s="14"/>
    </row>
    <row r="53" customFormat="false" ht="15" hidden="false" customHeight="false" outlineLevel="0" collapsed="false">
      <c r="A53" s="16" t="n">
        <v>42461</v>
      </c>
      <c r="B53" s="17" t="n">
        <v>124.198514453537</v>
      </c>
      <c r="C53" s="18" t="n">
        <f aca="false">IFERROR((B53/B52-1)*100,"")</f>
        <v>-0.925195445435267</v>
      </c>
      <c r="D53" s="18" t="n">
        <f aca="false">IFERROR((B53/B49-1)*100,"")</f>
        <v>0.9456744862397</v>
      </c>
      <c r="E53" s="19"/>
      <c r="F53" s="19"/>
      <c r="G53" s="19"/>
    </row>
    <row r="54" customFormat="false" ht="15" hidden="false" customHeight="false" outlineLevel="0" collapsed="false">
      <c r="A54" s="12" t="n">
        <v>42552</v>
      </c>
      <c r="B54" s="13" t="n">
        <v>126.02120366793</v>
      </c>
      <c r="C54" s="21" t="n">
        <f aca="false">IFERROR((B54/B53-1)*100,"")</f>
        <v>1.46756120426486</v>
      </c>
      <c r="D54" s="21" t="n">
        <f aca="false">IFERROR((B54/B50-1)*100,"")</f>
        <v>1.3589963464175</v>
      </c>
      <c r="E54" s="14"/>
      <c r="F54" s="14"/>
      <c r="G54" s="14"/>
    </row>
    <row r="55" customFormat="false" ht="15" hidden="false" customHeight="false" outlineLevel="0" collapsed="false">
      <c r="A55" s="16" t="n">
        <v>42644</v>
      </c>
      <c r="B55" s="17" t="n">
        <v>126.978580421244</v>
      </c>
      <c r="C55" s="18" t="n">
        <f aca="false">IFERROR((B55/B54-1)*100,"")</f>
        <v>0.759694976280922</v>
      </c>
      <c r="D55" s="18" t="n">
        <f aca="false">IFERROR((B55/B51-1)*100,"")</f>
        <v>1.49343094852763</v>
      </c>
      <c r="E55" s="19"/>
      <c r="F55" s="19"/>
      <c r="G55" s="19"/>
    </row>
    <row r="56" customFormat="false" ht="15" hidden="false" customHeight="false" outlineLevel="0" collapsed="false">
      <c r="A56" s="12" t="n">
        <v>42736</v>
      </c>
      <c r="B56" s="13" t="n">
        <v>127.319491601056</v>
      </c>
      <c r="C56" s="21" t="n">
        <f aca="false">IFERROR((B56/B55-1)*100,"")</f>
        <v>0.268479281057665</v>
      </c>
      <c r="D56" s="21" t="n">
        <f aca="false">IFERROR((B56/B52-1)*100,"")</f>
        <v>1.5644494772135</v>
      </c>
      <c r="E56" s="14"/>
      <c r="F56" s="14"/>
      <c r="G56" s="14"/>
    </row>
    <row r="57" customFormat="false" ht="15" hidden="false" customHeight="false" outlineLevel="0" collapsed="false">
      <c r="A57" s="16" t="n">
        <v>42826</v>
      </c>
      <c r="B57" s="17" t="n">
        <v>127.695951590092</v>
      </c>
      <c r="C57" s="18" t="n">
        <f aca="false">IFERROR((B57/B56-1)*100,"")</f>
        <v>0.295681348002153</v>
      </c>
      <c r="D57" s="18" t="n">
        <f aca="false">IFERROR((B57/B53-1)*100,"")</f>
        <v>2.81600561161584</v>
      </c>
      <c r="E57" s="19"/>
      <c r="F57" s="19"/>
      <c r="G57" s="19"/>
    </row>
    <row r="58" customFormat="false" ht="15" hidden="false" customHeight="false" outlineLevel="0" collapsed="false">
      <c r="A58" s="12" t="n">
        <v>42917</v>
      </c>
      <c r="B58" s="13" t="n">
        <v>128.219135172478</v>
      </c>
      <c r="C58" s="21" t="n">
        <f aca="false">IFERROR((B58/B57-1)*100,"")</f>
        <v>0.409710390870854</v>
      </c>
      <c r="D58" s="21" t="n">
        <f aca="false">IFERROR((B58/B54-1)*100,"")</f>
        <v>1.74409658103198</v>
      </c>
      <c r="E58" s="14"/>
      <c r="F58" s="14"/>
      <c r="G58" s="14"/>
    </row>
    <row r="59" customFormat="false" ht="15" hidden="false" customHeight="false" outlineLevel="0" collapsed="false">
      <c r="A59" s="16" t="n">
        <v>43009</v>
      </c>
      <c r="B59" s="17" t="n">
        <v>129.366835434576</v>
      </c>
      <c r="C59" s="18" t="n">
        <f aca="false">IFERROR((B59/B58-1)*100,"")</f>
        <v>0.895108409953571</v>
      </c>
      <c r="D59" s="18" t="n">
        <f aca="false">IFERROR((B59/B55-1)*100,"")</f>
        <v>1.88083297624639</v>
      </c>
      <c r="E59" s="19"/>
      <c r="F59" s="19"/>
      <c r="G59" s="19"/>
    </row>
    <row r="60" customFormat="false" ht="15" hidden="false" customHeight="false" outlineLevel="0" collapsed="false">
      <c r="A60" s="12" t="n">
        <v>43101</v>
      </c>
      <c r="B60" s="13" t="n">
        <v>128.897140984041</v>
      </c>
      <c r="C60" s="21" t="n">
        <f aca="false">IFERROR((B60/B59-1)*100,"")</f>
        <v>-0.363071763298206</v>
      </c>
      <c r="D60" s="21" t="n">
        <f aca="false">IFERROR((B60/B56-1)*100,"")</f>
        <v>1.23912636089383</v>
      </c>
      <c r="E60" s="14"/>
      <c r="F60" s="14"/>
      <c r="G60" s="14"/>
    </row>
    <row r="61" customFormat="false" ht="15" hidden="false" customHeight="false" outlineLevel="0" collapsed="false">
      <c r="A61" s="16" t="n">
        <v>43191</v>
      </c>
      <c r="B61" s="17" t="n">
        <v>130.673558377755</v>
      </c>
      <c r="C61" s="18" t="n">
        <f aca="false">IFERROR((B61/B60-1)*100,"")</f>
        <v>1.37816663748473</v>
      </c>
      <c r="D61" s="18" t="n">
        <f aca="false">IFERROR((B61/B57-1)*100,"")</f>
        <v>2.33179419596725</v>
      </c>
      <c r="E61" s="19"/>
      <c r="F61" s="19"/>
      <c r="G61" s="19"/>
    </row>
    <row r="62" customFormat="false" ht="15" hidden="false" customHeight="false" outlineLevel="0" collapsed="false">
      <c r="A62" s="12" t="n">
        <v>43282</v>
      </c>
      <c r="B62" s="13" t="n">
        <v>130.98696015555</v>
      </c>
      <c r="C62" s="21" t="n">
        <f aca="false">IFERROR((B62/B61-1)*100,"")</f>
        <v>0.239835649756559</v>
      </c>
      <c r="D62" s="21" t="n">
        <f aca="false">IFERROR((B62/B58-1)*100,"")</f>
        <v>2.15866764297619</v>
      </c>
      <c r="E62" s="14"/>
      <c r="F62" s="14"/>
      <c r="G62" s="14"/>
    </row>
    <row r="63" customFormat="false" ht="15" hidden="false" customHeight="false" outlineLevel="0" collapsed="false">
      <c r="A63" s="16" t="n">
        <v>43374</v>
      </c>
      <c r="B63" s="17" t="n">
        <v>131.813104425013</v>
      </c>
      <c r="C63" s="18" t="n">
        <f aca="false">IFERROR((B63/B62-1)*100,"")</f>
        <v>0.630707261610186</v>
      </c>
      <c r="D63" s="18" t="n">
        <f aca="false">IFERROR((B63/B59-1)*100,"")</f>
        <v>1.89095526857361</v>
      </c>
      <c r="E63" s="19"/>
      <c r="F63" s="19"/>
      <c r="G63" s="19"/>
    </row>
    <row r="64" customFormat="false" ht="15" hidden="false" customHeight="false" outlineLevel="0" collapsed="false">
      <c r="A64" s="12" t="n">
        <v>43466</v>
      </c>
      <c r="B64" s="13" t="n">
        <v>132.085726192354</v>
      </c>
      <c r="C64" s="21" t="n">
        <f aca="false">IFERROR((B64/B63-1)*100,"")</f>
        <v>0.206824479652235</v>
      </c>
      <c r="D64" s="21" t="n">
        <f aca="false">IFERROR((B64/B60-1)*100,"")</f>
        <v>2.47374393564539</v>
      </c>
      <c r="E64" s="14"/>
      <c r="F64" s="14"/>
      <c r="G64" s="14"/>
    </row>
    <row r="65" customFormat="false" ht="15" hidden="false" customHeight="false" outlineLevel="0" collapsed="false">
      <c r="A65" s="16" t="n">
        <v>43556</v>
      </c>
      <c r="B65" s="17" t="n">
        <v>132.7327254577</v>
      </c>
      <c r="C65" s="18" t="n">
        <f aca="false">IFERROR((B65/B64-1)*100,"")</f>
        <v>0.489832841137883</v>
      </c>
      <c r="D65" s="18" t="n">
        <f aca="false">IFERROR((B65/B61-1)*100,"")</f>
        <v>1.57581006097056</v>
      </c>
      <c r="E65" s="19"/>
      <c r="F65" s="19"/>
      <c r="G65" s="19"/>
    </row>
    <row r="66" customFormat="false" ht="15" hidden="false" customHeight="false" outlineLevel="0" collapsed="false">
      <c r="A66" s="12" t="n">
        <v>43647</v>
      </c>
      <c r="B66" s="13" t="n">
        <v>133.572208717547</v>
      </c>
      <c r="C66" s="21" t="n">
        <f aca="false">IFERROR((B66/B65-1)*100,"")</f>
        <v>0.632461404640283</v>
      </c>
      <c r="D66" s="21" t="n">
        <f aca="false">IFERROR((B66/B62-1)*100,"")</f>
        <v>1.97366864528092</v>
      </c>
      <c r="E66" s="14"/>
      <c r="F66" s="14"/>
      <c r="G66" s="14"/>
    </row>
    <row r="67" customFormat="false" ht="15" hidden="false" customHeight="false" outlineLevel="0" collapsed="false">
      <c r="A67" s="16" t="n">
        <v>43739</v>
      </c>
      <c r="B67" s="17" t="n">
        <v>133.319073828005</v>
      </c>
      <c r="C67" s="18" t="n">
        <f aca="false">IFERROR((B67/B66-1)*100,"")</f>
        <v>-0.189511644654317</v>
      </c>
      <c r="D67" s="18" t="n">
        <f aca="false">IFERROR((B67/B63-1)*100,"")</f>
        <v>1.14250355422607</v>
      </c>
      <c r="E67" s="19"/>
      <c r="F67" s="19"/>
      <c r="G67" s="19"/>
    </row>
    <row r="68" customFormat="false" ht="15" hidden="false" customHeight="false" outlineLevel="0" collapsed="false">
      <c r="A68" s="12" t="n">
        <v>43831</v>
      </c>
      <c r="B68" s="13" t="n">
        <v>135.441137074844</v>
      </c>
      <c r="C68" s="21" t="n">
        <f aca="false">IFERROR((B68/B67-1)*100,"")</f>
        <v>1.59171766342789</v>
      </c>
      <c r="D68" s="21" t="n">
        <f aca="false">IFERROR((B68/B64-1)*100,"")</f>
        <v>2.54032814840524</v>
      </c>
      <c r="E68" s="14"/>
      <c r="F68" s="14"/>
      <c r="G68" s="14"/>
    </row>
    <row r="69" customFormat="false" ht="15" hidden="false" customHeight="false" outlineLevel="0" collapsed="false">
      <c r="A69" s="16" t="n">
        <v>43922</v>
      </c>
      <c r="B69" s="17" t="n">
        <v>135.776357851757</v>
      </c>
      <c r="C69" s="18" t="n">
        <f aca="false">IFERROR((B69/B68-1)*100,"")</f>
        <v>0.247502925738341</v>
      </c>
      <c r="D69" s="18" t="n">
        <f aca="false">IFERROR((B69/B65-1)*100,"")</f>
        <v>2.29305349043532</v>
      </c>
      <c r="E69" s="19"/>
      <c r="F69" s="19"/>
      <c r="G69" s="19"/>
    </row>
    <row r="70" customFormat="false" ht="15" hidden="false" customHeight="false" outlineLevel="0" collapsed="false">
      <c r="A70" s="12" t="n">
        <v>44013</v>
      </c>
      <c r="B70" s="13" t="n">
        <v>136.71749960541</v>
      </c>
      <c r="C70" s="21" t="n">
        <f aca="false">IFERROR((B70/B69-1)*100,"")</f>
        <v>0.693155839899862</v>
      </c>
      <c r="D70" s="21" t="n">
        <f aca="false">IFERROR((B70/B66-1)*100,"")</f>
        <v>2.35474947824998</v>
      </c>
      <c r="E70" s="14"/>
      <c r="F70" s="14"/>
      <c r="G70" s="14"/>
    </row>
    <row r="71" customFormat="false" ht="15" hidden="false" customHeight="false" outlineLevel="0" collapsed="false">
      <c r="A71" s="16" t="n">
        <v>44105</v>
      </c>
      <c r="B71" s="17" t="n">
        <v>136.695390109738</v>
      </c>
      <c r="C71" s="18" t="n">
        <f aca="false">IFERROR((B71/B70-1)*100,"")</f>
        <v>-0.0161716647364307</v>
      </c>
      <c r="D71" s="18" t="n">
        <f aca="false">IFERROR((B71/B67-1)*100,"")</f>
        <v>2.53250805364031</v>
      </c>
      <c r="E71" s="19"/>
      <c r="F71" s="19"/>
      <c r="G71" s="19"/>
    </row>
    <row r="72" customFormat="false" ht="15" hidden="false" customHeight="false" outlineLevel="0" collapsed="false">
      <c r="A72" s="12" t="n">
        <v>44197</v>
      </c>
      <c r="B72" s="13" t="n">
        <v>137.365706132079</v>
      </c>
      <c r="C72" s="21" t="n">
        <f aca="false">IFERROR((B72/B71-1)*100,"")</f>
        <v>0.490372076046675</v>
      </c>
      <c r="D72" s="21" t="n">
        <f aca="false">IFERROR((B72/B68-1)*100,"")</f>
        <v>1.42096345231639</v>
      </c>
      <c r="E72" s="14"/>
      <c r="F72" s="14"/>
      <c r="G72" s="14"/>
    </row>
    <row r="73" customFormat="false" ht="15" hidden="false" customHeight="false" outlineLevel="0" collapsed="false">
      <c r="A73" s="16" t="n">
        <v>44287</v>
      </c>
      <c r="B73" s="17" t="n">
        <v>138.10807264725</v>
      </c>
      <c r="C73" s="18" t="n">
        <f aca="false">IFERROR((B73/B72-1)*100,"")</f>
        <v>0.540430749474541</v>
      </c>
      <c r="D73" s="18" t="n">
        <f aca="false">IFERROR((B73/B69-1)*100,"")</f>
        <v>1.71732018179349</v>
      </c>
      <c r="E73" s="19"/>
      <c r="F73" s="19"/>
      <c r="G73" s="19"/>
    </row>
    <row r="74" customFormat="false" ht="15" hidden="false" customHeight="false" outlineLevel="0" collapsed="false">
      <c r="A74" s="12" t="n">
        <v>44378</v>
      </c>
      <c r="B74" s="13" t="n">
        <v>138.711427038988</v>
      </c>
      <c r="C74" s="21" t="n">
        <f aca="false">IFERROR((B74/B73-1)*100,"")</f>
        <v>0.436871198166577</v>
      </c>
      <c r="D74" s="21" t="n">
        <f aca="false">IFERROR((B74/B70-1)*100,"")</f>
        <v>1.45842883269018</v>
      </c>
      <c r="E74" s="14"/>
      <c r="F74" s="14"/>
      <c r="G74" s="14"/>
    </row>
    <row r="75" customFormat="false" ht="15" hidden="false" customHeight="false" outlineLevel="0" collapsed="false">
      <c r="A75" s="16" t="n">
        <v>44470</v>
      </c>
      <c r="B75" s="17" t="n">
        <v>139.897422707367</v>
      </c>
      <c r="C75" s="18" t="n">
        <f aca="false">IFERROR((B75/B74-1)*100,"")</f>
        <v>0.855009348324876</v>
      </c>
      <c r="D75" s="18" t="n">
        <f aca="false">IFERROR((B75/B71-1)*100,"")</f>
        <v>2.34245836312275</v>
      </c>
      <c r="E75" s="19"/>
      <c r="F75" s="19"/>
      <c r="G75" s="19"/>
    </row>
    <row r="76" customFormat="false" ht="15" hidden="false" customHeight="false" outlineLevel="0" collapsed="false">
      <c r="A76" s="12" t="n">
        <v>44562</v>
      </c>
      <c r="B76" s="13" t="n">
        <v>141.355671044194</v>
      </c>
      <c r="C76" s="21" t="n">
        <f aca="false">IFERROR((B76/B75-1)*100,"")</f>
        <v>1.04236969388467</v>
      </c>
      <c r="D76" s="21" t="n">
        <f aca="false">IFERROR((B76/B72-1)*100,"")</f>
        <v>2.90462956473176</v>
      </c>
      <c r="E76" s="14"/>
      <c r="F76" s="14"/>
      <c r="G76" s="14"/>
    </row>
    <row r="77" customFormat="false" ht="15" hidden="false" customHeight="false" outlineLevel="0" collapsed="false">
      <c r="A77" s="16" t="n">
        <v>44652</v>
      </c>
      <c r="B77" s="17" t="n">
        <v>141.154852035488</v>
      </c>
      <c r="C77" s="18" t="n">
        <f aca="false">IFERROR((B77/B76-1)*100,"")</f>
        <v>-0.142066467671631</v>
      </c>
      <c r="D77" s="18" t="n">
        <f aca="false">IFERROR((B77/B73-1)*100,"")</f>
        <v>2.20608348942806</v>
      </c>
      <c r="E77" s="19"/>
      <c r="F77" s="19"/>
      <c r="G77" s="19"/>
    </row>
    <row r="78" customFormat="false" ht="15" hidden="false" customHeight="false" outlineLevel="0" collapsed="false">
      <c r="A78" s="12" t="n">
        <v>44743</v>
      </c>
      <c r="B78" s="13" t="n">
        <v>140.923259225954</v>
      </c>
      <c r="C78" s="21" t="n">
        <f aca="false">IFERROR((B78/B77-1)*100,"")</f>
        <v>-0.164070031029528</v>
      </c>
      <c r="D78" s="21" t="n">
        <f aca="false">IFERROR((B78/B74-1)*100,"")</f>
        <v>1.59455657993013</v>
      </c>
      <c r="E78" s="14"/>
      <c r="F78" s="14"/>
      <c r="G78" s="14"/>
    </row>
    <row r="79" customFormat="false" ht="15" hidden="false" customHeight="false" outlineLevel="0" collapsed="false">
      <c r="A79" s="16" t="n">
        <v>44835</v>
      </c>
      <c r="B79" s="17" t="n">
        <v>142.107093498889</v>
      </c>
      <c r="C79" s="18" t="n">
        <f aca="false">IFERROR((B79/B78-1)*100,"")</f>
        <v>0.840055984681354</v>
      </c>
      <c r="D79" s="18" t="n">
        <f aca="false">IFERROR((B79/B75-1)*100,"")</f>
        <v>1.57949356661471</v>
      </c>
      <c r="E79" s="19"/>
      <c r="F79" s="19"/>
      <c r="G79" s="19"/>
    </row>
    <row r="80" customFormat="false" ht="15" hidden="false" customHeight="false" outlineLevel="0" collapsed="false">
      <c r="A80" s="12" t="n">
        <v>44927</v>
      </c>
      <c r="B80" s="13" t="n">
        <v>143.74349415986</v>
      </c>
      <c r="C80" s="21" t="n">
        <f aca="false">IFERROR((B80/B79-1)*100,"")</f>
        <v>1.15152637400411</v>
      </c>
      <c r="D80" s="21" t="n">
        <f aca="false">IFERROR((B80/B76-1)*100,"")</f>
        <v>1.68923050488661</v>
      </c>
      <c r="E80" s="14"/>
      <c r="F80" s="14"/>
      <c r="G80" s="14"/>
    </row>
    <row r="81" customFormat="false" ht="15" hidden="false" customHeight="false" outlineLevel="0" collapsed="false">
      <c r="A81" s="16" t="n">
        <v>45017</v>
      </c>
      <c r="B81" s="17" t="n">
        <v>144.331913945058</v>
      </c>
      <c r="C81" s="18" t="n">
        <f aca="false">IFERROR((B81/B80-1)*100,"")</f>
        <v>0.409354029299025</v>
      </c>
      <c r="D81" s="18" t="n">
        <f aca="false">IFERROR((B81/B77-1)*100,"")</f>
        <v>2.25076351521487</v>
      </c>
      <c r="E81" s="19"/>
      <c r="F81" s="19"/>
      <c r="G81" s="19"/>
    </row>
    <row r="82" customFormat="false" ht="15" hidden="false" customHeight="false" outlineLevel="0" collapsed="false">
      <c r="A82" s="12" t="n">
        <v>45108</v>
      </c>
      <c r="B82" s="13" t="n">
        <v>144.584811858531</v>
      </c>
      <c r="C82" s="21" t="n">
        <f aca="false">IFERROR((B82/B81-1)*100,"")</f>
        <v>0.175219677034955</v>
      </c>
      <c r="D82" s="21" t="n">
        <f aca="false">IFERROR((B82/B78-1)*100,"")</f>
        <v>2.5982599697802</v>
      </c>
      <c r="E82" s="14"/>
      <c r="F82" s="14"/>
      <c r="G82" s="14"/>
    </row>
    <row r="83" customFormat="false" ht="15" hidden="false" customHeight="false" outlineLevel="0" collapsed="false">
      <c r="A83" s="16" t="n">
        <v>45200</v>
      </c>
      <c r="B83" s="17" t="n">
        <v>144.327320987414</v>
      </c>
      <c r="C83" s="18" t="n">
        <f aca="false">IFERROR((B83/B82-1)*100,"")</f>
        <v>-0.178089847618002</v>
      </c>
      <c r="D83" s="18" t="n">
        <f aca="false">IFERROR((B83/B79-1)*100,"")</f>
        <v>1.56236218323726</v>
      </c>
      <c r="E83" s="19"/>
      <c r="F83" s="19"/>
      <c r="G83" s="19"/>
    </row>
    <row r="84" customFormat="false" ht="15" hidden="false" customHeight="false" outlineLevel="0" collapsed="false">
      <c r="A84" s="12" t="n">
        <v>45292</v>
      </c>
      <c r="B84" s="13" t="n">
        <v>147.288113338655</v>
      </c>
      <c r="C84" s="21" t="n">
        <f aca="false">IFERROR((B84/B83-1)*100,"")</f>
        <v>2.05144274208473</v>
      </c>
      <c r="D84" s="21" t="n">
        <f aca="false">IFERROR((B84/B80-1)*100,"")</f>
        <v>2.46593364069296</v>
      </c>
      <c r="E84" s="14"/>
      <c r="F84" s="14"/>
      <c r="G84" s="14"/>
    </row>
    <row r="85" customFormat="false" ht="15" hidden="false" customHeight="false" outlineLevel="0" collapsed="false">
      <c r="A85" s="16" t="n">
        <v>45383</v>
      </c>
      <c r="B85" s="17" t="n">
        <v>146.774940372679</v>
      </c>
      <c r="C85" s="18" t="n">
        <f aca="false">IFERROR((B85/B84-1)*100,"")</f>
        <v>-0.348414379371176</v>
      </c>
      <c r="D85" s="18" t="n">
        <f aca="false">IFERROR((B85/B81-1)*100,"")</f>
        <v>1.69264465553369</v>
      </c>
      <c r="E85" s="19"/>
      <c r="F85" s="19"/>
      <c r="G85" s="19"/>
    </row>
    <row r="86" customFormat="false" ht="15" hidden="false" customHeight="false" outlineLevel="0" collapsed="false">
      <c r="A86" s="12" t="n">
        <v>45474</v>
      </c>
      <c r="B86" s="13" t="n">
        <v>147.495734745094</v>
      </c>
      <c r="C86" s="21" t="n">
        <f aca="false">IFERROR((B86/B85-1)*100,"")</f>
        <v>0.491088172534493</v>
      </c>
      <c r="D86" s="21" t="n">
        <f aca="false">IFERROR((B86/B82-1)*100,"")</f>
        <v>2.01329783477575</v>
      </c>
      <c r="E86" s="14"/>
      <c r="F86" s="14"/>
      <c r="G86" s="14"/>
    </row>
    <row r="87" customFormat="false" ht="15" hidden="false" customHeight="false" outlineLevel="0" collapsed="false">
      <c r="A87" s="16" t="n">
        <v>45566</v>
      </c>
      <c r="B87" s="17" t="n">
        <v>147.550159739004</v>
      </c>
      <c r="C87" s="18" t="n">
        <f aca="false">IFERROR((B87/B86-1)*100,"")</f>
        <v>0.0368993679745744</v>
      </c>
      <c r="D87" s="18" t="n">
        <f aca="false">IFERROR((B87/B83-1)*100,"")</f>
        <v>2.23300670277908</v>
      </c>
      <c r="E87" s="19"/>
      <c r="F87" s="19"/>
      <c r="G87" s="19"/>
    </row>
    <row r="88" customFormat="false" ht="15" hidden="false" customHeight="false" outlineLevel="0" collapsed="false">
      <c r="A88" s="12" t="n">
        <v>45658</v>
      </c>
      <c r="B88" s="13" t="n">
        <v>149.02195614471</v>
      </c>
      <c r="C88" s="21" t="n">
        <f aca="false">IFERROR((B88/B87-1)*100,"")</f>
        <v>0.997488859591544</v>
      </c>
      <c r="D88" s="21" t="n">
        <f aca="false">IFERROR((B88/B84-1)*100,"")</f>
        <v>1.17717768715546</v>
      </c>
      <c r="E88" s="14"/>
      <c r="F88" s="14"/>
      <c r="G88" s="14"/>
    </row>
    <row r="89" customFormat="false" ht="15" hidden="false" customHeight="false" outlineLevel="0" collapsed="false">
      <c r="A89" s="16" t="n">
        <v>45748</v>
      </c>
      <c r="B89" s="17" t="n">
        <v>151.037013938975</v>
      </c>
      <c r="C89" s="18" t="n">
        <f aca="false">IFERROR((B89/B88-1)*100,"")</f>
        <v>1.35218852737931</v>
      </c>
      <c r="D89" s="18" t="n">
        <f aca="false">IFERROR((B89/B85-1)*100,"")</f>
        <v>2.90381556652273</v>
      </c>
      <c r="E89" s="19"/>
      <c r="F89" s="19"/>
      <c r="G89" s="19"/>
    </row>
    <row r="90" customFormat="false" ht="15" hidden="false" customHeight="false" outlineLevel="0" collapsed="false">
      <c r="A90" s="12" t="n">
        <v>45839</v>
      </c>
      <c r="B90" s="13" t="n">
        <v>150.562298619414</v>
      </c>
      <c r="C90" s="21" t="n">
        <f aca="false">IFERROR((B90/B89-1)*100,"")</f>
        <v>-0.314303962440099</v>
      </c>
      <c r="D90" s="21" t="n">
        <f aca="false">IFERROR((B90/B86-1)*100,"")</f>
        <v>2.07908647637833</v>
      </c>
      <c r="E90" s="14"/>
      <c r="F90" s="14"/>
      <c r="G90" s="14"/>
    </row>
    <row r="91" customFormat="false" ht="15" hidden="false" customHeight="false" outlineLevel="0" collapsed="false">
      <c r="A91" s="16" t="n">
        <v>45931</v>
      </c>
      <c r="B91" s="17" t="n">
        <v>151.020549482316</v>
      </c>
      <c r="C91" s="18" t="n">
        <f aca="false">IFERROR((B91/B90-1)*100,"")</f>
        <v>0.304359635250084</v>
      </c>
      <c r="D91" s="18" t="n">
        <f aca="false">IFERROR((B91/B87-1)*100,"")</f>
        <v>2.35200676803775</v>
      </c>
      <c r="E91" s="19"/>
      <c r="F91" s="19"/>
      <c r="G91" s="19"/>
    </row>
    <row r="92" customFormat="false" ht="15" hidden="false" customHeight="false" outlineLevel="0" collapsed="false">
      <c r="A92" s="12" t="n">
        <v>46023</v>
      </c>
      <c r="B92" s="14"/>
      <c r="C92" s="21" t="n">
        <f aca="false">IFERROR((B92/B91-1)*100,"")</f>
        <v>-100</v>
      </c>
      <c r="D92" s="21" t="n">
        <f aca="false">IFERROR((B92/B88-1)*100,"")</f>
        <v>-100</v>
      </c>
      <c r="E92" s="13" t="n">
        <v>152.055645435222</v>
      </c>
      <c r="F92" s="13" t="n">
        <v>151.880498497524</v>
      </c>
      <c r="G92" s="22" t="n">
        <f aca="false">154.25834-149.502657</f>
        <v>4.75568300000001</v>
      </c>
    </row>
    <row r="93" customFormat="false" ht="15" hidden="false" customHeight="false" outlineLevel="0" collapsed="false">
      <c r="A93" s="16" t="n">
        <v>46113</v>
      </c>
      <c r="B93" s="19"/>
      <c r="C93" s="18" t="str">
        <f aca="false">IFERROR((B93/B92-1)*100,"")</f>
        <v/>
      </c>
      <c r="D93" s="18" t="n">
        <f aca="false">IFERROR((B93/B89-1)*100,"")</f>
        <v>-100</v>
      </c>
      <c r="E93" s="17" t="n">
        <v>152.814530707195</v>
      </c>
      <c r="F93" s="17" t="n">
        <v>151.7680693111</v>
      </c>
      <c r="G93" s="23" t="n">
        <f aca="false">155.130845-148.405294</f>
        <v>6.725551</v>
      </c>
    </row>
    <row r="94" customFormat="false" ht="15" hidden="false" customHeight="false" outlineLevel="0" collapsed="false">
      <c r="A94" s="12" t="n">
        <v>46204</v>
      </c>
      <c r="B94" s="14"/>
      <c r="C94" s="21" t="str">
        <f aca="false">IFERROR((B94/B93-1)*100,"")</f>
        <v/>
      </c>
      <c r="D94" s="21" t="n">
        <f aca="false">IFERROR((B94/B90-1)*100,"")</f>
        <v>-100</v>
      </c>
      <c r="E94" s="13" t="n">
        <v>153.577203453511</v>
      </c>
      <c r="F94" s="13" t="n">
        <v>152.1637020126</v>
      </c>
      <c r="G94" s="22" t="n">
        <f aca="false">156.282244-148.04516</f>
        <v>8.23708399999998</v>
      </c>
    </row>
    <row r="95" customFormat="false" ht="15" hidden="false" customHeight="false" outlineLevel="0" collapsed="false">
      <c r="A95" s="16" t="n">
        <v>46296</v>
      </c>
      <c r="B95" s="19"/>
      <c r="C95" s="18" t="str">
        <f aca="false">IFERROR((B95/B94-1)*100,"")</f>
        <v/>
      </c>
      <c r="D95" s="18" t="n">
        <f aca="false">IFERROR((B95/B91-1)*100,"")</f>
        <v>-100</v>
      </c>
      <c r="E95" s="17" t="n">
        <v>154.343682576848</v>
      </c>
      <c r="F95" s="17" t="n">
        <v>152.786021016655</v>
      </c>
      <c r="G95" s="23" t="n">
        <f aca="false">157.541704-148.030338</f>
        <v>9.51136600000001</v>
      </c>
    </row>
    <row r="96" customFormat="false" ht="15" hidden="false" customHeight="false" outlineLevel="0" collapsed="false">
      <c r="A96" s="12" t="n">
        <v>46388</v>
      </c>
      <c r="B96" s="14"/>
      <c r="C96" s="21" t="str">
        <f aca="false">IFERROR((B96/B95-1)*100,"")</f>
        <v/>
      </c>
      <c r="D96" s="21" t="str">
        <f aca="false">IFERROR((B96/B92-1)*100,"")</f>
        <v/>
      </c>
      <c r="E96" s="13" t="n">
        <v>155.11398707422</v>
      </c>
      <c r="F96" s="13" t="n">
        <v>153.524813720922</v>
      </c>
      <c r="G96" s="22" t="n">
        <f aca="false">158.841829-148.207798</f>
        <v>10.634031</v>
      </c>
    </row>
    <row r="97" customFormat="false" ht="15" hidden="false" customHeight="false" outlineLevel="0" collapsed="false">
      <c r="A97" s="16" t="n">
        <v>46478</v>
      </c>
      <c r="B97" s="19"/>
      <c r="C97" s="18" t="str">
        <f aca="false">IFERROR((B97/B96-1)*100,"")</f>
        <v/>
      </c>
      <c r="D97" s="18" t="str">
        <f aca="false">IFERROR((B97/B93-1)*100,"")</f>
        <v/>
      </c>
      <c r="E97" s="17" t="n">
        <v>155.888136037454</v>
      </c>
      <c r="F97" s="17" t="n">
        <v>153.330168773328</v>
      </c>
      <c r="G97" s="23" t="n">
        <f aca="false">159.154667-147.50567</f>
        <v>11.648997</v>
      </c>
    </row>
    <row r="98" customFormat="false" ht="15" hidden="false" customHeight="false" outlineLevel="0" collapsed="false">
      <c r="A98" s="12" t="n">
        <v>46569</v>
      </c>
      <c r="B98" s="14"/>
      <c r="C98" s="21" t="str">
        <f aca="false">IFERROR((B98/B97-1)*100,"")</f>
        <v/>
      </c>
      <c r="D98" s="21" t="str">
        <f aca="false">IFERROR((B98/B94-1)*100,"")</f>
        <v/>
      </c>
      <c r="E98" s="13" t="n">
        <v>156.666148653661</v>
      </c>
      <c r="F98" s="13" t="n">
        <v>153.647696501716</v>
      </c>
      <c r="G98" s="22" t="n">
        <f aca="false">159.938874-147.356519</f>
        <v>12.582355</v>
      </c>
    </row>
    <row r="99" customFormat="false" ht="15" hidden="false" customHeight="false" outlineLevel="0" collapsed="false">
      <c r="A99" s="16" t="n">
        <v>46661</v>
      </c>
      <c r="B99" s="19"/>
      <c r="C99" s="18" t="str">
        <f aca="false">IFERROR((B99/B98-1)*100,"")</f>
        <v/>
      </c>
      <c r="D99" s="18" t="str">
        <f aca="false">IFERROR((B99/B95-1)*100,"")</f>
        <v/>
      </c>
      <c r="E99" s="17" t="n">
        <v>157.448044205711</v>
      </c>
      <c r="F99" s="17" t="n">
        <v>154.195815781315</v>
      </c>
      <c r="G99" s="23" t="n">
        <f aca="false">160.921367-147.470264</f>
        <v>13.451103</v>
      </c>
    </row>
    <row r="102" customFormat="false" ht="21.75" hidden="false" customHeight="true" outlineLevel="0" collapsed="false">
      <c r="A102" s="9" t="s">
        <v>130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customFormat="false" ht="15" hidden="false" customHeight="false" outlineLevel="0" collapsed="false">
      <c r="A103" s="5" t="s">
        <v>113</v>
      </c>
      <c r="B103" s="10" t="s">
        <v>114</v>
      </c>
      <c r="D103" s="5" t="s">
        <v>115</v>
      </c>
      <c r="E103" s="2" t="s">
        <v>131</v>
      </c>
      <c r="H103" s="5" t="s">
        <v>117</v>
      </c>
      <c r="I103" s="2" t="s">
        <v>118</v>
      </c>
    </row>
    <row r="104" customFormat="false" ht="18" hidden="false" customHeight="true" outlineLevel="0" collapsed="false">
      <c r="A104" s="11" t="s">
        <v>119</v>
      </c>
      <c r="B104" s="11"/>
      <c r="C104" s="11"/>
      <c r="D104" s="11"/>
      <c r="E104" s="11"/>
      <c r="F104" s="11"/>
      <c r="G104" s="11"/>
      <c r="I104" s="11" t="s">
        <v>120</v>
      </c>
      <c r="J104" s="11"/>
      <c r="K104" s="11"/>
      <c r="L104" s="11"/>
    </row>
    <row r="105" customFormat="false" ht="15" hidden="false" customHeight="false" outlineLevel="0" collapsed="false">
      <c r="A105" s="6" t="s">
        <v>121</v>
      </c>
      <c r="B105" s="6" t="s">
        <v>122</v>
      </c>
      <c r="C105" s="6" t="s">
        <v>123</v>
      </c>
      <c r="D105" s="6" t="s">
        <v>124</v>
      </c>
      <c r="E105" s="6" t="s">
        <v>125</v>
      </c>
      <c r="F105" s="6" t="s">
        <v>126</v>
      </c>
      <c r="G105" s="6" t="s">
        <v>127</v>
      </c>
      <c r="I105" s="6" t="s">
        <v>128</v>
      </c>
      <c r="J105" s="6" t="s">
        <v>122</v>
      </c>
      <c r="K105" s="6" t="s">
        <v>124</v>
      </c>
      <c r="L105" s="6" t="s">
        <v>129</v>
      </c>
    </row>
    <row r="106" customFormat="false" ht="15" hidden="false" customHeight="false" outlineLevel="0" collapsed="false">
      <c r="A106" s="12" t="n">
        <v>38353</v>
      </c>
      <c r="B106" s="13" t="n">
        <v>18023.2925966749</v>
      </c>
      <c r="C106" s="14"/>
      <c r="D106" s="14"/>
      <c r="E106" s="14"/>
      <c r="F106" s="14"/>
      <c r="G106" s="14"/>
      <c r="I106" s="15" t="n">
        <v>2005</v>
      </c>
      <c r="J106" s="13" t="n">
        <v>18089.6776991021</v>
      </c>
      <c r="K106" s="14"/>
      <c r="L106" s="14"/>
    </row>
    <row r="107" customFormat="false" ht="15" hidden="false" customHeight="false" outlineLevel="0" collapsed="false">
      <c r="A107" s="16" t="n">
        <v>38443</v>
      </c>
      <c r="B107" s="17" t="n">
        <v>18021.9375021464</v>
      </c>
      <c r="C107" s="18" t="n">
        <f aca="false">IFERROR((B107/B106-1)*100,"")</f>
        <v>-0.00751857365258735</v>
      </c>
      <c r="D107" s="19"/>
      <c r="E107" s="19"/>
      <c r="F107" s="19"/>
      <c r="G107" s="19"/>
      <c r="I107" s="20" t="n">
        <v>2006</v>
      </c>
      <c r="J107" s="17" t="n">
        <v>18522.950095305</v>
      </c>
      <c r="K107" s="18" t="n">
        <f aca="false">IFERROR((J107/J106-1)*100,"")</f>
        <v>2.39513607378659</v>
      </c>
      <c r="L107" s="19"/>
    </row>
    <row r="108" customFormat="false" ht="15" hidden="false" customHeight="false" outlineLevel="0" collapsed="false">
      <c r="A108" s="12" t="n">
        <v>38534</v>
      </c>
      <c r="B108" s="13" t="n">
        <v>18129.6357024348</v>
      </c>
      <c r="C108" s="21" t="n">
        <f aca="false">IFERROR((B108/B107-1)*100,"")</f>
        <v>0.597595015938568</v>
      </c>
      <c r="D108" s="14"/>
      <c r="E108" s="14"/>
      <c r="F108" s="14"/>
      <c r="G108" s="14"/>
      <c r="I108" s="15" t="n">
        <v>2007</v>
      </c>
      <c r="J108" s="13" t="n">
        <v>18946.1950209341</v>
      </c>
      <c r="K108" s="21" t="n">
        <f aca="false">IFERROR((J108/J107-1)*100,"")</f>
        <v>2.28497579193068</v>
      </c>
      <c r="L108" s="14"/>
    </row>
    <row r="109" customFormat="false" ht="15" hidden="false" customHeight="false" outlineLevel="0" collapsed="false">
      <c r="A109" s="16" t="n">
        <v>38626</v>
      </c>
      <c r="B109" s="17" t="n">
        <v>18183.8449951523</v>
      </c>
      <c r="C109" s="18" t="n">
        <f aca="false">IFERROR((B109/B108-1)*100,"")</f>
        <v>0.299009277446127</v>
      </c>
      <c r="D109" s="19"/>
      <c r="E109" s="19"/>
      <c r="F109" s="19"/>
      <c r="G109" s="19"/>
      <c r="I109" s="20" t="n">
        <v>2008</v>
      </c>
      <c r="J109" s="17" t="n">
        <v>18614.1089649447</v>
      </c>
      <c r="K109" s="18" t="n">
        <f aca="false">IFERROR((J109/J108-1)*100,"")</f>
        <v>-1.75278495562058</v>
      </c>
      <c r="L109" s="19"/>
    </row>
    <row r="110" customFormat="false" ht="15" hidden="false" customHeight="false" outlineLevel="0" collapsed="false">
      <c r="A110" s="12" t="n">
        <v>38718</v>
      </c>
      <c r="B110" s="13" t="n">
        <v>18367.5777144236</v>
      </c>
      <c r="C110" s="21" t="n">
        <f aca="false">IFERROR((B110/B109-1)*100,"")</f>
        <v>1.01041731999125</v>
      </c>
      <c r="D110" s="21" t="n">
        <f aca="false">IFERROR((B110/B106-1)*100,"")</f>
        <v>1.91022320645371</v>
      </c>
      <c r="E110" s="14"/>
      <c r="F110" s="14"/>
      <c r="G110" s="14"/>
      <c r="I110" s="15" t="n">
        <v>2009</v>
      </c>
      <c r="J110" s="13" t="n">
        <v>18979.7823745436</v>
      </c>
      <c r="K110" s="21" t="n">
        <f aca="false">IFERROR((J110/J109-1)*100,"")</f>
        <v>1.96449591161001</v>
      </c>
      <c r="L110" s="14"/>
    </row>
    <row r="111" customFormat="false" ht="15" hidden="false" customHeight="false" outlineLevel="0" collapsed="false">
      <c r="A111" s="16" t="n">
        <v>38808</v>
      </c>
      <c r="B111" s="17" t="n">
        <v>18518.4954084731</v>
      </c>
      <c r="C111" s="18" t="n">
        <f aca="false">IFERROR((B111/B110-1)*100,"")</f>
        <v>0.82165267732035</v>
      </c>
      <c r="D111" s="18" t="n">
        <f aca="false">IFERROR((B111/B107-1)*100,"")</f>
        <v>2.75529701658082</v>
      </c>
      <c r="E111" s="19"/>
      <c r="F111" s="19"/>
      <c r="G111" s="19"/>
      <c r="I111" s="20" t="n">
        <v>2010</v>
      </c>
      <c r="J111" s="17" t="n">
        <v>20290.352394038</v>
      </c>
      <c r="K111" s="18" t="n">
        <f aca="false">IFERROR((J111/J110-1)*100,"")</f>
        <v>6.90508454539591</v>
      </c>
      <c r="L111" s="19"/>
    </row>
    <row r="112" customFormat="false" ht="15" hidden="false" customHeight="false" outlineLevel="0" collapsed="false">
      <c r="A112" s="12" t="n">
        <v>38899</v>
      </c>
      <c r="B112" s="13" t="n">
        <v>18511.5703565468</v>
      </c>
      <c r="C112" s="21" t="n">
        <f aca="false">IFERROR((B112/B111-1)*100,"")</f>
        <v>-0.037395327069023</v>
      </c>
      <c r="D112" s="21" t="n">
        <f aca="false">IFERROR((B112/B108-1)*100,"")</f>
        <v>2.1066868655323</v>
      </c>
      <c r="E112" s="14"/>
      <c r="F112" s="14"/>
      <c r="G112" s="14"/>
      <c r="I112" s="15" t="n">
        <v>2011</v>
      </c>
      <c r="J112" s="13" t="n">
        <v>20716.2041220337</v>
      </c>
      <c r="K112" s="21" t="n">
        <f aca="false">IFERROR((J112/J111-1)*100,"")</f>
        <v>2.09878921630182</v>
      </c>
      <c r="L112" s="14"/>
    </row>
    <row r="113" customFormat="false" ht="15" hidden="false" customHeight="false" outlineLevel="0" collapsed="false">
      <c r="A113" s="16" t="n">
        <v>38991</v>
      </c>
      <c r="B113" s="17" t="n">
        <v>18694.1569017764</v>
      </c>
      <c r="C113" s="18" t="n">
        <f aca="false">IFERROR((B113/B112-1)*100,"")</f>
        <v>0.986337418775651</v>
      </c>
      <c r="D113" s="18" t="n">
        <f aca="false">IFERROR((B113/B109-1)*100,"")</f>
        <v>2.80640264344658</v>
      </c>
      <c r="E113" s="19"/>
      <c r="F113" s="19"/>
      <c r="G113" s="19"/>
      <c r="I113" s="20" t="n">
        <v>2012</v>
      </c>
      <c r="J113" s="17" t="n">
        <v>21090.8715688639</v>
      </c>
      <c r="K113" s="18" t="n">
        <f aca="false">IFERROR((J113/J112-1)*100,"")</f>
        <v>1.80857190160457</v>
      </c>
      <c r="L113" s="19"/>
    </row>
    <row r="114" customFormat="false" ht="15" hidden="false" customHeight="false" outlineLevel="0" collapsed="false">
      <c r="A114" s="12" t="n">
        <v>39083</v>
      </c>
      <c r="B114" s="13" t="n">
        <v>18807.1588412696</v>
      </c>
      <c r="C114" s="21" t="n">
        <f aca="false">IFERROR((B114/B113-1)*100,"")</f>
        <v>0.604477324582797</v>
      </c>
      <c r="D114" s="21" t="n">
        <f aca="false">IFERROR((B114/B110-1)*100,"")</f>
        <v>2.39324495412794</v>
      </c>
      <c r="E114" s="14"/>
      <c r="F114" s="14"/>
      <c r="G114" s="14"/>
      <c r="I114" s="15" t="n">
        <v>2013</v>
      </c>
      <c r="J114" s="13" t="n">
        <v>21607.7489243226</v>
      </c>
      <c r="K114" s="21" t="n">
        <f aca="false">IFERROR((J114/J113-1)*100,"")</f>
        <v>2.45071595913455</v>
      </c>
      <c r="L114" s="14"/>
    </row>
    <row r="115" customFormat="false" ht="15" hidden="false" customHeight="false" outlineLevel="0" collapsed="false">
      <c r="A115" s="16" t="n">
        <v>39173</v>
      </c>
      <c r="B115" s="17" t="n">
        <v>18949.8881097341</v>
      </c>
      <c r="C115" s="18" t="n">
        <f aca="false">IFERROR((B115/B114-1)*100,"")</f>
        <v>0.758909251892526</v>
      </c>
      <c r="D115" s="18" t="n">
        <f aca="false">IFERROR((B115/B111-1)*100,"")</f>
        <v>2.32952349392082</v>
      </c>
      <c r="E115" s="19"/>
      <c r="F115" s="19"/>
      <c r="G115" s="19"/>
      <c r="I115" s="20" t="n">
        <v>2014</v>
      </c>
      <c r="J115" s="17" t="n">
        <v>22051.5108128722</v>
      </c>
      <c r="K115" s="18" t="n">
        <f aca="false">IFERROR((J115/J114-1)*100,"")</f>
        <v>2.05371642415766</v>
      </c>
      <c r="L115" s="19"/>
    </row>
    <row r="116" customFormat="false" ht="15" hidden="false" customHeight="false" outlineLevel="0" collapsed="false">
      <c r="A116" s="12" t="n">
        <v>39264</v>
      </c>
      <c r="B116" s="13" t="n">
        <v>19077.0176459651</v>
      </c>
      <c r="C116" s="21" t="n">
        <f aca="false">IFERROR((B116/B115-1)*100,"")</f>
        <v>0.670872226235764</v>
      </c>
      <c r="D116" s="21" t="n">
        <f aca="false">IFERROR((B116/B112-1)*100,"")</f>
        <v>3.05456143658971</v>
      </c>
      <c r="E116" s="14"/>
      <c r="F116" s="14"/>
      <c r="G116" s="14"/>
      <c r="I116" s="15" t="n">
        <v>2015</v>
      </c>
      <c r="J116" s="13" t="n">
        <v>22577.5600553553</v>
      </c>
      <c r="K116" s="21" t="n">
        <f aca="false">IFERROR((J116/J115-1)*100,"")</f>
        <v>2.38554739830368</v>
      </c>
      <c r="L116" s="14"/>
    </row>
    <row r="117" customFormat="false" ht="15" hidden="false" customHeight="false" outlineLevel="0" collapsed="false">
      <c r="A117" s="16" t="n">
        <v>39356</v>
      </c>
      <c r="B117" s="17" t="n">
        <v>18950.7154867677</v>
      </c>
      <c r="C117" s="18" t="n">
        <f aca="false">IFERROR((B117/B116-1)*100,"")</f>
        <v>-0.66206448796845</v>
      </c>
      <c r="D117" s="18" t="n">
        <f aca="false">IFERROR((B117/B113-1)*100,"")</f>
        <v>1.37239986985911</v>
      </c>
      <c r="E117" s="19"/>
      <c r="F117" s="19"/>
      <c r="G117" s="19"/>
      <c r="I117" s="20" t="n">
        <v>2016</v>
      </c>
      <c r="J117" s="17" t="n">
        <v>23121.0604758493</v>
      </c>
      <c r="K117" s="18" t="n">
        <f aca="false">IFERROR((J117/J116-1)*100,"")</f>
        <v>2.40725932811825</v>
      </c>
      <c r="L117" s="19"/>
    </row>
    <row r="118" customFormat="false" ht="15" hidden="false" customHeight="false" outlineLevel="0" collapsed="false">
      <c r="A118" s="12" t="n">
        <v>39448</v>
      </c>
      <c r="B118" s="13" t="n">
        <v>18497.8385979218</v>
      </c>
      <c r="C118" s="21" t="n">
        <f aca="false">IFERROR((B118/B117-1)*100,"")</f>
        <v>-2.38976142701346</v>
      </c>
      <c r="D118" s="21" t="n">
        <f aca="false">IFERROR((B118/B114-1)*100,"")</f>
        <v>-1.6446941611883</v>
      </c>
      <c r="E118" s="14"/>
      <c r="F118" s="14"/>
      <c r="G118" s="14"/>
      <c r="I118" s="15" t="n">
        <v>2017</v>
      </c>
      <c r="J118" s="13" t="n">
        <v>23635.4946124705</v>
      </c>
      <c r="K118" s="21" t="n">
        <f aca="false">IFERROR((J118/J117-1)*100,"")</f>
        <v>2.2249590893916</v>
      </c>
      <c r="L118" s="14"/>
    </row>
    <row r="119" customFormat="false" ht="15" hidden="false" customHeight="false" outlineLevel="0" collapsed="false">
      <c r="A119" s="16" t="n">
        <v>39539</v>
      </c>
      <c r="B119" s="17" t="n">
        <v>18464.3312630085</v>
      </c>
      <c r="C119" s="18" t="n">
        <f aca="false">IFERROR((B119/B118-1)*100,"")</f>
        <v>-0.181141892529668</v>
      </c>
      <c r="D119" s="18" t="n">
        <f aca="false">IFERROR((B119/B115-1)*100,"")</f>
        <v>-2.56232038898546</v>
      </c>
      <c r="E119" s="19"/>
      <c r="F119" s="19"/>
      <c r="G119" s="19"/>
      <c r="I119" s="20" t="n">
        <v>2018</v>
      </c>
      <c r="J119" s="17" t="n">
        <v>24093.7859144569</v>
      </c>
      <c r="K119" s="18" t="n">
        <f aca="false">IFERROR((J119/J118-1)*100,"")</f>
        <v>1.93899602906804</v>
      </c>
      <c r="L119" s="19"/>
    </row>
    <row r="120" customFormat="false" ht="15" hidden="false" customHeight="false" outlineLevel="0" collapsed="false">
      <c r="A120" s="12" t="n">
        <v>39630</v>
      </c>
      <c r="B120" s="13" t="n">
        <v>18633.3557174376</v>
      </c>
      <c r="C120" s="21" t="n">
        <f aca="false">IFERROR((B120/B119-1)*100,"")</f>
        <v>0.915410647813619</v>
      </c>
      <c r="D120" s="21" t="n">
        <f aca="false">IFERROR((B120/B116-1)*100,"")</f>
        <v>-2.32563567723746</v>
      </c>
      <c r="E120" s="14"/>
      <c r="F120" s="14"/>
      <c r="G120" s="14"/>
      <c r="I120" s="15" t="n">
        <v>2019</v>
      </c>
      <c r="J120" s="13" t="n">
        <v>24588.5368198564</v>
      </c>
      <c r="K120" s="21" t="n">
        <f aca="false">IFERROR((J120/J119-1)*100,"")</f>
        <v>2.05343779162031</v>
      </c>
      <c r="L120" s="14"/>
    </row>
    <row r="121" customFormat="false" ht="15" hidden="false" customHeight="false" outlineLevel="0" collapsed="false">
      <c r="A121" s="16" t="n">
        <v>39722</v>
      </c>
      <c r="B121" s="17" t="n">
        <v>18860.9102814107</v>
      </c>
      <c r="C121" s="18" t="n">
        <f aca="false">IFERROR((B121/B120-1)*100,"")</f>
        <v>1.22122159542142</v>
      </c>
      <c r="D121" s="18" t="n">
        <f aca="false">IFERROR((B121/B117-1)*100,"")</f>
        <v>-0.473888204483386</v>
      </c>
      <c r="E121" s="19"/>
      <c r="F121" s="19"/>
      <c r="G121" s="19"/>
      <c r="I121" s="20" t="n">
        <v>2020</v>
      </c>
      <c r="J121" s="17" t="n">
        <v>24223.4531845712</v>
      </c>
      <c r="K121" s="18" t="n">
        <f aca="false">IFERROR((J121/J120-1)*100,"")</f>
        <v>-1.48477169650199</v>
      </c>
      <c r="L121" s="19"/>
    </row>
    <row r="122" customFormat="false" ht="15" hidden="false" customHeight="false" outlineLevel="0" collapsed="false">
      <c r="A122" s="12" t="n">
        <v>39814</v>
      </c>
      <c r="B122" s="13" t="n">
        <v>18885.9057522936</v>
      </c>
      <c r="C122" s="21" t="n">
        <f aca="false">IFERROR((B122/B121-1)*100,"")</f>
        <v>0.132525262620042</v>
      </c>
      <c r="D122" s="21" t="n">
        <f aca="false">IFERROR((B122/B118-1)*100,"")</f>
        <v>2.09790539752794</v>
      </c>
      <c r="E122" s="14"/>
      <c r="F122" s="14"/>
      <c r="G122" s="14"/>
      <c r="I122" s="15" t="n">
        <v>2021</v>
      </c>
      <c r="J122" s="13" t="n">
        <v>25824.1273826578</v>
      </c>
      <c r="K122" s="21" t="n">
        <f aca="false">IFERROR((J122/J121-1)*100,"")</f>
        <v>6.6079521606198</v>
      </c>
      <c r="L122" s="14"/>
    </row>
    <row r="123" customFormat="false" ht="15" hidden="false" customHeight="false" outlineLevel="0" collapsed="false">
      <c r="A123" s="16" t="n">
        <v>39904</v>
      </c>
      <c r="B123" s="17" t="n">
        <v>18864.0141780664</v>
      </c>
      <c r="C123" s="18" t="n">
        <f aca="false">IFERROR((B123/B122-1)*100,"")</f>
        <v>-0.115914875962986</v>
      </c>
      <c r="D123" s="18" t="n">
        <f aca="false">IFERROR((B123/B119-1)*100,"")</f>
        <v>2.16462166630771</v>
      </c>
      <c r="E123" s="19"/>
      <c r="F123" s="19"/>
      <c r="G123" s="19"/>
      <c r="I123" s="20" t="n">
        <v>2022</v>
      </c>
      <c r="J123" s="17" t="n">
        <v>26352.3076190349</v>
      </c>
      <c r="K123" s="18" t="n">
        <f aca="false">IFERROR((J123/J122-1)*100,"")</f>
        <v>2.04529751790101</v>
      </c>
      <c r="L123" s="19"/>
    </row>
    <row r="124" customFormat="false" ht="15" hidden="false" customHeight="false" outlineLevel="0" collapsed="false">
      <c r="A124" s="12" t="n">
        <v>39995</v>
      </c>
      <c r="B124" s="13" t="n">
        <v>19173.3151269457</v>
      </c>
      <c r="C124" s="21" t="n">
        <f aca="false">IFERROR((B124/B123-1)*100,"")</f>
        <v>1.63963484102436</v>
      </c>
      <c r="D124" s="21" t="n">
        <f aca="false">IFERROR((B124/B120-1)*100,"")</f>
        <v>2.8978108811758</v>
      </c>
      <c r="E124" s="14"/>
      <c r="F124" s="14"/>
      <c r="G124" s="14"/>
      <c r="I124" s="15" t="n">
        <v>2023</v>
      </c>
      <c r="J124" s="13" t="n">
        <v>26893.6759907764</v>
      </c>
      <c r="K124" s="21" t="n">
        <f aca="false">IFERROR((J124/J123-1)*100,"")</f>
        <v>2.05434901401351</v>
      </c>
      <c r="L124" s="14"/>
    </row>
    <row r="125" customFormat="false" ht="15" hidden="false" customHeight="false" outlineLevel="0" collapsed="false">
      <c r="A125" s="16" t="n">
        <v>40087</v>
      </c>
      <c r="B125" s="17" t="n">
        <v>18995.8944408687</v>
      </c>
      <c r="C125" s="18" t="n">
        <f aca="false">IFERROR((B125/B124-1)*100,"")</f>
        <v>-0.925352162118687</v>
      </c>
      <c r="D125" s="18" t="n">
        <f aca="false">IFERROR((B125/B121-1)*100,"")</f>
        <v>0.715682103589033</v>
      </c>
      <c r="E125" s="19"/>
      <c r="F125" s="19"/>
      <c r="G125" s="19"/>
      <c r="I125" s="20" t="n">
        <v>2024</v>
      </c>
      <c r="J125" s="17" t="n">
        <v>27602.7899219491</v>
      </c>
      <c r="K125" s="18" t="n">
        <f aca="false">IFERROR((J125/J124-1)*100,"")</f>
        <v>2.63673114607284</v>
      </c>
      <c r="L125" s="19"/>
    </row>
    <row r="126" customFormat="false" ht="15" hidden="false" customHeight="false" outlineLevel="0" collapsed="false">
      <c r="A126" s="12" t="n">
        <v>40179</v>
      </c>
      <c r="B126" s="13" t="n">
        <v>20044.8684540047</v>
      </c>
      <c r="C126" s="21" t="n">
        <f aca="false">IFERROR((B126/B125-1)*100,"")</f>
        <v>5.52210908731519</v>
      </c>
      <c r="D126" s="21" t="n">
        <f aca="false">IFERROR((B126/B122-1)*100,"")</f>
        <v>6.13665405785651</v>
      </c>
      <c r="E126" s="14"/>
      <c r="F126" s="14"/>
      <c r="G126" s="14"/>
      <c r="I126" s="15" t="n">
        <v>2025</v>
      </c>
      <c r="J126" s="13" t="n">
        <v>28148.6594468159</v>
      </c>
      <c r="K126" s="21" t="n">
        <f aca="false">IFERROR((J126/J125-1)*100,"")</f>
        <v>1.97758823079262</v>
      </c>
      <c r="L126" s="14"/>
    </row>
    <row r="127" customFormat="false" ht="15" hidden="false" customHeight="false" outlineLevel="0" collapsed="false">
      <c r="A127" s="16" t="n">
        <v>40269</v>
      </c>
      <c r="B127" s="17" t="n">
        <v>20172.8022552492</v>
      </c>
      <c r="C127" s="18" t="n">
        <f aca="false">IFERROR((B127/B126-1)*100,"")</f>
        <v>0.638237170466116</v>
      </c>
      <c r="D127" s="18" t="n">
        <f aca="false">IFERROR((B127/B123-1)*100,"")</f>
        <v>6.93801470264264</v>
      </c>
      <c r="E127" s="19"/>
      <c r="F127" s="19"/>
      <c r="G127" s="19"/>
      <c r="I127" s="20" t="n">
        <v>2026</v>
      </c>
      <c r="J127" s="19"/>
      <c r="K127" s="18" t="n">
        <f aca="false">IFERROR((J127/J126-1)*100,"")</f>
        <v>-100</v>
      </c>
      <c r="L127" s="17" t="n">
        <v>28626.707988839</v>
      </c>
    </row>
    <row r="128" customFormat="false" ht="15" hidden="false" customHeight="false" outlineLevel="0" collapsed="false">
      <c r="A128" s="12" t="n">
        <v>40360</v>
      </c>
      <c r="B128" s="13" t="n">
        <v>20381.7614041887</v>
      </c>
      <c r="C128" s="21" t="n">
        <f aca="false">IFERROR((B128/B127-1)*100,"")</f>
        <v>1.0358459191512</v>
      </c>
      <c r="D128" s="21" t="n">
        <f aca="false">IFERROR((B128/B124-1)*100,"")</f>
        <v>6.30275082447587</v>
      </c>
      <c r="E128" s="14"/>
      <c r="F128" s="14"/>
      <c r="G128" s="14"/>
      <c r="I128" s="15" t="n">
        <v>2027</v>
      </c>
      <c r="J128" s="14"/>
      <c r="K128" s="21" t="str">
        <f aca="false">IFERROR((J128/J127-1)*100,"")</f>
        <v/>
      </c>
      <c r="L128" s="13" t="n">
        <v>28969.4644680292</v>
      </c>
    </row>
    <row r="129" customFormat="false" ht="15" hidden="false" customHeight="false" outlineLevel="0" collapsed="false">
      <c r="A129" s="16" t="n">
        <v>40452</v>
      </c>
      <c r="B129" s="17" t="n">
        <v>20561.9774627094</v>
      </c>
      <c r="C129" s="18" t="n">
        <f aca="false">IFERROR((B129/B128-1)*100,"")</f>
        <v>0.884202571833348</v>
      </c>
      <c r="D129" s="18" t="n">
        <f aca="false">IFERROR((B129/B125-1)*100,"")</f>
        <v>8.2443236706526</v>
      </c>
      <c r="E129" s="19"/>
      <c r="F129" s="19"/>
      <c r="G129" s="19"/>
    </row>
    <row r="130" customFormat="false" ht="15" hidden="false" customHeight="false" outlineLevel="0" collapsed="false">
      <c r="A130" s="12" t="n">
        <v>40544</v>
      </c>
      <c r="B130" s="13" t="n">
        <v>20616.0508169682</v>
      </c>
      <c r="C130" s="21" t="n">
        <f aca="false">IFERROR((B130/B129-1)*100,"")</f>
        <v>0.262977402620068</v>
      </c>
      <c r="D130" s="21" t="n">
        <f aca="false">IFERROR((B130/B126-1)*100,"")</f>
        <v>2.84951913889637</v>
      </c>
      <c r="E130" s="14"/>
      <c r="F130" s="14"/>
      <c r="G130" s="14"/>
    </row>
    <row r="131" customFormat="false" ht="15" hidden="false" customHeight="false" outlineLevel="0" collapsed="false">
      <c r="A131" s="16" t="n">
        <v>40634</v>
      </c>
      <c r="B131" s="17" t="n">
        <v>20702.5507062841</v>
      </c>
      <c r="C131" s="18" t="n">
        <f aca="false">IFERROR((B131/B130-1)*100,"")</f>
        <v>0.419575456443511</v>
      </c>
      <c r="D131" s="18" t="n">
        <f aca="false">IFERROR((B131/B127-1)*100,"")</f>
        <v>2.6260528623238</v>
      </c>
      <c r="E131" s="19"/>
      <c r="F131" s="19"/>
      <c r="G131" s="19"/>
    </row>
    <row r="132" customFormat="false" ht="15" hidden="false" customHeight="false" outlineLevel="0" collapsed="false">
      <c r="A132" s="12" t="n">
        <v>40725</v>
      </c>
      <c r="B132" s="13" t="n">
        <v>20699.0578049397</v>
      </c>
      <c r="C132" s="21" t="n">
        <f aca="false">IFERROR((B132/B131-1)*100,"")</f>
        <v>-0.0168718405475055</v>
      </c>
      <c r="D132" s="21" t="n">
        <f aca="false">IFERROR((B132/B128-1)*100,"")</f>
        <v>1.55676633858453</v>
      </c>
      <c r="E132" s="14"/>
      <c r="F132" s="14"/>
      <c r="G132" s="14"/>
    </row>
    <row r="133" customFormat="false" ht="15" hidden="false" customHeight="false" outlineLevel="0" collapsed="false">
      <c r="A133" s="16" t="n">
        <v>40817</v>
      </c>
      <c r="B133" s="17" t="n">
        <v>20847.1571599429</v>
      </c>
      <c r="C133" s="18" t="n">
        <f aca="false">IFERROR((B133/B132-1)*100,"")</f>
        <v>0.715488387920082</v>
      </c>
      <c r="D133" s="18" t="n">
        <f aca="false">IFERROR((B133/B129-1)*100,"")</f>
        <v>1.38692738940431</v>
      </c>
      <c r="E133" s="19"/>
      <c r="F133" s="19"/>
      <c r="G133" s="19"/>
    </row>
    <row r="134" customFormat="false" ht="15" hidden="false" customHeight="false" outlineLevel="0" collapsed="false">
      <c r="A134" s="12" t="n">
        <v>40909</v>
      </c>
      <c r="B134" s="13" t="n">
        <v>20935.3861246493</v>
      </c>
      <c r="C134" s="21" t="n">
        <f aca="false">IFERROR((B134/B133-1)*100,"")</f>
        <v>0.423218206825582</v>
      </c>
      <c r="D134" s="21" t="n">
        <f aca="false">IFERROR((B134/B130-1)*100,"")</f>
        <v>1.54896449623751</v>
      </c>
      <c r="E134" s="14"/>
      <c r="F134" s="14"/>
      <c r="G134" s="14"/>
    </row>
    <row r="135" customFormat="false" ht="15" hidden="false" customHeight="false" outlineLevel="0" collapsed="false">
      <c r="A135" s="16" t="n">
        <v>41000</v>
      </c>
      <c r="B135" s="17" t="n">
        <v>21076.5366316937</v>
      </c>
      <c r="C135" s="18" t="n">
        <f aca="false">IFERROR((B135/B134-1)*100,"")</f>
        <v>0.674219745477589</v>
      </c>
      <c r="D135" s="18" t="n">
        <f aca="false">IFERROR((B135/B131-1)*100,"")</f>
        <v>1.80647269370551</v>
      </c>
      <c r="E135" s="19"/>
      <c r="F135" s="19"/>
      <c r="G135" s="19"/>
    </row>
    <row r="136" customFormat="false" ht="15" hidden="false" customHeight="false" outlineLevel="0" collapsed="false">
      <c r="A136" s="12" t="n">
        <v>41091</v>
      </c>
      <c r="B136" s="13" t="n">
        <v>21156.4561874006</v>
      </c>
      <c r="C136" s="21" t="n">
        <f aca="false">IFERROR((B136/B135-1)*100,"")</f>
        <v>0.379187326188579</v>
      </c>
      <c r="D136" s="21" t="n">
        <f aca="false">IFERROR((B136/B132-1)*100,"")</f>
        <v>2.20975460222017</v>
      </c>
      <c r="E136" s="14"/>
      <c r="F136" s="14"/>
      <c r="G136" s="14"/>
    </row>
    <row r="137" customFormat="false" ht="15" hidden="false" customHeight="false" outlineLevel="0" collapsed="false">
      <c r="A137" s="16" t="n">
        <v>41183</v>
      </c>
      <c r="B137" s="17" t="n">
        <v>21195.1073317119</v>
      </c>
      <c r="C137" s="18" t="n">
        <f aca="false">IFERROR((B137/B136-1)*100,"")</f>
        <v>0.182691959225134</v>
      </c>
      <c r="D137" s="18" t="n">
        <f aca="false">IFERROR((B137/B133-1)*100,"")</f>
        <v>1.66905333470408</v>
      </c>
      <c r="E137" s="19"/>
      <c r="F137" s="19"/>
      <c r="G137" s="19"/>
    </row>
    <row r="138" customFormat="false" ht="15" hidden="false" customHeight="false" outlineLevel="0" collapsed="false">
      <c r="A138" s="12" t="n">
        <v>41275</v>
      </c>
      <c r="B138" s="13" t="n">
        <v>21410.382561982</v>
      </c>
      <c r="C138" s="21" t="n">
        <f aca="false">IFERROR((B138/B137-1)*100,"")</f>
        <v>1.01568360518749</v>
      </c>
      <c r="D138" s="21" t="n">
        <f aca="false">IFERROR((B138/B134-1)*100,"")</f>
        <v>2.26886876843144</v>
      </c>
      <c r="E138" s="14"/>
      <c r="F138" s="14"/>
      <c r="G138" s="14"/>
    </row>
    <row r="139" customFormat="false" ht="15" hidden="false" customHeight="false" outlineLevel="0" collapsed="false">
      <c r="A139" s="16" t="n">
        <v>41365</v>
      </c>
      <c r="B139" s="17" t="n">
        <v>21596.1789682592</v>
      </c>
      <c r="C139" s="18" t="n">
        <f aca="false">IFERROR((B139/B138-1)*100,"")</f>
        <v>0.867786485081989</v>
      </c>
      <c r="D139" s="18" t="n">
        <f aca="false">IFERROR((B139/B135-1)*100,"")</f>
        <v>2.46550154632219</v>
      </c>
      <c r="E139" s="19"/>
      <c r="F139" s="19"/>
      <c r="G139" s="19"/>
    </row>
    <row r="140" customFormat="false" ht="15" hidden="false" customHeight="false" outlineLevel="0" collapsed="false">
      <c r="A140" s="12" t="n">
        <v>41456</v>
      </c>
      <c r="B140" s="13" t="n">
        <v>21585.3593468619</v>
      </c>
      <c r="C140" s="21" t="n">
        <f aca="false">IFERROR((B140/B139-1)*100,"")</f>
        <v>-0.0500997024207472</v>
      </c>
      <c r="D140" s="21" t="n">
        <f aca="false">IFERROR((B140/B136-1)*100,"")</f>
        <v>2.0272920741649</v>
      </c>
      <c r="E140" s="14"/>
      <c r="F140" s="14"/>
      <c r="G140" s="14"/>
    </row>
    <row r="141" customFormat="false" ht="15" hidden="false" customHeight="false" outlineLevel="0" collapsed="false">
      <c r="A141" s="16" t="n">
        <v>41548</v>
      </c>
      <c r="B141" s="17" t="n">
        <v>21839.0748201872</v>
      </c>
      <c r="C141" s="18" t="n">
        <f aca="false">IFERROR((B141/B140-1)*100,"")</f>
        <v>1.17540537198528</v>
      </c>
      <c r="D141" s="18" t="n">
        <f aca="false">IFERROR((B141/B137-1)*100,"")</f>
        <v>3.03828368687624</v>
      </c>
      <c r="E141" s="19"/>
      <c r="F141" s="19"/>
      <c r="G141" s="19"/>
    </row>
    <row r="142" customFormat="false" ht="15" hidden="false" customHeight="false" outlineLevel="0" collapsed="false">
      <c r="A142" s="12" t="n">
        <v>41640</v>
      </c>
      <c r="B142" s="13" t="n">
        <v>21798.8909245273</v>
      </c>
      <c r="C142" s="21" t="n">
        <f aca="false">IFERROR((B142/B141-1)*100,"")</f>
        <v>-0.183999990799955</v>
      </c>
      <c r="D142" s="21" t="n">
        <f aca="false">IFERROR((B142/B138-1)*100,"")</f>
        <v>1.81457926508586</v>
      </c>
      <c r="E142" s="14"/>
      <c r="F142" s="14"/>
      <c r="G142" s="14"/>
    </row>
    <row r="143" customFormat="false" ht="15" hidden="false" customHeight="false" outlineLevel="0" collapsed="false">
      <c r="A143" s="16" t="n">
        <v>41730</v>
      </c>
      <c r="B143" s="17" t="n">
        <v>21975.1494831968</v>
      </c>
      <c r="C143" s="18" t="n">
        <f aca="false">IFERROR((B143/B142-1)*100,"")</f>
        <v>0.808566634329133</v>
      </c>
      <c r="D143" s="18" t="n">
        <f aca="false">IFERROR((B143/B139-1)*100,"")</f>
        <v>1.75480354878781</v>
      </c>
      <c r="E143" s="19"/>
      <c r="F143" s="19"/>
      <c r="G143" s="19"/>
    </row>
    <row r="144" customFormat="false" ht="15" hidden="false" customHeight="false" outlineLevel="0" collapsed="false">
      <c r="A144" s="12" t="n">
        <v>41821</v>
      </c>
      <c r="B144" s="13" t="n">
        <v>22050.5644831926</v>
      </c>
      <c r="C144" s="21" t="n">
        <f aca="false">IFERROR((B144/B143-1)*100,"")</f>
        <v>0.343183103502409</v>
      </c>
      <c r="D144" s="21" t="n">
        <f aca="false">IFERROR((B144/B140-1)*100,"")</f>
        <v>2.15518828690842</v>
      </c>
      <c r="E144" s="14"/>
      <c r="F144" s="14"/>
      <c r="G144" s="14"/>
    </row>
    <row r="145" customFormat="false" ht="15" hidden="false" customHeight="false" outlineLevel="0" collapsed="false">
      <c r="A145" s="16" t="n">
        <v>41913</v>
      </c>
      <c r="B145" s="17" t="n">
        <v>22381.438360572</v>
      </c>
      <c r="C145" s="18" t="n">
        <f aca="false">IFERROR((B145/B144-1)*100,"")</f>
        <v>1.50052338855824</v>
      </c>
      <c r="D145" s="18" t="n">
        <f aca="false">IFERROR((B145/B141-1)*100,"")</f>
        <v>2.48345474728353</v>
      </c>
      <c r="E145" s="19"/>
      <c r="F145" s="19"/>
      <c r="G145" s="19"/>
    </row>
    <row r="146" customFormat="false" ht="15" hidden="false" customHeight="false" outlineLevel="0" collapsed="false">
      <c r="A146" s="12" t="n">
        <v>42005</v>
      </c>
      <c r="B146" s="13" t="n">
        <v>22431.2598594905</v>
      </c>
      <c r="C146" s="21" t="n">
        <f aca="false">IFERROR((B146/B145-1)*100,"")</f>
        <v>0.222601863722427</v>
      </c>
      <c r="D146" s="21" t="n">
        <f aca="false">IFERROR((B146/B142-1)*100,"")</f>
        <v>2.90092251551972</v>
      </c>
      <c r="E146" s="14"/>
      <c r="F146" s="14"/>
      <c r="G146" s="14"/>
    </row>
    <row r="147" customFormat="false" ht="15" hidden="false" customHeight="false" outlineLevel="0" collapsed="false">
      <c r="A147" s="16" t="n">
        <v>42095</v>
      </c>
      <c r="B147" s="17" t="n">
        <v>22377.0863619237</v>
      </c>
      <c r="C147" s="18" t="n">
        <f aca="false">IFERROR((B147/B146-1)*100,"")</f>
        <v>-0.241508938446522</v>
      </c>
      <c r="D147" s="18" t="n">
        <f aca="false">IFERROR((B147/B143-1)*100,"")</f>
        <v>1.82905185256723</v>
      </c>
      <c r="E147" s="19"/>
      <c r="F147" s="19"/>
      <c r="G147" s="19"/>
    </row>
    <row r="148" customFormat="false" ht="15" hidden="false" customHeight="false" outlineLevel="0" collapsed="false">
      <c r="A148" s="12" t="n">
        <v>42186</v>
      </c>
      <c r="B148" s="13" t="n">
        <v>22773.6523396468</v>
      </c>
      <c r="C148" s="21" t="n">
        <f aca="false">IFERROR((B148/B147-1)*100,"")</f>
        <v>1.77219666273409</v>
      </c>
      <c r="D148" s="21" t="n">
        <f aca="false">IFERROR((B148/B144-1)*100,"")</f>
        <v>3.27922605793332</v>
      </c>
      <c r="E148" s="14"/>
      <c r="F148" s="14"/>
      <c r="G148" s="14"/>
    </row>
    <row r="149" customFormat="false" ht="15" hidden="false" customHeight="false" outlineLevel="0" collapsed="false">
      <c r="A149" s="16" t="n">
        <v>42278</v>
      </c>
      <c r="B149" s="17" t="n">
        <v>22728.2416603602</v>
      </c>
      <c r="C149" s="18" t="n">
        <f aca="false">IFERROR((B149/B148-1)*100,"")</f>
        <v>-0.199400072545952</v>
      </c>
      <c r="D149" s="18" t="n">
        <f aca="false">IFERROR((B149/B145-1)*100,"")</f>
        <v>1.5495130125289</v>
      </c>
      <c r="E149" s="19"/>
      <c r="F149" s="19"/>
      <c r="G149" s="19"/>
    </row>
    <row r="150" customFormat="false" ht="15" hidden="false" customHeight="false" outlineLevel="0" collapsed="false">
      <c r="A150" s="12" t="n">
        <v>42370</v>
      </c>
      <c r="B150" s="13" t="n">
        <v>22908.3917641272</v>
      </c>
      <c r="C150" s="21" t="n">
        <f aca="false">IFERROR((B150/B149-1)*100,"")</f>
        <v>0.79262666447808</v>
      </c>
      <c r="D150" s="21" t="n">
        <f aca="false">IFERROR((B150/B146-1)*100,"")</f>
        <v>2.12708473632541</v>
      </c>
      <c r="E150" s="14"/>
      <c r="F150" s="14"/>
      <c r="G150" s="14"/>
    </row>
    <row r="151" customFormat="false" ht="15" hidden="false" customHeight="false" outlineLevel="0" collapsed="false">
      <c r="A151" s="16" t="n">
        <v>42461</v>
      </c>
      <c r="B151" s="17" t="n">
        <v>23226.9903582615</v>
      </c>
      <c r="C151" s="18" t="n">
        <f aca="false">IFERROR((B151/B150-1)*100,"")</f>
        <v>1.39075059224898</v>
      </c>
      <c r="D151" s="18" t="n">
        <f aca="false">IFERROR((B151/B147-1)*100,"")</f>
        <v>3.79809946027665</v>
      </c>
      <c r="E151" s="19"/>
      <c r="F151" s="19"/>
      <c r="G151" s="19"/>
    </row>
    <row r="152" customFormat="false" ht="15" hidden="false" customHeight="false" outlineLevel="0" collapsed="false">
      <c r="A152" s="12" t="n">
        <v>42552</v>
      </c>
      <c r="B152" s="13" t="n">
        <v>23112.1439006619</v>
      </c>
      <c r="C152" s="21" t="n">
        <f aca="false">IFERROR((B152/B151-1)*100,"")</f>
        <v>-0.494452599446493</v>
      </c>
      <c r="D152" s="21" t="n">
        <f aca="false">IFERROR((B152/B148-1)*100,"")</f>
        <v>1.48632971104872</v>
      </c>
      <c r="E152" s="14"/>
      <c r="F152" s="14"/>
      <c r="G152" s="14"/>
    </row>
    <row r="153" customFormat="false" ht="15" hidden="false" customHeight="false" outlineLevel="0" collapsed="false">
      <c r="A153" s="16" t="n">
        <v>42644</v>
      </c>
      <c r="B153" s="17" t="n">
        <v>23236.7158803467</v>
      </c>
      <c r="C153" s="18" t="n">
        <f aca="false">IFERROR((B153/B152-1)*100,"")</f>
        <v>0.538989287277736</v>
      </c>
      <c r="D153" s="18" t="n">
        <f aca="false">IFERROR((B153/B149-1)*100,"")</f>
        <v>2.23719118964372</v>
      </c>
      <c r="E153" s="19"/>
      <c r="F153" s="19"/>
      <c r="G153" s="19"/>
    </row>
    <row r="154" customFormat="false" ht="15" hidden="false" customHeight="false" outlineLevel="0" collapsed="false">
      <c r="A154" s="12" t="n">
        <v>42736</v>
      </c>
      <c r="B154" s="13" t="n">
        <v>23489.7511461668</v>
      </c>
      <c r="C154" s="21" t="n">
        <f aca="false">IFERROR((B154/B153-1)*100,"")</f>
        <v>1.08894590407289</v>
      </c>
      <c r="D154" s="21" t="n">
        <f aca="false">IFERROR((B154/B150-1)*100,"")</f>
        <v>2.53775729010335</v>
      </c>
      <c r="E154" s="14"/>
      <c r="F154" s="14"/>
      <c r="G154" s="14"/>
    </row>
    <row r="155" customFormat="false" ht="15" hidden="false" customHeight="false" outlineLevel="0" collapsed="false">
      <c r="A155" s="16" t="n">
        <v>42826</v>
      </c>
      <c r="B155" s="17" t="n">
        <v>23631.2306705839</v>
      </c>
      <c r="C155" s="18" t="n">
        <f aca="false">IFERROR((B155/B154-1)*100,"")</f>
        <v>0.602303206776189</v>
      </c>
      <c r="D155" s="18" t="n">
        <f aca="false">IFERROR((B155/B151-1)*100,"")</f>
        <v>1.74039040825875</v>
      </c>
      <c r="E155" s="19"/>
      <c r="F155" s="19"/>
      <c r="G155" s="19"/>
    </row>
    <row r="156" customFormat="false" ht="15" hidden="false" customHeight="false" outlineLevel="0" collapsed="false">
      <c r="A156" s="12" t="n">
        <v>42917</v>
      </c>
      <c r="B156" s="13" t="n">
        <v>23636.9467979403</v>
      </c>
      <c r="C156" s="21" t="n">
        <f aca="false">IFERROR((B156/B155-1)*100,"")</f>
        <v>0.0241888686888458</v>
      </c>
      <c r="D156" s="21" t="n">
        <f aca="false">IFERROR((B156/B152-1)*100,"")</f>
        <v>2.27068029488779</v>
      </c>
      <c r="E156" s="14"/>
      <c r="F156" s="14"/>
      <c r="G156" s="14"/>
    </row>
    <row r="157" customFormat="false" ht="15" hidden="false" customHeight="false" outlineLevel="0" collapsed="false">
      <c r="A157" s="16" t="n">
        <v>43009</v>
      </c>
      <c r="B157" s="17" t="n">
        <v>23784.0498351909</v>
      </c>
      <c r="C157" s="18" t="n">
        <f aca="false">IFERROR((B157/B156-1)*100,"")</f>
        <v>0.622343649152368</v>
      </c>
      <c r="D157" s="18" t="n">
        <f aca="false">IFERROR((B157/B153-1)*100,"")</f>
        <v>2.35547035847306</v>
      </c>
      <c r="E157" s="19"/>
      <c r="F157" s="19"/>
      <c r="G157" s="19"/>
    </row>
    <row r="158" customFormat="false" ht="15" hidden="false" customHeight="false" outlineLevel="0" collapsed="false">
      <c r="A158" s="12" t="n">
        <v>43101</v>
      </c>
      <c r="B158" s="13" t="n">
        <v>23972.2561208761</v>
      </c>
      <c r="C158" s="21" t="n">
        <f aca="false">IFERROR((B158/B157-1)*100,"")</f>
        <v>0.791313031167329</v>
      </c>
      <c r="D158" s="21" t="n">
        <f aca="false">IFERROR((B158/B154-1)*100,"")</f>
        <v>2.05410849909331</v>
      </c>
      <c r="E158" s="14"/>
      <c r="F158" s="14"/>
      <c r="G158" s="14"/>
    </row>
    <row r="159" customFormat="false" ht="15" hidden="false" customHeight="false" outlineLevel="0" collapsed="false">
      <c r="A159" s="16" t="n">
        <v>43191</v>
      </c>
      <c r="B159" s="17" t="n">
        <v>24036.3251862397</v>
      </c>
      <c r="C159" s="18" t="n">
        <f aca="false">IFERROR((B159/B158-1)*100,"")</f>
        <v>0.267263394152617</v>
      </c>
      <c r="D159" s="18" t="n">
        <f aca="false">IFERROR((B159/B155-1)*100,"")</f>
        <v>1.71423368212491</v>
      </c>
      <c r="E159" s="19"/>
      <c r="F159" s="19"/>
      <c r="G159" s="19"/>
    </row>
    <row r="160" customFormat="false" ht="15" hidden="false" customHeight="false" outlineLevel="0" collapsed="false">
      <c r="A160" s="12" t="n">
        <v>43282</v>
      </c>
      <c r="B160" s="13" t="n">
        <v>24118.6076229819</v>
      </c>
      <c r="C160" s="21" t="n">
        <f aca="false">IFERROR((B160/B159-1)*100,"")</f>
        <v>0.342325360073614</v>
      </c>
      <c r="D160" s="21" t="n">
        <f aca="false">IFERROR((B160/B156-1)*100,"")</f>
        <v>2.03774552254588</v>
      </c>
      <c r="E160" s="14"/>
      <c r="F160" s="14"/>
      <c r="G160" s="14"/>
    </row>
    <row r="161" customFormat="false" ht="15" hidden="false" customHeight="false" outlineLevel="0" collapsed="false">
      <c r="A161" s="16" t="n">
        <v>43374</v>
      </c>
      <c r="B161" s="17" t="n">
        <v>24247.9547277298</v>
      </c>
      <c r="C161" s="18" t="n">
        <f aca="false">IFERROR((B161/B160-1)*100,"")</f>
        <v>0.536295903850648</v>
      </c>
      <c r="D161" s="18" t="n">
        <f aca="false">IFERROR((B161/B157-1)*100,"")</f>
        <v>1.95048738862182</v>
      </c>
      <c r="E161" s="19"/>
      <c r="F161" s="19"/>
      <c r="G161" s="19"/>
    </row>
    <row r="162" customFormat="false" ht="15" hidden="false" customHeight="false" outlineLevel="0" collapsed="false">
      <c r="A162" s="12" t="n">
        <v>43466</v>
      </c>
      <c r="B162" s="13" t="n">
        <v>24531.2701694207</v>
      </c>
      <c r="C162" s="21" t="n">
        <f aca="false">IFERROR((B162/B161-1)*100,"")</f>
        <v>1.16840964473961</v>
      </c>
      <c r="D162" s="21" t="n">
        <f aca="false">IFERROR((B162/B158-1)*100,"")</f>
        <v>2.33192089107461</v>
      </c>
      <c r="E162" s="14"/>
      <c r="F162" s="14"/>
      <c r="G162" s="14"/>
    </row>
    <row r="163" customFormat="false" ht="15" hidden="false" customHeight="false" outlineLevel="0" collapsed="false">
      <c r="A163" s="16" t="n">
        <v>43556</v>
      </c>
      <c r="B163" s="17" t="n">
        <v>24658.0554054654</v>
      </c>
      <c r="C163" s="18" t="n">
        <f aca="false">IFERROR((B163/B162-1)*100,"")</f>
        <v>0.516831110534155</v>
      </c>
      <c r="D163" s="18" t="n">
        <f aca="false">IFERROR((B163/B159-1)*100,"")</f>
        <v>2.5866275913994</v>
      </c>
      <c r="E163" s="19"/>
      <c r="F163" s="19"/>
      <c r="G163" s="19"/>
    </row>
    <row r="164" customFormat="false" ht="15" hidden="false" customHeight="false" outlineLevel="0" collapsed="false">
      <c r="A164" s="12" t="n">
        <v>43647</v>
      </c>
      <c r="B164" s="13" t="n">
        <v>24517.2019413291</v>
      </c>
      <c r="C164" s="21" t="n">
        <f aca="false">IFERROR((B164/B163-1)*100,"")</f>
        <v>-0.571226975607897</v>
      </c>
      <c r="D164" s="21" t="n">
        <f aca="false">IFERROR((B164/B160-1)*100,"")</f>
        <v>1.65264232735944</v>
      </c>
      <c r="E164" s="14"/>
      <c r="F164" s="14"/>
      <c r="G164" s="14"/>
    </row>
    <row r="165" customFormat="false" ht="15" hidden="false" customHeight="false" outlineLevel="0" collapsed="false">
      <c r="A165" s="16" t="n">
        <v>43739</v>
      </c>
      <c r="B165" s="17" t="n">
        <v>24647.6197632104</v>
      </c>
      <c r="C165" s="18" t="n">
        <f aca="false">IFERROR((B165/B164-1)*100,"")</f>
        <v>0.531944151675479</v>
      </c>
      <c r="D165" s="18" t="n">
        <f aca="false">IFERROR((B165/B161-1)*100,"")</f>
        <v>1.64824225370066</v>
      </c>
      <c r="E165" s="19"/>
      <c r="F165" s="19"/>
      <c r="G165" s="19"/>
    </row>
    <row r="166" customFormat="false" ht="15" hidden="false" customHeight="false" outlineLevel="0" collapsed="false">
      <c r="A166" s="12" t="n">
        <v>43831</v>
      </c>
      <c r="B166" s="13" t="n">
        <v>23990.6256643458</v>
      </c>
      <c r="C166" s="21" t="n">
        <f aca="false">IFERROR((B166/B165-1)*100,"")</f>
        <v>-2.66554785077172</v>
      </c>
      <c r="D166" s="21" t="n">
        <f aca="false">IFERROR((B166/B162-1)*100,"")</f>
        <v>-2.20389935515373</v>
      </c>
      <c r="E166" s="14"/>
      <c r="F166" s="14"/>
      <c r="G166" s="14"/>
    </row>
    <row r="167" customFormat="false" ht="15" hidden="false" customHeight="false" outlineLevel="0" collapsed="false">
      <c r="A167" s="16" t="n">
        <v>43922</v>
      </c>
      <c r="B167" s="17" t="n">
        <v>23959.5617610254</v>
      </c>
      <c r="C167" s="18" t="n">
        <f aca="false">IFERROR((B167/B166-1)*100,"")</f>
        <v>-0.129483506412031</v>
      </c>
      <c r="D167" s="18" t="n">
        <f aca="false">IFERROR((B167/B163-1)*100,"")</f>
        <v>-2.83271990817732</v>
      </c>
      <c r="E167" s="19"/>
      <c r="F167" s="19"/>
      <c r="G167" s="19"/>
    </row>
    <row r="168" customFormat="false" ht="15" hidden="false" customHeight="false" outlineLevel="0" collapsed="false">
      <c r="A168" s="12" t="n">
        <v>44013</v>
      </c>
      <c r="B168" s="13" t="n">
        <v>24543.3570449214</v>
      </c>
      <c r="C168" s="21" t="n">
        <f aca="false">IFERROR((B168/B167-1)*100,"")</f>
        <v>2.43658581788253</v>
      </c>
      <c r="D168" s="21" t="n">
        <f aca="false">IFERROR((B168/B164-1)*100,"")</f>
        <v>0.106680622262223</v>
      </c>
      <c r="E168" s="14"/>
      <c r="F168" s="14"/>
      <c r="G168" s="14"/>
    </row>
    <row r="169" customFormat="false" ht="15" hidden="false" customHeight="false" outlineLevel="0" collapsed="false">
      <c r="A169" s="16" t="n">
        <v>44105</v>
      </c>
      <c r="B169" s="17" t="n">
        <v>24400.2682679923</v>
      </c>
      <c r="C169" s="18" t="n">
        <f aca="false">IFERROR((B169/B168-1)*100,"")</f>
        <v>-0.583004096249806</v>
      </c>
      <c r="D169" s="18" t="n">
        <f aca="false">IFERROR((B169/B165-1)*100,"")</f>
        <v>-1.00355124589914</v>
      </c>
      <c r="E169" s="19"/>
      <c r="F169" s="19"/>
      <c r="G169" s="19"/>
    </row>
    <row r="170" customFormat="false" ht="15" hidden="false" customHeight="false" outlineLevel="0" collapsed="false">
      <c r="A170" s="12" t="n">
        <v>44197</v>
      </c>
      <c r="B170" s="13" t="n">
        <v>25642.6431854881</v>
      </c>
      <c r="C170" s="21" t="n">
        <f aca="false">IFERROR((B170/B169-1)*100,"")</f>
        <v>5.09164450099731</v>
      </c>
      <c r="D170" s="21" t="n">
        <f aca="false">IFERROR((B170/B166-1)*100,"")</f>
        <v>6.88609602873953</v>
      </c>
      <c r="E170" s="14"/>
      <c r="F170" s="14"/>
      <c r="G170" s="14"/>
    </row>
    <row r="171" customFormat="false" ht="15" hidden="false" customHeight="false" outlineLevel="0" collapsed="false">
      <c r="A171" s="16" t="n">
        <v>44287</v>
      </c>
      <c r="B171" s="17" t="n">
        <v>25731.8226173614</v>
      </c>
      <c r="C171" s="18" t="n">
        <f aca="false">IFERROR((B171/B170-1)*100,"")</f>
        <v>0.347777845007014</v>
      </c>
      <c r="D171" s="18" t="n">
        <f aca="false">IFERROR((B171/B167-1)*100,"")</f>
        <v>7.39688344057652</v>
      </c>
      <c r="E171" s="19"/>
      <c r="F171" s="19"/>
      <c r="G171" s="19"/>
    </row>
    <row r="172" customFormat="false" ht="15" hidden="false" customHeight="false" outlineLevel="0" collapsed="false">
      <c r="A172" s="12" t="n">
        <v>44378</v>
      </c>
      <c r="B172" s="13" t="n">
        <v>25992.5874301523</v>
      </c>
      <c r="C172" s="21" t="n">
        <f aca="false">IFERROR((B172/B171-1)*100,"")</f>
        <v>1.01339425764186</v>
      </c>
      <c r="D172" s="21" t="n">
        <f aca="false">IFERROR((B172/B168-1)*100,"")</f>
        <v>5.90477652498176</v>
      </c>
      <c r="E172" s="14"/>
      <c r="F172" s="14"/>
      <c r="G172" s="14"/>
    </row>
    <row r="173" customFormat="false" ht="15" hidden="false" customHeight="false" outlineLevel="0" collapsed="false">
      <c r="A173" s="16" t="n">
        <v>44470</v>
      </c>
      <c r="B173" s="17" t="n">
        <v>25929.4562976294</v>
      </c>
      <c r="C173" s="18" t="n">
        <f aca="false">IFERROR((B173/B172-1)*100,"")</f>
        <v>-0.242881293340103</v>
      </c>
      <c r="D173" s="18" t="n">
        <f aca="false">IFERROR((B173/B169-1)*100,"")</f>
        <v>6.2670951517493</v>
      </c>
      <c r="E173" s="19"/>
      <c r="F173" s="19"/>
      <c r="G173" s="19"/>
    </row>
    <row r="174" customFormat="false" ht="15" hidden="false" customHeight="false" outlineLevel="0" collapsed="false">
      <c r="A174" s="12" t="n">
        <v>44562</v>
      </c>
      <c r="B174" s="13" t="n">
        <v>26415.3082036842</v>
      </c>
      <c r="C174" s="21" t="n">
        <f aca="false">IFERROR((B174/B173-1)*100,"")</f>
        <v>1.87374505843063</v>
      </c>
      <c r="D174" s="21" t="n">
        <f aca="false">IFERROR((B174/B170-1)*100,"")</f>
        <v>3.01320348533098</v>
      </c>
      <c r="E174" s="14"/>
      <c r="F174" s="14"/>
      <c r="G174" s="14"/>
    </row>
    <row r="175" customFormat="false" ht="15" hidden="false" customHeight="false" outlineLevel="0" collapsed="false">
      <c r="A175" s="16" t="n">
        <v>44652</v>
      </c>
      <c r="B175" s="17" t="n">
        <v>26044.7402813994</v>
      </c>
      <c r="C175" s="18" t="n">
        <f aca="false">IFERROR((B175/B174-1)*100,"")</f>
        <v>-1.40285291932762</v>
      </c>
      <c r="D175" s="18" t="n">
        <f aca="false">IFERROR((B175/B171-1)*100,"")</f>
        <v>1.21607267658872</v>
      </c>
      <c r="E175" s="19"/>
      <c r="F175" s="19"/>
      <c r="G175" s="19"/>
    </row>
    <row r="176" customFormat="false" ht="15" hidden="false" customHeight="false" outlineLevel="0" collapsed="false">
      <c r="A176" s="12" t="n">
        <v>44743</v>
      </c>
      <c r="B176" s="13" t="n">
        <v>26262.3021489361</v>
      </c>
      <c r="C176" s="21" t="n">
        <f aca="false">IFERROR((B176/B175-1)*100,"")</f>
        <v>0.835338978949651</v>
      </c>
      <c r="D176" s="21" t="n">
        <f aca="false">IFERROR((B176/B172-1)*100,"")</f>
        <v>1.03766013871682</v>
      </c>
      <c r="E176" s="14"/>
      <c r="F176" s="14"/>
      <c r="G176" s="14"/>
    </row>
    <row r="177" customFormat="false" ht="15" hidden="false" customHeight="false" outlineLevel="0" collapsed="false">
      <c r="A177" s="16" t="n">
        <v>44835</v>
      </c>
      <c r="B177" s="17" t="n">
        <v>26686.8798421199</v>
      </c>
      <c r="C177" s="18" t="n">
        <f aca="false">IFERROR((B177/B176-1)*100,"")</f>
        <v>1.61668116822316</v>
      </c>
      <c r="D177" s="18" t="n">
        <f aca="false">IFERROR((B177/B173-1)*100,"")</f>
        <v>2.9210930449</v>
      </c>
      <c r="E177" s="19"/>
      <c r="F177" s="19"/>
      <c r="G177" s="19"/>
    </row>
    <row r="178" customFormat="false" ht="15" hidden="false" customHeight="false" outlineLevel="0" collapsed="false">
      <c r="A178" s="12" t="n">
        <v>44927</v>
      </c>
      <c r="B178" s="13" t="n">
        <v>26647.4932350857</v>
      </c>
      <c r="C178" s="21" t="n">
        <f aca="false">IFERROR((B178/B177-1)*100,"")</f>
        <v>-0.147587905619551</v>
      </c>
      <c r="D178" s="21" t="n">
        <f aca="false">IFERROR((B178/B174-1)*100,"")</f>
        <v>0.878979073842889</v>
      </c>
      <c r="E178" s="14"/>
      <c r="F178" s="14"/>
      <c r="G178" s="14"/>
    </row>
    <row r="179" customFormat="false" ht="15" hidden="false" customHeight="false" outlineLevel="0" collapsed="false">
      <c r="A179" s="16" t="n">
        <v>45017</v>
      </c>
      <c r="B179" s="17" t="n">
        <v>26832.4907662433</v>
      </c>
      <c r="C179" s="18" t="n">
        <f aca="false">IFERROR((B179/B178-1)*100,"")</f>
        <v>0.694239902889171</v>
      </c>
      <c r="D179" s="18" t="n">
        <f aca="false">IFERROR((B179/B175-1)*100,"")</f>
        <v>3.02460487734837</v>
      </c>
      <c r="E179" s="19"/>
      <c r="F179" s="19"/>
      <c r="G179" s="19"/>
    </row>
    <row r="180" customFormat="false" ht="15" hidden="false" customHeight="false" outlineLevel="0" collapsed="false">
      <c r="A180" s="12" t="n">
        <v>45108</v>
      </c>
      <c r="B180" s="13" t="n">
        <v>27084.1679734326</v>
      </c>
      <c r="C180" s="21" t="n">
        <f aca="false">IFERROR((B180/B179-1)*100,"")</f>
        <v>0.937956932070971</v>
      </c>
      <c r="D180" s="21" t="n">
        <f aca="false">IFERROR((B180/B176-1)*100,"")</f>
        <v>3.12945079923148</v>
      </c>
      <c r="E180" s="14"/>
      <c r="F180" s="14"/>
      <c r="G180" s="14"/>
    </row>
    <row r="181" customFormat="false" ht="15" hidden="false" customHeight="false" outlineLevel="0" collapsed="false">
      <c r="A181" s="16" t="n">
        <v>45200</v>
      </c>
      <c r="B181" s="17" t="n">
        <v>27010.5519883438</v>
      </c>
      <c r="C181" s="18" t="n">
        <f aca="false">IFERROR((B181/B180-1)*100,"")</f>
        <v>-0.271804491690641</v>
      </c>
      <c r="D181" s="18" t="n">
        <f aca="false">IFERROR((B181/B177-1)*100,"")</f>
        <v>1.21285121429997</v>
      </c>
      <c r="E181" s="19"/>
      <c r="F181" s="19"/>
      <c r="G181" s="19"/>
    </row>
    <row r="182" customFormat="false" ht="15" hidden="false" customHeight="false" outlineLevel="0" collapsed="false">
      <c r="A182" s="12" t="n">
        <v>45292</v>
      </c>
      <c r="B182" s="13" t="n">
        <v>27454.5144472737</v>
      </c>
      <c r="C182" s="21" t="n">
        <f aca="false">IFERROR((B182/B181-1)*100,"")</f>
        <v>1.64366303628867</v>
      </c>
      <c r="D182" s="21" t="n">
        <f aca="false">IFERROR((B182/B178-1)*100,"")</f>
        <v>3.02850705343449</v>
      </c>
      <c r="E182" s="14"/>
      <c r="F182" s="14"/>
      <c r="G182" s="14"/>
    </row>
    <row r="183" customFormat="false" ht="15" hidden="false" customHeight="false" outlineLevel="0" collapsed="false">
      <c r="A183" s="16" t="n">
        <v>45383</v>
      </c>
      <c r="B183" s="17" t="n">
        <v>27530.3555797439</v>
      </c>
      <c r="C183" s="18" t="n">
        <f aca="false">IFERROR((B183/B182-1)*100,"")</f>
        <v>0.276242847477093</v>
      </c>
      <c r="D183" s="18" t="n">
        <f aca="false">IFERROR((B183/B179-1)*100,"")</f>
        <v>2.60082010119798</v>
      </c>
      <c r="E183" s="19"/>
      <c r="F183" s="19"/>
      <c r="G183" s="19"/>
    </row>
    <row r="184" customFormat="false" ht="15" hidden="false" customHeight="false" outlineLevel="0" collapsed="false">
      <c r="A184" s="12" t="n">
        <v>45474</v>
      </c>
      <c r="B184" s="13" t="n">
        <v>27688.1307658885</v>
      </c>
      <c r="C184" s="21" t="n">
        <f aca="false">IFERROR((B184/B183-1)*100,"")</f>
        <v>0.573095344473917</v>
      </c>
      <c r="D184" s="21" t="n">
        <f aca="false">IFERROR((B184/B180-1)*100,"")</f>
        <v>2.22994774308127</v>
      </c>
      <c r="E184" s="14"/>
      <c r="F184" s="14"/>
      <c r="G184" s="14"/>
    </row>
    <row r="185" customFormat="false" ht="15" hidden="false" customHeight="false" outlineLevel="0" collapsed="false">
      <c r="A185" s="16" t="n">
        <v>45566</v>
      </c>
      <c r="B185" s="17" t="n">
        <v>27738.1588948901</v>
      </c>
      <c r="C185" s="18" t="n">
        <f aca="false">IFERROR((B185/B184-1)*100,"")</f>
        <v>0.180684385755847</v>
      </c>
      <c r="D185" s="18" t="n">
        <f aca="false">IFERROR((B185/B181-1)*100,"")</f>
        <v>2.69378762366774</v>
      </c>
      <c r="E185" s="19"/>
      <c r="F185" s="19"/>
      <c r="G185" s="19"/>
    </row>
    <row r="186" customFormat="false" ht="15" hidden="false" customHeight="false" outlineLevel="0" collapsed="false">
      <c r="A186" s="12" t="n">
        <v>45658</v>
      </c>
      <c r="B186" s="13" t="n">
        <v>27748.6820235695</v>
      </c>
      <c r="C186" s="21" t="n">
        <f aca="false">IFERROR((B186/B185-1)*100,"")</f>
        <v>0.0379373725531318</v>
      </c>
      <c r="D186" s="21" t="n">
        <f aca="false">IFERROR((B186/B182-1)*100,"")</f>
        <v>1.07147251451374</v>
      </c>
      <c r="E186" s="14"/>
      <c r="F186" s="14"/>
      <c r="G186" s="14"/>
    </row>
    <row r="187" customFormat="false" ht="15" hidden="false" customHeight="false" outlineLevel="0" collapsed="false">
      <c r="A187" s="16" t="n">
        <v>45748</v>
      </c>
      <c r="B187" s="17" t="n">
        <v>27965.8814611655</v>
      </c>
      <c r="C187" s="18" t="n">
        <f aca="false">IFERROR((B187/B186-1)*100,"")</f>
        <v>0.782737851879101</v>
      </c>
      <c r="D187" s="18" t="n">
        <f aca="false">IFERROR((B187/B183-1)*100,"")</f>
        <v>1.58198422159894</v>
      </c>
      <c r="E187" s="19"/>
      <c r="F187" s="19"/>
      <c r="G187" s="19"/>
    </row>
    <row r="188" customFormat="false" ht="15" hidden="false" customHeight="false" outlineLevel="0" collapsed="false">
      <c r="A188" s="12" t="n">
        <v>45839</v>
      </c>
      <c r="B188" s="13" t="n">
        <v>28365.0028963422</v>
      </c>
      <c r="C188" s="21" t="n">
        <f aca="false">IFERROR((B188/B187-1)*100,"")</f>
        <v>1.42717273450126</v>
      </c>
      <c r="D188" s="21" t="n">
        <f aca="false">IFERROR((B188/B184-1)*100,"")</f>
        <v>2.4446292029493</v>
      </c>
      <c r="E188" s="14"/>
      <c r="F188" s="14"/>
      <c r="G188" s="14"/>
    </row>
    <row r="189" customFormat="false" ht="15" hidden="false" customHeight="false" outlineLevel="0" collapsed="false">
      <c r="A189" s="16" t="n">
        <v>45931</v>
      </c>
      <c r="B189" s="17" t="n">
        <v>28515.0714061866</v>
      </c>
      <c r="C189" s="18" t="n">
        <f aca="false">IFERROR((B189/B188-1)*100,"")</f>
        <v>0.529062205256192</v>
      </c>
      <c r="D189" s="18" t="n">
        <f aca="false">IFERROR((B189/B185-1)*100,"")</f>
        <v>2.80087987901594</v>
      </c>
      <c r="E189" s="19"/>
      <c r="F189" s="19"/>
      <c r="G189" s="19"/>
    </row>
    <row r="190" customFormat="false" ht="15" hidden="false" customHeight="false" outlineLevel="0" collapsed="false">
      <c r="A190" s="12" t="n">
        <v>46023</v>
      </c>
      <c r="B190" s="14"/>
      <c r="C190" s="21" t="n">
        <f aca="false">IFERROR((B190/B189-1)*100,"")</f>
        <v>-100</v>
      </c>
      <c r="D190" s="21" t="n">
        <f aca="false">IFERROR((B190/B186-1)*100,"")</f>
        <v>-100</v>
      </c>
      <c r="E190" s="13" t="n">
        <v>28461.550742746</v>
      </c>
      <c r="F190" s="13" t="n">
        <v>28462.9020477015</v>
      </c>
      <c r="G190" s="22" t="n">
        <f aca="false">29183.64207-27742.162026</f>
        <v>1441.480044</v>
      </c>
    </row>
    <row r="191" customFormat="false" ht="15" hidden="false" customHeight="false" outlineLevel="0" collapsed="false">
      <c r="A191" s="16" t="n">
        <v>46113</v>
      </c>
      <c r="B191" s="19"/>
      <c r="C191" s="18" t="str">
        <f aca="false">IFERROR((B191/B190-1)*100,"")</f>
        <v/>
      </c>
      <c r="D191" s="18" t="n">
        <f aca="false">IFERROR((B191/B187-1)*100,"")</f>
        <v>-100</v>
      </c>
      <c r="E191" s="17" t="n">
        <v>28620.3430276502</v>
      </c>
      <c r="F191" s="17" t="n">
        <v>28562.5458287361</v>
      </c>
      <c r="G191" s="23" t="n">
        <f aca="false">29581.826143-27543.265515</f>
        <v>2038.560628</v>
      </c>
    </row>
    <row r="192" customFormat="false" ht="15" hidden="false" customHeight="false" outlineLevel="0" collapsed="false">
      <c r="A192" s="12" t="n">
        <v>46204</v>
      </c>
      <c r="B192" s="14"/>
      <c r="C192" s="21" t="str">
        <f aca="false">IFERROR((B192/B191-1)*100,"")</f>
        <v/>
      </c>
      <c r="D192" s="21" t="n">
        <f aca="false">IFERROR((B192/B188-1)*100,"")</f>
        <v>-100</v>
      </c>
      <c r="E192" s="13" t="n">
        <v>28780.0212442444</v>
      </c>
      <c r="F192" s="13" t="n">
        <v>28704.9875908195</v>
      </c>
      <c r="G192" s="22" t="n">
        <f aca="false">29953.345928-27456.629253</f>
        <v>2496.716675</v>
      </c>
    </row>
    <row r="193" customFormat="false" ht="15" hidden="false" customHeight="false" outlineLevel="0" collapsed="false">
      <c r="A193" s="16" t="n">
        <v>46296</v>
      </c>
      <c r="B193" s="19"/>
      <c r="C193" s="18" t="str">
        <f aca="false">IFERROR((B193/B192-1)*100,"")</f>
        <v/>
      </c>
      <c r="D193" s="18" t="n">
        <f aca="false">IFERROR((B193/B189-1)*100,"")</f>
        <v>-100</v>
      </c>
      <c r="E193" s="17" t="n">
        <v>28940.590335306</v>
      </c>
      <c r="F193" s="17" t="n">
        <v>28776.396488099</v>
      </c>
      <c r="G193" s="23" t="n">
        <f aca="false">30217.876532-27334.916444</f>
        <v>2882.960088</v>
      </c>
    </row>
    <row r="194" customFormat="false" ht="15" hidden="false" customHeight="false" outlineLevel="0" collapsed="false">
      <c r="A194" s="12" t="n">
        <v>46388</v>
      </c>
      <c r="B194" s="14"/>
      <c r="C194" s="21" t="str">
        <f aca="false">IFERROR((B194/B193-1)*100,"")</f>
        <v/>
      </c>
      <c r="D194" s="21" t="str">
        <f aca="false">IFERROR((B194/B190-1)*100,"")</f>
        <v/>
      </c>
      <c r="E194" s="13" t="n">
        <v>29102.0552711895</v>
      </c>
      <c r="F194" s="13" t="n">
        <v>28832.4632638504</v>
      </c>
      <c r="G194" s="22" t="n">
        <f aca="false">30444.086947-27220.83958</f>
        <v>3223.247367</v>
      </c>
    </row>
    <row r="195" customFormat="false" ht="15" hidden="false" customHeight="false" outlineLevel="0" collapsed="false">
      <c r="A195" s="16" t="n">
        <v>46478</v>
      </c>
      <c r="B195" s="19"/>
      <c r="C195" s="18" t="str">
        <f aca="false">IFERROR((B195/B194-1)*100,"")</f>
        <v/>
      </c>
      <c r="D195" s="18" t="str">
        <f aca="false">IFERROR((B195/B191-1)*100,"")</f>
        <v/>
      </c>
      <c r="E195" s="17" t="n">
        <v>29264.4210499798</v>
      </c>
      <c r="F195" s="17" t="n">
        <v>28913.6289840776</v>
      </c>
      <c r="G195" s="23" t="n">
        <f aca="false">30679.074275-27148.183693</f>
        <v>3530.890582</v>
      </c>
    </row>
    <row r="196" customFormat="false" ht="15" hidden="false" customHeight="false" outlineLevel="0" collapsed="false">
      <c r="A196" s="12" t="n">
        <v>46569</v>
      </c>
      <c r="B196" s="14"/>
      <c r="C196" s="21" t="str">
        <f aca="false">IFERROR((B196/B195-1)*100,"")</f>
        <v/>
      </c>
      <c r="D196" s="21" t="str">
        <f aca="false">IFERROR((B196/B192-1)*100,"")</f>
        <v/>
      </c>
      <c r="E196" s="13" t="n">
        <v>29427.6926976468</v>
      </c>
      <c r="F196" s="13" t="n">
        <v>29038.5165883939</v>
      </c>
      <c r="G196" s="22" t="n">
        <f aca="false">30945.415447-27131.61773</f>
        <v>3813.797717</v>
      </c>
    </row>
    <row r="197" customFormat="false" ht="15" hidden="false" customHeight="false" outlineLevel="0" collapsed="false">
      <c r="A197" s="16" t="n">
        <v>46661</v>
      </c>
      <c r="B197" s="19"/>
      <c r="C197" s="18" t="str">
        <f aca="false">IFERROR((B197/B196-1)*100,"")</f>
        <v/>
      </c>
      <c r="D197" s="18" t="str">
        <f aca="false">IFERROR((B197/B193-1)*100,"")</f>
        <v/>
      </c>
      <c r="E197" s="17" t="n">
        <v>29591.8752682017</v>
      </c>
      <c r="F197" s="17" t="n">
        <v>29093.2490357947</v>
      </c>
      <c r="G197" s="23" t="n">
        <f aca="false">31131.809664-27054.688407</f>
        <v>4077.121257</v>
      </c>
    </row>
    <row r="200" customFormat="false" ht="21.75" hidden="false" customHeight="true" outlineLevel="0" collapsed="false">
      <c r="A200" s="9" t="s">
        <v>132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customFormat="false" ht="15" hidden="false" customHeight="false" outlineLevel="0" collapsed="false">
      <c r="A201" s="5" t="s">
        <v>113</v>
      </c>
      <c r="B201" s="10" t="s">
        <v>114</v>
      </c>
      <c r="D201" s="5" t="s">
        <v>115</v>
      </c>
      <c r="E201" s="2" t="s">
        <v>133</v>
      </c>
      <c r="H201" s="5" t="s">
        <v>117</v>
      </c>
      <c r="I201" s="2" t="s">
        <v>118</v>
      </c>
    </row>
    <row r="202" customFormat="false" ht="18" hidden="false" customHeight="true" outlineLevel="0" collapsed="false">
      <c r="A202" s="11" t="s">
        <v>119</v>
      </c>
      <c r="B202" s="11"/>
      <c r="C202" s="11"/>
      <c r="D202" s="11"/>
      <c r="E202" s="11"/>
      <c r="F202" s="11"/>
      <c r="G202" s="11"/>
      <c r="I202" s="11" t="s">
        <v>120</v>
      </c>
      <c r="J202" s="11"/>
      <c r="K202" s="11"/>
      <c r="L202" s="11"/>
    </row>
    <row r="203" customFormat="false" ht="15" hidden="false" customHeight="false" outlineLevel="0" collapsed="false">
      <c r="A203" s="6" t="s">
        <v>121</v>
      </c>
      <c r="B203" s="6" t="s">
        <v>122</v>
      </c>
      <c r="C203" s="6" t="s">
        <v>123</v>
      </c>
      <c r="D203" s="6" t="s">
        <v>124</v>
      </c>
      <c r="E203" s="6" t="s">
        <v>125</v>
      </c>
      <c r="F203" s="6" t="s">
        <v>126</v>
      </c>
      <c r="G203" s="6" t="s">
        <v>127</v>
      </c>
      <c r="I203" s="6" t="s">
        <v>128</v>
      </c>
      <c r="J203" s="6" t="s">
        <v>122</v>
      </c>
      <c r="K203" s="6" t="s">
        <v>124</v>
      </c>
      <c r="L203" s="6" t="s">
        <v>129</v>
      </c>
    </row>
    <row r="204" customFormat="false" ht="15" hidden="false" customHeight="false" outlineLevel="0" collapsed="false">
      <c r="A204" s="12" t="n">
        <v>38353</v>
      </c>
      <c r="B204" s="13" t="n">
        <v>100.159994308724</v>
      </c>
      <c r="C204" s="14"/>
      <c r="D204" s="14"/>
      <c r="E204" s="14"/>
      <c r="F204" s="14"/>
      <c r="G204" s="14"/>
      <c r="I204" s="15" t="n">
        <v>2005</v>
      </c>
      <c r="J204" s="13" t="n">
        <v>100.371798231067</v>
      </c>
      <c r="K204" s="14"/>
      <c r="L204" s="14"/>
    </row>
    <row r="205" customFormat="false" ht="15" hidden="false" customHeight="false" outlineLevel="0" collapsed="false">
      <c r="A205" s="16" t="n">
        <v>38443</v>
      </c>
      <c r="B205" s="17" t="n">
        <v>100.389690951457</v>
      </c>
      <c r="C205" s="18" t="n">
        <f aca="false">IFERROR((B205/B204-1)*100,"")</f>
        <v>0.229329728219341</v>
      </c>
      <c r="D205" s="19"/>
      <c r="E205" s="19"/>
      <c r="F205" s="19"/>
      <c r="G205" s="19"/>
      <c r="I205" s="20" t="n">
        <v>2006</v>
      </c>
      <c r="J205" s="17" t="n">
        <v>102.844201011234</v>
      </c>
      <c r="K205" s="18" t="n">
        <f aca="false">IFERROR((J205/J204-1)*100,"")</f>
        <v>2.46324448076058</v>
      </c>
      <c r="L205" s="19"/>
    </row>
    <row r="206" customFormat="false" ht="15" hidden="false" customHeight="false" outlineLevel="0" collapsed="false">
      <c r="A206" s="12" t="n">
        <v>38534</v>
      </c>
      <c r="B206" s="13" t="n">
        <v>100.221596443501</v>
      </c>
      <c r="C206" s="21" t="n">
        <f aca="false">IFERROR((B206/B205-1)*100,"")</f>
        <v>-0.167442001626916</v>
      </c>
      <c r="D206" s="14"/>
      <c r="E206" s="14"/>
      <c r="F206" s="14"/>
      <c r="G206" s="14"/>
      <c r="I206" s="15" t="n">
        <v>2007</v>
      </c>
      <c r="J206" s="13" t="n">
        <v>104.885839874928</v>
      </c>
      <c r="K206" s="21" t="n">
        <f aca="false">IFERROR((J206/J205-1)*100,"")</f>
        <v>1.98517645488867</v>
      </c>
      <c r="L206" s="14"/>
    </row>
    <row r="207" customFormat="false" ht="15" hidden="false" customHeight="false" outlineLevel="0" collapsed="false">
      <c r="A207" s="16" t="n">
        <v>38626</v>
      </c>
      <c r="B207" s="17" t="n">
        <v>100.715911220587</v>
      </c>
      <c r="C207" s="18" t="n">
        <f aca="false">IFERROR((B207/B206-1)*100,"")</f>
        <v>0.493221815085598</v>
      </c>
      <c r="D207" s="19"/>
      <c r="E207" s="19"/>
      <c r="F207" s="19"/>
      <c r="G207" s="19"/>
      <c r="I207" s="20" t="n">
        <v>2008</v>
      </c>
      <c r="J207" s="17" t="n">
        <v>107.061901792659</v>
      </c>
      <c r="K207" s="18" t="n">
        <f aca="false">IFERROR((J207/J206-1)*100,"")</f>
        <v>2.07469561222562</v>
      </c>
      <c r="L207" s="19"/>
    </row>
    <row r="208" customFormat="false" ht="15" hidden="false" customHeight="false" outlineLevel="0" collapsed="false">
      <c r="A208" s="12" t="n">
        <v>38718</v>
      </c>
      <c r="B208" s="13" t="n">
        <v>102.23877333795</v>
      </c>
      <c r="C208" s="21" t="n">
        <f aca="false">IFERROR((B208/B207-1)*100,"")</f>
        <v>1.51203727286708</v>
      </c>
      <c r="D208" s="21" t="n">
        <f aca="false">IFERROR((B208/B204-1)*100,"")</f>
        <v>2.07545841388375</v>
      </c>
      <c r="E208" s="14"/>
      <c r="F208" s="14"/>
      <c r="G208" s="14"/>
      <c r="I208" s="15" t="n">
        <v>2009</v>
      </c>
      <c r="J208" s="13" t="n">
        <v>108.776469243511</v>
      </c>
      <c r="K208" s="21" t="n">
        <f aca="false">IFERROR((J208/J207-1)*100,"")</f>
        <v>1.60147300033295</v>
      </c>
      <c r="L208" s="14"/>
    </row>
    <row r="209" customFormat="false" ht="15" hidden="false" customHeight="false" outlineLevel="0" collapsed="false">
      <c r="A209" s="16" t="n">
        <v>38808</v>
      </c>
      <c r="B209" s="17" t="n">
        <v>102.017100428793</v>
      </c>
      <c r="C209" s="18" t="n">
        <f aca="false">IFERROR((B209/B208-1)*100,"")</f>
        <v>-0.216818827065102</v>
      </c>
      <c r="D209" s="18" t="n">
        <f aca="false">IFERROR((B209/B205-1)*100,"")</f>
        <v>1.62109222761033</v>
      </c>
      <c r="E209" s="19"/>
      <c r="F209" s="19"/>
      <c r="G209" s="19"/>
      <c r="I209" s="20" t="n">
        <v>2010</v>
      </c>
      <c r="J209" s="17" t="n">
        <v>111.538148021044</v>
      </c>
      <c r="K209" s="18" t="n">
        <f aca="false">IFERROR((J209/J208-1)*100,"")</f>
        <v>2.53885679204295</v>
      </c>
      <c r="L209" s="19"/>
    </row>
    <row r="210" customFormat="false" ht="15" hidden="false" customHeight="false" outlineLevel="0" collapsed="false">
      <c r="A210" s="12" t="n">
        <v>38899</v>
      </c>
      <c r="B210" s="13" t="n">
        <v>102.832550256438</v>
      </c>
      <c r="C210" s="21" t="n">
        <f aca="false">IFERROR((B210/B209-1)*100,"")</f>
        <v>0.799326607223438</v>
      </c>
      <c r="D210" s="21" t="n">
        <f aca="false">IFERROR((B210/B206-1)*100,"")</f>
        <v>2.60518082488279</v>
      </c>
      <c r="E210" s="14"/>
      <c r="F210" s="14"/>
      <c r="G210" s="14"/>
      <c r="I210" s="15" t="n">
        <v>2011</v>
      </c>
      <c r="J210" s="13" t="n">
        <v>113.287998706871</v>
      </c>
      <c r="K210" s="21" t="n">
        <f aca="false">IFERROR((J210/J209-1)*100,"")</f>
        <v>1.56883605911839</v>
      </c>
      <c r="L210" s="14"/>
    </row>
    <row r="211" customFormat="false" ht="15" hidden="false" customHeight="false" outlineLevel="0" collapsed="false">
      <c r="A211" s="16" t="n">
        <v>38991</v>
      </c>
      <c r="B211" s="17" t="n">
        <v>104.288380021755</v>
      </c>
      <c r="C211" s="18" t="n">
        <f aca="false">IFERROR((B211/B210-1)*100,"")</f>
        <v>1.41572854284615</v>
      </c>
      <c r="D211" s="18" t="n">
        <f aca="false">IFERROR((B211/B207-1)*100,"")</f>
        <v>3.54707489399932</v>
      </c>
      <c r="E211" s="19"/>
      <c r="F211" s="19"/>
      <c r="G211" s="19"/>
      <c r="I211" s="20" t="n">
        <v>2012</v>
      </c>
      <c r="J211" s="17" t="n">
        <v>116.208849711254</v>
      </c>
      <c r="K211" s="18" t="n">
        <f aca="false">IFERROR((J211/J210-1)*100,"")</f>
        <v>2.578252804995</v>
      </c>
      <c r="L211" s="19"/>
    </row>
    <row r="212" customFormat="false" ht="15" hidden="false" customHeight="false" outlineLevel="0" collapsed="false">
      <c r="A212" s="12" t="n">
        <v>39083</v>
      </c>
      <c r="B212" s="13" t="n">
        <v>104.124644667836</v>
      </c>
      <c r="C212" s="21" t="n">
        <f aca="false">IFERROR((B212/B211-1)*100,"")</f>
        <v>-0.157002490484126</v>
      </c>
      <c r="D212" s="21" t="n">
        <f aca="false">IFERROR((B212/B208-1)*100,"")</f>
        <v>1.84457546615084</v>
      </c>
      <c r="E212" s="14"/>
      <c r="F212" s="14"/>
      <c r="G212" s="14"/>
      <c r="I212" s="15" t="n">
        <v>2013</v>
      </c>
      <c r="J212" s="13" t="n">
        <v>118.372147581807</v>
      </c>
      <c r="K212" s="21" t="n">
        <f aca="false">IFERROR((J212/J211-1)*100,"")</f>
        <v>1.86156035097842</v>
      </c>
      <c r="L212" s="14"/>
    </row>
    <row r="213" customFormat="false" ht="15" hidden="false" customHeight="false" outlineLevel="0" collapsed="false">
      <c r="A213" s="16" t="n">
        <v>39173</v>
      </c>
      <c r="B213" s="17" t="n">
        <v>104.136471589609</v>
      </c>
      <c r="C213" s="18" t="n">
        <f aca="false">IFERROR((B213/B212-1)*100,"")</f>
        <v>0.0113584270188261</v>
      </c>
      <c r="D213" s="18" t="n">
        <f aca="false">IFERROR((B213/B209-1)*100,"")</f>
        <v>2.07746657365058</v>
      </c>
      <c r="E213" s="19"/>
      <c r="F213" s="19"/>
      <c r="G213" s="19"/>
      <c r="I213" s="20" t="n">
        <v>2014</v>
      </c>
      <c r="J213" s="17" t="n">
        <v>120.891587591974</v>
      </c>
      <c r="K213" s="18" t="n">
        <f aca="false">IFERROR((J213/J212-1)*100,"")</f>
        <v>2.12840610028269</v>
      </c>
      <c r="L213" s="19"/>
    </row>
    <row r="214" customFormat="false" ht="15" hidden="false" customHeight="false" outlineLevel="0" collapsed="false">
      <c r="A214" s="12" t="n">
        <v>39264</v>
      </c>
      <c r="B214" s="13" t="n">
        <v>105.191858262857</v>
      </c>
      <c r="C214" s="21" t="n">
        <f aca="false">IFERROR((B214/B213-1)*100,"")</f>
        <v>1.01346498218931</v>
      </c>
      <c r="D214" s="21" t="n">
        <f aca="false">IFERROR((B214/B210-1)*100,"")</f>
        <v>2.29432023278153</v>
      </c>
      <c r="E214" s="14"/>
      <c r="F214" s="14"/>
      <c r="G214" s="14"/>
      <c r="I214" s="15" t="n">
        <v>2015</v>
      </c>
      <c r="J214" s="13" t="n">
        <v>123.041266267251</v>
      </c>
      <c r="K214" s="21" t="n">
        <f aca="false">IFERROR((J214/J213-1)*100,"")</f>
        <v>1.77818714940949</v>
      </c>
      <c r="L214" s="14"/>
    </row>
    <row r="215" customFormat="false" ht="15" hidden="false" customHeight="false" outlineLevel="0" collapsed="false">
      <c r="A215" s="16" t="n">
        <v>39356</v>
      </c>
      <c r="B215" s="17" t="n">
        <v>106.090384979409</v>
      </c>
      <c r="C215" s="18" t="n">
        <f aca="false">IFERROR((B215/B214-1)*100,"")</f>
        <v>0.854178955852958</v>
      </c>
      <c r="D215" s="18" t="n">
        <f aca="false">IFERROR((B215/B211-1)*100,"")</f>
        <v>1.72790579092108</v>
      </c>
      <c r="E215" s="19"/>
      <c r="F215" s="19"/>
      <c r="G215" s="19"/>
      <c r="I215" s="20" t="n">
        <v>2016</v>
      </c>
      <c r="J215" s="17" t="n">
        <v>125.402957876819</v>
      </c>
      <c r="K215" s="18" t="n">
        <f aca="false">IFERROR((J215/J214-1)*100,"")</f>
        <v>1.91943051401788</v>
      </c>
      <c r="L215" s="19"/>
    </row>
    <row r="216" customFormat="false" ht="15" hidden="false" customHeight="false" outlineLevel="0" collapsed="false">
      <c r="A216" s="12" t="n">
        <v>39448</v>
      </c>
      <c r="B216" s="13" t="n">
        <v>105.941514402904</v>
      </c>
      <c r="C216" s="21" t="n">
        <f aca="false">IFERROR((B216/B215-1)*100,"")</f>
        <v>-0.140324287195581</v>
      </c>
      <c r="D216" s="21" t="n">
        <f aca="false">IFERROR((B216/B212-1)*100,"")</f>
        <v>1.74489885738764</v>
      </c>
      <c r="E216" s="14"/>
      <c r="F216" s="14"/>
      <c r="G216" s="14"/>
      <c r="I216" s="15" t="n">
        <v>2017</v>
      </c>
      <c r="J216" s="13" t="n">
        <v>127.916390091238</v>
      </c>
      <c r="K216" s="21" t="n">
        <f aca="false">IFERROR((J216/J215-1)*100,"")</f>
        <v>2.00428463329223</v>
      </c>
      <c r="L216" s="14"/>
    </row>
    <row r="217" customFormat="false" ht="15" hidden="false" customHeight="false" outlineLevel="0" collapsed="false">
      <c r="A217" s="16" t="n">
        <v>39539</v>
      </c>
      <c r="B217" s="17" t="n">
        <v>106.82436018035</v>
      </c>
      <c r="C217" s="18" t="n">
        <f aca="false">IFERROR((B217/B216-1)*100,"")</f>
        <v>0.833333167287553</v>
      </c>
      <c r="D217" s="18" t="n">
        <f aca="false">IFERROR((B217/B213-1)*100,"")</f>
        <v>2.58112124379784</v>
      </c>
      <c r="E217" s="19"/>
      <c r="F217" s="19"/>
      <c r="G217" s="19"/>
      <c r="I217" s="20" t="n">
        <v>2018</v>
      </c>
      <c r="J217" s="17" t="n">
        <v>130.676234568166</v>
      </c>
      <c r="K217" s="18" t="n">
        <f aca="false">IFERROR((J217/J216-1)*100,"")</f>
        <v>2.15753780649994</v>
      </c>
      <c r="L217" s="19"/>
    </row>
    <row r="218" customFormat="false" ht="15" hidden="false" customHeight="false" outlineLevel="0" collapsed="false">
      <c r="A218" s="12" t="n">
        <v>39630</v>
      </c>
      <c r="B218" s="13" t="n">
        <v>107.777747081891</v>
      </c>
      <c r="C218" s="21" t="n">
        <f aca="false">IFERROR((B218/B217-1)*100,"")</f>
        <v>0.892480797387041</v>
      </c>
      <c r="D218" s="21" t="n">
        <f aca="false">IFERROR((B218/B214-1)*100,"")</f>
        <v>2.45825947153837</v>
      </c>
      <c r="E218" s="14"/>
      <c r="F218" s="14"/>
      <c r="G218" s="14"/>
      <c r="I218" s="15" t="n">
        <v>2019</v>
      </c>
      <c r="J218" s="13" t="n">
        <v>133.083692960817</v>
      </c>
      <c r="K218" s="21" t="n">
        <f aca="false">IFERROR((J218/J217-1)*100,"")</f>
        <v>1.84230774678045</v>
      </c>
      <c r="L218" s="14"/>
    </row>
    <row r="219" customFormat="false" ht="15" hidden="false" customHeight="false" outlineLevel="0" collapsed="false">
      <c r="A219" s="16" t="n">
        <v>39722</v>
      </c>
      <c r="B219" s="17" t="n">
        <v>107.703985505491</v>
      </c>
      <c r="C219" s="18" t="n">
        <f aca="false">IFERROR((B219/B218-1)*100,"")</f>
        <v>-0.0684385955332156</v>
      </c>
      <c r="D219" s="18" t="n">
        <f aca="false">IFERROR((B219/B215-1)*100,"")</f>
        <v>1.52096773557273</v>
      </c>
      <c r="E219" s="19"/>
      <c r="F219" s="19"/>
      <c r="G219" s="19"/>
      <c r="I219" s="20" t="n">
        <v>2020</v>
      </c>
      <c r="J219" s="17" t="n">
        <v>135.826660326067</v>
      </c>
      <c r="K219" s="18" t="n">
        <f aca="false">IFERROR((J219/J218-1)*100,"")</f>
        <v>2.0610844982021</v>
      </c>
      <c r="L219" s="19"/>
    </row>
    <row r="220" customFormat="false" ht="15" hidden="false" customHeight="false" outlineLevel="0" collapsed="false">
      <c r="A220" s="12" t="n">
        <v>39814</v>
      </c>
      <c r="B220" s="13" t="n">
        <v>107.936218676679</v>
      </c>
      <c r="C220" s="21" t="n">
        <f aca="false">IFERROR((B220/B219-1)*100,"")</f>
        <v>0.215621706196423</v>
      </c>
      <c r="D220" s="21" t="n">
        <f aca="false">IFERROR((B220/B216-1)*100,"")</f>
        <v>1.88283534081795</v>
      </c>
      <c r="E220" s="14"/>
      <c r="F220" s="14"/>
      <c r="G220" s="14"/>
      <c r="I220" s="15" t="n">
        <v>2021</v>
      </c>
      <c r="J220" s="13" t="n">
        <v>138.646858464254</v>
      </c>
      <c r="K220" s="21" t="n">
        <f aca="false">IFERROR((J220/J219-1)*100,"")</f>
        <v>2.07632149050665</v>
      </c>
      <c r="L220" s="14"/>
    </row>
    <row r="221" customFormat="false" ht="15" hidden="false" customHeight="false" outlineLevel="0" collapsed="false">
      <c r="A221" s="16" t="n">
        <v>39904</v>
      </c>
      <c r="B221" s="17" t="n">
        <v>108.624452512593</v>
      </c>
      <c r="C221" s="18" t="n">
        <f aca="false">IFERROR((B221/B220-1)*100,"")</f>
        <v>0.637630115592147</v>
      </c>
      <c r="D221" s="18" t="n">
        <f aca="false">IFERROR((B221/B217-1)*100,"")</f>
        <v>1.68509535578245</v>
      </c>
      <c r="E221" s="19"/>
      <c r="F221" s="19"/>
      <c r="G221" s="19"/>
      <c r="I221" s="20" t="n">
        <v>2022</v>
      </c>
      <c r="J221" s="17" t="n">
        <v>141.305393775349</v>
      </c>
      <c r="K221" s="18" t="n">
        <f aca="false">IFERROR((J221/J220-1)*100,"")</f>
        <v>1.91748687315532</v>
      </c>
      <c r="L221" s="19"/>
    </row>
    <row r="222" customFormat="false" ht="15" hidden="false" customHeight="false" outlineLevel="0" collapsed="false">
      <c r="A222" s="12" t="n">
        <v>39995</v>
      </c>
      <c r="B222" s="13" t="n">
        <v>109.123860413149</v>
      </c>
      <c r="C222" s="21" t="n">
        <f aca="false">IFERROR((B222/B221-1)*100,"")</f>
        <v>0.459756425927771</v>
      </c>
      <c r="D222" s="21" t="n">
        <f aca="false">IFERROR((B222/B218-1)*100,"")</f>
        <v>1.24897148781085</v>
      </c>
      <c r="E222" s="14"/>
      <c r="F222" s="14"/>
      <c r="G222" s="14"/>
      <c r="I222" s="15" t="n">
        <v>2023</v>
      </c>
      <c r="J222" s="13" t="n">
        <v>143.720187663572</v>
      </c>
      <c r="K222" s="21" t="n">
        <f aca="false">IFERROR((J222/J221-1)*100,"")</f>
        <v>1.7089184097689</v>
      </c>
      <c r="L222" s="14"/>
    </row>
    <row r="223" customFormat="false" ht="15" hidden="false" customHeight="false" outlineLevel="0" collapsed="false">
      <c r="A223" s="16" t="n">
        <v>40087</v>
      </c>
      <c r="B223" s="17" t="n">
        <v>109.421345371624</v>
      </c>
      <c r="C223" s="18" t="n">
        <f aca="false">IFERROR((B223/B222-1)*100,"")</f>
        <v>0.27261220172079</v>
      </c>
      <c r="D223" s="18" t="n">
        <f aca="false">IFERROR((B223/B219-1)*100,"")</f>
        <v>1.59451839973495</v>
      </c>
      <c r="E223" s="19"/>
      <c r="F223" s="19"/>
      <c r="G223" s="19"/>
      <c r="I223" s="20" t="n">
        <v>2024</v>
      </c>
      <c r="J223" s="17" t="n">
        <v>146.6710186206</v>
      </c>
      <c r="K223" s="18" t="n">
        <f aca="false">IFERROR((J223/J222-1)*100,"")</f>
        <v>2.05317777898766</v>
      </c>
      <c r="L223" s="19"/>
    </row>
    <row r="224" customFormat="false" ht="15" hidden="false" customHeight="false" outlineLevel="0" collapsed="false">
      <c r="A224" s="12" t="n">
        <v>40179</v>
      </c>
      <c r="B224" s="13" t="n">
        <v>110.622760907259</v>
      </c>
      <c r="C224" s="21" t="n">
        <f aca="false">IFERROR((B224/B223-1)*100,"")</f>
        <v>1.09797181852835</v>
      </c>
      <c r="D224" s="21" t="n">
        <f aca="false">IFERROR((B224/B220-1)*100,"")</f>
        <v>2.48900903099716</v>
      </c>
      <c r="E224" s="14"/>
      <c r="F224" s="14"/>
      <c r="G224" s="14"/>
      <c r="I224" s="15" t="n">
        <v>2025</v>
      </c>
      <c r="J224" s="13" t="n">
        <v>150.27010978676</v>
      </c>
      <c r="K224" s="21" t="n">
        <f aca="false">IFERROR((J224/J223-1)*100,"")</f>
        <v>2.45385298336969</v>
      </c>
      <c r="L224" s="14"/>
    </row>
    <row r="225" customFormat="false" ht="15" hidden="false" customHeight="false" outlineLevel="0" collapsed="false">
      <c r="A225" s="16" t="n">
        <v>40269</v>
      </c>
      <c r="B225" s="17" t="n">
        <v>111.434730831272</v>
      </c>
      <c r="C225" s="18" t="n">
        <f aca="false">IFERROR((B225/B224-1)*100,"")</f>
        <v>0.733998968525595</v>
      </c>
      <c r="D225" s="18" t="n">
        <f aca="false">IFERROR((B225/B221-1)*100,"")</f>
        <v>2.58715073233948</v>
      </c>
      <c r="E225" s="19"/>
      <c r="F225" s="19"/>
      <c r="G225" s="19"/>
      <c r="I225" s="20" t="n">
        <v>2026</v>
      </c>
      <c r="J225" s="19"/>
      <c r="K225" s="18" t="n">
        <f aca="false">IFERROR((J225/J224-1)*100,"")</f>
        <v>-100</v>
      </c>
      <c r="L225" s="17" t="n">
        <v>152.196546334705</v>
      </c>
    </row>
    <row r="226" customFormat="false" ht="15" hidden="false" customHeight="false" outlineLevel="0" collapsed="false">
      <c r="A226" s="12" t="n">
        <v>40360</v>
      </c>
      <c r="B226" s="13" t="n">
        <v>112.035258164406</v>
      </c>
      <c r="C226" s="21" t="n">
        <f aca="false">IFERROR((B226/B225-1)*100,"")</f>
        <v>0.538904997260925</v>
      </c>
      <c r="D226" s="21" t="n">
        <f aca="false">IFERROR((B226/B222-1)*100,"")</f>
        <v>2.66797539991264</v>
      </c>
      <c r="E226" s="14"/>
      <c r="F226" s="14"/>
      <c r="G226" s="14"/>
      <c r="I226" s="15" t="n">
        <v>2027</v>
      </c>
      <c r="J226" s="14"/>
      <c r="K226" s="21" t="str">
        <f aca="false">IFERROR((J226/J225-1)*100,"")</f>
        <v/>
      </c>
      <c r="L226" s="13" t="n">
        <v>153.821694749217</v>
      </c>
    </row>
    <row r="227" customFormat="false" ht="15" hidden="false" customHeight="false" outlineLevel="0" collapsed="false">
      <c r="A227" s="16" t="n">
        <v>40452</v>
      </c>
      <c r="B227" s="17" t="n">
        <v>112.059842181241</v>
      </c>
      <c r="C227" s="18" t="n">
        <f aca="false">IFERROR((B227/B226-1)*100,"")</f>
        <v>0.0219431072298937</v>
      </c>
      <c r="D227" s="18" t="n">
        <f aca="false">IFERROR((B227/B223-1)*100,"")</f>
        <v>2.41131819450406</v>
      </c>
      <c r="E227" s="19"/>
      <c r="F227" s="19"/>
      <c r="G227" s="19"/>
    </row>
    <row r="228" customFormat="false" ht="15" hidden="false" customHeight="false" outlineLevel="0" collapsed="false">
      <c r="A228" s="12" t="n">
        <v>40544</v>
      </c>
      <c r="B228" s="13" t="n">
        <v>112.200472663802</v>
      </c>
      <c r="C228" s="21" t="n">
        <f aca="false">IFERROR((B228/B227-1)*100,"")</f>
        <v>0.125495877759985</v>
      </c>
      <c r="D228" s="21" t="n">
        <f aca="false">IFERROR((B228/B224-1)*100,"")</f>
        <v>1.42620898593067</v>
      </c>
      <c r="E228" s="14"/>
      <c r="F228" s="14"/>
      <c r="G228" s="14"/>
    </row>
    <row r="229" customFormat="false" ht="15" hidden="false" customHeight="false" outlineLevel="0" collapsed="false">
      <c r="A229" s="16" t="n">
        <v>40634</v>
      </c>
      <c r="B229" s="17" t="n">
        <v>112.797348793888</v>
      </c>
      <c r="C229" s="18" t="n">
        <f aca="false">IFERROR((B229/B228-1)*100,"")</f>
        <v>0.531972919467183</v>
      </c>
      <c r="D229" s="18" t="n">
        <f aca="false">IFERROR((B229/B225-1)*100,"")</f>
        <v>1.2227946820986</v>
      </c>
      <c r="E229" s="19"/>
      <c r="F229" s="19"/>
      <c r="G229" s="19"/>
    </row>
    <row r="230" customFormat="false" ht="15" hidden="false" customHeight="false" outlineLevel="0" collapsed="false">
      <c r="A230" s="12" t="n">
        <v>40725</v>
      </c>
      <c r="B230" s="13" t="n">
        <v>113.974078395867</v>
      </c>
      <c r="C230" s="21" t="n">
        <f aca="false">IFERROR((B230/B229-1)*100,"")</f>
        <v>1.04322452128622</v>
      </c>
      <c r="D230" s="21" t="n">
        <f aca="false">IFERROR((B230/B226-1)*100,"")</f>
        <v>1.73054470818033</v>
      </c>
      <c r="E230" s="14"/>
      <c r="F230" s="14"/>
      <c r="G230" s="14"/>
    </row>
    <row r="231" customFormat="false" ht="15" hidden="false" customHeight="false" outlineLevel="0" collapsed="false">
      <c r="A231" s="16" t="n">
        <v>40817</v>
      </c>
      <c r="B231" s="17" t="n">
        <v>114.180094973929</v>
      </c>
      <c r="C231" s="18" t="n">
        <f aca="false">IFERROR((B231/B230-1)*100,"")</f>
        <v>0.180757397613385</v>
      </c>
      <c r="D231" s="18" t="n">
        <f aca="false">IFERROR((B231/B227-1)*100,"")</f>
        <v>1.89207190677549</v>
      </c>
      <c r="E231" s="19"/>
      <c r="F231" s="19"/>
      <c r="G231" s="19"/>
    </row>
    <row r="232" customFormat="false" ht="15" hidden="false" customHeight="false" outlineLevel="0" collapsed="false">
      <c r="A232" s="12" t="n">
        <v>40909</v>
      </c>
      <c r="B232" s="13" t="n">
        <v>115.856201485032</v>
      </c>
      <c r="C232" s="21" t="n">
        <f aca="false">IFERROR((B232/B231-1)*100,"")</f>
        <v>1.46794983091081</v>
      </c>
      <c r="D232" s="21" t="n">
        <f aca="false">IFERROR((B232/B228-1)*100,"")</f>
        <v>3.25821160502953</v>
      </c>
      <c r="E232" s="14"/>
      <c r="F232" s="14"/>
      <c r="G232" s="14"/>
    </row>
    <row r="233" customFormat="false" ht="15" hidden="false" customHeight="false" outlineLevel="0" collapsed="false">
      <c r="A233" s="16" t="n">
        <v>41000</v>
      </c>
      <c r="B233" s="17" t="n">
        <v>115.392286042546</v>
      </c>
      <c r="C233" s="18" t="n">
        <f aca="false">IFERROR((B233/B232-1)*100,"")</f>
        <v>-0.400423487512691</v>
      </c>
      <c r="D233" s="18" t="n">
        <f aca="false">IFERROR((B233/B229-1)*100,"")</f>
        <v>2.30053035501745</v>
      </c>
      <c r="E233" s="19"/>
      <c r="F233" s="19"/>
      <c r="G233" s="19"/>
    </row>
    <row r="234" customFormat="false" ht="15" hidden="false" customHeight="false" outlineLevel="0" collapsed="false">
      <c r="A234" s="12" t="n">
        <v>41091</v>
      </c>
      <c r="B234" s="13" t="n">
        <v>116.407609542699</v>
      </c>
      <c r="C234" s="21" t="n">
        <f aca="false">IFERROR((B234/B233-1)*100,"")</f>
        <v>0.879888539324236</v>
      </c>
      <c r="D234" s="21" t="n">
        <f aca="false">IFERROR((B234/B230-1)*100,"")</f>
        <v>2.13516194303403</v>
      </c>
      <c r="E234" s="14"/>
      <c r="F234" s="14"/>
      <c r="G234" s="14"/>
    </row>
    <row r="235" customFormat="false" ht="15" hidden="false" customHeight="false" outlineLevel="0" collapsed="false">
      <c r="A235" s="16" t="n">
        <v>41183</v>
      </c>
      <c r="B235" s="17" t="n">
        <v>117.179301774738</v>
      </c>
      <c r="C235" s="18" t="n">
        <f aca="false">IFERROR((B235/B234-1)*100,"")</f>
        <v>0.66292249713833</v>
      </c>
      <c r="D235" s="18" t="n">
        <f aca="false">IFERROR((B235/B231-1)*100,"")</f>
        <v>2.6267334963195</v>
      </c>
      <c r="E235" s="19"/>
      <c r="F235" s="19"/>
      <c r="G235" s="19"/>
    </row>
    <row r="236" customFormat="false" ht="15" hidden="false" customHeight="false" outlineLevel="0" collapsed="false">
      <c r="A236" s="12" t="n">
        <v>41275</v>
      </c>
      <c r="B236" s="13" t="n">
        <v>117.171445302075</v>
      </c>
      <c r="C236" s="21" t="n">
        <f aca="false">IFERROR((B236/B235-1)*100,"")</f>
        <v>-0.00670465905165951</v>
      </c>
      <c r="D236" s="21" t="n">
        <f aca="false">IFERROR((B236/B232-1)*100,"")</f>
        <v>1.13523816609231</v>
      </c>
      <c r="E236" s="14"/>
      <c r="F236" s="14"/>
      <c r="G236" s="14"/>
    </row>
    <row r="237" customFormat="false" ht="15" hidden="false" customHeight="false" outlineLevel="0" collapsed="false">
      <c r="A237" s="16" t="n">
        <v>41365</v>
      </c>
      <c r="B237" s="17" t="n">
        <v>117.702473644016</v>
      </c>
      <c r="C237" s="18" t="n">
        <f aca="false">IFERROR((B237/B236-1)*100,"")</f>
        <v>0.45320627442289</v>
      </c>
      <c r="D237" s="18" t="n">
        <f aca="false">IFERROR((B237/B233-1)*100,"")</f>
        <v>2.00202949495099</v>
      </c>
      <c r="E237" s="19"/>
      <c r="F237" s="19"/>
      <c r="G237" s="19"/>
    </row>
    <row r="238" customFormat="false" ht="15" hidden="false" customHeight="false" outlineLevel="0" collapsed="false">
      <c r="A238" s="12" t="n">
        <v>41456</v>
      </c>
      <c r="B238" s="13" t="n">
        <v>119.684612805521</v>
      </c>
      <c r="C238" s="21" t="n">
        <f aca="false">IFERROR((B238/B237-1)*100,"")</f>
        <v>1.68402506773124</v>
      </c>
      <c r="D238" s="21" t="n">
        <f aca="false">IFERROR((B238/B234-1)*100,"")</f>
        <v>2.81511086405426</v>
      </c>
      <c r="E238" s="14"/>
      <c r="F238" s="14"/>
      <c r="G238" s="14"/>
    </row>
    <row r="239" customFormat="false" ht="15" hidden="false" customHeight="false" outlineLevel="0" collapsed="false">
      <c r="A239" s="16" t="n">
        <v>41548</v>
      </c>
      <c r="B239" s="17" t="n">
        <v>118.930058575614</v>
      </c>
      <c r="C239" s="18" t="n">
        <f aca="false">IFERROR((B239/B238-1)*100,"")</f>
        <v>-0.630452162746431</v>
      </c>
      <c r="D239" s="18" t="n">
        <f aca="false">IFERROR((B239/B235-1)*100,"")</f>
        <v>1.49408366013426</v>
      </c>
      <c r="E239" s="19"/>
      <c r="F239" s="19"/>
      <c r="G239" s="19"/>
    </row>
    <row r="240" customFormat="false" ht="15" hidden="false" customHeight="false" outlineLevel="0" collapsed="false">
      <c r="A240" s="12" t="n">
        <v>41640</v>
      </c>
      <c r="B240" s="13" t="n">
        <v>119.893115972976</v>
      </c>
      <c r="C240" s="21" t="n">
        <f aca="false">IFERROR((B240/B239-1)*100,"")</f>
        <v>0.809767866001265</v>
      </c>
      <c r="D240" s="21" t="n">
        <f aca="false">IFERROR((B240/B236-1)*100,"")</f>
        <v>2.32281053108465</v>
      </c>
      <c r="E240" s="14"/>
      <c r="F240" s="14"/>
      <c r="G240" s="14"/>
    </row>
    <row r="241" customFormat="false" ht="15" hidden="false" customHeight="false" outlineLevel="0" collapsed="false">
      <c r="A241" s="16" t="n">
        <v>41730</v>
      </c>
      <c r="B241" s="17" t="n">
        <v>120.262890827796</v>
      </c>
      <c r="C241" s="18" t="n">
        <f aca="false">IFERROR((B241/B240-1)*100,"")</f>
        <v>0.308420422489597</v>
      </c>
      <c r="D241" s="18" t="n">
        <f aca="false">IFERROR((B241/B237-1)*100,"")</f>
        <v>2.17532996929473</v>
      </c>
      <c r="E241" s="19"/>
      <c r="F241" s="19"/>
      <c r="G241" s="19"/>
    </row>
    <row r="242" customFormat="false" ht="15" hidden="false" customHeight="false" outlineLevel="0" collapsed="false">
      <c r="A242" s="12" t="n">
        <v>41821</v>
      </c>
      <c r="B242" s="13" t="n">
        <v>121.435812068381</v>
      </c>
      <c r="C242" s="21" t="n">
        <f aca="false">IFERROR((B242/B241-1)*100,"")</f>
        <v>0.975297726930924</v>
      </c>
      <c r="D242" s="21" t="n">
        <f aca="false">IFERROR((B242/B238-1)*100,"")</f>
        <v>1.46317828316407</v>
      </c>
      <c r="E242" s="14"/>
      <c r="F242" s="14"/>
      <c r="G242" s="14"/>
    </row>
    <row r="243" customFormat="false" ht="15" hidden="false" customHeight="false" outlineLevel="0" collapsed="false">
      <c r="A243" s="16" t="n">
        <v>41913</v>
      </c>
      <c r="B243" s="17" t="n">
        <v>121.974531498742</v>
      </c>
      <c r="C243" s="18" t="n">
        <f aca="false">IFERROR((B243/B242-1)*100,"")</f>
        <v>0.443624842775248</v>
      </c>
      <c r="D243" s="18" t="n">
        <f aca="false">IFERROR((B243/B239-1)*100,"")</f>
        <v>2.55988516241423</v>
      </c>
      <c r="E243" s="19"/>
      <c r="F243" s="19"/>
      <c r="G243" s="19"/>
    </row>
    <row r="244" customFormat="false" ht="15" hidden="false" customHeight="false" outlineLevel="0" collapsed="false">
      <c r="A244" s="12" t="n">
        <v>42005</v>
      </c>
      <c r="B244" s="13" t="n">
        <v>122.056257366719</v>
      </c>
      <c r="C244" s="21" t="n">
        <f aca="false">IFERROR((B244/B243-1)*100,"")</f>
        <v>0.0670024036761641</v>
      </c>
      <c r="D244" s="21" t="n">
        <f aca="false">IFERROR((B244/B240-1)*100,"")</f>
        <v>1.80422485160063</v>
      </c>
      <c r="E244" s="14"/>
      <c r="F244" s="14"/>
      <c r="G244" s="14"/>
    </row>
    <row r="245" customFormat="false" ht="15" hidden="false" customHeight="false" outlineLevel="0" collapsed="false">
      <c r="A245" s="16" t="n">
        <v>42095</v>
      </c>
      <c r="B245" s="17" t="n">
        <v>122.195227063391</v>
      </c>
      <c r="C245" s="18" t="n">
        <f aca="false">IFERROR((B245/B244-1)*100,"")</f>
        <v>0.113857084978664</v>
      </c>
      <c r="D245" s="18" t="n">
        <f aca="false">IFERROR((B245/B241-1)*100,"")</f>
        <v>1.60676017539085</v>
      </c>
      <c r="E245" s="19"/>
      <c r="F245" s="19"/>
      <c r="G245" s="19"/>
    </row>
    <row r="246" customFormat="false" ht="15" hidden="false" customHeight="false" outlineLevel="0" collapsed="false">
      <c r="A246" s="12" t="n">
        <v>42186</v>
      </c>
      <c r="B246" s="13" t="n">
        <v>124.332839626545</v>
      </c>
      <c r="C246" s="21" t="n">
        <f aca="false">IFERROR((B246/B245-1)*100,"")</f>
        <v>1.74934210977435</v>
      </c>
      <c r="D246" s="21" t="n">
        <f aca="false">IFERROR((B246/B242-1)*100,"")</f>
        <v>2.38564514768747</v>
      </c>
      <c r="E246" s="14"/>
      <c r="F246" s="14"/>
      <c r="G246" s="14"/>
    </row>
    <row r="247" customFormat="false" ht="15" hidden="false" customHeight="false" outlineLevel="0" collapsed="false">
      <c r="A247" s="16" t="n">
        <v>42278</v>
      </c>
      <c r="B247" s="17" t="n">
        <v>123.580741012351</v>
      </c>
      <c r="C247" s="18" t="n">
        <f aca="false">IFERROR((B247/B246-1)*100,"")</f>
        <v>-0.604907453616799</v>
      </c>
      <c r="D247" s="18" t="n">
        <f aca="false">IFERROR((B247/B243-1)*100,"")</f>
        <v>1.31684007626229</v>
      </c>
      <c r="E247" s="19"/>
      <c r="F247" s="19"/>
      <c r="G247" s="19"/>
    </row>
    <row r="248" customFormat="false" ht="15" hidden="false" customHeight="false" outlineLevel="0" collapsed="false">
      <c r="A248" s="12" t="n">
        <v>42370</v>
      </c>
      <c r="B248" s="13" t="n">
        <v>124.577143430722</v>
      </c>
      <c r="C248" s="21" t="n">
        <f aca="false">IFERROR((B248/B247-1)*100,"")</f>
        <v>0.806276455545474</v>
      </c>
      <c r="D248" s="21" t="n">
        <f aca="false">IFERROR((B248/B244-1)*100,"")</f>
        <v>2.06534766704249</v>
      </c>
      <c r="E248" s="14"/>
      <c r="F248" s="14"/>
      <c r="G248" s="14"/>
    </row>
    <row r="249" customFormat="false" ht="15" hidden="false" customHeight="false" outlineLevel="0" collapsed="false">
      <c r="A249" s="16" t="n">
        <v>42461</v>
      </c>
      <c r="B249" s="17" t="n">
        <v>124.918040400092</v>
      </c>
      <c r="C249" s="18" t="n">
        <f aca="false">IFERROR((B249/B248-1)*100,"")</f>
        <v>0.273643270332458</v>
      </c>
      <c r="D249" s="18" t="n">
        <f aca="false">IFERROR((B249/B245-1)*100,"")</f>
        <v>2.22824851848689</v>
      </c>
      <c r="E249" s="19"/>
      <c r="F249" s="19"/>
      <c r="G249" s="19"/>
    </row>
    <row r="250" customFormat="false" ht="15" hidden="false" customHeight="false" outlineLevel="0" collapsed="false">
      <c r="A250" s="12" t="n">
        <v>42552</v>
      </c>
      <c r="B250" s="13" t="n">
        <v>125.78011787955</v>
      </c>
      <c r="C250" s="21" t="n">
        <f aca="false">IFERROR((B250/B249-1)*100,"")</f>
        <v>0.690114475616666</v>
      </c>
      <c r="D250" s="21" t="n">
        <f aca="false">IFERROR((B250/B246-1)*100,"")</f>
        <v>1.16403538868111</v>
      </c>
      <c r="E250" s="14"/>
      <c r="F250" s="14"/>
      <c r="G250" s="14"/>
    </row>
    <row r="251" customFormat="false" ht="15" hidden="false" customHeight="false" outlineLevel="0" collapsed="false">
      <c r="A251" s="16" t="n">
        <v>42644</v>
      </c>
      <c r="B251" s="17" t="n">
        <v>126.336529796911</v>
      </c>
      <c r="C251" s="18" t="n">
        <f aca="false">IFERROR((B251/B250-1)*100,"")</f>
        <v>0.442368735807763</v>
      </c>
      <c r="D251" s="18" t="n">
        <f aca="false">IFERROR((B251/B247-1)*100,"")</f>
        <v>2.22995004074735</v>
      </c>
      <c r="E251" s="19"/>
      <c r="F251" s="19"/>
      <c r="G251" s="19"/>
    </row>
    <row r="252" customFormat="false" ht="15" hidden="false" customHeight="false" outlineLevel="0" collapsed="false">
      <c r="A252" s="12" t="n">
        <v>42736</v>
      </c>
      <c r="B252" s="13" t="n">
        <v>127.039347193617</v>
      </c>
      <c r="C252" s="21" t="n">
        <f aca="false">IFERROR((B252/B251-1)*100,"")</f>
        <v>0.55630576353094</v>
      </c>
      <c r="D252" s="21" t="n">
        <f aca="false">IFERROR((B252/B248-1)*100,"")</f>
        <v>1.97644904601946</v>
      </c>
      <c r="E252" s="14"/>
      <c r="F252" s="14"/>
      <c r="G252" s="14"/>
    </row>
    <row r="253" customFormat="false" ht="15" hidden="false" customHeight="false" outlineLevel="0" collapsed="false">
      <c r="A253" s="16" t="n">
        <v>42826</v>
      </c>
      <c r="B253" s="17" t="n">
        <v>127.466085492967</v>
      </c>
      <c r="C253" s="18" t="n">
        <f aca="false">IFERROR((B253/B252-1)*100,"")</f>
        <v>0.335910337055267</v>
      </c>
      <c r="D253" s="18" t="n">
        <f aca="false">IFERROR((B253/B249-1)*100,"")</f>
        <v>2.03977350646403</v>
      </c>
      <c r="E253" s="19"/>
      <c r="F253" s="19"/>
      <c r="G253" s="19"/>
    </row>
    <row r="254" customFormat="false" ht="15" hidden="false" customHeight="false" outlineLevel="0" collapsed="false">
      <c r="A254" s="12" t="n">
        <v>42917</v>
      </c>
      <c r="B254" s="13" t="n">
        <v>128.173078845439</v>
      </c>
      <c r="C254" s="21" t="n">
        <f aca="false">IFERROR((B254/B253-1)*100,"")</f>
        <v>0.554652125494615</v>
      </c>
      <c r="D254" s="21" t="n">
        <f aca="false">IFERROR((B254/B250-1)*100,"")</f>
        <v>1.90249540724747</v>
      </c>
      <c r="E254" s="14"/>
      <c r="F254" s="14"/>
      <c r="G254" s="14"/>
    </row>
    <row r="255" customFormat="false" ht="15" hidden="false" customHeight="false" outlineLevel="0" collapsed="false">
      <c r="A255" s="16" t="n">
        <v>43009</v>
      </c>
      <c r="B255" s="17" t="n">
        <v>128.987048832929</v>
      </c>
      <c r="C255" s="18" t="n">
        <f aca="false">IFERROR((B255/B254-1)*100,"")</f>
        <v>0.635055344555746</v>
      </c>
      <c r="D255" s="18" t="n">
        <f aca="false">IFERROR((B255/B251-1)*100,"")</f>
        <v>2.09798309347105</v>
      </c>
      <c r="E255" s="19"/>
      <c r="F255" s="19"/>
      <c r="G255" s="19"/>
    </row>
    <row r="256" customFormat="false" ht="15" hidden="false" customHeight="false" outlineLevel="0" collapsed="false">
      <c r="A256" s="12" t="n">
        <v>43101</v>
      </c>
      <c r="B256" s="13" t="n">
        <v>130.00915987602</v>
      </c>
      <c r="C256" s="21" t="n">
        <f aca="false">IFERROR((B256/B255-1)*100,"")</f>
        <v>0.792413697607564</v>
      </c>
      <c r="D256" s="21" t="n">
        <f aca="false">IFERROR((B256/B252-1)*100,"")</f>
        <v>2.33771091241337</v>
      </c>
      <c r="E256" s="14"/>
      <c r="F256" s="14"/>
      <c r="G256" s="14"/>
    </row>
    <row r="257" customFormat="false" ht="15" hidden="false" customHeight="false" outlineLevel="0" collapsed="false">
      <c r="A257" s="16" t="n">
        <v>43191</v>
      </c>
      <c r="B257" s="17" t="n">
        <v>130.388676685083</v>
      </c>
      <c r="C257" s="18" t="n">
        <f aca="false">IFERROR((B257/B256-1)*100,"")</f>
        <v>0.291915438438339</v>
      </c>
      <c r="D257" s="18" t="n">
        <f aca="false">IFERROR((B257/B253-1)*100,"")</f>
        <v>2.29283827208795</v>
      </c>
      <c r="E257" s="19"/>
      <c r="F257" s="19"/>
      <c r="G257" s="19"/>
    </row>
    <row r="258" customFormat="false" ht="15" hidden="false" customHeight="false" outlineLevel="0" collapsed="false">
      <c r="A258" s="12" t="n">
        <v>43282</v>
      </c>
      <c r="B258" s="13" t="n">
        <v>130.167346713087</v>
      </c>
      <c r="C258" s="21" t="n">
        <f aca="false">IFERROR((B258/B257-1)*100,"")</f>
        <v>-0.169746313577401</v>
      </c>
      <c r="D258" s="21" t="n">
        <f aca="false">IFERROR((B258/B254-1)*100,"")</f>
        <v>1.55591789290881</v>
      </c>
      <c r="E258" s="14"/>
      <c r="F258" s="14"/>
      <c r="G258" s="14"/>
    </row>
    <row r="259" customFormat="false" ht="15" hidden="false" customHeight="false" outlineLevel="0" collapsed="false">
      <c r="A259" s="16" t="n">
        <v>43374</v>
      </c>
      <c r="B259" s="17" t="n">
        <v>132.139754998475</v>
      </c>
      <c r="C259" s="18" t="n">
        <f aca="false">IFERROR((B259/B258-1)*100,"")</f>
        <v>1.51528654089812</v>
      </c>
      <c r="D259" s="18" t="n">
        <f aca="false">IFERROR((B259/B255-1)*100,"")</f>
        <v>2.44420365770976</v>
      </c>
      <c r="E259" s="19"/>
      <c r="F259" s="19"/>
      <c r="G259" s="19"/>
    </row>
    <row r="260" customFormat="false" ht="15" hidden="false" customHeight="false" outlineLevel="0" collapsed="false">
      <c r="A260" s="12" t="n">
        <v>43466</v>
      </c>
      <c r="B260" s="13" t="n">
        <v>131.698394140903</v>
      </c>
      <c r="C260" s="21" t="n">
        <f aca="false">IFERROR((B260/B259-1)*100,"")</f>
        <v>-0.334010652265249</v>
      </c>
      <c r="D260" s="21" t="n">
        <f aca="false">IFERROR((B260/B256-1)*100,"")</f>
        <v>1.29931942218011</v>
      </c>
      <c r="E260" s="14"/>
      <c r="F260" s="14"/>
      <c r="G260" s="14"/>
    </row>
    <row r="261" customFormat="false" ht="15" hidden="false" customHeight="false" outlineLevel="0" collapsed="false">
      <c r="A261" s="16" t="n">
        <v>43556</v>
      </c>
      <c r="B261" s="17" t="n">
        <v>132.911433464899</v>
      </c>
      <c r="C261" s="18" t="n">
        <f aca="false">IFERROR((B261/B260-1)*100,"")</f>
        <v>0.921073739667744</v>
      </c>
      <c r="D261" s="18" t="n">
        <f aca="false">IFERROR((B261/B257-1)*100,"")</f>
        <v>1.93479744096892</v>
      </c>
      <c r="E261" s="19"/>
      <c r="F261" s="19"/>
      <c r="G261" s="19"/>
    </row>
    <row r="262" customFormat="false" ht="15" hidden="false" customHeight="false" outlineLevel="0" collapsed="false">
      <c r="A262" s="12" t="n">
        <v>43647</v>
      </c>
      <c r="B262" s="13" t="n">
        <v>133.223769991329</v>
      </c>
      <c r="C262" s="21" t="n">
        <f aca="false">IFERROR((B262/B261-1)*100,"")</f>
        <v>0.234995980622221</v>
      </c>
      <c r="D262" s="21" t="n">
        <f aca="false">IFERROR((B262/B258-1)*100,"")</f>
        <v>2.3480721973832</v>
      </c>
      <c r="E262" s="14"/>
      <c r="F262" s="14"/>
      <c r="G262" s="14"/>
    </row>
    <row r="263" customFormat="false" ht="15" hidden="false" customHeight="false" outlineLevel="0" collapsed="false">
      <c r="A263" s="16" t="n">
        <v>43739</v>
      </c>
      <c r="B263" s="17" t="n">
        <v>134.501174246136</v>
      </c>
      <c r="C263" s="18" t="n">
        <f aca="false">IFERROR((B263/B262-1)*100,"")</f>
        <v>0.958841094866658</v>
      </c>
      <c r="D263" s="18" t="n">
        <f aca="false">IFERROR((B263/B259-1)*100,"")</f>
        <v>1.78706192370988</v>
      </c>
      <c r="E263" s="19"/>
      <c r="F263" s="19"/>
      <c r="G263" s="19"/>
    </row>
    <row r="264" customFormat="false" ht="15" hidden="false" customHeight="false" outlineLevel="0" collapsed="false">
      <c r="A264" s="12" t="n">
        <v>43831</v>
      </c>
      <c r="B264" s="13" t="n">
        <v>134.538863222268</v>
      </c>
      <c r="C264" s="21" t="n">
        <f aca="false">IFERROR((B264/B263-1)*100,"")</f>
        <v>0.0280212989536732</v>
      </c>
      <c r="D264" s="21" t="n">
        <f aca="false">IFERROR((B264/B260-1)*100,"")</f>
        <v>2.15679856986419</v>
      </c>
      <c r="E264" s="14"/>
      <c r="F264" s="14"/>
      <c r="G264" s="14"/>
    </row>
    <row r="265" customFormat="false" ht="15" hidden="false" customHeight="false" outlineLevel="0" collapsed="false">
      <c r="A265" s="16" t="n">
        <v>43922</v>
      </c>
      <c r="B265" s="17" t="n">
        <v>135.219073485403</v>
      </c>
      <c r="C265" s="18" t="n">
        <f aca="false">IFERROR((B265/B264-1)*100,"")</f>
        <v>0.505586450519835</v>
      </c>
      <c r="D265" s="18" t="n">
        <f aca="false">IFERROR((B265/B261-1)*100,"")</f>
        <v>1.73622386001406</v>
      </c>
      <c r="E265" s="19"/>
      <c r="F265" s="19"/>
      <c r="G265" s="19"/>
    </row>
    <row r="266" customFormat="false" ht="15" hidden="false" customHeight="false" outlineLevel="0" collapsed="false">
      <c r="A266" s="12" t="n">
        <v>44013</v>
      </c>
      <c r="B266" s="13" t="n">
        <v>136.727557689879</v>
      </c>
      <c r="C266" s="21" t="n">
        <f aca="false">IFERROR((B266/B265-1)*100,"")</f>
        <v>1.11558537238383</v>
      </c>
      <c r="D266" s="21" t="n">
        <f aca="false">IFERROR((B266/B262-1)*100,"")</f>
        <v>2.63000191240539</v>
      </c>
      <c r="E266" s="14"/>
      <c r="F266" s="14"/>
      <c r="G266" s="14"/>
    </row>
    <row r="267" customFormat="false" ht="15" hidden="false" customHeight="false" outlineLevel="0" collapsed="false">
      <c r="A267" s="16" t="n">
        <v>44105</v>
      </c>
      <c r="B267" s="17" t="n">
        <v>136.821146906717</v>
      </c>
      <c r="C267" s="18" t="n">
        <f aca="false">IFERROR((B267/B266-1)*100,"")</f>
        <v>0.0684494175273498</v>
      </c>
      <c r="D267" s="18" t="n">
        <f aca="false">IFERROR((B267/B263-1)*100,"")</f>
        <v>1.72487167757776</v>
      </c>
      <c r="E267" s="19"/>
      <c r="F267" s="19"/>
      <c r="G267" s="19"/>
    </row>
    <row r="268" customFormat="false" ht="15" hidden="false" customHeight="false" outlineLevel="0" collapsed="false">
      <c r="A268" s="12" t="n">
        <v>44197</v>
      </c>
      <c r="B268" s="13" t="n">
        <v>137.347056969794</v>
      </c>
      <c r="C268" s="21" t="n">
        <f aca="false">IFERROR((B268/B267-1)*100,"")</f>
        <v>0.38437776247775</v>
      </c>
      <c r="D268" s="21" t="n">
        <f aca="false">IFERROR((B268/B264-1)*100,"")</f>
        <v>2.08727328317506</v>
      </c>
      <c r="E268" s="14"/>
      <c r="F268" s="14"/>
      <c r="G268" s="14"/>
    </row>
    <row r="269" customFormat="false" ht="15" hidden="false" customHeight="false" outlineLevel="0" collapsed="false">
      <c r="A269" s="16" t="n">
        <v>44287</v>
      </c>
      <c r="B269" s="17" t="n">
        <v>138.160573486636</v>
      </c>
      <c r="C269" s="18" t="n">
        <f aca="false">IFERROR((B269/B268-1)*100,"")</f>
        <v>0.592307206859855</v>
      </c>
      <c r="D269" s="18" t="n">
        <f aca="false">IFERROR((B269/B265-1)*100,"")</f>
        <v>2.17535879030419</v>
      </c>
      <c r="E269" s="19"/>
      <c r="F269" s="19"/>
      <c r="G269" s="19"/>
    </row>
    <row r="270" customFormat="false" ht="15" hidden="false" customHeight="false" outlineLevel="0" collapsed="false">
      <c r="A270" s="12" t="n">
        <v>44378</v>
      </c>
      <c r="B270" s="13" t="n">
        <v>139.272983579648</v>
      </c>
      <c r="C270" s="21" t="n">
        <f aca="false">IFERROR((B270/B269-1)*100,"")</f>
        <v>0.805157408470381</v>
      </c>
      <c r="D270" s="21" t="n">
        <f aca="false">IFERROR((B270/B266-1)*100,"")</f>
        <v>1.86167728933093</v>
      </c>
      <c r="E270" s="14"/>
      <c r="F270" s="14"/>
      <c r="G270" s="14"/>
    </row>
    <row r="271" customFormat="false" ht="15" hidden="false" customHeight="false" outlineLevel="0" collapsed="false">
      <c r="A271" s="16" t="n">
        <v>44470</v>
      </c>
      <c r="B271" s="17" t="n">
        <v>139.80681982094</v>
      </c>
      <c r="C271" s="18" t="n">
        <f aca="false">IFERROR((B271/B270-1)*100,"")</f>
        <v>0.383302078817249</v>
      </c>
      <c r="D271" s="18" t="n">
        <f aca="false">IFERROR((B271/B267-1)*100,"")</f>
        <v>2.18217211427003</v>
      </c>
      <c r="E271" s="19"/>
      <c r="F271" s="19"/>
      <c r="G271" s="19"/>
    </row>
    <row r="272" customFormat="false" ht="15" hidden="false" customHeight="false" outlineLevel="0" collapsed="false">
      <c r="A272" s="12" t="n">
        <v>44562</v>
      </c>
      <c r="B272" s="13" t="n">
        <v>140.275104016871</v>
      </c>
      <c r="C272" s="21" t="n">
        <f aca="false">IFERROR((B272/B271-1)*100,"")</f>
        <v>0.334950896194175</v>
      </c>
      <c r="D272" s="21" t="n">
        <f aca="false">IFERROR((B272/B268-1)*100,"")</f>
        <v>2.13186005705326</v>
      </c>
      <c r="E272" s="14"/>
      <c r="F272" s="14"/>
      <c r="G272" s="14"/>
    </row>
    <row r="273" customFormat="false" ht="15" hidden="false" customHeight="false" outlineLevel="0" collapsed="false">
      <c r="A273" s="16" t="n">
        <v>44652</v>
      </c>
      <c r="B273" s="17" t="n">
        <v>140.11999640781</v>
      </c>
      <c r="C273" s="18" t="n">
        <f aca="false">IFERROR((B273/B272-1)*100,"")</f>
        <v>-0.110573868504682</v>
      </c>
      <c r="D273" s="18" t="n">
        <f aca="false">IFERROR((B273/B269-1)*100,"")</f>
        <v>1.41822147355544</v>
      </c>
      <c r="E273" s="19"/>
      <c r="F273" s="19"/>
      <c r="G273" s="19"/>
    </row>
    <row r="274" customFormat="false" ht="15" hidden="false" customHeight="false" outlineLevel="0" collapsed="false">
      <c r="A274" s="12" t="n">
        <v>44743</v>
      </c>
      <c r="B274" s="13" t="n">
        <v>141.687641187992</v>
      </c>
      <c r="C274" s="21" t="n">
        <f aca="false">IFERROR((B274/B273-1)*100,"")</f>
        <v>1.11878733968804</v>
      </c>
      <c r="D274" s="21" t="n">
        <f aca="false">IFERROR((B274/B270-1)*100,"")</f>
        <v>1.73375879964759</v>
      </c>
      <c r="E274" s="14"/>
      <c r="F274" s="14"/>
      <c r="G274" s="14"/>
    </row>
    <row r="275" customFormat="false" ht="15" hidden="false" customHeight="false" outlineLevel="0" collapsed="false">
      <c r="A275" s="16" t="n">
        <v>44835</v>
      </c>
      <c r="B275" s="17" t="n">
        <v>143.138833488721</v>
      </c>
      <c r="C275" s="18" t="n">
        <f aca="false">IFERROR((B275/B274-1)*100,"")</f>
        <v>1.02421939455073</v>
      </c>
      <c r="D275" s="18" t="n">
        <f aca="false">IFERROR((B275/B271-1)*100,"")</f>
        <v>2.38329837703819</v>
      </c>
      <c r="E275" s="19"/>
      <c r="F275" s="19"/>
      <c r="G275" s="19"/>
    </row>
    <row r="276" customFormat="false" ht="15" hidden="false" customHeight="false" outlineLevel="0" collapsed="false">
      <c r="A276" s="12" t="n">
        <v>44927</v>
      </c>
      <c r="B276" s="13" t="n">
        <v>143.093311533638</v>
      </c>
      <c r="C276" s="21" t="n">
        <f aca="false">IFERROR((B276/B275-1)*100,"")</f>
        <v>-0.0318026589804288</v>
      </c>
      <c r="D276" s="21" t="n">
        <f aca="false">IFERROR((B276/B272-1)*100,"")</f>
        <v>2.00905751346185</v>
      </c>
      <c r="E276" s="14"/>
      <c r="F276" s="14"/>
      <c r="G276" s="14"/>
    </row>
    <row r="277" customFormat="false" ht="15" hidden="false" customHeight="false" outlineLevel="0" collapsed="false">
      <c r="A277" s="16" t="n">
        <v>45017</v>
      </c>
      <c r="B277" s="17" t="n">
        <v>142.572891386108</v>
      </c>
      <c r="C277" s="18" t="n">
        <f aca="false">IFERROR((B277/B276-1)*100,"")</f>
        <v>-0.363692853252651</v>
      </c>
      <c r="D277" s="18" t="n">
        <f aca="false">IFERROR((B277/B273-1)*100,"")</f>
        <v>1.75056740021491</v>
      </c>
      <c r="E277" s="19"/>
      <c r="F277" s="19"/>
      <c r="G277" s="19"/>
    </row>
    <row r="278" customFormat="false" ht="15" hidden="false" customHeight="false" outlineLevel="0" collapsed="false">
      <c r="A278" s="12" t="n">
        <v>45108</v>
      </c>
      <c r="B278" s="13" t="n">
        <v>144.524334568967</v>
      </c>
      <c r="C278" s="21" t="n">
        <f aca="false">IFERROR((B278/B277-1)*100,"")</f>
        <v>1.36873367993493</v>
      </c>
      <c r="D278" s="21" t="n">
        <f aca="false">IFERROR((B278/B274-1)*100,"")</f>
        <v>2.0020753801741</v>
      </c>
      <c r="E278" s="14"/>
      <c r="F278" s="14"/>
      <c r="G278" s="14"/>
    </row>
    <row r="279" customFormat="false" ht="15" hidden="false" customHeight="false" outlineLevel="0" collapsed="false">
      <c r="A279" s="16" t="n">
        <v>45200</v>
      </c>
      <c r="B279" s="17" t="n">
        <v>144.690213165576</v>
      </c>
      <c r="C279" s="18" t="n">
        <f aca="false">IFERROR((B279/B278-1)*100,"")</f>
        <v>0.11477554773327</v>
      </c>
      <c r="D279" s="18" t="n">
        <f aca="false">IFERROR((B279/B275-1)*100,"")</f>
        <v>1.08382864317318</v>
      </c>
      <c r="E279" s="19"/>
      <c r="F279" s="19"/>
      <c r="G279" s="19"/>
    </row>
    <row r="280" customFormat="false" ht="15" hidden="false" customHeight="false" outlineLevel="0" collapsed="false">
      <c r="A280" s="12" t="n">
        <v>45292</v>
      </c>
      <c r="B280" s="13" t="n">
        <v>144.897950694887</v>
      </c>
      <c r="C280" s="21" t="n">
        <f aca="false">IFERROR((B280/B279-1)*100,"")</f>
        <v>0.143574001839131</v>
      </c>
      <c r="D280" s="21" t="n">
        <f aca="false">IFERROR((B280/B276-1)*100,"")</f>
        <v>1.2611624833526</v>
      </c>
      <c r="E280" s="14"/>
      <c r="F280" s="14"/>
      <c r="G280" s="14"/>
    </row>
    <row r="281" customFormat="false" ht="15" hidden="false" customHeight="false" outlineLevel="0" collapsed="false">
      <c r="A281" s="16" t="n">
        <v>45383</v>
      </c>
      <c r="B281" s="17" t="n">
        <v>145.968637917822</v>
      </c>
      <c r="C281" s="18" t="n">
        <f aca="false">IFERROR((B281/B280-1)*100,"")</f>
        <v>0.738925028131532</v>
      </c>
      <c r="D281" s="18" t="n">
        <f aca="false">IFERROR((B281/B277-1)*100,"")</f>
        <v>2.38176170708182</v>
      </c>
      <c r="E281" s="19"/>
      <c r="F281" s="19"/>
      <c r="G281" s="19"/>
    </row>
    <row r="282" customFormat="false" ht="15" hidden="false" customHeight="false" outlineLevel="0" collapsed="false">
      <c r="A282" s="12" t="n">
        <v>45474</v>
      </c>
      <c r="B282" s="13" t="n">
        <v>146.976554647948</v>
      </c>
      <c r="C282" s="21" t="n">
        <f aca="false">IFERROR((B282/B281-1)*100,"")</f>
        <v>0.690502250691649</v>
      </c>
      <c r="D282" s="21" t="n">
        <f aca="false">IFERROR((B282/B278-1)*100,"")</f>
        <v>1.6967523748129</v>
      </c>
      <c r="E282" s="14"/>
      <c r="F282" s="14"/>
      <c r="G282" s="14"/>
    </row>
    <row r="283" customFormat="false" ht="15" hidden="false" customHeight="false" outlineLevel="0" collapsed="false">
      <c r="A283" s="16" t="n">
        <v>45566</v>
      </c>
      <c r="B283" s="17" t="n">
        <v>148.840931221743</v>
      </c>
      <c r="C283" s="18" t="n">
        <f aca="false">IFERROR((B283/B282-1)*100,"")</f>
        <v>1.26848569709668</v>
      </c>
      <c r="D283" s="18" t="n">
        <f aca="false">IFERROR((B283/B279-1)*100,"")</f>
        <v>2.86869302723116</v>
      </c>
      <c r="E283" s="19"/>
      <c r="F283" s="19"/>
      <c r="G283" s="19"/>
    </row>
    <row r="284" customFormat="false" ht="15" hidden="false" customHeight="false" outlineLevel="0" collapsed="false">
      <c r="A284" s="12" t="n">
        <v>45658</v>
      </c>
      <c r="B284" s="13" t="n">
        <v>149.131428756939</v>
      </c>
      <c r="C284" s="21" t="n">
        <f aca="false">IFERROR((B284/B283-1)*100,"")</f>
        <v>0.195173150833772</v>
      </c>
      <c r="D284" s="21" t="n">
        <f aca="false">IFERROR((B284/B280-1)*100,"")</f>
        <v>2.92169629849746</v>
      </c>
      <c r="E284" s="14"/>
      <c r="F284" s="14"/>
      <c r="G284" s="14"/>
    </row>
    <row r="285" customFormat="false" ht="15" hidden="false" customHeight="false" outlineLevel="0" collapsed="false">
      <c r="A285" s="16" t="n">
        <v>45748</v>
      </c>
      <c r="B285" s="17" t="n">
        <v>149.041909657863</v>
      </c>
      <c r="C285" s="18" t="n">
        <f aca="false">IFERROR((B285/B284-1)*100,"")</f>
        <v>-0.0600269841321666</v>
      </c>
      <c r="D285" s="18" t="n">
        <f aca="false">IFERROR((B285/B281-1)*100,"")</f>
        <v>2.10543290934264</v>
      </c>
      <c r="E285" s="19"/>
      <c r="F285" s="19"/>
      <c r="G285" s="19"/>
    </row>
    <row r="286" customFormat="false" ht="15" hidden="false" customHeight="false" outlineLevel="0" collapsed="false">
      <c r="A286" s="12" t="n">
        <v>45839</v>
      </c>
      <c r="B286" s="13" t="n">
        <v>151.128702170005</v>
      </c>
      <c r="C286" s="21" t="n">
        <f aca="false">IFERROR((B286/B285-1)*100,"")</f>
        <v>1.40013806648955</v>
      </c>
      <c r="D286" s="21" t="n">
        <f aca="false">IFERROR((B286/B282-1)*100,"")</f>
        <v>2.82504072299341</v>
      </c>
      <c r="E286" s="14"/>
      <c r="F286" s="14"/>
      <c r="G286" s="14"/>
    </row>
    <row r="287" customFormat="false" ht="15" hidden="false" customHeight="false" outlineLevel="0" collapsed="false">
      <c r="A287" s="16" t="n">
        <v>45931</v>
      </c>
      <c r="B287" s="17" t="n">
        <v>151.778398562235</v>
      </c>
      <c r="C287" s="18" t="n">
        <f aca="false">IFERROR((B287/B286-1)*100,"")</f>
        <v>0.429896097101756</v>
      </c>
      <c r="D287" s="18" t="n">
        <f aca="false">IFERROR((B287/B283-1)*100,"")</f>
        <v>1.97356151723862</v>
      </c>
      <c r="E287" s="19"/>
      <c r="F287" s="19"/>
      <c r="G287" s="19"/>
    </row>
    <row r="288" customFormat="false" ht="15" hidden="false" customHeight="false" outlineLevel="0" collapsed="false">
      <c r="A288" s="12" t="n">
        <v>46023</v>
      </c>
      <c r="B288" s="14"/>
      <c r="C288" s="21" t="n">
        <f aca="false">IFERROR((B288/B287-1)*100,"")</f>
        <v>-100</v>
      </c>
      <c r="D288" s="21" t="n">
        <f aca="false">IFERROR((B288/B284-1)*100,"")</f>
        <v>-100</v>
      </c>
      <c r="E288" s="13" t="n">
        <v>151.77996146572</v>
      </c>
      <c r="F288" s="13" t="n">
        <v>151.270045326733</v>
      </c>
      <c r="G288" s="22" t="n">
        <f aca="false">152.534764-150.005327</f>
        <v>2.529437</v>
      </c>
    </row>
    <row r="289" customFormat="false" ht="15" hidden="false" customHeight="false" outlineLevel="0" collapsed="false">
      <c r="A289" s="16" t="n">
        <v>46113</v>
      </c>
      <c r="B289" s="19"/>
      <c r="C289" s="18" t="str">
        <f aca="false">IFERROR((B289/B288-1)*100,"")</f>
        <v/>
      </c>
      <c r="D289" s="18" t="n">
        <f aca="false">IFERROR((B289/B285-1)*100,"")</f>
        <v>-100</v>
      </c>
      <c r="E289" s="17" t="n">
        <v>152.533507002117</v>
      </c>
      <c r="F289" s="17" t="n">
        <v>151.49042444193</v>
      </c>
      <c r="G289" s="23" t="n">
        <f aca="false">153.279007-149.701842</f>
        <v>3.57716500000001</v>
      </c>
    </row>
    <row r="290" customFormat="false" ht="15" hidden="false" customHeight="false" outlineLevel="0" collapsed="false">
      <c r="A290" s="12" t="n">
        <v>46204</v>
      </c>
      <c r="B290" s="14"/>
      <c r="C290" s="21" t="str">
        <f aca="false">IFERROR((B290/B289-1)*100,"")</f>
        <v/>
      </c>
      <c r="D290" s="21" t="n">
        <f aca="false">IFERROR((B290/B286-1)*100,"")</f>
        <v>-100</v>
      </c>
      <c r="E290" s="13" t="n">
        <v>153.290793683721</v>
      </c>
      <c r="F290" s="13" t="n">
        <v>152.625482614351</v>
      </c>
      <c r="G290" s="22" t="n">
        <f aca="false">154.816039-150.434926</f>
        <v>4.381113</v>
      </c>
    </row>
    <row r="291" customFormat="false" ht="15" hidden="false" customHeight="false" outlineLevel="0" collapsed="false">
      <c r="A291" s="16" t="n">
        <v>46296</v>
      </c>
      <c r="B291" s="19"/>
      <c r="C291" s="18" t="str">
        <f aca="false">IFERROR((B291/B290-1)*100,"")</f>
        <v/>
      </c>
      <c r="D291" s="18" t="n">
        <f aca="false">IFERROR((B291/B287-1)*100,"")</f>
        <v>-100</v>
      </c>
      <c r="E291" s="17" t="n">
        <v>154.051840084284</v>
      </c>
      <c r="F291" s="17" t="n">
        <v>153.400232955804</v>
      </c>
      <c r="G291" s="23" t="n">
        <f aca="false">155.92967-150.870796</f>
        <v>5.05887399999998</v>
      </c>
    </row>
    <row r="292" customFormat="false" ht="15" hidden="false" customHeight="false" outlineLevel="0" collapsed="false">
      <c r="A292" s="12" t="n">
        <v>46388</v>
      </c>
      <c r="B292" s="14"/>
      <c r="C292" s="21" t="str">
        <f aca="false">IFERROR((B292/B291-1)*100,"")</f>
        <v/>
      </c>
      <c r="D292" s="21" t="str">
        <f aca="false">IFERROR((B292/B288-1)*100,"")</f>
        <v/>
      </c>
      <c r="E292" s="13" t="n">
        <v>154.81666486977</v>
      </c>
      <c r="F292" s="13" t="n">
        <v>153.022285943479</v>
      </c>
      <c r="G292" s="22" t="n">
        <f aca="false">155.850283-150.194289</f>
        <v>5.65599399999999</v>
      </c>
    </row>
    <row r="293" customFormat="false" ht="15" hidden="false" customHeight="false" outlineLevel="0" collapsed="false">
      <c r="A293" s="16" t="n">
        <v>46478</v>
      </c>
      <c r="B293" s="19"/>
      <c r="C293" s="18" t="str">
        <f aca="false">IFERROR((B293/B292-1)*100,"")</f>
        <v/>
      </c>
      <c r="D293" s="18" t="str">
        <f aca="false">IFERROR((B293/B289-1)*100,"")</f>
        <v/>
      </c>
      <c r="E293" s="17" t="n">
        <v>155.585286798817</v>
      </c>
      <c r="F293" s="17" t="n">
        <v>153.155053027839</v>
      </c>
      <c r="G293" s="23" t="n">
        <f aca="false">156.252968-150.057138</f>
        <v>6.19583</v>
      </c>
    </row>
    <row r="294" customFormat="false" ht="15" hidden="false" customHeight="false" outlineLevel="0" collapsed="false">
      <c r="A294" s="12" t="n">
        <v>46569</v>
      </c>
      <c r="B294" s="14"/>
      <c r="C294" s="21" t="str">
        <f aca="false">IFERROR((B294/B293-1)*100,"")</f>
        <v/>
      </c>
      <c r="D294" s="21" t="str">
        <f aca="false">IFERROR((B294/B290-1)*100,"")</f>
        <v/>
      </c>
      <c r="E294" s="13" t="n">
        <v>156.357724723191</v>
      </c>
      <c r="F294" s="13" t="n">
        <v>154.206879770964</v>
      </c>
      <c r="G294" s="22" t="n">
        <f aca="false">157.553011-150.860749</f>
        <v>6.692262</v>
      </c>
    </row>
    <row r="295" customFormat="false" ht="15" hidden="false" customHeight="false" outlineLevel="0" collapsed="false">
      <c r="A295" s="16" t="n">
        <v>46661</v>
      </c>
      <c r="B295" s="19"/>
      <c r="C295" s="18" t="str">
        <f aca="false">IFERROR((B295/B294-1)*100,"")</f>
        <v/>
      </c>
      <c r="D295" s="18" t="str">
        <f aca="false">IFERROR((B295/B291-1)*100,"")</f>
        <v/>
      </c>
      <c r="E295" s="17" t="n">
        <v>157.133997588255</v>
      </c>
      <c r="F295" s="17" t="n">
        <v>154.902560254587</v>
      </c>
      <c r="G295" s="23" t="n">
        <f aca="false">158.479724-151.325396</f>
        <v>7.15432799999999</v>
      </c>
    </row>
  </sheetData>
  <mergeCells count="9">
    <mergeCell ref="A4:N4"/>
    <mergeCell ref="A6:G6"/>
    <mergeCell ref="I6:L6"/>
    <mergeCell ref="A102:N102"/>
    <mergeCell ref="A104:G104"/>
    <mergeCell ref="I104:L104"/>
    <mergeCell ref="A200:N200"/>
    <mergeCell ref="A202:G202"/>
    <mergeCell ref="I202:L2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1"/>
    <col collapsed="false" customWidth="true" hidden="false" outlineLevel="0" max="7" min="5" style="0" width="13"/>
    <col collapsed="false" customWidth="true" hidden="false" outlineLevel="0" max="8" min="8" style="0" width="2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6"/>
  </cols>
  <sheetData>
    <row r="1" customFormat="false" ht="22.05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111</v>
      </c>
    </row>
    <row r="4" customFormat="false" ht="21.75" hidden="false" customHeight="true" outlineLevel="0" collapsed="false">
      <c r="A4" s="9" t="s">
        <v>135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false" outlineLevel="0" collapsed="false">
      <c r="A5" s="5" t="s">
        <v>113</v>
      </c>
      <c r="B5" s="10" t="s">
        <v>114</v>
      </c>
      <c r="D5" s="5" t="s">
        <v>115</v>
      </c>
      <c r="E5" s="2" t="s">
        <v>133</v>
      </c>
      <c r="H5" s="5" t="s">
        <v>117</v>
      </c>
      <c r="I5" s="2" t="s">
        <v>118</v>
      </c>
    </row>
    <row r="6" customFormat="false" ht="18" hidden="false" customHeight="true" outlineLevel="0" collapsed="false">
      <c r="A6" s="11" t="s">
        <v>119</v>
      </c>
      <c r="B6" s="11"/>
      <c r="C6" s="11"/>
      <c r="D6" s="11"/>
      <c r="E6" s="11"/>
      <c r="F6" s="11"/>
      <c r="G6" s="11"/>
      <c r="I6" s="11" t="s">
        <v>120</v>
      </c>
      <c r="J6" s="11"/>
      <c r="K6" s="11"/>
      <c r="L6" s="11"/>
    </row>
    <row r="7" customFormat="false" ht="15" hidden="false" customHeight="false" outlineLevel="0" collapsed="false">
      <c r="A7" s="6" t="s">
        <v>121</v>
      </c>
      <c r="B7" s="6" t="s">
        <v>122</v>
      </c>
      <c r="C7" s="6" t="s">
        <v>123</v>
      </c>
      <c r="D7" s="6" t="s">
        <v>124</v>
      </c>
      <c r="E7" s="6" t="s">
        <v>125</v>
      </c>
      <c r="F7" s="6" t="s">
        <v>126</v>
      </c>
      <c r="G7" s="6" t="s">
        <v>127</v>
      </c>
      <c r="I7" s="6" t="s">
        <v>128</v>
      </c>
      <c r="J7" s="6" t="s">
        <v>122</v>
      </c>
      <c r="K7" s="6" t="s">
        <v>124</v>
      </c>
      <c r="L7" s="6" t="s">
        <v>129</v>
      </c>
    </row>
    <row r="8" customFormat="false" ht="15" hidden="false" customHeight="false" outlineLevel="0" collapsed="false">
      <c r="A8" s="12" t="n">
        <v>38353</v>
      </c>
      <c r="B8" s="13" t="n">
        <v>100.287417786648</v>
      </c>
      <c r="C8" s="14"/>
      <c r="D8" s="14"/>
      <c r="E8" s="14"/>
      <c r="F8" s="14"/>
      <c r="G8" s="14"/>
      <c r="I8" s="15" t="n">
        <v>2005</v>
      </c>
      <c r="J8" s="13" t="n">
        <v>100.972064754878</v>
      </c>
      <c r="K8" s="14"/>
      <c r="L8" s="14"/>
    </row>
    <row r="9" customFormat="false" ht="15" hidden="false" customHeight="false" outlineLevel="0" collapsed="false">
      <c r="A9" s="16" t="n">
        <v>38443</v>
      </c>
      <c r="B9" s="17" t="n">
        <v>100.24073246456</v>
      </c>
      <c r="C9" s="18" t="n">
        <f aca="false">IFERROR((B9/B8-1)*100,"")</f>
        <v>-0.0465515247252801</v>
      </c>
      <c r="D9" s="19"/>
      <c r="E9" s="19"/>
      <c r="F9" s="19"/>
      <c r="G9" s="19"/>
      <c r="I9" s="20" t="n">
        <v>2006</v>
      </c>
      <c r="J9" s="17" t="n">
        <v>102.887907762319</v>
      </c>
      <c r="K9" s="18" t="n">
        <f aca="false">IFERROR((J9/J8-1)*100,"")</f>
        <v>1.89739905991992</v>
      </c>
      <c r="L9" s="19"/>
    </row>
    <row r="10" customFormat="false" ht="15" hidden="false" customHeight="false" outlineLevel="0" collapsed="false">
      <c r="A10" s="12" t="n">
        <v>38534</v>
      </c>
      <c r="B10" s="13" t="n">
        <v>102.042606402203</v>
      </c>
      <c r="C10" s="21" t="n">
        <f aca="false">IFERROR((B10/B9-1)*100,"")</f>
        <v>1.79754665926792</v>
      </c>
      <c r="D10" s="14"/>
      <c r="E10" s="14"/>
      <c r="F10" s="14"/>
      <c r="G10" s="14"/>
      <c r="I10" s="15" t="n">
        <v>2007</v>
      </c>
      <c r="J10" s="13" t="n">
        <v>105.325310635383</v>
      </c>
      <c r="K10" s="21" t="n">
        <f aca="false">IFERROR((J10/J9-1)*100,"")</f>
        <v>2.36898866550443</v>
      </c>
      <c r="L10" s="14"/>
    </row>
    <row r="11" customFormat="false" ht="15" hidden="false" customHeight="false" outlineLevel="0" collapsed="false">
      <c r="A11" s="16" t="n">
        <v>38626</v>
      </c>
      <c r="B11" s="17" t="n">
        <v>101.317502366103</v>
      </c>
      <c r="C11" s="18" t="n">
        <f aca="false">IFERROR((B11/B10-1)*100,"")</f>
        <v>-0.710589489690205</v>
      </c>
      <c r="D11" s="19"/>
      <c r="E11" s="19"/>
      <c r="F11" s="19"/>
      <c r="G11" s="19"/>
      <c r="I11" s="20" t="n">
        <v>2008</v>
      </c>
      <c r="J11" s="17" t="n">
        <v>106.561083942448</v>
      </c>
      <c r="K11" s="18" t="n">
        <f aca="false">IFERROR((J11/J10-1)*100,"")</f>
        <v>1.17329187031074</v>
      </c>
      <c r="L11" s="19"/>
    </row>
    <row r="12" customFormat="false" ht="15" hidden="false" customHeight="false" outlineLevel="0" collapsed="false">
      <c r="A12" s="12" t="n">
        <v>38718</v>
      </c>
      <c r="B12" s="13" t="n">
        <v>102.319325439823</v>
      </c>
      <c r="C12" s="21" t="n">
        <f aca="false">IFERROR((B12/B11-1)*100,"")</f>
        <v>0.988795667406395</v>
      </c>
      <c r="D12" s="21" t="n">
        <f aca="false">IFERROR((B12/B8-1)*100,"")</f>
        <v>2.02608432644882</v>
      </c>
      <c r="E12" s="14"/>
      <c r="F12" s="14"/>
      <c r="G12" s="14"/>
      <c r="I12" s="15" t="n">
        <v>2009</v>
      </c>
      <c r="J12" s="13" t="n">
        <v>109.372104017005</v>
      </c>
      <c r="K12" s="21" t="n">
        <f aca="false">IFERROR((J12/J11-1)*100,"")</f>
        <v>2.63794245568636</v>
      </c>
      <c r="L12" s="14"/>
    </row>
    <row r="13" customFormat="false" ht="15" hidden="false" customHeight="false" outlineLevel="0" collapsed="false">
      <c r="A13" s="16" t="n">
        <v>38808</v>
      </c>
      <c r="B13" s="17" t="n">
        <v>102.692878454945</v>
      </c>
      <c r="C13" s="18" t="n">
        <f aca="false">IFERROR((B13/B12-1)*100,"")</f>
        <v>0.365085494373796</v>
      </c>
      <c r="D13" s="18" t="n">
        <f aca="false">IFERROR((B13/B9-1)*100,"")</f>
        <v>2.44625705548556</v>
      </c>
      <c r="E13" s="19"/>
      <c r="F13" s="19"/>
      <c r="G13" s="19"/>
      <c r="I13" s="20" t="n">
        <v>2010</v>
      </c>
      <c r="J13" s="17" t="n">
        <v>110.888437470973</v>
      </c>
      <c r="K13" s="18" t="n">
        <f aca="false">IFERROR((J13/J12-1)*100,"")</f>
        <v>1.38639872351065</v>
      </c>
      <c r="L13" s="19"/>
    </row>
    <row r="14" customFormat="false" ht="15" hidden="false" customHeight="false" outlineLevel="0" collapsed="false">
      <c r="A14" s="12" t="n">
        <v>38899</v>
      </c>
      <c r="B14" s="13" t="n">
        <v>102.605986715312</v>
      </c>
      <c r="C14" s="21" t="n">
        <f aca="false">IFERROR((B14/B13-1)*100,"")</f>
        <v>-0.0846132087640616</v>
      </c>
      <c r="D14" s="21" t="n">
        <f aca="false">IFERROR((B14/B10-1)*100,"")</f>
        <v>0.552103021446593</v>
      </c>
      <c r="E14" s="14"/>
      <c r="F14" s="14"/>
      <c r="G14" s="14"/>
      <c r="I14" s="15" t="n">
        <v>2011</v>
      </c>
      <c r="J14" s="13" t="n">
        <v>113.133154862674</v>
      </c>
      <c r="K14" s="21" t="n">
        <f aca="false">IFERROR((J14/J13-1)*100,"")</f>
        <v>2.02430248175163</v>
      </c>
      <c r="L14" s="14"/>
    </row>
    <row r="15" customFormat="false" ht="15" hidden="false" customHeight="false" outlineLevel="0" collapsed="false">
      <c r="A15" s="16" t="n">
        <v>38991</v>
      </c>
      <c r="B15" s="17" t="n">
        <v>103.933440439196</v>
      </c>
      <c r="C15" s="18" t="n">
        <f aca="false">IFERROR((B15/B14-1)*100,"")</f>
        <v>1.29373905595502</v>
      </c>
      <c r="D15" s="18" t="n">
        <f aca="false">IFERROR((B15/B11-1)*100,"")</f>
        <v>2.58192120018999</v>
      </c>
      <c r="E15" s="19"/>
      <c r="F15" s="19"/>
      <c r="G15" s="19"/>
      <c r="I15" s="20" t="n">
        <v>2012</v>
      </c>
      <c r="J15" s="17" t="n">
        <v>115.508757648711</v>
      </c>
      <c r="K15" s="18" t="n">
        <f aca="false">IFERROR((J15/J14-1)*100,"")</f>
        <v>2.09982899258896</v>
      </c>
      <c r="L15" s="19"/>
    </row>
    <row r="16" customFormat="false" ht="15" hidden="false" customHeight="false" outlineLevel="0" collapsed="false">
      <c r="A16" s="12" t="n">
        <v>39083</v>
      </c>
      <c r="B16" s="13" t="n">
        <v>104.32795313221</v>
      </c>
      <c r="C16" s="21" t="n">
        <f aca="false">IFERROR((B16/B15-1)*100,"")</f>
        <v>0.379582058812522</v>
      </c>
      <c r="D16" s="21" t="n">
        <f aca="false">IFERROR((B16/B12-1)*100,"")</f>
        <v>1.9630970823475</v>
      </c>
      <c r="E16" s="14"/>
      <c r="F16" s="14"/>
      <c r="G16" s="14"/>
      <c r="I16" s="15" t="n">
        <v>2013</v>
      </c>
      <c r="J16" s="13" t="n">
        <v>118.160322416339</v>
      </c>
      <c r="K16" s="21" t="n">
        <f aca="false">IFERROR((J16/J15-1)*100,"")</f>
        <v>2.29555301399071</v>
      </c>
      <c r="L16" s="14"/>
    </row>
    <row r="17" customFormat="false" ht="15" hidden="false" customHeight="false" outlineLevel="0" collapsed="false">
      <c r="A17" s="16" t="n">
        <v>39173</v>
      </c>
      <c r="B17" s="17" t="n">
        <v>105.140728297704</v>
      </c>
      <c r="C17" s="18" t="n">
        <f aca="false">IFERROR((B17/B16-1)*100,"")</f>
        <v>0.77905790451378</v>
      </c>
      <c r="D17" s="18" t="n">
        <f aca="false">IFERROR((B17/B13-1)*100,"")</f>
        <v>2.38366075582619</v>
      </c>
      <c r="E17" s="19"/>
      <c r="F17" s="19"/>
      <c r="G17" s="19"/>
      <c r="I17" s="20" t="n">
        <v>2014</v>
      </c>
      <c r="J17" s="17" t="n">
        <v>120.546477043895</v>
      </c>
      <c r="K17" s="18" t="n">
        <f aca="false">IFERROR((J17/J16-1)*100,"")</f>
        <v>2.01942122258998</v>
      </c>
      <c r="L17" s="19"/>
    </row>
    <row r="18" customFormat="false" ht="15" hidden="false" customHeight="false" outlineLevel="0" collapsed="false">
      <c r="A18" s="12" t="n">
        <v>39264</v>
      </c>
      <c r="B18" s="13" t="n">
        <v>105.731203437888</v>
      </c>
      <c r="C18" s="21" t="n">
        <f aca="false">IFERROR((B18/B17-1)*100,"")</f>
        <v>0.561604574882502</v>
      </c>
      <c r="D18" s="21" t="n">
        <f aca="false">IFERROR((B18/B14-1)*100,"")</f>
        <v>3.04584247237691</v>
      </c>
      <c r="E18" s="14"/>
      <c r="F18" s="14"/>
      <c r="G18" s="14"/>
      <c r="I18" s="15" t="n">
        <v>2015</v>
      </c>
      <c r="J18" s="13" t="n">
        <v>122.833732053033</v>
      </c>
      <c r="K18" s="21" t="n">
        <f aca="false">IFERROR((J18/J17-1)*100,"")</f>
        <v>1.89740510484195</v>
      </c>
      <c r="L18" s="14"/>
    </row>
    <row r="19" customFormat="false" ht="15" hidden="false" customHeight="false" outlineLevel="0" collapsed="false">
      <c r="A19" s="16" t="n">
        <v>39356</v>
      </c>
      <c r="B19" s="17" t="n">
        <v>106.10135767373</v>
      </c>
      <c r="C19" s="18" t="n">
        <f aca="false">IFERROR((B19/B18-1)*100,"")</f>
        <v>0.350089873004378</v>
      </c>
      <c r="D19" s="18" t="n">
        <f aca="false">IFERROR((B19/B15-1)*100,"")</f>
        <v>2.08587075090851</v>
      </c>
      <c r="E19" s="19"/>
      <c r="F19" s="19"/>
      <c r="G19" s="19"/>
      <c r="I19" s="20" t="n">
        <v>2016</v>
      </c>
      <c r="J19" s="17" t="n">
        <v>125.499115942018</v>
      </c>
      <c r="K19" s="18" t="n">
        <f aca="false">IFERROR((J19/J18-1)*100,"")</f>
        <v>2.16991199765331</v>
      </c>
      <c r="L19" s="19"/>
    </row>
    <row r="20" customFormat="false" ht="15" hidden="false" customHeight="false" outlineLevel="0" collapsed="false">
      <c r="A20" s="12" t="n">
        <v>39448</v>
      </c>
      <c r="B20" s="13" t="n">
        <v>105.298533451203</v>
      </c>
      <c r="C20" s="21" t="n">
        <f aca="false">IFERROR((B20/B19-1)*100,"")</f>
        <v>-0.756657822415385</v>
      </c>
      <c r="D20" s="21" t="n">
        <f aca="false">IFERROR((B20/B16-1)*100,"")</f>
        <v>0.930316650383367</v>
      </c>
      <c r="E20" s="14"/>
      <c r="F20" s="14"/>
      <c r="G20" s="14"/>
      <c r="I20" s="15" t="n">
        <v>2017</v>
      </c>
      <c r="J20" s="13" t="n">
        <v>128.23956762672</v>
      </c>
      <c r="K20" s="21" t="n">
        <f aca="false">IFERROR((J20/J19-1)*100,"")</f>
        <v>2.18364222260221</v>
      </c>
      <c r="L20" s="14"/>
    </row>
    <row r="21" customFormat="false" ht="15" hidden="false" customHeight="false" outlineLevel="0" collapsed="false">
      <c r="A21" s="16" t="n">
        <v>39539</v>
      </c>
      <c r="B21" s="17" t="n">
        <v>105.925239285152</v>
      </c>
      <c r="C21" s="18" t="n">
        <f aca="false">IFERROR((B21/B20-1)*100,"")</f>
        <v>0.595170524611088</v>
      </c>
      <c r="D21" s="18" t="n">
        <f aca="false">IFERROR((B21/B17-1)*100,"")</f>
        <v>0.746153274901396</v>
      </c>
      <c r="E21" s="19"/>
      <c r="F21" s="19"/>
      <c r="G21" s="19"/>
      <c r="I21" s="20" t="n">
        <v>2018</v>
      </c>
      <c r="J21" s="17" t="n">
        <v>130.406906157266</v>
      </c>
      <c r="K21" s="18" t="n">
        <f aca="false">IFERROR((J21/J20-1)*100,"")</f>
        <v>1.69007005455166</v>
      </c>
      <c r="L21" s="19"/>
    </row>
    <row r="22" customFormat="false" ht="15" hidden="false" customHeight="false" outlineLevel="0" collapsed="false">
      <c r="A22" s="12" t="n">
        <v>39630</v>
      </c>
      <c r="B22" s="13" t="n">
        <v>107.799343555341</v>
      </c>
      <c r="C22" s="21" t="n">
        <f aca="false">IFERROR((B22/B21-1)*100,"")</f>
        <v>1.76927074494813</v>
      </c>
      <c r="D22" s="21" t="n">
        <f aca="false">IFERROR((B22/B18-1)*100,"")</f>
        <v>1.95603573042391</v>
      </c>
      <c r="E22" s="14"/>
      <c r="F22" s="14"/>
      <c r="G22" s="14"/>
      <c r="I22" s="15" t="n">
        <v>2019</v>
      </c>
      <c r="J22" s="13" t="n">
        <v>133.440487869896</v>
      </c>
      <c r="K22" s="21" t="n">
        <f aca="false">IFERROR((J22/J21-1)*100,"")</f>
        <v>2.32624314311383</v>
      </c>
      <c r="L22" s="14"/>
    </row>
    <row r="23" customFormat="false" ht="15" hidden="false" customHeight="false" outlineLevel="0" collapsed="false">
      <c r="A23" s="16" t="n">
        <v>39722</v>
      </c>
      <c r="B23" s="17" t="n">
        <v>107.221219478094</v>
      </c>
      <c r="C23" s="18" t="n">
        <f aca="false">IFERROR((B23/B22-1)*100,"")</f>
        <v>-0.536296472853293</v>
      </c>
      <c r="D23" s="18" t="n">
        <f aca="false">IFERROR((B23/B19-1)*100,"")</f>
        <v>1.05546416079609</v>
      </c>
      <c r="E23" s="19"/>
      <c r="F23" s="19"/>
      <c r="G23" s="19"/>
      <c r="I23" s="20" t="n">
        <v>2020</v>
      </c>
      <c r="J23" s="17" t="n">
        <v>135.720855794305</v>
      </c>
      <c r="K23" s="18" t="n">
        <f aca="false">IFERROR((J23/J22-1)*100,"")</f>
        <v>1.70890256833658</v>
      </c>
      <c r="L23" s="19"/>
    </row>
    <row r="24" customFormat="false" ht="15" hidden="false" customHeight="false" outlineLevel="0" collapsed="false">
      <c r="A24" s="12" t="n">
        <v>39814</v>
      </c>
      <c r="B24" s="13" t="n">
        <v>108.853449262505</v>
      </c>
      <c r="C24" s="21" t="n">
        <f aca="false">IFERROR((B24/B23-1)*100,"")</f>
        <v>1.52230108215115</v>
      </c>
      <c r="D24" s="21" t="n">
        <f aca="false">IFERROR((B24/B20-1)*100,"")</f>
        <v>3.37603544397853</v>
      </c>
      <c r="E24" s="14"/>
      <c r="F24" s="14"/>
      <c r="G24" s="14"/>
      <c r="I24" s="15" t="n">
        <v>2021</v>
      </c>
      <c r="J24" s="13" t="n">
        <v>138.883511423146</v>
      </c>
      <c r="K24" s="21" t="n">
        <f aca="false">IFERROR((J24/J23-1)*100,"")</f>
        <v>2.33026502104718</v>
      </c>
      <c r="L24" s="14"/>
    </row>
    <row r="25" customFormat="false" ht="15" hidden="false" customHeight="false" outlineLevel="0" collapsed="false">
      <c r="A25" s="16" t="n">
        <v>39904</v>
      </c>
      <c r="B25" s="17" t="n">
        <v>108.756951963805</v>
      </c>
      <c r="C25" s="18" t="n">
        <f aca="false">IFERROR((B25/B24-1)*100,"")</f>
        <v>-0.0886488203675429</v>
      </c>
      <c r="D25" s="18" t="n">
        <f aca="false">IFERROR((B25/B21-1)*100,"")</f>
        <v>2.67331251528191</v>
      </c>
      <c r="E25" s="19"/>
      <c r="F25" s="19"/>
      <c r="G25" s="19"/>
      <c r="I25" s="20" t="n">
        <v>2022</v>
      </c>
      <c r="J25" s="17" t="n">
        <v>140.886829371905</v>
      </c>
      <c r="K25" s="18" t="n">
        <f aca="false">IFERROR((J25/J24-1)*100,"")</f>
        <v>1.44244477132738</v>
      </c>
      <c r="L25" s="19"/>
    </row>
    <row r="26" customFormat="false" ht="15" hidden="false" customHeight="false" outlineLevel="0" collapsed="false">
      <c r="A26" s="12" t="n">
        <v>39995</v>
      </c>
      <c r="B26" s="13" t="n">
        <v>109.196197685666</v>
      </c>
      <c r="C26" s="21" t="n">
        <f aca="false">IFERROR((B26/B25-1)*100,"")</f>
        <v>0.403878293690951</v>
      </c>
      <c r="D26" s="21" t="n">
        <f aca="false">IFERROR((B26/B22-1)*100,"")</f>
        <v>1.2957909429276</v>
      </c>
      <c r="E26" s="14"/>
      <c r="F26" s="14"/>
      <c r="G26" s="14"/>
      <c r="I26" s="15" t="n">
        <v>2023</v>
      </c>
      <c r="J26" s="13" t="n">
        <v>144.69195832353</v>
      </c>
      <c r="K26" s="21" t="n">
        <f aca="false">IFERROR((J26/J25-1)*100,"")</f>
        <v>2.7008407873103</v>
      </c>
      <c r="L26" s="14"/>
    </row>
    <row r="27" customFormat="false" ht="15" hidden="false" customHeight="false" outlineLevel="0" collapsed="false">
      <c r="A27" s="16" t="n">
        <v>40087</v>
      </c>
      <c r="B27" s="17" t="n">
        <v>110.681817156044</v>
      </c>
      <c r="C27" s="18" t="n">
        <f aca="false">IFERROR((B27/B26-1)*100,"")</f>
        <v>1.36050476286183</v>
      </c>
      <c r="D27" s="18" t="n">
        <f aca="false">IFERROR((B27/B23-1)*100,"")</f>
        <v>3.22753060895407</v>
      </c>
      <c r="E27" s="19"/>
      <c r="F27" s="19"/>
      <c r="G27" s="19"/>
      <c r="I27" s="20" t="n">
        <v>2024</v>
      </c>
      <c r="J27" s="17" t="n">
        <v>147.247883375484</v>
      </c>
      <c r="K27" s="18" t="n">
        <f aca="false">IFERROR((J27/J26-1)*100,"")</f>
        <v>1.76645964403888</v>
      </c>
      <c r="L27" s="19"/>
    </row>
    <row r="28" customFormat="false" ht="15" hidden="false" customHeight="false" outlineLevel="0" collapsed="false">
      <c r="A28" s="12" t="n">
        <v>40179</v>
      </c>
      <c r="B28" s="13" t="n">
        <v>109.520905303081</v>
      </c>
      <c r="C28" s="21" t="n">
        <f aca="false">IFERROR((B28/B27-1)*100,"")</f>
        <v>-1.04887314176104</v>
      </c>
      <c r="D28" s="21" t="n">
        <f aca="false">IFERROR((B28/B24-1)*100,"")</f>
        <v>0.613169398946845</v>
      </c>
      <c r="E28" s="14"/>
      <c r="F28" s="14"/>
      <c r="G28" s="14"/>
      <c r="I28" s="15" t="n">
        <v>2025</v>
      </c>
      <c r="J28" s="13" t="n">
        <v>150.003285372193</v>
      </c>
      <c r="K28" s="21" t="n">
        <f aca="false">IFERROR((J28/J27-1)*100,"")</f>
        <v>1.87126764306844</v>
      </c>
      <c r="L28" s="14"/>
    </row>
    <row r="29" customFormat="false" ht="15" hidden="false" customHeight="false" outlineLevel="0" collapsed="false">
      <c r="A29" s="16" t="n">
        <v>40269</v>
      </c>
      <c r="B29" s="17" t="n">
        <v>111.00943056568</v>
      </c>
      <c r="C29" s="18" t="n">
        <f aca="false">IFERROR((B29/B28-1)*100,"")</f>
        <v>1.359124322868</v>
      </c>
      <c r="D29" s="18" t="n">
        <f aca="false">IFERROR((B29/B25-1)*100,"")</f>
        <v>2.07111229324031</v>
      </c>
      <c r="E29" s="19"/>
      <c r="F29" s="19"/>
      <c r="G29" s="19"/>
      <c r="I29" s="20" t="n">
        <v>2026</v>
      </c>
      <c r="J29" s="19"/>
      <c r="K29" s="18" t="n">
        <f aca="false">IFERROR((J29/J28-1)*100,"")</f>
        <v>-100</v>
      </c>
      <c r="L29" s="17" t="n">
        <v>151.747518225107</v>
      </c>
    </row>
    <row r="30" customFormat="false" ht="15" hidden="false" customHeight="false" outlineLevel="0" collapsed="false">
      <c r="A30" s="12" t="n">
        <v>40360</v>
      </c>
      <c r="B30" s="13" t="n">
        <v>111.591963248587</v>
      </c>
      <c r="C30" s="21" t="n">
        <f aca="false">IFERROR((B30/B29-1)*100,"")</f>
        <v>0.524759635229755</v>
      </c>
      <c r="D30" s="21" t="n">
        <f aca="false">IFERROR((B30/B26-1)*100,"")</f>
        <v>2.19400090268498</v>
      </c>
      <c r="E30" s="14"/>
      <c r="F30" s="14"/>
      <c r="G30" s="14"/>
      <c r="I30" s="15" t="n">
        <v>2027</v>
      </c>
      <c r="J30" s="14"/>
      <c r="K30" s="21" t="str">
        <f aca="false">IFERROR((J30/J29-1)*100,"")</f>
        <v/>
      </c>
      <c r="L30" s="13" t="n">
        <v>153.201133428664</v>
      </c>
    </row>
    <row r="31" customFormat="false" ht="15" hidden="false" customHeight="false" outlineLevel="0" collapsed="false">
      <c r="A31" s="16" t="n">
        <v>40452</v>
      </c>
      <c r="B31" s="17" t="n">
        <v>111.431450766545</v>
      </c>
      <c r="C31" s="18" t="n">
        <f aca="false">IFERROR((B31/B30-1)*100,"")</f>
        <v>-0.143838747316183</v>
      </c>
      <c r="D31" s="18" t="n">
        <f aca="false">IFERROR((B31/B27-1)*100,"")</f>
        <v>0.677287046565667</v>
      </c>
      <c r="E31" s="19"/>
      <c r="F31" s="19"/>
      <c r="G31" s="19"/>
    </row>
    <row r="32" customFormat="false" ht="15" hidden="false" customHeight="false" outlineLevel="0" collapsed="false">
      <c r="A32" s="12" t="n">
        <v>40544</v>
      </c>
      <c r="B32" s="13" t="n">
        <v>112.107791708991</v>
      </c>
      <c r="C32" s="21" t="n">
        <f aca="false">IFERROR((B32/B31-1)*100,"")</f>
        <v>0.606956956759341</v>
      </c>
      <c r="D32" s="21" t="n">
        <f aca="false">IFERROR((B32/B28-1)*100,"")</f>
        <v>2.36200239465774</v>
      </c>
      <c r="E32" s="14"/>
      <c r="F32" s="14"/>
      <c r="G32" s="14"/>
    </row>
    <row r="33" customFormat="false" ht="15" hidden="false" customHeight="false" outlineLevel="0" collapsed="false">
      <c r="A33" s="16" t="n">
        <v>40634</v>
      </c>
      <c r="B33" s="17" t="n">
        <v>113.085099107219</v>
      </c>
      <c r="C33" s="18" t="n">
        <f aca="false">IFERROR((B33/B32-1)*100,"")</f>
        <v>0.871756889802167</v>
      </c>
      <c r="D33" s="18" t="n">
        <f aca="false">IFERROR((B33/B29-1)*100,"")</f>
        <v>1.86981279965246</v>
      </c>
      <c r="E33" s="19"/>
      <c r="F33" s="19"/>
      <c r="G33" s="19"/>
    </row>
    <row r="34" customFormat="false" ht="15" hidden="false" customHeight="false" outlineLevel="0" collapsed="false">
      <c r="A34" s="12" t="n">
        <v>40725</v>
      </c>
      <c r="B34" s="13" t="n">
        <v>113.63618549087</v>
      </c>
      <c r="C34" s="21" t="n">
        <f aca="false">IFERROR((B34/B33-1)*100,"")</f>
        <v>0.487320069577613</v>
      </c>
      <c r="D34" s="21" t="n">
        <f aca="false">IFERROR((B34/B30-1)*100,"")</f>
        <v>1.83187228073827</v>
      </c>
      <c r="E34" s="14"/>
      <c r="F34" s="14"/>
      <c r="G34" s="14"/>
    </row>
    <row r="35" customFormat="false" ht="15" hidden="false" customHeight="false" outlineLevel="0" collapsed="false">
      <c r="A35" s="16" t="n">
        <v>40817</v>
      </c>
      <c r="B35" s="17" t="n">
        <v>113.703543143617</v>
      </c>
      <c r="C35" s="18" t="n">
        <f aca="false">IFERROR((B35/B34-1)*100,"")</f>
        <v>0.0592748273411603</v>
      </c>
      <c r="D35" s="18" t="n">
        <f aca="false">IFERROR((B35/B31-1)*100,"")</f>
        <v>2.03900457316288</v>
      </c>
      <c r="E35" s="19"/>
      <c r="F35" s="19"/>
      <c r="G35" s="19"/>
    </row>
    <row r="36" customFormat="false" ht="15" hidden="false" customHeight="false" outlineLevel="0" collapsed="false">
      <c r="A36" s="12" t="n">
        <v>40909</v>
      </c>
      <c r="B36" s="13" t="n">
        <v>114.727403214553</v>
      </c>
      <c r="C36" s="21" t="n">
        <f aca="false">IFERROR((B36/B35-1)*100,"")</f>
        <v>0.900464526107836</v>
      </c>
      <c r="D36" s="21" t="n">
        <f aca="false">IFERROR((B36/B32-1)*100,"")</f>
        <v>2.33668995314988</v>
      </c>
      <c r="E36" s="14"/>
      <c r="F36" s="14"/>
      <c r="G36" s="14"/>
    </row>
    <row r="37" customFormat="false" ht="15" hidden="false" customHeight="false" outlineLevel="0" collapsed="false">
      <c r="A37" s="16" t="n">
        <v>41000</v>
      </c>
      <c r="B37" s="17" t="n">
        <v>114.449470477849</v>
      </c>
      <c r="C37" s="18" t="n">
        <f aca="false">IFERROR((B37/B36-1)*100,"")</f>
        <v>-0.242254883241733</v>
      </c>
      <c r="D37" s="18" t="n">
        <f aca="false">IFERROR((B37/B33-1)*100,"")</f>
        <v>1.20649969041167</v>
      </c>
      <c r="E37" s="19"/>
      <c r="F37" s="19"/>
      <c r="G37" s="19"/>
    </row>
    <row r="38" customFormat="false" ht="15" hidden="false" customHeight="false" outlineLevel="0" collapsed="false">
      <c r="A38" s="12" t="n">
        <v>41091</v>
      </c>
      <c r="B38" s="13" t="n">
        <v>115.975924780004</v>
      </c>
      <c r="C38" s="21" t="n">
        <f aca="false">IFERROR((B38/B37-1)*100,"")</f>
        <v>1.33373644786836</v>
      </c>
      <c r="D38" s="21" t="n">
        <f aca="false">IFERROR((B38/B34-1)*100,"")</f>
        <v>2.05897380225113</v>
      </c>
      <c r="E38" s="14"/>
      <c r="F38" s="14"/>
      <c r="G38" s="14"/>
    </row>
    <row r="39" customFormat="false" ht="15" hidden="false" customHeight="false" outlineLevel="0" collapsed="false">
      <c r="A39" s="16" t="n">
        <v>41183</v>
      </c>
      <c r="B39" s="17" t="n">
        <v>116.882232122438</v>
      </c>
      <c r="C39" s="18" t="n">
        <f aca="false">IFERROR((B39/B38-1)*100,"")</f>
        <v>0.78146162158419</v>
      </c>
      <c r="D39" s="18" t="n">
        <f aca="false">IFERROR((B39/B35-1)*100,"")</f>
        <v>2.79559360327573</v>
      </c>
      <c r="E39" s="19"/>
      <c r="F39" s="19"/>
      <c r="G39" s="19"/>
    </row>
    <row r="40" customFormat="false" ht="15" hidden="false" customHeight="false" outlineLevel="0" collapsed="false">
      <c r="A40" s="12" t="n">
        <v>41275</v>
      </c>
      <c r="B40" s="13" t="n">
        <v>117.430503756105</v>
      </c>
      <c r="C40" s="21" t="n">
        <f aca="false">IFERROR((B40/B39-1)*100,"")</f>
        <v>0.469080392897925</v>
      </c>
      <c r="D40" s="21" t="n">
        <f aca="false">IFERROR((B40/B36-1)*100,"")</f>
        <v>2.35610714250849</v>
      </c>
      <c r="E40" s="14"/>
      <c r="F40" s="14"/>
      <c r="G40" s="14"/>
    </row>
    <row r="41" customFormat="false" ht="15" hidden="false" customHeight="false" outlineLevel="0" collapsed="false">
      <c r="A41" s="16" t="n">
        <v>41365</v>
      </c>
      <c r="B41" s="17" t="n">
        <v>118.241799762194</v>
      </c>
      <c r="C41" s="18" t="n">
        <f aca="false">IFERROR((B41/B40-1)*100,"")</f>
        <v>0.69087330815969</v>
      </c>
      <c r="D41" s="18" t="n">
        <f aca="false">IFERROR((B41/B37-1)*100,"")</f>
        <v>3.31354026236292</v>
      </c>
      <c r="E41" s="19"/>
      <c r="F41" s="19"/>
      <c r="G41" s="19"/>
    </row>
    <row r="42" customFormat="false" ht="15" hidden="false" customHeight="false" outlineLevel="0" collapsed="false">
      <c r="A42" s="12" t="n">
        <v>41456</v>
      </c>
      <c r="B42" s="13" t="n">
        <v>117.980963540891</v>
      </c>
      <c r="C42" s="21" t="n">
        <f aca="false">IFERROR((B42/B41-1)*100,"")</f>
        <v>-0.220595611557917</v>
      </c>
      <c r="D42" s="21" t="n">
        <f aca="false">IFERROR((B42/B38-1)*100,"")</f>
        <v>1.7288405026217</v>
      </c>
      <c r="E42" s="14"/>
      <c r="F42" s="14"/>
      <c r="G42" s="14"/>
    </row>
    <row r="43" customFormat="false" ht="15" hidden="false" customHeight="false" outlineLevel="0" collapsed="false">
      <c r="A43" s="16" t="n">
        <v>41548</v>
      </c>
      <c r="B43" s="17" t="n">
        <v>118.988022606166</v>
      </c>
      <c r="C43" s="18" t="n">
        <f aca="false">IFERROR((B43/B42-1)*100,"")</f>
        <v>0.85357759002016</v>
      </c>
      <c r="D43" s="18" t="n">
        <f aca="false">IFERROR((B43/B39-1)*100,"")</f>
        <v>1.80163438487615</v>
      </c>
      <c r="E43" s="19"/>
      <c r="F43" s="19"/>
      <c r="G43" s="19"/>
    </row>
    <row r="44" customFormat="false" ht="15" hidden="false" customHeight="false" outlineLevel="0" collapsed="false">
      <c r="A44" s="12" t="n">
        <v>41640</v>
      </c>
      <c r="B44" s="13" t="n">
        <v>119.404613689777</v>
      </c>
      <c r="C44" s="21" t="n">
        <f aca="false">IFERROR((B44/B43-1)*100,"")</f>
        <v>0.350111779728923</v>
      </c>
      <c r="D44" s="21" t="n">
        <f aca="false">IFERROR((B44/B40-1)*100,"")</f>
        <v>1.68108785241319</v>
      </c>
      <c r="E44" s="14"/>
      <c r="F44" s="14"/>
      <c r="G44" s="14"/>
    </row>
    <row r="45" customFormat="false" ht="15" hidden="false" customHeight="false" outlineLevel="0" collapsed="false">
      <c r="A45" s="16" t="n">
        <v>41730</v>
      </c>
      <c r="B45" s="17" t="n">
        <v>120.35812026765</v>
      </c>
      <c r="C45" s="18" t="n">
        <f aca="false">IFERROR((B45/B44-1)*100,"")</f>
        <v>0.798550867013304</v>
      </c>
      <c r="D45" s="18" t="n">
        <f aca="false">IFERROR((B45/B41-1)*100,"")</f>
        <v>1.78982433429888</v>
      </c>
      <c r="E45" s="19"/>
      <c r="F45" s="19"/>
      <c r="G45" s="19"/>
    </row>
    <row r="46" customFormat="false" ht="15" hidden="false" customHeight="false" outlineLevel="0" collapsed="false">
      <c r="A46" s="12" t="n">
        <v>41821</v>
      </c>
      <c r="B46" s="13" t="n">
        <v>120.335570230608</v>
      </c>
      <c r="C46" s="21" t="n">
        <f aca="false">IFERROR((B46/B45-1)*100,"")</f>
        <v>-0.018735783669821</v>
      </c>
      <c r="D46" s="21" t="n">
        <f aca="false">IFERROR((B46/B42-1)*100,"")</f>
        <v>1.99575136449934</v>
      </c>
      <c r="E46" s="14"/>
      <c r="F46" s="14"/>
      <c r="G46" s="14"/>
    </row>
    <row r="47" customFormat="false" ht="15" hidden="false" customHeight="false" outlineLevel="0" collapsed="false">
      <c r="A47" s="16" t="n">
        <v>41913</v>
      </c>
      <c r="B47" s="17" t="n">
        <v>122.087603987546</v>
      </c>
      <c r="C47" s="18" t="n">
        <f aca="false">IFERROR((B47/B46-1)*100,"")</f>
        <v>1.45595666649583</v>
      </c>
      <c r="D47" s="18" t="n">
        <f aca="false">IFERROR((B47/B43-1)*100,"")</f>
        <v>2.60495242587515</v>
      </c>
      <c r="E47" s="19"/>
      <c r="F47" s="19"/>
      <c r="G47" s="19"/>
    </row>
    <row r="48" customFormat="false" ht="15" hidden="false" customHeight="false" outlineLevel="0" collapsed="false">
      <c r="A48" s="12" t="n">
        <v>42005</v>
      </c>
      <c r="B48" s="13" t="n">
        <v>121.833022522244</v>
      </c>
      <c r="C48" s="21" t="n">
        <f aca="false">IFERROR((B48/B47-1)*100,"")</f>
        <v>-0.208523598618549</v>
      </c>
      <c r="D48" s="21" t="n">
        <f aca="false">IFERROR((B48/B44-1)*100,"")</f>
        <v>2.03376465734961</v>
      </c>
      <c r="E48" s="14"/>
      <c r="F48" s="14"/>
      <c r="G48" s="14"/>
    </row>
    <row r="49" customFormat="false" ht="15" hidden="false" customHeight="false" outlineLevel="0" collapsed="false">
      <c r="A49" s="16" t="n">
        <v>42095</v>
      </c>
      <c r="B49" s="17" t="n">
        <v>123.341373954858</v>
      </c>
      <c r="C49" s="18" t="n">
        <f aca="false">IFERROR((B49/B48-1)*100,"")</f>
        <v>1.23804810993522</v>
      </c>
      <c r="D49" s="18" t="n">
        <f aca="false">IFERROR((B49/B45-1)*100,"")</f>
        <v>2.47864762308798</v>
      </c>
      <c r="E49" s="19"/>
      <c r="F49" s="19"/>
      <c r="G49" s="19"/>
    </row>
    <row r="50" customFormat="false" ht="15" hidden="false" customHeight="false" outlineLevel="0" collapsed="false">
      <c r="A50" s="12" t="n">
        <v>42186</v>
      </c>
      <c r="B50" s="13" t="n">
        <v>123.028659405367</v>
      </c>
      <c r="C50" s="21" t="n">
        <f aca="false">IFERROR((B50/B49-1)*100,"")</f>
        <v>-0.253535808353367</v>
      </c>
      <c r="D50" s="21" t="n">
        <f aca="false">IFERROR((B50/B46-1)*100,"")</f>
        <v>2.23798264270352</v>
      </c>
      <c r="E50" s="14"/>
      <c r="F50" s="14"/>
      <c r="G50" s="14"/>
    </row>
    <row r="51" customFormat="false" ht="15" hidden="false" customHeight="false" outlineLevel="0" collapsed="false">
      <c r="A51" s="16" t="n">
        <v>42278</v>
      </c>
      <c r="B51" s="17" t="n">
        <v>123.131872329664</v>
      </c>
      <c r="C51" s="18" t="n">
        <f aca="false">IFERROR((B51/B50-1)*100,"")</f>
        <v>0.0838933991442747</v>
      </c>
      <c r="D51" s="18" t="n">
        <f aca="false">IFERROR((B51/B47-1)*100,"")</f>
        <v>0.855343464865044</v>
      </c>
      <c r="E51" s="19"/>
      <c r="F51" s="19"/>
      <c r="G51" s="19"/>
    </row>
    <row r="52" customFormat="false" ht="15" hidden="false" customHeight="false" outlineLevel="0" collapsed="false">
      <c r="A52" s="12" t="n">
        <v>42370</v>
      </c>
      <c r="B52" s="13" t="n">
        <v>124.222696269834</v>
      </c>
      <c r="C52" s="21" t="n">
        <f aca="false">IFERROR((B52/B51-1)*100,"")</f>
        <v>0.885898930578355</v>
      </c>
      <c r="D52" s="21" t="n">
        <f aca="false">IFERROR((B52/B48-1)*100,"")</f>
        <v>1.96143352443965</v>
      </c>
      <c r="E52" s="14"/>
      <c r="F52" s="14"/>
      <c r="G52" s="14"/>
    </row>
    <row r="53" customFormat="false" ht="15" hidden="false" customHeight="false" outlineLevel="0" collapsed="false">
      <c r="A53" s="16" t="n">
        <v>42461</v>
      </c>
      <c r="B53" s="17" t="n">
        <v>125.593681860352</v>
      </c>
      <c r="C53" s="18" t="n">
        <f aca="false">IFERROR((B53/B52-1)*100,"")</f>
        <v>1.10365145153521</v>
      </c>
      <c r="D53" s="18" t="n">
        <f aca="false">IFERROR((B53/B49-1)*100,"")</f>
        <v>1.82607654939722</v>
      </c>
      <c r="E53" s="19"/>
      <c r="F53" s="19"/>
      <c r="G53" s="19"/>
    </row>
    <row r="54" customFormat="false" ht="15" hidden="false" customHeight="false" outlineLevel="0" collapsed="false">
      <c r="A54" s="12" t="n">
        <v>42552</v>
      </c>
      <c r="B54" s="13" t="n">
        <v>126.113973928523</v>
      </c>
      <c r="C54" s="21" t="n">
        <f aca="false">IFERROR((B54/B53-1)*100,"")</f>
        <v>0.414266116307926</v>
      </c>
      <c r="D54" s="21" t="n">
        <f aca="false">IFERROR((B54/B50-1)*100,"")</f>
        <v>2.50780146517713</v>
      </c>
      <c r="E54" s="14"/>
      <c r="F54" s="14"/>
      <c r="G54" s="14"/>
    </row>
    <row r="55" customFormat="false" ht="15" hidden="false" customHeight="false" outlineLevel="0" collapsed="false">
      <c r="A55" s="16" t="n">
        <v>42644</v>
      </c>
      <c r="B55" s="17" t="n">
        <v>126.066111709362</v>
      </c>
      <c r="C55" s="18" t="n">
        <f aca="false">IFERROR((B55/B54-1)*100,"")</f>
        <v>-0.0379515589513768</v>
      </c>
      <c r="D55" s="18" t="n">
        <f aca="false">IFERROR((B55/B51-1)*100,"")</f>
        <v>2.3830055729531</v>
      </c>
      <c r="E55" s="19"/>
      <c r="F55" s="19"/>
      <c r="G55" s="19"/>
    </row>
    <row r="56" customFormat="false" ht="15" hidden="false" customHeight="false" outlineLevel="0" collapsed="false">
      <c r="A56" s="12" t="n">
        <v>42736</v>
      </c>
      <c r="B56" s="13" t="n">
        <v>127.556658335232</v>
      </c>
      <c r="C56" s="21" t="n">
        <f aca="false">IFERROR((B56/B55-1)*100,"")</f>
        <v>1.18235313650878</v>
      </c>
      <c r="D56" s="21" t="n">
        <f aca="false">IFERROR((B56/B52-1)*100,"")</f>
        <v>2.68385904147188</v>
      </c>
      <c r="E56" s="14"/>
      <c r="F56" s="14"/>
      <c r="G56" s="14"/>
    </row>
    <row r="57" customFormat="false" ht="15" hidden="false" customHeight="false" outlineLevel="0" collapsed="false">
      <c r="A57" s="16" t="n">
        <v>42826</v>
      </c>
      <c r="B57" s="17" t="n">
        <v>127.69760362903</v>
      </c>
      <c r="C57" s="18" t="n">
        <f aca="false">IFERROR((B57/B56-1)*100,"")</f>
        <v>0.110496226255541</v>
      </c>
      <c r="D57" s="18" t="n">
        <f aca="false">IFERROR((B57/B53-1)*100,"")</f>
        <v>1.67518121733015</v>
      </c>
      <c r="E57" s="19"/>
      <c r="F57" s="19"/>
      <c r="G57" s="19"/>
    </row>
    <row r="58" customFormat="false" ht="15" hidden="false" customHeight="false" outlineLevel="0" collapsed="false">
      <c r="A58" s="12" t="n">
        <v>42917</v>
      </c>
      <c r="B58" s="13" t="n">
        <v>128.563106995512</v>
      </c>
      <c r="C58" s="21" t="n">
        <f aca="false">IFERROR((B58/B57-1)*100,"")</f>
        <v>0.677775731012575</v>
      </c>
      <c r="D58" s="21" t="n">
        <f aca="false">IFERROR((B58/B54-1)*100,"")</f>
        <v>1.94199975680514</v>
      </c>
      <c r="E58" s="14"/>
      <c r="F58" s="14"/>
      <c r="G58" s="14"/>
    </row>
    <row r="59" customFormat="false" ht="15" hidden="false" customHeight="false" outlineLevel="0" collapsed="false">
      <c r="A59" s="16" t="n">
        <v>43009</v>
      </c>
      <c r="B59" s="17" t="n">
        <v>129.140901547106</v>
      </c>
      <c r="C59" s="18" t="n">
        <f aca="false">IFERROR((B59/B58-1)*100,"")</f>
        <v>0.449424850640834</v>
      </c>
      <c r="D59" s="18" t="n">
        <f aca="false">IFERROR((B59/B55-1)*100,"")</f>
        <v>2.43902964567764</v>
      </c>
      <c r="E59" s="19"/>
      <c r="F59" s="19"/>
      <c r="G59" s="19"/>
    </row>
    <row r="60" customFormat="false" ht="15" hidden="false" customHeight="false" outlineLevel="0" collapsed="false">
      <c r="A60" s="12" t="n">
        <v>43101</v>
      </c>
      <c r="B60" s="13" t="n">
        <v>130.285487520447</v>
      </c>
      <c r="C60" s="21" t="n">
        <f aca="false">IFERROR((B60/B59-1)*100,"")</f>
        <v>0.886307869643699</v>
      </c>
      <c r="D60" s="21" t="n">
        <f aca="false">IFERROR((B60/B56-1)*100,"")</f>
        <v>2.13930752093181</v>
      </c>
      <c r="E60" s="14"/>
      <c r="F60" s="14"/>
      <c r="G60" s="14"/>
    </row>
    <row r="61" customFormat="false" ht="15" hidden="false" customHeight="false" outlineLevel="0" collapsed="false">
      <c r="A61" s="16" t="n">
        <v>43191</v>
      </c>
      <c r="B61" s="17" t="n">
        <v>129.968634535628</v>
      </c>
      <c r="C61" s="18" t="n">
        <f aca="false">IFERROR((B61/B60-1)*100,"")</f>
        <v>-0.243198986202575</v>
      </c>
      <c r="D61" s="18" t="n">
        <f aca="false">IFERROR((B61/B57-1)*100,"")</f>
        <v>1.77844442030055</v>
      </c>
      <c r="E61" s="19"/>
      <c r="F61" s="19"/>
      <c r="G61" s="19"/>
    </row>
    <row r="62" customFormat="false" ht="15" hidden="false" customHeight="false" outlineLevel="0" collapsed="false">
      <c r="A62" s="12" t="n">
        <v>43282</v>
      </c>
      <c r="B62" s="13" t="n">
        <v>130.622968998322</v>
      </c>
      <c r="C62" s="21" t="n">
        <f aca="false">IFERROR((B62/B61-1)*100,"")</f>
        <v>0.503455672233621</v>
      </c>
      <c r="D62" s="21" t="n">
        <f aca="false">IFERROR((B62/B58-1)*100,"")</f>
        <v>1.60221859205838</v>
      </c>
      <c r="E62" s="14"/>
      <c r="F62" s="14"/>
      <c r="G62" s="14"/>
    </row>
    <row r="63" customFormat="false" ht="15" hidden="false" customHeight="false" outlineLevel="0" collapsed="false">
      <c r="A63" s="16" t="n">
        <v>43374</v>
      </c>
      <c r="B63" s="17" t="n">
        <v>130.750533574666</v>
      </c>
      <c r="C63" s="18" t="n">
        <f aca="false">IFERROR((B63/B62-1)*100,"")</f>
        <v>0.0976586103669241</v>
      </c>
      <c r="D63" s="18" t="n">
        <f aca="false">IFERROR((B63/B59-1)*100,"")</f>
        <v>1.24641535584515</v>
      </c>
      <c r="E63" s="19"/>
      <c r="F63" s="19"/>
      <c r="G63" s="19"/>
    </row>
    <row r="64" customFormat="false" ht="15" hidden="false" customHeight="false" outlineLevel="0" collapsed="false">
      <c r="A64" s="12" t="n">
        <v>43466</v>
      </c>
      <c r="B64" s="13" t="n">
        <v>132.353294855605</v>
      </c>
      <c r="C64" s="21" t="n">
        <f aca="false">IFERROR((B64/B63-1)*100,"")</f>
        <v>1.22581624496678</v>
      </c>
      <c r="D64" s="21" t="n">
        <f aca="false">IFERROR((B64/B60-1)*100,"")</f>
        <v>1.58713558548389</v>
      </c>
      <c r="E64" s="14"/>
      <c r="F64" s="14"/>
      <c r="G64" s="14"/>
    </row>
    <row r="65" customFormat="false" ht="15" hidden="false" customHeight="false" outlineLevel="0" collapsed="false">
      <c r="A65" s="16" t="n">
        <v>43556</v>
      </c>
      <c r="B65" s="17" t="n">
        <v>133.828964999302</v>
      </c>
      <c r="C65" s="18" t="n">
        <f aca="false">IFERROR((B65/B64-1)*100,"")</f>
        <v>1.1149477958273</v>
      </c>
      <c r="D65" s="18" t="n">
        <f aca="false">IFERROR((B65/B61-1)*100,"")</f>
        <v>2.97020160092254</v>
      </c>
      <c r="E65" s="19"/>
      <c r="F65" s="19"/>
      <c r="G65" s="19"/>
    </row>
    <row r="66" customFormat="false" ht="15" hidden="false" customHeight="false" outlineLevel="0" collapsed="false">
      <c r="A66" s="12" t="n">
        <v>43647</v>
      </c>
      <c r="B66" s="13" t="n">
        <v>133.746869461222</v>
      </c>
      <c r="C66" s="21" t="n">
        <f aca="false">IFERROR((B66/B65-1)*100,"")</f>
        <v>-0.0613436247384303</v>
      </c>
      <c r="D66" s="21" t="n">
        <f aca="false">IFERROR((B66/B62-1)*100,"")</f>
        <v>2.39153993118915</v>
      </c>
      <c r="E66" s="14"/>
      <c r="F66" s="14"/>
      <c r="G66" s="14"/>
    </row>
    <row r="67" customFormat="false" ht="15" hidden="false" customHeight="false" outlineLevel="0" collapsed="false">
      <c r="A67" s="16" t="n">
        <v>43739</v>
      </c>
      <c r="B67" s="17" t="n">
        <v>133.832822163455</v>
      </c>
      <c r="C67" s="18" t="n">
        <f aca="false">IFERROR((B67/B66-1)*100,"")</f>
        <v>0.0642652067889715</v>
      </c>
      <c r="D67" s="18" t="n">
        <f aca="false">IFERROR((B67/B63-1)*100,"")</f>
        <v>2.35738126990415</v>
      </c>
      <c r="E67" s="19"/>
      <c r="F67" s="19"/>
      <c r="G67" s="19"/>
    </row>
    <row r="68" customFormat="false" ht="15" hidden="false" customHeight="false" outlineLevel="0" collapsed="false">
      <c r="A68" s="12" t="n">
        <v>43831</v>
      </c>
      <c r="B68" s="13" t="n">
        <v>133.70510817694</v>
      </c>
      <c r="C68" s="21" t="n">
        <f aca="false">IFERROR((B68/B67-1)*100,"")</f>
        <v>-0.0954280007325226</v>
      </c>
      <c r="D68" s="21" t="n">
        <f aca="false">IFERROR((B68/B64-1)*100,"")</f>
        <v>1.02136733566793</v>
      </c>
      <c r="E68" s="14"/>
      <c r="F68" s="14"/>
      <c r="G68" s="14"/>
    </row>
    <row r="69" customFormat="false" ht="15" hidden="false" customHeight="false" outlineLevel="0" collapsed="false">
      <c r="A69" s="16" t="n">
        <v>43922</v>
      </c>
      <c r="B69" s="17" t="n">
        <v>135.947191907077</v>
      </c>
      <c r="C69" s="18" t="n">
        <f aca="false">IFERROR((B69/B68-1)*100,"")</f>
        <v>1.6768871142673</v>
      </c>
      <c r="D69" s="18" t="n">
        <f aca="false">IFERROR((B69/B65-1)*100,"")</f>
        <v>1.58278658718263</v>
      </c>
      <c r="E69" s="19"/>
      <c r="F69" s="19"/>
      <c r="G69" s="19"/>
    </row>
    <row r="70" customFormat="false" ht="15" hidden="false" customHeight="false" outlineLevel="0" collapsed="false">
      <c r="A70" s="12" t="n">
        <v>44013</v>
      </c>
      <c r="B70" s="13" t="n">
        <v>136.48238993438</v>
      </c>
      <c r="C70" s="21" t="n">
        <f aca="false">IFERROR((B70/B69-1)*100,"")</f>
        <v>0.393680825470333</v>
      </c>
      <c r="D70" s="21" t="n">
        <f aca="false">IFERROR((B70/B66-1)*100,"")</f>
        <v>2.04529682390169</v>
      </c>
      <c r="E70" s="14"/>
      <c r="F70" s="14"/>
      <c r="G70" s="14"/>
    </row>
    <row r="71" customFormat="false" ht="15" hidden="false" customHeight="false" outlineLevel="0" collapsed="false">
      <c r="A71" s="16" t="n">
        <v>44105</v>
      </c>
      <c r="B71" s="17" t="n">
        <v>136.748733158825</v>
      </c>
      <c r="C71" s="18" t="n">
        <f aca="false">IFERROR((B71/B70-1)*100,"")</f>
        <v>0.195148417735602</v>
      </c>
      <c r="D71" s="18" t="n">
        <f aca="false">IFERROR((B71/B67-1)*100,"")</f>
        <v>2.17877120741627</v>
      </c>
      <c r="E71" s="19"/>
      <c r="F71" s="19"/>
      <c r="G71" s="19"/>
    </row>
    <row r="72" customFormat="false" ht="15" hidden="false" customHeight="false" outlineLevel="0" collapsed="false">
      <c r="A72" s="12" t="n">
        <v>44197</v>
      </c>
      <c r="B72" s="13" t="n">
        <v>137.529841916848</v>
      </c>
      <c r="C72" s="21" t="n">
        <f aca="false">IFERROR((B72/B71-1)*100,"")</f>
        <v>0.571199995773131</v>
      </c>
      <c r="D72" s="21" t="n">
        <f aca="false">IFERROR((B72/B68-1)*100,"")</f>
        <v>2.86057413367182</v>
      </c>
      <c r="E72" s="14"/>
      <c r="F72" s="14"/>
      <c r="G72" s="14"/>
    </row>
    <row r="73" customFormat="false" ht="15" hidden="false" customHeight="false" outlineLevel="0" collapsed="false">
      <c r="A73" s="16" t="n">
        <v>44287</v>
      </c>
      <c r="B73" s="17" t="n">
        <v>138.620302809499</v>
      </c>
      <c r="C73" s="18" t="n">
        <f aca="false">IFERROR((B73/B72-1)*100,"")</f>
        <v>0.792890384699274</v>
      </c>
      <c r="D73" s="18" t="n">
        <f aca="false">IFERROR((B73/B69-1)*100,"")</f>
        <v>1.96628622108588</v>
      </c>
      <c r="E73" s="19"/>
      <c r="F73" s="19"/>
      <c r="G73" s="19"/>
    </row>
    <row r="74" customFormat="false" ht="15" hidden="false" customHeight="false" outlineLevel="0" collapsed="false">
      <c r="A74" s="12" t="n">
        <v>44378</v>
      </c>
      <c r="B74" s="13" t="n">
        <v>139.755785406822</v>
      </c>
      <c r="C74" s="21" t="n">
        <f aca="false">IFERROR((B74/B73-1)*100,"")</f>
        <v>0.819131522806837</v>
      </c>
      <c r="D74" s="21" t="n">
        <f aca="false">IFERROR((B74/B70-1)*100,"")</f>
        <v>2.39840134248472</v>
      </c>
      <c r="E74" s="14"/>
      <c r="F74" s="14"/>
      <c r="G74" s="14"/>
    </row>
    <row r="75" customFormat="false" ht="15" hidden="false" customHeight="false" outlineLevel="0" collapsed="false">
      <c r="A75" s="16" t="n">
        <v>44470</v>
      </c>
      <c r="B75" s="17" t="n">
        <v>139.628115559416</v>
      </c>
      <c r="C75" s="18" t="n">
        <f aca="false">IFERROR((B75/B74-1)*100,"")</f>
        <v>-0.0913521018352625</v>
      </c>
      <c r="D75" s="18" t="n">
        <f aca="false">IFERROR((B75/B71-1)*100,"")</f>
        <v>2.10560078625883</v>
      </c>
      <c r="E75" s="19"/>
      <c r="F75" s="19"/>
      <c r="G75" s="19"/>
    </row>
    <row r="76" customFormat="false" ht="15" hidden="false" customHeight="false" outlineLevel="0" collapsed="false">
      <c r="A76" s="12" t="n">
        <v>44562</v>
      </c>
      <c r="B76" s="13" t="n">
        <v>139.584646405145</v>
      </c>
      <c r="C76" s="21" t="n">
        <f aca="false">IFERROR((B76/B75-1)*100,"")</f>
        <v>-0.0311320926283498</v>
      </c>
      <c r="D76" s="21" t="n">
        <f aca="false">IFERROR((B76/B72-1)*100,"")</f>
        <v>1.49407900107919</v>
      </c>
      <c r="E76" s="14"/>
      <c r="F76" s="14"/>
      <c r="G76" s="14"/>
    </row>
    <row r="77" customFormat="false" ht="15" hidden="false" customHeight="false" outlineLevel="0" collapsed="false">
      <c r="A77" s="16" t="n">
        <v>44652</v>
      </c>
      <c r="B77" s="17" t="n">
        <v>139.873875430449</v>
      </c>
      <c r="C77" s="18" t="n">
        <f aca="false">IFERROR((B77/B76-1)*100,"")</f>
        <v>0.207206904737145</v>
      </c>
      <c r="D77" s="18" t="n">
        <f aca="false">IFERROR((B77/B73-1)*100,"")</f>
        <v>0.90432108107088</v>
      </c>
      <c r="E77" s="19"/>
      <c r="F77" s="19"/>
      <c r="G77" s="19"/>
    </row>
    <row r="78" customFormat="false" ht="15" hidden="false" customHeight="false" outlineLevel="0" collapsed="false">
      <c r="A78" s="12" t="n">
        <v>44743</v>
      </c>
      <c r="B78" s="13" t="n">
        <v>142.055316523805</v>
      </c>
      <c r="C78" s="21" t="n">
        <f aca="false">IFERROR((B78/B77-1)*100,"")</f>
        <v>1.55957721671935</v>
      </c>
      <c r="D78" s="21" t="n">
        <f aca="false">IFERROR((B78/B74-1)*100,"")</f>
        <v>1.64539243244175</v>
      </c>
      <c r="E78" s="14"/>
      <c r="F78" s="14"/>
      <c r="G78" s="14"/>
    </row>
    <row r="79" customFormat="false" ht="15" hidden="false" customHeight="false" outlineLevel="0" collapsed="false">
      <c r="A79" s="16" t="n">
        <v>44835</v>
      </c>
      <c r="B79" s="17" t="n">
        <v>142.033479128221</v>
      </c>
      <c r="C79" s="18" t="n">
        <f aca="false">IFERROR((B79/B78-1)*100,"")</f>
        <v>-0.0153724592067972</v>
      </c>
      <c r="D79" s="18" t="n">
        <f aca="false">IFERROR((B79/B75-1)*100,"")</f>
        <v>1.72269285391999</v>
      </c>
      <c r="E79" s="19"/>
      <c r="F79" s="19"/>
      <c r="G79" s="19"/>
    </row>
    <row r="80" customFormat="false" ht="15" hidden="false" customHeight="false" outlineLevel="0" collapsed="false">
      <c r="A80" s="12" t="n">
        <v>44927</v>
      </c>
      <c r="B80" s="13" t="n">
        <v>143.676348154702</v>
      </c>
      <c r="C80" s="21" t="n">
        <f aca="false">IFERROR((B80/B79-1)*100,"")</f>
        <v>1.1566773105643</v>
      </c>
      <c r="D80" s="21" t="n">
        <f aca="false">IFERROR((B80/B76-1)*100,"")</f>
        <v>2.9313408422309</v>
      </c>
      <c r="E80" s="14"/>
      <c r="F80" s="14"/>
      <c r="G80" s="14"/>
    </row>
    <row r="81" customFormat="false" ht="15" hidden="false" customHeight="false" outlineLevel="0" collapsed="false">
      <c r="A81" s="16" t="n">
        <v>45017</v>
      </c>
      <c r="B81" s="17" t="n">
        <v>144.860059853802</v>
      </c>
      <c r="C81" s="18" t="n">
        <f aca="false">IFERROR((B81/B80-1)*100,"")</f>
        <v>0.823873737258785</v>
      </c>
      <c r="D81" s="18" t="n">
        <f aca="false">IFERROR((B81/B77-1)*100,"")</f>
        <v>3.56477176885801</v>
      </c>
      <c r="E81" s="19"/>
      <c r="F81" s="19"/>
      <c r="G81" s="19"/>
    </row>
    <row r="82" customFormat="false" ht="15" hidden="false" customHeight="false" outlineLevel="0" collapsed="false">
      <c r="A82" s="12" t="n">
        <v>45108</v>
      </c>
      <c r="B82" s="13" t="n">
        <v>144.818855747748</v>
      </c>
      <c r="C82" s="21" t="n">
        <f aca="false">IFERROR((B82/B81-1)*100,"")</f>
        <v>-0.0284440763693494</v>
      </c>
      <c r="D82" s="21" t="n">
        <f aca="false">IFERROR((B82/B78-1)*100,"")</f>
        <v>1.94539654802712</v>
      </c>
      <c r="E82" s="14"/>
      <c r="F82" s="14"/>
      <c r="G82" s="14"/>
    </row>
    <row r="83" customFormat="false" ht="15" hidden="false" customHeight="false" outlineLevel="0" collapsed="false">
      <c r="A83" s="16" t="n">
        <v>45200</v>
      </c>
      <c r="B83" s="17" t="n">
        <v>145.412569537867</v>
      </c>
      <c r="C83" s="18" t="n">
        <f aca="false">IFERROR((B83/B82-1)*100,"")</f>
        <v>0.409969949736966</v>
      </c>
      <c r="D83" s="18" t="n">
        <f aca="false">IFERROR((B83/B79-1)*100,"")</f>
        <v>2.37908022135753</v>
      </c>
      <c r="E83" s="19"/>
      <c r="F83" s="19"/>
      <c r="G83" s="19"/>
    </row>
    <row r="84" customFormat="false" ht="15" hidden="false" customHeight="false" outlineLevel="0" collapsed="false">
      <c r="A84" s="12" t="n">
        <v>45292</v>
      </c>
      <c r="B84" s="13" t="n">
        <v>147.279239818338</v>
      </c>
      <c r="C84" s="21" t="n">
        <f aca="false">IFERROR((B84/B83-1)*100,"")</f>
        <v>1.28370627546446</v>
      </c>
      <c r="D84" s="21" t="n">
        <f aca="false">IFERROR((B84/B80-1)*100,"")</f>
        <v>2.50764423644496</v>
      </c>
      <c r="E84" s="14"/>
      <c r="F84" s="14"/>
      <c r="G84" s="14"/>
    </row>
    <row r="85" customFormat="false" ht="15" hidden="false" customHeight="false" outlineLevel="0" collapsed="false">
      <c r="A85" s="16" t="n">
        <v>45383</v>
      </c>
      <c r="B85" s="17" t="n">
        <v>146.112449186528</v>
      </c>
      <c r="C85" s="18" t="n">
        <f aca="false">IFERROR((B85/B84-1)*100,"")</f>
        <v>-0.792230210619005</v>
      </c>
      <c r="D85" s="18" t="n">
        <f aca="false">IFERROR((B85/B81-1)*100,"")</f>
        <v>0.86455116337103</v>
      </c>
      <c r="E85" s="19"/>
      <c r="F85" s="19"/>
      <c r="G85" s="19"/>
    </row>
    <row r="86" customFormat="false" ht="15" hidden="false" customHeight="false" outlineLevel="0" collapsed="false">
      <c r="A86" s="12" t="n">
        <v>45474</v>
      </c>
      <c r="B86" s="13" t="n">
        <v>147.791047394789</v>
      </c>
      <c r="C86" s="21" t="n">
        <f aca="false">IFERROR((B86/B85-1)*100,"")</f>
        <v>1.14883996374517</v>
      </c>
      <c r="D86" s="21" t="n">
        <f aca="false">IFERROR((B86/B82-1)*100,"")</f>
        <v>2.05235128512429</v>
      </c>
      <c r="E86" s="14"/>
      <c r="F86" s="14"/>
      <c r="G86" s="14"/>
    </row>
    <row r="87" customFormat="false" ht="15" hidden="false" customHeight="false" outlineLevel="0" collapsed="false">
      <c r="A87" s="16" t="n">
        <v>45566</v>
      </c>
      <c r="B87" s="17" t="n">
        <v>147.808797102283</v>
      </c>
      <c r="C87" s="18" t="n">
        <f aca="false">IFERROR((B87/B86-1)*100,"")</f>
        <v>0.0120100018277114</v>
      </c>
      <c r="D87" s="18" t="n">
        <f aca="false">IFERROR((B87/B83-1)*100,"")</f>
        <v>1.64788200361994</v>
      </c>
      <c r="E87" s="19"/>
      <c r="F87" s="19"/>
      <c r="G87" s="19"/>
    </row>
    <row r="88" customFormat="false" ht="15" hidden="false" customHeight="false" outlineLevel="0" collapsed="false">
      <c r="A88" s="12" t="n">
        <v>45658</v>
      </c>
      <c r="B88" s="13" t="n">
        <v>149.007119414172</v>
      </c>
      <c r="C88" s="21" t="n">
        <f aca="false">IFERROR((B88/B87-1)*100,"")</f>
        <v>0.810724622202663</v>
      </c>
      <c r="D88" s="21" t="n">
        <f aca="false">IFERROR((B88/B84-1)*100,"")</f>
        <v>1.17319969736751</v>
      </c>
      <c r="E88" s="14"/>
      <c r="F88" s="14"/>
      <c r="G88" s="14"/>
    </row>
    <row r="89" customFormat="false" ht="15" hidden="false" customHeight="false" outlineLevel="0" collapsed="false">
      <c r="A89" s="16" t="n">
        <v>45748</v>
      </c>
      <c r="B89" s="17" t="n">
        <v>149.783229034867</v>
      </c>
      <c r="C89" s="18" t="n">
        <f aca="false">IFERROR((B89/B88-1)*100,"")</f>
        <v>0.520854052977993</v>
      </c>
      <c r="D89" s="18" t="n">
        <f aca="false">IFERROR((B89/B85-1)*100,"")</f>
        <v>2.5122978013004</v>
      </c>
      <c r="E89" s="19"/>
      <c r="F89" s="19"/>
      <c r="G89" s="19"/>
    </row>
    <row r="90" customFormat="false" ht="15" hidden="false" customHeight="false" outlineLevel="0" collapsed="false">
      <c r="A90" s="12" t="n">
        <v>45839</v>
      </c>
      <c r="B90" s="13" t="n">
        <v>149.991835234274</v>
      </c>
      <c r="C90" s="21" t="n">
        <f aca="false">IFERROR((B90/B89-1)*100,"")</f>
        <v>0.139272067207363</v>
      </c>
      <c r="D90" s="21" t="n">
        <f aca="false">IFERROR((B90/B86-1)*100,"")</f>
        <v>1.48912121422722</v>
      </c>
      <c r="E90" s="14"/>
      <c r="F90" s="14"/>
      <c r="G90" s="14"/>
    </row>
    <row r="91" customFormat="false" ht="15" hidden="false" customHeight="false" outlineLevel="0" collapsed="false">
      <c r="A91" s="16" t="n">
        <v>45931</v>
      </c>
      <c r="B91" s="17" t="n">
        <v>151.230957805459</v>
      </c>
      <c r="C91" s="18" t="n">
        <f aca="false">IFERROR((B91/B90-1)*100,"")</f>
        <v>0.826126681662509</v>
      </c>
      <c r="D91" s="18" t="n">
        <f aca="false">IFERROR((B91/B87-1)*100,"")</f>
        <v>2.31526185874349</v>
      </c>
      <c r="E91" s="19"/>
      <c r="F91" s="19"/>
      <c r="G91" s="19"/>
    </row>
    <row r="92" customFormat="false" ht="15" hidden="false" customHeight="false" outlineLevel="0" collapsed="false">
      <c r="A92" s="12" t="n">
        <v>46023</v>
      </c>
      <c r="B92" s="14"/>
      <c r="C92" s="21" t="n">
        <f aca="false">IFERROR((B92/B91-1)*100,"")</f>
        <v>-100</v>
      </c>
      <c r="D92" s="21" t="n">
        <f aca="false">IFERROR((B92/B88-1)*100,"")</f>
        <v>-100</v>
      </c>
      <c r="E92" s="13" t="n">
        <v>151.973396157862</v>
      </c>
      <c r="F92" s="13" t="n">
        <v>150.956948574415</v>
      </c>
      <c r="G92" s="22" t="n">
        <f aca="false">153.034691-148.879206</f>
        <v>4.155485</v>
      </c>
    </row>
    <row r="93" customFormat="false" ht="15" hidden="false" customHeight="false" outlineLevel="0" collapsed="false">
      <c r="A93" s="16" t="n">
        <v>46113</v>
      </c>
      <c r="B93" s="19"/>
      <c r="C93" s="18" t="str">
        <f aca="false">IFERROR((B93/B92-1)*100,"")</f>
        <v/>
      </c>
      <c r="D93" s="18" t="n">
        <f aca="false">IFERROR((B93/B89-1)*100,"")</f>
        <v>-100</v>
      </c>
      <c r="E93" s="17" t="n">
        <v>152.729310285038</v>
      </c>
      <c r="F93" s="17" t="n">
        <v>151.469081717691</v>
      </c>
      <c r="G93" s="23" t="n">
        <f aca="false">154.407453-148.530711</f>
        <v>5.87674200000001</v>
      </c>
    </row>
    <row r="94" customFormat="false" ht="15" hidden="false" customHeight="false" outlineLevel="0" collapsed="false">
      <c r="A94" s="12" t="n">
        <v>46204</v>
      </c>
      <c r="B94" s="14"/>
      <c r="C94" s="21" t="str">
        <f aca="false">IFERROR((B94/B93-1)*100,"")</f>
        <v/>
      </c>
      <c r="D94" s="21" t="n">
        <f aca="false">IFERROR((B94/B90-1)*100,"")</f>
        <v>-100</v>
      </c>
      <c r="E94" s="13" t="n">
        <v>153.488984321396</v>
      </c>
      <c r="F94" s="13" t="n">
        <v>152.160896722471</v>
      </c>
      <c r="G94" s="22" t="n">
        <f aca="false">155.759652-148.562142</f>
        <v>7.19750999999999</v>
      </c>
    </row>
    <row r="95" customFormat="false" ht="15" hidden="false" customHeight="false" outlineLevel="0" collapsed="false">
      <c r="A95" s="16" t="n">
        <v>46296</v>
      </c>
      <c r="B95" s="19"/>
      <c r="C95" s="18" t="str">
        <f aca="false">IFERROR((B95/B94-1)*100,"")</f>
        <v/>
      </c>
      <c r="D95" s="18" t="n">
        <f aca="false">IFERROR((B95/B91-1)*100,"")</f>
        <v>-100</v>
      </c>
      <c r="E95" s="17" t="n">
        <v>154.252436968686</v>
      </c>
      <c r="F95" s="17" t="n">
        <v>152.403145885851</v>
      </c>
      <c r="G95" s="23" t="n">
        <f aca="false">156.55863-148.247662</f>
        <v>8.310968</v>
      </c>
    </row>
    <row r="96" customFormat="false" ht="15" hidden="false" customHeight="false" outlineLevel="0" collapsed="false">
      <c r="A96" s="12" t="n">
        <v>46388</v>
      </c>
      <c r="B96" s="14"/>
      <c r="C96" s="21" t="str">
        <f aca="false">IFERROR((B96/B95-1)*100,"")</f>
        <v/>
      </c>
      <c r="D96" s="21" t="str">
        <f aca="false">IFERROR((B96/B92-1)*100,"")</f>
        <v/>
      </c>
      <c r="E96" s="13" t="n">
        <v>155.019687021681</v>
      </c>
      <c r="F96" s="13" t="n">
        <v>152.524241492431</v>
      </c>
      <c r="G96" s="22" t="n">
        <f aca="false">157.170214-147.878269</f>
        <v>9.291945</v>
      </c>
    </row>
    <row r="97" customFormat="false" ht="15" hidden="false" customHeight="false" outlineLevel="0" collapsed="false">
      <c r="A97" s="16" t="n">
        <v>46478</v>
      </c>
      <c r="B97" s="19"/>
      <c r="C97" s="18" t="str">
        <f aca="false">IFERROR((B97/B96-1)*100,"")</f>
        <v/>
      </c>
      <c r="D97" s="18" t="str">
        <f aca="false">IFERROR((B97/B93-1)*100,"")</f>
        <v/>
      </c>
      <c r="E97" s="17" t="n">
        <v>155.790753368638</v>
      </c>
      <c r="F97" s="17" t="n">
        <v>152.958009989807</v>
      </c>
      <c r="G97" s="23" t="n">
        <f aca="false">158.047418-147.868602</f>
        <v>10.178816</v>
      </c>
    </row>
    <row r="98" customFormat="false" ht="15" hidden="false" customHeight="false" outlineLevel="0" collapsed="false">
      <c r="A98" s="12" t="n">
        <v>46569</v>
      </c>
      <c r="B98" s="14"/>
      <c r="C98" s="21" t="str">
        <f aca="false">IFERROR((B98/B97-1)*100,"")</f>
        <v/>
      </c>
      <c r="D98" s="21" t="str">
        <f aca="false">IFERROR((B98/B94-1)*100,"")</f>
        <v/>
      </c>
      <c r="E98" s="13" t="n">
        <v>156.565654991764</v>
      </c>
      <c r="F98" s="13" t="n">
        <v>153.575378580981</v>
      </c>
      <c r="G98" s="22" t="n">
        <f aca="false">159.072567-148.07819</f>
        <v>10.994377</v>
      </c>
    </row>
    <row r="99" customFormat="false" ht="15" hidden="false" customHeight="false" outlineLevel="0" collapsed="false">
      <c r="A99" s="16" t="n">
        <v>46661</v>
      </c>
      <c r="B99" s="19"/>
      <c r="C99" s="18" t="str">
        <f aca="false">IFERROR((B99/B98-1)*100,"")</f>
        <v/>
      </c>
      <c r="D99" s="18" t="str">
        <f aca="false">IFERROR((B99/B95-1)*100,"")</f>
        <v/>
      </c>
      <c r="E99" s="17" t="n">
        <v>157.344410967685</v>
      </c>
      <c r="F99" s="17" t="n">
        <v>153.746903651435</v>
      </c>
      <c r="G99" s="23" t="n">
        <f aca="false">159.623646-147.870162</f>
        <v>11.753484</v>
      </c>
    </row>
    <row r="102" customFormat="false" ht="21.75" hidden="false" customHeight="true" outlineLevel="0" collapsed="false">
      <c r="A102" s="9" t="s">
        <v>136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customFormat="false" ht="15" hidden="false" customHeight="false" outlineLevel="0" collapsed="false">
      <c r="A103" s="5" t="s">
        <v>113</v>
      </c>
      <c r="B103" s="10" t="s">
        <v>114</v>
      </c>
      <c r="D103" s="5" t="s">
        <v>115</v>
      </c>
      <c r="E103" s="2" t="s">
        <v>137</v>
      </c>
      <c r="H103" s="5" t="s">
        <v>117</v>
      </c>
      <c r="I103" s="2" t="s">
        <v>118</v>
      </c>
    </row>
    <row r="104" customFormat="false" ht="18" hidden="false" customHeight="true" outlineLevel="0" collapsed="false">
      <c r="A104" s="11" t="s">
        <v>119</v>
      </c>
      <c r="B104" s="11"/>
      <c r="C104" s="11"/>
      <c r="D104" s="11"/>
      <c r="E104" s="11"/>
      <c r="F104" s="11"/>
      <c r="G104" s="11"/>
      <c r="I104" s="11" t="s">
        <v>120</v>
      </c>
      <c r="J104" s="11"/>
      <c r="K104" s="11"/>
      <c r="L104" s="11"/>
    </row>
    <row r="105" customFormat="false" ht="15" hidden="false" customHeight="false" outlineLevel="0" collapsed="false">
      <c r="A105" s="6" t="s">
        <v>121</v>
      </c>
      <c r="B105" s="6" t="s">
        <v>122</v>
      </c>
      <c r="C105" s="6" t="s">
        <v>123</v>
      </c>
      <c r="D105" s="6" t="s">
        <v>124</v>
      </c>
      <c r="E105" s="6" t="s">
        <v>125</v>
      </c>
      <c r="F105" s="6" t="s">
        <v>126</v>
      </c>
      <c r="G105" s="6" t="s">
        <v>127</v>
      </c>
      <c r="I105" s="6" t="s">
        <v>128</v>
      </c>
      <c r="J105" s="6" t="s">
        <v>122</v>
      </c>
      <c r="K105" s="6" t="s">
        <v>124</v>
      </c>
      <c r="L105" s="6" t="s">
        <v>129</v>
      </c>
    </row>
    <row r="106" customFormat="false" ht="15" hidden="false" customHeight="false" outlineLevel="0" collapsed="false">
      <c r="A106" s="12" t="n">
        <v>38353</v>
      </c>
      <c r="B106" s="13" t="n">
        <v>100.050510972449</v>
      </c>
      <c r="C106" s="14"/>
      <c r="D106" s="14"/>
      <c r="E106" s="14"/>
      <c r="F106" s="14"/>
      <c r="G106" s="14"/>
      <c r="I106" s="15" t="n">
        <v>2005</v>
      </c>
      <c r="J106" s="13" t="n">
        <v>100.93256650599</v>
      </c>
      <c r="K106" s="14"/>
      <c r="L106" s="14"/>
    </row>
    <row r="107" customFormat="false" ht="15" hidden="false" customHeight="false" outlineLevel="0" collapsed="false">
      <c r="A107" s="16" t="n">
        <v>38443</v>
      </c>
      <c r="B107" s="17" t="n">
        <v>100.978105916469</v>
      </c>
      <c r="C107" s="18" t="n">
        <f aca="false">IFERROR((B107/B106-1)*100,"")</f>
        <v>0.927126643336917</v>
      </c>
      <c r="D107" s="19"/>
      <c r="E107" s="19"/>
      <c r="F107" s="19"/>
      <c r="G107" s="19"/>
      <c r="I107" s="20" t="n">
        <v>2006</v>
      </c>
      <c r="J107" s="17" t="n">
        <v>103.023481091063</v>
      </c>
      <c r="K107" s="18" t="n">
        <f aca="false">IFERROR((J107/J106-1)*100,"")</f>
        <v>2.07159557856831</v>
      </c>
      <c r="L107" s="19"/>
    </row>
    <row r="108" customFormat="false" ht="15" hidden="false" customHeight="false" outlineLevel="0" collapsed="false">
      <c r="A108" s="12" t="n">
        <v>38534</v>
      </c>
      <c r="B108" s="13" t="n">
        <v>101.138536602632</v>
      </c>
      <c r="C108" s="21" t="n">
        <f aca="false">IFERROR((B108/B107-1)*100,"")</f>
        <v>0.158876703723498</v>
      </c>
      <c r="D108" s="14"/>
      <c r="E108" s="14"/>
      <c r="F108" s="14"/>
      <c r="G108" s="14"/>
      <c r="I108" s="15" t="n">
        <v>2007</v>
      </c>
      <c r="J108" s="13" t="n">
        <v>104.822293463733</v>
      </c>
      <c r="K108" s="21" t="n">
        <f aca="false">IFERROR((J108/J107-1)*100,"")</f>
        <v>1.74602173564618</v>
      </c>
      <c r="L108" s="14"/>
    </row>
    <row r="109" customFormat="false" ht="15" hidden="false" customHeight="false" outlineLevel="0" collapsed="false">
      <c r="A109" s="16" t="n">
        <v>38626</v>
      </c>
      <c r="B109" s="17" t="n">
        <v>101.56311253241</v>
      </c>
      <c r="C109" s="18" t="n">
        <f aca="false">IFERROR((B109/B108-1)*100,"")</f>
        <v>0.41979639417371</v>
      </c>
      <c r="D109" s="19"/>
      <c r="E109" s="19"/>
      <c r="F109" s="19"/>
      <c r="G109" s="19"/>
      <c r="I109" s="20" t="n">
        <v>2008</v>
      </c>
      <c r="J109" s="17" t="n">
        <v>107.119338950953</v>
      </c>
      <c r="K109" s="18" t="n">
        <f aca="false">IFERROR((J109/J108-1)*100,"")</f>
        <v>2.19137113997103</v>
      </c>
      <c r="L109" s="19"/>
    </row>
    <row r="110" customFormat="false" ht="15" hidden="false" customHeight="false" outlineLevel="0" collapsed="false">
      <c r="A110" s="12" t="n">
        <v>38718</v>
      </c>
      <c r="B110" s="13" t="n">
        <v>102.166897051887</v>
      </c>
      <c r="C110" s="21" t="n">
        <f aca="false">IFERROR((B110/B109-1)*100,"")</f>
        <v>0.594491941436837</v>
      </c>
      <c r="D110" s="21" t="n">
        <f aca="false">IFERROR((B110/B106-1)*100,"")</f>
        <v>2.11531761194212</v>
      </c>
      <c r="E110" s="14"/>
      <c r="F110" s="14"/>
      <c r="G110" s="14"/>
      <c r="I110" s="15" t="n">
        <v>2009</v>
      </c>
      <c r="J110" s="13" t="n">
        <v>109.079346060457</v>
      </c>
      <c r="K110" s="21" t="n">
        <f aca="false">IFERROR((J110/J109-1)*100,"")</f>
        <v>1.82974160286915</v>
      </c>
      <c r="L110" s="14"/>
    </row>
    <row r="111" customFormat="false" ht="15" hidden="false" customHeight="false" outlineLevel="0" collapsed="false">
      <c r="A111" s="16" t="n">
        <v>38808</v>
      </c>
      <c r="B111" s="17" t="n">
        <v>103.232476813722</v>
      </c>
      <c r="C111" s="18" t="n">
        <f aca="false">IFERROR((B111/B110-1)*100,"")</f>
        <v>1.0429794704377</v>
      </c>
      <c r="D111" s="18" t="n">
        <f aca="false">IFERROR((B111/B107-1)*100,"")</f>
        <v>2.23253434671993</v>
      </c>
      <c r="E111" s="19"/>
      <c r="F111" s="19"/>
      <c r="G111" s="19"/>
      <c r="I111" s="20" t="n">
        <v>2010</v>
      </c>
      <c r="J111" s="17" t="n">
        <v>111.385963464345</v>
      </c>
      <c r="K111" s="18" t="n">
        <f aca="false">IFERROR((J111/J110-1)*100,"")</f>
        <v>2.11462342523558</v>
      </c>
      <c r="L111" s="19"/>
    </row>
    <row r="112" customFormat="false" ht="15" hidden="false" customHeight="false" outlineLevel="0" collapsed="false">
      <c r="A112" s="12" t="n">
        <v>38899</v>
      </c>
      <c r="B112" s="13" t="n">
        <v>103.460015177149</v>
      </c>
      <c r="C112" s="21" t="n">
        <f aca="false">IFERROR((B112/B111-1)*100,"")</f>
        <v>0.220413546638398</v>
      </c>
      <c r="D112" s="21" t="n">
        <f aca="false">IFERROR((B112/B108-1)*100,"")</f>
        <v>2.29534522892958</v>
      </c>
      <c r="E112" s="14"/>
      <c r="F112" s="14"/>
      <c r="G112" s="14"/>
      <c r="I112" s="15" t="n">
        <v>2011</v>
      </c>
      <c r="J112" s="13" t="n">
        <v>113.573296108993</v>
      </c>
      <c r="K112" s="21" t="n">
        <f aca="false">IFERROR((J112/J111-1)*100,"")</f>
        <v>1.96374172886522</v>
      </c>
      <c r="L112" s="14"/>
    </row>
    <row r="113" customFormat="false" ht="15" hidden="false" customHeight="false" outlineLevel="0" collapsed="false">
      <c r="A113" s="16" t="n">
        <v>38991</v>
      </c>
      <c r="B113" s="17" t="n">
        <v>103.234535321495</v>
      </c>
      <c r="C113" s="18" t="n">
        <f aca="false">IFERROR((B113/B112-1)*100,"")</f>
        <v>-0.217939128723321</v>
      </c>
      <c r="D113" s="18" t="n">
        <f aca="false">IFERROR((B113/B109-1)*100,"")</f>
        <v>1.64569866697648</v>
      </c>
      <c r="E113" s="19"/>
      <c r="F113" s="19"/>
      <c r="G113" s="19"/>
      <c r="I113" s="20" t="n">
        <v>2012</v>
      </c>
      <c r="J113" s="17" t="n">
        <v>115.825493100439</v>
      </c>
      <c r="K113" s="18" t="n">
        <f aca="false">IFERROR((J113/J112-1)*100,"")</f>
        <v>1.98303392487995</v>
      </c>
      <c r="L113" s="19"/>
    </row>
    <row r="114" customFormat="false" ht="15" hidden="false" customHeight="false" outlineLevel="0" collapsed="false">
      <c r="A114" s="12" t="n">
        <v>39083</v>
      </c>
      <c r="B114" s="13" t="n">
        <v>104.026348911983</v>
      </c>
      <c r="C114" s="21" t="n">
        <f aca="false">IFERROR((B114/B113-1)*100,"")</f>
        <v>0.767004557168205</v>
      </c>
      <c r="D114" s="21" t="n">
        <f aca="false">IFERROR((B114/B110-1)*100,"")</f>
        <v>1.82001402974099</v>
      </c>
      <c r="E114" s="14"/>
      <c r="F114" s="14"/>
      <c r="G114" s="14"/>
      <c r="I114" s="15" t="n">
        <v>2013</v>
      </c>
      <c r="J114" s="13" t="n">
        <v>118.209624244598</v>
      </c>
      <c r="K114" s="21" t="n">
        <f aca="false">IFERROR((J114/J113-1)*100,"")</f>
        <v>2.05838203692548</v>
      </c>
      <c r="L114" s="14"/>
    </row>
    <row r="115" customFormat="false" ht="15" hidden="false" customHeight="false" outlineLevel="0" collapsed="false">
      <c r="A115" s="16" t="n">
        <v>39173</v>
      </c>
      <c r="B115" s="17" t="n">
        <v>104.590555176993</v>
      </c>
      <c r="C115" s="18" t="n">
        <f aca="false">IFERROR((B115/B114-1)*100,"")</f>
        <v>0.542368612290711</v>
      </c>
      <c r="D115" s="18" t="n">
        <f aca="false">IFERROR((B115/B111-1)*100,"")</f>
        <v>1.31555340449905</v>
      </c>
      <c r="E115" s="19"/>
      <c r="F115" s="19"/>
      <c r="G115" s="19"/>
      <c r="I115" s="20" t="n">
        <v>2014</v>
      </c>
      <c r="J115" s="17" t="n">
        <v>120.891801464522</v>
      </c>
      <c r="K115" s="18" t="n">
        <f aca="false">IFERROR((J115/J114-1)*100,"")</f>
        <v>2.26900071552023</v>
      </c>
      <c r="L115" s="19"/>
    </row>
    <row r="116" customFormat="false" ht="15" hidden="false" customHeight="false" outlineLevel="0" collapsed="false">
      <c r="A116" s="12" t="n">
        <v>39264</v>
      </c>
      <c r="B116" s="13" t="n">
        <v>104.650552851824</v>
      </c>
      <c r="C116" s="21" t="n">
        <f aca="false">IFERROR((B116/B115-1)*100,"")</f>
        <v>0.057364333451404</v>
      </c>
      <c r="D116" s="21" t="n">
        <f aca="false">IFERROR((B116/B112-1)*100,"")</f>
        <v>1.15072250147625</v>
      </c>
      <c r="E116" s="14"/>
      <c r="F116" s="14"/>
      <c r="G116" s="14"/>
      <c r="I116" s="15" t="n">
        <v>2015</v>
      </c>
      <c r="J116" s="13" t="n">
        <v>123.29573795198</v>
      </c>
      <c r="K116" s="21" t="n">
        <f aca="false">IFERROR((J116/J115-1)*100,"")</f>
        <v>1.98850249424374</v>
      </c>
      <c r="L116" s="14"/>
    </row>
    <row r="117" customFormat="false" ht="15" hidden="false" customHeight="false" outlineLevel="0" collapsed="false">
      <c r="A117" s="16" t="n">
        <v>39356</v>
      </c>
      <c r="B117" s="17" t="n">
        <v>106.021716914131</v>
      </c>
      <c r="C117" s="18" t="n">
        <f aca="false">IFERROR((B117/B116-1)*100,"")</f>
        <v>1.3102310737422</v>
      </c>
      <c r="D117" s="18" t="n">
        <f aca="false">IFERROR((B117/B113-1)*100,"")</f>
        <v>2.69985386572043</v>
      </c>
      <c r="E117" s="19"/>
      <c r="F117" s="19"/>
      <c r="G117" s="19"/>
      <c r="I117" s="20" t="n">
        <v>2016</v>
      </c>
      <c r="J117" s="17" t="n">
        <v>125.453376438062</v>
      </c>
      <c r="K117" s="18" t="n">
        <f aca="false">IFERROR((J117/J116-1)*100,"")</f>
        <v>1.74997004918567</v>
      </c>
      <c r="L117" s="19"/>
    </row>
    <row r="118" customFormat="false" ht="15" hidden="false" customHeight="false" outlineLevel="0" collapsed="false">
      <c r="A118" s="12" t="n">
        <v>39448</v>
      </c>
      <c r="B118" s="13" t="n">
        <v>107.410534666825</v>
      </c>
      <c r="C118" s="21" t="n">
        <f aca="false">IFERROR((B118/B117-1)*100,"")</f>
        <v>1.30993705168811</v>
      </c>
      <c r="D118" s="21" t="n">
        <f aca="false">IFERROR((B118/B114-1)*100,"")</f>
        <v>3.25320054989731</v>
      </c>
      <c r="E118" s="14"/>
      <c r="F118" s="14"/>
      <c r="G118" s="14"/>
      <c r="I118" s="15" t="n">
        <v>2017</v>
      </c>
      <c r="J118" s="13" t="n">
        <v>128.210930191016</v>
      </c>
      <c r="K118" s="21" t="n">
        <f aca="false">IFERROR((J118/J117-1)*100,"")</f>
        <v>2.19807057509962</v>
      </c>
      <c r="L118" s="14"/>
    </row>
    <row r="119" customFormat="false" ht="15" hidden="false" customHeight="false" outlineLevel="0" collapsed="false">
      <c r="A119" s="16" t="n">
        <v>39539</v>
      </c>
      <c r="B119" s="17" t="n">
        <v>106.09032106606</v>
      </c>
      <c r="C119" s="18" t="n">
        <f aca="false">IFERROR((B119/B118-1)*100,"")</f>
        <v>-1.22912859977855</v>
      </c>
      <c r="D119" s="18" t="n">
        <f aca="false">IFERROR((B119/B115-1)*100,"")</f>
        <v>1.43394007855595</v>
      </c>
      <c r="E119" s="19"/>
      <c r="F119" s="19"/>
      <c r="G119" s="19"/>
      <c r="I119" s="20" t="n">
        <v>2018</v>
      </c>
      <c r="J119" s="17" t="n">
        <v>130.568696603926</v>
      </c>
      <c r="K119" s="18" t="n">
        <f aca="false">IFERROR((J119/J118-1)*100,"")</f>
        <v>1.8389745783739</v>
      </c>
      <c r="L119" s="19"/>
    </row>
    <row r="120" customFormat="false" ht="15" hidden="false" customHeight="false" outlineLevel="0" collapsed="false">
      <c r="A120" s="12" t="n">
        <v>39630</v>
      </c>
      <c r="B120" s="13" t="n">
        <v>107.020543042087</v>
      </c>
      <c r="C120" s="21" t="n">
        <f aca="false">IFERROR((B120/B119-1)*100,"")</f>
        <v>0.876820775617859</v>
      </c>
      <c r="D120" s="21" t="n">
        <f aca="false">IFERROR((B120/B116-1)*100,"")</f>
        <v>2.26467049210843</v>
      </c>
      <c r="E120" s="14"/>
      <c r="F120" s="14"/>
      <c r="G120" s="14"/>
      <c r="I120" s="15" t="n">
        <v>2019</v>
      </c>
      <c r="J120" s="13" t="n">
        <v>133.261560305081</v>
      </c>
      <c r="K120" s="21" t="n">
        <f aca="false">IFERROR((J120/J119-1)*100,"")</f>
        <v>2.06241141345256</v>
      </c>
      <c r="L120" s="14"/>
    </row>
    <row r="121" customFormat="false" ht="15" hidden="false" customHeight="false" outlineLevel="0" collapsed="false">
      <c r="A121" s="16" t="n">
        <v>39722</v>
      </c>
      <c r="B121" s="17" t="n">
        <v>107.955957028838</v>
      </c>
      <c r="C121" s="18" t="n">
        <f aca="false">IFERROR((B121/B120-1)*100,"")</f>
        <v>0.874050869264353</v>
      </c>
      <c r="D121" s="18" t="n">
        <f aca="false">IFERROR((B121/B117-1)*100,"")</f>
        <v>1.82438105230212</v>
      </c>
      <c r="E121" s="19"/>
      <c r="F121" s="19"/>
      <c r="G121" s="19"/>
      <c r="I121" s="20" t="n">
        <v>2020</v>
      </c>
      <c r="J121" s="17" t="n">
        <v>135.954376036434</v>
      </c>
      <c r="K121" s="18" t="n">
        <f aca="false">IFERROR((J121/J120-1)*100,"")</f>
        <v>2.0206995364515</v>
      </c>
      <c r="L121" s="19"/>
    </row>
    <row r="122" customFormat="false" ht="15" hidden="false" customHeight="false" outlineLevel="0" collapsed="false">
      <c r="A122" s="12" t="n">
        <v>39814</v>
      </c>
      <c r="B122" s="13" t="n">
        <v>107.950116204806</v>
      </c>
      <c r="C122" s="21" t="n">
        <f aca="false">IFERROR((B122/B121-1)*100,"")</f>
        <v>-0.00541037678026823</v>
      </c>
      <c r="D122" s="21" t="n">
        <f aca="false">IFERROR((B122/B118-1)*100,"")</f>
        <v>0.502354391638038</v>
      </c>
      <c r="E122" s="14"/>
      <c r="F122" s="14"/>
      <c r="G122" s="14"/>
      <c r="I122" s="15" t="n">
        <v>2021</v>
      </c>
      <c r="J122" s="13" t="n">
        <v>138.01582731921</v>
      </c>
      <c r="K122" s="21" t="n">
        <f aca="false">IFERROR((J122/J121-1)*100,"")</f>
        <v>1.51628166953821</v>
      </c>
      <c r="L122" s="14"/>
    </row>
    <row r="123" customFormat="false" ht="15" hidden="false" customHeight="false" outlineLevel="0" collapsed="false">
      <c r="A123" s="16" t="n">
        <v>39904</v>
      </c>
      <c r="B123" s="17" t="n">
        <v>108.955470311343</v>
      </c>
      <c r="C123" s="18" t="n">
        <f aca="false">IFERROR((B123/B122-1)*100,"")</f>
        <v>0.931313593613492</v>
      </c>
      <c r="D123" s="18" t="n">
        <f aca="false">IFERROR((B123/B119-1)*100,"")</f>
        <v>2.70066978447405</v>
      </c>
      <c r="E123" s="19"/>
      <c r="F123" s="19"/>
      <c r="G123" s="19"/>
      <c r="I123" s="20" t="n">
        <v>2022</v>
      </c>
      <c r="J123" s="17" t="n">
        <v>141.471996240425</v>
      </c>
      <c r="K123" s="18" t="n">
        <f aca="false">IFERROR((J123/J122-1)*100,"")</f>
        <v>2.50418302621338</v>
      </c>
      <c r="L123" s="19"/>
    </row>
    <row r="124" customFormat="false" ht="15" hidden="false" customHeight="false" outlineLevel="0" collapsed="false">
      <c r="A124" s="12" t="n">
        <v>39995</v>
      </c>
      <c r="B124" s="13" t="n">
        <v>110.134986767554</v>
      </c>
      <c r="C124" s="21" t="n">
        <f aca="false">IFERROR((B124/B123-1)*100,"")</f>
        <v>1.08256744965654</v>
      </c>
      <c r="D124" s="21" t="n">
        <f aca="false">IFERROR((B124/B120-1)*100,"")</f>
        <v>2.91013635040303</v>
      </c>
      <c r="E124" s="14"/>
      <c r="F124" s="14"/>
      <c r="G124" s="14"/>
      <c r="I124" s="15" t="n">
        <v>2023</v>
      </c>
      <c r="J124" s="13" t="n">
        <v>144.57081946879</v>
      </c>
      <c r="K124" s="21" t="n">
        <f aca="false">IFERROR((J124/J123-1)*100,"")</f>
        <v>2.19041457724127</v>
      </c>
      <c r="L124" s="14"/>
    </row>
    <row r="125" customFormat="false" ht="15" hidden="false" customHeight="false" outlineLevel="0" collapsed="false">
      <c r="A125" s="16" t="n">
        <v>40087</v>
      </c>
      <c r="B125" s="17" t="n">
        <v>109.276810958124</v>
      </c>
      <c r="C125" s="18" t="n">
        <f aca="false">IFERROR((B125/B124-1)*100,"")</f>
        <v>-0.779203625130154</v>
      </c>
      <c r="D125" s="18" t="n">
        <f aca="false">IFERROR((B125/B121-1)*100,"")</f>
        <v>1.2235118520912</v>
      </c>
      <c r="E125" s="19"/>
      <c r="F125" s="19"/>
      <c r="G125" s="19"/>
      <c r="I125" s="20" t="n">
        <v>2024</v>
      </c>
      <c r="J125" s="17" t="n">
        <v>147.552477537423</v>
      </c>
      <c r="K125" s="18" t="n">
        <f aca="false">IFERROR((J125/J124-1)*100,"")</f>
        <v>2.06242039686098</v>
      </c>
      <c r="L125" s="19"/>
    </row>
    <row r="126" customFormat="false" ht="15" hidden="false" customHeight="false" outlineLevel="0" collapsed="false">
      <c r="A126" s="12" t="n">
        <v>40179</v>
      </c>
      <c r="B126" s="13" t="n">
        <v>110.582656051589</v>
      </c>
      <c r="C126" s="21" t="n">
        <f aca="false">IFERROR((B126/B125-1)*100,"")</f>
        <v>1.19498828892886</v>
      </c>
      <c r="D126" s="21" t="n">
        <f aca="false">IFERROR((B126/B122-1)*100,"")</f>
        <v>2.43866328201841</v>
      </c>
      <c r="E126" s="14"/>
      <c r="F126" s="14"/>
      <c r="G126" s="14"/>
      <c r="I126" s="15" t="n">
        <v>2025</v>
      </c>
      <c r="J126" s="13" t="n">
        <v>150.56030441017</v>
      </c>
      <c r="K126" s="21" t="n">
        <f aca="false">IFERROR((J126/J125-1)*100,"")</f>
        <v>2.03847940945854</v>
      </c>
      <c r="L126" s="14"/>
    </row>
    <row r="127" customFormat="false" ht="15" hidden="false" customHeight="false" outlineLevel="0" collapsed="false">
      <c r="A127" s="16" t="n">
        <v>40269</v>
      </c>
      <c r="B127" s="17" t="n">
        <v>110.789168481914</v>
      </c>
      <c r="C127" s="18" t="n">
        <f aca="false">IFERROR((B127/B126-1)*100,"")</f>
        <v>0.186749385209883</v>
      </c>
      <c r="D127" s="18" t="n">
        <f aca="false">IFERROR((B127/B123-1)*100,"")</f>
        <v>1.68297944594351</v>
      </c>
      <c r="E127" s="19"/>
      <c r="F127" s="19"/>
      <c r="G127" s="19"/>
      <c r="I127" s="20" t="n">
        <v>2026</v>
      </c>
      <c r="J127" s="19"/>
      <c r="K127" s="18" t="n">
        <f aca="false">IFERROR((J127/J126-1)*100,"")</f>
        <v>-100</v>
      </c>
      <c r="L127" s="17" t="n">
        <v>151.98243483928</v>
      </c>
    </row>
    <row r="128" customFormat="false" ht="15" hidden="false" customHeight="false" outlineLevel="0" collapsed="false">
      <c r="A128" s="12" t="n">
        <v>40360</v>
      </c>
      <c r="B128" s="13" t="n">
        <v>112.028197645468</v>
      </c>
      <c r="C128" s="21" t="n">
        <f aca="false">IFERROR((B128/B127-1)*100,"")</f>
        <v>1.1183666964304</v>
      </c>
      <c r="D128" s="21" t="n">
        <f aca="false">IFERROR((B128/B124-1)*100,"")</f>
        <v>1.71899133370745</v>
      </c>
      <c r="E128" s="14"/>
      <c r="F128" s="14"/>
      <c r="G128" s="14"/>
      <c r="I128" s="15" t="n">
        <v>2027</v>
      </c>
      <c r="J128" s="14"/>
      <c r="K128" s="21" t="str">
        <f aca="false">IFERROR((J128/J127-1)*100,"")</f>
        <v/>
      </c>
      <c r="L128" s="13" t="n">
        <v>153.395470239412</v>
      </c>
    </row>
    <row r="129" customFormat="false" ht="15" hidden="false" customHeight="false" outlineLevel="0" collapsed="false">
      <c r="A129" s="16" t="n">
        <v>40452</v>
      </c>
      <c r="B129" s="17" t="n">
        <v>112.143831678409</v>
      </c>
      <c r="C129" s="18" t="n">
        <f aca="false">IFERROR((B129/B128-1)*100,"")</f>
        <v>0.103218685448581</v>
      </c>
      <c r="D129" s="18" t="n">
        <f aca="false">IFERROR((B129/B125-1)*100,"")</f>
        <v>2.62363139548751</v>
      </c>
      <c r="E129" s="19"/>
      <c r="F129" s="19"/>
      <c r="G129" s="19"/>
    </row>
    <row r="130" customFormat="false" ht="15" hidden="false" customHeight="false" outlineLevel="0" collapsed="false">
      <c r="A130" s="12" t="n">
        <v>40544</v>
      </c>
      <c r="B130" s="13" t="n">
        <v>112.902348347582</v>
      </c>
      <c r="C130" s="21" t="n">
        <f aca="false">IFERROR((B130/B129-1)*100,"")</f>
        <v>0.676378413168344</v>
      </c>
      <c r="D130" s="21" t="n">
        <f aca="false">IFERROR((B130/B126-1)*100,"")</f>
        <v>2.09769992765487</v>
      </c>
      <c r="E130" s="14"/>
      <c r="F130" s="14"/>
      <c r="G130" s="14"/>
    </row>
    <row r="131" customFormat="false" ht="15" hidden="false" customHeight="false" outlineLevel="0" collapsed="false">
      <c r="A131" s="16" t="n">
        <v>40634</v>
      </c>
      <c r="B131" s="17" t="n">
        <v>113.325775590583</v>
      </c>
      <c r="C131" s="18" t="n">
        <f aca="false">IFERROR((B131/B130-1)*100,"")</f>
        <v>0.375038472802647</v>
      </c>
      <c r="D131" s="18" t="n">
        <f aca="false">IFERROR((B131/B127-1)*100,"")</f>
        <v>2.28958041966267</v>
      </c>
      <c r="E131" s="19"/>
      <c r="F131" s="19"/>
      <c r="G131" s="19"/>
    </row>
    <row r="132" customFormat="false" ht="15" hidden="false" customHeight="false" outlineLevel="0" collapsed="false">
      <c r="A132" s="12" t="n">
        <v>40725</v>
      </c>
      <c r="B132" s="13" t="n">
        <v>113.524317244081</v>
      </c>
      <c r="C132" s="21" t="n">
        <f aca="false">IFERROR((B132/B131-1)*100,"")</f>
        <v>0.175195494991165</v>
      </c>
      <c r="D132" s="21" t="n">
        <f aca="false">IFERROR((B132/B128-1)*100,"")</f>
        <v>1.33548484226116</v>
      </c>
      <c r="E132" s="14"/>
      <c r="F132" s="14"/>
      <c r="G132" s="14"/>
    </row>
    <row r="133" customFormat="false" ht="15" hidden="false" customHeight="false" outlineLevel="0" collapsed="false">
      <c r="A133" s="16" t="n">
        <v>40817</v>
      </c>
      <c r="B133" s="17" t="n">
        <v>114.540743253725</v>
      </c>
      <c r="C133" s="18" t="n">
        <f aca="false">IFERROR((B133/B132-1)*100,"")</f>
        <v>0.895337698845822</v>
      </c>
      <c r="D133" s="18" t="n">
        <f aca="false">IFERROR((B133/B129-1)*100,"")</f>
        <v>2.13735480538004</v>
      </c>
      <c r="E133" s="19"/>
      <c r="F133" s="19"/>
      <c r="G133" s="19"/>
    </row>
    <row r="134" customFormat="false" ht="15" hidden="false" customHeight="false" outlineLevel="0" collapsed="false">
      <c r="A134" s="12" t="n">
        <v>40909</v>
      </c>
      <c r="B134" s="13" t="n">
        <v>114.346978794082</v>
      </c>
      <c r="C134" s="21" t="n">
        <f aca="false">IFERROR((B134/B133-1)*100,"")</f>
        <v>-0.169166406764165</v>
      </c>
      <c r="D134" s="21" t="n">
        <f aca="false">IFERROR((B134/B130-1)*100,"")</f>
        <v>1.27953976834252</v>
      </c>
      <c r="E134" s="14"/>
      <c r="F134" s="14"/>
      <c r="G134" s="14"/>
    </row>
    <row r="135" customFormat="false" ht="15" hidden="false" customHeight="false" outlineLevel="0" collapsed="false">
      <c r="A135" s="16" t="n">
        <v>41000</v>
      </c>
      <c r="B135" s="17" t="n">
        <v>116.081091003825</v>
      </c>
      <c r="C135" s="18" t="n">
        <f aca="false">IFERROR((B135/B134-1)*100,"")</f>
        <v>1.51653522290756</v>
      </c>
      <c r="D135" s="18" t="n">
        <f aca="false">IFERROR((B135/B131-1)*100,"")</f>
        <v>2.4313227938505</v>
      </c>
      <c r="E135" s="19"/>
      <c r="F135" s="19"/>
      <c r="G135" s="19"/>
    </row>
    <row r="136" customFormat="false" ht="15" hidden="false" customHeight="false" outlineLevel="0" collapsed="false">
      <c r="A136" s="12" t="n">
        <v>41091</v>
      </c>
      <c r="B136" s="13" t="n">
        <v>115.927707139624</v>
      </c>
      <c r="C136" s="21" t="n">
        <f aca="false">IFERROR((B136/B135-1)*100,"")</f>
        <v>-0.132135098726061</v>
      </c>
      <c r="D136" s="21" t="n">
        <f aca="false">IFERROR((B136/B132-1)*100,"")</f>
        <v>2.11707055711741</v>
      </c>
      <c r="E136" s="14"/>
      <c r="F136" s="14"/>
      <c r="G136" s="14"/>
    </row>
    <row r="137" customFormat="false" ht="15" hidden="false" customHeight="false" outlineLevel="0" collapsed="false">
      <c r="A137" s="16" t="n">
        <v>41183</v>
      </c>
      <c r="B137" s="17" t="n">
        <v>116.946195464223</v>
      </c>
      <c r="C137" s="18" t="n">
        <f aca="false">IFERROR((B137/B136-1)*100,"")</f>
        <v>0.878554704245316</v>
      </c>
      <c r="D137" s="18" t="n">
        <f aca="false">IFERROR((B137/B133-1)*100,"")</f>
        <v>2.10008433869673</v>
      </c>
      <c r="E137" s="19"/>
      <c r="F137" s="19"/>
      <c r="G137" s="19"/>
    </row>
    <row r="138" customFormat="false" ht="15" hidden="false" customHeight="false" outlineLevel="0" collapsed="false">
      <c r="A138" s="12" t="n">
        <v>41275</v>
      </c>
      <c r="B138" s="13" t="n">
        <v>117.845560340469</v>
      </c>
      <c r="C138" s="21" t="n">
        <f aca="false">IFERROR((B138/B137-1)*100,"")</f>
        <v>0.769041585898234</v>
      </c>
      <c r="D138" s="21" t="n">
        <f aca="false">IFERROR((B138/B134-1)*100,"")</f>
        <v>3.05961870027858</v>
      </c>
      <c r="E138" s="14"/>
      <c r="F138" s="14"/>
      <c r="G138" s="14"/>
    </row>
    <row r="139" customFormat="false" ht="15" hidden="false" customHeight="false" outlineLevel="0" collapsed="false">
      <c r="A139" s="16" t="n">
        <v>41365</v>
      </c>
      <c r="B139" s="17" t="n">
        <v>117.069993526723</v>
      </c>
      <c r="C139" s="18" t="n">
        <f aca="false">IFERROR((B139/B138-1)*100,"")</f>
        <v>-0.658121367920528</v>
      </c>
      <c r="D139" s="18" t="n">
        <f aca="false">IFERROR((B139/B135-1)*100,"")</f>
        <v>0.851906640734046</v>
      </c>
      <c r="E139" s="19"/>
      <c r="F139" s="19"/>
      <c r="G139" s="19"/>
    </row>
    <row r="140" customFormat="false" ht="15" hidden="false" customHeight="false" outlineLevel="0" collapsed="false">
      <c r="A140" s="12" t="n">
        <v>41456</v>
      </c>
      <c r="B140" s="13" t="n">
        <v>118.039480708892</v>
      </c>
      <c r="C140" s="21" t="n">
        <f aca="false">IFERROR((B140/B139-1)*100,"")</f>
        <v>0.828126108974203</v>
      </c>
      <c r="D140" s="21" t="n">
        <f aca="false">IFERROR((B140/B136-1)*100,"")</f>
        <v>1.82162972198188</v>
      </c>
      <c r="E140" s="14"/>
      <c r="F140" s="14"/>
      <c r="G140" s="14"/>
    </row>
    <row r="141" customFormat="false" ht="15" hidden="false" customHeight="false" outlineLevel="0" collapsed="false">
      <c r="A141" s="16" t="n">
        <v>41548</v>
      </c>
      <c r="B141" s="17" t="n">
        <v>119.883462402309</v>
      </c>
      <c r="C141" s="18" t="n">
        <f aca="false">IFERROR((B141/B140-1)*100,"")</f>
        <v>1.56217367472593</v>
      </c>
      <c r="D141" s="18" t="n">
        <f aca="false">IFERROR((B141/B137-1)*100,"")</f>
        <v>2.51163958470517</v>
      </c>
      <c r="E141" s="19"/>
      <c r="F141" s="19"/>
      <c r="G141" s="19"/>
    </row>
    <row r="142" customFormat="false" ht="15" hidden="false" customHeight="false" outlineLevel="0" collapsed="false">
      <c r="A142" s="12" t="n">
        <v>41640</v>
      </c>
      <c r="B142" s="13" t="n">
        <v>119.98925602101</v>
      </c>
      <c r="C142" s="21" t="n">
        <f aca="false">IFERROR((B142/B141-1)*100,"")</f>
        <v>0.0882470497435728</v>
      </c>
      <c r="D142" s="21" t="n">
        <f aca="false">IFERROR((B142/B138-1)*100,"")</f>
        <v>1.81907207564502</v>
      </c>
      <c r="E142" s="14"/>
      <c r="F142" s="14"/>
      <c r="G142" s="14"/>
    </row>
    <row r="143" customFormat="false" ht="15" hidden="false" customHeight="false" outlineLevel="0" collapsed="false">
      <c r="A143" s="16" t="n">
        <v>41730</v>
      </c>
      <c r="B143" s="17" t="n">
        <v>119.894191774903</v>
      </c>
      <c r="C143" s="18" t="n">
        <f aca="false">IFERROR((B143/B142-1)*100,"")</f>
        <v>-0.0792272985591702</v>
      </c>
      <c r="D143" s="18" t="n">
        <f aca="false">IFERROR((B143/B139-1)*100,"")</f>
        <v>2.4124014729153</v>
      </c>
      <c r="E143" s="19"/>
      <c r="F143" s="19"/>
      <c r="G143" s="19"/>
    </row>
    <row r="144" customFormat="false" ht="15" hidden="false" customHeight="false" outlineLevel="0" collapsed="false">
      <c r="A144" s="12" t="n">
        <v>41821</v>
      </c>
      <c r="B144" s="13" t="n">
        <v>121.24663727055</v>
      </c>
      <c r="C144" s="21" t="n">
        <f aca="false">IFERROR((B144/B143-1)*100,"")</f>
        <v>1.12803253904539</v>
      </c>
      <c r="D144" s="21" t="n">
        <f aca="false">IFERROR((B144/B140-1)*100,"")</f>
        <v>2.71702022272291</v>
      </c>
      <c r="E144" s="14"/>
      <c r="F144" s="14"/>
      <c r="G144" s="14"/>
    </row>
    <row r="145" customFormat="false" ht="15" hidden="false" customHeight="false" outlineLevel="0" collapsed="false">
      <c r="A145" s="16" t="n">
        <v>41913</v>
      </c>
      <c r="B145" s="17" t="n">
        <v>122.437120791625</v>
      </c>
      <c r="C145" s="18" t="n">
        <f aca="false">IFERROR((B145/B144-1)*100,"")</f>
        <v>0.981869310254813</v>
      </c>
      <c r="D145" s="18" t="n">
        <f aca="false">IFERROR((B145/B141-1)*100,"")</f>
        <v>2.13011731405124</v>
      </c>
      <c r="E145" s="19"/>
      <c r="F145" s="19"/>
      <c r="G145" s="19"/>
    </row>
    <row r="146" customFormat="false" ht="15" hidden="false" customHeight="false" outlineLevel="0" collapsed="false">
      <c r="A146" s="12" t="n">
        <v>42005</v>
      </c>
      <c r="B146" s="13" t="n">
        <v>121.972281087494</v>
      </c>
      <c r="C146" s="21" t="n">
        <f aca="false">IFERROR((B146/B145-1)*100,"")</f>
        <v>-0.379655860188521</v>
      </c>
      <c r="D146" s="21" t="n">
        <f aca="false">IFERROR((B146/B142-1)*100,"")</f>
        <v>1.65266885739876</v>
      </c>
      <c r="E146" s="14"/>
      <c r="F146" s="14"/>
      <c r="G146" s="14"/>
    </row>
    <row r="147" customFormat="false" ht="15" hidden="false" customHeight="false" outlineLevel="0" collapsed="false">
      <c r="A147" s="16" t="n">
        <v>42095</v>
      </c>
      <c r="B147" s="17" t="n">
        <v>122.564713764803</v>
      </c>
      <c r="C147" s="18" t="n">
        <f aca="false">IFERROR((B147/B146-1)*100,"")</f>
        <v>0.48571091073073</v>
      </c>
      <c r="D147" s="18" t="n">
        <f aca="false">IFERROR((B147/B143-1)*100,"")</f>
        <v>2.22739896767752</v>
      </c>
      <c r="E147" s="19"/>
      <c r="F147" s="19"/>
      <c r="G147" s="19"/>
    </row>
    <row r="148" customFormat="false" ht="15" hidden="false" customHeight="false" outlineLevel="0" collapsed="false">
      <c r="A148" s="12" t="n">
        <v>42186</v>
      </c>
      <c r="B148" s="13" t="n">
        <v>124.744572419701</v>
      </c>
      <c r="C148" s="21" t="n">
        <f aca="false">IFERROR((B148/B147-1)*100,"")</f>
        <v>1.77853689527727</v>
      </c>
      <c r="D148" s="21" t="n">
        <f aca="false">IFERROR((B148/B144-1)*100,"")</f>
        <v>2.88497497983866</v>
      </c>
      <c r="E148" s="14"/>
      <c r="F148" s="14"/>
      <c r="G148" s="14"/>
    </row>
    <row r="149" customFormat="false" ht="15" hidden="false" customHeight="false" outlineLevel="0" collapsed="false">
      <c r="A149" s="16" t="n">
        <v>42278</v>
      </c>
      <c r="B149" s="17" t="n">
        <v>123.901384535924</v>
      </c>
      <c r="C149" s="18" t="n">
        <f aca="false">IFERROR((B149/B148-1)*100,"")</f>
        <v>-0.67593151944112</v>
      </c>
      <c r="D149" s="18" t="n">
        <f aca="false">IFERROR((B149/B145-1)*100,"")</f>
        <v>1.19593121337018</v>
      </c>
      <c r="E149" s="19"/>
      <c r="F149" s="19"/>
      <c r="G149" s="19"/>
    </row>
    <row r="150" customFormat="false" ht="15" hidden="false" customHeight="false" outlineLevel="0" collapsed="false">
      <c r="A150" s="12" t="n">
        <v>42370</v>
      </c>
      <c r="B150" s="13" t="n">
        <v>124.850412076622</v>
      </c>
      <c r="C150" s="21" t="n">
        <f aca="false">IFERROR((B150/B149-1)*100,"")</f>
        <v>0.76595394333383</v>
      </c>
      <c r="D150" s="21" t="n">
        <f aca="false">IFERROR((B150/B146-1)*100,"")</f>
        <v>2.35965988621945</v>
      </c>
      <c r="E150" s="14"/>
      <c r="F150" s="14"/>
      <c r="G150" s="14"/>
    </row>
    <row r="151" customFormat="false" ht="15" hidden="false" customHeight="false" outlineLevel="0" collapsed="false">
      <c r="A151" s="16" t="n">
        <v>42461</v>
      </c>
      <c r="B151" s="17" t="n">
        <v>124.335440830072</v>
      </c>
      <c r="C151" s="18" t="n">
        <f aca="false">IFERROR((B151/B150-1)*100,"")</f>
        <v>-0.412470602206549</v>
      </c>
      <c r="D151" s="18" t="n">
        <f aca="false">IFERROR((B151/B147-1)*100,"")</f>
        <v>1.44472826711566</v>
      </c>
      <c r="E151" s="19"/>
      <c r="F151" s="19"/>
      <c r="G151" s="19"/>
    </row>
    <row r="152" customFormat="false" ht="15" hidden="false" customHeight="false" outlineLevel="0" collapsed="false">
      <c r="A152" s="12" t="n">
        <v>42552</v>
      </c>
      <c r="B152" s="13" t="n">
        <v>125.703505981366</v>
      </c>
      <c r="C152" s="21" t="n">
        <f aca="false">IFERROR((B152/B151-1)*100,"")</f>
        <v>1.10030184648946</v>
      </c>
      <c r="D152" s="21" t="n">
        <f aca="false">IFERROR((B152/B148-1)*100,"")</f>
        <v>0.768717662872964</v>
      </c>
      <c r="E152" s="14"/>
      <c r="F152" s="14"/>
      <c r="G152" s="14"/>
    </row>
    <row r="153" customFormat="false" ht="15" hidden="false" customHeight="false" outlineLevel="0" collapsed="false">
      <c r="A153" s="16" t="n">
        <v>42644</v>
      </c>
      <c r="B153" s="17" t="n">
        <v>126.924146864189</v>
      </c>
      <c r="C153" s="18" t="n">
        <f aca="false">IFERROR((B153/B152-1)*100,"")</f>
        <v>0.971047603877828</v>
      </c>
      <c r="D153" s="18" t="n">
        <f aca="false">IFERROR((B153/B149-1)*100,"")</f>
        <v>2.43965177595613</v>
      </c>
      <c r="E153" s="19"/>
      <c r="F153" s="19"/>
      <c r="G153" s="19"/>
    </row>
    <row r="154" customFormat="false" ht="15" hidden="false" customHeight="false" outlineLevel="0" collapsed="false">
      <c r="A154" s="12" t="n">
        <v>42736</v>
      </c>
      <c r="B154" s="13" t="n">
        <v>127.177414253379</v>
      </c>
      <c r="C154" s="21" t="n">
        <f aca="false">IFERROR((B154/B153-1)*100,"")</f>
        <v>0.199542321494972</v>
      </c>
      <c r="D154" s="21" t="n">
        <f aca="false">IFERROR((B154/B150-1)*100,"")</f>
        <v>1.86383219570727</v>
      </c>
      <c r="E154" s="14"/>
      <c r="F154" s="14"/>
      <c r="G154" s="14"/>
    </row>
    <row r="155" customFormat="false" ht="15" hidden="false" customHeight="false" outlineLevel="0" collapsed="false">
      <c r="A155" s="16" t="n">
        <v>42826</v>
      </c>
      <c r="B155" s="17" t="n">
        <v>128.329212781796</v>
      </c>
      <c r="C155" s="18" t="n">
        <f aca="false">IFERROR((B155/B154-1)*100,"")</f>
        <v>0.905662798051421</v>
      </c>
      <c r="D155" s="18" t="n">
        <f aca="false">IFERROR((B155/B151-1)*100,"")</f>
        <v>3.2120945766235</v>
      </c>
      <c r="E155" s="19"/>
      <c r="F155" s="19"/>
      <c r="G155" s="19"/>
    </row>
    <row r="156" customFormat="false" ht="15" hidden="false" customHeight="false" outlineLevel="0" collapsed="false">
      <c r="A156" s="12" t="n">
        <v>42917</v>
      </c>
      <c r="B156" s="13" t="n">
        <v>128.773958741107</v>
      </c>
      <c r="C156" s="21" t="n">
        <f aca="false">IFERROR((B156/B155-1)*100,"")</f>
        <v>0.346566420591654</v>
      </c>
      <c r="D156" s="21" t="n">
        <f aca="false">IFERROR((B156/B152-1)*100,"")</f>
        <v>2.44261505339083</v>
      </c>
      <c r="E156" s="14"/>
      <c r="F156" s="14"/>
      <c r="G156" s="14"/>
    </row>
    <row r="157" customFormat="false" ht="15" hidden="false" customHeight="false" outlineLevel="0" collapsed="false">
      <c r="A157" s="16" t="n">
        <v>43009</v>
      </c>
      <c r="B157" s="17" t="n">
        <v>128.563134987783</v>
      </c>
      <c r="C157" s="18" t="n">
        <f aca="false">IFERROR((B157/B156-1)*100,"")</f>
        <v>-0.163716139027903</v>
      </c>
      <c r="D157" s="18" t="n">
        <f aca="false">IFERROR((B157/B153-1)*100,"")</f>
        <v>1.29131309060351</v>
      </c>
      <c r="E157" s="19"/>
      <c r="F157" s="19"/>
      <c r="G157" s="19"/>
    </row>
    <row r="158" customFormat="false" ht="15" hidden="false" customHeight="false" outlineLevel="0" collapsed="false">
      <c r="A158" s="12" t="n">
        <v>43101</v>
      </c>
      <c r="B158" s="13" t="n">
        <v>128.958945493466</v>
      </c>
      <c r="C158" s="21" t="n">
        <f aca="false">IFERROR((B158/B157-1)*100,"")</f>
        <v>0.307872475045223</v>
      </c>
      <c r="D158" s="21" t="n">
        <f aca="false">IFERROR((B158/B154-1)*100,"")</f>
        <v>1.40082360578335</v>
      </c>
      <c r="E158" s="14"/>
      <c r="F158" s="14"/>
      <c r="G158" s="14"/>
    </row>
    <row r="159" customFormat="false" ht="15" hidden="false" customHeight="false" outlineLevel="0" collapsed="false">
      <c r="A159" s="16" t="n">
        <v>43191</v>
      </c>
      <c r="B159" s="17" t="n">
        <v>130.828825369287</v>
      </c>
      <c r="C159" s="18" t="n">
        <f aca="false">IFERROR((B159/B158-1)*100,"")</f>
        <v>1.4499807428376</v>
      </c>
      <c r="D159" s="18" t="n">
        <f aca="false">IFERROR((B159/B155-1)*100,"")</f>
        <v>1.94781260891976</v>
      </c>
      <c r="E159" s="19"/>
      <c r="F159" s="19"/>
      <c r="G159" s="19"/>
    </row>
    <row r="160" customFormat="false" ht="15" hidden="false" customHeight="false" outlineLevel="0" collapsed="false">
      <c r="A160" s="12" t="n">
        <v>43282</v>
      </c>
      <c r="B160" s="13" t="n">
        <v>130.629567010555</v>
      </c>
      <c r="C160" s="21" t="n">
        <f aca="false">IFERROR((B160/B159-1)*100,"")</f>
        <v>-0.152304630244482</v>
      </c>
      <c r="D160" s="21" t="n">
        <f aca="false">IFERROR((B160/B156-1)*100,"")</f>
        <v>1.44098099304277</v>
      </c>
      <c r="E160" s="14"/>
      <c r="F160" s="14"/>
      <c r="G160" s="14"/>
    </row>
    <row r="161" customFormat="false" ht="15" hidden="false" customHeight="false" outlineLevel="0" collapsed="false">
      <c r="A161" s="16" t="n">
        <v>43374</v>
      </c>
      <c r="B161" s="17" t="n">
        <v>131.857448542395</v>
      </c>
      <c r="C161" s="18" t="n">
        <f aca="false">IFERROR((B161/B160-1)*100,"")</f>
        <v>0.939972136431022</v>
      </c>
      <c r="D161" s="18" t="n">
        <f aca="false">IFERROR((B161/B157-1)*100,"")</f>
        <v>2.56240916567969</v>
      </c>
      <c r="E161" s="19"/>
      <c r="F161" s="19"/>
      <c r="G161" s="19"/>
    </row>
    <row r="162" customFormat="false" ht="15" hidden="false" customHeight="false" outlineLevel="0" collapsed="false">
      <c r="A162" s="12" t="n">
        <v>43466</v>
      </c>
      <c r="B162" s="13" t="n">
        <v>132.065293368163</v>
      </c>
      <c r="C162" s="21" t="n">
        <f aca="false">IFERROR((B162/B161-1)*100,"")</f>
        <v>0.157628429842993</v>
      </c>
      <c r="D162" s="21" t="n">
        <f aca="false">IFERROR((B162/B158-1)*100,"")</f>
        <v>2.40878820993096</v>
      </c>
      <c r="E162" s="14"/>
      <c r="F162" s="14"/>
      <c r="G162" s="14"/>
    </row>
    <row r="163" customFormat="false" ht="15" hidden="false" customHeight="false" outlineLevel="0" collapsed="false">
      <c r="A163" s="16" t="n">
        <v>43556</v>
      </c>
      <c r="B163" s="17" t="n">
        <v>132.785051048499</v>
      </c>
      <c r="C163" s="18" t="n">
        <f aca="false">IFERROR((B163/B162-1)*100,"")</f>
        <v>0.545001386798116</v>
      </c>
      <c r="D163" s="18" t="n">
        <f aca="false">IFERROR((B163/B159-1)*100,"")</f>
        <v>1.49525586099999</v>
      </c>
      <c r="E163" s="19"/>
      <c r="F163" s="19"/>
      <c r="G163" s="19"/>
    </row>
    <row r="164" customFormat="false" ht="15" hidden="false" customHeight="false" outlineLevel="0" collapsed="false">
      <c r="A164" s="12" t="n">
        <v>43647</v>
      </c>
      <c r="B164" s="13" t="n">
        <v>132.993285916994</v>
      </c>
      <c r="C164" s="21" t="n">
        <f aca="false">IFERROR((B164/B163-1)*100,"")</f>
        <v>0.156821017765729</v>
      </c>
      <c r="D164" s="21" t="n">
        <f aca="false">IFERROR((B164/B160-1)*100,"")</f>
        <v>1.80948230981093</v>
      </c>
      <c r="E164" s="14"/>
      <c r="F164" s="14"/>
      <c r="G164" s="14"/>
    </row>
    <row r="165" customFormat="false" ht="15" hidden="false" customHeight="false" outlineLevel="0" collapsed="false">
      <c r="A165" s="16" t="n">
        <v>43739</v>
      </c>
      <c r="B165" s="17" t="n">
        <v>135.20261088667</v>
      </c>
      <c r="C165" s="18" t="n">
        <f aca="false">IFERROR((B165/B164-1)*100,"")</f>
        <v>1.66123045568978</v>
      </c>
      <c r="D165" s="18" t="n">
        <f aca="false">IFERROR((B165/B161-1)*100,"")</f>
        <v>2.53695364293285</v>
      </c>
      <c r="E165" s="19"/>
      <c r="F165" s="19"/>
      <c r="G165" s="19"/>
    </row>
    <row r="166" customFormat="false" ht="15" hidden="false" customHeight="false" outlineLevel="0" collapsed="false">
      <c r="A166" s="12" t="n">
        <v>43831</v>
      </c>
      <c r="B166" s="13" t="n">
        <v>135.014182144991</v>
      </c>
      <c r="C166" s="21" t="n">
        <f aca="false">IFERROR((B166/B165-1)*100,"")</f>
        <v>-0.139367679694014</v>
      </c>
      <c r="D166" s="21" t="n">
        <f aca="false">IFERROR((B166/B162-1)*100,"")</f>
        <v>2.23290215136764</v>
      </c>
      <c r="E166" s="14"/>
      <c r="F166" s="14"/>
      <c r="G166" s="14"/>
    </row>
    <row r="167" customFormat="false" ht="15" hidden="false" customHeight="false" outlineLevel="0" collapsed="false">
      <c r="A167" s="16" t="n">
        <v>43922</v>
      </c>
      <c r="B167" s="17" t="n">
        <v>135.334767129236</v>
      </c>
      <c r="C167" s="18" t="n">
        <f aca="false">IFERROR((B167/B166-1)*100,"")</f>
        <v>0.237445414364701</v>
      </c>
      <c r="D167" s="18" t="n">
        <f aca="false">IFERROR((B167/B163-1)*100,"")</f>
        <v>1.92018307829414</v>
      </c>
      <c r="E167" s="19"/>
      <c r="F167" s="19"/>
      <c r="G167" s="19"/>
    </row>
    <row r="168" customFormat="false" ht="15" hidden="false" customHeight="false" outlineLevel="0" collapsed="false">
      <c r="A168" s="12" t="n">
        <v>44013</v>
      </c>
      <c r="B168" s="13" t="n">
        <v>136.178242734799</v>
      </c>
      <c r="C168" s="21" t="n">
        <f aca="false">IFERROR((B168/B167-1)*100,"")</f>
        <v>0.623251233555378</v>
      </c>
      <c r="D168" s="21" t="n">
        <f aca="false">IFERROR((B168/B164-1)*100,"")</f>
        <v>2.39482526944455</v>
      </c>
      <c r="E168" s="14"/>
      <c r="F168" s="14"/>
      <c r="G168" s="14"/>
    </row>
    <row r="169" customFormat="false" ht="15" hidden="false" customHeight="false" outlineLevel="0" collapsed="false">
      <c r="A169" s="16" t="n">
        <v>44105</v>
      </c>
      <c r="B169" s="17" t="n">
        <v>137.290312136711</v>
      </c>
      <c r="C169" s="18" t="n">
        <f aca="false">IFERROR((B169/B168-1)*100,"")</f>
        <v>0.816627810418824</v>
      </c>
      <c r="D169" s="18" t="n">
        <f aca="false">IFERROR((B169/B165-1)*100,"")</f>
        <v>1.54412791021548</v>
      </c>
      <c r="E169" s="19"/>
      <c r="F169" s="19"/>
      <c r="G169" s="19"/>
    </row>
    <row r="170" customFormat="false" ht="15" hidden="false" customHeight="false" outlineLevel="0" collapsed="false">
      <c r="A170" s="12" t="n">
        <v>44197</v>
      </c>
      <c r="B170" s="13" t="n">
        <v>137.176843539752</v>
      </c>
      <c r="C170" s="21" t="n">
        <f aca="false">IFERROR((B170/B169-1)*100,"")</f>
        <v>-0.0826486553877848</v>
      </c>
      <c r="D170" s="21" t="n">
        <f aca="false">IFERROR((B170/B166-1)*100,"")</f>
        <v>1.6018031294212</v>
      </c>
      <c r="E170" s="14"/>
      <c r="F170" s="14"/>
      <c r="G170" s="14"/>
    </row>
    <row r="171" customFormat="false" ht="15" hidden="false" customHeight="false" outlineLevel="0" collapsed="false">
      <c r="A171" s="16" t="n">
        <v>44287</v>
      </c>
      <c r="B171" s="17" t="n">
        <v>137.04440020079</v>
      </c>
      <c r="C171" s="18" t="n">
        <f aca="false">IFERROR((B171/B170-1)*100,"")</f>
        <v>-0.0965493413792706</v>
      </c>
      <c r="D171" s="18" t="n">
        <f aca="false">IFERROR((B171/B167-1)*100,"")</f>
        <v>1.26326228493858</v>
      </c>
      <c r="E171" s="19"/>
      <c r="F171" s="19"/>
      <c r="G171" s="19"/>
    </row>
    <row r="172" customFormat="false" ht="15" hidden="false" customHeight="false" outlineLevel="0" collapsed="false">
      <c r="A172" s="12" t="n">
        <v>44378</v>
      </c>
      <c r="B172" s="13" t="n">
        <v>139.37365264483</v>
      </c>
      <c r="C172" s="21" t="n">
        <f aca="false">IFERROR((B172/B171-1)*100,"")</f>
        <v>1.69963343312693</v>
      </c>
      <c r="D172" s="21" t="n">
        <f aca="false">IFERROR((B172/B168-1)*100,"")</f>
        <v>2.34649077992191</v>
      </c>
      <c r="E172" s="14"/>
      <c r="F172" s="14"/>
      <c r="G172" s="14"/>
    </row>
    <row r="173" customFormat="false" ht="15" hidden="false" customHeight="false" outlineLevel="0" collapsed="false">
      <c r="A173" s="16" t="n">
        <v>44470</v>
      </c>
      <c r="B173" s="17" t="n">
        <v>138.468412891467</v>
      </c>
      <c r="C173" s="18" t="n">
        <f aca="false">IFERROR((B173/B172-1)*100,"")</f>
        <v>-0.649505653461091</v>
      </c>
      <c r="D173" s="18" t="n">
        <f aca="false">IFERROR((B173/B169-1)*100,"")</f>
        <v>0.85810916766158</v>
      </c>
      <c r="E173" s="19"/>
      <c r="F173" s="19"/>
      <c r="G173" s="19"/>
    </row>
    <row r="174" customFormat="false" ht="15" hidden="false" customHeight="false" outlineLevel="0" collapsed="false">
      <c r="A174" s="12" t="n">
        <v>44562</v>
      </c>
      <c r="B174" s="13" t="n">
        <v>140.107553246964</v>
      </c>
      <c r="C174" s="21" t="n">
        <f aca="false">IFERROR((B174/B173-1)*100,"")</f>
        <v>1.18376481774334</v>
      </c>
      <c r="D174" s="21" t="n">
        <f aca="false">IFERROR((B174/B170-1)*100,"")</f>
        <v>2.13644637942299</v>
      </c>
      <c r="E174" s="14"/>
      <c r="F174" s="14"/>
      <c r="G174" s="14"/>
    </row>
    <row r="175" customFormat="false" ht="15" hidden="false" customHeight="false" outlineLevel="0" collapsed="false">
      <c r="A175" s="16" t="n">
        <v>44652</v>
      </c>
      <c r="B175" s="17" t="n">
        <v>141.829812852643</v>
      </c>
      <c r="C175" s="18" t="n">
        <f aca="false">IFERROR((B175/B174-1)*100,"")</f>
        <v>1.22924108355766</v>
      </c>
      <c r="D175" s="18" t="n">
        <f aca="false">IFERROR((B175/B171-1)*100,"")</f>
        <v>3.4918702587206</v>
      </c>
      <c r="E175" s="19"/>
      <c r="F175" s="19"/>
      <c r="G175" s="19"/>
    </row>
    <row r="176" customFormat="false" ht="15" hidden="false" customHeight="false" outlineLevel="0" collapsed="false">
      <c r="A176" s="12" t="n">
        <v>44743</v>
      </c>
      <c r="B176" s="13" t="n">
        <v>141.986733111088</v>
      </c>
      <c r="C176" s="21" t="n">
        <f aca="false">IFERROR((B176/B175-1)*100,"")</f>
        <v>0.110639826203629</v>
      </c>
      <c r="D176" s="21" t="n">
        <f aca="false">IFERROR((B176/B172-1)*100,"")</f>
        <v>1.87487406455262</v>
      </c>
      <c r="E176" s="14"/>
      <c r="F176" s="14"/>
      <c r="G176" s="14"/>
    </row>
    <row r="177" customFormat="false" ht="15" hidden="false" customHeight="false" outlineLevel="0" collapsed="false">
      <c r="A177" s="16" t="n">
        <v>44835</v>
      </c>
      <c r="B177" s="17" t="n">
        <v>141.963885751007</v>
      </c>
      <c r="C177" s="18" t="n">
        <f aca="false">IFERROR((B177/B176-1)*100,"")</f>
        <v>-0.0160911935790709</v>
      </c>
      <c r="D177" s="18" t="n">
        <f aca="false">IFERROR((B177/B173-1)*100,"")</f>
        <v>2.52438284410703</v>
      </c>
      <c r="E177" s="19"/>
      <c r="F177" s="19"/>
      <c r="G177" s="19"/>
    </row>
    <row r="178" customFormat="false" ht="15" hidden="false" customHeight="false" outlineLevel="0" collapsed="false">
      <c r="A178" s="12" t="n">
        <v>44927</v>
      </c>
      <c r="B178" s="13" t="n">
        <v>143.545774223293</v>
      </c>
      <c r="C178" s="21" t="n">
        <f aca="false">IFERROR((B178/B177-1)*100,"")</f>
        <v>1.11428935881708</v>
      </c>
      <c r="D178" s="21" t="n">
        <f aca="false">IFERROR((B178/B174-1)*100,"")</f>
        <v>2.45398688125611</v>
      </c>
      <c r="E178" s="14"/>
      <c r="F178" s="14"/>
      <c r="G178" s="14"/>
    </row>
    <row r="179" customFormat="false" ht="15" hidden="false" customHeight="false" outlineLevel="0" collapsed="false">
      <c r="A179" s="16" t="n">
        <v>45017</v>
      </c>
      <c r="B179" s="17" t="n">
        <v>143.502632545099</v>
      </c>
      <c r="C179" s="18" t="n">
        <f aca="false">IFERROR((B179/B178-1)*100,"")</f>
        <v>-0.0300543003981968</v>
      </c>
      <c r="D179" s="18" t="n">
        <f aca="false">IFERROR((B179/B175-1)*100,"")</f>
        <v>1.17945561572046</v>
      </c>
      <c r="E179" s="19"/>
      <c r="F179" s="19"/>
      <c r="G179" s="19"/>
    </row>
    <row r="180" customFormat="false" ht="15" hidden="false" customHeight="false" outlineLevel="0" collapsed="false">
      <c r="A180" s="12" t="n">
        <v>45108</v>
      </c>
      <c r="B180" s="13" t="n">
        <v>145.089221917108</v>
      </c>
      <c r="C180" s="21" t="n">
        <f aca="false">IFERROR((B180/B179-1)*100,"")</f>
        <v>1.10561691020572</v>
      </c>
      <c r="D180" s="21" t="n">
        <f aca="false">IFERROR((B180/B176-1)*100,"")</f>
        <v>2.18505541894036</v>
      </c>
      <c r="E180" s="14"/>
      <c r="F180" s="14"/>
      <c r="G180" s="14"/>
    </row>
    <row r="181" customFormat="false" ht="15" hidden="false" customHeight="false" outlineLevel="0" collapsed="false">
      <c r="A181" s="16" t="n">
        <v>45200</v>
      </c>
      <c r="B181" s="17" t="n">
        <v>146.145649189659</v>
      </c>
      <c r="C181" s="18" t="n">
        <f aca="false">IFERROR((B181/B180-1)*100,"")</f>
        <v>0.728122501858786</v>
      </c>
      <c r="D181" s="18" t="n">
        <f aca="false">IFERROR((B181/B177-1)*100,"")</f>
        <v>2.94565298528564</v>
      </c>
      <c r="E181" s="19"/>
      <c r="F181" s="19"/>
      <c r="G181" s="19"/>
    </row>
    <row r="182" customFormat="false" ht="15" hidden="false" customHeight="false" outlineLevel="0" collapsed="false">
      <c r="A182" s="12" t="n">
        <v>45292</v>
      </c>
      <c r="B182" s="13" t="n">
        <v>145.802001081458</v>
      </c>
      <c r="C182" s="21" t="n">
        <f aca="false">IFERROR((B182/B181-1)*100,"")</f>
        <v>-0.235140840733661</v>
      </c>
      <c r="D182" s="21" t="n">
        <f aca="false">IFERROR((B182/B178-1)*100,"")</f>
        <v>1.57178215128466</v>
      </c>
      <c r="E182" s="14"/>
      <c r="F182" s="14"/>
      <c r="G182" s="14"/>
    </row>
    <row r="183" customFormat="false" ht="15" hidden="false" customHeight="false" outlineLevel="0" collapsed="false">
      <c r="A183" s="16" t="n">
        <v>45383</v>
      </c>
      <c r="B183" s="17" t="n">
        <v>147.2458492461</v>
      </c>
      <c r="C183" s="18" t="n">
        <f aca="false">IFERROR((B183/B182-1)*100,"")</f>
        <v>0.990280074301198</v>
      </c>
      <c r="D183" s="18" t="n">
        <f aca="false">IFERROR((B183/B179-1)*100,"")</f>
        <v>2.60846552750507</v>
      </c>
      <c r="E183" s="19"/>
      <c r="F183" s="19"/>
      <c r="G183" s="19"/>
    </row>
    <row r="184" customFormat="false" ht="15" hidden="false" customHeight="false" outlineLevel="0" collapsed="false">
      <c r="A184" s="12" t="n">
        <v>45474</v>
      </c>
      <c r="B184" s="13" t="n">
        <v>147.877997574527</v>
      </c>
      <c r="C184" s="21" t="n">
        <f aca="false">IFERROR((B184/B183-1)*100,"")</f>
        <v>0.429314871464026</v>
      </c>
      <c r="D184" s="21" t="n">
        <f aca="false">IFERROR((B184/B180-1)*100,"")</f>
        <v>1.92211083674601</v>
      </c>
      <c r="E184" s="14"/>
      <c r="F184" s="14"/>
      <c r="G184" s="14"/>
    </row>
    <row r="185" customFormat="false" ht="15" hidden="false" customHeight="false" outlineLevel="0" collapsed="false">
      <c r="A185" s="16" t="n">
        <v>45566</v>
      </c>
      <c r="B185" s="17" t="n">
        <v>149.284062247607</v>
      </c>
      <c r="C185" s="18" t="n">
        <f aca="false">IFERROR((B185/B184-1)*100,"")</f>
        <v>0.950827503848695</v>
      </c>
      <c r="D185" s="18" t="n">
        <f aca="false">IFERROR((B185/B181-1)*100,"")</f>
        <v>2.14745568913608</v>
      </c>
      <c r="E185" s="19"/>
      <c r="F185" s="19"/>
      <c r="G185" s="19"/>
    </row>
    <row r="186" customFormat="false" ht="15" hidden="false" customHeight="false" outlineLevel="0" collapsed="false">
      <c r="A186" s="12" t="n">
        <v>45658</v>
      </c>
      <c r="B186" s="13" t="n">
        <v>150.234417903727</v>
      </c>
      <c r="C186" s="21" t="n">
        <f aca="false">IFERROR((B186/B185-1)*100,"")</f>
        <v>0.636608919808346</v>
      </c>
      <c r="D186" s="21" t="n">
        <f aca="false">IFERROR((B186/B182-1)*100,"")</f>
        <v>3.04002468374394</v>
      </c>
      <c r="E186" s="14"/>
      <c r="F186" s="14"/>
      <c r="G186" s="14"/>
    </row>
    <row r="187" customFormat="false" ht="15" hidden="false" customHeight="false" outlineLevel="0" collapsed="false">
      <c r="A187" s="16" t="n">
        <v>45748</v>
      </c>
      <c r="B187" s="17" t="n">
        <v>150.424146209661</v>
      </c>
      <c r="C187" s="18" t="n">
        <f aca="false">IFERROR((B187/B186-1)*100,"")</f>
        <v>0.126288175893019</v>
      </c>
      <c r="D187" s="18" t="n">
        <f aca="false">IFERROR((B187/B183-1)*100,"")</f>
        <v>2.15849681320988</v>
      </c>
      <c r="E187" s="19"/>
      <c r="F187" s="19"/>
      <c r="G187" s="19"/>
    </row>
    <row r="188" customFormat="false" ht="15" hidden="false" customHeight="false" outlineLevel="0" collapsed="false">
      <c r="A188" s="12" t="n">
        <v>45839</v>
      </c>
      <c r="B188" s="13" t="n">
        <v>150.670184589063</v>
      </c>
      <c r="C188" s="21" t="n">
        <f aca="false">IFERROR((B188/B187-1)*100,"")</f>
        <v>0.163563088507401</v>
      </c>
      <c r="D188" s="21" t="n">
        <f aca="false">IFERROR((B188/B184-1)*100,"")</f>
        <v>1.88816934252041</v>
      </c>
      <c r="E188" s="14"/>
      <c r="F188" s="14"/>
      <c r="G188" s="14"/>
    </row>
    <row r="189" customFormat="false" ht="15" hidden="false" customHeight="false" outlineLevel="0" collapsed="false">
      <c r="A189" s="16" t="n">
        <v>45931</v>
      </c>
      <c r="B189" s="17" t="n">
        <v>150.912468938227</v>
      </c>
      <c r="C189" s="18" t="n">
        <f aca="false">IFERROR((B189/B188-1)*100,"")</f>
        <v>0.160804441718065</v>
      </c>
      <c r="D189" s="18" t="n">
        <f aca="false">IFERROR((B189/B185-1)*100,"")</f>
        <v>1.09081081135043</v>
      </c>
      <c r="E189" s="19"/>
      <c r="F189" s="19"/>
      <c r="G189" s="19"/>
    </row>
    <row r="190" customFormat="false" ht="15" hidden="false" customHeight="false" outlineLevel="0" collapsed="false">
      <c r="A190" s="12" t="n">
        <v>46023</v>
      </c>
      <c r="B190" s="14"/>
      <c r="C190" s="21" t="n">
        <f aca="false">IFERROR((B190/B189-1)*100,"")</f>
        <v>-100</v>
      </c>
      <c r="D190" s="21" t="n">
        <f aca="false">IFERROR((B190/B186-1)*100,"")</f>
        <v>-100</v>
      </c>
      <c r="E190" s="13" t="n">
        <v>152.296710710534</v>
      </c>
      <c r="F190" s="13" t="n">
        <v>151.358500326103</v>
      </c>
      <c r="G190" s="22" t="n">
        <f aca="false">153.373789-149.343211</f>
        <v>4.03057799999999</v>
      </c>
    </row>
    <row r="191" customFormat="false" ht="15" hidden="false" customHeight="false" outlineLevel="0" collapsed="false">
      <c r="A191" s="16" t="n">
        <v>46113</v>
      </c>
      <c r="B191" s="19"/>
      <c r="C191" s="18" t="str">
        <f aca="false">IFERROR((B191/B190-1)*100,"")</f>
        <v/>
      </c>
      <c r="D191" s="18" t="n">
        <f aca="false">IFERROR((B191/B187-1)*100,"")</f>
        <v>-100</v>
      </c>
      <c r="E191" s="17" t="n">
        <v>153.067280789102</v>
      </c>
      <c r="F191" s="17" t="n">
        <v>151.502804815413</v>
      </c>
      <c r="G191" s="23" t="n">
        <f aca="false">154.352854-148.652756</f>
        <v>5.700098</v>
      </c>
    </row>
    <row r="192" customFormat="false" ht="15" hidden="false" customHeight="false" outlineLevel="0" collapsed="false">
      <c r="A192" s="12" t="n">
        <v>46204</v>
      </c>
      <c r="B192" s="14"/>
      <c r="C192" s="21" t="str">
        <f aca="false">IFERROR((B192/B191-1)*100,"")</f>
        <v/>
      </c>
      <c r="D192" s="21" t="n">
        <f aca="false">IFERROR((B192/B188-1)*100,"")</f>
        <v>-100</v>
      </c>
      <c r="E192" s="13" t="n">
        <v>153.841749692819</v>
      </c>
      <c r="F192" s="13" t="n">
        <v>152.150432367524</v>
      </c>
      <c r="G192" s="22" t="n">
        <f aca="false">155.641015-148.65985</f>
        <v>6.981165</v>
      </c>
    </row>
    <row r="193" customFormat="false" ht="15" hidden="false" customHeight="false" outlineLevel="0" collapsed="false">
      <c r="A193" s="16" t="n">
        <v>46296</v>
      </c>
      <c r="B193" s="19"/>
      <c r="C193" s="18" t="str">
        <f aca="false">IFERROR((B193/B192-1)*100,"")</f>
        <v/>
      </c>
      <c r="D193" s="18" t="n">
        <f aca="false">IFERROR((B193/B189-1)*100,"")</f>
        <v>-100</v>
      </c>
      <c r="E193" s="17" t="n">
        <v>154.620137148429</v>
      </c>
      <c r="F193" s="17" t="n">
        <v>152.918001848078</v>
      </c>
      <c r="G193" s="23" t="n">
        <f aca="false">156.94858-148.887424</f>
        <v>8.06115599999998</v>
      </c>
    </row>
    <row r="194" customFormat="false" ht="15" hidden="false" customHeight="false" outlineLevel="0" collapsed="false">
      <c r="A194" s="12" t="n">
        <v>46388</v>
      </c>
      <c r="B194" s="14"/>
      <c r="C194" s="21" t="str">
        <f aca="false">IFERROR((B194/B193-1)*100,"")</f>
        <v/>
      </c>
      <c r="D194" s="21" t="str">
        <f aca="false">IFERROR((B194/B190-1)*100,"")</f>
        <v/>
      </c>
      <c r="E194" s="13" t="n">
        <v>155.402462982485</v>
      </c>
      <c r="F194" s="13" t="n">
        <v>152.882039960331</v>
      </c>
      <c r="G194" s="22" t="n">
        <f aca="false">157.388363-148.375717</f>
        <v>9.01264599999999</v>
      </c>
    </row>
    <row r="195" customFormat="false" ht="15" hidden="false" customHeight="false" outlineLevel="0" collapsed="false">
      <c r="A195" s="16" t="n">
        <v>46478</v>
      </c>
      <c r="B195" s="19"/>
      <c r="C195" s="18" t="str">
        <f aca="false">IFERROR((B195/B194-1)*100,"")</f>
        <v/>
      </c>
      <c r="D195" s="18" t="str">
        <f aca="false">IFERROR((B195/B191-1)*100,"")</f>
        <v/>
      </c>
      <c r="E195" s="17" t="n">
        <v>156.188747121856</v>
      </c>
      <c r="F195" s="17" t="n">
        <v>152.950167467929</v>
      </c>
      <c r="G195" s="23" t="n">
        <f aca="false">157.886597-148.013738</f>
        <v>9.87285900000001</v>
      </c>
    </row>
    <row r="196" customFormat="false" ht="15" hidden="false" customHeight="false" outlineLevel="0" collapsed="false">
      <c r="A196" s="12" t="n">
        <v>46569</v>
      </c>
      <c r="B196" s="14"/>
      <c r="C196" s="21" t="str">
        <f aca="false">IFERROR((B196/B195-1)*100,"")</f>
        <v/>
      </c>
      <c r="D196" s="21" t="str">
        <f aca="false">IFERROR((B196/B192-1)*100,"")</f>
        <v/>
      </c>
      <c r="E196" s="13" t="n">
        <v>156.979009594233</v>
      </c>
      <c r="F196" s="13" t="n">
        <v>153.525426887414</v>
      </c>
      <c r="G196" s="22" t="n">
        <f aca="false">158.85738-148.193474</f>
        <v>10.663906</v>
      </c>
    </row>
    <row r="197" customFormat="false" ht="15" hidden="false" customHeight="false" outlineLevel="0" collapsed="false">
      <c r="A197" s="16" t="n">
        <v>46661</v>
      </c>
      <c r="B197" s="19"/>
      <c r="C197" s="18" t="str">
        <f aca="false">IFERROR((B197/B196-1)*100,"")</f>
        <v/>
      </c>
      <c r="D197" s="18" t="str">
        <f aca="false">IFERROR((B197/B193-1)*100,"")</f>
        <v/>
      </c>
      <c r="E197" s="17" t="n">
        <v>157.773270528643</v>
      </c>
      <c r="F197" s="17" t="n">
        <v>154.224246641974</v>
      </c>
      <c r="G197" s="23" t="n">
        <f aca="false">159.924344-148.524149</f>
        <v>11.400195</v>
      </c>
    </row>
    <row r="200" customFormat="false" ht="21.75" hidden="false" customHeight="true" outlineLevel="0" collapsed="false">
      <c r="A200" s="9" t="s">
        <v>138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customFormat="false" ht="15" hidden="false" customHeight="false" outlineLevel="0" collapsed="false">
      <c r="A201" s="5" t="s">
        <v>113</v>
      </c>
      <c r="B201" s="10" t="s">
        <v>114</v>
      </c>
      <c r="D201" s="5" t="s">
        <v>115</v>
      </c>
      <c r="E201" s="2" t="s">
        <v>139</v>
      </c>
      <c r="H201" s="5" t="s">
        <v>117</v>
      </c>
      <c r="I201" s="2" t="s">
        <v>118</v>
      </c>
    </row>
    <row r="202" customFormat="false" ht="18" hidden="false" customHeight="true" outlineLevel="0" collapsed="false">
      <c r="A202" s="11" t="s">
        <v>119</v>
      </c>
      <c r="B202" s="11"/>
      <c r="C202" s="11"/>
      <c r="D202" s="11"/>
      <c r="E202" s="11"/>
      <c r="F202" s="11"/>
      <c r="G202" s="11"/>
      <c r="I202" s="11" t="s">
        <v>120</v>
      </c>
      <c r="J202" s="11"/>
      <c r="K202" s="11"/>
      <c r="L202" s="11"/>
    </row>
    <row r="203" customFormat="false" ht="15" hidden="false" customHeight="false" outlineLevel="0" collapsed="false">
      <c r="A203" s="6" t="s">
        <v>121</v>
      </c>
      <c r="B203" s="6" t="s">
        <v>122</v>
      </c>
      <c r="C203" s="6" t="s">
        <v>123</v>
      </c>
      <c r="D203" s="6" t="s">
        <v>124</v>
      </c>
      <c r="E203" s="6" t="s">
        <v>125</v>
      </c>
      <c r="F203" s="6" t="s">
        <v>126</v>
      </c>
      <c r="G203" s="6" t="s">
        <v>127</v>
      </c>
      <c r="I203" s="6" t="s">
        <v>128</v>
      </c>
      <c r="J203" s="6" t="s">
        <v>122</v>
      </c>
      <c r="K203" s="6" t="s">
        <v>124</v>
      </c>
      <c r="L203" s="6" t="s">
        <v>129</v>
      </c>
    </row>
    <row r="204" customFormat="false" ht="15" hidden="false" customHeight="false" outlineLevel="0" collapsed="false">
      <c r="A204" s="12" t="n">
        <v>38353</v>
      </c>
      <c r="B204" s="13" t="n">
        <v>101.581955400777</v>
      </c>
      <c r="C204" s="14"/>
      <c r="D204" s="14"/>
      <c r="E204" s="14"/>
      <c r="F204" s="14"/>
      <c r="G204" s="14"/>
      <c r="I204" s="15" t="n">
        <v>2005</v>
      </c>
      <c r="J204" s="13" t="n">
        <v>101.312421751652</v>
      </c>
      <c r="K204" s="14"/>
      <c r="L204" s="14"/>
    </row>
    <row r="205" customFormat="false" ht="15" hidden="false" customHeight="false" outlineLevel="0" collapsed="false">
      <c r="A205" s="16" t="n">
        <v>38443</v>
      </c>
      <c r="B205" s="17" t="n">
        <v>100.630198911237</v>
      </c>
      <c r="C205" s="18" t="n">
        <f aca="false">IFERROR((B205/B204-1)*100,"")</f>
        <v>-0.936934602001682</v>
      </c>
      <c r="D205" s="19"/>
      <c r="E205" s="19"/>
      <c r="F205" s="19"/>
      <c r="G205" s="19"/>
      <c r="I205" s="20" t="n">
        <v>2006</v>
      </c>
      <c r="J205" s="17" t="n">
        <v>102.55012848141</v>
      </c>
      <c r="K205" s="18" t="n">
        <f aca="false">IFERROR((J205/J204-1)*100,"")</f>
        <v>1.22167322462374</v>
      </c>
      <c r="L205" s="19"/>
    </row>
    <row r="206" customFormat="false" ht="15" hidden="false" customHeight="false" outlineLevel="0" collapsed="false">
      <c r="A206" s="12" t="n">
        <v>38534</v>
      </c>
      <c r="B206" s="13" t="n">
        <v>101.309614940888</v>
      </c>
      <c r="C206" s="21" t="n">
        <f aca="false">IFERROR((B206/B205-1)*100,"")</f>
        <v>0.675161171300664</v>
      </c>
      <c r="D206" s="14"/>
      <c r="E206" s="14"/>
      <c r="F206" s="14"/>
      <c r="G206" s="14"/>
      <c r="I206" s="15" t="n">
        <v>2007</v>
      </c>
      <c r="J206" s="13" t="n">
        <v>104.540874854328</v>
      </c>
      <c r="K206" s="21" t="n">
        <f aca="false">IFERROR((J206/J205-1)*100,"")</f>
        <v>1.94124220261604</v>
      </c>
      <c r="L206" s="14"/>
    </row>
    <row r="207" customFormat="false" ht="15" hidden="false" customHeight="false" outlineLevel="0" collapsed="false">
      <c r="A207" s="16" t="n">
        <v>38626</v>
      </c>
      <c r="B207" s="17" t="n">
        <v>101.727917753705</v>
      </c>
      <c r="C207" s="18" t="n">
        <f aca="false">IFERROR((B207/B206-1)*100,"")</f>
        <v>0.41289547202541</v>
      </c>
      <c r="D207" s="19"/>
      <c r="E207" s="19"/>
      <c r="F207" s="19"/>
      <c r="G207" s="19"/>
      <c r="I207" s="20" t="n">
        <v>2008</v>
      </c>
      <c r="J207" s="17" t="n">
        <v>107.110678965837</v>
      </c>
      <c r="K207" s="18" t="n">
        <f aca="false">IFERROR((J207/J206-1)*100,"")</f>
        <v>2.45818118041445</v>
      </c>
      <c r="L207" s="19"/>
    </row>
    <row r="208" customFormat="false" ht="15" hidden="false" customHeight="false" outlineLevel="0" collapsed="false">
      <c r="A208" s="12" t="n">
        <v>38718</v>
      </c>
      <c r="B208" s="13" t="n">
        <v>101.573599150635</v>
      </c>
      <c r="C208" s="21" t="n">
        <f aca="false">IFERROR((B208/B207-1)*100,"")</f>
        <v>-0.151697396818651</v>
      </c>
      <c r="D208" s="21" t="n">
        <f aca="false">IFERROR((B208/B204-1)*100,"")</f>
        <v>-0.0082261166448494</v>
      </c>
      <c r="E208" s="14"/>
      <c r="F208" s="14"/>
      <c r="G208" s="14"/>
      <c r="I208" s="15" t="n">
        <v>2009</v>
      </c>
      <c r="J208" s="13" t="n">
        <v>109.19872955088</v>
      </c>
      <c r="K208" s="21" t="n">
        <f aca="false">IFERROR((J208/J207-1)*100,"")</f>
        <v>1.94943268514645</v>
      </c>
      <c r="L208" s="14"/>
    </row>
    <row r="209" customFormat="false" ht="15" hidden="false" customHeight="false" outlineLevel="0" collapsed="false">
      <c r="A209" s="16" t="n">
        <v>38808</v>
      </c>
      <c r="B209" s="17" t="n">
        <v>101.51408464951</v>
      </c>
      <c r="C209" s="18" t="n">
        <f aca="false">IFERROR((B209/B208-1)*100,"")</f>
        <v>-0.0585924901967405</v>
      </c>
      <c r="D209" s="18" t="n">
        <f aca="false">IFERROR((B209/B205-1)*100,"")</f>
        <v>0.878350383718551</v>
      </c>
      <c r="E209" s="19"/>
      <c r="F209" s="19"/>
      <c r="G209" s="19"/>
      <c r="I209" s="20" t="n">
        <v>2010</v>
      </c>
      <c r="J209" s="17" t="n">
        <v>111.138730756974</v>
      </c>
      <c r="K209" s="18" t="n">
        <f aca="false">IFERROR((J209/J208-1)*100,"")</f>
        <v>1.77657855001883</v>
      </c>
      <c r="L209" s="19"/>
    </row>
    <row r="210" customFormat="false" ht="15" hidden="false" customHeight="false" outlineLevel="0" collapsed="false">
      <c r="A210" s="12" t="n">
        <v>38899</v>
      </c>
      <c r="B210" s="13" t="n">
        <v>104.295305913927</v>
      </c>
      <c r="C210" s="21" t="n">
        <f aca="false">IFERROR((B210/B209-1)*100,"")</f>
        <v>2.73973929235456</v>
      </c>
      <c r="D210" s="21" t="n">
        <f aca="false">IFERROR((B210/B206-1)*100,"")</f>
        <v>2.94709537172861</v>
      </c>
      <c r="E210" s="14"/>
      <c r="F210" s="14"/>
      <c r="G210" s="14"/>
      <c r="I210" s="15" t="n">
        <v>2011</v>
      </c>
      <c r="J210" s="13" t="n">
        <v>113.510697889298</v>
      </c>
      <c r="K210" s="21" t="n">
        <f aca="false">IFERROR((J210/J209-1)*100,"")</f>
        <v>2.13423989654071</v>
      </c>
      <c r="L210" s="14"/>
    </row>
    <row r="211" customFormat="false" ht="15" hidden="false" customHeight="false" outlineLevel="0" collapsed="false">
      <c r="A211" s="16" t="n">
        <v>38991</v>
      </c>
      <c r="B211" s="17" t="n">
        <v>102.817524211565</v>
      </c>
      <c r="C211" s="18" t="n">
        <f aca="false">IFERROR((B211/B210-1)*100,"")</f>
        <v>-1.41692062687968</v>
      </c>
      <c r="D211" s="18" t="n">
        <f aca="false">IFERROR((B211/B207-1)*100,"")</f>
        <v>1.07109875235829</v>
      </c>
      <c r="E211" s="19"/>
      <c r="F211" s="19"/>
      <c r="G211" s="19"/>
      <c r="I211" s="20" t="n">
        <v>2012</v>
      </c>
      <c r="J211" s="17" t="n">
        <v>116.128544920191</v>
      </c>
      <c r="K211" s="18" t="n">
        <f aca="false">IFERROR((J211/J210-1)*100,"")</f>
        <v>2.3062557799143</v>
      </c>
      <c r="L211" s="19"/>
    </row>
    <row r="212" customFormat="false" ht="15" hidden="false" customHeight="false" outlineLevel="0" collapsed="false">
      <c r="A212" s="12" t="n">
        <v>39083</v>
      </c>
      <c r="B212" s="13" t="n">
        <v>103.741265031484</v>
      </c>
      <c r="C212" s="21" t="n">
        <f aca="false">IFERROR((B212/B211-1)*100,"")</f>
        <v>0.898427410115166</v>
      </c>
      <c r="D212" s="21" t="n">
        <f aca="false">IFERROR((B212/B208-1)*100,"")</f>
        <v>2.13408395387666</v>
      </c>
      <c r="E212" s="14"/>
      <c r="F212" s="14"/>
      <c r="G212" s="14"/>
      <c r="I212" s="15" t="n">
        <v>2013</v>
      </c>
      <c r="J212" s="13" t="n">
        <v>118.638220746302</v>
      </c>
      <c r="K212" s="21" t="n">
        <f aca="false">IFERROR((J212/J211-1)*100,"")</f>
        <v>2.16111880833068</v>
      </c>
      <c r="L212" s="14"/>
    </row>
    <row r="213" customFormat="false" ht="15" hidden="false" customHeight="false" outlineLevel="0" collapsed="false">
      <c r="A213" s="16" t="n">
        <v>39173</v>
      </c>
      <c r="B213" s="17" t="n">
        <v>104.616515010859</v>
      </c>
      <c r="C213" s="18" t="n">
        <f aca="false">IFERROR((B213/B212-1)*100,"")</f>
        <v>0.843685469913802</v>
      </c>
      <c r="D213" s="18" t="n">
        <f aca="false">IFERROR((B213/B209-1)*100,"")</f>
        <v>3.05615754903412</v>
      </c>
      <c r="E213" s="19"/>
      <c r="F213" s="19"/>
      <c r="G213" s="19"/>
      <c r="I213" s="20" t="n">
        <v>2014</v>
      </c>
      <c r="J213" s="17" t="n">
        <v>120.782925126953</v>
      </c>
      <c r="K213" s="18" t="n">
        <f aca="false">IFERROR((J213/J212-1)*100,"")</f>
        <v>1.80776849750417</v>
      </c>
      <c r="L213" s="19"/>
    </row>
    <row r="214" customFormat="false" ht="15" hidden="false" customHeight="false" outlineLevel="0" collapsed="false">
      <c r="A214" s="12" t="n">
        <v>39264</v>
      </c>
      <c r="B214" s="13" t="n">
        <v>104.434785585189</v>
      </c>
      <c r="C214" s="21" t="n">
        <f aca="false">IFERROR((B214/B213-1)*100,"")</f>
        <v>-0.173710074027356</v>
      </c>
      <c r="D214" s="21" t="n">
        <f aca="false">IFERROR((B214/B210-1)*100,"")</f>
        <v>0.133735329734885</v>
      </c>
      <c r="E214" s="14"/>
      <c r="F214" s="14"/>
      <c r="G214" s="14"/>
      <c r="I214" s="15" t="n">
        <v>2015</v>
      </c>
      <c r="J214" s="13" t="n">
        <v>122.812281827223</v>
      </c>
      <c r="K214" s="21" t="n">
        <f aca="false">IFERROR((J214/J213-1)*100,"")</f>
        <v>1.68016853221304</v>
      </c>
      <c r="L214" s="14"/>
    </row>
    <row r="215" customFormat="false" ht="15" hidden="false" customHeight="false" outlineLevel="0" collapsed="false">
      <c r="A215" s="16" t="n">
        <v>39356</v>
      </c>
      <c r="B215" s="17" t="n">
        <v>105.370933789778</v>
      </c>
      <c r="C215" s="18" t="n">
        <f aca="false">IFERROR((B215/B214-1)*100,"")</f>
        <v>0.896395007988571</v>
      </c>
      <c r="D215" s="18" t="n">
        <f aca="false">IFERROR((B215/B211-1)*100,"")</f>
        <v>2.48343810823417</v>
      </c>
      <c r="E215" s="19"/>
      <c r="F215" s="19"/>
      <c r="G215" s="19"/>
      <c r="I215" s="20" t="n">
        <v>2016</v>
      </c>
      <c r="J215" s="17" t="n">
        <v>125.326329213818</v>
      </c>
      <c r="K215" s="18" t="n">
        <f aca="false">IFERROR((J215/J214-1)*100,"")</f>
        <v>2.04706512181929</v>
      </c>
      <c r="L215" s="19"/>
    </row>
    <row r="216" customFormat="false" ht="15" hidden="false" customHeight="false" outlineLevel="0" collapsed="false">
      <c r="A216" s="12" t="n">
        <v>39448</v>
      </c>
      <c r="B216" s="13" t="n">
        <v>106.383045545251</v>
      </c>
      <c r="C216" s="21" t="n">
        <f aca="false">IFERROR((B216/B215-1)*100,"")</f>
        <v>0.960522716341705</v>
      </c>
      <c r="D216" s="21" t="n">
        <f aca="false">IFERROR((B216/B212-1)*100,"")</f>
        <v>2.54650886796575</v>
      </c>
      <c r="E216" s="14"/>
      <c r="F216" s="14"/>
      <c r="G216" s="14"/>
      <c r="I216" s="15" t="n">
        <v>2017</v>
      </c>
      <c r="J216" s="13" t="n">
        <v>127.981691761166</v>
      </c>
      <c r="K216" s="21" t="n">
        <f aca="false">IFERROR((J216/J215-1)*100,"")</f>
        <v>2.11875873490048</v>
      </c>
      <c r="L216" s="14"/>
    </row>
    <row r="217" customFormat="false" ht="15" hidden="false" customHeight="false" outlineLevel="0" collapsed="false">
      <c r="A217" s="16" t="n">
        <v>39539</v>
      </c>
      <c r="B217" s="17" t="n">
        <v>106.682173460877</v>
      </c>
      <c r="C217" s="18" t="n">
        <f aca="false">IFERROR((B217/B216-1)*100,"")</f>
        <v>0.281180064072673</v>
      </c>
      <c r="D217" s="18" t="n">
        <f aca="false">IFERROR((B217/B213-1)*100,"")</f>
        <v>1.97450512455264</v>
      </c>
      <c r="E217" s="19"/>
      <c r="F217" s="19"/>
      <c r="G217" s="19"/>
      <c r="I217" s="20" t="n">
        <v>2018</v>
      </c>
      <c r="J217" s="17" t="n">
        <v>130.14832640714</v>
      </c>
      <c r="K217" s="18" t="n">
        <f aca="false">IFERROR((J217/J216-1)*100,"")</f>
        <v>1.69292546157125</v>
      </c>
      <c r="L217" s="19"/>
    </row>
    <row r="218" customFormat="false" ht="15" hidden="false" customHeight="false" outlineLevel="0" collapsed="false">
      <c r="A218" s="12" t="n">
        <v>39630</v>
      </c>
      <c r="B218" s="13" t="n">
        <v>107.4289947817</v>
      </c>
      <c r="C218" s="21" t="n">
        <f aca="false">IFERROR((B218/B217-1)*100,"")</f>
        <v>0.700043218651403</v>
      </c>
      <c r="D218" s="21" t="n">
        <f aca="false">IFERROR((B218/B214-1)*100,"")</f>
        <v>2.86706118055691</v>
      </c>
      <c r="E218" s="14"/>
      <c r="F218" s="14"/>
      <c r="G218" s="14"/>
      <c r="I218" s="15" t="n">
        <v>2019</v>
      </c>
      <c r="J218" s="13" t="n">
        <v>132.712544612195</v>
      </c>
      <c r="K218" s="21" t="n">
        <f aca="false">IFERROR((J218/J217-1)*100,"")</f>
        <v>1.97022756714789</v>
      </c>
      <c r="L218" s="14"/>
    </row>
    <row r="219" customFormat="false" ht="15" hidden="false" customHeight="false" outlineLevel="0" collapsed="false">
      <c r="A219" s="16" t="n">
        <v>39722</v>
      </c>
      <c r="B219" s="17" t="n">
        <v>107.948502075522</v>
      </c>
      <c r="C219" s="18" t="n">
        <f aca="false">IFERROR((B219/B218-1)*100,"")</f>
        <v>0.483582011427419</v>
      </c>
      <c r="D219" s="18" t="n">
        <f aca="false">IFERROR((B219/B215-1)*100,"")</f>
        <v>2.44618529326657</v>
      </c>
      <c r="E219" s="19"/>
      <c r="F219" s="19"/>
      <c r="G219" s="19"/>
      <c r="I219" s="20" t="n">
        <v>2020</v>
      </c>
      <c r="J219" s="17" t="n">
        <v>135.751425376779</v>
      </c>
      <c r="K219" s="18" t="n">
        <f aca="false">IFERROR((J219/J218-1)*100,"")</f>
        <v>2.28982178999277</v>
      </c>
      <c r="L219" s="19"/>
    </row>
    <row r="220" customFormat="false" ht="15" hidden="false" customHeight="false" outlineLevel="0" collapsed="false">
      <c r="A220" s="12" t="n">
        <v>39814</v>
      </c>
      <c r="B220" s="13" t="n">
        <v>107.874870848568</v>
      </c>
      <c r="C220" s="21" t="n">
        <f aca="false">IFERROR((B220/B219-1)*100,"")</f>
        <v>-0.068209586550716</v>
      </c>
      <c r="D220" s="21" t="n">
        <f aca="false">IFERROR((B220/B216-1)*100,"")</f>
        <v>1.40231490428899</v>
      </c>
      <c r="E220" s="14"/>
      <c r="F220" s="14"/>
      <c r="G220" s="14"/>
      <c r="I220" s="15" t="n">
        <v>2021</v>
      </c>
      <c r="J220" s="13" t="n">
        <v>138.758008047525</v>
      </c>
      <c r="K220" s="21" t="n">
        <f aca="false">IFERROR((J220/J219-1)*100,"")</f>
        <v>2.21477060914912</v>
      </c>
      <c r="L220" s="14"/>
    </row>
    <row r="221" customFormat="false" ht="15" hidden="false" customHeight="false" outlineLevel="0" collapsed="false">
      <c r="A221" s="16" t="n">
        <v>39904</v>
      </c>
      <c r="B221" s="17" t="n">
        <v>108.630917631307</v>
      </c>
      <c r="C221" s="18" t="n">
        <f aca="false">IFERROR((B221/B220-1)*100,"")</f>
        <v>0.700855330617656</v>
      </c>
      <c r="D221" s="18" t="n">
        <f aca="false">IFERROR((B221/B217-1)*100,"")</f>
        <v>1.8266821036832</v>
      </c>
      <c r="E221" s="19"/>
      <c r="F221" s="19"/>
      <c r="G221" s="19"/>
      <c r="I221" s="20" t="n">
        <v>2022</v>
      </c>
      <c r="J221" s="17" t="n">
        <v>140.808255021461</v>
      </c>
      <c r="K221" s="18" t="n">
        <f aca="false">IFERROR((J221/J220-1)*100,"")</f>
        <v>1.47757019777437</v>
      </c>
      <c r="L221" s="19"/>
    </row>
    <row r="222" customFormat="false" ht="15" hidden="false" customHeight="false" outlineLevel="0" collapsed="false">
      <c r="A222" s="12" t="n">
        <v>39995</v>
      </c>
      <c r="B222" s="13" t="n">
        <v>109.494204204484</v>
      </c>
      <c r="C222" s="21" t="n">
        <f aca="false">IFERROR((B222/B221-1)*100,"")</f>
        <v>0.79469693527463</v>
      </c>
      <c r="D222" s="21" t="n">
        <f aca="false">IFERROR((B222/B218-1)*100,"")</f>
        <v>1.92239481248111</v>
      </c>
      <c r="E222" s="14"/>
      <c r="F222" s="14"/>
      <c r="G222" s="14"/>
      <c r="I222" s="15" t="n">
        <v>2023</v>
      </c>
      <c r="J222" s="13" t="n">
        <v>143.842044307954</v>
      </c>
      <c r="K222" s="21" t="n">
        <f aca="false">IFERROR((J222/J221-1)*100,"")</f>
        <v>2.15455357076233</v>
      </c>
      <c r="L222" s="14"/>
    </row>
    <row r="223" customFormat="false" ht="15" hidden="false" customHeight="false" outlineLevel="0" collapsed="false">
      <c r="A223" s="16" t="n">
        <v>40087</v>
      </c>
      <c r="B223" s="17" t="n">
        <v>110.794925519159</v>
      </c>
      <c r="C223" s="18" t="n">
        <f aca="false">IFERROR((B223/B222-1)*100,"")</f>
        <v>1.18793622377149</v>
      </c>
      <c r="D223" s="18" t="n">
        <f aca="false">IFERROR((B223/B219-1)*100,"")</f>
        <v>2.6368345914114</v>
      </c>
      <c r="E223" s="19"/>
      <c r="F223" s="19"/>
      <c r="G223" s="19"/>
      <c r="I223" s="20" t="n">
        <v>2024</v>
      </c>
      <c r="J223" s="17" t="n">
        <v>147.52633472216</v>
      </c>
      <c r="K223" s="18" t="n">
        <f aca="false">IFERROR((J223/J222-1)*100,"")</f>
        <v>2.5613445859535</v>
      </c>
      <c r="L223" s="19"/>
    </row>
    <row r="224" customFormat="false" ht="15" hidden="false" customHeight="false" outlineLevel="0" collapsed="false">
      <c r="A224" s="12" t="n">
        <v>40179</v>
      </c>
      <c r="B224" s="13" t="n">
        <v>110.396761781789</v>
      </c>
      <c r="C224" s="21" t="n">
        <f aca="false">IFERROR((B224/B223-1)*100,"")</f>
        <v>-0.359370012213289</v>
      </c>
      <c r="D224" s="21" t="n">
        <f aca="false">IFERROR((B224/B220-1)*100,"")</f>
        <v>2.33779277173964</v>
      </c>
      <c r="E224" s="14"/>
      <c r="F224" s="14"/>
      <c r="G224" s="14"/>
      <c r="I224" s="15" t="n">
        <v>2025</v>
      </c>
      <c r="J224" s="13" t="n">
        <v>149.915454449292</v>
      </c>
      <c r="K224" s="21" t="n">
        <f aca="false">IFERROR((J224/J223-1)*100,"")</f>
        <v>1.61945304994628</v>
      </c>
      <c r="L224" s="14"/>
    </row>
    <row r="225" customFormat="false" ht="15" hidden="false" customHeight="false" outlineLevel="0" collapsed="false">
      <c r="A225" s="16" t="n">
        <v>40269</v>
      </c>
      <c r="B225" s="17" t="n">
        <v>111.073561434533</v>
      </c>
      <c r="C225" s="18" t="n">
        <f aca="false">IFERROR((B225/B224-1)*100,"")</f>
        <v>0.613061145834681</v>
      </c>
      <c r="D225" s="18" t="n">
        <f aca="false">IFERROR((B225/B221-1)*100,"")</f>
        <v>2.24857145321771</v>
      </c>
      <c r="E225" s="19"/>
      <c r="F225" s="19"/>
      <c r="G225" s="19"/>
      <c r="I225" s="20" t="n">
        <v>2026</v>
      </c>
      <c r="J225" s="19"/>
      <c r="K225" s="18" t="n">
        <f aca="false">IFERROR((J225/J224-1)*100,"")</f>
        <v>-100</v>
      </c>
      <c r="L225" s="17" t="n">
        <v>151.718113880888</v>
      </c>
    </row>
    <row r="226" customFormat="false" ht="15" hidden="false" customHeight="false" outlineLevel="0" collapsed="false">
      <c r="A226" s="12" t="n">
        <v>40360</v>
      </c>
      <c r="B226" s="13" t="n">
        <v>111.337702248957</v>
      </c>
      <c r="C226" s="21" t="n">
        <f aca="false">IFERROR((B226/B225-1)*100,"")</f>
        <v>0.237807099198117</v>
      </c>
      <c r="D226" s="21" t="n">
        <f aca="false">IFERROR((B226/B222-1)*100,"")</f>
        <v>1.68364897289905</v>
      </c>
      <c r="E226" s="14"/>
      <c r="F226" s="14"/>
      <c r="G226" s="14"/>
      <c r="I226" s="15" t="n">
        <v>2027</v>
      </c>
      <c r="J226" s="14"/>
      <c r="K226" s="21" t="str">
        <f aca="false">IFERROR((J226/J225-1)*100,"")</f>
        <v/>
      </c>
      <c r="L226" s="13" t="n">
        <v>153.186433903161</v>
      </c>
    </row>
    <row r="227" customFormat="false" ht="15" hidden="false" customHeight="false" outlineLevel="0" collapsed="false">
      <c r="A227" s="16" t="n">
        <v>40452</v>
      </c>
      <c r="B227" s="17" t="n">
        <v>111.746897562615</v>
      </c>
      <c r="C227" s="18" t="n">
        <f aca="false">IFERROR((B227/B226-1)*100,"")</f>
        <v>0.367526278514019</v>
      </c>
      <c r="D227" s="18" t="n">
        <f aca="false">IFERROR((B227/B223-1)*100,"")</f>
        <v>0.85921989567237</v>
      </c>
      <c r="E227" s="19"/>
      <c r="F227" s="19"/>
      <c r="G227" s="19"/>
    </row>
    <row r="228" customFormat="false" ht="15" hidden="false" customHeight="false" outlineLevel="0" collapsed="false">
      <c r="A228" s="12" t="n">
        <v>40544</v>
      </c>
      <c r="B228" s="13" t="n">
        <v>112.407666083436</v>
      </c>
      <c r="C228" s="21" t="n">
        <f aca="false">IFERROR((B228/B227-1)*100,"")</f>
        <v>0.591308157303194</v>
      </c>
      <c r="D228" s="21" t="n">
        <f aca="false">IFERROR((B228/B224-1)*100,"")</f>
        <v>1.82152471611592</v>
      </c>
      <c r="E228" s="14"/>
      <c r="F228" s="14"/>
      <c r="G228" s="14"/>
    </row>
    <row r="229" customFormat="false" ht="15" hidden="false" customHeight="false" outlineLevel="0" collapsed="false">
      <c r="A229" s="16" t="n">
        <v>40634</v>
      </c>
      <c r="B229" s="17" t="n">
        <v>113.178819640604</v>
      </c>
      <c r="C229" s="18" t="n">
        <f aca="false">IFERROR((B229/B228-1)*100,"")</f>
        <v>0.686032887290544</v>
      </c>
      <c r="D229" s="18" t="n">
        <f aca="false">IFERROR((B229/B225-1)*100,"")</f>
        <v>1.89537292122577</v>
      </c>
      <c r="E229" s="19"/>
      <c r="F229" s="19"/>
      <c r="G229" s="19"/>
    </row>
    <row r="230" customFormat="false" ht="15" hidden="false" customHeight="false" outlineLevel="0" collapsed="false">
      <c r="A230" s="12" t="n">
        <v>40725</v>
      </c>
      <c r="B230" s="13" t="n">
        <v>114.029736978228</v>
      </c>
      <c r="C230" s="21" t="n">
        <f aca="false">IFERROR((B230/B229-1)*100,"")</f>
        <v>0.751834433620591</v>
      </c>
      <c r="D230" s="21" t="n">
        <f aca="false">IFERROR((B230/B226-1)*100,"")</f>
        <v>2.41790038315284</v>
      </c>
      <c r="E230" s="14"/>
      <c r="F230" s="14"/>
      <c r="G230" s="14"/>
    </row>
    <row r="231" customFormat="false" ht="15" hidden="false" customHeight="false" outlineLevel="0" collapsed="false">
      <c r="A231" s="16" t="n">
        <v>40817</v>
      </c>
      <c r="B231" s="17" t="n">
        <v>114.426568854923</v>
      </c>
      <c r="C231" s="18" t="n">
        <f aca="false">IFERROR((B231/B230-1)*100,"")</f>
        <v>0.348007359493585</v>
      </c>
      <c r="D231" s="18" t="n">
        <f aca="false">IFERROR((B231/B227-1)*100,"")</f>
        <v>2.39798271876532</v>
      </c>
      <c r="E231" s="19"/>
      <c r="F231" s="19"/>
      <c r="G231" s="19"/>
    </row>
    <row r="232" customFormat="false" ht="15" hidden="false" customHeight="false" outlineLevel="0" collapsed="false">
      <c r="A232" s="12" t="n">
        <v>40909</v>
      </c>
      <c r="B232" s="13" t="n">
        <v>115.454844438941</v>
      </c>
      <c r="C232" s="21" t="n">
        <f aca="false">IFERROR((B232/B231-1)*100,"")</f>
        <v>0.898633590352072</v>
      </c>
      <c r="D232" s="21" t="n">
        <f aca="false">IFERROR((B232/B228-1)*100,"")</f>
        <v>2.71082788360963</v>
      </c>
      <c r="E232" s="14"/>
      <c r="F232" s="14"/>
      <c r="G232" s="14"/>
    </row>
    <row r="233" customFormat="false" ht="15" hidden="false" customHeight="false" outlineLevel="0" collapsed="false">
      <c r="A233" s="16" t="n">
        <v>41000</v>
      </c>
      <c r="B233" s="17" t="n">
        <v>115.758361234794</v>
      </c>
      <c r="C233" s="18" t="n">
        <f aca="false">IFERROR((B233/B232-1)*100,"")</f>
        <v>0.262887882555707</v>
      </c>
      <c r="D233" s="18" t="n">
        <f aca="false">IFERROR((B233/B229-1)*100,"")</f>
        <v>2.2791734375577</v>
      </c>
      <c r="E233" s="19"/>
      <c r="F233" s="19"/>
      <c r="G233" s="19"/>
    </row>
    <row r="234" customFormat="false" ht="15" hidden="false" customHeight="false" outlineLevel="0" collapsed="false">
      <c r="A234" s="12" t="n">
        <v>41091</v>
      </c>
      <c r="B234" s="13" t="n">
        <v>116.370839888892</v>
      </c>
      <c r="C234" s="21" t="n">
        <f aca="false">IFERROR((B234/B233-1)*100,"")</f>
        <v>0.52910100623762</v>
      </c>
      <c r="D234" s="21" t="n">
        <f aca="false">IFERROR((B234/B230-1)*100,"")</f>
        <v>2.05306350141901</v>
      </c>
      <c r="E234" s="14"/>
      <c r="F234" s="14"/>
      <c r="G234" s="14"/>
    </row>
    <row r="235" customFormat="false" ht="15" hidden="false" customHeight="false" outlineLevel="0" collapsed="false">
      <c r="A235" s="16" t="n">
        <v>41183</v>
      </c>
      <c r="B235" s="17" t="n">
        <v>116.930134118136</v>
      </c>
      <c r="C235" s="18" t="n">
        <f aca="false">IFERROR((B235/B234-1)*100,"")</f>
        <v>0.480613725722345</v>
      </c>
      <c r="D235" s="18" t="n">
        <f aca="false">IFERROR((B235/B231-1)*100,"")</f>
        <v>2.18792303943611</v>
      </c>
      <c r="E235" s="19"/>
      <c r="F235" s="19"/>
      <c r="G235" s="19"/>
    </row>
    <row r="236" customFormat="false" ht="15" hidden="false" customHeight="false" outlineLevel="0" collapsed="false">
      <c r="A236" s="12" t="n">
        <v>41275</v>
      </c>
      <c r="B236" s="13" t="n">
        <v>117.123085339486</v>
      </c>
      <c r="C236" s="21" t="n">
        <f aca="false">IFERROR((B236/B235-1)*100,"")</f>
        <v>0.165014111037243</v>
      </c>
      <c r="D236" s="21" t="n">
        <f aca="false">IFERROR((B236/B232-1)*100,"")</f>
        <v>1.44492932163394</v>
      </c>
      <c r="E236" s="14"/>
      <c r="F236" s="14"/>
      <c r="G236" s="14"/>
    </row>
    <row r="237" customFormat="false" ht="15" hidden="false" customHeight="false" outlineLevel="0" collapsed="false">
      <c r="A237" s="16" t="n">
        <v>41365</v>
      </c>
      <c r="B237" s="17" t="n">
        <v>118.846565162422</v>
      </c>
      <c r="C237" s="18" t="n">
        <f aca="false">IFERROR((B237/B236-1)*100,"")</f>
        <v>1.47151163064081</v>
      </c>
      <c r="D237" s="18" t="n">
        <f aca="false">IFERROR((B237/B233-1)*100,"")</f>
        <v>2.66780204443604</v>
      </c>
      <c r="E237" s="19"/>
      <c r="F237" s="19"/>
      <c r="G237" s="19"/>
    </row>
    <row r="238" customFormat="false" ht="15" hidden="false" customHeight="false" outlineLevel="0" collapsed="false">
      <c r="A238" s="12" t="n">
        <v>41456</v>
      </c>
      <c r="B238" s="13" t="n">
        <v>118.958152786877</v>
      </c>
      <c r="C238" s="21" t="n">
        <f aca="false">IFERROR((B238/B237-1)*100,"")</f>
        <v>0.0938921745891497</v>
      </c>
      <c r="D238" s="21" t="n">
        <f aca="false">IFERROR((B238/B234-1)*100,"")</f>
        <v>2.2233343855349</v>
      </c>
      <c r="E238" s="14"/>
      <c r="F238" s="14"/>
      <c r="G238" s="14"/>
    </row>
    <row r="239" customFormat="false" ht="15" hidden="false" customHeight="false" outlineLevel="0" collapsed="false">
      <c r="A239" s="16" t="n">
        <v>41548</v>
      </c>
      <c r="B239" s="17" t="n">
        <v>119.625079696422</v>
      </c>
      <c r="C239" s="18" t="n">
        <f aca="false">IFERROR((B239/B238-1)*100,"")</f>
        <v>0.560639934229523</v>
      </c>
      <c r="D239" s="18" t="n">
        <f aca="false">IFERROR((B239/B235-1)*100,"")</f>
        <v>2.30474855657257</v>
      </c>
      <c r="E239" s="19"/>
      <c r="F239" s="19"/>
      <c r="G239" s="19"/>
    </row>
    <row r="240" customFormat="false" ht="15" hidden="false" customHeight="false" outlineLevel="0" collapsed="false">
      <c r="A240" s="12" t="n">
        <v>41640</v>
      </c>
      <c r="B240" s="13" t="n">
        <v>118.586122823559</v>
      </c>
      <c r="C240" s="21" t="n">
        <f aca="false">IFERROR((B240/B239-1)*100,"")</f>
        <v>-0.868510913848675</v>
      </c>
      <c r="D240" s="21" t="n">
        <f aca="false">IFERROR((B240/B236-1)*100,"")</f>
        <v>1.24914527296829</v>
      </c>
      <c r="E240" s="14"/>
      <c r="F240" s="14"/>
      <c r="G240" s="14"/>
    </row>
    <row r="241" customFormat="false" ht="15" hidden="false" customHeight="false" outlineLevel="0" collapsed="false">
      <c r="A241" s="16" t="n">
        <v>41730</v>
      </c>
      <c r="B241" s="17" t="n">
        <v>121.379442314094</v>
      </c>
      <c r="C241" s="18" t="n">
        <f aca="false">IFERROR((B241/B240-1)*100,"")</f>
        <v>2.35551970502603</v>
      </c>
      <c r="D241" s="18" t="n">
        <f aca="false">IFERROR((B241/B237-1)*100,"")</f>
        <v>2.13121611736162</v>
      </c>
      <c r="E241" s="19"/>
      <c r="F241" s="19"/>
      <c r="G241" s="19"/>
    </row>
    <row r="242" customFormat="false" ht="15" hidden="false" customHeight="false" outlineLevel="0" collapsed="false">
      <c r="A242" s="12" t="n">
        <v>41821</v>
      </c>
      <c r="B242" s="13" t="n">
        <v>121.577240785737</v>
      </c>
      <c r="C242" s="21" t="n">
        <f aca="false">IFERROR((B242/B241-1)*100,"")</f>
        <v>0.162958790938705</v>
      </c>
      <c r="D242" s="21" t="n">
        <f aca="false">IFERROR((B242/B238-1)*100,"")</f>
        <v>2.20168852449498</v>
      </c>
      <c r="E242" s="14"/>
      <c r="F242" s="14"/>
      <c r="G242" s="14"/>
    </row>
    <row r="243" customFormat="false" ht="15" hidden="false" customHeight="false" outlineLevel="0" collapsed="false">
      <c r="A243" s="16" t="n">
        <v>41913</v>
      </c>
      <c r="B243" s="17" t="n">
        <v>121.588894584422</v>
      </c>
      <c r="C243" s="18" t="n">
        <f aca="false">IFERROR((B243/B242-1)*100,"")</f>
        <v>0.00958551009158093</v>
      </c>
      <c r="D243" s="18" t="n">
        <f aca="false">IFERROR((B243/B239-1)*100,"")</f>
        <v>1.64164144591012</v>
      </c>
      <c r="E243" s="19"/>
      <c r="F243" s="19"/>
      <c r="G243" s="19"/>
    </row>
    <row r="244" customFormat="false" ht="15" hidden="false" customHeight="false" outlineLevel="0" collapsed="false">
      <c r="A244" s="12" t="n">
        <v>42005</v>
      </c>
      <c r="B244" s="13" t="n">
        <v>121.515364827121</v>
      </c>
      <c r="C244" s="21" t="n">
        <f aca="false">IFERROR((B244/B243-1)*100,"")</f>
        <v>-0.0604740733540776</v>
      </c>
      <c r="D244" s="21" t="n">
        <f aca="false">IFERROR((B244/B240-1)*100,"")</f>
        <v>2.4701389452795</v>
      </c>
      <c r="E244" s="14"/>
      <c r="F244" s="14"/>
      <c r="G244" s="14"/>
    </row>
    <row r="245" customFormat="false" ht="15" hidden="false" customHeight="false" outlineLevel="0" collapsed="false">
      <c r="A245" s="16" t="n">
        <v>42095</v>
      </c>
      <c r="B245" s="17" t="n">
        <v>122.290384058746</v>
      </c>
      <c r="C245" s="18" t="n">
        <f aca="false">IFERROR((B245/B244-1)*100,"")</f>
        <v>0.637795255544948</v>
      </c>
      <c r="D245" s="18" t="n">
        <f aca="false">IFERROR((B245/B241-1)*100,"")</f>
        <v>0.750490962295447</v>
      </c>
      <c r="E245" s="19"/>
      <c r="F245" s="19"/>
      <c r="G245" s="19"/>
    </row>
    <row r="246" customFormat="false" ht="15" hidden="false" customHeight="false" outlineLevel="0" collapsed="false">
      <c r="A246" s="12" t="n">
        <v>42186</v>
      </c>
      <c r="B246" s="13" t="n">
        <v>123.507882299557</v>
      </c>
      <c r="C246" s="21" t="n">
        <f aca="false">IFERROR((B246/B245-1)*100,"")</f>
        <v>0.995579701692684</v>
      </c>
      <c r="D246" s="21" t="n">
        <f aca="false">IFERROR((B246/B242-1)*100,"")</f>
        <v>1.58799582992846</v>
      </c>
      <c r="E246" s="14"/>
      <c r="F246" s="14"/>
      <c r="G246" s="14"/>
    </row>
    <row r="247" customFormat="false" ht="15" hidden="false" customHeight="false" outlineLevel="0" collapsed="false">
      <c r="A247" s="16" t="n">
        <v>42278</v>
      </c>
      <c r="B247" s="17" t="n">
        <v>123.935496123467</v>
      </c>
      <c r="C247" s="18" t="n">
        <f aca="false">IFERROR((B247/B246-1)*100,"")</f>
        <v>0.346223913768329</v>
      </c>
      <c r="D247" s="18" t="n">
        <f aca="false">IFERROR((B247/B243-1)*100,"")</f>
        <v>1.92994725962872</v>
      </c>
      <c r="E247" s="19"/>
      <c r="F247" s="19"/>
      <c r="G247" s="19"/>
    </row>
    <row r="248" customFormat="false" ht="15" hidden="false" customHeight="false" outlineLevel="0" collapsed="false">
      <c r="A248" s="12" t="n">
        <v>42370</v>
      </c>
      <c r="B248" s="13" t="n">
        <v>124.291866012062</v>
      </c>
      <c r="C248" s="21" t="n">
        <f aca="false">IFERROR((B248/B247-1)*100,"")</f>
        <v>0.287544650032845</v>
      </c>
      <c r="D248" s="21" t="n">
        <f aca="false">IFERROR((B248/B244-1)*100,"")</f>
        <v>2.28489721352616</v>
      </c>
      <c r="E248" s="14"/>
      <c r="F248" s="14"/>
      <c r="G248" s="14"/>
    </row>
    <row r="249" customFormat="false" ht="15" hidden="false" customHeight="false" outlineLevel="0" collapsed="false">
      <c r="A249" s="16" t="n">
        <v>42461</v>
      </c>
      <c r="B249" s="17" t="n">
        <v>124.850839300152</v>
      </c>
      <c r="C249" s="18" t="n">
        <f aca="false">IFERROR((B249/B248-1)*100,"")</f>
        <v>0.449726362653347</v>
      </c>
      <c r="D249" s="18" t="n">
        <f aca="false">IFERROR((B249/B245-1)*100,"")</f>
        <v>2.09375026590439</v>
      </c>
      <c r="E249" s="19"/>
      <c r="F249" s="19"/>
      <c r="G249" s="19"/>
    </row>
    <row r="250" customFormat="false" ht="15" hidden="false" customHeight="false" outlineLevel="0" collapsed="false">
      <c r="A250" s="12" t="n">
        <v>42552</v>
      </c>
      <c r="B250" s="13" t="n">
        <v>126.165342103457</v>
      </c>
      <c r="C250" s="21" t="n">
        <f aca="false">IFERROR((B250/B249-1)*100,"")</f>
        <v>1.05285860365336</v>
      </c>
      <c r="D250" s="21" t="n">
        <f aca="false">IFERROR((B250/B246-1)*100,"")</f>
        <v>2.15165198724263</v>
      </c>
      <c r="E250" s="14"/>
      <c r="F250" s="14"/>
      <c r="G250" s="14"/>
    </row>
    <row r="251" customFormat="false" ht="15" hidden="false" customHeight="false" outlineLevel="0" collapsed="false">
      <c r="A251" s="16" t="n">
        <v>42644</v>
      </c>
      <c r="B251" s="17" t="n">
        <v>125.997269439602</v>
      </c>
      <c r="C251" s="18" t="n">
        <f aca="false">IFERROR((B251/B250-1)*100,"")</f>
        <v>-0.13321619158807</v>
      </c>
      <c r="D251" s="18" t="n">
        <f aca="false">IFERROR((B251/B247-1)*100,"")</f>
        <v>1.66358580118284</v>
      </c>
      <c r="E251" s="19"/>
      <c r="F251" s="19"/>
      <c r="G251" s="19"/>
    </row>
    <row r="252" customFormat="false" ht="15" hidden="false" customHeight="false" outlineLevel="0" collapsed="false">
      <c r="A252" s="12" t="n">
        <v>42736</v>
      </c>
      <c r="B252" s="13" t="n">
        <v>126.226054575057</v>
      </c>
      <c r="C252" s="21" t="n">
        <f aca="false">IFERROR((B252/B251-1)*100,"")</f>
        <v>0.181579439357837</v>
      </c>
      <c r="D252" s="21" t="n">
        <f aca="false">IFERROR((B252/B248-1)*100,"")</f>
        <v>1.55616664634168</v>
      </c>
      <c r="E252" s="14"/>
      <c r="F252" s="14"/>
      <c r="G252" s="14"/>
    </row>
    <row r="253" customFormat="false" ht="15" hidden="false" customHeight="false" outlineLevel="0" collapsed="false">
      <c r="A253" s="16" t="n">
        <v>42826</v>
      </c>
      <c r="B253" s="17" t="n">
        <v>128.024622460977</v>
      </c>
      <c r="C253" s="18" t="n">
        <f aca="false">IFERROR((B253/B252-1)*100,"")</f>
        <v>1.42487847851596</v>
      </c>
      <c r="D253" s="18" t="n">
        <f aca="false">IFERROR((B253/B249-1)*100,"")</f>
        <v>2.54205993216847</v>
      </c>
      <c r="E253" s="19"/>
      <c r="F253" s="19"/>
      <c r="G253" s="19"/>
    </row>
    <row r="254" customFormat="false" ht="15" hidden="false" customHeight="false" outlineLevel="0" collapsed="false">
      <c r="A254" s="12" t="n">
        <v>42917</v>
      </c>
      <c r="B254" s="13" t="n">
        <v>128.709258877126</v>
      </c>
      <c r="C254" s="21" t="n">
        <f aca="false">IFERROR((B254/B253-1)*100,"")</f>
        <v>0.53476933029688</v>
      </c>
      <c r="D254" s="21" t="n">
        <f aca="false">IFERROR((B254/B250-1)*100,"")</f>
        <v>2.01633565229329</v>
      </c>
      <c r="E254" s="14"/>
      <c r="F254" s="14"/>
      <c r="G254" s="14"/>
    </row>
    <row r="255" customFormat="false" ht="15" hidden="false" customHeight="false" outlineLevel="0" collapsed="false">
      <c r="A255" s="16" t="n">
        <v>43009</v>
      </c>
      <c r="B255" s="17" t="n">
        <v>128.966831131504</v>
      </c>
      <c r="C255" s="18" t="n">
        <f aca="false">IFERROR((B255/B254-1)*100,"")</f>
        <v>0.200119444882385</v>
      </c>
      <c r="D255" s="18" t="n">
        <f aca="false">IFERROR((B255/B251-1)*100,"")</f>
        <v>2.35684606905286</v>
      </c>
      <c r="E255" s="19"/>
      <c r="F255" s="19"/>
      <c r="G255" s="19"/>
    </row>
    <row r="256" customFormat="false" ht="15" hidden="false" customHeight="false" outlineLevel="0" collapsed="false">
      <c r="A256" s="12" t="n">
        <v>43101</v>
      </c>
      <c r="B256" s="13" t="n">
        <v>129.947538929568</v>
      </c>
      <c r="C256" s="21" t="n">
        <f aca="false">IFERROR((B256/B255-1)*100,"")</f>
        <v>0.760434128263787</v>
      </c>
      <c r="D256" s="21" t="n">
        <f aca="false">IFERROR((B256/B252-1)*100,"")</f>
        <v>2.94826956846537</v>
      </c>
      <c r="E256" s="14"/>
      <c r="F256" s="14"/>
      <c r="G256" s="14"/>
    </row>
    <row r="257" customFormat="false" ht="15" hidden="false" customHeight="false" outlineLevel="0" collapsed="false">
      <c r="A257" s="16" t="n">
        <v>43191</v>
      </c>
      <c r="B257" s="17" t="n">
        <v>130.319035848755</v>
      </c>
      <c r="C257" s="18" t="n">
        <f aca="false">IFERROR((B257/B256-1)*100,"")</f>
        <v>0.285882227741197</v>
      </c>
      <c r="D257" s="18" t="n">
        <f aca="false">IFERROR((B257/B253-1)*100,"")</f>
        <v>1.79216571287071</v>
      </c>
      <c r="E257" s="19"/>
      <c r="F257" s="19"/>
      <c r="G257" s="19"/>
    </row>
    <row r="258" customFormat="false" ht="15" hidden="false" customHeight="false" outlineLevel="0" collapsed="false">
      <c r="A258" s="12" t="n">
        <v>43282</v>
      </c>
      <c r="B258" s="13" t="n">
        <v>129.842531985029</v>
      </c>
      <c r="C258" s="21" t="n">
        <f aca="false">IFERROR((B258/B257-1)*100,"")</f>
        <v>-0.365644098440165</v>
      </c>
      <c r="D258" s="21" t="n">
        <f aca="false">IFERROR((B258/B254-1)*100,"")</f>
        <v>0.880490741528472</v>
      </c>
      <c r="E258" s="14"/>
      <c r="F258" s="14"/>
      <c r="G258" s="14"/>
    </row>
    <row r="259" customFormat="false" ht="15" hidden="false" customHeight="false" outlineLevel="0" collapsed="false">
      <c r="A259" s="16" t="n">
        <v>43374</v>
      </c>
      <c r="B259" s="17" t="n">
        <v>130.48419886521</v>
      </c>
      <c r="C259" s="18" t="n">
        <f aca="false">IFERROR((B259/B258-1)*100,"")</f>
        <v>0.494188514634164</v>
      </c>
      <c r="D259" s="18" t="n">
        <f aca="false">IFERROR((B259/B255-1)*100,"")</f>
        <v>1.17655657690687</v>
      </c>
      <c r="E259" s="19"/>
      <c r="F259" s="19"/>
      <c r="G259" s="19"/>
    </row>
    <row r="260" customFormat="false" ht="15" hidden="false" customHeight="false" outlineLevel="0" collapsed="false">
      <c r="A260" s="12" t="n">
        <v>43466</v>
      </c>
      <c r="B260" s="13" t="n">
        <v>131.423032039962</v>
      </c>
      <c r="C260" s="21" t="n">
        <f aca="false">IFERROR((B260/B259-1)*100,"")</f>
        <v>0.719499512521127</v>
      </c>
      <c r="D260" s="21" t="n">
        <f aca="false">IFERROR((B260/B256-1)*100,"")</f>
        <v>1.13545290857244</v>
      </c>
      <c r="E260" s="14"/>
      <c r="F260" s="14"/>
      <c r="G260" s="14"/>
    </row>
    <row r="261" customFormat="false" ht="15" hidden="false" customHeight="false" outlineLevel="0" collapsed="false">
      <c r="A261" s="16" t="n">
        <v>43556</v>
      </c>
      <c r="B261" s="17" t="n">
        <v>132.232491591912</v>
      </c>
      <c r="C261" s="18" t="n">
        <f aca="false">IFERROR((B261/B260-1)*100,"")</f>
        <v>0.615919096817041</v>
      </c>
      <c r="D261" s="18" t="n">
        <f aca="false">IFERROR((B261/B257-1)*100,"")</f>
        <v>1.46828568113273</v>
      </c>
      <c r="E261" s="19"/>
      <c r="F261" s="19"/>
      <c r="G261" s="19"/>
    </row>
    <row r="262" customFormat="false" ht="15" hidden="false" customHeight="false" outlineLevel="0" collapsed="false">
      <c r="A262" s="12" t="n">
        <v>43647</v>
      </c>
      <c r="B262" s="13" t="n">
        <v>133.120062906852</v>
      </c>
      <c r="C262" s="21" t="n">
        <f aca="false">IFERROR((B262/B261-1)*100,"")</f>
        <v>0.671220291060659</v>
      </c>
      <c r="D262" s="21" t="n">
        <f aca="false">IFERROR((B262/B258-1)*100,"")</f>
        <v>2.52423521916569</v>
      </c>
      <c r="E262" s="14"/>
      <c r="F262" s="14"/>
      <c r="G262" s="14"/>
    </row>
    <row r="263" customFormat="false" ht="15" hidden="false" customHeight="false" outlineLevel="0" collapsed="false">
      <c r="A263" s="16" t="n">
        <v>43739</v>
      </c>
      <c r="B263" s="17" t="n">
        <v>134.074591910056</v>
      </c>
      <c r="C263" s="18" t="n">
        <f aca="false">IFERROR((B263/B262-1)*100,"")</f>
        <v>0.717043683995033</v>
      </c>
      <c r="D263" s="18" t="n">
        <f aca="false">IFERROR((B263/B259-1)*100,"")</f>
        <v>2.75159220508767</v>
      </c>
      <c r="E263" s="19"/>
      <c r="F263" s="19"/>
      <c r="G263" s="19"/>
    </row>
    <row r="264" customFormat="false" ht="15" hidden="false" customHeight="false" outlineLevel="0" collapsed="false">
      <c r="A264" s="12" t="n">
        <v>43831</v>
      </c>
      <c r="B264" s="13" t="n">
        <v>134.265183010674</v>
      </c>
      <c r="C264" s="21" t="n">
        <f aca="false">IFERROR((B264/B263-1)*100,"")</f>
        <v>0.14215303429419</v>
      </c>
      <c r="D264" s="21" t="n">
        <f aca="false">IFERROR((B264/B260-1)*100,"")</f>
        <v>2.16259732148576</v>
      </c>
      <c r="E264" s="14"/>
      <c r="F264" s="14"/>
      <c r="G264" s="14"/>
    </row>
    <row r="265" customFormat="false" ht="15" hidden="false" customHeight="false" outlineLevel="0" collapsed="false">
      <c r="A265" s="16" t="n">
        <v>43922</v>
      </c>
      <c r="B265" s="17" t="n">
        <v>135.847409731119</v>
      </c>
      <c r="C265" s="18" t="n">
        <f aca="false">IFERROR((B265/B264-1)*100,"")</f>
        <v>1.17843411446408</v>
      </c>
      <c r="D265" s="18" t="n">
        <f aca="false">IFERROR((B265/B261-1)*100,"")</f>
        <v>2.73375937765963</v>
      </c>
      <c r="E265" s="19"/>
      <c r="F265" s="19"/>
      <c r="G265" s="19"/>
    </row>
    <row r="266" customFormat="false" ht="15" hidden="false" customHeight="false" outlineLevel="0" collapsed="false">
      <c r="A266" s="12" t="n">
        <v>44013</v>
      </c>
      <c r="B266" s="13" t="n">
        <v>135.884740513641</v>
      </c>
      <c r="C266" s="21" t="n">
        <f aca="false">IFERROR((B266/B265-1)*100,"")</f>
        <v>0.0274799369352596</v>
      </c>
      <c r="D266" s="21" t="n">
        <f aca="false">IFERROR((B266/B262-1)*100,"")</f>
        <v>2.0768301534861</v>
      </c>
      <c r="E266" s="14"/>
      <c r="F266" s="14"/>
      <c r="G266" s="14"/>
    </row>
    <row r="267" customFormat="false" ht="15" hidden="false" customHeight="false" outlineLevel="0" collapsed="false">
      <c r="A267" s="16" t="n">
        <v>44105</v>
      </c>
      <c r="B267" s="17" t="n">
        <v>137.008368251684</v>
      </c>
      <c r="C267" s="18" t="n">
        <f aca="false">IFERROR((B267/B266-1)*100,"")</f>
        <v>0.826897658850534</v>
      </c>
      <c r="D267" s="18" t="n">
        <f aca="false">IFERROR((B267/B263-1)*100,"")</f>
        <v>2.18816727303257</v>
      </c>
      <c r="E267" s="19"/>
      <c r="F267" s="19"/>
      <c r="G267" s="19"/>
    </row>
    <row r="268" customFormat="false" ht="15" hidden="false" customHeight="false" outlineLevel="0" collapsed="false">
      <c r="A268" s="12" t="n">
        <v>44197</v>
      </c>
      <c r="B268" s="13" t="n">
        <v>137.97999332322</v>
      </c>
      <c r="C268" s="21" t="n">
        <f aca="false">IFERROR((B268/B267-1)*100,"")</f>
        <v>0.709172062944075</v>
      </c>
      <c r="D268" s="21" t="n">
        <f aca="false">IFERROR((B268/B264-1)*100,"")</f>
        <v>2.76677112356916</v>
      </c>
      <c r="E268" s="14"/>
      <c r="F268" s="14"/>
      <c r="G268" s="14"/>
    </row>
    <row r="269" customFormat="false" ht="15" hidden="false" customHeight="false" outlineLevel="0" collapsed="false">
      <c r="A269" s="16" t="n">
        <v>44287</v>
      </c>
      <c r="B269" s="17" t="n">
        <v>138.309630779907</v>
      </c>
      <c r="C269" s="18" t="n">
        <f aca="false">IFERROR((B269/B268-1)*100,"")</f>
        <v>0.238902357325266</v>
      </c>
      <c r="D269" s="18" t="n">
        <f aca="false">IFERROR((B269/B265-1)*100,"")</f>
        <v>1.81249024450378</v>
      </c>
      <c r="E269" s="19"/>
      <c r="F269" s="19"/>
      <c r="G269" s="19"/>
    </row>
    <row r="270" customFormat="false" ht="15" hidden="false" customHeight="false" outlineLevel="0" collapsed="false">
      <c r="A270" s="12" t="n">
        <v>44378</v>
      </c>
      <c r="B270" s="13" t="n">
        <v>139.373887413258</v>
      </c>
      <c r="C270" s="21" t="n">
        <f aca="false">IFERROR((B270/B269-1)*100,"")</f>
        <v>0.769473989157454</v>
      </c>
      <c r="D270" s="21" t="n">
        <f aca="false">IFERROR((B270/B266-1)*100,"")</f>
        <v>2.56772532841252</v>
      </c>
      <c r="E270" s="14"/>
      <c r="F270" s="14"/>
      <c r="G270" s="14"/>
    </row>
    <row r="271" customFormat="false" ht="15" hidden="false" customHeight="false" outlineLevel="0" collapsed="false">
      <c r="A271" s="16" t="n">
        <v>44470</v>
      </c>
      <c r="B271" s="17" t="n">
        <v>139.368520673717</v>
      </c>
      <c r="C271" s="18" t="n">
        <f aca="false">IFERROR((B271/B270-1)*100,"")</f>
        <v>-0.00385060619367827</v>
      </c>
      <c r="D271" s="18" t="n">
        <f aca="false">IFERROR((B271/B267-1)*100,"")</f>
        <v>1.72263377204618</v>
      </c>
      <c r="E271" s="19"/>
      <c r="F271" s="19"/>
      <c r="G271" s="19"/>
    </row>
    <row r="272" customFormat="false" ht="15" hidden="false" customHeight="false" outlineLevel="0" collapsed="false">
      <c r="A272" s="12" t="n">
        <v>44562</v>
      </c>
      <c r="B272" s="13" t="n">
        <v>139.954967453527</v>
      </c>
      <c r="C272" s="21" t="n">
        <f aca="false">IFERROR((B272/B271-1)*100,"")</f>
        <v>0.420788551801588</v>
      </c>
      <c r="D272" s="21" t="n">
        <f aca="false">IFERROR((B272/B268-1)*100,"")</f>
        <v>1.43134818515334</v>
      </c>
      <c r="E272" s="14"/>
      <c r="F272" s="14"/>
      <c r="G272" s="14"/>
    </row>
    <row r="273" customFormat="false" ht="15" hidden="false" customHeight="false" outlineLevel="0" collapsed="false">
      <c r="A273" s="16" t="n">
        <v>44652</v>
      </c>
      <c r="B273" s="17" t="n">
        <v>140.438566705093</v>
      </c>
      <c r="C273" s="18" t="n">
        <f aca="false">IFERROR((B273/B272-1)*100,"")</f>
        <v>0.345539183328381</v>
      </c>
      <c r="D273" s="18" t="n">
        <f aca="false">IFERROR((B273/B269-1)*100,"")</f>
        <v>1.53925356692941</v>
      </c>
      <c r="E273" s="19"/>
      <c r="F273" s="19"/>
      <c r="G273" s="19"/>
    </row>
    <row r="274" customFormat="false" ht="15" hidden="false" customHeight="false" outlineLevel="0" collapsed="false">
      <c r="A274" s="12" t="n">
        <v>44743</v>
      </c>
      <c r="B274" s="13" t="n">
        <v>141.102958115404</v>
      </c>
      <c r="C274" s="21" t="n">
        <f aca="false">IFERROR((B274/B273-1)*100,"")</f>
        <v>0.473083303182342</v>
      </c>
      <c r="D274" s="21" t="n">
        <f aca="false">IFERROR((B274/B270-1)*100,"")</f>
        <v>1.24059874789819</v>
      </c>
      <c r="E274" s="14"/>
      <c r="F274" s="14"/>
      <c r="G274" s="14"/>
    </row>
    <row r="275" customFormat="false" ht="15" hidden="false" customHeight="false" outlineLevel="0" collapsed="false">
      <c r="A275" s="16" t="n">
        <v>44835</v>
      </c>
      <c r="B275" s="17" t="n">
        <v>141.73652781182</v>
      </c>
      <c r="C275" s="18" t="n">
        <f aca="false">IFERROR((B275/B274-1)*100,"")</f>
        <v>0.44901234168182</v>
      </c>
      <c r="D275" s="18" t="n">
        <f aca="false">IFERROR((B275/B271-1)*100,"")</f>
        <v>1.6990975628185</v>
      </c>
      <c r="E275" s="19"/>
      <c r="F275" s="19"/>
      <c r="G275" s="19"/>
    </row>
    <row r="276" customFormat="false" ht="15" hidden="false" customHeight="false" outlineLevel="0" collapsed="false">
      <c r="A276" s="12" t="n">
        <v>44927</v>
      </c>
      <c r="B276" s="13" t="n">
        <v>142.820880109659</v>
      </c>
      <c r="C276" s="21" t="n">
        <f aca="false">IFERROR((B276/B275-1)*100,"")</f>
        <v>0.765047877622127</v>
      </c>
      <c r="D276" s="21" t="n">
        <f aca="false">IFERROR((B276/B272-1)*100,"")</f>
        <v>2.04773914658254</v>
      </c>
      <c r="E276" s="14"/>
      <c r="F276" s="14"/>
      <c r="G276" s="14"/>
    </row>
    <row r="277" customFormat="false" ht="15" hidden="false" customHeight="false" outlineLevel="0" collapsed="false">
      <c r="A277" s="16" t="n">
        <v>45017</v>
      </c>
      <c r="B277" s="17" t="n">
        <v>142.935806403803</v>
      </c>
      <c r="C277" s="18" t="n">
        <f aca="false">IFERROR((B277/B276-1)*100,"")</f>
        <v>0.080468832047087</v>
      </c>
      <c r="D277" s="18" t="n">
        <f aca="false">IFERROR((B277/B273-1)*100,"")</f>
        <v>1.77817230501494</v>
      </c>
      <c r="E277" s="19"/>
      <c r="F277" s="19"/>
      <c r="G277" s="19"/>
    </row>
    <row r="278" customFormat="false" ht="15" hidden="false" customHeight="false" outlineLevel="0" collapsed="false">
      <c r="A278" s="12" t="n">
        <v>45108</v>
      </c>
      <c r="B278" s="13" t="n">
        <v>144.852183774645</v>
      </c>
      <c r="C278" s="21" t="n">
        <f aca="false">IFERROR((B278/B277-1)*100,"")</f>
        <v>1.34072589581102</v>
      </c>
      <c r="D278" s="21" t="n">
        <f aca="false">IFERROR((B278/B274-1)*100,"")</f>
        <v>2.65708508830498</v>
      </c>
      <c r="E278" s="14"/>
      <c r="F278" s="14"/>
      <c r="G278" s="14"/>
    </row>
    <row r="279" customFormat="false" ht="15" hidden="false" customHeight="false" outlineLevel="0" collapsed="false">
      <c r="A279" s="16" t="n">
        <v>45200</v>
      </c>
      <c r="B279" s="17" t="n">
        <v>144.759306943708</v>
      </c>
      <c r="C279" s="18" t="n">
        <f aca="false">IFERROR((B279/B278-1)*100,"")</f>
        <v>-0.0641183505260878</v>
      </c>
      <c r="D279" s="18" t="n">
        <f aca="false">IFERROR((B279/B275-1)*100,"")</f>
        <v>2.13267474415719</v>
      </c>
      <c r="E279" s="19"/>
      <c r="F279" s="19"/>
      <c r="G279" s="19"/>
    </row>
    <row r="280" customFormat="false" ht="15" hidden="false" customHeight="false" outlineLevel="0" collapsed="false">
      <c r="A280" s="12" t="n">
        <v>45292</v>
      </c>
      <c r="B280" s="13" t="n">
        <v>146.468717316977</v>
      </c>
      <c r="C280" s="21" t="n">
        <f aca="false">IFERROR((B280/B279-1)*100,"")</f>
        <v>1.18086388320051</v>
      </c>
      <c r="D280" s="21" t="n">
        <f aca="false">IFERROR((B280/B276-1)*100,"")</f>
        <v>2.55413438463419</v>
      </c>
      <c r="E280" s="14"/>
      <c r="F280" s="14"/>
      <c r="G280" s="14"/>
    </row>
    <row r="281" customFormat="false" ht="15" hidden="false" customHeight="false" outlineLevel="0" collapsed="false">
      <c r="A281" s="16" t="n">
        <v>45383</v>
      </c>
      <c r="B281" s="17" t="n">
        <v>147.267812728137</v>
      </c>
      <c r="C281" s="18" t="n">
        <f aca="false">IFERROR((B281/B280-1)*100,"")</f>
        <v>0.545574116983727</v>
      </c>
      <c r="D281" s="18" t="n">
        <f aca="false">IFERROR((B281/B277-1)*100,"")</f>
        <v>3.03073556817226</v>
      </c>
      <c r="E281" s="19"/>
      <c r="F281" s="19"/>
      <c r="G281" s="19"/>
    </row>
    <row r="282" customFormat="false" ht="15" hidden="false" customHeight="false" outlineLevel="0" collapsed="false">
      <c r="A282" s="12" t="n">
        <v>45474</v>
      </c>
      <c r="B282" s="13" t="n">
        <v>148.3055781423</v>
      </c>
      <c r="C282" s="21" t="n">
        <f aca="false">IFERROR((B282/B281-1)*100,"")</f>
        <v>0.704679043531908</v>
      </c>
      <c r="D282" s="21" t="n">
        <f aca="false">IFERROR((B282/B278-1)*100,"")</f>
        <v>2.3840816739273</v>
      </c>
      <c r="E282" s="14"/>
      <c r="F282" s="14"/>
      <c r="G282" s="14"/>
    </row>
    <row r="283" customFormat="false" ht="15" hidden="false" customHeight="false" outlineLevel="0" collapsed="false">
      <c r="A283" s="16" t="n">
        <v>45566</v>
      </c>
      <c r="B283" s="17" t="n">
        <v>148.063230701227</v>
      </c>
      <c r="C283" s="18" t="n">
        <f aca="false">IFERROR((B283/B282-1)*100,"")</f>
        <v>-0.163410873756997</v>
      </c>
      <c r="D283" s="18" t="n">
        <f aca="false">IFERROR((B283/B279-1)*100,"")</f>
        <v>2.28235671147845</v>
      </c>
      <c r="E283" s="19"/>
      <c r="F283" s="19"/>
      <c r="G283" s="19"/>
    </row>
    <row r="284" customFormat="false" ht="15" hidden="false" customHeight="false" outlineLevel="0" collapsed="false">
      <c r="A284" s="12" t="n">
        <v>45658</v>
      </c>
      <c r="B284" s="13" t="n">
        <v>148.466551119198</v>
      </c>
      <c r="C284" s="21" t="n">
        <f aca="false">IFERROR((B284/B283-1)*100,"")</f>
        <v>0.272397418360004</v>
      </c>
      <c r="D284" s="21" t="n">
        <f aca="false">IFERROR((B284/B280-1)*100,"")</f>
        <v>1.36400034001583</v>
      </c>
      <c r="E284" s="14"/>
      <c r="F284" s="14"/>
      <c r="G284" s="14"/>
    </row>
    <row r="285" customFormat="false" ht="15" hidden="false" customHeight="false" outlineLevel="0" collapsed="false">
      <c r="A285" s="16" t="n">
        <v>45748</v>
      </c>
      <c r="B285" s="17" t="n">
        <v>149.901917864973</v>
      </c>
      <c r="C285" s="18" t="n">
        <f aca="false">IFERROR((B285/B284-1)*100,"")</f>
        <v>0.966794698842977</v>
      </c>
      <c r="D285" s="18" t="n">
        <f aca="false">IFERROR((B285/B281-1)*100,"")</f>
        <v>1.78864959561733</v>
      </c>
      <c r="E285" s="19"/>
      <c r="F285" s="19"/>
      <c r="G285" s="19"/>
    </row>
    <row r="286" customFormat="false" ht="15" hidden="false" customHeight="false" outlineLevel="0" collapsed="false">
      <c r="A286" s="12" t="n">
        <v>45839</v>
      </c>
      <c r="B286" s="13" t="n">
        <v>150.452905716056</v>
      </c>
      <c r="C286" s="21" t="n">
        <f aca="false">IFERROR((B286/B285-1)*100,"")</f>
        <v>0.367565578166595</v>
      </c>
      <c r="D286" s="21" t="n">
        <f aca="false">IFERROR((B286/B282-1)*100,"")</f>
        <v>1.44790748982895</v>
      </c>
      <c r="E286" s="14"/>
      <c r="F286" s="14"/>
      <c r="G286" s="14"/>
    </row>
    <row r="287" customFormat="false" ht="15" hidden="false" customHeight="false" outlineLevel="0" collapsed="false">
      <c r="A287" s="16" t="n">
        <v>45931</v>
      </c>
      <c r="B287" s="17" t="n">
        <v>150.840443096942</v>
      </c>
      <c r="C287" s="18" t="n">
        <f aca="false">IFERROR((B287/B286-1)*100,"")</f>
        <v>0.257580522650058</v>
      </c>
      <c r="D287" s="18" t="n">
        <f aca="false">IFERROR((B287/B283-1)*100,"")</f>
        <v>1.87569350105488</v>
      </c>
      <c r="E287" s="19"/>
      <c r="F287" s="19"/>
      <c r="G287" s="19"/>
    </row>
    <row r="288" customFormat="false" ht="15" hidden="false" customHeight="false" outlineLevel="0" collapsed="false">
      <c r="A288" s="12" t="n">
        <v>46023</v>
      </c>
      <c r="B288" s="14"/>
      <c r="C288" s="21" t="n">
        <f aca="false">IFERROR((B288/B287-1)*100,"")</f>
        <v>-100</v>
      </c>
      <c r="D288" s="21" t="n">
        <f aca="false">IFERROR((B288/B284-1)*100,"")</f>
        <v>-100</v>
      </c>
      <c r="E288" s="13" t="n">
        <v>151.867313229341</v>
      </c>
      <c r="F288" s="13" t="n">
        <v>150.890554762285</v>
      </c>
      <c r="G288" s="22" t="n">
        <f aca="false">152.44617-149.334939</f>
        <v>3.111231</v>
      </c>
    </row>
    <row r="289" customFormat="false" ht="15" hidden="false" customHeight="false" outlineLevel="0" collapsed="false">
      <c r="A289" s="16" t="n">
        <v>46113</v>
      </c>
      <c r="B289" s="19"/>
      <c r="C289" s="18" t="str">
        <f aca="false">IFERROR((B289/B288-1)*100,"")</f>
        <v/>
      </c>
      <c r="D289" s="18" t="n">
        <f aca="false">IFERROR((B289/B285-1)*100,"")</f>
        <v>-100</v>
      </c>
      <c r="E289" s="17" t="n">
        <v>152.629919835548</v>
      </c>
      <c r="F289" s="17" t="n">
        <v>151.406590008453</v>
      </c>
      <c r="G289" s="23" t="n">
        <f aca="false">153.606562-149.206618</f>
        <v>4.39994400000001</v>
      </c>
    </row>
    <row r="290" customFormat="false" ht="15" hidden="false" customHeight="false" outlineLevel="0" collapsed="false">
      <c r="A290" s="12" t="n">
        <v>46204</v>
      </c>
      <c r="B290" s="14"/>
      <c r="C290" s="21" t="str">
        <f aca="false">IFERROR((B290/B289-1)*100,"")</f>
        <v/>
      </c>
      <c r="D290" s="21" t="n">
        <f aca="false">IFERROR((B290/B286-1)*100,"")</f>
        <v>-100</v>
      </c>
      <c r="E290" s="13" t="n">
        <v>153.396355895398</v>
      </c>
      <c r="F290" s="13" t="n">
        <v>152.195686185414</v>
      </c>
      <c r="G290" s="22" t="n">
        <f aca="false">154.890091-149.501281</f>
        <v>5.38881000000001</v>
      </c>
    </row>
    <row r="291" customFormat="false" ht="15" hidden="false" customHeight="false" outlineLevel="0" collapsed="false">
      <c r="A291" s="16" t="n">
        <v>46296</v>
      </c>
      <c r="B291" s="19"/>
      <c r="C291" s="18" t="str">
        <f aca="false">IFERROR((B291/B290-1)*100,"")</f>
        <v/>
      </c>
      <c r="D291" s="18" t="n">
        <f aca="false">IFERROR((B291/B287-1)*100,"")</f>
        <v>-100</v>
      </c>
      <c r="E291" s="17" t="n">
        <v>154.166640638616</v>
      </c>
      <c r="F291" s="17" t="n">
        <v>152.3796245674</v>
      </c>
      <c r="G291" s="23" t="n">
        <f aca="false">155.490855-149.268394</f>
        <v>6.22246100000001</v>
      </c>
    </row>
    <row r="292" customFormat="false" ht="15" hidden="false" customHeight="false" outlineLevel="0" collapsed="false">
      <c r="A292" s="12" t="n">
        <v>46388</v>
      </c>
      <c r="B292" s="14"/>
      <c r="C292" s="21" t="str">
        <f aca="false">IFERROR((B292/B291-1)*100,"")</f>
        <v/>
      </c>
      <c r="D292" s="21" t="str">
        <f aca="false">IFERROR((B292/B288-1)*100,"")</f>
        <v/>
      </c>
      <c r="E292" s="13" t="n">
        <v>154.940793391488</v>
      </c>
      <c r="F292" s="13" t="n">
        <v>152.473702466477</v>
      </c>
      <c r="G292" s="22" t="n">
        <f aca="false">155.952164-148.995241</f>
        <v>6.95692300000002</v>
      </c>
    </row>
    <row r="293" customFormat="false" ht="15" hidden="false" customHeight="false" outlineLevel="0" collapsed="false">
      <c r="A293" s="16" t="n">
        <v>46478</v>
      </c>
      <c r="B293" s="19"/>
      <c r="C293" s="18" t="str">
        <f aca="false">IFERROR((B293/B292-1)*100,"")</f>
        <v/>
      </c>
      <c r="D293" s="18" t="str">
        <f aca="false">IFERROR((B293/B289-1)*100,"")</f>
        <v/>
      </c>
      <c r="E293" s="17" t="n">
        <v>155.71883357735</v>
      </c>
      <c r="F293" s="17" t="n">
        <v>152.910580327436</v>
      </c>
      <c r="G293" s="23" t="n">
        <f aca="false">156.721044-149.100116</f>
        <v>7.62092799999999</v>
      </c>
    </row>
    <row r="294" customFormat="false" ht="15" hidden="false" customHeight="false" outlineLevel="0" collapsed="false">
      <c r="A294" s="12" t="n">
        <v>46569</v>
      </c>
      <c r="B294" s="14"/>
      <c r="C294" s="21" t="str">
        <f aca="false">IFERROR((B294/B293-1)*100,"")</f>
        <v/>
      </c>
      <c r="D294" s="21" t="str">
        <f aca="false">IFERROR((B294/B290-1)*100,"")</f>
        <v/>
      </c>
      <c r="E294" s="13" t="n">
        <v>156.500780717073</v>
      </c>
      <c r="F294" s="13" t="n">
        <v>153.624476988448</v>
      </c>
      <c r="G294" s="22" t="n">
        <f aca="false">157.740248-149.508706</f>
        <v>8.23154200000002</v>
      </c>
    </row>
    <row r="295" customFormat="false" ht="15" hidden="false" customHeight="false" outlineLevel="0" collapsed="false">
      <c r="A295" s="16" t="n">
        <v>46661</v>
      </c>
      <c r="B295" s="19"/>
      <c r="C295" s="18" t="str">
        <f aca="false">IFERROR((B295/B294-1)*100,"")</f>
        <v/>
      </c>
      <c r="D295" s="18" t="str">
        <f aca="false">IFERROR((B295/B291-1)*100,"")</f>
        <v/>
      </c>
      <c r="E295" s="17" t="n">
        <v>157.28665442955</v>
      </c>
      <c r="F295" s="17" t="n">
        <v>153.736975830282</v>
      </c>
      <c r="G295" s="23" t="n">
        <f aca="false">158.136921-149.337031</f>
        <v>8.79989000000001</v>
      </c>
    </row>
  </sheetData>
  <mergeCells count="9">
    <mergeCell ref="A4:N4"/>
    <mergeCell ref="A6:G6"/>
    <mergeCell ref="I6:L6"/>
    <mergeCell ref="A102:N102"/>
    <mergeCell ref="A104:G104"/>
    <mergeCell ref="I104:L104"/>
    <mergeCell ref="A200:N200"/>
    <mergeCell ref="A202:G202"/>
    <mergeCell ref="I202:L2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1"/>
    <col collapsed="false" customWidth="true" hidden="false" outlineLevel="0" max="7" min="5" style="0" width="13"/>
    <col collapsed="false" customWidth="true" hidden="false" outlineLevel="0" max="8" min="8" style="0" width="2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6"/>
  </cols>
  <sheetData>
    <row r="1" customFormat="false" ht="22.0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" t="s">
        <v>111</v>
      </c>
    </row>
    <row r="4" customFormat="false" ht="21.75" hidden="false" customHeight="true" outlineLevel="0" collapsed="false">
      <c r="A4" s="9" t="s">
        <v>141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false" outlineLevel="0" collapsed="false">
      <c r="A5" s="5" t="s">
        <v>113</v>
      </c>
      <c r="B5" s="10" t="s">
        <v>114</v>
      </c>
      <c r="D5" s="5" t="s">
        <v>115</v>
      </c>
      <c r="E5" s="2" t="s">
        <v>116</v>
      </c>
      <c r="H5" s="5" t="s">
        <v>117</v>
      </c>
      <c r="I5" s="2" t="s">
        <v>118</v>
      </c>
    </row>
    <row r="6" customFormat="false" ht="18" hidden="false" customHeight="true" outlineLevel="0" collapsed="false">
      <c r="A6" s="11" t="s">
        <v>119</v>
      </c>
      <c r="B6" s="11"/>
      <c r="C6" s="11"/>
      <c r="D6" s="11"/>
      <c r="E6" s="11"/>
      <c r="F6" s="11"/>
      <c r="G6" s="11"/>
      <c r="I6" s="11" t="s">
        <v>120</v>
      </c>
      <c r="J6" s="11"/>
      <c r="K6" s="11"/>
      <c r="L6" s="11"/>
    </row>
    <row r="7" customFormat="false" ht="15" hidden="false" customHeight="false" outlineLevel="0" collapsed="false">
      <c r="A7" s="6" t="s">
        <v>121</v>
      </c>
      <c r="B7" s="6" t="s">
        <v>122</v>
      </c>
      <c r="C7" s="6" t="s">
        <v>123</v>
      </c>
      <c r="D7" s="6" t="s">
        <v>124</v>
      </c>
      <c r="E7" s="6" t="s">
        <v>125</v>
      </c>
      <c r="F7" s="6" t="s">
        <v>126</v>
      </c>
      <c r="G7" s="6" t="s">
        <v>127</v>
      </c>
      <c r="I7" s="6" t="s">
        <v>128</v>
      </c>
      <c r="J7" s="6" t="s">
        <v>122</v>
      </c>
      <c r="K7" s="6" t="s">
        <v>124</v>
      </c>
      <c r="L7" s="6" t="s">
        <v>129</v>
      </c>
    </row>
    <row r="8" customFormat="false" ht="15" hidden="false" customHeight="false" outlineLevel="0" collapsed="false">
      <c r="A8" s="12" t="n">
        <v>38353</v>
      </c>
      <c r="B8" s="13" t="n">
        <v>99.873514538005</v>
      </c>
      <c r="C8" s="14"/>
      <c r="D8" s="14"/>
      <c r="E8" s="14"/>
      <c r="F8" s="14"/>
      <c r="G8" s="14"/>
      <c r="I8" s="15" t="n">
        <v>2005</v>
      </c>
      <c r="J8" s="13" t="n">
        <v>402.368916996555</v>
      </c>
      <c r="K8" s="14"/>
      <c r="L8" s="14"/>
    </row>
    <row r="9" customFormat="false" ht="15" hidden="false" customHeight="false" outlineLevel="0" collapsed="false">
      <c r="A9" s="16" t="n">
        <v>38443</v>
      </c>
      <c r="B9" s="17" t="n">
        <v>100.505211604824</v>
      </c>
      <c r="C9" s="18" t="n">
        <f aca="false">IFERROR((B9/B8-1)*100,"")</f>
        <v>0.632497083677386</v>
      </c>
      <c r="D9" s="19"/>
      <c r="E9" s="19"/>
      <c r="F9" s="19"/>
      <c r="G9" s="19"/>
      <c r="I9" s="20" t="n">
        <v>2006</v>
      </c>
      <c r="J9" s="17" t="n">
        <v>411.622112289164</v>
      </c>
      <c r="K9" s="18" t="n">
        <f aca="false">IFERROR((J9/J8-1)*100,"")</f>
        <v>2.29967944881986</v>
      </c>
      <c r="L9" s="19"/>
    </row>
    <row r="10" customFormat="false" ht="15" hidden="false" customHeight="false" outlineLevel="0" collapsed="false">
      <c r="A10" s="12" t="n">
        <v>38534</v>
      </c>
      <c r="B10" s="13" t="n">
        <v>101.045123639676</v>
      </c>
      <c r="C10" s="21" t="n">
        <f aca="false">IFERROR((B10/B9-1)*100,"")</f>
        <v>0.537198047972654</v>
      </c>
      <c r="D10" s="14"/>
      <c r="E10" s="14"/>
      <c r="F10" s="14"/>
      <c r="G10" s="14"/>
      <c r="I10" s="15" t="n">
        <v>2007</v>
      </c>
      <c r="J10" s="13" t="n">
        <v>419.608099313218</v>
      </c>
      <c r="K10" s="21" t="n">
        <f aca="false">IFERROR((J10/J9-1)*100,"")</f>
        <v>1.94012585466827</v>
      </c>
      <c r="L10" s="14"/>
    </row>
    <row r="11" customFormat="false" ht="15" hidden="false" customHeight="false" outlineLevel="0" collapsed="false">
      <c r="A11" s="16" t="n">
        <v>38626</v>
      </c>
      <c r="B11" s="17" t="n">
        <v>100.94506721405</v>
      </c>
      <c r="C11" s="18" t="n">
        <f aca="false">IFERROR((B11/B10-1)*100,"")</f>
        <v>-0.09902152822584</v>
      </c>
      <c r="D11" s="19"/>
      <c r="E11" s="19"/>
      <c r="F11" s="19"/>
      <c r="G11" s="19"/>
      <c r="I11" s="20" t="n">
        <v>2008</v>
      </c>
      <c r="J11" s="17" t="n">
        <v>428.711633097531</v>
      </c>
      <c r="K11" s="18" t="n">
        <f aca="false">IFERROR((J11/J10-1)*100,"")</f>
        <v>2.16953242780895</v>
      </c>
      <c r="L11" s="19"/>
    </row>
    <row r="12" customFormat="false" ht="15" hidden="false" customHeight="false" outlineLevel="0" collapsed="false">
      <c r="A12" s="12" t="n">
        <v>38718</v>
      </c>
      <c r="B12" s="13" t="n">
        <v>102.238295114045</v>
      </c>
      <c r="C12" s="21" t="n">
        <f aca="false">IFERROR((B12/B11-1)*100,"")</f>
        <v>1.28112045064319</v>
      </c>
      <c r="D12" s="21" t="n">
        <f aca="false">IFERROR((B12/B8-1)*100,"")</f>
        <v>2.36777546777931</v>
      </c>
      <c r="E12" s="14"/>
      <c r="F12" s="14"/>
      <c r="G12" s="14"/>
      <c r="I12" s="15" t="n">
        <v>2009</v>
      </c>
      <c r="J12" s="13" t="n">
        <v>438.078849418891</v>
      </c>
      <c r="K12" s="21" t="n">
        <f aca="false">IFERROR((J12/J11-1)*100,"")</f>
        <v>2.18496900904697</v>
      </c>
      <c r="L12" s="14"/>
    </row>
    <row r="13" customFormat="false" ht="15" hidden="false" customHeight="false" outlineLevel="0" collapsed="false">
      <c r="A13" s="16" t="n">
        <v>38808</v>
      </c>
      <c r="B13" s="17" t="n">
        <v>102.512462838854</v>
      </c>
      <c r="C13" s="18" t="n">
        <f aca="false">IFERROR((B13/B12-1)*100,"")</f>
        <v>0.268165391943964</v>
      </c>
      <c r="D13" s="18" t="n">
        <f aca="false">IFERROR((B13/B9-1)*100,"")</f>
        <v>1.99716134315762</v>
      </c>
      <c r="E13" s="19"/>
      <c r="F13" s="19"/>
      <c r="G13" s="19"/>
      <c r="I13" s="20" t="n">
        <v>2010</v>
      </c>
      <c r="J13" s="17" t="n">
        <v>444.359463322649</v>
      </c>
      <c r="K13" s="18" t="n">
        <f aca="false">IFERROR((J13/J12-1)*100,"")</f>
        <v>1.433672023219</v>
      </c>
      <c r="L13" s="19"/>
    </row>
    <row r="14" customFormat="false" ht="15" hidden="false" customHeight="false" outlineLevel="0" collapsed="false">
      <c r="A14" s="12" t="n">
        <v>38899</v>
      </c>
      <c r="B14" s="13" t="n">
        <v>103.04782687599</v>
      </c>
      <c r="C14" s="21" t="n">
        <f aca="false">IFERROR((B14/B13-1)*100,"")</f>
        <v>0.522242878875767</v>
      </c>
      <c r="D14" s="21" t="n">
        <f aca="false">IFERROR((B14/B10-1)*100,"")</f>
        <v>1.98198900073208</v>
      </c>
      <c r="E14" s="14"/>
      <c r="F14" s="14"/>
      <c r="G14" s="14"/>
      <c r="I14" s="15" t="n">
        <v>2011</v>
      </c>
      <c r="J14" s="13" t="n">
        <v>453.323162513666</v>
      </c>
      <c r="K14" s="21" t="n">
        <f aca="false">IFERROR((J14/J13-1)*100,"")</f>
        <v>2.01721802524273</v>
      </c>
      <c r="L14" s="14"/>
    </row>
    <row r="15" customFormat="false" ht="15" hidden="false" customHeight="false" outlineLevel="0" collapsed="false">
      <c r="A15" s="16" t="n">
        <v>38991</v>
      </c>
      <c r="B15" s="17" t="n">
        <v>103.823527460274</v>
      </c>
      <c r="C15" s="18" t="n">
        <f aca="false">IFERROR((B15/B14-1)*100,"")</f>
        <v>0.752757828864659</v>
      </c>
      <c r="D15" s="18" t="n">
        <f aca="false">IFERROR((B15/B11-1)*100,"")</f>
        <v>2.85151154550272</v>
      </c>
      <c r="E15" s="19"/>
      <c r="F15" s="19"/>
      <c r="G15" s="19"/>
      <c r="I15" s="20" t="n">
        <v>2012</v>
      </c>
      <c r="J15" s="17" t="n">
        <v>462.201180983474</v>
      </c>
      <c r="K15" s="18" t="n">
        <f aca="false">IFERROR((J15/J14-1)*100,"")</f>
        <v>1.95843036578585</v>
      </c>
      <c r="L15" s="19"/>
    </row>
    <row r="16" customFormat="false" ht="15" hidden="false" customHeight="false" outlineLevel="0" collapsed="false">
      <c r="A16" s="12" t="n">
        <v>39083</v>
      </c>
      <c r="B16" s="13" t="n">
        <v>104.402333274605</v>
      </c>
      <c r="C16" s="21" t="n">
        <f aca="false">IFERROR((B16/B15-1)*100,"")</f>
        <v>0.557490029947738</v>
      </c>
      <c r="D16" s="21" t="n">
        <f aca="false">IFERROR((B16/B12-1)*100,"")</f>
        <v>2.11666103992301</v>
      </c>
      <c r="E16" s="14"/>
      <c r="F16" s="14"/>
      <c r="G16" s="14"/>
      <c r="I16" s="15" t="n">
        <v>2013</v>
      </c>
      <c r="J16" s="13" t="n">
        <v>473.61349301536</v>
      </c>
      <c r="K16" s="21" t="n">
        <f aca="false">IFERROR((J16/J15-1)*100,"")</f>
        <v>2.46912221375177</v>
      </c>
      <c r="L16" s="14"/>
    </row>
    <row r="17" customFormat="false" ht="15" hidden="false" customHeight="false" outlineLevel="0" collapsed="false">
      <c r="A17" s="16" t="n">
        <v>39173</v>
      </c>
      <c r="B17" s="17" t="n">
        <v>105.111472100267</v>
      </c>
      <c r="C17" s="18" t="n">
        <f aca="false">IFERROR((B17/B16-1)*100,"")</f>
        <v>0.679236568206565</v>
      </c>
      <c r="D17" s="18" t="n">
        <f aca="false">IFERROR((B17/B13-1)*100,"")</f>
        <v>2.53531052658313</v>
      </c>
      <c r="E17" s="19"/>
      <c r="F17" s="19"/>
      <c r="G17" s="19"/>
      <c r="I17" s="20" t="n">
        <v>2014</v>
      </c>
      <c r="J17" s="17" t="n">
        <v>482.767051519688</v>
      </c>
      <c r="K17" s="18" t="n">
        <f aca="false">IFERROR((J17/J16-1)*100,"")</f>
        <v>1.93270644509083</v>
      </c>
      <c r="L17" s="19"/>
    </row>
    <row r="18" customFormat="false" ht="15" hidden="false" customHeight="false" outlineLevel="0" collapsed="false">
      <c r="A18" s="12" t="n">
        <v>39264</v>
      </c>
      <c r="B18" s="13" t="n">
        <v>105.10858666208</v>
      </c>
      <c r="C18" s="21" t="n">
        <f aca="false">IFERROR((B18/B17-1)*100,"")</f>
        <v>-0.00274512204020416</v>
      </c>
      <c r="D18" s="21" t="n">
        <f aca="false">IFERROR((B18/B14-1)*100,"")</f>
        <v>1.99980906785115</v>
      </c>
      <c r="E18" s="14"/>
      <c r="F18" s="14"/>
      <c r="G18" s="14"/>
      <c r="I18" s="15" t="n">
        <v>2015</v>
      </c>
      <c r="J18" s="13" t="n">
        <v>492.072959533815</v>
      </c>
      <c r="K18" s="21" t="n">
        <f aca="false">IFERROR((J18/J17-1)*100,"")</f>
        <v>1.92761871068732</v>
      </c>
      <c r="L18" s="14"/>
    </row>
    <row r="19" customFormat="false" ht="15" hidden="false" customHeight="false" outlineLevel="0" collapsed="false">
      <c r="A19" s="16" t="n">
        <v>39356</v>
      </c>
      <c r="B19" s="17" t="n">
        <v>104.985707276265</v>
      </c>
      <c r="C19" s="18" t="n">
        <f aca="false">IFERROR((B19/B18-1)*100,"")</f>
        <v>-0.116907086012152</v>
      </c>
      <c r="D19" s="18" t="n">
        <f aca="false">IFERROR((B19/B15-1)*100,"")</f>
        <v>1.11938001377885</v>
      </c>
      <c r="E19" s="19"/>
      <c r="F19" s="19"/>
      <c r="G19" s="19"/>
      <c r="I19" s="20" t="n">
        <v>2016</v>
      </c>
      <c r="J19" s="17" t="n">
        <v>502.988110837636</v>
      </c>
      <c r="K19" s="18" t="n">
        <f aca="false">IFERROR((J19/J18-1)*100,"")</f>
        <v>2.21819774737511</v>
      </c>
      <c r="L19" s="19"/>
    </row>
    <row r="20" customFormat="false" ht="15" hidden="false" customHeight="false" outlineLevel="0" collapsed="false">
      <c r="A20" s="12" t="n">
        <v>39448</v>
      </c>
      <c r="B20" s="13" t="n">
        <v>106.297361543388</v>
      </c>
      <c r="C20" s="21" t="n">
        <f aca="false">IFERROR((B20/B19-1)*100,"")</f>
        <v>1.24936460509937</v>
      </c>
      <c r="D20" s="21" t="n">
        <f aca="false">IFERROR((B20/B16-1)*100,"")</f>
        <v>1.81512061018587</v>
      </c>
      <c r="E20" s="14"/>
      <c r="F20" s="14"/>
      <c r="G20" s="14"/>
      <c r="I20" s="15" t="n">
        <v>2017</v>
      </c>
      <c r="J20" s="13" t="n">
        <v>511.708291705064</v>
      </c>
      <c r="K20" s="21" t="n">
        <f aca="false">IFERROR((J20/J19-1)*100,"")</f>
        <v>1.7336753453091</v>
      </c>
      <c r="L20" s="14"/>
    </row>
    <row r="21" customFormat="false" ht="15" hidden="false" customHeight="false" outlineLevel="0" collapsed="false">
      <c r="A21" s="16" t="n">
        <v>39539</v>
      </c>
      <c r="B21" s="17" t="n">
        <v>106.866175237732</v>
      </c>
      <c r="C21" s="18" t="n">
        <f aca="false">IFERROR((B21/B20-1)*100,"")</f>
        <v>0.535115534463793</v>
      </c>
      <c r="D21" s="18" t="n">
        <f aca="false">IFERROR((B21/B17-1)*100,"")</f>
        <v>1.66937357302945</v>
      </c>
      <c r="E21" s="19"/>
      <c r="F21" s="19"/>
      <c r="G21" s="19"/>
      <c r="I21" s="20" t="n">
        <v>2018</v>
      </c>
      <c r="J21" s="17" t="n">
        <v>524.336728476841</v>
      </c>
      <c r="K21" s="18" t="n">
        <f aca="false">IFERROR((J21/J20-1)*100,"")</f>
        <v>2.46789762380004</v>
      </c>
      <c r="L21" s="19"/>
    </row>
    <row r="22" customFormat="false" ht="15" hidden="false" customHeight="false" outlineLevel="0" collapsed="false">
      <c r="A22" s="12" t="n">
        <v>39630</v>
      </c>
      <c r="B22" s="13" t="n">
        <v>107.947048059554</v>
      </c>
      <c r="C22" s="21" t="n">
        <f aca="false">IFERROR((B22/B21-1)*100,"")</f>
        <v>1.01142650555015</v>
      </c>
      <c r="D22" s="21" t="n">
        <f aca="false">IFERROR((B22/B18-1)*100,"")</f>
        <v>2.70050381953963</v>
      </c>
      <c r="E22" s="14"/>
      <c r="F22" s="14"/>
      <c r="G22" s="14"/>
      <c r="I22" s="15" t="n">
        <v>2019</v>
      </c>
      <c r="J22" s="13" t="n">
        <v>532.504356994551</v>
      </c>
      <c r="K22" s="21" t="n">
        <f aca="false">IFERROR((J22/J21-1)*100,"")</f>
        <v>1.55770673197668</v>
      </c>
      <c r="L22" s="14"/>
    </row>
    <row r="23" customFormat="false" ht="15" hidden="false" customHeight="false" outlineLevel="0" collapsed="false">
      <c r="A23" s="16" t="n">
        <v>39722</v>
      </c>
      <c r="B23" s="17" t="n">
        <v>107.601048256858</v>
      </c>
      <c r="C23" s="18" t="n">
        <f aca="false">IFERROR((B23/B22-1)*100,"")</f>
        <v>-0.320527340872645</v>
      </c>
      <c r="D23" s="18" t="n">
        <f aca="false">IFERROR((B23/B19-1)*100,"")</f>
        <v>2.49114003081472</v>
      </c>
      <c r="E23" s="19"/>
      <c r="F23" s="19"/>
      <c r="G23" s="19"/>
      <c r="I23" s="20" t="n">
        <v>2020</v>
      </c>
      <c r="J23" s="17" t="n">
        <v>543.85800792393</v>
      </c>
      <c r="K23" s="18" t="n">
        <f aca="false">IFERROR((J23/J22-1)*100,"")</f>
        <v>2.13212357424812</v>
      </c>
      <c r="L23" s="19"/>
    </row>
    <row r="24" customFormat="false" ht="15" hidden="false" customHeight="false" outlineLevel="0" collapsed="false">
      <c r="A24" s="12" t="n">
        <v>39814</v>
      </c>
      <c r="B24" s="13" t="n">
        <v>108.540684555435</v>
      </c>
      <c r="C24" s="21" t="n">
        <f aca="false">IFERROR((B24/B23-1)*100,"")</f>
        <v>0.873259428043638</v>
      </c>
      <c r="D24" s="21" t="n">
        <f aca="false">IFERROR((B24/B20-1)*100,"")</f>
        <v>2.110422102181</v>
      </c>
      <c r="E24" s="14"/>
      <c r="F24" s="14"/>
      <c r="G24" s="14"/>
      <c r="I24" s="15" t="n">
        <v>2021</v>
      </c>
      <c r="J24" s="13" t="n">
        <v>554.870412246022</v>
      </c>
      <c r="K24" s="21" t="n">
        <f aca="false">IFERROR((J24/J23-1)*100,"")</f>
        <v>2.02486755028755</v>
      </c>
      <c r="L24" s="14"/>
    </row>
    <row r="25" customFormat="false" ht="15" hidden="false" customHeight="false" outlineLevel="0" collapsed="false">
      <c r="A25" s="16" t="n">
        <v>39904</v>
      </c>
      <c r="B25" s="17" t="n">
        <v>108.771601335107</v>
      </c>
      <c r="C25" s="18" t="n">
        <f aca="false">IFERROR((B25/B24-1)*100,"")</f>
        <v>0.212746750785664</v>
      </c>
      <c r="D25" s="18" t="n">
        <f aca="false">IFERROR((B25/B21-1)*100,"")</f>
        <v>1.78300205199311</v>
      </c>
      <c r="E25" s="19"/>
      <c r="F25" s="19"/>
      <c r="G25" s="19"/>
      <c r="I25" s="20" t="n">
        <v>2022</v>
      </c>
      <c r="J25" s="17" t="n">
        <v>566.911511779921</v>
      </c>
      <c r="K25" s="18" t="n">
        <f aca="false">IFERROR((J25/J24-1)*100,"")</f>
        <v>2.17007417734867</v>
      </c>
      <c r="L25" s="19"/>
    </row>
    <row r="26" customFormat="false" ht="15" hidden="false" customHeight="false" outlineLevel="0" collapsed="false">
      <c r="A26" s="12" t="n">
        <v>39995</v>
      </c>
      <c r="B26" s="13" t="n">
        <v>110.308659508372</v>
      </c>
      <c r="C26" s="21" t="n">
        <f aca="false">IFERROR((B26/B25-1)*100,"")</f>
        <v>1.41310613652712</v>
      </c>
      <c r="D26" s="21" t="n">
        <f aca="false">IFERROR((B26/B22-1)*100,"")</f>
        <v>2.1877499118971</v>
      </c>
      <c r="E26" s="14"/>
      <c r="F26" s="14"/>
      <c r="G26" s="14"/>
      <c r="I26" s="15" t="n">
        <v>2023</v>
      </c>
      <c r="J26" s="13" t="n">
        <v>577.952839486799</v>
      </c>
      <c r="K26" s="21" t="n">
        <f aca="false">IFERROR((J26/J25-1)*100,"")</f>
        <v>1.94762806495354</v>
      </c>
      <c r="L26" s="14"/>
    </row>
    <row r="27" customFormat="false" ht="15" hidden="false" customHeight="false" outlineLevel="0" collapsed="false">
      <c r="A27" s="16" t="n">
        <v>40087</v>
      </c>
      <c r="B27" s="17" t="n">
        <v>110.457904019978</v>
      </c>
      <c r="C27" s="18" t="n">
        <f aca="false">IFERROR((B27/B26-1)*100,"")</f>
        <v>0.135297185434635</v>
      </c>
      <c r="D27" s="18" t="n">
        <f aca="false">IFERROR((B27/B23-1)*100,"")</f>
        <v>2.65504454594161</v>
      </c>
      <c r="E27" s="19"/>
      <c r="F27" s="19"/>
      <c r="G27" s="19"/>
      <c r="I27" s="20" t="n">
        <v>2024</v>
      </c>
      <c r="J27" s="17" t="n">
        <v>589.923419775883</v>
      </c>
      <c r="K27" s="18" t="n">
        <f aca="false">IFERROR((J27/J26-1)*100,"")</f>
        <v>2.07120364694684</v>
      </c>
      <c r="L27" s="19"/>
    </row>
    <row r="28" customFormat="false" ht="15" hidden="false" customHeight="false" outlineLevel="0" collapsed="false">
      <c r="A28" s="12" t="n">
        <v>40179</v>
      </c>
      <c r="B28" s="13" t="n">
        <v>110.33144887542</v>
      </c>
      <c r="C28" s="21" t="n">
        <f aca="false">IFERROR((B28/B27-1)*100,"")</f>
        <v>-0.114482658058079</v>
      </c>
      <c r="D28" s="21" t="n">
        <f aca="false">IFERROR((B28/B24-1)*100,"")</f>
        <v>1.64985537664544</v>
      </c>
      <c r="E28" s="14"/>
      <c r="F28" s="14"/>
      <c r="G28" s="14"/>
      <c r="I28" s="15" t="n">
        <v>2025</v>
      </c>
      <c r="J28" s="13" t="n">
        <v>600.440755698703</v>
      </c>
      <c r="K28" s="21" t="n">
        <f aca="false">IFERROR((J28/J27-1)*100,"")</f>
        <v>1.78283071501313</v>
      </c>
      <c r="L28" s="14"/>
    </row>
    <row r="29" customFormat="false" ht="15" hidden="false" customHeight="false" outlineLevel="0" collapsed="false">
      <c r="A29" s="16" t="n">
        <v>40269</v>
      </c>
      <c r="B29" s="17" t="n">
        <v>109.755406851289</v>
      </c>
      <c r="C29" s="18" t="n">
        <f aca="false">IFERROR((B29/B28-1)*100,"")</f>
        <v>-0.522101386324969</v>
      </c>
      <c r="D29" s="18" t="n">
        <f aca="false">IFERROR((B29/B25-1)*100,"")</f>
        <v>0.904469093133486</v>
      </c>
      <c r="E29" s="19"/>
      <c r="F29" s="19"/>
      <c r="G29" s="19"/>
      <c r="I29" s="20" t="n">
        <v>2026</v>
      </c>
      <c r="J29" s="19"/>
      <c r="K29" s="18" t="n">
        <f aca="false">IFERROR((J29/J28-1)*100,"")</f>
        <v>-100</v>
      </c>
      <c r="L29" s="17" t="n">
        <v>607.537946407655</v>
      </c>
    </row>
    <row r="30" customFormat="false" ht="15" hidden="false" customHeight="false" outlineLevel="0" collapsed="false">
      <c r="A30" s="12" t="n">
        <v>40360</v>
      </c>
      <c r="B30" s="13" t="n">
        <v>111.460799810226</v>
      </c>
      <c r="C30" s="21" t="n">
        <f aca="false">IFERROR((B30/B29-1)*100,"")</f>
        <v>1.55381225204494</v>
      </c>
      <c r="D30" s="21" t="n">
        <f aca="false">IFERROR((B30/B26-1)*100,"")</f>
        <v>1.04446949767063</v>
      </c>
      <c r="E30" s="14"/>
      <c r="F30" s="14"/>
      <c r="G30" s="14"/>
      <c r="I30" s="15" t="n">
        <v>2027</v>
      </c>
      <c r="J30" s="14"/>
      <c r="K30" s="21" t="str">
        <f aca="false">IFERROR((J30/J29-1)*100,"")</f>
        <v/>
      </c>
      <c r="L30" s="13" t="n">
        <v>613.317077421414</v>
      </c>
    </row>
    <row r="31" customFormat="false" ht="15" hidden="false" customHeight="false" outlineLevel="0" collapsed="false">
      <c r="A31" s="16" t="n">
        <v>40452</v>
      </c>
      <c r="B31" s="17" t="n">
        <v>112.811807785714</v>
      </c>
      <c r="C31" s="18" t="n">
        <f aca="false">IFERROR((B31/B30-1)*100,"")</f>
        <v>1.21209248254761</v>
      </c>
      <c r="D31" s="18" t="n">
        <f aca="false">IFERROR((B31/B27-1)*100,"")</f>
        <v>2.13104149188841</v>
      </c>
      <c r="E31" s="19"/>
      <c r="F31" s="19"/>
      <c r="G31" s="19"/>
    </row>
    <row r="32" customFormat="false" ht="15" hidden="false" customHeight="false" outlineLevel="0" collapsed="false">
      <c r="A32" s="12" t="n">
        <v>40544</v>
      </c>
      <c r="B32" s="13" t="n">
        <v>112.743450247432</v>
      </c>
      <c r="C32" s="21" t="n">
        <f aca="false">IFERROR((B32/B31-1)*100,"")</f>
        <v>-0.0605943115557062</v>
      </c>
      <c r="D32" s="21" t="n">
        <f aca="false">IFERROR((B32/B28-1)*100,"")</f>
        <v>2.18614130114025</v>
      </c>
      <c r="E32" s="14"/>
      <c r="F32" s="14"/>
      <c r="G32" s="14"/>
    </row>
    <row r="33" customFormat="false" ht="15" hidden="false" customHeight="false" outlineLevel="0" collapsed="false">
      <c r="A33" s="16" t="n">
        <v>40634</v>
      </c>
      <c r="B33" s="17" t="n">
        <v>112.835400817279</v>
      </c>
      <c r="C33" s="18" t="n">
        <f aca="false">IFERROR((B33/B32-1)*100,"")</f>
        <v>0.0815573495796862</v>
      </c>
      <c r="D33" s="18" t="n">
        <f aca="false">IFERROR((B33/B29-1)*100,"")</f>
        <v>2.80623438457357</v>
      </c>
      <c r="E33" s="19"/>
      <c r="F33" s="19"/>
      <c r="G33" s="19"/>
    </row>
    <row r="34" customFormat="false" ht="15" hidden="false" customHeight="false" outlineLevel="0" collapsed="false">
      <c r="A34" s="12" t="n">
        <v>40725</v>
      </c>
      <c r="B34" s="13" t="n">
        <v>113.71875942084</v>
      </c>
      <c r="C34" s="21" t="n">
        <f aca="false">IFERROR((B34/B33-1)*100,"")</f>
        <v>0.782873634659831</v>
      </c>
      <c r="D34" s="21" t="n">
        <f aca="false">IFERROR((B34/B30-1)*100,"")</f>
        <v>2.02578809272678</v>
      </c>
      <c r="E34" s="14"/>
      <c r="F34" s="14"/>
      <c r="G34" s="14"/>
    </row>
    <row r="35" customFormat="false" ht="15" hidden="false" customHeight="false" outlineLevel="0" collapsed="false">
      <c r="A35" s="16" t="n">
        <v>40817</v>
      </c>
      <c r="B35" s="17" t="n">
        <v>114.025552028115</v>
      </c>
      <c r="C35" s="18" t="n">
        <f aca="false">IFERROR((B35/B34-1)*100,"")</f>
        <v>0.269781880172859</v>
      </c>
      <c r="D35" s="18" t="n">
        <f aca="false">IFERROR((B35/B31-1)*100,"")</f>
        <v>1.07590177502228</v>
      </c>
      <c r="E35" s="19"/>
      <c r="F35" s="19"/>
      <c r="G35" s="19"/>
    </row>
    <row r="36" customFormat="false" ht="15" hidden="false" customHeight="false" outlineLevel="0" collapsed="false">
      <c r="A36" s="12" t="n">
        <v>40909</v>
      </c>
      <c r="B36" s="13" t="n">
        <v>114.680974754603</v>
      </c>
      <c r="C36" s="21" t="n">
        <f aca="false">IFERROR((B36/B35-1)*100,"")</f>
        <v>0.574803379445066</v>
      </c>
      <c r="D36" s="21" t="n">
        <f aca="false">IFERROR((B36/B32-1)*100,"")</f>
        <v>1.71852511424728</v>
      </c>
      <c r="E36" s="14"/>
      <c r="F36" s="14"/>
      <c r="G36" s="14"/>
    </row>
    <row r="37" customFormat="false" ht="15" hidden="false" customHeight="false" outlineLevel="0" collapsed="false">
      <c r="A37" s="16" t="n">
        <v>41000</v>
      </c>
      <c r="B37" s="17" t="n">
        <v>115.002337570911</v>
      </c>
      <c r="C37" s="18" t="n">
        <f aca="false">IFERROR((B37/B36-1)*100,"")</f>
        <v>0.280223303817695</v>
      </c>
      <c r="D37" s="18" t="n">
        <f aca="false">IFERROR((B37/B33-1)*100,"")</f>
        <v>1.9204405159523</v>
      </c>
      <c r="E37" s="19"/>
      <c r="F37" s="19"/>
      <c r="G37" s="19"/>
    </row>
    <row r="38" customFormat="false" ht="15" hidden="false" customHeight="false" outlineLevel="0" collapsed="false">
      <c r="A38" s="12" t="n">
        <v>41091</v>
      </c>
      <c r="B38" s="13" t="n">
        <v>115.359651510316</v>
      </c>
      <c r="C38" s="21" t="n">
        <f aca="false">IFERROR((B38/B37-1)*100,"")</f>
        <v>0.31070145785923</v>
      </c>
      <c r="D38" s="21" t="n">
        <f aca="false">IFERROR((B38/B34-1)*100,"")</f>
        <v>1.44293878849271</v>
      </c>
      <c r="E38" s="14"/>
      <c r="F38" s="14"/>
      <c r="G38" s="14"/>
    </row>
    <row r="39" customFormat="false" ht="15" hidden="false" customHeight="false" outlineLevel="0" collapsed="false">
      <c r="A39" s="16" t="n">
        <v>41183</v>
      </c>
      <c r="B39" s="17" t="n">
        <v>117.158217147644</v>
      </c>
      <c r="C39" s="18" t="n">
        <f aca="false">IFERROR((B39/B38-1)*100,"")</f>
        <v>1.55909420129192</v>
      </c>
      <c r="D39" s="18" t="n">
        <f aca="false">IFERROR((B39/B35-1)*100,"")</f>
        <v>2.74733606968787</v>
      </c>
      <c r="E39" s="19"/>
      <c r="F39" s="19"/>
      <c r="G39" s="19"/>
    </row>
    <row r="40" customFormat="false" ht="15" hidden="false" customHeight="false" outlineLevel="0" collapsed="false">
      <c r="A40" s="12" t="n">
        <v>41275</v>
      </c>
      <c r="B40" s="13" t="n">
        <v>117.328841423474</v>
      </c>
      <c r="C40" s="21" t="n">
        <f aca="false">IFERROR((B40/B39-1)*100,"")</f>
        <v>0.145635773558483</v>
      </c>
      <c r="D40" s="21" t="n">
        <f aca="false">IFERROR((B40/B36-1)*100,"")</f>
        <v>2.30889794452556</v>
      </c>
      <c r="E40" s="14"/>
      <c r="F40" s="14"/>
      <c r="G40" s="14"/>
    </row>
    <row r="41" customFormat="false" ht="15" hidden="false" customHeight="false" outlineLevel="0" collapsed="false">
      <c r="A41" s="16" t="n">
        <v>41365</v>
      </c>
      <c r="B41" s="17" t="n">
        <v>117.617679712671</v>
      </c>
      <c r="C41" s="18" t="n">
        <f aca="false">IFERROR((B41/B40-1)*100,"")</f>
        <v>0.246178421002119</v>
      </c>
      <c r="D41" s="18" t="n">
        <f aca="false">IFERROR((B41/B37-1)*100,"")</f>
        <v>2.27416433178758</v>
      </c>
      <c r="E41" s="19"/>
      <c r="F41" s="19"/>
      <c r="G41" s="19"/>
    </row>
    <row r="42" customFormat="false" ht="15" hidden="false" customHeight="false" outlineLevel="0" collapsed="false">
      <c r="A42" s="12" t="n">
        <v>41456</v>
      </c>
      <c r="B42" s="13" t="n">
        <v>119.083416838175</v>
      </c>
      <c r="C42" s="21" t="n">
        <f aca="false">IFERROR((B42/B41-1)*100,"")</f>
        <v>1.24618775772951</v>
      </c>
      <c r="D42" s="21" t="n">
        <f aca="false">IFERROR((B42/B38-1)*100,"")</f>
        <v>3.22796166519834</v>
      </c>
      <c r="E42" s="14"/>
      <c r="F42" s="14"/>
      <c r="G42" s="14"/>
    </row>
    <row r="43" customFormat="false" ht="15" hidden="false" customHeight="false" outlineLevel="0" collapsed="false">
      <c r="A43" s="16" t="n">
        <v>41548</v>
      </c>
      <c r="B43" s="17" t="n">
        <v>119.58355504104</v>
      </c>
      <c r="C43" s="18" t="n">
        <f aca="false">IFERROR((B43/B42-1)*100,"")</f>
        <v>0.41998979886877</v>
      </c>
      <c r="D43" s="18" t="n">
        <f aca="false">IFERROR((B43/B39-1)*100,"")</f>
        <v>2.07013895605783</v>
      </c>
      <c r="E43" s="19"/>
      <c r="F43" s="19"/>
      <c r="G43" s="19"/>
    </row>
    <row r="44" customFormat="false" ht="15" hidden="false" customHeight="false" outlineLevel="0" collapsed="false">
      <c r="A44" s="12" t="n">
        <v>41640</v>
      </c>
      <c r="B44" s="13" t="n">
        <v>119.141252708067</v>
      </c>
      <c r="C44" s="21" t="n">
        <f aca="false">IFERROR((B44/B43-1)*100,"")</f>
        <v>-0.369868860999245</v>
      </c>
      <c r="D44" s="21" t="n">
        <f aca="false">IFERROR((B44/B40-1)*100,"")</f>
        <v>1.54472784577466</v>
      </c>
      <c r="E44" s="14"/>
      <c r="F44" s="14"/>
      <c r="G44" s="14"/>
    </row>
    <row r="45" customFormat="false" ht="15" hidden="false" customHeight="false" outlineLevel="0" collapsed="false">
      <c r="A45" s="16" t="n">
        <v>41730</v>
      </c>
      <c r="B45" s="17" t="n">
        <v>120.260932065052</v>
      </c>
      <c r="C45" s="18" t="n">
        <f aca="false">IFERROR((B45/B44-1)*100,"")</f>
        <v>0.939791492480402</v>
      </c>
      <c r="D45" s="18" t="n">
        <f aca="false">IFERROR((B45/B41-1)*100,"")</f>
        <v>2.24732570718877</v>
      </c>
      <c r="E45" s="19"/>
      <c r="F45" s="19"/>
      <c r="G45" s="19"/>
    </row>
    <row r="46" customFormat="false" ht="15" hidden="false" customHeight="false" outlineLevel="0" collapsed="false">
      <c r="A46" s="12" t="n">
        <v>41821</v>
      </c>
      <c r="B46" s="13" t="n">
        <v>121.410691637768</v>
      </c>
      <c r="C46" s="21" t="n">
        <f aca="false">IFERROR((B46/B45-1)*100,"")</f>
        <v>0.956054100839632</v>
      </c>
      <c r="D46" s="21" t="n">
        <f aca="false">IFERROR((B46/B42-1)*100,"")</f>
        <v>1.95432316386712</v>
      </c>
      <c r="E46" s="14"/>
      <c r="F46" s="14"/>
      <c r="G46" s="14"/>
    </row>
    <row r="47" customFormat="false" ht="15" hidden="false" customHeight="false" outlineLevel="0" collapsed="false">
      <c r="A47" s="16" t="n">
        <v>41913</v>
      </c>
      <c r="B47" s="17" t="n">
        <v>121.9541751088</v>
      </c>
      <c r="C47" s="18" t="n">
        <f aca="false">IFERROR((B47/B46-1)*100,"")</f>
        <v>0.447640536183758</v>
      </c>
      <c r="D47" s="18" t="n">
        <f aca="false">IFERROR((B47/B43-1)*100,"")</f>
        <v>1.98239638129702</v>
      </c>
      <c r="E47" s="19"/>
      <c r="F47" s="19"/>
      <c r="G47" s="19"/>
    </row>
    <row r="48" customFormat="false" ht="15" hidden="false" customHeight="false" outlineLevel="0" collapsed="false">
      <c r="A48" s="12" t="n">
        <v>42005</v>
      </c>
      <c r="B48" s="13" t="n">
        <v>122.809827379074</v>
      </c>
      <c r="C48" s="21" t="n">
        <f aca="false">IFERROR((B48/B47-1)*100,"")</f>
        <v>0.701617857289949</v>
      </c>
      <c r="D48" s="21" t="n">
        <f aca="false">IFERROR((B48/B44-1)*100,"")</f>
        <v>3.07918087784063</v>
      </c>
      <c r="E48" s="14"/>
      <c r="F48" s="14"/>
      <c r="G48" s="14"/>
    </row>
    <row r="49" customFormat="false" ht="15" hidden="false" customHeight="false" outlineLevel="0" collapsed="false">
      <c r="A49" s="16" t="n">
        <v>42095</v>
      </c>
      <c r="B49" s="17" t="n">
        <v>122.930549687171</v>
      </c>
      <c r="C49" s="18" t="n">
        <f aca="false">IFERROR((B49/B48-1)*100,"")</f>
        <v>0.0983002017619139</v>
      </c>
      <c r="D49" s="18" t="n">
        <f aca="false">IFERROR((B49/B45-1)*100,"")</f>
        <v>2.21985442510508</v>
      </c>
      <c r="E49" s="19"/>
      <c r="F49" s="19"/>
      <c r="G49" s="19"/>
    </row>
    <row r="50" customFormat="false" ht="15" hidden="false" customHeight="false" outlineLevel="0" collapsed="false">
      <c r="A50" s="12" t="n">
        <v>42186</v>
      </c>
      <c r="B50" s="13" t="n">
        <v>122.595406265652</v>
      </c>
      <c r="C50" s="21" t="n">
        <f aca="false">IFERROR((B50/B49-1)*100,"")</f>
        <v>-0.272628262357444</v>
      </c>
      <c r="D50" s="21" t="n">
        <f aca="false">IFERROR((B50/B46-1)*100,"")</f>
        <v>0.975791021287353</v>
      </c>
      <c r="E50" s="14"/>
      <c r="F50" s="14"/>
      <c r="G50" s="14"/>
    </row>
    <row r="51" customFormat="false" ht="15" hidden="false" customHeight="false" outlineLevel="0" collapsed="false">
      <c r="A51" s="16" t="n">
        <v>42278</v>
      </c>
      <c r="B51" s="17" t="n">
        <v>123.737176201917</v>
      </c>
      <c r="C51" s="18" t="n">
        <f aca="false">IFERROR((B51/B50-1)*100,"")</f>
        <v>0.931331744837727</v>
      </c>
      <c r="D51" s="18" t="n">
        <f aca="false">IFERROR((B51/B47-1)*100,"")</f>
        <v>1.46202546286474</v>
      </c>
      <c r="E51" s="19"/>
      <c r="F51" s="19"/>
      <c r="G51" s="19"/>
    </row>
    <row r="52" customFormat="false" ht="15" hidden="false" customHeight="false" outlineLevel="0" collapsed="false">
      <c r="A52" s="12" t="n">
        <v>42370</v>
      </c>
      <c r="B52" s="13" t="n">
        <v>124.697135789516</v>
      </c>
      <c r="C52" s="21" t="n">
        <f aca="false">IFERROR((B52/B51-1)*100,"")</f>
        <v>0.775805313377953</v>
      </c>
      <c r="D52" s="21" t="n">
        <f aca="false">IFERROR((B52/B48-1)*100,"")</f>
        <v>1.53677311557168</v>
      </c>
      <c r="E52" s="14"/>
      <c r="F52" s="14"/>
      <c r="G52" s="14"/>
    </row>
    <row r="53" customFormat="false" ht="15" hidden="false" customHeight="false" outlineLevel="0" collapsed="false">
      <c r="A53" s="16" t="n">
        <v>42461</v>
      </c>
      <c r="B53" s="17" t="n">
        <v>125.531138100029</v>
      </c>
      <c r="C53" s="18" t="n">
        <f aca="false">IFERROR((B53/B52-1)*100,"")</f>
        <v>0.668822347228137</v>
      </c>
      <c r="D53" s="18" t="n">
        <f aca="false">IFERROR((B53/B49-1)*100,"")</f>
        <v>2.11549400818274</v>
      </c>
      <c r="E53" s="19"/>
      <c r="F53" s="19"/>
      <c r="G53" s="19"/>
    </row>
    <row r="54" customFormat="false" ht="15" hidden="false" customHeight="false" outlineLevel="0" collapsed="false">
      <c r="A54" s="12" t="n">
        <v>42552</v>
      </c>
      <c r="B54" s="13" t="n">
        <v>126.228962813617</v>
      </c>
      <c r="C54" s="21" t="n">
        <f aca="false">IFERROR((B54/B53-1)*100,"")</f>
        <v>0.555897703271002</v>
      </c>
      <c r="D54" s="21" t="n">
        <f aca="false">IFERROR((B54/B50-1)*100,"")</f>
        <v>2.96386027718791</v>
      </c>
      <c r="E54" s="14"/>
      <c r="F54" s="14"/>
      <c r="G54" s="14"/>
    </row>
    <row r="55" customFormat="false" ht="15" hidden="false" customHeight="false" outlineLevel="0" collapsed="false">
      <c r="A55" s="16" t="n">
        <v>42644</v>
      </c>
      <c r="B55" s="17" t="n">
        <v>126.530874134474</v>
      </c>
      <c r="C55" s="18" t="n">
        <f aca="false">IFERROR((B55/B54-1)*100,"")</f>
        <v>0.239177534320945</v>
      </c>
      <c r="D55" s="18" t="n">
        <f aca="false">IFERROR((B55/B51-1)*100,"")</f>
        <v>2.25776764777441</v>
      </c>
      <c r="E55" s="19"/>
      <c r="F55" s="19"/>
      <c r="G55" s="19"/>
    </row>
    <row r="56" customFormat="false" ht="15" hidden="false" customHeight="false" outlineLevel="0" collapsed="false">
      <c r="A56" s="12" t="n">
        <v>42736</v>
      </c>
      <c r="B56" s="13" t="n">
        <v>127.564528311965</v>
      </c>
      <c r="C56" s="21" t="n">
        <f aca="false">IFERROR((B56/B55-1)*100,"")</f>
        <v>0.816918546214152</v>
      </c>
      <c r="D56" s="21" t="n">
        <f aca="false">IFERROR((B56/B52-1)*100,"")</f>
        <v>2.29948547277756</v>
      </c>
      <c r="E56" s="14"/>
      <c r="F56" s="14"/>
      <c r="G56" s="14"/>
    </row>
    <row r="57" customFormat="false" ht="15" hidden="false" customHeight="false" outlineLevel="0" collapsed="false">
      <c r="A57" s="16" t="n">
        <v>42826</v>
      </c>
      <c r="B57" s="17" t="n">
        <v>127.406144899205</v>
      </c>
      <c r="C57" s="18" t="n">
        <f aca="false">IFERROR((B57/B56-1)*100,"")</f>
        <v>-0.124159446874261</v>
      </c>
      <c r="D57" s="18" t="n">
        <f aca="false">IFERROR((B57/B53-1)*100,"")</f>
        <v>1.49365872687453</v>
      </c>
      <c r="E57" s="19"/>
      <c r="F57" s="19"/>
      <c r="G57" s="19"/>
    </row>
    <row r="58" customFormat="false" ht="15" hidden="false" customHeight="false" outlineLevel="0" collapsed="false">
      <c r="A58" s="12" t="n">
        <v>42917</v>
      </c>
      <c r="B58" s="13" t="n">
        <v>127.942971860662</v>
      </c>
      <c r="C58" s="21" t="n">
        <f aca="false">IFERROR((B58/B57-1)*100,"")</f>
        <v>0.421350918263319</v>
      </c>
      <c r="D58" s="21" t="n">
        <f aca="false">IFERROR((B58/B54-1)*100,"")</f>
        <v>1.35785718969703</v>
      </c>
      <c r="E58" s="14"/>
      <c r="F58" s="14"/>
      <c r="G58" s="14"/>
    </row>
    <row r="59" customFormat="false" ht="15" hidden="false" customHeight="false" outlineLevel="0" collapsed="false">
      <c r="A59" s="16" t="n">
        <v>43009</v>
      </c>
      <c r="B59" s="17" t="n">
        <v>128.794646633232</v>
      </c>
      <c r="C59" s="18" t="n">
        <f aca="false">IFERROR((B59/B58-1)*100,"")</f>
        <v>0.665667492464639</v>
      </c>
      <c r="D59" s="18" t="n">
        <f aca="false">IFERROR((B59/B55-1)*100,"")</f>
        <v>1.7891068201678</v>
      </c>
      <c r="E59" s="19"/>
      <c r="F59" s="19"/>
      <c r="G59" s="19"/>
    </row>
    <row r="60" customFormat="false" ht="15" hidden="false" customHeight="false" outlineLevel="0" collapsed="false">
      <c r="A60" s="12" t="n">
        <v>43101</v>
      </c>
      <c r="B60" s="13" t="n">
        <v>129.747030737333</v>
      </c>
      <c r="C60" s="21" t="n">
        <f aca="false">IFERROR((B60/B59-1)*100,"")</f>
        <v>0.739459386704078</v>
      </c>
      <c r="D60" s="21" t="n">
        <f aca="false">IFERROR((B60/B56-1)*100,"")</f>
        <v>1.71090071373978</v>
      </c>
      <c r="E60" s="14"/>
      <c r="F60" s="14"/>
      <c r="G60" s="14"/>
    </row>
    <row r="61" customFormat="false" ht="15" hidden="false" customHeight="false" outlineLevel="0" collapsed="false">
      <c r="A61" s="16" t="n">
        <v>43191</v>
      </c>
      <c r="B61" s="17" t="n">
        <v>131.17402133003</v>
      </c>
      <c r="C61" s="18" t="n">
        <f aca="false">IFERROR((B61/B60-1)*100,"")</f>
        <v>1.09982524038295</v>
      </c>
      <c r="D61" s="18" t="n">
        <f aca="false">IFERROR((B61/B57-1)*100,"")</f>
        <v>2.95737417830637</v>
      </c>
      <c r="E61" s="19"/>
      <c r="F61" s="19"/>
      <c r="G61" s="19"/>
    </row>
    <row r="62" customFormat="false" ht="15" hidden="false" customHeight="false" outlineLevel="0" collapsed="false">
      <c r="A62" s="12" t="n">
        <v>43282</v>
      </c>
      <c r="B62" s="13" t="n">
        <v>131.206207198506</v>
      </c>
      <c r="C62" s="21" t="n">
        <f aca="false">IFERROR((B62/B61-1)*100,"")</f>
        <v>0.0245367704285293</v>
      </c>
      <c r="D62" s="21" t="n">
        <f aca="false">IFERROR((B62/B58-1)*100,"")</f>
        <v>2.55053895527568</v>
      </c>
      <c r="E62" s="14"/>
      <c r="F62" s="14"/>
      <c r="G62" s="14"/>
    </row>
    <row r="63" customFormat="false" ht="15" hidden="false" customHeight="false" outlineLevel="0" collapsed="false">
      <c r="A63" s="16" t="n">
        <v>43374</v>
      </c>
      <c r="B63" s="17" t="n">
        <v>132.209469210972</v>
      </c>
      <c r="C63" s="18" t="n">
        <f aca="false">IFERROR((B63/B62-1)*100,"")</f>
        <v>0.764645235837702</v>
      </c>
      <c r="D63" s="18" t="n">
        <f aca="false">IFERROR((B63/B59-1)*100,"")</f>
        <v>2.65136996529451</v>
      </c>
      <c r="E63" s="19"/>
      <c r="F63" s="19"/>
      <c r="G63" s="19"/>
    </row>
    <row r="64" customFormat="false" ht="15" hidden="false" customHeight="false" outlineLevel="0" collapsed="false">
      <c r="A64" s="12" t="n">
        <v>43466</v>
      </c>
      <c r="B64" s="13" t="n">
        <v>131.995188568335</v>
      </c>
      <c r="C64" s="21" t="n">
        <f aca="false">IFERROR((B64/B63-1)*100,"")</f>
        <v>-0.162076622738094</v>
      </c>
      <c r="D64" s="21" t="n">
        <f aca="false">IFERROR((B64/B60-1)*100,"")</f>
        <v>1.7327239153188</v>
      </c>
      <c r="E64" s="14"/>
      <c r="F64" s="14"/>
      <c r="G64" s="14"/>
    </row>
    <row r="65" customFormat="false" ht="15" hidden="false" customHeight="false" outlineLevel="0" collapsed="false">
      <c r="A65" s="16" t="n">
        <v>43556</v>
      </c>
      <c r="B65" s="17" t="n">
        <v>132.564495433554</v>
      </c>
      <c r="C65" s="18" t="n">
        <f aca="false">IFERROR((B65/B64-1)*100,"")</f>
        <v>0.431308801020869</v>
      </c>
      <c r="D65" s="18" t="n">
        <f aca="false">IFERROR((B65/B61-1)*100,"")</f>
        <v>1.0600224720001</v>
      </c>
      <c r="E65" s="19"/>
      <c r="F65" s="19"/>
      <c r="G65" s="19"/>
    </row>
    <row r="66" customFormat="false" ht="15" hidden="false" customHeight="false" outlineLevel="0" collapsed="false">
      <c r="A66" s="12" t="n">
        <v>43647</v>
      </c>
      <c r="B66" s="13" t="n">
        <v>133.900790704699</v>
      </c>
      <c r="C66" s="21" t="n">
        <f aca="false">IFERROR((B66/B65-1)*100,"")</f>
        <v>1.00803406430494</v>
      </c>
      <c r="D66" s="21" t="n">
        <f aca="false">IFERROR((B66/B62-1)*100,"")</f>
        <v>2.05370124152464</v>
      </c>
      <c r="E66" s="14"/>
      <c r="F66" s="14"/>
      <c r="G66" s="14"/>
    </row>
    <row r="67" customFormat="false" ht="15" hidden="false" customHeight="false" outlineLevel="0" collapsed="false">
      <c r="A67" s="16" t="n">
        <v>43739</v>
      </c>
      <c r="B67" s="17" t="n">
        <v>134.043882287963</v>
      </c>
      <c r="C67" s="18" t="n">
        <f aca="false">IFERROR((B67/B66-1)*100,"")</f>
        <v>0.106863882215413</v>
      </c>
      <c r="D67" s="18" t="n">
        <f aca="false">IFERROR((B67/B63-1)*100,"")</f>
        <v>1.38750506142895</v>
      </c>
      <c r="E67" s="19"/>
      <c r="F67" s="19"/>
      <c r="G67" s="19"/>
    </row>
    <row r="68" customFormat="false" ht="15" hidden="false" customHeight="false" outlineLevel="0" collapsed="false">
      <c r="A68" s="12" t="n">
        <v>43831</v>
      </c>
      <c r="B68" s="13" t="n">
        <v>134.261809640594</v>
      </c>
      <c r="C68" s="21" t="n">
        <f aca="false">IFERROR((B68/B67-1)*100,"")</f>
        <v>0.16257911134141</v>
      </c>
      <c r="D68" s="21" t="n">
        <f aca="false">IFERROR((B68/B64-1)*100,"")</f>
        <v>1.71719976829727</v>
      </c>
      <c r="E68" s="14"/>
      <c r="F68" s="14"/>
      <c r="G68" s="14"/>
    </row>
    <row r="69" customFormat="false" ht="15" hidden="false" customHeight="false" outlineLevel="0" collapsed="false">
      <c r="A69" s="16" t="n">
        <v>43922</v>
      </c>
      <c r="B69" s="17" t="n">
        <v>135.727582716415</v>
      </c>
      <c r="C69" s="18" t="n">
        <f aca="false">IFERROR((B69/B68-1)*100,"")</f>
        <v>1.09172748359712</v>
      </c>
      <c r="D69" s="18" t="n">
        <f aca="false">IFERROR((B69/B65-1)*100,"")</f>
        <v>2.38607424447697</v>
      </c>
      <c r="E69" s="19"/>
      <c r="F69" s="19"/>
      <c r="G69" s="19"/>
    </row>
    <row r="70" customFormat="false" ht="15" hidden="false" customHeight="false" outlineLevel="0" collapsed="false">
      <c r="A70" s="12" t="n">
        <v>44013</v>
      </c>
      <c r="B70" s="13" t="n">
        <v>136.049383602477</v>
      </c>
      <c r="C70" s="21" t="n">
        <f aca="false">IFERROR((B70/B69-1)*100,"")</f>
        <v>0.237093212464012</v>
      </c>
      <c r="D70" s="21" t="n">
        <f aca="false">IFERROR((B70/B66-1)*100,"")</f>
        <v>1.60461554145506</v>
      </c>
      <c r="E70" s="14"/>
      <c r="F70" s="14"/>
      <c r="G70" s="14"/>
    </row>
    <row r="71" customFormat="false" ht="15" hidden="false" customHeight="false" outlineLevel="0" collapsed="false">
      <c r="A71" s="16" t="n">
        <v>44105</v>
      </c>
      <c r="B71" s="17" t="n">
        <v>137.819231964443</v>
      </c>
      <c r="C71" s="18" t="n">
        <f aca="false">IFERROR((B71/B70-1)*100,"")</f>
        <v>1.30088671855884</v>
      </c>
      <c r="D71" s="18" t="n">
        <f aca="false">IFERROR((B71/B67-1)*100,"")</f>
        <v>2.81650278404346</v>
      </c>
      <c r="E71" s="19"/>
      <c r="F71" s="19"/>
      <c r="G71" s="19"/>
    </row>
    <row r="72" customFormat="false" ht="15" hidden="false" customHeight="false" outlineLevel="0" collapsed="false">
      <c r="A72" s="12" t="n">
        <v>44197</v>
      </c>
      <c r="B72" s="13" t="n">
        <v>137.547478224016</v>
      </c>
      <c r="C72" s="21" t="n">
        <f aca="false">IFERROR((B72/B71-1)*100,"")</f>
        <v>-0.197181290705362</v>
      </c>
      <c r="D72" s="21" t="n">
        <f aca="false">IFERROR((B72/B68-1)*100,"")</f>
        <v>2.44721011299998</v>
      </c>
      <c r="E72" s="14"/>
      <c r="F72" s="14"/>
      <c r="G72" s="14"/>
    </row>
    <row r="73" customFormat="false" ht="15" hidden="false" customHeight="false" outlineLevel="0" collapsed="false">
      <c r="A73" s="16" t="n">
        <v>44287</v>
      </c>
      <c r="B73" s="17" t="n">
        <v>138.543048543381</v>
      </c>
      <c r="C73" s="18" t="n">
        <f aca="false">IFERROR((B73/B72-1)*100,"")</f>
        <v>0.723801215565634</v>
      </c>
      <c r="D73" s="18" t="n">
        <f aca="false">IFERROR((B73/B69-1)*100,"")</f>
        <v>2.07435052670764</v>
      </c>
      <c r="E73" s="19"/>
      <c r="F73" s="19"/>
      <c r="G73" s="19"/>
    </row>
    <row r="74" customFormat="false" ht="15" hidden="false" customHeight="false" outlineLevel="0" collapsed="false">
      <c r="A74" s="12" t="n">
        <v>44378</v>
      </c>
      <c r="B74" s="13" t="n">
        <v>138.716437392895</v>
      </c>
      <c r="C74" s="21" t="n">
        <f aca="false">IFERROR((B74/B73-1)*100,"")</f>
        <v>0.125151605466312</v>
      </c>
      <c r="D74" s="21" t="n">
        <f aca="false">IFERROR((B74/B70-1)*100,"")</f>
        <v>1.96035712900415</v>
      </c>
      <c r="E74" s="14"/>
      <c r="F74" s="14"/>
      <c r="G74" s="14"/>
    </row>
    <row r="75" customFormat="false" ht="15" hidden="false" customHeight="false" outlineLevel="0" collapsed="false">
      <c r="A75" s="16" t="n">
        <v>44470</v>
      </c>
      <c r="B75" s="17" t="n">
        <v>140.063448085731</v>
      </c>
      <c r="C75" s="18" t="n">
        <f aca="false">IFERROR((B75/B74-1)*100,"")</f>
        <v>0.971053408054945</v>
      </c>
      <c r="D75" s="18" t="n">
        <f aca="false">IFERROR((B75/B71-1)*100,"")</f>
        <v>1.62837659831589</v>
      </c>
      <c r="E75" s="19"/>
      <c r="F75" s="19"/>
      <c r="G75" s="19"/>
    </row>
    <row r="76" customFormat="false" ht="15" hidden="false" customHeight="false" outlineLevel="0" collapsed="false">
      <c r="A76" s="12" t="n">
        <v>44562</v>
      </c>
      <c r="B76" s="13" t="n">
        <v>140.703401797503</v>
      </c>
      <c r="C76" s="21" t="n">
        <f aca="false">IFERROR((B76/B75-1)*100,"")</f>
        <v>0.456902725527786</v>
      </c>
      <c r="D76" s="21" t="n">
        <f aca="false">IFERROR((B76/B72-1)*100,"")</f>
        <v>2.29442488821747</v>
      </c>
      <c r="E76" s="14"/>
      <c r="F76" s="14"/>
      <c r="G76" s="14"/>
    </row>
    <row r="77" customFormat="false" ht="15" hidden="false" customHeight="false" outlineLevel="0" collapsed="false">
      <c r="A77" s="16" t="n">
        <v>44652</v>
      </c>
      <c r="B77" s="17" t="n">
        <v>141.289304222582</v>
      </c>
      <c r="C77" s="18" t="n">
        <f aca="false">IFERROR((B77/B76-1)*100,"")</f>
        <v>0.416409566218157</v>
      </c>
      <c r="D77" s="18" t="n">
        <f aca="false">IFERROR((B77/B73-1)*100,"")</f>
        <v>1.98223996662039</v>
      </c>
      <c r="E77" s="19"/>
      <c r="F77" s="19"/>
      <c r="G77" s="19"/>
    </row>
    <row r="78" customFormat="false" ht="15" hidden="false" customHeight="false" outlineLevel="0" collapsed="false">
      <c r="A78" s="12" t="n">
        <v>44743</v>
      </c>
      <c r="B78" s="13" t="n">
        <v>142.28755498193</v>
      </c>
      <c r="C78" s="21" t="n">
        <f aca="false">IFERROR((B78/B77-1)*100,"")</f>
        <v>0.706529602392969</v>
      </c>
      <c r="D78" s="21" t="n">
        <f aca="false">IFERROR((B78/B74-1)*100,"")</f>
        <v>2.57440117130467</v>
      </c>
      <c r="E78" s="14"/>
      <c r="F78" s="14"/>
      <c r="G78" s="14"/>
    </row>
    <row r="79" customFormat="false" ht="15" hidden="false" customHeight="false" outlineLevel="0" collapsed="false">
      <c r="A79" s="16" t="n">
        <v>44835</v>
      </c>
      <c r="B79" s="17" t="n">
        <v>142.631250777907</v>
      </c>
      <c r="C79" s="18" t="n">
        <f aca="false">IFERROR((B79/B78-1)*100,"")</f>
        <v>0.241550145422464</v>
      </c>
      <c r="D79" s="18" t="n">
        <f aca="false">IFERROR((B79/B75-1)*100,"")</f>
        <v>1.83331392113373</v>
      </c>
      <c r="E79" s="19"/>
      <c r="F79" s="19"/>
      <c r="G79" s="19"/>
    </row>
    <row r="80" customFormat="false" ht="15" hidden="false" customHeight="false" outlineLevel="0" collapsed="false">
      <c r="A80" s="12" t="n">
        <v>44927</v>
      </c>
      <c r="B80" s="13" t="n">
        <v>142.784318865825</v>
      </c>
      <c r="C80" s="21" t="n">
        <f aca="false">IFERROR((B80/B79-1)*100,"")</f>
        <v>0.107317356528869</v>
      </c>
      <c r="D80" s="21" t="n">
        <f aca="false">IFERROR((B80/B76-1)*100,"")</f>
        <v>1.47893870492017</v>
      </c>
      <c r="E80" s="14"/>
      <c r="F80" s="14"/>
      <c r="G80" s="14"/>
    </row>
    <row r="81" customFormat="false" ht="15" hidden="false" customHeight="false" outlineLevel="0" collapsed="false">
      <c r="A81" s="16" t="n">
        <v>45017</v>
      </c>
      <c r="B81" s="17" t="n">
        <v>144.615284267238</v>
      </c>
      <c r="C81" s="18" t="n">
        <f aca="false">IFERROR((B81/B80-1)*100,"")</f>
        <v>1.28232947144054</v>
      </c>
      <c r="D81" s="18" t="n">
        <f aca="false">IFERROR((B81/B77-1)*100,"")</f>
        <v>2.35402110793603</v>
      </c>
      <c r="E81" s="19"/>
      <c r="F81" s="19"/>
      <c r="G81" s="19"/>
    </row>
    <row r="82" customFormat="false" ht="15" hidden="false" customHeight="false" outlineLevel="0" collapsed="false">
      <c r="A82" s="12" t="n">
        <v>45108</v>
      </c>
      <c r="B82" s="13" t="n">
        <v>144.858077840921</v>
      </c>
      <c r="C82" s="21" t="n">
        <f aca="false">IFERROR((B82/B81-1)*100,"")</f>
        <v>0.167889289789613</v>
      </c>
      <c r="D82" s="21" t="n">
        <f aca="false">IFERROR((B82/B78-1)*100,"")</f>
        <v>1.80656899988045</v>
      </c>
      <c r="E82" s="14"/>
      <c r="F82" s="14"/>
      <c r="G82" s="14"/>
    </row>
    <row r="83" customFormat="false" ht="15" hidden="false" customHeight="false" outlineLevel="0" collapsed="false">
      <c r="A83" s="16" t="n">
        <v>45200</v>
      </c>
      <c r="B83" s="17" t="n">
        <v>145.695158512815</v>
      </c>
      <c r="C83" s="18" t="n">
        <f aca="false">IFERROR((B83/B82-1)*100,"")</f>
        <v>0.577862611716662</v>
      </c>
      <c r="D83" s="18" t="n">
        <f aca="false">IFERROR((B83/B79-1)*100,"")</f>
        <v>2.14813213667984</v>
      </c>
      <c r="E83" s="19"/>
      <c r="F83" s="19"/>
      <c r="G83" s="19"/>
    </row>
    <row r="84" customFormat="false" ht="15" hidden="false" customHeight="false" outlineLevel="0" collapsed="false">
      <c r="A84" s="12" t="n">
        <v>45292</v>
      </c>
      <c r="B84" s="13" t="n">
        <v>146.326533459247</v>
      </c>
      <c r="C84" s="21" t="n">
        <f aca="false">IFERROR((B84/B83-1)*100,"")</f>
        <v>0.433353416048243</v>
      </c>
      <c r="D84" s="21" t="n">
        <f aca="false">IFERROR((B84/B80-1)*100,"")</f>
        <v>2.48081485527167</v>
      </c>
      <c r="E84" s="14"/>
      <c r="F84" s="14"/>
      <c r="G84" s="14"/>
    </row>
    <row r="85" customFormat="false" ht="15" hidden="false" customHeight="false" outlineLevel="0" collapsed="false">
      <c r="A85" s="16" t="n">
        <v>45383</v>
      </c>
      <c r="B85" s="17" t="n">
        <v>147.606428045527</v>
      </c>
      <c r="C85" s="18" t="n">
        <f aca="false">IFERROR((B85/B84-1)*100,"")</f>
        <v>0.874683870397552</v>
      </c>
      <c r="D85" s="18" t="n">
        <f aca="false">IFERROR((B85/B81-1)*100,"")</f>
        <v>2.0683455372271</v>
      </c>
      <c r="E85" s="19"/>
      <c r="F85" s="19"/>
      <c r="G85" s="19"/>
    </row>
    <row r="86" customFormat="false" ht="15" hidden="false" customHeight="false" outlineLevel="0" collapsed="false">
      <c r="A86" s="12" t="n">
        <v>45474</v>
      </c>
      <c r="B86" s="13" t="n">
        <v>147.745768493752</v>
      </c>
      <c r="C86" s="21" t="n">
        <f aca="false">IFERROR((B86/B85-1)*100,"")</f>
        <v>0.0943999865518297</v>
      </c>
      <c r="D86" s="21" t="n">
        <f aca="false">IFERROR((B86/B82-1)*100,"")</f>
        <v>1.9934619428003</v>
      </c>
      <c r="E86" s="14"/>
      <c r="F86" s="14"/>
      <c r="G86" s="14"/>
    </row>
    <row r="87" customFormat="false" ht="15" hidden="false" customHeight="false" outlineLevel="0" collapsed="false">
      <c r="A87" s="16" t="n">
        <v>45566</v>
      </c>
      <c r="B87" s="17" t="n">
        <v>148.244689777356</v>
      </c>
      <c r="C87" s="18" t="n">
        <f aca="false">IFERROR((B87/B86-1)*100,"")</f>
        <v>0.337689051057666</v>
      </c>
      <c r="D87" s="18" t="n">
        <f aca="false">IFERROR((B87/B83-1)*100,"")</f>
        <v>1.74990802066826</v>
      </c>
      <c r="E87" s="19"/>
      <c r="F87" s="19"/>
      <c r="G87" s="19"/>
    </row>
    <row r="88" customFormat="false" ht="15" hidden="false" customHeight="false" outlineLevel="0" collapsed="false">
      <c r="A88" s="12" t="n">
        <v>45658</v>
      </c>
      <c r="B88" s="13" t="n">
        <v>148.374253594417</v>
      </c>
      <c r="C88" s="21" t="n">
        <f aca="false">IFERROR((B88/B87-1)*100,"")</f>
        <v>0.0873986226792356</v>
      </c>
      <c r="D88" s="21" t="n">
        <f aca="false">IFERROR((B88/B84-1)*100,"")</f>
        <v>1.39941819624922</v>
      </c>
      <c r="E88" s="14"/>
      <c r="F88" s="14"/>
      <c r="G88" s="14"/>
    </row>
    <row r="89" customFormat="false" ht="15" hidden="false" customHeight="false" outlineLevel="0" collapsed="false">
      <c r="A89" s="16" t="n">
        <v>45748</v>
      </c>
      <c r="B89" s="17" t="n">
        <v>149.779013894402</v>
      </c>
      <c r="C89" s="18" t="n">
        <f aca="false">IFERROR((B89/B88-1)*100,"")</f>
        <v>0.946768233675455</v>
      </c>
      <c r="D89" s="18" t="n">
        <f aca="false">IFERROR((B89/B85-1)*100,"")</f>
        <v>1.47187753110887</v>
      </c>
      <c r="E89" s="19"/>
      <c r="F89" s="19"/>
      <c r="G89" s="19"/>
    </row>
    <row r="90" customFormat="false" ht="15" hidden="false" customHeight="false" outlineLevel="0" collapsed="false">
      <c r="A90" s="12" t="n">
        <v>45839</v>
      </c>
      <c r="B90" s="13" t="n">
        <v>151.2968108925</v>
      </c>
      <c r="C90" s="21" t="n">
        <f aca="false">IFERROR((B90/B89-1)*100,"")</f>
        <v>1.01335758504097</v>
      </c>
      <c r="D90" s="21" t="n">
        <f aca="false">IFERROR((B90/B86-1)*100,"")</f>
        <v>2.40348162587043</v>
      </c>
      <c r="E90" s="14"/>
      <c r="F90" s="14"/>
      <c r="G90" s="14"/>
    </row>
    <row r="91" customFormat="false" ht="15" hidden="false" customHeight="false" outlineLevel="0" collapsed="false">
      <c r="A91" s="16" t="n">
        <v>45931</v>
      </c>
      <c r="B91" s="17" t="n">
        <v>150.990677317384</v>
      </c>
      <c r="C91" s="18" t="n">
        <f aca="false">IFERROR((B91/B90-1)*100,"")</f>
        <v>-0.202339740877555</v>
      </c>
      <c r="D91" s="18" t="n">
        <f aca="false">IFERROR((B91/B87-1)*100,"")</f>
        <v>1.85233450463029</v>
      </c>
      <c r="E91" s="19"/>
      <c r="F91" s="19"/>
      <c r="G91" s="19"/>
    </row>
    <row r="92" customFormat="false" ht="15" hidden="false" customHeight="false" outlineLevel="0" collapsed="false">
      <c r="A92" s="12" t="n">
        <v>46023</v>
      </c>
      <c r="B92" s="14"/>
      <c r="C92" s="21" t="n">
        <f aca="false">IFERROR((B92/B91-1)*100,"")</f>
        <v>-100</v>
      </c>
      <c r="D92" s="21" t="n">
        <f aca="false">IFERROR((B92/B88-1)*100,"")</f>
        <v>-100</v>
      </c>
      <c r="E92" s="13" t="n">
        <v>152.179688110659</v>
      </c>
      <c r="F92" s="13" t="n">
        <v>150.867996112147</v>
      </c>
      <c r="G92" s="22" t="n">
        <f aca="false">152.35354-149.382452</f>
        <v>2.97108800000001</v>
      </c>
    </row>
    <row r="93" customFormat="false" ht="15" hidden="false" customHeight="false" outlineLevel="0" collapsed="false">
      <c r="A93" s="16" t="n">
        <v>46113</v>
      </c>
      <c r="B93" s="19"/>
      <c r="C93" s="18" t="str">
        <f aca="false">IFERROR((B93/B92-1)*100,"")</f>
        <v/>
      </c>
      <c r="D93" s="18" t="n">
        <f aca="false">IFERROR((B93/B89-1)*100,"")</f>
        <v>-100</v>
      </c>
      <c r="E93" s="17" t="n">
        <v>152.939476020778</v>
      </c>
      <c r="F93" s="17" t="n">
        <v>151.737391956307</v>
      </c>
      <c r="G93" s="23" t="n">
        <f aca="false">153.838269-149.636515</f>
        <v>4.20175399999999</v>
      </c>
    </row>
    <row r="94" customFormat="false" ht="15" hidden="false" customHeight="false" outlineLevel="0" collapsed="false">
      <c r="A94" s="12" t="n">
        <v>46204</v>
      </c>
      <c r="B94" s="14"/>
      <c r="C94" s="21" t="str">
        <f aca="false">IFERROR((B94/B93-1)*100,"")</f>
        <v/>
      </c>
      <c r="D94" s="21" t="n">
        <f aca="false">IFERROR((B94/B90-1)*100,"")</f>
        <v>-100</v>
      </c>
      <c r="E94" s="13" t="n">
        <v>153.7030573259</v>
      </c>
      <c r="F94" s="13" t="n">
        <v>152.230558915745</v>
      </c>
      <c r="G94" s="22" t="n">
        <f aca="false">154.803597-149.657521</f>
        <v>5.14607599999999</v>
      </c>
    </row>
    <row r="95" customFormat="false" ht="15" hidden="false" customHeight="false" outlineLevel="0" collapsed="false">
      <c r="A95" s="16" t="n">
        <v>46296</v>
      </c>
      <c r="B95" s="19"/>
      <c r="C95" s="18" t="str">
        <f aca="false">IFERROR((B95/B94-1)*100,"")</f>
        <v/>
      </c>
      <c r="D95" s="18" t="n">
        <f aca="false">IFERROR((B95/B91-1)*100,"")</f>
        <v>-100</v>
      </c>
      <c r="E95" s="17" t="n">
        <v>154.470450965317</v>
      </c>
      <c r="F95" s="17" t="n">
        <v>152.701999423457</v>
      </c>
      <c r="G95" s="23" t="n">
        <f aca="false">155.673088-149.730911</f>
        <v>5.94217700000002</v>
      </c>
    </row>
    <row r="96" customFormat="false" ht="15" hidden="false" customHeight="false" outlineLevel="0" collapsed="false">
      <c r="A96" s="12" t="n">
        <v>46388</v>
      </c>
      <c r="B96" s="14"/>
      <c r="C96" s="21" t="str">
        <f aca="false">IFERROR((B96/B95-1)*100,"")</f>
        <v/>
      </c>
      <c r="D96" s="21" t="str">
        <f aca="false">IFERROR((B96/B92-1)*100,"")</f>
        <v/>
      </c>
      <c r="E96" s="13" t="n">
        <v>155.24167597288</v>
      </c>
      <c r="F96" s="13" t="n">
        <v>152.425765852033</v>
      </c>
      <c r="G96" s="22" t="n">
        <f aca="false">155.747544-149.103988</f>
        <v>6.64355600000002</v>
      </c>
    </row>
    <row r="97" customFormat="false" ht="15" hidden="false" customHeight="false" outlineLevel="0" collapsed="false">
      <c r="A97" s="16" t="n">
        <v>46478</v>
      </c>
      <c r="B97" s="19"/>
      <c r="C97" s="18" t="str">
        <f aca="false">IFERROR((B97/B96-1)*100,"")</f>
        <v/>
      </c>
      <c r="D97" s="18" t="str">
        <f aca="false">IFERROR((B97/B93-1)*100,"")</f>
        <v/>
      </c>
      <c r="E97" s="17" t="n">
        <v>156.016751477471</v>
      </c>
      <c r="F97" s="17" t="n">
        <v>153.217273209198</v>
      </c>
      <c r="G97" s="23" t="n">
        <f aca="false">156.856099-149.578448</f>
        <v>7.27765099999999</v>
      </c>
    </row>
    <row r="98" customFormat="false" ht="15" hidden="false" customHeight="false" outlineLevel="0" collapsed="false">
      <c r="A98" s="12" t="n">
        <v>46569</v>
      </c>
      <c r="B98" s="14"/>
      <c r="C98" s="21" t="str">
        <f aca="false">IFERROR((B98/B97-1)*100,"")</f>
        <v/>
      </c>
      <c r="D98" s="21" t="str">
        <f aca="false">IFERROR((B98/B94-1)*100,"")</f>
        <v/>
      </c>
      <c r="E98" s="13" t="n">
        <v>156.795696703475</v>
      </c>
      <c r="F98" s="13" t="n">
        <v>153.636446105992</v>
      </c>
      <c r="G98" s="22" t="n">
        <f aca="false">157.566827-149.706065</f>
        <v>7.86076199999999</v>
      </c>
    </row>
    <row r="99" customFormat="false" ht="15" hidden="false" customHeight="false" outlineLevel="0" collapsed="false">
      <c r="A99" s="16" t="n">
        <v>46661</v>
      </c>
      <c r="B99" s="19"/>
      <c r="C99" s="18" t="str">
        <f aca="false">IFERROR((B99/B98-1)*100,"")</f>
        <v/>
      </c>
      <c r="D99" s="18" t="str">
        <f aca="false">IFERROR((B99/B95-1)*100,"")</f>
        <v/>
      </c>
      <c r="E99" s="17" t="n">
        <v>157.578530971261</v>
      </c>
      <c r="F99" s="17" t="n">
        <v>154.037592254191</v>
      </c>
      <c r="G99" s="23" t="n">
        <f aca="false">158.239346-149.835839</f>
        <v>8.40350700000002</v>
      </c>
    </row>
    <row r="102" customFormat="false" ht="21.75" hidden="false" customHeight="true" outlineLevel="0" collapsed="false">
      <c r="A102" s="9" t="s">
        <v>142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customFormat="false" ht="15" hidden="false" customHeight="false" outlineLevel="0" collapsed="false">
      <c r="A103" s="5" t="s">
        <v>113</v>
      </c>
      <c r="B103" s="10" t="s">
        <v>114</v>
      </c>
      <c r="D103" s="5" t="s">
        <v>115</v>
      </c>
      <c r="E103" s="2" t="s">
        <v>139</v>
      </c>
      <c r="H103" s="5" t="s">
        <v>117</v>
      </c>
      <c r="I103" s="2" t="s">
        <v>118</v>
      </c>
    </row>
    <row r="104" customFormat="false" ht="18" hidden="false" customHeight="true" outlineLevel="0" collapsed="false">
      <c r="A104" s="11" t="s">
        <v>119</v>
      </c>
      <c r="B104" s="11"/>
      <c r="C104" s="11"/>
      <c r="D104" s="11"/>
      <c r="E104" s="11"/>
      <c r="F104" s="11"/>
      <c r="G104" s="11"/>
      <c r="I104" s="11" t="s">
        <v>120</v>
      </c>
      <c r="J104" s="11"/>
      <c r="K104" s="11"/>
      <c r="L104" s="11"/>
    </row>
    <row r="105" customFormat="false" ht="15" hidden="false" customHeight="false" outlineLevel="0" collapsed="false">
      <c r="A105" s="6" t="s">
        <v>121</v>
      </c>
      <c r="B105" s="6" t="s">
        <v>122</v>
      </c>
      <c r="C105" s="6" t="s">
        <v>123</v>
      </c>
      <c r="D105" s="6" t="s">
        <v>124</v>
      </c>
      <c r="E105" s="6" t="s">
        <v>125</v>
      </c>
      <c r="F105" s="6" t="s">
        <v>126</v>
      </c>
      <c r="G105" s="6" t="s">
        <v>127</v>
      </c>
      <c r="I105" s="6" t="s">
        <v>128</v>
      </c>
      <c r="J105" s="6" t="s">
        <v>122</v>
      </c>
      <c r="K105" s="6" t="s">
        <v>124</v>
      </c>
      <c r="L105" s="6" t="s">
        <v>129</v>
      </c>
    </row>
    <row r="106" customFormat="false" ht="15" hidden="false" customHeight="false" outlineLevel="0" collapsed="false">
      <c r="A106" s="12" t="n">
        <v>38353</v>
      </c>
      <c r="B106" s="13" t="n">
        <v>100.664975958698</v>
      </c>
      <c r="C106" s="14"/>
      <c r="D106" s="14"/>
      <c r="E106" s="14"/>
      <c r="F106" s="14"/>
      <c r="G106" s="14"/>
      <c r="I106" s="15" t="n">
        <v>2005</v>
      </c>
      <c r="J106" s="13" t="n">
        <v>404.048578890546</v>
      </c>
      <c r="K106" s="14"/>
      <c r="L106" s="14"/>
    </row>
    <row r="107" customFormat="false" ht="15" hidden="false" customHeight="false" outlineLevel="0" collapsed="false">
      <c r="A107" s="16" t="n">
        <v>38443</v>
      </c>
      <c r="B107" s="17" t="n">
        <v>100.856065504504</v>
      </c>
      <c r="C107" s="18" t="n">
        <f aca="false">IFERROR((B107/B106-1)*100,"")</f>
        <v>0.189827240295082</v>
      </c>
      <c r="D107" s="19"/>
      <c r="E107" s="19"/>
      <c r="F107" s="19"/>
      <c r="G107" s="19"/>
      <c r="I107" s="20" t="n">
        <v>2006</v>
      </c>
      <c r="J107" s="17" t="n">
        <v>411.258495783655</v>
      </c>
      <c r="K107" s="18" t="n">
        <f aca="false">IFERROR((J107/J106-1)*100,"")</f>
        <v>1.78441832734737</v>
      </c>
      <c r="L107" s="19"/>
    </row>
    <row r="108" customFormat="false" ht="15" hidden="false" customHeight="false" outlineLevel="0" collapsed="false">
      <c r="A108" s="12" t="n">
        <v>38534</v>
      </c>
      <c r="B108" s="13" t="n">
        <v>100.880953171184</v>
      </c>
      <c r="C108" s="21" t="n">
        <f aca="false">IFERROR((B108/B107-1)*100,"")</f>
        <v>0.0246764203574834</v>
      </c>
      <c r="D108" s="14"/>
      <c r="E108" s="14"/>
      <c r="F108" s="14"/>
      <c r="G108" s="14"/>
      <c r="I108" s="15" t="n">
        <v>2007</v>
      </c>
      <c r="J108" s="13" t="n">
        <v>419.786940225256</v>
      </c>
      <c r="K108" s="21" t="n">
        <f aca="false">IFERROR((J108/J107-1)*100,"")</f>
        <v>2.07374304215893</v>
      </c>
      <c r="L108" s="14"/>
    </row>
    <row r="109" customFormat="false" ht="15" hidden="false" customHeight="false" outlineLevel="0" collapsed="false">
      <c r="A109" s="16" t="n">
        <v>38626</v>
      </c>
      <c r="B109" s="17" t="n">
        <v>101.646584256159</v>
      </c>
      <c r="C109" s="18" t="n">
        <f aca="false">IFERROR((B109/B108-1)*100,"")</f>
        <v>0.758945133752054</v>
      </c>
      <c r="D109" s="19"/>
      <c r="E109" s="19"/>
      <c r="F109" s="19"/>
      <c r="G109" s="19"/>
      <c r="I109" s="20" t="n">
        <v>2008</v>
      </c>
      <c r="J109" s="17" t="n">
        <v>427.740083846159</v>
      </c>
      <c r="K109" s="18" t="n">
        <f aca="false">IFERROR((J109/J108-1)*100,"")</f>
        <v>1.89456670963502</v>
      </c>
      <c r="L109" s="19"/>
    </row>
    <row r="110" customFormat="false" ht="15" hidden="false" customHeight="false" outlineLevel="0" collapsed="false">
      <c r="A110" s="12" t="n">
        <v>38718</v>
      </c>
      <c r="B110" s="13" t="n">
        <v>101.758016405927</v>
      </c>
      <c r="C110" s="21" t="n">
        <f aca="false">IFERROR((B110/B109-1)*100,"")</f>
        <v>0.10962704805384</v>
      </c>
      <c r="D110" s="21" t="n">
        <f aca="false">IFERROR((B110/B106-1)*100,"")</f>
        <v>1.08582000523942</v>
      </c>
      <c r="E110" s="14"/>
      <c r="F110" s="14"/>
      <c r="G110" s="14"/>
      <c r="I110" s="15" t="n">
        <v>2009</v>
      </c>
      <c r="J110" s="13" t="n">
        <v>436.697590798642</v>
      </c>
      <c r="K110" s="21" t="n">
        <f aca="false">IFERROR((J110/J109-1)*100,"")</f>
        <v>2.09414719142966</v>
      </c>
      <c r="L110" s="14"/>
    </row>
    <row r="111" customFormat="false" ht="15" hidden="false" customHeight="false" outlineLevel="0" collapsed="false">
      <c r="A111" s="16" t="n">
        <v>38808</v>
      </c>
      <c r="B111" s="17" t="n">
        <v>103.957066289427</v>
      </c>
      <c r="C111" s="18" t="n">
        <f aca="false">IFERROR((B111/B110-1)*100,"")</f>
        <v>2.16105812708465</v>
      </c>
      <c r="D111" s="18" t="n">
        <f aca="false">IFERROR((B111/B107-1)*100,"")</f>
        <v>3.07467951422795</v>
      </c>
      <c r="E111" s="19"/>
      <c r="F111" s="19"/>
      <c r="G111" s="19"/>
      <c r="I111" s="20" t="n">
        <v>2010</v>
      </c>
      <c r="J111" s="17" t="n">
        <v>445.84408809088</v>
      </c>
      <c r="K111" s="18" t="n">
        <f aca="false">IFERROR((J111/J110-1)*100,"")</f>
        <v>2.09446937307596</v>
      </c>
      <c r="L111" s="19"/>
    </row>
    <row r="112" customFormat="false" ht="15" hidden="false" customHeight="false" outlineLevel="0" collapsed="false">
      <c r="A112" s="12" t="n">
        <v>38899</v>
      </c>
      <c r="B112" s="13" t="n">
        <v>102.70499015361</v>
      </c>
      <c r="C112" s="21" t="n">
        <f aca="false">IFERROR((B112/B111-1)*100,"")</f>
        <v>-1.20441657359962</v>
      </c>
      <c r="D112" s="21" t="n">
        <f aca="false">IFERROR((B112/B108-1)*100,"")</f>
        <v>1.80810839418855</v>
      </c>
      <c r="E112" s="14"/>
      <c r="F112" s="14"/>
      <c r="G112" s="14"/>
      <c r="I112" s="15" t="n">
        <v>2011</v>
      </c>
      <c r="J112" s="13" t="n">
        <v>453.784540279378</v>
      </c>
      <c r="K112" s="21" t="n">
        <f aca="false">IFERROR((J112/J111-1)*100,"")</f>
        <v>1.78099304232087</v>
      </c>
      <c r="L112" s="14"/>
    </row>
    <row r="113" customFormat="false" ht="15" hidden="false" customHeight="false" outlineLevel="0" collapsed="false">
      <c r="A113" s="16" t="n">
        <v>38991</v>
      </c>
      <c r="B113" s="17" t="n">
        <v>102.838422934691</v>
      </c>
      <c r="C113" s="18" t="n">
        <f aca="false">IFERROR((B113/B112-1)*100,"")</f>
        <v>0.129918498489534</v>
      </c>
      <c r="D113" s="18" t="n">
        <f aca="false">IFERROR((B113/B109-1)*100,"")</f>
        <v>1.17253195201135</v>
      </c>
      <c r="E113" s="19"/>
      <c r="F113" s="19"/>
      <c r="G113" s="19"/>
      <c r="I113" s="20" t="n">
        <v>2012</v>
      </c>
      <c r="J113" s="17" t="n">
        <v>462.695257949397</v>
      </c>
      <c r="K113" s="18" t="n">
        <f aca="false">IFERROR((J113/J112-1)*100,"")</f>
        <v>1.96364505157725</v>
      </c>
      <c r="L113" s="19"/>
    </row>
    <row r="114" customFormat="false" ht="15" hidden="false" customHeight="false" outlineLevel="0" collapsed="false">
      <c r="A114" s="12" t="n">
        <v>39083</v>
      </c>
      <c r="B114" s="13" t="n">
        <v>103.906079538435</v>
      </c>
      <c r="C114" s="21" t="n">
        <f aca="false">IFERROR((B114/B113-1)*100,"")</f>
        <v>1.03818842537322</v>
      </c>
      <c r="D114" s="21" t="n">
        <f aca="false">IFERROR((B114/B110-1)*100,"")</f>
        <v>2.1109522457075</v>
      </c>
      <c r="E114" s="14"/>
      <c r="F114" s="14"/>
      <c r="G114" s="14"/>
      <c r="I114" s="15" t="n">
        <v>2013</v>
      </c>
      <c r="J114" s="13" t="n">
        <v>473.025677762156</v>
      </c>
      <c r="K114" s="21" t="n">
        <f aca="false">IFERROR((J114/J113-1)*100,"")</f>
        <v>2.23266170017451</v>
      </c>
      <c r="L114" s="14"/>
    </row>
    <row r="115" customFormat="false" ht="15" hidden="false" customHeight="false" outlineLevel="0" collapsed="false">
      <c r="A115" s="16" t="n">
        <v>39173</v>
      </c>
      <c r="B115" s="17" t="n">
        <v>104.617218964192</v>
      </c>
      <c r="C115" s="18" t="n">
        <f aca="false">IFERROR((B115/B114-1)*100,"")</f>
        <v>0.684405983668879</v>
      </c>
      <c r="D115" s="18" t="n">
        <f aca="false">IFERROR((B115/B111-1)*100,"")</f>
        <v>0.635024340651147</v>
      </c>
      <c r="E115" s="19"/>
      <c r="F115" s="19"/>
      <c r="G115" s="19"/>
      <c r="I115" s="20" t="n">
        <v>2014</v>
      </c>
      <c r="J115" s="17" t="n">
        <v>482.912181235172</v>
      </c>
      <c r="K115" s="18" t="n">
        <f aca="false">IFERROR((J115/J114-1)*100,"")</f>
        <v>2.09005640450377</v>
      </c>
      <c r="L115" s="19"/>
    </row>
    <row r="116" customFormat="false" ht="15" hidden="false" customHeight="false" outlineLevel="0" collapsed="false">
      <c r="A116" s="12" t="n">
        <v>39264</v>
      </c>
      <c r="B116" s="13" t="n">
        <v>105.475307759365</v>
      </c>
      <c r="C116" s="21" t="n">
        <f aca="false">IFERROR((B116/B115-1)*100,"")</f>
        <v>0.820217554689817</v>
      </c>
      <c r="D116" s="21" t="n">
        <f aca="false">IFERROR((B116/B112-1)*100,"")</f>
        <v>2.69735443390988</v>
      </c>
      <c r="E116" s="14"/>
      <c r="F116" s="14"/>
      <c r="G116" s="14"/>
      <c r="I116" s="15" t="n">
        <v>2015</v>
      </c>
      <c r="J116" s="13" t="n">
        <v>492.935770880195</v>
      </c>
      <c r="K116" s="21" t="n">
        <f aca="false">IFERROR((J116/J115-1)*100,"")</f>
        <v>2.0756547534968</v>
      </c>
      <c r="L116" s="14"/>
    </row>
    <row r="117" customFormat="false" ht="15" hidden="false" customHeight="false" outlineLevel="0" collapsed="false">
      <c r="A117" s="16" t="n">
        <v>39356</v>
      </c>
      <c r="B117" s="17" t="n">
        <v>105.788333963264</v>
      </c>
      <c r="C117" s="18" t="n">
        <f aca="false">IFERROR((B117/B116-1)*100,"")</f>
        <v>0.296776762778772</v>
      </c>
      <c r="D117" s="18" t="n">
        <f aca="false">IFERROR((B117/B113-1)*100,"")</f>
        <v>2.86849111877794</v>
      </c>
      <c r="E117" s="19"/>
      <c r="F117" s="19"/>
      <c r="G117" s="19"/>
      <c r="I117" s="20" t="n">
        <v>2016</v>
      </c>
      <c r="J117" s="17" t="n">
        <v>502.914246189883</v>
      </c>
      <c r="K117" s="18" t="n">
        <f aca="false">IFERROR((J117/J116-1)*100,"")</f>
        <v>2.02429523259615</v>
      </c>
      <c r="L117" s="19"/>
    </row>
    <row r="118" customFormat="false" ht="15" hidden="false" customHeight="false" outlineLevel="0" collapsed="false">
      <c r="A118" s="12" t="n">
        <v>39448</v>
      </c>
      <c r="B118" s="13" t="n">
        <v>106.163197041734</v>
      </c>
      <c r="C118" s="21" t="n">
        <f aca="false">IFERROR((B118/B117-1)*100,"")</f>
        <v>0.354352001233593</v>
      </c>
      <c r="D118" s="21" t="n">
        <f aca="false">IFERROR((B118/B114-1)*100,"")</f>
        <v>2.17226702549602</v>
      </c>
      <c r="E118" s="14"/>
      <c r="F118" s="14"/>
      <c r="G118" s="14"/>
      <c r="I118" s="15" t="n">
        <v>2017</v>
      </c>
      <c r="J118" s="13" t="n">
        <v>512.615738220303</v>
      </c>
      <c r="K118" s="21" t="n">
        <f aca="false">IFERROR((J118/J117-1)*100,"")</f>
        <v>1.92905492415834</v>
      </c>
      <c r="L118" s="14"/>
    </row>
    <row r="119" customFormat="false" ht="15" hidden="false" customHeight="false" outlineLevel="0" collapsed="false">
      <c r="A119" s="16" t="n">
        <v>39539</v>
      </c>
      <c r="B119" s="17" t="n">
        <v>106.826418298475</v>
      </c>
      <c r="C119" s="18" t="n">
        <f aca="false">IFERROR((B119/B118-1)*100,"")</f>
        <v>0.624718617393705</v>
      </c>
      <c r="D119" s="18" t="n">
        <f aca="false">IFERROR((B119/B115-1)*100,"")</f>
        <v>2.11169763080641</v>
      </c>
      <c r="E119" s="19"/>
      <c r="F119" s="19"/>
      <c r="G119" s="19"/>
      <c r="I119" s="20" t="n">
        <v>2018</v>
      </c>
      <c r="J119" s="17" t="n">
        <v>521.972539276398</v>
      </c>
      <c r="K119" s="18" t="n">
        <f aca="false">IFERROR((J119/J118-1)*100,"")</f>
        <v>1.82530506936442</v>
      </c>
      <c r="L119" s="19"/>
    </row>
    <row r="120" customFormat="false" ht="15" hidden="false" customHeight="false" outlineLevel="0" collapsed="false">
      <c r="A120" s="12" t="n">
        <v>39630</v>
      </c>
      <c r="B120" s="13" t="n">
        <v>107.086558268546</v>
      </c>
      <c r="C120" s="21" t="n">
        <f aca="false">IFERROR((B120/B119-1)*100,"")</f>
        <v>0.243516514186748</v>
      </c>
      <c r="D120" s="21" t="n">
        <f aca="false">IFERROR((B120/B116-1)*100,"")</f>
        <v>1.52760920390653</v>
      </c>
      <c r="E120" s="14"/>
      <c r="F120" s="14"/>
      <c r="G120" s="14"/>
      <c r="I120" s="15" t="n">
        <v>2019</v>
      </c>
      <c r="J120" s="13" t="n">
        <v>532.087223731112</v>
      </c>
      <c r="K120" s="21" t="n">
        <f aca="false">IFERROR((J120/J119-1)*100,"")</f>
        <v>1.93778095467154</v>
      </c>
      <c r="L120" s="14"/>
    </row>
    <row r="121" customFormat="false" ht="15" hidden="false" customHeight="false" outlineLevel="0" collapsed="false">
      <c r="A121" s="16" t="n">
        <v>39722</v>
      </c>
      <c r="B121" s="17" t="n">
        <v>107.663910237405</v>
      </c>
      <c r="C121" s="18" t="n">
        <f aca="false">IFERROR((B121/B120-1)*100,"")</f>
        <v>0.539145134734231</v>
      </c>
      <c r="D121" s="18" t="n">
        <f aca="false">IFERROR((B121/B117-1)*100,"")</f>
        <v>1.77295189731612</v>
      </c>
      <c r="E121" s="19"/>
      <c r="F121" s="19"/>
      <c r="G121" s="19"/>
      <c r="I121" s="20" t="n">
        <v>2020</v>
      </c>
      <c r="J121" s="17" t="n">
        <v>543.2252619356</v>
      </c>
      <c r="K121" s="18" t="n">
        <f aca="false">IFERROR((J121/J120-1)*100,"")</f>
        <v>2.09327300257021</v>
      </c>
      <c r="L121" s="19"/>
    </row>
    <row r="122" customFormat="false" ht="15" hidden="false" customHeight="false" outlineLevel="0" collapsed="false">
      <c r="A122" s="12" t="n">
        <v>39814</v>
      </c>
      <c r="B122" s="13" t="n">
        <v>108.324232801462</v>
      </c>
      <c r="C122" s="21" t="n">
        <f aca="false">IFERROR((B122/B121-1)*100,"")</f>
        <v>0.613318392951778</v>
      </c>
      <c r="D122" s="21" t="n">
        <f aca="false">IFERROR((B122/B118-1)*100,"")</f>
        <v>2.03557901414542</v>
      </c>
      <c r="E122" s="14"/>
      <c r="F122" s="14"/>
      <c r="G122" s="14"/>
      <c r="I122" s="15" t="n">
        <v>2021</v>
      </c>
      <c r="J122" s="13" t="n">
        <v>554.128028535038</v>
      </c>
      <c r="K122" s="21" t="n">
        <f aca="false">IFERROR((J122/J121-1)*100,"")</f>
        <v>2.00704336918895</v>
      </c>
      <c r="L122" s="14"/>
    </row>
    <row r="123" customFormat="false" ht="15" hidden="false" customHeight="false" outlineLevel="0" collapsed="false">
      <c r="A123" s="16" t="n">
        <v>39904</v>
      </c>
      <c r="B123" s="17" t="n">
        <v>109.500532670909</v>
      </c>
      <c r="C123" s="18" t="n">
        <f aca="false">IFERROR((B123/B122-1)*100,"")</f>
        <v>1.08590648558105</v>
      </c>
      <c r="D123" s="18" t="n">
        <f aca="false">IFERROR((B123/B119-1)*100,"")</f>
        <v>2.50323320301051</v>
      </c>
      <c r="E123" s="19"/>
      <c r="F123" s="19"/>
      <c r="G123" s="19"/>
      <c r="I123" s="20" t="n">
        <v>2022</v>
      </c>
      <c r="J123" s="17" t="n">
        <v>564.724096067585</v>
      </c>
      <c r="K123" s="18" t="n">
        <f aca="false">IFERROR((J123/J122-1)*100,"")</f>
        <v>1.91220566130892</v>
      </c>
      <c r="L123" s="19"/>
    </row>
    <row r="124" customFormat="false" ht="15" hidden="false" customHeight="false" outlineLevel="0" collapsed="false">
      <c r="A124" s="12" t="n">
        <v>39995</v>
      </c>
      <c r="B124" s="13" t="n">
        <v>109.413711802579</v>
      </c>
      <c r="C124" s="21" t="n">
        <f aca="false">IFERROR((B124/B123-1)*100,"")</f>
        <v>-0.0792880785258077</v>
      </c>
      <c r="D124" s="21" t="n">
        <f aca="false">IFERROR((B124/B120-1)*100,"")</f>
        <v>2.17315186113005</v>
      </c>
      <c r="E124" s="14"/>
      <c r="F124" s="14"/>
      <c r="G124" s="14"/>
      <c r="I124" s="15" t="n">
        <v>2023</v>
      </c>
      <c r="J124" s="13" t="n">
        <v>577.319632766578</v>
      </c>
      <c r="K124" s="21" t="n">
        <f aca="false">IFERROR((J124/J123-1)*100,"")</f>
        <v>2.23038768607564</v>
      </c>
      <c r="L124" s="14"/>
    </row>
    <row r="125" customFormat="false" ht="15" hidden="false" customHeight="false" outlineLevel="0" collapsed="false">
      <c r="A125" s="16" t="n">
        <v>40087</v>
      </c>
      <c r="B125" s="17" t="n">
        <v>109.459113523693</v>
      </c>
      <c r="C125" s="18" t="n">
        <f aca="false">IFERROR((B125/B124-1)*100,"")</f>
        <v>0.0414954582626859</v>
      </c>
      <c r="D125" s="18" t="n">
        <f aca="false">IFERROR((B125/B121-1)*100,"")</f>
        <v>1.66741416165359</v>
      </c>
      <c r="E125" s="19"/>
      <c r="F125" s="19"/>
      <c r="G125" s="19"/>
      <c r="I125" s="20" t="n">
        <v>2024</v>
      </c>
      <c r="J125" s="17" t="n">
        <v>589.268843733754</v>
      </c>
      <c r="K125" s="18" t="n">
        <f aca="false">IFERROR((J125/J124-1)*100,"")</f>
        <v>2.06977388070353</v>
      </c>
      <c r="L125" s="19"/>
    </row>
    <row r="126" customFormat="false" ht="15" hidden="false" customHeight="false" outlineLevel="0" collapsed="false">
      <c r="A126" s="12" t="n">
        <v>40179</v>
      </c>
      <c r="B126" s="13" t="n">
        <v>110.51871280829</v>
      </c>
      <c r="C126" s="21" t="n">
        <f aca="false">IFERROR((B126/B125-1)*100,"")</f>
        <v>0.968032035420907</v>
      </c>
      <c r="D126" s="21" t="n">
        <f aca="false">IFERROR((B126/B122-1)*100,"")</f>
        <v>2.02584403330193</v>
      </c>
      <c r="E126" s="14"/>
      <c r="F126" s="14"/>
      <c r="G126" s="14"/>
      <c r="I126" s="15" t="n">
        <v>2025</v>
      </c>
      <c r="J126" s="13" t="n">
        <v>602.47205573407</v>
      </c>
      <c r="K126" s="21" t="n">
        <f aca="false">IFERROR((J126/J125-1)*100,"")</f>
        <v>2.24060921270781</v>
      </c>
      <c r="L126" s="14"/>
    </row>
    <row r="127" customFormat="false" ht="15" hidden="false" customHeight="false" outlineLevel="0" collapsed="false">
      <c r="A127" s="16" t="n">
        <v>40269</v>
      </c>
      <c r="B127" s="17" t="n">
        <v>110.646289727588</v>
      </c>
      <c r="C127" s="18" t="n">
        <f aca="false">IFERROR((B127/B126-1)*100,"")</f>
        <v>0.115434677129556</v>
      </c>
      <c r="D127" s="18" t="n">
        <f aca="false">IFERROR((B127/B123-1)*100,"")</f>
        <v>1.04634838637994</v>
      </c>
      <c r="E127" s="19"/>
      <c r="F127" s="19"/>
      <c r="G127" s="19"/>
      <c r="I127" s="20" t="n">
        <v>2026</v>
      </c>
      <c r="J127" s="19"/>
      <c r="K127" s="18" t="n">
        <f aca="false">IFERROR((J127/J126-1)*100,"")</f>
        <v>-100</v>
      </c>
      <c r="L127" s="17" t="n">
        <v>609.818842273572</v>
      </c>
    </row>
    <row r="128" customFormat="false" ht="15" hidden="false" customHeight="false" outlineLevel="0" collapsed="false">
      <c r="A128" s="12" t="n">
        <v>40360</v>
      </c>
      <c r="B128" s="13" t="n">
        <v>111.922099868194</v>
      </c>
      <c r="C128" s="21" t="n">
        <f aca="false">IFERROR((B128/B127-1)*100,"")</f>
        <v>1.1530527989202</v>
      </c>
      <c r="D128" s="21" t="n">
        <f aca="false">IFERROR((B128/B124-1)*100,"")</f>
        <v>2.29257194942909</v>
      </c>
      <c r="E128" s="14"/>
      <c r="F128" s="14"/>
      <c r="G128" s="14"/>
      <c r="I128" s="15" t="n">
        <v>2027</v>
      </c>
      <c r="J128" s="14"/>
      <c r="K128" s="21" t="str">
        <f aca="false">IFERROR((J128/J127-1)*100,"")</f>
        <v/>
      </c>
      <c r="L128" s="13" t="n">
        <v>616.1628767107</v>
      </c>
    </row>
    <row r="129" customFormat="false" ht="15" hidden="false" customHeight="false" outlineLevel="0" collapsed="false">
      <c r="A129" s="16" t="n">
        <v>40452</v>
      </c>
      <c r="B129" s="17" t="n">
        <v>112.756985686808</v>
      </c>
      <c r="C129" s="18" t="n">
        <f aca="false">IFERROR((B129/B128-1)*100,"")</f>
        <v>0.745952604175426</v>
      </c>
      <c r="D129" s="18" t="n">
        <f aca="false">IFERROR((B129/B125-1)*100,"")</f>
        <v>3.01288038697769</v>
      </c>
      <c r="E129" s="19"/>
      <c r="F129" s="19"/>
      <c r="G129" s="19"/>
    </row>
    <row r="130" customFormat="false" ht="15" hidden="false" customHeight="false" outlineLevel="0" collapsed="false">
      <c r="A130" s="12" t="n">
        <v>40544</v>
      </c>
      <c r="B130" s="13" t="n">
        <v>112.284339212634</v>
      </c>
      <c r="C130" s="21" t="n">
        <f aca="false">IFERROR((B130/B129-1)*100,"")</f>
        <v>-0.419172675906243</v>
      </c>
      <c r="D130" s="21" t="n">
        <f aca="false">IFERROR((B130/B126-1)*100,"")</f>
        <v>1.59758140452289</v>
      </c>
      <c r="E130" s="14"/>
      <c r="F130" s="14"/>
      <c r="G130" s="14"/>
    </row>
    <row r="131" customFormat="false" ht="15" hidden="false" customHeight="false" outlineLevel="0" collapsed="false">
      <c r="A131" s="16" t="n">
        <v>40634</v>
      </c>
      <c r="B131" s="17" t="n">
        <v>113.332097978271</v>
      </c>
      <c r="C131" s="18" t="n">
        <f aca="false">IFERROR((B131/B130-1)*100,"")</f>
        <v>0.93312992086354</v>
      </c>
      <c r="D131" s="18" t="n">
        <f aca="false">IFERROR((B131/B127-1)*100,"")</f>
        <v>2.42738211764242</v>
      </c>
      <c r="E131" s="19"/>
      <c r="F131" s="19"/>
      <c r="G131" s="19"/>
    </row>
    <row r="132" customFormat="false" ht="15" hidden="false" customHeight="false" outlineLevel="0" collapsed="false">
      <c r="A132" s="12" t="n">
        <v>40725</v>
      </c>
      <c r="B132" s="13" t="n">
        <v>113.45358672821</v>
      </c>
      <c r="C132" s="21" t="n">
        <f aca="false">IFERROR((B132/B131-1)*100,"")</f>
        <v>0.107197124297653</v>
      </c>
      <c r="D132" s="21" t="n">
        <f aca="false">IFERROR((B132/B128-1)*100,"")</f>
        <v>1.36835072056321</v>
      </c>
      <c r="E132" s="14"/>
      <c r="F132" s="14"/>
      <c r="G132" s="14"/>
    </row>
    <row r="133" customFormat="false" ht="15" hidden="false" customHeight="false" outlineLevel="0" collapsed="false">
      <c r="A133" s="16" t="n">
        <v>40817</v>
      </c>
      <c r="B133" s="17" t="n">
        <v>114.714516360264</v>
      </c>
      <c r="C133" s="18" t="n">
        <f aca="false">IFERROR((B133/B132-1)*100,"")</f>
        <v>1.11140570202977</v>
      </c>
      <c r="D133" s="18" t="n">
        <f aca="false">IFERROR((B133/B129-1)*100,"")</f>
        <v>1.73606155000727</v>
      </c>
      <c r="E133" s="19"/>
      <c r="F133" s="19"/>
      <c r="G133" s="19"/>
    </row>
    <row r="134" customFormat="false" ht="15" hidden="false" customHeight="false" outlineLevel="0" collapsed="false">
      <c r="A134" s="12" t="n">
        <v>40909</v>
      </c>
      <c r="B134" s="13" t="n">
        <v>114.862675048967</v>
      </c>
      <c r="C134" s="21" t="n">
        <f aca="false">IFERROR((B134/B133-1)*100,"")</f>
        <v>0.129154263474041</v>
      </c>
      <c r="D134" s="21" t="n">
        <f aca="false">IFERROR((B134/B130-1)*100,"")</f>
        <v>2.29625596446785</v>
      </c>
      <c r="E134" s="14"/>
      <c r="F134" s="14"/>
      <c r="G134" s="14"/>
    </row>
    <row r="135" customFormat="false" ht="15" hidden="false" customHeight="false" outlineLevel="0" collapsed="false">
      <c r="A135" s="16" t="n">
        <v>41000</v>
      </c>
      <c r="B135" s="17" t="n">
        <v>114.929749992729</v>
      </c>
      <c r="C135" s="18" t="n">
        <f aca="false">IFERROR((B135/B134-1)*100,"")</f>
        <v>0.0583957701953297</v>
      </c>
      <c r="D135" s="18" t="n">
        <f aca="false">IFERROR((B135/B131-1)*100,"")</f>
        <v>1.40970832002467</v>
      </c>
      <c r="E135" s="19"/>
      <c r="F135" s="19"/>
      <c r="G135" s="19"/>
    </row>
    <row r="136" customFormat="false" ht="15" hidden="false" customHeight="false" outlineLevel="0" collapsed="false">
      <c r="A136" s="12" t="n">
        <v>41091</v>
      </c>
      <c r="B136" s="13" t="n">
        <v>116.753537188547</v>
      </c>
      <c r="C136" s="21" t="n">
        <f aca="false">IFERROR((B136/B135-1)*100,"")</f>
        <v>1.58687128087696</v>
      </c>
      <c r="D136" s="21" t="n">
        <f aca="false">IFERROR((B136/B132-1)*100,"")</f>
        <v>2.90863476025927</v>
      </c>
      <c r="E136" s="14"/>
      <c r="F136" s="14"/>
      <c r="G136" s="14"/>
    </row>
    <row r="137" customFormat="false" ht="15" hidden="false" customHeight="false" outlineLevel="0" collapsed="false">
      <c r="A137" s="16" t="n">
        <v>41183</v>
      </c>
      <c r="B137" s="17" t="n">
        <v>116.149295719154</v>
      </c>
      <c r="C137" s="18" t="n">
        <f aca="false">IFERROR((B137/B136-1)*100,"")</f>
        <v>-0.517535899934063</v>
      </c>
      <c r="D137" s="18" t="n">
        <f aca="false">IFERROR((B137/B133-1)*100,"")</f>
        <v>1.25073914305966</v>
      </c>
      <c r="E137" s="19"/>
      <c r="F137" s="19"/>
      <c r="G137" s="19"/>
    </row>
    <row r="138" customFormat="false" ht="15" hidden="false" customHeight="false" outlineLevel="0" collapsed="false">
      <c r="A138" s="12" t="n">
        <v>41275</v>
      </c>
      <c r="B138" s="13" t="n">
        <v>117.478340072142</v>
      </c>
      <c r="C138" s="21" t="n">
        <f aca="false">IFERROR((B138/B137-1)*100,"")</f>
        <v>1.14425519738124</v>
      </c>
      <c r="D138" s="21" t="n">
        <f aca="false">IFERROR((B138/B134-1)*100,"")</f>
        <v>2.27721061002586</v>
      </c>
      <c r="E138" s="14"/>
      <c r="F138" s="14"/>
      <c r="G138" s="14"/>
    </row>
    <row r="139" customFormat="false" ht="15" hidden="false" customHeight="false" outlineLevel="0" collapsed="false">
      <c r="A139" s="16" t="n">
        <v>41365</v>
      </c>
      <c r="B139" s="17" t="n">
        <v>118.248670454956</v>
      </c>
      <c r="C139" s="18" t="n">
        <f aca="false">IFERROR((B139/B138-1)*100,"")</f>
        <v>0.655721201321757</v>
      </c>
      <c r="D139" s="18" t="n">
        <f aca="false">IFERROR((B139/B135-1)*100,"")</f>
        <v>2.88778185146725</v>
      </c>
      <c r="E139" s="19"/>
      <c r="F139" s="19"/>
      <c r="G139" s="19"/>
    </row>
    <row r="140" customFormat="false" ht="15" hidden="false" customHeight="false" outlineLevel="0" collapsed="false">
      <c r="A140" s="12" t="n">
        <v>41456</v>
      </c>
      <c r="B140" s="13" t="n">
        <v>119.036205969559</v>
      </c>
      <c r="C140" s="21" t="n">
        <f aca="false">IFERROR((B140/B139-1)*100,"")</f>
        <v>0.665999466694212</v>
      </c>
      <c r="D140" s="21" t="n">
        <f aca="false">IFERROR((B140/B136-1)*100,"")</f>
        <v>1.95511745166665</v>
      </c>
      <c r="E140" s="14"/>
      <c r="F140" s="14"/>
      <c r="G140" s="14"/>
    </row>
    <row r="141" customFormat="false" ht="15" hidden="false" customHeight="false" outlineLevel="0" collapsed="false">
      <c r="A141" s="16" t="n">
        <v>41548</v>
      </c>
      <c r="B141" s="17" t="n">
        <v>118.262461265501</v>
      </c>
      <c r="C141" s="18" t="n">
        <f aca="false">IFERROR((B141/B140-1)*100,"")</f>
        <v>-0.650007867569014</v>
      </c>
      <c r="D141" s="18" t="n">
        <f aca="false">IFERROR((B141/B137-1)*100,"")</f>
        <v>1.8193528710297</v>
      </c>
      <c r="E141" s="19"/>
      <c r="F141" s="19"/>
      <c r="G141" s="19"/>
    </row>
    <row r="142" customFormat="false" ht="15" hidden="false" customHeight="false" outlineLevel="0" collapsed="false">
      <c r="A142" s="12" t="n">
        <v>41640</v>
      </c>
      <c r="B142" s="13" t="n">
        <v>119.659681245226</v>
      </c>
      <c r="C142" s="21" t="n">
        <f aca="false">IFERROR((B142/B141-1)*100,"")</f>
        <v>1.18145687547371</v>
      </c>
      <c r="D142" s="21" t="n">
        <f aca="false">IFERROR((B142/B138-1)*100,"")</f>
        <v>1.85680285552661</v>
      </c>
      <c r="E142" s="14"/>
      <c r="F142" s="14"/>
      <c r="G142" s="14"/>
    </row>
    <row r="143" customFormat="false" ht="15" hidden="false" customHeight="false" outlineLevel="0" collapsed="false">
      <c r="A143" s="16" t="n">
        <v>41730</v>
      </c>
      <c r="B143" s="17" t="n">
        <v>121.032029442249</v>
      </c>
      <c r="C143" s="18" t="n">
        <f aca="false">IFERROR((B143/B142-1)*100,"")</f>
        <v>1.14687602602732</v>
      </c>
      <c r="D143" s="18" t="n">
        <f aca="false">IFERROR((B143/B139-1)*100,"")</f>
        <v>2.35381842060827</v>
      </c>
      <c r="E143" s="19"/>
      <c r="F143" s="19"/>
      <c r="G143" s="19"/>
    </row>
    <row r="144" customFormat="false" ht="15" hidden="false" customHeight="false" outlineLevel="0" collapsed="false">
      <c r="A144" s="12" t="n">
        <v>41821</v>
      </c>
      <c r="B144" s="13" t="n">
        <v>120.695665521979</v>
      </c>
      <c r="C144" s="21" t="n">
        <f aca="false">IFERROR((B144/B143-1)*100,"")</f>
        <v>-0.277913145652331</v>
      </c>
      <c r="D144" s="21" t="n">
        <f aca="false">IFERROR((B144/B140-1)*100,"")</f>
        <v>1.39407967425027</v>
      </c>
      <c r="E144" s="14"/>
      <c r="F144" s="14"/>
      <c r="G144" s="14"/>
    </row>
    <row r="145" customFormat="false" ht="15" hidden="false" customHeight="false" outlineLevel="0" collapsed="false">
      <c r="A145" s="16" t="n">
        <v>41913</v>
      </c>
      <c r="B145" s="17" t="n">
        <v>121.524805025718</v>
      </c>
      <c r="C145" s="18" t="n">
        <f aca="false">IFERROR((B145/B144-1)*100,"")</f>
        <v>0.686967092109803</v>
      </c>
      <c r="D145" s="18" t="n">
        <f aca="false">IFERROR((B145/B141-1)*100,"")</f>
        <v>2.75856237499825</v>
      </c>
      <c r="E145" s="19"/>
      <c r="F145" s="19"/>
      <c r="G145" s="19"/>
    </row>
    <row r="146" customFormat="false" ht="15" hidden="false" customHeight="false" outlineLevel="0" collapsed="false">
      <c r="A146" s="12" t="n">
        <v>42005</v>
      </c>
      <c r="B146" s="13" t="n">
        <v>122.772400202938</v>
      </c>
      <c r="C146" s="21" t="n">
        <f aca="false">IFERROR((B146/B145-1)*100,"")</f>
        <v>1.02661771558199</v>
      </c>
      <c r="D146" s="21" t="n">
        <f aca="false">IFERROR((B146/B142-1)*100,"")</f>
        <v>2.60130975222366</v>
      </c>
      <c r="E146" s="14"/>
      <c r="F146" s="14"/>
      <c r="G146" s="14"/>
    </row>
    <row r="147" customFormat="false" ht="15" hidden="false" customHeight="false" outlineLevel="0" collapsed="false">
      <c r="A147" s="16" t="n">
        <v>42095</v>
      </c>
      <c r="B147" s="17" t="n">
        <v>122.111880126492</v>
      </c>
      <c r="C147" s="18" t="n">
        <f aca="false">IFERROR((B147/B146-1)*100,"")</f>
        <v>-0.538003716921875</v>
      </c>
      <c r="D147" s="18" t="n">
        <f aca="false">IFERROR((B147/B143-1)*100,"")</f>
        <v>0.892202410568399</v>
      </c>
      <c r="E147" s="19"/>
      <c r="F147" s="19"/>
      <c r="G147" s="19"/>
    </row>
    <row r="148" customFormat="false" ht="15" hidden="false" customHeight="false" outlineLevel="0" collapsed="false">
      <c r="A148" s="12" t="n">
        <v>42186</v>
      </c>
      <c r="B148" s="13" t="n">
        <v>124.054057700806</v>
      </c>
      <c r="C148" s="21" t="n">
        <f aca="false">IFERROR((B148/B147-1)*100,"")</f>
        <v>1.59049027195566</v>
      </c>
      <c r="D148" s="21" t="n">
        <f aca="false">IFERROR((B148/B144-1)*100,"")</f>
        <v>2.782529235249</v>
      </c>
      <c r="E148" s="14"/>
      <c r="F148" s="14"/>
      <c r="G148" s="14"/>
    </row>
    <row r="149" customFormat="false" ht="15" hidden="false" customHeight="false" outlineLevel="0" collapsed="false">
      <c r="A149" s="16" t="n">
        <v>42278</v>
      </c>
      <c r="B149" s="17" t="n">
        <v>123.997432849958</v>
      </c>
      <c r="C149" s="18" t="n">
        <f aca="false">IFERROR((B149/B148-1)*100,"")</f>
        <v>-0.0456453032634863</v>
      </c>
      <c r="D149" s="18" t="n">
        <f aca="false">IFERROR((B149/B145-1)*100,"")</f>
        <v>2.03466923787043</v>
      </c>
      <c r="E149" s="19"/>
      <c r="F149" s="19"/>
      <c r="G149" s="19"/>
    </row>
    <row r="150" customFormat="false" ht="15" hidden="false" customHeight="false" outlineLevel="0" collapsed="false">
      <c r="A150" s="12" t="n">
        <v>42370</v>
      </c>
      <c r="B150" s="13" t="n">
        <v>124.435787192841</v>
      </c>
      <c r="C150" s="21" t="n">
        <f aca="false">IFERROR((B150/B149-1)*100,"")</f>
        <v>0.353518885679693</v>
      </c>
      <c r="D150" s="21" t="n">
        <f aca="false">IFERROR((B150/B146-1)*100,"")</f>
        <v>1.35485417500423</v>
      </c>
      <c r="E150" s="14"/>
      <c r="F150" s="14"/>
      <c r="G150" s="14"/>
    </row>
    <row r="151" customFormat="false" ht="15" hidden="false" customHeight="false" outlineLevel="0" collapsed="false">
      <c r="A151" s="16" t="n">
        <v>42461</v>
      </c>
      <c r="B151" s="17" t="n">
        <v>125.822428784407</v>
      </c>
      <c r="C151" s="18" t="n">
        <f aca="false">IFERROR((B151/B150-1)*100,"")</f>
        <v>1.11434308638012</v>
      </c>
      <c r="D151" s="18" t="n">
        <f aca="false">IFERROR((B151/B147-1)*100,"")</f>
        <v>3.03864673451171</v>
      </c>
      <c r="E151" s="19"/>
      <c r="F151" s="19"/>
      <c r="G151" s="19"/>
    </row>
    <row r="152" customFormat="false" ht="15" hidden="false" customHeight="false" outlineLevel="0" collapsed="false">
      <c r="A152" s="12" t="n">
        <v>42552</v>
      </c>
      <c r="B152" s="13" t="n">
        <v>125.873395370792</v>
      </c>
      <c r="C152" s="21" t="n">
        <f aca="false">IFERROR((B152/B151-1)*100,"")</f>
        <v>0.0405067577200713</v>
      </c>
      <c r="D152" s="21" t="n">
        <f aca="false">IFERROR((B152/B148-1)*100,"")</f>
        <v>1.46656844903339</v>
      </c>
      <c r="E152" s="14"/>
      <c r="F152" s="14"/>
      <c r="G152" s="14"/>
    </row>
    <row r="153" customFormat="false" ht="15" hidden="false" customHeight="false" outlineLevel="0" collapsed="false">
      <c r="A153" s="16" t="n">
        <v>42644</v>
      </c>
      <c r="B153" s="17" t="n">
        <v>126.782634841844</v>
      </c>
      <c r="C153" s="18" t="n">
        <f aca="false">IFERROR((B153/B152-1)*100,"")</f>
        <v>0.722344438531986</v>
      </c>
      <c r="D153" s="18" t="n">
        <f aca="false">IFERROR((B153/B149-1)*100,"")</f>
        <v>2.24617714082549</v>
      </c>
      <c r="E153" s="19"/>
      <c r="F153" s="19"/>
      <c r="G153" s="19"/>
    </row>
    <row r="154" customFormat="false" ht="15" hidden="false" customHeight="false" outlineLevel="0" collapsed="false">
      <c r="A154" s="12" t="n">
        <v>42736</v>
      </c>
      <c r="B154" s="13" t="n">
        <v>127.165580358256</v>
      </c>
      <c r="C154" s="21" t="n">
        <f aca="false">IFERROR((B154/B153-1)*100,"")</f>
        <v>0.302048870406901</v>
      </c>
      <c r="D154" s="21" t="n">
        <f aca="false">IFERROR((B154/B150-1)*100,"")</f>
        <v>2.19373640573759</v>
      </c>
      <c r="E154" s="14"/>
      <c r="F154" s="14"/>
      <c r="G154" s="14"/>
    </row>
    <row r="155" customFormat="false" ht="15" hidden="false" customHeight="false" outlineLevel="0" collapsed="false">
      <c r="A155" s="16" t="n">
        <v>42826</v>
      </c>
      <c r="B155" s="17" t="n">
        <v>127.709783367152</v>
      </c>
      <c r="C155" s="18" t="n">
        <f aca="false">IFERROR((B155/B154-1)*100,"")</f>
        <v>0.427948354706631</v>
      </c>
      <c r="D155" s="18" t="n">
        <f aca="false">IFERROR((B155/B151-1)*100,"")</f>
        <v>1.50001442586967</v>
      </c>
      <c r="E155" s="19"/>
      <c r="F155" s="19"/>
      <c r="G155" s="19"/>
    </row>
    <row r="156" customFormat="false" ht="15" hidden="false" customHeight="false" outlineLevel="0" collapsed="false">
      <c r="A156" s="12" t="n">
        <v>42917</v>
      </c>
      <c r="B156" s="13" t="n">
        <v>129.096199668633</v>
      </c>
      <c r="C156" s="21" t="n">
        <f aca="false">IFERROR((B156/B155-1)*100,"")</f>
        <v>1.08559913338424</v>
      </c>
      <c r="D156" s="21" t="n">
        <f aca="false">IFERROR((B156/B152-1)*100,"")</f>
        <v>2.56035382881952</v>
      </c>
      <c r="E156" s="14"/>
      <c r="F156" s="14"/>
      <c r="G156" s="14"/>
    </row>
    <row r="157" customFormat="false" ht="15" hidden="false" customHeight="false" outlineLevel="0" collapsed="false">
      <c r="A157" s="16" t="n">
        <v>43009</v>
      </c>
      <c r="B157" s="17" t="n">
        <v>128.644174826261</v>
      </c>
      <c r="C157" s="18" t="n">
        <f aca="false">IFERROR((B157/B156-1)*100,"")</f>
        <v>-0.350145739016294</v>
      </c>
      <c r="D157" s="18" t="n">
        <f aca="false">IFERROR((B157/B153-1)*100,"")</f>
        <v>1.46829255184624</v>
      </c>
      <c r="E157" s="19"/>
      <c r="F157" s="19"/>
      <c r="G157" s="19"/>
    </row>
    <row r="158" customFormat="false" ht="15" hidden="false" customHeight="false" outlineLevel="0" collapsed="false">
      <c r="A158" s="12" t="n">
        <v>43101</v>
      </c>
      <c r="B158" s="13" t="n">
        <v>130.004322376569</v>
      </c>
      <c r="C158" s="21" t="n">
        <f aca="false">IFERROR((B158/B157-1)*100,"")</f>
        <v>1.05729431755819</v>
      </c>
      <c r="D158" s="21" t="n">
        <f aca="false">IFERROR((B158/B154-1)*100,"")</f>
        <v>2.23231947694933</v>
      </c>
      <c r="E158" s="14"/>
      <c r="F158" s="14"/>
      <c r="G158" s="14"/>
    </row>
    <row r="159" customFormat="false" ht="15" hidden="false" customHeight="false" outlineLevel="0" collapsed="false">
      <c r="A159" s="16" t="n">
        <v>43191</v>
      </c>
      <c r="B159" s="17" t="n">
        <v>130.125683376912</v>
      </c>
      <c r="C159" s="18" t="n">
        <f aca="false">IFERROR((B159/B158-1)*100,"")</f>
        <v>0.0933515117991668</v>
      </c>
      <c r="D159" s="18" t="n">
        <f aca="false">IFERROR((B159/B155-1)*100,"")</f>
        <v>1.89171099195591</v>
      </c>
      <c r="E159" s="19"/>
      <c r="F159" s="19"/>
      <c r="G159" s="19"/>
    </row>
    <row r="160" customFormat="false" ht="15" hidden="false" customHeight="false" outlineLevel="0" collapsed="false">
      <c r="A160" s="12" t="n">
        <v>43282</v>
      </c>
      <c r="B160" s="13" t="n">
        <v>130.280055783159</v>
      </c>
      <c r="C160" s="21" t="n">
        <f aca="false">IFERROR((B160/B159-1)*100,"")</f>
        <v>0.118633310689464</v>
      </c>
      <c r="D160" s="21" t="n">
        <f aca="false">IFERROR((B160/B156-1)*100,"")</f>
        <v>0.917034054886878</v>
      </c>
      <c r="E160" s="14"/>
      <c r="F160" s="14"/>
      <c r="G160" s="14"/>
    </row>
    <row r="161" customFormat="false" ht="15" hidden="false" customHeight="false" outlineLevel="0" collapsed="false">
      <c r="A161" s="16" t="n">
        <v>43374</v>
      </c>
      <c r="B161" s="17" t="n">
        <v>131.562477739758</v>
      </c>
      <c r="C161" s="18" t="n">
        <f aca="false">IFERROR((B161/B160-1)*100,"")</f>
        <v>0.984357850393591</v>
      </c>
      <c r="D161" s="18" t="n">
        <f aca="false">IFERROR((B161/B157-1)*100,"")</f>
        <v>2.26850762379078</v>
      </c>
      <c r="E161" s="19"/>
      <c r="F161" s="19"/>
      <c r="G161" s="19"/>
    </row>
    <row r="162" customFormat="false" ht="15" hidden="false" customHeight="false" outlineLevel="0" collapsed="false">
      <c r="A162" s="12" t="n">
        <v>43466</v>
      </c>
      <c r="B162" s="13" t="n">
        <v>131.520880003216</v>
      </c>
      <c r="C162" s="21" t="n">
        <f aca="false">IFERROR((B162/B161-1)*100,"")</f>
        <v>-0.0316182374009988</v>
      </c>
      <c r="D162" s="21" t="n">
        <f aca="false">IFERROR((B162/B158-1)*100,"")</f>
        <v>1.16654400324749</v>
      </c>
      <c r="E162" s="14"/>
      <c r="F162" s="14"/>
      <c r="G162" s="14"/>
    </row>
    <row r="163" customFormat="false" ht="15" hidden="false" customHeight="false" outlineLevel="0" collapsed="false">
      <c r="A163" s="16" t="n">
        <v>43556</v>
      </c>
      <c r="B163" s="17" t="n">
        <v>132.927088046165</v>
      </c>
      <c r="C163" s="18" t="n">
        <f aca="false">IFERROR((B163/B162-1)*100,"")</f>
        <v>1.06918995897489</v>
      </c>
      <c r="D163" s="18" t="n">
        <f aca="false">IFERROR((B163/B159-1)*100,"")</f>
        <v>2.15284530813111</v>
      </c>
      <c r="E163" s="19"/>
      <c r="F163" s="19"/>
      <c r="G163" s="19"/>
    </row>
    <row r="164" customFormat="false" ht="15" hidden="false" customHeight="false" outlineLevel="0" collapsed="false">
      <c r="A164" s="12" t="n">
        <v>43647</v>
      </c>
      <c r="B164" s="13" t="n">
        <v>133.68386937489</v>
      </c>
      <c r="C164" s="21" t="n">
        <f aca="false">IFERROR((B164/B163-1)*100,"")</f>
        <v>0.569320625200165</v>
      </c>
      <c r="D164" s="21" t="n">
        <f aca="false">IFERROR((B164/B160-1)*100,"")</f>
        <v>2.61268969472677</v>
      </c>
      <c r="E164" s="14"/>
      <c r="F164" s="14"/>
      <c r="G164" s="14"/>
    </row>
    <row r="165" customFormat="false" ht="15" hidden="false" customHeight="false" outlineLevel="0" collapsed="false">
      <c r="A165" s="16" t="n">
        <v>43739</v>
      </c>
      <c r="B165" s="17" t="n">
        <v>133.955386306841</v>
      </c>
      <c r="C165" s="18" t="n">
        <f aca="false">IFERROR((B165/B164-1)*100,"")</f>
        <v>0.203103735118026</v>
      </c>
      <c r="D165" s="18" t="n">
        <f aca="false">IFERROR((B165/B161-1)*100,"")</f>
        <v>1.8188381734618</v>
      </c>
      <c r="E165" s="19"/>
      <c r="F165" s="19"/>
      <c r="G165" s="19"/>
    </row>
    <row r="166" customFormat="false" ht="15" hidden="false" customHeight="false" outlineLevel="0" collapsed="false">
      <c r="A166" s="12" t="n">
        <v>43831</v>
      </c>
      <c r="B166" s="13" t="n">
        <v>135.025347398406</v>
      </c>
      <c r="C166" s="21" t="n">
        <f aca="false">IFERROR((B166/B165-1)*100,"")</f>
        <v>0.79874435889733</v>
      </c>
      <c r="D166" s="21" t="n">
        <f aca="false">IFERROR((B166/B162-1)*100,"")</f>
        <v>2.66457112749294</v>
      </c>
      <c r="E166" s="14"/>
      <c r="F166" s="14"/>
      <c r="G166" s="14"/>
    </row>
    <row r="167" customFormat="false" ht="15" hidden="false" customHeight="false" outlineLevel="0" collapsed="false">
      <c r="A167" s="16" t="n">
        <v>43922</v>
      </c>
      <c r="B167" s="17" t="n">
        <v>135.643176572513</v>
      </c>
      <c r="C167" s="18" t="n">
        <f aca="false">IFERROR((B167/B166-1)*100,"")</f>
        <v>0.45756532829635</v>
      </c>
      <c r="D167" s="18" t="n">
        <f aca="false">IFERROR((B167/B163-1)*100,"")</f>
        <v>2.04329197778259</v>
      </c>
      <c r="E167" s="19"/>
      <c r="F167" s="19"/>
      <c r="G167" s="19"/>
    </row>
    <row r="168" customFormat="false" ht="15" hidden="false" customHeight="false" outlineLevel="0" collapsed="false">
      <c r="A168" s="12" t="n">
        <v>44013</v>
      </c>
      <c r="B168" s="13" t="n">
        <v>136.05228999594</v>
      </c>
      <c r="C168" s="21" t="n">
        <f aca="false">IFERROR((B168/B167-1)*100,"")</f>
        <v>0.301610028432497</v>
      </c>
      <c r="D168" s="21" t="n">
        <f aca="false">IFERROR((B168/B164-1)*100,"")</f>
        <v>1.7716577415992</v>
      </c>
      <c r="E168" s="14"/>
      <c r="F168" s="14"/>
      <c r="G168" s="14"/>
    </row>
    <row r="169" customFormat="false" ht="15" hidden="false" customHeight="false" outlineLevel="0" collapsed="false">
      <c r="A169" s="16" t="n">
        <v>44105</v>
      </c>
      <c r="B169" s="17" t="n">
        <v>136.504447968742</v>
      </c>
      <c r="C169" s="18" t="n">
        <f aca="false">IFERROR((B169/B168-1)*100,"")</f>
        <v>0.33234131730977</v>
      </c>
      <c r="D169" s="18" t="n">
        <f aca="false">IFERROR((B169/B165-1)*100,"")</f>
        <v>1.90291837616934</v>
      </c>
      <c r="E169" s="19"/>
      <c r="F169" s="19"/>
      <c r="G169" s="19"/>
    </row>
    <row r="170" customFormat="false" ht="15" hidden="false" customHeight="false" outlineLevel="0" collapsed="false">
      <c r="A170" s="12" t="n">
        <v>44197</v>
      </c>
      <c r="B170" s="13" t="n">
        <v>137.531875189491</v>
      </c>
      <c r="C170" s="21" t="n">
        <f aca="false">IFERROR((B170/B169-1)*100,"")</f>
        <v>0.752669408240636</v>
      </c>
      <c r="D170" s="21" t="n">
        <f aca="false">IFERROR((B170/B166-1)*100,"")</f>
        <v>1.85633870927153</v>
      </c>
      <c r="E170" s="14"/>
      <c r="F170" s="14"/>
      <c r="G170" s="14"/>
    </row>
    <row r="171" customFormat="false" ht="15" hidden="false" customHeight="false" outlineLevel="0" collapsed="false">
      <c r="A171" s="16" t="n">
        <v>44287</v>
      </c>
      <c r="B171" s="17" t="n">
        <v>137.503007375584</v>
      </c>
      <c r="C171" s="18" t="n">
        <f aca="false">IFERROR((B171/B170-1)*100,"")</f>
        <v>-0.0209899078791875</v>
      </c>
      <c r="D171" s="18" t="n">
        <f aca="false">IFERROR((B171/B167-1)*100,"")</f>
        <v>1.37112005931028</v>
      </c>
      <c r="E171" s="19"/>
      <c r="F171" s="19"/>
      <c r="G171" s="19"/>
    </row>
    <row r="172" customFormat="false" ht="15" hidden="false" customHeight="false" outlineLevel="0" collapsed="false">
      <c r="A172" s="12" t="n">
        <v>44378</v>
      </c>
      <c r="B172" s="13" t="n">
        <v>139.063950137072</v>
      </c>
      <c r="C172" s="21" t="n">
        <f aca="false">IFERROR((B172/B171-1)*100,"")</f>
        <v>1.13520627023376</v>
      </c>
      <c r="D172" s="21" t="n">
        <f aca="false">IFERROR((B172/B168-1)*100,"")</f>
        <v>2.2136048876662</v>
      </c>
      <c r="E172" s="14"/>
      <c r="F172" s="14"/>
      <c r="G172" s="14"/>
    </row>
    <row r="173" customFormat="false" ht="15" hidden="false" customHeight="false" outlineLevel="0" collapsed="false">
      <c r="A173" s="16" t="n">
        <v>44470</v>
      </c>
      <c r="B173" s="17" t="n">
        <v>140.029195832892</v>
      </c>
      <c r="C173" s="18" t="n">
        <f aca="false">IFERROR((B173/B172-1)*100,"")</f>
        <v>0.694102026347276</v>
      </c>
      <c r="D173" s="18" t="n">
        <f aca="false">IFERROR((B173/B169-1)*100,"")</f>
        <v>2.58214872599345</v>
      </c>
      <c r="E173" s="19"/>
      <c r="F173" s="19"/>
      <c r="G173" s="19"/>
    </row>
    <row r="174" customFormat="false" ht="15" hidden="false" customHeight="false" outlineLevel="0" collapsed="false">
      <c r="A174" s="12" t="n">
        <v>44562</v>
      </c>
      <c r="B174" s="13" t="n">
        <v>139.984152007853</v>
      </c>
      <c r="C174" s="21" t="n">
        <f aca="false">IFERROR((B174/B173-1)*100,"")</f>
        <v>-0.0321674524880855</v>
      </c>
      <c r="D174" s="21" t="n">
        <f aca="false">IFERROR((B174/B170-1)*100,"")</f>
        <v>1.78306070137055</v>
      </c>
      <c r="E174" s="14"/>
      <c r="F174" s="14"/>
      <c r="G174" s="14"/>
    </row>
    <row r="175" customFormat="false" ht="15" hidden="false" customHeight="false" outlineLevel="0" collapsed="false">
      <c r="A175" s="16" t="n">
        <v>44652</v>
      </c>
      <c r="B175" s="17" t="n">
        <v>141.443028437148</v>
      </c>
      <c r="C175" s="18" t="n">
        <f aca="false">IFERROR((B175/B174-1)*100,"")</f>
        <v>1.04217256622976</v>
      </c>
      <c r="D175" s="18" t="n">
        <f aca="false">IFERROR((B175/B171-1)*100,"")</f>
        <v>2.86540719127824</v>
      </c>
      <c r="E175" s="19"/>
      <c r="F175" s="19"/>
      <c r="G175" s="19"/>
    </row>
    <row r="176" customFormat="false" ht="15" hidden="false" customHeight="false" outlineLevel="0" collapsed="false">
      <c r="A176" s="12" t="n">
        <v>44743</v>
      </c>
      <c r="B176" s="13" t="n">
        <v>141.1612236729</v>
      </c>
      <c r="C176" s="21" t="n">
        <f aca="false">IFERROR((B176/B175-1)*100,"")</f>
        <v>-0.19923552780321</v>
      </c>
      <c r="D176" s="21" t="n">
        <f aca="false">IFERROR((B176/B172-1)*100,"")</f>
        <v>1.50813602933138</v>
      </c>
      <c r="E176" s="14"/>
      <c r="F176" s="14"/>
      <c r="G176" s="14"/>
    </row>
    <row r="177" customFormat="false" ht="15" hidden="false" customHeight="false" outlineLevel="0" collapsed="false">
      <c r="A177" s="16" t="n">
        <v>44835</v>
      </c>
      <c r="B177" s="17" t="n">
        <v>142.135691949684</v>
      </c>
      <c r="C177" s="18" t="n">
        <f aca="false">IFERROR((B177/B176-1)*100,"")</f>
        <v>0.690322916895303</v>
      </c>
      <c r="D177" s="18" t="n">
        <f aca="false">IFERROR((B177/B173-1)*100,"")</f>
        <v>1.50432636869982</v>
      </c>
      <c r="E177" s="19"/>
      <c r="F177" s="19"/>
      <c r="G177" s="19"/>
    </row>
    <row r="178" customFormat="false" ht="15" hidden="false" customHeight="false" outlineLevel="0" collapsed="false">
      <c r="A178" s="12" t="n">
        <v>44927</v>
      </c>
      <c r="B178" s="13" t="n">
        <v>143.577415288449</v>
      </c>
      <c r="C178" s="21" t="n">
        <f aca="false">IFERROR((B178/B177-1)*100,"")</f>
        <v>1.01432885645323</v>
      </c>
      <c r="D178" s="21" t="n">
        <f aca="false">IFERROR((B178/B174-1)*100,"")</f>
        <v>2.56690720274895</v>
      </c>
      <c r="E178" s="14"/>
      <c r="F178" s="14"/>
      <c r="G178" s="14"/>
    </row>
    <row r="179" customFormat="false" ht="15" hidden="false" customHeight="false" outlineLevel="0" collapsed="false">
      <c r="A179" s="16" t="n">
        <v>45017</v>
      </c>
      <c r="B179" s="17" t="n">
        <v>143.057433389101</v>
      </c>
      <c r="C179" s="18" t="n">
        <f aca="false">IFERROR((B179/B178-1)*100,"")</f>
        <v>-0.362161345712875</v>
      </c>
      <c r="D179" s="18" t="n">
        <f aca="false">IFERROR((B179/B175-1)*100,"")</f>
        <v>1.14138177737786</v>
      </c>
      <c r="E179" s="19"/>
      <c r="F179" s="19"/>
      <c r="G179" s="19"/>
    </row>
    <row r="180" customFormat="false" ht="15" hidden="false" customHeight="false" outlineLevel="0" collapsed="false">
      <c r="A180" s="12" t="n">
        <v>45108</v>
      </c>
      <c r="B180" s="13" t="n">
        <v>145.528472980986</v>
      </c>
      <c r="C180" s="21" t="n">
        <f aca="false">IFERROR((B180/B179-1)*100,"")</f>
        <v>1.72730597309394</v>
      </c>
      <c r="D180" s="21" t="n">
        <f aca="false">IFERROR((B180/B176-1)*100,"")</f>
        <v>3.0938023874072</v>
      </c>
      <c r="E180" s="14"/>
      <c r="F180" s="14"/>
      <c r="G180" s="14"/>
    </row>
    <row r="181" customFormat="false" ht="15" hidden="false" customHeight="false" outlineLevel="0" collapsed="false">
      <c r="A181" s="16" t="n">
        <v>45200</v>
      </c>
      <c r="B181" s="17" t="n">
        <v>145.156311108042</v>
      </c>
      <c r="C181" s="18" t="n">
        <f aca="false">IFERROR((B181/B180-1)*100,"")</f>
        <v>-0.255731311763197</v>
      </c>
      <c r="D181" s="18" t="n">
        <f aca="false">IFERROR((B181/B177-1)*100,"")</f>
        <v>2.12516583056956</v>
      </c>
      <c r="E181" s="19"/>
      <c r="F181" s="19"/>
      <c r="G181" s="19"/>
    </row>
    <row r="182" customFormat="false" ht="15" hidden="false" customHeight="false" outlineLevel="0" collapsed="false">
      <c r="A182" s="12" t="n">
        <v>45292</v>
      </c>
      <c r="B182" s="13" t="n">
        <v>145.831138254046</v>
      </c>
      <c r="C182" s="21" t="n">
        <f aca="false">IFERROR((B182/B181-1)*100,"")</f>
        <v>0.464896869348674</v>
      </c>
      <c r="D182" s="21" t="n">
        <f aca="false">IFERROR((B182/B178-1)*100,"")</f>
        <v>1.56969183563358</v>
      </c>
      <c r="E182" s="14"/>
      <c r="F182" s="14"/>
      <c r="G182" s="14"/>
    </row>
    <row r="183" customFormat="false" ht="15" hidden="false" customHeight="false" outlineLevel="0" collapsed="false">
      <c r="A183" s="16" t="n">
        <v>45383</v>
      </c>
      <c r="B183" s="17" t="n">
        <v>147.32569132686</v>
      </c>
      <c r="C183" s="18" t="n">
        <f aca="false">IFERROR((B183/B182-1)*100,"")</f>
        <v>1.02485181882823</v>
      </c>
      <c r="D183" s="18" t="n">
        <f aca="false">IFERROR((B183/B179-1)*100,"")</f>
        <v>2.98359745218566</v>
      </c>
      <c r="E183" s="19"/>
      <c r="F183" s="19"/>
      <c r="G183" s="19"/>
    </row>
    <row r="184" customFormat="false" ht="15" hidden="false" customHeight="false" outlineLevel="0" collapsed="false">
      <c r="A184" s="12" t="n">
        <v>45474</v>
      </c>
      <c r="B184" s="13" t="n">
        <v>147.922119372808</v>
      </c>
      <c r="C184" s="21" t="n">
        <f aca="false">IFERROR((B184/B183-1)*100,"")</f>
        <v>0.404836414189669</v>
      </c>
      <c r="D184" s="21" t="n">
        <f aca="false">IFERROR((B184/B180-1)*100,"")</f>
        <v>1.64479592398055</v>
      </c>
      <c r="E184" s="14"/>
      <c r="F184" s="14"/>
      <c r="G184" s="14"/>
    </row>
    <row r="185" customFormat="false" ht="15" hidden="false" customHeight="false" outlineLevel="0" collapsed="false">
      <c r="A185" s="16" t="n">
        <v>45566</v>
      </c>
      <c r="B185" s="17" t="n">
        <v>148.18989478004</v>
      </c>
      <c r="C185" s="18" t="n">
        <f aca="false">IFERROR((B185/B184-1)*100,"")</f>
        <v>0.181024588051981</v>
      </c>
      <c r="D185" s="18" t="n">
        <f aca="false">IFERROR((B185/B181-1)*100,"")</f>
        <v>2.08987377044878</v>
      </c>
      <c r="E185" s="19"/>
      <c r="F185" s="19"/>
      <c r="G185" s="19"/>
    </row>
    <row r="186" customFormat="false" ht="15" hidden="false" customHeight="false" outlineLevel="0" collapsed="false">
      <c r="A186" s="12" t="n">
        <v>45658</v>
      </c>
      <c r="B186" s="13" t="n">
        <v>149.039280282361</v>
      </c>
      <c r="C186" s="21" t="n">
        <f aca="false">IFERROR((B186/B185-1)*100,"")</f>
        <v>0.573173699584006</v>
      </c>
      <c r="D186" s="21" t="n">
        <f aca="false">IFERROR((B186/B182-1)*100,"")</f>
        <v>2.19990193227893</v>
      </c>
      <c r="E186" s="14"/>
      <c r="F186" s="14"/>
      <c r="G186" s="14"/>
    </row>
    <row r="187" customFormat="false" ht="15" hidden="false" customHeight="false" outlineLevel="0" collapsed="false">
      <c r="A187" s="16" t="n">
        <v>45748</v>
      </c>
      <c r="B187" s="17" t="n">
        <v>150.679641496581</v>
      </c>
      <c r="C187" s="18" t="n">
        <f aca="false">IFERROR((B187/B186-1)*100,"")</f>
        <v>1.10062341358101</v>
      </c>
      <c r="D187" s="18" t="n">
        <f aca="false">IFERROR((B187/B183-1)*100,"")</f>
        <v>2.2765548489976</v>
      </c>
      <c r="E187" s="19"/>
      <c r="F187" s="19"/>
      <c r="G187" s="19"/>
    </row>
    <row r="188" customFormat="false" ht="15" hidden="false" customHeight="false" outlineLevel="0" collapsed="false">
      <c r="A188" s="12" t="n">
        <v>45839</v>
      </c>
      <c r="B188" s="13" t="n">
        <v>151.275834757409</v>
      </c>
      <c r="C188" s="21" t="n">
        <f aca="false">IFERROR((B188/B187-1)*100,"")</f>
        <v>0.395669418181766</v>
      </c>
      <c r="D188" s="21" t="n">
        <f aca="false">IFERROR((B188/B184-1)*100,"")</f>
        <v>2.26721696445453</v>
      </c>
      <c r="E188" s="14"/>
      <c r="F188" s="14"/>
      <c r="G188" s="14"/>
    </row>
    <row r="189" customFormat="false" ht="15" hidden="false" customHeight="false" outlineLevel="0" collapsed="false">
      <c r="A189" s="16" t="n">
        <v>45931</v>
      </c>
      <c r="B189" s="17" t="n">
        <v>151.477299197719</v>
      </c>
      <c r="C189" s="18" t="n">
        <f aca="false">IFERROR((B189/B188-1)*100,"")</f>
        <v>0.133176882238106</v>
      </c>
      <c r="D189" s="18" t="n">
        <f aca="false">IFERROR((B189/B185-1)*100,"")</f>
        <v>2.21837286716327</v>
      </c>
      <c r="E189" s="19"/>
      <c r="F189" s="19"/>
      <c r="G189" s="19"/>
    </row>
    <row r="190" customFormat="false" ht="15" hidden="false" customHeight="false" outlineLevel="0" collapsed="false">
      <c r="A190" s="12" t="n">
        <v>46023</v>
      </c>
      <c r="B190" s="14"/>
      <c r="C190" s="21" t="n">
        <f aca="false">IFERROR((B190/B189-1)*100,"")</f>
        <v>-100</v>
      </c>
      <c r="D190" s="21" t="n">
        <f aca="false">IFERROR((B190/B186-1)*100,"")</f>
        <v>-100</v>
      </c>
      <c r="E190" s="13" t="n">
        <v>152.122076298958</v>
      </c>
      <c r="F190" s="13" t="n">
        <v>151.499924537372</v>
      </c>
      <c r="G190" s="22" t="n">
        <f aca="false">153.522498-149.477351</f>
        <v>4.04514700000001</v>
      </c>
    </row>
    <row r="191" customFormat="false" ht="15" hidden="false" customHeight="false" outlineLevel="0" collapsed="false">
      <c r="A191" s="16" t="n">
        <v>46113</v>
      </c>
      <c r="B191" s="19"/>
      <c r="C191" s="18" t="str">
        <f aca="false">IFERROR((B191/B190-1)*100,"")</f>
        <v/>
      </c>
      <c r="D191" s="18" t="n">
        <f aca="false">IFERROR((B191/B187-1)*100,"")</f>
        <v>-100</v>
      </c>
      <c r="E191" s="17" t="n">
        <v>152.885356764113</v>
      </c>
      <c r="F191" s="17" t="n">
        <v>152.261165713795</v>
      </c>
      <c r="G191" s="23" t="n">
        <f aca="false">155.121516-149.400815</f>
        <v>5.72070100000002</v>
      </c>
    </row>
    <row r="192" customFormat="false" ht="15" hidden="false" customHeight="false" outlineLevel="0" collapsed="false">
      <c r="A192" s="12" t="n">
        <v>46204</v>
      </c>
      <c r="B192" s="14"/>
      <c r="C192" s="21" t="str">
        <f aca="false">IFERROR((B192/B191-1)*100,"")</f>
        <v/>
      </c>
      <c r="D192" s="21" t="n">
        <f aca="false">IFERROR((B192/B188-1)*100,"")</f>
        <v>-100</v>
      </c>
      <c r="E192" s="13" t="n">
        <v>153.652467028878</v>
      </c>
      <c r="F192" s="13" t="n">
        <v>152.799423037259</v>
      </c>
      <c r="G192" s="22" t="n">
        <f aca="false">156.302623-149.296223</f>
        <v>7.00640000000001</v>
      </c>
    </row>
    <row r="193" customFormat="false" ht="15" hidden="false" customHeight="false" outlineLevel="0" collapsed="false">
      <c r="A193" s="16" t="n">
        <v>46296</v>
      </c>
      <c r="B193" s="19"/>
      <c r="C193" s="18" t="str">
        <f aca="false">IFERROR((B193/B192-1)*100,"")</f>
        <v/>
      </c>
      <c r="D193" s="18" t="n">
        <f aca="false">IFERROR((B193/B189-1)*100,"")</f>
        <v>-100</v>
      </c>
      <c r="E193" s="17" t="n">
        <v>154.423426309473</v>
      </c>
      <c r="F193" s="17" t="n">
        <v>153.258328985147</v>
      </c>
      <c r="G193" s="23" t="n">
        <f aca="false">157.303476-149.213182</f>
        <v>8.090294</v>
      </c>
    </row>
    <row r="194" customFormat="false" ht="15" hidden="false" customHeight="false" outlineLevel="0" collapsed="false">
      <c r="A194" s="12" t="n">
        <v>46388</v>
      </c>
      <c r="B194" s="14"/>
      <c r="C194" s="21" t="str">
        <f aca="false">IFERROR((B194/B193-1)*100,"")</f>
        <v/>
      </c>
      <c r="D194" s="21" t="str">
        <f aca="false">IFERROR((B194/B190-1)*100,"")</f>
        <v/>
      </c>
      <c r="E194" s="13" t="n">
        <v>155.198253918535</v>
      </c>
      <c r="F194" s="13" t="n">
        <v>153.20996448134</v>
      </c>
      <c r="G194" s="22" t="n">
        <f aca="false">157.732576-148.687353</f>
        <v>9.04522299999999</v>
      </c>
    </row>
    <row r="195" customFormat="false" ht="15" hidden="false" customHeight="false" outlineLevel="0" collapsed="false">
      <c r="A195" s="16" t="n">
        <v>46478</v>
      </c>
      <c r="B195" s="19"/>
      <c r="C195" s="18" t="str">
        <f aca="false">IFERROR((B195/B194-1)*100,"")</f>
        <v/>
      </c>
      <c r="D195" s="18" t="str">
        <f aca="false">IFERROR((B195/B191-1)*100,"")</f>
        <v/>
      </c>
      <c r="E195" s="17" t="n">
        <v>155.976969265605</v>
      </c>
      <c r="F195" s="17" t="n">
        <v>153.885703660565</v>
      </c>
      <c r="G195" s="23" t="n">
        <f aca="false">158.839976-148.931431</f>
        <v>9.908545</v>
      </c>
    </row>
    <row r="196" customFormat="false" ht="15" hidden="false" customHeight="false" outlineLevel="0" collapsed="false">
      <c r="A196" s="12" t="n">
        <v>46569</v>
      </c>
      <c r="B196" s="14"/>
      <c r="C196" s="21" t="str">
        <f aca="false">IFERROR((B196/B195-1)*100,"")</f>
        <v/>
      </c>
      <c r="D196" s="21" t="str">
        <f aca="false">IFERROR((B196/B192-1)*100,"")</f>
        <v/>
      </c>
      <c r="E196" s="13" t="n">
        <v>156.759591857611</v>
      </c>
      <c r="F196" s="13" t="n">
        <v>154.34273408669</v>
      </c>
      <c r="G196" s="22" t="n">
        <f aca="false">159.69396-148.991508</f>
        <v>10.702452</v>
      </c>
    </row>
    <row r="197" customFormat="false" ht="15" hidden="false" customHeight="false" outlineLevel="0" collapsed="false">
      <c r="A197" s="16" t="n">
        <v>46661</v>
      </c>
      <c r="B197" s="19"/>
      <c r="C197" s="18" t="str">
        <f aca="false">IFERROR((B197/B196-1)*100,"")</f>
        <v/>
      </c>
      <c r="D197" s="18" t="str">
        <f aca="false">IFERROR((B197/B193-1)*100,"")</f>
        <v/>
      </c>
      <c r="E197" s="17" t="n">
        <v>157.54614129936</v>
      </c>
      <c r="F197" s="17" t="n">
        <v>154.724474482106</v>
      </c>
      <c r="G197" s="23" t="n">
        <f aca="false">160.445176-149.003773</f>
        <v>11.441403</v>
      </c>
    </row>
    <row r="200" customFormat="false" ht="21.75" hidden="false" customHeight="true" outlineLevel="0" collapsed="false">
      <c r="A200" s="9" t="s">
        <v>143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customFormat="false" ht="15" hidden="false" customHeight="false" outlineLevel="0" collapsed="false">
      <c r="A201" s="5" t="s">
        <v>113</v>
      </c>
      <c r="B201" s="10" t="s">
        <v>114</v>
      </c>
      <c r="D201" s="5" t="s">
        <v>115</v>
      </c>
      <c r="E201" s="2" t="s">
        <v>144</v>
      </c>
      <c r="H201" s="5" t="s">
        <v>117</v>
      </c>
      <c r="I201" s="2" t="s">
        <v>118</v>
      </c>
    </row>
    <row r="202" customFormat="false" ht="18" hidden="false" customHeight="true" outlineLevel="0" collapsed="false">
      <c r="A202" s="11" t="s">
        <v>119</v>
      </c>
      <c r="B202" s="11"/>
      <c r="C202" s="11"/>
      <c r="D202" s="11"/>
      <c r="E202" s="11"/>
      <c r="F202" s="11"/>
      <c r="G202" s="11"/>
      <c r="I202" s="11" t="s">
        <v>120</v>
      </c>
      <c r="J202" s="11"/>
      <c r="K202" s="11"/>
      <c r="L202" s="11"/>
    </row>
    <row r="203" customFormat="false" ht="15" hidden="false" customHeight="false" outlineLevel="0" collapsed="false">
      <c r="A203" s="6" t="s">
        <v>121</v>
      </c>
      <c r="B203" s="6" t="s">
        <v>122</v>
      </c>
      <c r="C203" s="6" t="s">
        <v>123</v>
      </c>
      <c r="D203" s="6" t="s">
        <v>124</v>
      </c>
      <c r="E203" s="6" t="s">
        <v>125</v>
      </c>
      <c r="F203" s="6" t="s">
        <v>126</v>
      </c>
      <c r="G203" s="6" t="s">
        <v>127</v>
      </c>
      <c r="I203" s="6" t="s">
        <v>128</v>
      </c>
      <c r="J203" s="6" t="s">
        <v>122</v>
      </c>
      <c r="K203" s="6" t="s">
        <v>124</v>
      </c>
      <c r="L203" s="6" t="s">
        <v>129</v>
      </c>
    </row>
    <row r="204" customFormat="false" ht="15" hidden="false" customHeight="false" outlineLevel="0" collapsed="false">
      <c r="A204" s="12" t="n">
        <v>38353</v>
      </c>
      <c r="B204" s="13" t="n">
        <v>100.36525455519</v>
      </c>
      <c r="C204" s="14"/>
      <c r="D204" s="14"/>
      <c r="E204" s="14"/>
      <c r="F204" s="14"/>
      <c r="G204" s="14"/>
      <c r="I204" s="15" t="n">
        <v>2005</v>
      </c>
      <c r="J204" s="13" t="n">
        <v>101.551525511566</v>
      </c>
      <c r="K204" s="14"/>
      <c r="L204" s="14"/>
    </row>
    <row r="205" customFormat="false" ht="15" hidden="false" customHeight="false" outlineLevel="0" collapsed="false">
      <c r="A205" s="16" t="n">
        <v>38443</v>
      </c>
      <c r="B205" s="17" t="n">
        <v>100.808500089731</v>
      </c>
      <c r="C205" s="18" t="n">
        <f aca="false">IFERROR((B205/B204-1)*100,"")</f>
        <v>0.44163245189377</v>
      </c>
      <c r="D205" s="19"/>
      <c r="E205" s="19"/>
      <c r="F205" s="19"/>
      <c r="G205" s="19"/>
      <c r="I205" s="20" t="n">
        <v>2006</v>
      </c>
      <c r="J205" s="17" t="n">
        <v>104.206450834331</v>
      </c>
      <c r="K205" s="18" t="n">
        <f aca="false">IFERROR((J205/J204-1)*100,"")</f>
        <v>2.61436281669882</v>
      </c>
      <c r="L205" s="19"/>
    </row>
    <row r="206" customFormat="false" ht="15" hidden="false" customHeight="false" outlineLevel="0" collapsed="false">
      <c r="A206" s="12" t="n">
        <v>38534</v>
      </c>
      <c r="B206" s="13" t="n">
        <v>101.031226089628</v>
      </c>
      <c r="C206" s="21" t="n">
        <f aca="false">IFERROR((B206/B205-1)*100,"")</f>
        <v>0.220939702206424</v>
      </c>
      <c r="D206" s="14"/>
      <c r="E206" s="14"/>
      <c r="F206" s="14"/>
      <c r="G206" s="14"/>
      <c r="I206" s="15" t="n">
        <v>2007</v>
      </c>
      <c r="J206" s="13" t="n">
        <v>106.121527757563</v>
      </c>
      <c r="K206" s="21" t="n">
        <f aca="false">IFERROR((J206/J205-1)*100,"")</f>
        <v>1.83777194972008</v>
      </c>
      <c r="L206" s="14"/>
    </row>
    <row r="207" customFormat="false" ht="15" hidden="false" customHeight="false" outlineLevel="0" collapsed="false">
      <c r="A207" s="16" t="n">
        <v>38626</v>
      </c>
      <c r="B207" s="17" t="n">
        <v>101.551525511566</v>
      </c>
      <c r="C207" s="18" t="n">
        <f aca="false">IFERROR((B207/B206-1)*100,"")</f>
        <v>0.514988723859311</v>
      </c>
      <c r="D207" s="19"/>
      <c r="E207" s="19"/>
      <c r="F207" s="19"/>
      <c r="G207" s="19"/>
      <c r="I207" s="20" t="n">
        <v>2008</v>
      </c>
      <c r="J207" s="17" t="n">
        <v>107.7830566725</v>
      </c>
      <c r="K207" s="18" t="n">
        <f aca="false">IFERROR((J207/J206-1)*100,"")</f>
        <v>1.56568506885095</v>
      </c>
      <c r="L207" s="19"/>
    </row>
    <row r="208" customFormat="false" ht="15" hidden="false" customHeight="false" outlineLevel="0" collapsed="false">
      <c r="A208" s="12" t="n">
        <v>38718</v>
      </c>
      <c r="B208" s="13" t="n">
        <v>101.950011240918</v>
      </c>
      <c r="C208" s="21" t="n">
        <f aca="false">IFERROR((B208/B207-1)*100,"")</f>
        <v>0.392397580779447</v>
      </c>
      <c r="D208" s="21" t="n">
        <f aca="false">IFERROR((B208/B204-1)*100,"")</f>
        <v>1.57898935518315</v>
      </c>
      <c r="E208" s="14"/>
      <c r="F208" s="14"/>
      <c r="G208" s="14"/>
      <c r="I208" s="15" t="n">
        <v>2009</v>
      </c>
      <c r="J208" s="13" t="n">
        <v>110.246141724158</v>
      </c>
      <c r="K208" s="21" t="n">
        <f aca="false">IFERROR((J208/J207-1)*100,"")</f>
        <v>2.28522471685146</v>
      </c>
      <c r="L208" s="14"/>
    </row>
    <row r="209" customFormat="false" ht="15" hidden="false" customHeight="false" outlineLevel="0" collapsed="false">
      <c r="A209" s="16" t="n">
        <v>38808</v>
      </c>
      <c r="B209" s="17" t="n">
        <v>102.175878513164</v>
      </c>
      <c r="C209" s="18" t="n">
        <f aca="false">IFERROR((B209/B208-1)*100,"")</f>
        <v>0.221547079295026</v>
      </c>
      <c r="D209" s="18" t="n">
        <f aca="false">IFERROR((B209/B205-1)*100,"")</f>
        <v>1.35641183254931</v>
      </c>
      <c r="E209" s="19"/>
      <c r="F209" s="19"/>
      <c r="G209" s="19"/>
      <c r="I209" s="20" t="n">
        <v>2010</v>
      </c>
      <c r="J209" s="17" t="n">
        <v>113.084333219979</v>
      </c>
      <c r="K209" s="18" t="n">
        <f aca="false">IFERROR((J209/J208-1)*100,"")</f>
        <v>2.57441344561737</v>
      </c>
      <c r="L209" s="19"/>
    </row>
    <row r="210" customFormat="false" ht="15" hidden="false" customHeight="false" outlineLevel="0" collapsed="false">
      <c r="A210" s="12" t="n">
        <v>38899</v>
      </c>
      <c r="B210" s="13" t="n">
        <v>102.609989924144</v>
      </c>
      <c r="C210" s="21" t="n">
        <f aca="false">IFERROR((B210/B209-1)*100,"")</f>
        <v>0.424866825025427</v>
      </c>
      <c r="D210" s="21" t="n">
        <f aca="false">IFERROR((B210/B206-1)*100,"")</f>
        <v>1.5626493863548</v>
      </c>
      <c r="E210" s="14"/>
      <c r="F210" s="14"/>
      <c r="G210" s="14"/>
      <c r="I210" s="15" t="n">
        <v>2011</v>
      </c>
      <c r="J210" s="13" t="n">
        <v>114.189859982065</v>
      </c>
      <c r="K210" s="21" t="n">
        <f aca="false">IFERROR((J210/J209-1)*100,"")</f>
        <v>0.977612663581939</v>
      </c>
      <c r="L210" s="14"/>
    </row>
    <row r="211" customFormat="false" ht="15" hidden="false" customHeight="false" outlineLevel="0" collapsed="false">
      <c r="A211" s="16" t="n">
        <v>38991</v>
      </c>
      <c r="B211" s="17" t="n">
        <v>104.206450834331</v>
      </c>
      <c r="C211" s="18" t="n">
        <f aca="false">IFERROR((B211/B210-1)*100,"")</f>
        <v>1.55585329592871</v>
      </c>
      <c r="D211" s="18" t="n">
        <f aca="false">IFERROR((B211/B207-1)*100,"")</f>
        <v>2.61436281669882</v>
      </c>
      <c r="E211" s="19"/>
      <c r="F211" s="19"/>
      <c r="G211" s="19"/>
      <c r="I211" s="20" t="n">
        <v>2012</v>
      </c>
      <c r="J211" s="17" t="n">
        <v>117.283793836661</v>
      </c>
      <c r="K211" s="18" t="n">
        <f aca="false">IFERROR((J211/J210-1)*100,"")</f>
        <v>2.70946461890893</v>
      </c>
      <c r="L211" s="19"/>
    </row>
    <row r="212" customFormat="false" ht="15" hidden="false" customHeight="false" outlineLevel="0" collapsed="false">
      <c r="A212" s="12" t="n">
        <v>39083</v>
      </c>
      <c r="B212" s="13" t="n">
        <v>104.526442451122</v>
      </c>
      <c r="C212" s="21" t="n">
        <f aca="false">IFERROR((B212/B211-1)*100,"")</f>
        <v>0.307074671701302</v>
      </c>
      <c r="D212" s="21" t="n">
        <f aca="false">IFERROR((B212/B208-1)*100,"")</f>
        <v>2.52715147241676</v>
      </c>
      <c r="E212" s="14"/>
      <c r="F212" s="14"/>
      <c r="G212" s="14"/>
      <c r="I212" s="15" t="n">
        <v>2013</v>
      </c>
      <c r="J212" s="13" t="n">
        <v>119.170268128797</v>
      </c>
      <c r="K212" s="21" t="n">
        <f aca="false">IFERROR((J212/J211-1)*100,"")</f>
        <v>1.60846970448796</v>
      </c>
      <c r="L212" s="14"/>
    </row>
    <row r="213" customFormat="false" ht="15" hidden="false" customHeight="false" outlineLevel="0" collapsed="false">
      <c r="A213" s="16" t="n">
        <v>39173</v>
      </c>
      <c r="B213" s="17" t="n">
        <v>104.481994814557</v>
      </c>
      <c r="C213" s="18" t="n">
        <f aca="false">IFERROR((B213/B212-1)*100,"")</f>
        <v>-0.0425228636155794</v>
      </c>
      <c r="D213" s="18" t="n">
        <f aca="false">IFERROR((B213/B209-1)*100,"")</f>
        <v>2.25700658017429</v>
      </c>
      <c r="E213" s="19"/>
      <c r="F213" s="19"/>
      <c r="G213" s="19"/>
      <c r="I213" s="20" t="n">
        <v>2014</v>
      </c>
      <c r="J213" s="17" t="n">
        <v>121.087158375202</v>
      </c>
      <c r="K213" s="18" t="n">
        <f aca="false">IFERROR((J213/J212-1)*100,"")</f>
        <v>1.60853061464328</v>
      </c>
      <c r="L213" s="19"/>
    </row>
    <row r="214" customFormat="false" ht="15" hidden="false" customHeight="false" outlineLevel="0" collapsed="false">
      <c r="A214" s="12" t="n">
        <v>39264</v>
      </c>
      <c r="B214" s="13" t="n">
        <v>104.16859573608</v>
      </c>
      <c r="C214" s="21" t="n">
        <f aca="false">IFERROR((B214/B213-1)*100,"")</f>
        <v>-0.299955106171868</v>
      </c>
      <c r="D214" s="21" t="n">
        <f aca="false">IFERROR((B214/B210-1)*100,"")</f>
        <v>1.51896108077587</v>
      </c>
      <c r="E214" s="14"/>
      <c r="F214" s="14"/>
      <c r="G214" s="14"/>
      <c r="I214" s="15" t="n">
        <v>2015</v>
      </c>
      <c r="J214" s="13" t="n">
        <v>124.032053232118</v>
      </c>
      <c r="K214" s="21" t="n">
        <f aca="false">IFERROR((J214/J213-1)*100,"")</f>
        <v>2.43204555828409</v>
      </c>
      <c r="L214" s="14"/>
    </row>
    <row r="215" customFormat="false" ht="15" hidden="false" customHeight="false" outlineLevel="0" collapsed="false">
      <c r="A215" s="16" t="n">
        <v>39356</v>
      </c>
      <c r="B215" s="17" t="n">
        <v>106.121527757563</v>
      </c>
      <c r="C215" s="18" t="n">
        <f aca="false">IFERROR((B215/B214-1)*100,"")</f>
        <v>1.87478002144832</v>
      </c>
      <c r="D215" s="18" t="n">
        <f aca="false">IFERROR((B215/B211-1)*100,"")</f>
        <v>1.83777194972008</v>
      </c>
      <c r="E215" s="19"/>
      <c r="F215" s="19"/>
      <c r="G215" s="19"/>
      <c r="I215" s="20" t="n">
        <v>2016</v>
      </c>
      <c r="J215" s="17" t="n">
        <v>127.390310877242</v>
      </c>
      <c r="K215" s="18" t="n">
        <f aca="false">IFERROR((J215/J214-1)*100,"")</f>
        <v>2.70757240375497</v>
      </c>
      <c r="L215" s="19"/>
    </row>
    <row r="216" customFormat="false" ht="15" hidden="false" customHeight="false" outlineLevel="0" collapsed="false">
      <c r="A216" s="12" t="n">
        <v>39448</v>
      </c>
      <c r="B216" s="13" t="n">
        <v>106.10510826261</v>
      </c>
      <c r="C216" s="21" t="n">
        <f aca="false">IFERROR((B216/B215-1)*100,"")</f>
        <v>-0.0154723507103105</v>
      </c>
      <c r="D216" s="21" t="n">
        <f aca="false">IFERROR((B216/B212-1)*100,"")</f>
        <v>1.51030282335065</v>
      </c>
      <c r="E216" s="14"/>
      <c r="F216" s="14"/>
      <c r="G216" s="14"/>
      <c r="I216" s="15" t="n">
        <v>2017</v>
      </c>
      <c r="J216" s="13" t="n">
        <v>128.617499412535</v>
      </c>
      <c r="K216" s="21" t="n">
        <f aca="false">IFERROR((J216/J215-1)*100,"")</f>
        <v>0.963329571019145</v>
      </c>
      <c r="L216" s="14"/>
    </row>
    <row r="217" customFormat="false" ht="15" hidden="false" customHeight="false" outlineLevel="0" collapsed="false">
      <c r="A217" s="16" t="n">
        <v>39539</v>
      </c>
      <c r="B217" s="17" t="n">
        <v>106.705876563654</v>
      </c>
      <c r="C217" s="18" t="n">
        <f aca="false">IFERROR((B217/B216-1)*100,"")</f>
        <v>0.566201110277742</v>
      </c>
      <c r="D217" s="18" t="n">
        <f aca="false">IFERROR((B217/B213-1)*100,"")</f>
        <v>2.12848324062385</v>
      </c>
      <c r="E217" s="19"/>
      <c r="F217" s="19"/>
      <c r="G217" s="19"/>
      <c r="I217" s="20" t="n">
        <v>2018</v>
      </c>
      <c r="J217" s="17" t="n">
        <v>132.374477141835</v>
      </c>
      <c r="K217" s="18" t="n">
        <f aca="false">IFERROR((J217/J216-1)*100,"")</f>
        <v>2.92104709425958</v>
      </c>
      <c r="L217" s="19"/>
    </row>
    <row r="218" customFormat="false" ht="15" hidden="false" customHeight="false" outlineLevel="0" collapsed="false">
      <c r="A218" s="12" t="n">
        <v>39630</v>
      </c>
      <c r="B218" s="13" t="n">
        <v>107.697817798863</v>
      </c>
      <c r="C218" s="21" t="n">
        <f aca="false">IFERROR((B218/B217-1)*100,"")</f>
        <v>0.929603192582906</v>
      </c>
      <c r="D218" s="21" t="n">
        <f aca="false">IFERROR((B218/B214-1)*100,"")</f>
        <v>3.38799043785198</v>
      </c>
      <c r="E218" s="14"/>
      <c r="F218" s="14"/>
      <c r="G218" s="14"/>
      <c r="I218" s="15" t="n">
        <v>2019</v>
      </c>
      <c r="J218" s="13" t="n">
        <v>133.974508030483</v>
      </c>
      <c r="K218" s="21" t="n">
        <f aca="false">IFERROR((J218/J217-1)*100,"")</f>
        <v>1.20871554939834</v>
      </c>
      <c r="L218" s="14"/>
    </row>
    <row r="219" customFormat="false" ht="15" hidden="false" customHeight="false" outlineLevel="0" collapsed="false">
      <c r="A219" s="16" t="n">
        <v>39722</v>
      </c>
      <c r="B219" s="17" t="n">
        <v>107.7830566725</v>
      </c>
      <c r="C219" s="18" t="n">
        <f aca="false">IFERROR((B219/B218-1)*100,"")</f>
        <v>0.0791463331189179</v>
      </c>
      <c r="D219" s="18" t="n">
        <f aca="false">IFERROR((B219/B215-1)*100,"")</f>
        <v>1.56568506885095</v>
      </c>
      <c r="E219" s="19"/>
      <c r="F219" s="19"/>
      <c r="G219" s="19"/>
      <c r="I219" s="20" t="n">
        <v>2020</v>
      </c>
      <c r="J219" s="17" t="n">
        <v>137.339861391812</v>
      </c>
      <c r="K219" s="18" t="n">
        <f aca="false">IFERROR((J219/J218-1)*100,"")</f>
        <v>2.51193559939305</v>
      </c>
      <c r="L219" s="19"/>
    </row>
    <row r="220" customFormat="false" ht="15" hidden="false" customHeight="false" outlineLevel="0" collapsed="false">
      <c r="A220" s="12" t="n">
        <v>39814</v>
      </c>
      <c r="B220" s="13" t="n">
        <v>107.917179250035</v>
      </c>
      <c r="C220" s="21" t="n">
        <f aca="false">IFERROR((B220/B219-1)*100,"")</f>
        <v>0.124437533759991</v>
      </c>
      <c r="D220" s="21" t="n">
        <f aca="false">IFERROR((B220/B216-1)*100,"")</f>
        <v>1.7078074911719</v>
      </c>
      <c r="E220" s="14"/>
      <c r="F220" s="14"/>
      <c r="G220" s="14"/>
      <c r="I220" s="15" t="n">
        <v>2021</v>
      </c>
      <c r="J220" s="13" t="n">
        <v>139.35809892142</v>
      </c>
      <c r="K220" s="21" t="n">
        <f aca="false">IFERROR((J220/J219-1)*100,"")</f>
        <v>1.46952058139198</v>
      </c>
      <c r="L220" s="14"/>
    </row>
    <row r="221" customFormat="false" ht="15" hidden="false" customHeight="false" outlineLevel="0" collapsed="false">
      <c r="A221" s="16" t="n">
        <v>39904</v>
      </c>
      <c r="B221" s="17" t="n">
        <v>109.386471141746</v>
      </c>
      <c r="C221" s="18" t="n">
        <f aca="false">IFERROR((B221/B220-1)*100,"")</f>
        <v>1.3614995331807</v>
      </c>
      <c r="D221" s="18" t="n">
        <f aca="false">IFERROR((B221/B217-1)*100,"")</f>
        <v>2.51213397463872</v>
      </c>
      <c r="E221" s="19"/>
      <c r="F221" s="19"/>
      <c r="G221" s="19"/>
      <c r="I221" s="20" t="n">
        <v>2022</v>
      </c>
      <c r="J221" s="17" t="n">
        <v>141.941305906116</v>
      </c>
      <c r="K221" s="18" t="n">
        <f aca="false">IFERROR((J221/J220-1)*100,"")</f>
        <v>1.85364683121307</v>
      </c>
      <c r="L221" s="19"/>
    </row>
    <row r="222" customFormat="false" ht="15" hidden="false" customHeight="false" outlineLevel="0" collapsed="false">
      <c r="A222" s="12" t="n">
        <v>39995</v>
      </c>
      <c r="B222" s="13" t="n">
        <v>109.118233922672</v>
      </c>
      <c r="C222" s="21" t="n">
        <f aca="false">IFERROR((B222/B221-1)*100,"")</f>
        <v>-0.245219739035463</v>
      </c>
      <c r="D222" s="21" t="n">
        <f aca="false">IFERROR((B222/B218-1)*100,"")</f>
        <v>1.31889034786312</v>
      </c>
      <c r="E222" s="14"/>
      <c r="F222" s="14"/>
      <c r="G222" s="14"/>
      <c r="I222" s="15" t="n">
        <v>2023</v>
      </c>
      <c r="J222" s="13" t="n">
        <v>144.986780338603</v>
      </c>
      <c r="K222" s="21" t="n">
        <f aca="false">IFERROR((J222/J221-1)*100,"")</f>
        <v>2.1455871587527</v>
      </c>
      <c r="L222" s="14"/>
    </row>
    <row r="223" customFormat="false" ht="15" hidden="false" customHeight="false" outlineLevel="0" collapsed="false">
      <c r="A223" s="16" t="n">
        <v>40087</v>
      </c>
      <c r="B223" s="17" t="n">
        <v>110.246141724158</v>
      </c>
      <c r="C223" s="18" t="n">
        <f aca="false">IFERROR((B223/B222-1)*100,"")</f>
        <v>1.03365657685204</v>
      </c>
      <c r="D223" s="18" t="n">
        <f aca="false">IFERROR((B223/B219-1)*100,"")</f>
        <v>2.28522471685146</v>
      </c>
      <c r="E223" s="19"/>
      <c r="F223" s="19"/>
      <c r="G223" s="19"/>
      <c r="I223" s="20" t="n">
        <v>2024</v>
      </c>
      <c r="J223" s="17" t="n">
        <v>147.923514003735</v>
      </c>
      <c r="K223" s="18" t="n">
        <f aca="false">IFERROR((J223/J222-1)*100,"")</f>
        <v>2.02551822881618</v>
      </c>
      <c r="L223" s="19"/>
    </row>
    <row r="224" customFormat="false" ht="15" hidden="false" customHeight="false" outlineLevel="0" collapsed="false">
      <c r="A224" s="12" t="n">
        <v>40179</v>
      </c>
      <c r="B224" s="13" t="n">
        <v>110.808836548138</v>
      </c>
      <c r="C224" s="21" t="n">
        <f aca="false">IFERROR((B224/B223-1)*100,"")</f>
        <v>0.51039865448308</v>
      </c>
      <c r="D224" s="21" t="n">
        <f aca="false">IFERROR((B224/B220-1)*100,"")</f>
        <v>2.67951527106125</v>
      </c>
      <c r="E224" s="14"/>
      <c r="F224" s="14"/>
      <c r="G224" s="14"/>
      <c r="I224" s="15" t="n">
        <v>2025</v>
      </c>
      <c r="J224" s="13" t="n">
        <v>151.317371244079</v>
      </c>
      <c r="K224" s="21" t="n">
        <f aca="false">IFERROR((J224/J223-1)*100,"")</f>
        <v>2.29433248878721</v>
      </c>
      <c r="L224" s="14"/>
    </row>
    <row r="225" customFormat="false" ht="15" hidden="false" customHeight="false" outlineLevel="0" collapsed="false">
      <c r="A225" s="16" t="n">
        <v>40269</v>
      </c>
      <c r="B225" s="17" t="n">
        <v>111.13066743331</v>
      </c>
      <c r="C225" s="18" t="n">
        <f aca="false">IFERROR((B225/B224-1)*100,"")</f>
        <v>0.29043792462542</v>
      </c>
      <c r="D225" s="18" t="n">
        <f aca="false">IFERROR((B225/B221-1)*100,"")</f>
        <v>1.59452651992404</v>
      </c>
      <c r="E225" s="19"/>
      <c r="F225" s="19"/>
      <c r="G225" s="19"/>
      <c r="I225" s="20" t="n">
        <v>2026</v>
      </c>
      <c r="J225" s="19"/>
      <c r="K225" s="18" t="n">
        <f aca="false">IFERROR((J225/J224-1)*100,"")</f>
        <v>-100</v>
      </c>
      <c r="L225" s="17" t="n">
        <v>152.656710139384</v>
      </c>
    </row>
    <row r="226" customFormat="false" ht="15" hidden="false" customHeight="false" outlineLevel="0" collapsed="false">
      <c r="A226" s="12" t="n">
        <v>40360</v>
      </c>
      <c r="B226" s="13" t="n">
        <v>111.056119370664</v>
      </c>
      <c r="C226" s="21" t="n">
        <f aca="false">IFERROR((B226/B225-1)*100,"")</f>
        <v>-0.0670814495827843</v>
      </c>
      <c r="D226" s="21" t="n">
        <f aca="false">IFERROR((B226/B222-1)*100,"")</f>
        <v>1.77595015821657</v>
      </c>
      <c r="E226" s="14"/>
      <c r="F226" s="14"/>
      <c r="G226" s="14"/>
      <c r="I226" s="15" t="n">
        <v>2027</v>
      </c>
      <c r="J226" s="14"/>
      <c r="K226" s="21" t="str">
        <f aca="false">IFERROR((J226/J225-1)*100,"")</f>
        <v/>
      </c>
      <c r="L226" s="13" t="n">
        <v>154.040904637199</v>
      </c>
    </row>
    <row r="227" customFormat="false" ht="15" hidden="false" customHeight="false" outlineLevel="0" collapsed="false">
      <c r="A227" s="16" t="n">
        <v>40452</v>
      </c>
      <c r="B227" s="17" t="n">
        <v>113.084333219979</v>
      </c>
      <c r="C227" s="18" t="n">
        <f aca="false">IFERROR((B227/B226-1)*100,"")</f>
        <v>1.82629634531473</v>
      </c>
      <c r="D227" s="18" t="n">
        <f aca="false">IFERROR((B227/B223-1)*100,"")</f>
        <v>2.57441344561737</v>
      </c>
      <c r="E227" s="19"/>
      <c r="F227" s="19"/>
      <c r="G227" s="19"/>
    </row>
    <row r="228" customFormat="false" ht="15" hidden="false" customHeight="false" outlineLevel="0" collapsed="false">
      <c r="A228" s="12" t="n">
        <v>40544</v>
      </c>
      <c r="B228" s="13" t="n">
        <v>113.069689740442</v>
      </c>
      <c r="C228" s="21" t="n">
        <f aca="false">IFERROR((B228/B227-1)*100,"")</f>
        <v>-0.0129491673344417</v>
      </c>
      <c r="D228" s="21" t="n">
        <f aca="false">IFERROR((B228/B224-1)*100,"")</f>
        <v>2.04031850052107</v>
      </c>
      <c r="E228" s="14"/>
      <c r="F228" s="14"/>
      <c r="G228" s="14"/>
    </row>
    <row r="229" customFormat="false" ht="15" hidden="false" customHeight="false" outlineLevel="0" collapsed="false">
      <c r="A229" s="16" t="n">
        <v>40634</v>
      </c>
      <c r="B229" s="17" t="n">
        <v>112.783159272237</v>
      </c>
      <c r="C229" s="18" t="n">
        <f aca="false">IFERROR((B229/B228-1)*100,"")</f>
        <v>-0.253410501843554</v>
      </c>
      <c r="D229" s="18" t="n">
        <f aca="false">IFERROR((B229/B225-1)*100,"")</f>
        <v>1.48698093613022</v>
      </c>
      <c r="E229" s="19"/>
      <c r="F229" s="19"/>
      <c r="G229" s="19"/>
    </row>
    <row r="230" customFormat="false" ht="15" hidden="false" customHeight="false" outlineLevel="0" collapsed="false">
      <c r="A230" s="12" t="n">
        <v>40725</v>
      </c>
      <c r="B230" s="13" t="n">
        <v>114.227022920482</v>
      </c>
      <c r="C230" s="21" t="n">
        <f aca="false">IFERROR((B230/B229-1)*100,"")</f>
        <v>1.28021209687785</v>
      </c>
      <c r="D230" s="21" t="n">
        <f aca="false">IFERROR((B230/B226-1)*100,"")</f>
        <v>2.85522631961754</v>
      </c>
      <c r="E230" s="14"/>
      <c r="F230" s="14"/>
      <c r="G230" s="14"/>
    </row>
    <row r="231" customFormat="false" ht="15" hidden="false" customHeight="false" outlineLevel="0" collapsed="false">
      <c r="A231" s="16" t="n">
        <v>40817</v>
      </c>
      <c r="B231" s="17" t="n">
        <v>114.189859982065</v>
      </c>
      <c r="C231" s="18" t="n">
        <f aca="false">IFERROR((B231/B230-1)*100,"")</f>
        <v>-0.0325342790755134</v>
      </c>
      <c r="D231" s="18" t="n">
        <f aca="false">IFERROR((B231/B227-1)*100,"")</f>
        <v>0.977612663581939</v>
      </c>
      <c r="E231" s="19"/>
      <c r="F231" s="19"/>
      <c r="G231" s="19"/>
    </row>
    <row r="232" customFormat="false" ht="15" hidden="false" customHeight="false" outlineLevel="0" collapsed="false">
      <c r="A232" s="12" t="n">
        <v>40909</v>
      </c>
      <c r="B232" s="13" t="n">
        <v>114.139834046758</v>
      </c>
      <c r="C232" s="21" t="n">
        <f aca="false">IFERROR((B232/B231-1)*100,"")</f>
        <v>-0.0438094374712983</v>
      </c>
      <c r="D232" s="21" t="n">
        <f aca="false">IFERROR((B232/B228-1)*100,"")</f>
        <v>0.94644666379875</v>
      </c>
      <c r="E232" s="14"/>
      <c r="F232" s="14"/>
      <c r="G232" s="14"/>
    </row>
    <row r="233" customFormat="false" ht="15" hidden="false" customHeight="false" outlineLevel="0" collapsed="false">
      <c r="A233" s="16" t="n">
        <v>41000</v>
      </c>
      <c r="B233" s="17" t="n">
        <v>115.50907227935</v>
      </c>
      <c r="C233" s="18" t="n">
        <f aca="false">IFERROR((B233/B232-1)*100,"")</f>
        <v>1.19961470421623</v>
      </c>
      <c r="D233" s="18" t="n">
        <f aca="false">IFERROR((B233/B229-1)*100,"")</f>
        <v>2.41695038931589</v>
      </c>
      <c r="E233" s="19"/>
      <c r="F233" s="19"/>
      <c r="G233" s="19"/>
    </row>
    <row r="234" customFormat="false" ht="15" hidden="false" customHeight="false" outlineLevel="0" collapsed="false">
      <c r="A234" s="12" t="n">
        <v>41091</v>
      </c>
      <c r="B234" s="13" t="n">
        <v>116.081414366912</v>
      </c>
      <c r="C234" s="21" t="n">
        <f aca="false">IFERROR((B234/B233-1)*100,"")</f>
        <v>0.495495354839171</v>
      </c>
      <c r="D234" s="21" t="n">
        <f aca="false">IFERROR((B234/B230-1)*100,"")</f>
        <v>1.6234262252653</v>
      </c>
      <c r="E234" s="14"/>
      <c r="F234" s="14"/>
      <c r="G234" s="14"/>
    </row>
    <row r="235" customFormat="false" ht="15" hidden="false" customHeight="false" outlineLevel="0" collapsed="false">
      <c r="A235" s="16" t="n">
        <v>41183</v>
      </c>
      <c r="B235" s="17" t="n">
        <v>117.283793836661</v>
      </c>
      <c r="C235" s="18" t="n">
        <f aca="false">IFERROR((B235/B234-1)*100,"")</f>
        <v>1.03580704655071</v>
      </c>
      <c r="D235" s="18" t="n">
        <f aca="false">IFERROR((B235/B231-1)*100,"")</f>
        <v>2.70946461890893</v>
      </c>
      <c r="E235" s="19"/>
      <c r="F235" s="19"/>
      <c r="G235" s="19"/>
    </row>
    <row r="236" customFormat="false" ht="15" hidden="false" customHeight="false" outlineLevel="0" collapsed="false">
      <c r="A236" s="12" t="n">
        <v>41275</v>
      </c>
      <c r="B236" s="13" t="n">
        <v>117.545970756097</v>
      </c>
      <c r="C236" s="21" t="n">
        <f aca="false">IFERROR((B236/B235-1)*100,"")</f>
        <v>0.223540619603191</v>
      </c>
      <c r="D236" s="21" t="n">
        <f aca="false">IFERROR((B236/B232-1)*100,"")</f>
        <v>2.98417878191797</v>
      </c>
      <c r="E236" s="14"/>
      <c r="F236" s="14"/>
      <c r="G236" s="14"/>
    </row>
    <row r="237" customFormat="false" ht="15" hidden="false" customHeight="false" outlineLevel="0" collapsed="false">
      <c r="A237" s="16" t="n">
        <v>41365</v>
      </c>
      <c r="B237" s="17" t="n">
        <v>118.307888788704</v>
      </c>
      <c r="C237" s="18" t="n">
        <f aca="false">IFERROR((B237/B236-1)*100,"")</f>
        <v>0.648187281712986</v>
      </c>
      <c r="D237" s="18" t="n">
        <f aca="false">IFERROR((B237/B233-1)*100,"")</f>
        <v>2.42302743336484</v>
      </c>
      <c r="E237" s="19"/>
      <c r="F237" s="19"/>
      <c r="G237" s="19"/>
    </row>
    <row r="238" customFormat="false" ht="15" hidden="false" customHeight="false" outlineLevel="0" collapsed="false">
      <c r="A238" s="12" t="n">
        <v>41456</v>
      </c>
      <c r="B238" s="13" t="n">
        <v>117.686714564238</v>
      </c>
      <c r="C238" s="21" t="n">
        <f aca="false">IFERROR((B238/B237-1)*100,"")</f>
        <v>-0.525048862612543</v>
      </c>
      <c r="D238" s="21" t="n">
        <f aca="false">IFERROR((B238/B234-1)*100,"")</f>
        <v>1.38290888862866</v>
      </c>
      <c r="E238" s="14"/>
      <c r="F238" s="14"/>
      <c r="G238" s="14"/>
    </row>
    <row r="239" customFormat="false" ht="15" hidden="false" customHeight="false" outlineLevel="0" collapsed="false">
      <c r="A239" s="16" t="n">
        <v>41548</v>
      </c>
      <c r="B239" s="17" t="n">
        <v>119.170268128797</v>
      </c>
      <c r="C239" s="18" t="n">
        <f aca="false">IFERROR((B239/B238-1)*100,"")</f>
        <v>1.26059561612566</v>
      </c>
      <c r="D239" s="18" t="n">
        <f aca="false">IFERROR((B239/B235-1)*100,"")</f>
        <v>1.60846970448796</v>
      </c>
      <c r="E239" s="19"/>
      <c r="F239" s="19"/>
      <c r="G239" s="19"/>
    </row>
    <row r="240" customFormat="false" ht="15" hidden="false" customHeight="false" outlineLevel="0" collapsed="false">
      <c r="A240" s="12" t="n">
        <v>41640</v>
      </c>
      <c r="B240" s="13" t="n">
        <v>120.319648491834</v>
      </c>
      <c r="C240" s="21" t="n">
        <f aca="false">IFERROR((B240/B239-1)*100,"")</f>
        <v>0.964485841211649</v>
      </c>
      <c r="D240" s="21" t="n">
        <f aca="false">IFERROR((B240/B236-1)*100,"")</f>
        <v>2.35965360436867</v>
      </c>
      <c r="E240" s="14"/>
      <c r="F240" s="14"/>
      <c r="G240" s="14"/>
    </row>
    <row r="241" customFormat="false" ht="15" hidden="false" customHeight="false" outlineLevel="0" collapsed="false">
      <c r="A241" s="16" t="n">
        <v>41730</v>
      </c>
      <c r="B241" s="17" t="n">
        <v>119.466219818908</v>
      </c>
      <c r="C241" s="18" t="n">
        <f aca="false">IFERROR((B241/B240-1)*100,"")</f>
        <v>-0.709301168697418</v>
      </c>
      <c r="D241" s="18" t="n">
        <f aca="false">IFERROR((B241/B237-1)*100,"")</f>
        <v>0.979081819533478</v>
      </c>
      <c r="E241" s="19"/>
      <c r="F241" s="19"/>
      <c r="G241" s="19"/>
    </row>
    <row r="242" customFormat="false" ht="15" hidden="false" customHeight="false" outlineLevel="0" collapsed="false">
      <c r="A242" s="12" t="n">
        <v>41821</v>
      </c>
      <c r="B242" s="13" t="n">
        <v>121.081891531618</v>
      </c>
      <c r="C242" s="21" t="n">
        <f aca="false">IFERROR((B242/B241-1)*100,"")</f>
        <v>1.35240883586916</v>
      </c>
      <c r="D242" s="21" t="n">
        <f aca="false">IFERROR((B242/B238-1)*100,"")</f>
        <v>2.88492798864453</v>
      </c>
      <c r="E242" s="14"/>
      <c r="F242" s="14"/>
      <c r="G242" s="14"/>
    </row>
    <row r="243" customFormat="false" ht="15" hidden="false" customHeight="false" outlineLevel="0" collapsed="false">
      <c r="A243" s="16" t="n">
        <v>41913</v>
      </c>
      <c r="B243" s="17" t="n">
        <v>121.087158375202</v>
      </c>
      <c r="C243" s="18" t="n">
        <f aca="false">IFERROR((B243/B242-1)*100,"")</f>
        <v>0.00434981937991186</v>
      </c>
      <c r="D243" s="18" t="n">
        <f aca="false">IFERROR((B243/B239-1)*100,"")</f>
        <v>1.60853061464328</v>
      </c>
      <c r="E243" s="19"/>
      <c r="F243" s="19"/>
      <c r="G243" s="19"/>
    </row>
    <row r="244" customFormat="false" ht="15" hidden="false" customHeight="false" outlineLevel="0" collapsed="false">
      <c r="A244" s="12" t="n">
        <v>42005</v>
      </c>
      <c r="B244" s="13" t="n">
        <v>122.494767391248</v>
      </c>
      <c r="C244" s="21" t="n">
        <f aca="false">IFERROR((B244/B243-1)*100,"")</f>
        <v>1.16247588508493</v>
      </c>
      <c r="D244" s="21" t="n">
        <f aca="false">IFERROR((B244/B240-1)*100,"")</f>
        <v>1.80778362194263</v>
      </c>
      <c r="E244" s="14"/>
      <c r="F244" s="14"/>
      <c r="G244" s="14"/>
    </row>
    <row r="245" customFormat="false" ht="15" hidden="false" customHeight="false" outlineLevel="0" collapsed="false">
      <c r="A245" s="16" t="n">
        <v>42095</v>
      </c>
      <c r="B245" s="17" t="n">
        <v>123.484199072844</v>
      </c>
      <c r="C245" s="18" t="n">
        <f aca="false">IFERROR((B245/B244-1)*100,"")</f>
        <v>0.807733834405799</v>
      </c>
      <c r="D245" s="18" t="n">
        <f aca="false">IFERROR((B245/B241-1)*100,"")</f>
        <v>3.36327646428078</v>
      </c>
      <c r="E245" s="19"/>
      <c r="F245" s="19"/>
      <c r="G245" s="19"/>
    </row>
    <row r="246" customFormat="false" ht="15" hidden="false" customHeight="false" outlineLevel="0" collapsed="false">
      <c r="A246" s="12" t="n">
        <v>42186</v>
      </c>
      <c r="B246" s="13" t="n">
        <v>123.80526222399</v>
      </c>
      <c r="C246" s="21" t="n">
        <f aca="false">IFERROR((B246/B245-1)*100,"")</f>
        <v>0.260003428419786</v>
      </c>
      <c r="D246" s="21" t="n">
        <f aca="false">IFERROR((B246/B242-1)*100,"")</f>
        <v>2.24919734728495</v>
      </c>
      <c r="E246" s="14"/>
      <c r="F246" s="14"/>
      <c r="G246" s="14"/>
    </row>
    <row r="247" customFormat="false" ht="15" hidden="false" customHeight="false" outlineLevel="0" collapsed="false">
      <c r="A247" s="16" t="n">
        <v>42278</v>
      </c>
      <c r="B247" s="17" t="n">
        <v>124.032053232118</v>
      </c>
      <c r="C247" s="18" t="n">
        <f aca="false">IFERROR((B247/B246-1)*100,"")</f>
        <v>0.183183657991837</v>
      </c>
      <c r="D247" s="18" t="n">
        <f aca="false">IFERROR((B247/B243-1)*100,"")</f>
        <v>2.43204555828409</v>
      </c>
      <c r="E247" s="19"/>
      <c r="F247" s="19"/>
      <c r="G247" s="19"/>
    </row>
    <row r="248" customFormat="false" ht="15" hidden="false" customHeight="false" outlineLevel="0" collapsed="false">
      <c r="A248" s="12" t="n">
        <v>42370</v>
      </c>
      <c r="B248" s="13" t="n">
        <v>125.425687090152</v>
      </c>
      <c r="C248" s="21" t="n">
        <f aca="false">IFERROR((B248/B247-1)*100,"")</f>
        <v>1.12360782694292</v>
      </c>
      <c r="D248" s="21" t="n">
        <f aca="false">IFERROR((B248/B244-1)*100,"")</f>
        <v>2.39268971346585</v>
      </c>
      <c r="E248" s="14"/>
      <c r="F248" s="14"/>
      <c r="G248" s="14"/>
    </row>
    <row r="249" customFormat="false" ht="15" hidden="false" customHeight="false" outlineLevel="0" collapsed="false">
      <c r="A249" s="16" t="n">
        <v>42461</v>
      </c>
      <c r="B249" s="17" t="n">
        <v>125.410345546089</v>
      </c>
      <c r="C249" s="18" t="n">
        <f aca="false">IFERROR((B249/B248-1)*100,"")</f>
        <v>-0.0122315806430962</v>
      </c>
      <c r="D249" s="18" t="n">
        <f aca="false">IFERROR((B249/B245-1)*100,"")</f>
        <v>1.55983234106631</v>
      </c>
      <c r="E249" s="19"/>
      <c r="F249" s="19"/>
      <c r="G249" s="19"/>
    </row>
    <row r="250" customFormat="false" ht="15" hidden="false" customHeight="false" outlineLevel="0" collapsed="false">
      <c r="A250" s="12" t="n">
        <v>42552</v>
      </c>
      <c r="B250" s="13" t="n">
        <v>125.116027186194</v>
      </c>
      <c r="C250" s="21" t="n">
        <f aca="false">IFERROR((B250/B249-1)*100,"")</f>
        <v>-0.234684274740349</v>
      </c>
      <c r="D250" s="21" t="n">
        <f aca="false">IFERROR((B250/B246-1)*100,"")</f>
        <v>1.05873121922164</v>
      </c>
      <c r="E250" s="14"/>
      <c r="F250" s="14"/>
      <c r="G250" s="14"/>
    </row>
    <row r="251" customFormat="false" ht="15" hidden="false" customHeight="false" outlineLevel="0" collapsed="false">
      <c r="A251" s="16" t="n">
        <v>42644</v>
      </c>
      <c r="B251" s="17" t="n">
        <v>127.390310877242</v>
      </c>
      <c r="C251" s="18" t="n">
        <f aca="false">IFERROR((B251/B250-1)*100,"")</f>
        <v>1.81773969506134</v>
      </c>
      <c r="D251" s="18" t="n">
        <f aca="false">IFERROR((B251/B247-1)*100,"")</f>
        <v>2.70757240375497</v>
      </c>
      <c r="E251" s="19"/>
      <c r="F251" s="19"/>
      <c r="G251" s="19"/>
    </row>
    <row r="252" customFormat="false" ht="15" hidden="false" customHeight="false" outlineLevel="0" collapsed="false">
      <c r="A252" s="12" t="n">
        <v>42736</v>
      </c>
      <c r="B252" s="13" t="n">
        <v>127.249252277771</v>
      </c>
      <c r="C252" s="21" t="n">
        <f aca="false">IFERROR((B252/B251-1)*100,"")</f>
        <v>-0.110729456973258</v>
      </c>
      <c r="D252" s="21" t="n">
        <f aca="false">IFERROR((B252/B248-1)*100,"")</f>
        <v>1.45390089536266</v>
      </c>
      <c r="E252" s="14"/>
      <c r="F252" s="14"/>
      <c r="G252" s="14"/>
    </row>
    <row r="253" customFormat="false" ht="15" hidden="false" customHeight="false" outlineLevel="0" collapsed="false">
      <c r="A253" s="16" t="n">
        <v>42826</v>
      </c>
      <c r="B253" s="17" t="n">
        <v>128.23396506336</v>
      </c>
      <c r="C253" s="18" t="n">
        <f aca="false">IFERROR((B253/B252-1)*100,"")</f>
        <v>0.773845635996429</v>
      </c>
      <c r="D253" s="18" t="n">
        <f aca="false">IFERROR((B253/B249-1)*100,"")</f>
        <v>2.25150445521578</v>
      </c>
      <c r="E253" s="19"/>
      <c r="F253" s="19"/>
      <c r="G253" s="19"/>
    </row>
    <row r="254" customFormat="false" ht="15" hidden="false" customHeight="false" outlineLevel="0" collapsed="false">
      <c r="A254" s="12" t="n">
        <v>42917</v>
      </c>
      <c r="B254" s="13" t="n">
        <v>128.085158925476</v>
      </c>
      <c r="C254" s="21" t="n">
        <f aca="false">IFERROR((B254/B253-1)*100,"")</f>
        <v>-0.11604268635893</v>
      </c>
      <c r="D254" s="21" t="n">
        <f aca="false">IFERROR((B254/B250-1)*100,"")</f>
        <v>2.37310263605415</v>
      </c>
      <c r="E254" s="14"/>
      <c r="F254" s="14"/>
      <c r="G254" s="14"/>
    </row>
    <row r="255" customFormat="false" ht="15" hidden="false" customHeight="false" outlineLevel="0" collapsed="false">
      <c r="A255" s="16" t="n">
        <v>43009</v>
      </c>
      <c r="B255" s="17" t="n">
        <v>128.617499412535</v>
      </c>
      <c r="C255" s="18" t="n">
        <f aca="false">IFERROR((B255/B254-1)*100,"")</f>
        <v>0.415614495484862</v>
      </c>
      <c r="D255" s="18" t="n">
        <f aca="false">IFERROR((B255/B251-1)*100,"")</f>
        <v>0.963329571019145</v>
      </c>
      <c r="E255" s="19"/>
      <c r="F255" s="19"/>
      <c r="G255" s="19"/>
    </row>
    <row r="256" customFormat="false" ht="15" hidden="false" customHeight="false" outlineLevel="0" collapsed="false">
      <c r="A256" s="12" t="n">
        <v>43101</v>
      </c>
      <c r="B256" s="13" t="n">
        <v>130.150774587661</v>
      </c>
      <c r="C256" s="21" t="n">
        <f aca="false">IFERROR((B256/B255-1)*100,"")</f>
        <v>1.19212018747765</v>
      </c>
      <c r="D256" s="21" t="n">
        <f aca="false">IFERROR((B256/B252-1)*100,"")</f>
        <v>2.28018810166106</v>
      </c>
      <c r="E256" s="14"/>
      <c r="F256" s="14"/>
      <c r="G256" s="14"/>
    </row>
    <row r="257" customFormat="false" ht="15" hidden="false" customHeight="false" outlineLevel="0" collapsed="false">
      <c r="A257" s="16" t="n">
        <v>43191</v>
      </c>
      <c r="B257" s="17" t="n">
        <v>130.357424307739</v>
      </c>
      <c r="C257" s="18" t="n">
        <f aca="false">IFERROR((B257/B256-1)*100,"")</f>
        <v>0.15877717265389</v>
      </c>
      <c r="D257" s="18" t="n">
        <f aca="false">IFERROR((B257/B253-1)*100,"")</f>
        <v>1.65592574738604</v>
      </c>
      <c r="E257" s="19"/>
      <c r="F257" s="19"/>
      <c r="G257" s="19"/>
    </row>
    <row r="258" customFormat="false" ht="15" hidden="false" customHeight="false" outlineLevel="0" collapsed="false">
      <c r="A258" s="12" t="n">
        <v>43282</v>
      </c>
      <c r="B258" s="13" t="n">
        <v>131.473934469929</v>
      </c>
      <c r="C258" s="21" t="n">
        <f aca="false">IFERROR((B258/B257-1)*100,"")</f>
        <v>0.856499097093932</v>
      </c>
      <c r="D258" s="21" t="n">
        <f aca="false">IFERROR((B258/B254-1)*100,"")</f>
        <v>2.64572068527056</v>
      </c>
      <c r="E258" s="14"/>
      <c r="F258" s="14"/>
      <c r="G258" s="14"/>
    </row>
    <row r="259" customFormat="false" ht="15" hidden="false" customHeight="false" outlineLevel="0" collapsed="false">
      <c r="A259" s="16" t="n">
        <v>43374</v>
      </c>
      <c r="B259" s="17" t="n">
        <v>132.374477141835</v>
      </c>
      <c r="C259" s="18" t="n">
        <f aca="false">IFERROR((B259/B258-1)*100,"")</f>
        <v>0.684959095151494</v>
      </c>
      <c r="D259" s="18" t="n">
        <f aca="false">IFERROR((B259/B255-1)*100,"")</f>
        <v>2.92104709425958</v>
      </c>
      <c r="E259" s="19"/>
      <c r="F259" s="19"/>
      <c r="G259" s="19"/>
    </row>
    <row r="260" customFormat="false" ht="15" hidden="false" customHeight="false" outlineLevel="0" collapsed="false">
      <c r="A260" s="12" t="n">
        <v>43466</v>
      </c>
      <c r="B260" s="13" t="n">
        <v>132.22987191512</v>
      </c>
      <c r="C260" s="21" t="n">
        <f aca="false">IFERROR((B260/B259-1)*100,"")</f>
        <v>-0.109239507370928</v>
      </c>
      <c r="D260" s="21" t="n">
        <f aca="false">IFERROR((B260/B256-1)*100,"")</f>
        <v>1.59745290340816</v>
      </c>
      <c r="E260" s="14"/>
      <c r="F260" s="14"/>
      <c r="G260" s="14"/>
    </row>
    <row r="261" customFormat="false" ht="15" hidden="false" customHeight="false" outlineLevel="0" collapsed="false">
      <c r="A261" s="16" t="n">
        <v>43556</v>
      </c>
      <c r="B261" s="17" t="n">
        <v>133.26758055163</v>
      </c>
      <c r="C261" s="18" t="n">
        <f aca="false">IFERROR((B261/B260-1)*100,"")</f>
        <v>0.784776254775332</v>
      </c>
      <c r="D261" s="18" t="n">
        <f aca="false">IFERROR((B261/B257-1)*100,"")</f>
        <v>2.23244380544141</v>
      </c>
      <c r="E261" s="19"/>
      <c r="F261" s="19"/>
      <c r="G261" s="19"/>
    </row>
    <row r="262" customFormat="false" ht="15" hidden="false" customHeight="false" outlineLevel="0" collapsed="false">
      <c r="A262" s="12" t="n">
        <v>43647</v>
      </c>
      <c r="B262" s="13" t="n">
        <v>133.780575216333</v>
      </c>
      <c r="C262" s="21" t="n">
        <f aca="false">IFERROR((B262/B261-1)*100,"")</f>
        <v>0.384935828038357</v>
      </c>
      <c r="D262" s="21" t="n">
        <f aca="false">IFERROR((B262/B258-1)*100,"")</f>
        <v>1.75444718810867</v>
      </c>
      <c r="E262" s="14"/>
      <c r="F262" s="14"/>
      <c r="G262" s="14"/>
    </row>
    <row r="263" customFormat="false" ht="15" hidden="false" customHeight="false" outlineLevel="0" collapsed="false">
      <c r="A263" s="16" t="n">
        <v>43739</v>
      </c>
      <c r="B263" s="17" t="n">
        <v>133.974508030483</v>
      </c>
      <c r="C263" s="18" t="n">
        <f aca="false">IFERROR((B263/B262-1)*100,"")</f>
        <v>0.144963357973538</v>
      </c>
      <c r="D263" s="18" t="n">
        <f aca="false">IFERROR((B263/B259-1)*100,"")</f>
        <v>1.20871554939834</v>
      </c>
      <c r="E263" s="19"/>
      <c r="F263" s="19"/>
      <c r="G263" s="19"/>
    </row>
    <row r="264" customFormat="false" ht="15" hidden="false" customHeight="false" outlineLevel="0" collapsed="false">
      <c r="A264" s="12" t="n">
        <v>43831</v>
      </c>
      <c r="B264" s="13" t="n">
        <v>135.783369299866</v>
      </c>
      <c r="C264" s="21" t="n">
        <f aca="false">IFERROR((B264/B263-1)*100,"")</f>
        <v>1.35015332093769</v>
      </c>
      <c r="D264" s="21" t="n">
        <f aca="false">IFERROR((B264/B260-1)*100,"")</f>
        <v>2.68736355354504</v>
      </c>
      <c r="E264" s="14"/>
      <c r="F264" s="14"/>
      <c r="G264" s="14"/>
    </row>
    <row r="265" customFormat="false" ht="15" hidden="false" customHeight="false" outlineLevel="0" collapsed="false">
      <c r="A265" s="16" t="n">
        <v>43922</v>
      </c>
      <c r="B265" s="17" t="n">
        <v>135.500990366418</v>
      </c>
      <c r="C265" s="18" t="n">
        <f aca="false">IFERROR((B265/B264-1)*100,"")</f>
        <v>-0.207962827041641</v>
      </c>
      <c r="D265" s="18" t="n">
        <f aca="false">IFERROR((B265/B261-1)*100,"")</f>
        <v>1.67588381626156</v>
      </c>
      <c r="E265" s="19"/>
      <c r="F265" s="19"/>
      <c r="G265" s="19"/>
    </row>
    <row r="266" customFormat="false" ht="15" hidden="false" customHeight="false" outlineLevel="0" collapsed="false">
      <c r="A266" s="12" t="n">
        <v>44013</v>
      </c>
      <c r="B266" s="13" t="n">
        <v>135.784970035786</v>
      </c>
      <c r="C266" s="21" t="n">
        <f aca="false">IFERROR((B266/B265-1)*100,"")</f>
        <v>0.209577559986873</v>
      </c>
      <c r="D266" s="21" t="n">
        <f aca="false">IFERROR((B266/B262-1)*100,"")</f>
        <v>1.49827044487718</v>
      </c>
      <c r="E266" s="14"/>
      <c r="F266" s="14"/>
      <c r="G266" s="14"/>
    </row>
    <row r="267" customFormat="false" ht="15" hidden="false" customHeight="false" outlineLevel="0" collapsed="false">
      <c r="A267" s="16" t="n">
        <v>44105</v>
      </c>
      <c r="B267" s="17" t="n">
        <v>137.339861391812</v>
      </c>
      <c r="C267" s="18" t="n">
        <f aca="false">IFERROR((B267/B266-1)*100,"")</f>
        <v>1.14511300891145</v>
      </c>
      <c r="D267" s="18" t="n">
        <f aca="false">IFERROR((B267/B263-1)*100,"")</f>
        <v>2.51193559939305</v>
      </c>
      <c r="E267" s="19"/>
      <c r="F267" s="19"/>
      <c r="G267" s="19"/>
    </row>
    <row r="268" customFormat="false" ht="15" hidden="false" customHeight="false" outlineLevel="0" collapsed="false">
      <c r="A268" s="12" t="n">
        <v>44197</v>
      </c>
      <c r="B268" s="13" t="n">
        <v>137.655585270993</v>
      </c>
      <c r="C268" s="21" t="n">
        <f aca="false">IFERROR((B268/B267-1)*100,"")</f>
        <v>0.229885101077731</v>
      </c>
      <c r="D268" s="21" t="n">
        <f aca="false">IFERROR((B268/B264-1)*100,"")</f>
        <v>1.37882568445613</v>
      </c>
      <c r="E268" s="14"/>
      <c r="F268" s="14"/>
      <c r="G268" s="14"/>
    </row>
    <row r="269" customFormat="false" ht="15" hidden="false" customHeight="false" outlineLevel="0" collapsed="false">
      <c r="A269" s="16" t="n">
        <v>44287</v>
      </c>
      <c r="B269" s="17" t="n">
        <v>138.485737634305</v>
      </c>
      <c r="C269" s="18" t="n">
        <f aca="false">IFERROR((B269/B268-1)*100,"")</f>
        <v>0.603064787875085</v>
      </c>
      <c r="D269" s="18" t="n">
        <f aca="false">IFERROR((B269/B265-1)*100,"")</f>
        <v>2.20274941151082</v>
      </c>
      <c r="E269" s="19"/>
      <c r="F269" s="19"/>
      <c r="G269" s="19"/>
    </row>
    <row r="270" customFormat="false" ht="15" hidden="false" customHeight="false" outlineLevel="0" collapsed="false">
      <c r="A270" s="12" t="n">
        <v>44378</v>
      </c>
      <c r="B270" s="13" t="n">
        <v>139.31782888519</v>
      </c>
      <c r="C270" s="21" t="n">
        <f aca="false">IFERROR((B270/B269-1)*100,"")</f>
        <v>0.600849780705981</v>
      </c>
      <c r="D270" s="21" t="n">
        <f aca="false">IFERROR((B270/B266-1)*100,"")</f>
        <v>2.60180404979529</v>
      </c>
      <c r="E270" s="14"/>
      <c r="F270" s="14"/>
      <c r="G270" s="14"/>
    </row>
    <row r="271" customFormat="false" ht="15" hidden="false" customHeight="false" outlineLevel="0" collapsed="false">
      <c r="A271" s="16" t="n">
        <v>44470</v>
      </c>
      <c r="B271" s="17" t="n">
        <v>139.35809892142</v>
      </c>
      <c r="C271" s="18" t="n">
        <f aca="false">IFERROR((B271/B270-1)*100,"")</f>
        <v>0.0289051563263865</v>
      </c>
      <c r="D271" s="18" t="n">
        <f aca="false">IFERROR((B271/B267-1)*100,"")</f>
        <v>1.46952058139198</v>
      </c>
      <c r="E271" s="19"/>
      <c r="F271" s="19"/>
      <c r="G271" s="19"/>
    </row>
    <row r="272" customFormat="false" ht="15" hidden="false" customHeight="false" outlineLevel="0" collapsed="false">
      <c r="A272" s="12" t="n">
        <v>44562</v>
      </c>
      <c r="B272" s="13" t="n">
        <v>141.078674189925</v>
      </c>
      <c r="C272" s="21" t="n">
        <f aca="false">IFERROR((B272/B271-1)*100,"")</f>
        <v>1.23464318315305</v>
      </c>
      <c r="D272" s="21" t="n">
        <f aca="false">IFERROR((B272/B268-1)*100,"")</f>
        <v>2.48670543385037</v>
      </c>
      <c r="E272" s="14"/>
      <c r="F272" s="14"/>
      <c r="G272" s="14"/>
    </row>
    <row r="273" customFormat="false" ht="15" hidden="false" customHeight="false" outlineLevel="0" collapsed="false">
      <c r="A273" s="16" t="n">
        <v>44652</v>
      </c>
      <c r="B273" s="17" t="n">
        <v>140.321955406924</v>
      </c>
      <c r="C273" s="18" t="n">
        <f aca="false">IFERROR((B273/B272-1)*100,"")</f>
        <v>-0.536380702005879</v>
      </c>
      <c r="D273" s="18" t="n">
        <f aca="false">IFERROR((B273/B269-1)*100,"")</f>
        <v>1.32592554582618</v>
      </c>
      <c r="E273" s="19"/>
      <c r="F273" s="19"/>
      <c r="G273" s="19"/>
    </row>
    <row r="274" customFormat="false" ht="15" hidden="false" customHeight="false" outlineLevel="0" collapsed="false">
      <c r="A274" s="12" t="n">
        <v>44743</v>
      </c>
      <c r="B274" s="13" t="n">
        <v>142.251446467071</v>
      </c>
      <c r="C274" s="21" t="n">
        <f aca="false">IFERROR((B274/B273-1)*100,"")</f>
        <v>1.37504573290146</v>
      </c>
      <c r="D274" s="21" t="n">
        <f aca="false">IFERROR((B274/B270-1)*100,"")</f>
        <v>2.10570147794842</v>
      </c>
      <c r="E274" s="14"/>
      <c r="F274" s="14"/>
      <c r="G274" s="14"/>
    </row>
    <row r="275" customFormat="false" ht="15" hidden="false" customHeight="false" outlineLevel="0" collapsed="false">
      <c r="A275" s="16" t="n">
        <v>44835</v>
      </c>
      <c r="B275" s="17" t="n">
        <v>141.941305906116</v>
      </c>
      <c r="C275" s="18" t="n">
        <f aca="false">IFERROR((B275/B274-1)*100,"")</f>
        <v>-0.218022781952798</v>
      </c>
      <c r="D275" s="18" t="n">
        <f aca="false">IFERROR((B275/B271-1)*100,"")</f>
        <v>1.85364683121307</v>
      </c>
      <c r="E275" s="19"/>
      <c r="F275" s="19"/>
      <c r="G275" s="19"/>
    </row>
    <row r="276" customFormat="false" ht="15" hidden="false" customHeight="false" outlineLevel="0" collapsed="false">
      <c r="A276" s="12" t="n">
        <v>44927</v>
      </c>
      <c r="B276" s="13" t="n">
        <v>142.991982266889</v>
      </c>
      <c r="C276" s="21" t="n">
        <f aca="false">IFERROR((B276/B275-1)*100,"")</f>
        <v>0.740218891228595</v>
      </c>
      <c r="D276" s="21" t="n">
        <f aca="false">IFERROR((B276/B272-1)*100,"")</f>
        <v>1.35619936035729</v>
      </c>
      <c r="E276" s="14"/>
      <c r="F276" s="14"/>
      <c r="G276" s="14"/>
    </row>
    <row r="277" customFormat="false" ht="15" hidden="false" customHeight="false" outlineLevel="0" collapsed="false">
      <c r="A277" s="16" t="n">
        <v>45017</v>
      </c>
      <c r="B277" s="17" t="n">
        <v>143.951908250638</v>
      </c>
      <c r="C277" s="18" t="n">
        <f aca="false">IFERROR((B277/B276-1)*100,"")</f>
        <v>0.671314551019742</v>
      </c>
      <c r="D277" s="18" t="n">
        <f aca="false">IFERROR((B277/B273-1)*100,"")</f>
        <v>2.58687447248536</v>
      </c>
      <c r="E277" s="19"/>
      <c r="F277" s="19"/>
      <c r="G277" s="19"/>
    </row>
    <row r="278" customFormat="false" ht="15" hidden="false" customHeight="false" outlineLevel="0" collapsed="false">
      <c r="A278" s="12" t="n">
        <v>45108</v>
      </c>
      <c r="B278" s="13" t="n">
        <v>145.07200928136</v>
      </c>
      <c r="C278" s="21" t="n">
        <f aca="false">IFERROR((B278/B277-1)*100,"")</f>
        <v>0.778107803038952</v>
      </c>
      <c r="D278" s="21" t="n">
        <f aca="false">IFERROR((B278/B274-1)*100,"")</f>
        <v>1.98280079699704</v>
      </c>
      <c r="E278" s="14"/>
      <c r="F278" s="14"/>
      <c r="G278" s="14"/>
    </row>
    <row r="279" customFormat="false" ht="15" hidden="false" customHeight="false" outlineLevel="0" collapsed="false">
      <c r="A279" s="16" t="n">
        <v>45200</v>
      </c>
      <c r="B279" s="17" t="n">
        <v>144.986780338603</v>
      </c>
      <c r="C279" s="18" t="n">
        <f aca="false">IFERROR((B279/B278-1)*100,"")</f>
        <v>-0.0587494053327031</v>
      </c>
      <c r="D279" s="18" t="n">
        <f aca="false">IFERROR((B279/B275-1)*100,"")</f>
        <v>2.1455871587527</v>
      </c>
      <c r="E279" s="19"/>
      <c r="F279" s="19"/>
      <c r="G279" s="19"/>
    </row>
    <row r="280" customFormat="false" ht="15" hidden="false" customHeight="false" outlineLevel="0" collapsed="false">
      <c r="A280" s="12" t="n">
        <v>45292</v>
      </c>
      <c r="B280" s="13" t="n">
        <v>146.282533308711</v>
      </c>
      <c r="C280" s="21" t="n">
        <f aca="false">IFERROR((B280/B279-1)*100,"")</f>
        <v>0.893704217089031</v>
      </c>
      <c r="D280" s="21" t="n">
        <f aca="false">IFERROR((B280/B276-1)*100,"")</f>
        <v>2.30121366922511</v>
      </c>
      <c r="E280" s="14"/>
      <c r="F280" s="14"/>
      <c r="G280" s="14"/>
    </row>
    <row r="281" customFormat="false" ht="15" hidden="false" customHeight="false" outlineLevel="0" collapsed="false">
      <c r="A281" s="16" t="n">
        <v>45383</v>
      </c>
      <c r="B281" s="17" t="n">
        <v>146.820170002089</v>
      </c>
      <c r="C281" s="18" t="n">
        <f aca="false">IFERROR((B281/B280-1)*100,"")</f>
        <v>0.367533075356286</v>
      </c>
      <c r="D281" s="18" t="n">
        <f aca="false">IFERROR((B281/B277-1)*100,"")</f>
        <v>1.99251387932766</v>
      </c>
      <c r="E281" s="19"/>
      <c r="F281" s="19"/>
      <c r="G281" s="19"/>
    </row>
    <row r="282" customFormat="false" ht="15" hidden="false" customHeight="false" outlineLevel="0" collapsed="false">
      <c r="A282" s="12" t="n">
        <v>45474</v>
      </c>
      <c r="B282" s="13" t="n">
        <v>146.893244311713</v>
      </c>
      <c r="C282" s="21" t="n">
        <f aca="false">IFERROR((B282/B281-1)*100,"")</f>
        <v>0.0497713016017087</v>
      </c>
      <c r="D282" s="21" t="n">
        <f aca="false">IFERROR((B282/B278-1)*100,"")</f>
        <v>1.25540070712125</v>
      </c>
      <c r="E282" s="14"/>
      <c r="F282" s="14"/>
      <c r="G282" s="14"/>
    </row>
    <row r="283" customFormat="false" ht="15" hidden="false" customHeight="false" outlineLevel="0" collapsed="false">
      <c r="A283" s="16" t="n">
        <v>45566</v>
      </c>
      <c r="B283" s="17" t="n">
        <v>147.923514003735</v>
      </c>
      <c r="C283" s="18" t="n">
        <f aca="false">IFERROR((B283/B282-1)*100,"")</f>
        <v>0.701373093670421</v>
      </c>
      <c r="D283" s="18" t="n">
        <f aca="false">IFERROR((B283/B279-1)*100,"")</f>
        <v>2.02551822881618</v>
      </c>
      <c r="E283" s="19"/>
      <c r="F283" s="19"/>
      <c r="G283" s="19"/>
    </row>
    <row r="284" customFormat="false" ht="15" hidden="false" customHeight="false" outlineLevel="0" collapsed="false">
      <c r="A284" s="12" t="n">
        <v>45658</v>
      </c>
      <c r="B284" s="13" t="n">
        <v>148.739104995562</v>
      </c>
      <c r="C284" s="21" t="n">
        <f aca="false">IFERROR((B284/B283-1)*100,"")</f>
        <v>0.551359935788587</v>
      </c>
      <c r="D284" s="21" t="n">
        <f aca="false">IFERROR((B284/B280-1)*100,"")</f>
        <v>1.67933356859995</v>
      </c>
      <c r="E284" s="14"/>
      <c r="F284" s="14"/>
      <c r="G284" s="14"/>
    </row>
    <row r="285" customFormat="false" ht="15" hidden="false" customHeight="false" outlineLevel="0" collapsed="false">
      <c r="A285" s="16" t="n">
        <v>45748</v>
      </c>
      <c r="B285" s="17" t="n">
        <v>149.524540232301</v>
      </c>
      <c r="C285" s="18" t="n">
        <f aca="false">IFERROR((B285/B284-1)*100,"")</f>
        <v>0.528062365819482</v>
      </c>
      <c r="D285" s="18" t="n">
        <f aca="false">IFERROR((B285/B281-1)*100,"")</f>
        <v>1.84196097182887</v>
      </c>
      <c r="E285" s="19"/>
      <c r="F285" s="19"/>
      <c r="G285" s="19"/>
    </row>
    <row r="286" customFormat="false" ht="15" hidden="false" customHeight="false" outlineLevel="0" collapsed="false">
      <c r="A286" s="12" t="n">
        <v>45839</v>
      </c>
      <c r="B286" s="13" t="n">
        <v>150.091897749657</v>
      </c>
      <c r="C286" s="21" t="n">
        <f aca="false">IFERROR((B286/B285-1)*100,"")</f>
        <v>0.379441071328612</v>
      </c>
      <c r="D286" s="21" t="n">
        <f aca="false">IFERROR((B286/B282-1)*100,"")</f>
        <v>2.17753610993596</v>
      </c>
      <c r="E286" s="14"/>
      <c r="F286" s="14"/>
      <c r="G286" s="14"/>
    </row>
    <row r="287" customFormat="false" ht="15" hidden="false" customHeight="false" outlineLevel="0" collapsed="false">
      <c r="A287" s="16" t="n">
        <v>45931</v>
      </c>
      <c r="B287" s="17" t="n">
        <v>151.317371244079</v>
      </c>
      <c r="C287" s="18" t="n">
        <f aca="false">IFERROR((B287/B286-1)*100,"")</f>
        <v>0.816482110490258</v>
      </c>
      <c r="D287" s="18" t="n">
        <f aca="false">IFERROR((B287/B283-1)*100,"")</f>
        <v>2.29433248878721</v>
      </c>
      <c r="E287" s="19"/>
      <c r="F287" s="19"/>
      <c r="G287" s="19"/>
    </row>
    <row r="288" customFormat="false" ht="15" hidden="false" customHeight="false" outlineLevel="0" collapsed="false">
      <c r="A288" s="12" t="n">
        <v>46023</v>
      </c>
      <c r="B288" s="14"/>
      <c r="C288" s="21" t="n">
        <f aca="false">IFERROR((B288/B287-1)*100,"")</f>
        <v>-100</v>
      </c>
      <c r="D288" s="21" t="n">
        <f aca="false">IFERROR((B288/B284-1)*100,"")</f>
        <v>-100</v>
      </c>
      <c r="E288" s="13" t="n">
        <v>151.754300871105</v>
      </c>
      <c r="F288" s="13" t="n">
        <v>151.273522529107</v>
      </c>
      <c r="G288" s="22" t="n">
        <f aca="false">152.992833-149.554212</f>
        <v>3.43862099999998</v>
      </c>
    </row>
    <row r="289" customFormat="false" ht="15" hidden="false" customHeight="false" outlineLevel="0" collapsed="false">
      <c r="A289" s="16" t="n">
        <v>46113</v>
      </c>
      <c r="B289" s="19"/>
      <c r="C289" s="18" t="str">
        <f aca="false">IFERROR((B289/B288-1)*100,"")</f>
        <v/>
      </c>
      <c r="D289" s="18" t="n">
        <f aca="false">IFERROR((B289/B285-1)*100,"")</f>
        <v>-100</v>
      </c>
      <c r="E289" s="17" t="n">
        <v>152.494563122079</v>
      </c>
      <c r="F289" s="17" t="n">
        <v>151.469274190001</v>
      </c>
      <c r="G289" s="23" t="n">
        <f aca="false">153.900746-149.037802</f>
        <v>4.862944</v>
      </c>
    </row>
    <row r="290" customFormat="false" ht="15" hidden="false" customHeight="false" outlineLevel="0" collapsed="false">
      <c r="A290" s="12" t="n">
        <v>46204</v>
      </c>
      <c r="B290" s="14"/>
      <c r="C290" s="21" t="str">
        <f aca="false">IFERROR((B290/B289-1)*100,"")</f>
        <v/>
      </c>
      <c r="D290" s="21" t="n">
        <f aca="false">IFERROR((B290/B286-1)*100,"")</f>
        <v>-100</v>
      </c>
      <c r="E290" s="13" t="n">
        <v>153.238436395587</v>
      </c>
      <c r="F290" s="13" t="n">
        <v>151.73924722747</v>
      </c>
      <c r="G290" s="22" t="n">
        <f aca="false">154.71718-148.761314</f>
        <v>5.95586600000001</v>
      </c>
    </row>
    <row r="291" customFormat="false" ht="15" hidden="false" customHeight="false" outlineLevel="0" collapsed="false">
      <c r="A291" s="16" t="n">
        <v>46296</v>
      </c>
      <c r="B291" s="19"/>
      <c r="C291" s="18" t="str">
        <f aca="false">IFERROR((B291/B290-1)*100,"")</f>
        <v/>
      </c>
      <c r="D291" s="18" t="n">
        <f aca="false">IFERROR((B291/B287-1)*100,"")</f>
        <v>-100</v>
      </c>
      <c r="E291" s="17" t="n">
        <v>153.985938306311</v>
      </c>
      <c r="F291" s="17" t="n">
        <v>152.656710139384</v>
      </c>
      <c r="G291" s="23" t="n">
        <f aca="false">156.095331-149.218089</f>
        <v>6.877242</v>
      </c>
    </row>
    <row r="292" customFormat="false" ht="15" hidden="false" customHeight="false" outlineLevel="0" collapsed="false">
      <c r="A292" s="12" t="n">
        <v>46388</v>
      </c>
      <c r="B292" s="14"/>
      <c r="C292" s="21" t="str">
        <f aca="false">IFERROR((B292/B291-1)*100,"")</f>
        <v/>
      </c>
      <c r="D292" s="21" t="str">
        <f aca="false">IFERROR((B292/B288-1)*100,"")</f>
        <v/>
      </c>
      <c r="E292" s="13" t="n">
        <v>154.737086554859</v>
      </c>
      <c r="F292" s="13" t="n">
        <v>152.8879788613</v>
      </c>
      <c r="G292" s="22" t="n">
        <f aca="false">156.732474-149.043484</f>
        <v>7.68898999999999</v>
      </c>
    </row>
    <row r="293" customFormat="false" ht="15" hidden="false" customHeight="false" outlineLevel="0" collapsed="false">
      <c r="A293" s="16" t="n">
        <v>46478</v>
      </c>
      <c r="B293" s="19"/>
      <c r="C293" s="18" t="str">
        <f aca="false">IFERROR((B293/B292-1)*100,"")</f>
        <v/>
      </c>
      <c r="D293" s="18" t="str">
        <f aca="false">IFERROR((B293/B289-1)*100,"")</f>
        <v/>
      </c>
      <c r="E293" s="17" t="n">
        <v>155.49189892818</v>
      </c>
      <c r="F293" s="17" t="n">
        <v>153.003007705585</v>
      </c>
      <c r="G293" s="23" t="n">
        <f aca="false">157.214441-148.791575</f>
        <v>8.422866</v>
      </c>
    </row>
    <row r="294" customFormat="false" ht="15" hidden="false" customHeight="false" outlineLevel="0" collapsed="false">
      <c r="A294" s="12" t="n">
        <v>46569</v>
      </c>
      <c r="B294" s="14"/>
      <c r="C294" s="21" t="str">
        <f aca="false">IFERROR((B294/B293-1)*100,"")</f>
        <v/>
      </c>
      <c r="D294" s="21" t="str">
        <f aca="false">IFERROR((B294/B290-1)*100,"")</f>
        <v/>
      </c>
      <c r="E294" s="13" t="n">
        <v>156.25039329999</v>
      </c>
      <c r="F294" s="13" t="n">
        <v>153.196294067275</v>
      </c>
      <c r="G294" s="22" t="n">
        <f aca="false">157.745162-148.647426</f>
        <v>9.097736</v>
      </c>
    </row>
    <row r="295" customFormat="false" ht="15" hidden="false" customHeight="false" outlineLevel="0" collapsed="false">
      <c r="A295" s="16" t="n">
        <v>46661</v>
      </c>
      <c r="B295" s="19"/>
      <c r="C295" s="18" t="str">
        <f aca="false">IFERROR((B295/B294-1)*100,"")</f>
        <v/>
      </c>
      <c r="D295" s="18" t="str">
        <f aca="false">IFERROR((B295/B291-1)*100,"")</f>
        <v/>
      </c>
      <c r="E295" s="17" t="n">
        <v>157.012587631193</v>
      </c>
      <c r="F295" s="17" t="n">
        <v>154.040904637199</v>
      </c>
      <c r="G295" s="23" t="n">
        <f aca="false">158.903849-149.177961</f>
        <v>9.725888</v>
      </c>
    </row>
  </sheetData>
  <mergeCells count="9">
    <mergeCell ref="A4:N4"/>
    <mergeCell ref="A6:G6"/>
    <mergeCell ref="I6:L6"/>
    <mergeCell ref="A102:N102"/>
    <mergeCell ref="A104:G104"/>
    <mergeCell ref="I104:L104"/>
    <mergeCell ref="A200:N200"/>
    <mergeCell ref="A202:G202"/>
    <mergeCell ref="I202:L2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1"/>
    <col collapsed="false" customWidth="true" hidden="false" outlineLevel="0" max="7" min="5" style="0" width="13"/>
    <col collapsed="false" customWidth="true" hidden="false" outlineLevel="0" max="8" min="8" style="0" width="2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6"/>
  </cols>
  <sheetData>
    <row r="1" customFormat="false" ht="22.0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2" t="s">
        <v>146</v>
      </c>
    </row>
    <row r="4" customFormat="false" ht="21.75" hidden="false" customHeight="true" outlineLevel="0" collapsed="false">
      <c r="A4" s="9" t="s">
        <v>147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false" outlineLevel="0" collapsed="false">
      <c r="A5" s="5" t="s">
        <v>113</v>
      </c>
      <c r="B5" s="10" t="s">
        <v>114</v>
      </c>
      <c r="D5" s="5" t="s">
        <v>115</v>
      </c>
      <c r="E5" s="2" t="s">
        <v>148</v>
      </c>
      <c r="H5" s="5" t="s">
        <v>117</v>
      </c>
      <c r="I5" s="2" t="s">
        <v>118</v>
      </c>
    </row>
    <row r="6" customFormat="false" ht="18" hidden="false" customHeight="true" outlineLevel="0" collapsed="false">
      <c r="A6" s="11" t="s">
        <v>119</v>
      </c>
      <c r="B6" s="11"/>
      <c r="C6" s="11"/>
      <c r="D6" s="11"/>
      <c r="E6" s="11"/>
      <c r="F6" s="11"/>
      <c r="G6" s="11"/>
      <c r="I6" s="11" t="s">
        <v>120</v>
      </c>
      <c r="J6" s="11"/>
      <c r="K6" s="11"/>
      <c r="L6" s="11"/>
    </row>
    <row r="7" customFormat="false" ht="15" hidden="false" customHeight="false" outlineLevel="0" collapsed="false">
      <c r="A7" s="6" t="s">
        <v>121</v>
      </c>
      <c r="B7" s="6" t="s">
        <v>122</v>
      </c>
      <c r="C7" s="6" t="s">
        <v>123</v>
      </c>
      <c r="D7" s="6" t="s">
        <v>124</v>
      </c>
      <c r="E7" s="6" t="s">
        <v>125</v>
      </c>
      <c r="F7" s="6" t="s">
        <v>126</v>
      </c>
      <c r="G7" s="6" t="s">
        <v>127</v>
      </c>
      <c r="I7" s="6" t="s">
        <v>128</v>
      </c>
      <c r="J7" s="6" t="s">
        <v>122</v>
      </c>
      <c r="K7" s="6" t="s">
        <v>124</v>
      </c>
      <c r="L7" s="6" t="s">
        <v>129</v>
      </c>
    </row>
    <row r="8" customFormat="false" ht="15" hidden="false" customHeight="false" outlineLevel="0" collapsed="false">
      <c r="A8" s="12" t="n">
        <v>38353</v>
      </c>
      <c r="B8" s="13" t="n">
        <v>100.019350442205</v>
      </c>
      <c r="C8" s="14"/>
      <c r="D8" s="14"/>
      <c r="E8" s="14"/>
      <c r="F8" s="14"/>
      <c r="G8" s="14"/>
      <c r="I8" s="15" t="n">
        <v>2005</v>
      </c>
      <c r="J8" s="13" t="n">
        <v>402.142096165605</v>
      </c>
      <c r="K8" s="14"/>
      <c r="L8" s="14"/>
    </row>
    <row r="9" customFormat="false" ht="15" hidden="false" customHeight="false" outlineLevel="0" collapsed="false">
      <c r="A9" s="16" t="n">
        <v>38443</v>
      </c>
      <c r="B9" s="17" t="n">
        <v>99.939440363457</v>
      </c>
      <c r="C9" s="18" t="n">
        <f aca="false">IFERROR((B9/B8-1)*100,"")</f>
        <v>-0.0798946187855365</v>
      </c>
      <c r="D9" s="19"/>
      <c r="E9" s="19"/>
      <c r="F9" s="19"/>
      <c r="G9" s="19"/>
      <c r="I9" s="20" t="n">
        <v>2006</v>
      </c>
      <c r="J9" s="17" t="n">
        <v>410.593367069443</v>
      </c>
      <c r="K9" s="18" t="n">
        <f aca="false">IFERROR((J9/J8-1)*100,"")</f>
        <v>2.10156334898042</v>
      </c>
      <c r="L9" s="19"/>
    </row>
    <row r="10" customFormat="false" ht="15" hidden="false" customHeight="false" outlineLevel="0" collapsed="false">
      <c r="A10" s="12" t="n">
        <v>38534</v>
      </c>
      <c r="B10" s="13" t="n">
        <v>100.979519295998</v>
      </c>
      <c r="C10" s="21" t="n">
        <f aca="false">IFERROR((B10/B9-1)*100,"")</f>
        <v>1.04070918223922</v>
      </c>
      <c r="D10" s="14"/>
      <c r="E10" s="14"/>
      <c r="F10" s="14"/>
      <c r="G10" s="14"/>
      <c r="I10" s="15" t="n">
        <v>2007</v>
      </c>
      <c r="J10" s="13" t="n">
        <v>419.984252402463</v>
      </c>
      <c r="K10" s="21" t="n">
        <f aca="false">IFERROR((J10/J9-1)*100,"")</f>
        <v>2.28714979008222</v>
      </c>
      <c r="L10" s="14"/>
    </row>
    <row r="11" customFormat="false" ht="15" hidden="false" customHeight="false" outlineLevel="0" collapsed="false">
      <c r="A11" s="16" t="n">
        <v>38626</v>
      </c>
      <c r="B11" s="17" t="n">
        <v>101.203786063945</v>
      </c>
      <c r="C11" s="18" t="n">
        <f aca="false">IFERROR((B11/B10-1)*100,"")</f>
        <v>0.2220913404132</v>
      </c>
      <c r="D11" s="19"/>
      <c r="E11" s="19"/>
      <c r="F11" s="19"/>
      <c r="G11" s="19"/>
      <c r="I11" s="20" t="n">
        <v>2008</v>
      </c>
      <c r="J11" s="17" t="n">
        <v>428.147373380208</v>
      </c>
      <c r="K11" s="18" t="n">
        <f aca="false">IFERROR((J11/J10-1)*100,"")</f>
        <v>1.94367310941983</v>
      </c>
      <c r="L11" s="19"/>
    </row>
    <row r="12" customFormat="false" ht="15" hidden="false" customHeight="false" outlineLevel="0" collapsed="false">
      <c r="A12" s="12" t="n">
        <v>38718</v>
      </c>
      <c r="B12" s="13" t="n">
        <v>101.958718002794</v>
      </c>
      <c r="C12" s="21" t="n">
        <f aca="false">IFERROR((B12/B11-1)*100,"")</f>
        <v>0.745952269386341</v>
      </c>
      <c r="D12" s="21" t="n">
        <f aca="false">IFERROR((B12/B8-1)*100,"")</f>
        <v>1.93899235699422</v>
      </c>
      <c r="E12" s="14"/>
      <c r="F12" s="14"/>
      <c r="G12" s="14"/>
      <c r="I12" s="15" t="n">
        <v>2009</v>
      </c>
      <c r="J12" s="13" t="n">
        <v>435.381207171614</v>
      </c>
      <c r="K12" s="21" t="n">
        <f aca="false">IFERROR((J12/J11-1)*100,"")</f>
        <v>1.68956631318216</v>
      </c>
      <c r="L12" s="14"/>
    </row>
    <row r="13" customFormat="false" ht="15" hidden="false" customHeight="false" outlineLevel="0" collapsed="false">
      <c r="A13" s="16" t="n">
        <v>38808</v>
      </c>
      <c r="B13" s="17" t="n">
        <v>102.811031052861</v>
      </c>
      <c r="C13" s="18" t="n">
        <f aca="false">IFERROR((B13/B12-1)*100,"")</f>
        <v>0.835939355419546</v>
      </c>
      <c r="D13" s="18" t="n">
        <f aca="false">IFERROR((B13/B9-1)*100,"")</f>
        <v>2.87333076807359</v>
      </c>
      <c r="E13" s="19"/>
      <c r="F13" s="19"/>
      <c r="G13" s="19"/>
      <c r="I13" s="20" t="n">
        <v>2010</v>
      </c>
      <c r="J13" s="17" t="n">
        <v>447.912069818885</v>
      </c>
      <c r="K13" s="18" t="n">
        <f aca="false">IFERROR((J13/J12-1)*100,"")</f>
        <v>2.87813585907304</v>
      </c>
      <c r="L13" s="19"/>
    </row>
    <row r="14" customFormat="false" ht="15" hidden="false" customHeight="false" outlineLevel="0" collapsed="false">
      <c r="A14" s="12" t="n">
        <v>38899</v>
      </c>
      <c r="B14" s="13" t="n">
        <v>103.066794114861</v>
      </c>
      <c r="C14" s="21" t="n">
        <f aca="false">IFERROR((B14/B13-1)*100,"")</f>
        <v>0.248770058407843</v>
      </c>
      <c r="D14" s="21" t="n">
        <f aca="false">IFERROR((B14/B10-1)*100,"")</f>
        <v>2.06702788190578</v>
      </c>
      <c r="E14" s="14"/>
      <c r="F14" s="14"/>
      <c r="G14" s="14"/>
      <c r="I14" s="15" t="n">
        <v>2011</v>
      </c>
      <c r="J14" s="13" t="n">
        <v>452.984584891813</v>
      </c>
      <c r="K14" s="21" t="n">
        <f aca="false">IFERROR((J14/J13-1)*100,"")</f>
        <v>1.13248010373526</v>
      </c>
      <c r="L14" s="14"/>
    </row>
    <row r="15" customFormat="false" ht="15" hidden="false" customHeight="false" outlineLevel="0" collapsed="false">
      <c r="A15" s="16" t="n">
        <v>38991</v>
      </c>
      <c r="B15" s="17" t="n">
        <v>102.756823898927</v>
      </c>
      <c r="C15" s="18" t="n">
        <f aca="false">IFERROR((B15/B14-1)*100,"")</f>
        <v>-0.300746926879436</v>
      </c>
      <c r="D15" s="18" t="n">
        <f aca="false">IFERROR((B15/B11-1)*100,"")</f>
        <v>1.53456495590047</v>
      </c>
      <c r="E15" s="19"/>
      <c r="F15" s="19"/>
      <c r="G15" s="19"/>
      <c r="I15" s="20" t="n">
        <v>2012</v>
      </c>
      <c r="J15" s="17" t="n">
        <v>465.694552836485</v>
      </c>
      <c r="K15" s="18" t="n">
        <f aca="false">IFERROR((J15/J14-1)*100,"")</f>
        <v>2.80582791745714</v>
      </c>
      <c r="L15" s="19"/>
    </row>
    <row r="16" customFormat="false" ht="15" hidden="false" customHeight="false" outlineLevel="0" collapsed="false">
      <c r="A16" s="12" t="n">
        <v>39083</v>
      </c>
      <c r="B16" s="13" t="n">
        <v>104.962695590934</v>
      </c>
      <c r="C16" s="21" t="n">
        <f aca="false">IFERROR((B16/B15-1)*100,"")</f>
        <v>2.14669119607767</v>
      </c>
      <c r="D16" s="21" t="n">
        <f aca="false">IFERROR((B16/B12-1)*100,"")</f>
        <v>2.94626849668498</v>
      </c>
      <c r="E16" s="14"/>
      <c r="F16" s="14"/>
      <c r="G16" s="14"/>
      <c r="I16" s="15" t="n">
        <v>2013</v>
      </c>
      <c r="J16" s="13" t="n">
        <v>471.22437460623</v>
      </c>
      <c r="K16" s="21" t="n">
        <f aca="false">IFERROR((J16/J15-1)*100,"")</f>
        <v>1.18743535565622</v>
      </c>
      <c r="L16" s="14"/>
    </row>
    <row r="17" customFormat="false" ht="15" hidden="false" customHeight="false" outlineLevel="0" collapsed="false">
      <c r="A17" s="16" t="n">
        <v>39173</v>
      </c>
      <c r="B17" s="17" t="n">
        <v>103.206353187194</v>
      </c>
      <c r="C17" s="18" t="n">
        <f aca="false">IFERROR((B17/B16-1)*100,"")</f>
        <v>-1.67330154189761</v>
      </c>
      <c r="D17" s="18" t="n">
        <f aca="false">IFERROR((B17/B13-1)*100,"")</f>
        <v>0.384513344808246</v>
      </c>
      <c r="E17" s="19"/>
      <c r="F17" s="19"/>
      <c r="G17" s="19"/>
      <c r="I17" s="20" t="n">
        <v>2014</v>
      </c>
      <c r="J17" s="17" t="n">
        <v>483.020662364374</v>
      </c>
      <c r="K17" s="18" t="n">
        <f aca="false">IFERROR((J17/J16-1)*100,"")</f>
        <v>2.50332716086708</v>
      </c>
      <c r="L17" s="19"/>
    </row>
    <row r="18" customFormat="false" ht="15" hidden="false" customHeight="false" outlineLevel="0" collapsed="false">
      <c r="A18" s="12" t="n">
        <v>39264</v>
      </c>
      <c r="B18" s="13" t="n">
        <v>105.68993145919</v>
      </c>
      <c r="C18" s="21" t="n">
        <f aca="false">IFERROR((B18/B17-1)*100,"")</f>
        <v>2.40641994925528</v>
      </c>
      <c r="D18" s="21" t="n">
        <f aca="false">IFERROR((B18/B14-1)*100,"")</f>
        <v>2.54508483246845</v>
      </c>
      <c r="E18" s="14"/>
      <c r="F18" s="14"/>
      <c r="G18" s="14"/>
      <c r="I18" s="15" t="n">
        <v>2015</v>
      </c>
      <c r="J18" s="13" t="n">
        <v>491.655500021007</v>
      </c>
      <c r="K18" s="21" t="n">
        <f aca="false">IFERROR((J18/J17-1)*100,"")</f>
        <v>1.78767459229701</v>
      </c>
      <c r="L18" s="14"/>
    </row>
    <row r="19" customFormat="false" ht="15" hidden="false" customHeight="false" outlineLevel="0" collapsed="false">
      <c r="A19" s="16" t="n">
        <v>39356</v>
      </c>
      <c r="B19" s="17" t="n">
        <v>106.125272165145</v>
      </c>
      <c r="C19" s="18" t="n">
        <f aca="false">IFERROR((B19/B18-1)*100,"")</f>
        <v>0.411903669484182</v>
      </c>
      <c r="D19" s="18" t="n">
        <f aca="false">IFERROR((B19/B15-1)*100,"")</f>
        <v>3.27807744382149</v>
      </c>
      <c r="E19" s="19"/>
      <c r="F19" s="19"/>
      <c r="G19" s="19"/>
      <c r="I19" s="20" t="n">
        <v>2016</v>
      </c>
      <c r="J19" s="17" t="n">
        <v>501.383852492322</v>
      </c>
      <c r="K19" s="18" t="n">
        <f aca="false">IFERROR((J19/J18-1)*100,"")</f>
        <v>1.97869289998791</v>
      </c>
      <c r="L19" s="19"/>
    </row>
    <row r="20" customFormat="false" ht="15" hidden="false" customHeight="false" outlineLevel="0" collapsed="false">
      <c r="A20" s="12" t="n">
        <v>39448</v>
      </c>
      <c r="B20" s="13" t="n">
        <v>106.986801296243</v>
      </c>
      <c r="C20" s="21" t="n">
        <f aca="false">IFERROR((B20/B19-1)*100,"")</f>
        <v>0.811803930883825</v>
      </c>
      <c r="D20" s="21" t="n">
        <f aca="false">IFERROR((B20/B16-1)*100,"")</f>
        <v>1.92840484318071</v>
      </c>
      <c r="E20" s="14"/>
      <c r="F20" s="14"/>
      <c r="G20" s="14"/>
      <c r="I20" s="15" t="n">
        <v>2017</v>
      </c>
      <c r="J20" s="13" t="n">
        <v>510.546955279947</v>
      </c>
      <c r="K20" s="21" t="n">
        <f aca="false">IFERROR((J20/J19-1)*100,"")</f>
        <v>1.82756240394983</v>
      </c>
      <c r="L20" s="14"/>
    </row>
    <row r="21" customFormat="false" ht="15" hidden="false" customHeight="false" outlineLevel="0" collapsed="false">
      <c r="A21" s="16" t="n">
        <v>39539</v>
      </c>
      <c r="B21" s="17" t="n">
        <v>107.105924413075</v>
      </c>
      <c r="C21" s="18" t="n">
        <f aca="false">IFERROR((B21/B20-1)*100,"")</f>
        <v>0.111343750246307</v>
      </c>
      <c r="D21" s="18" t="n">
        <f aca="false">IFERROR((B21/B17-1)*100,"")</f>
        <v>3.77842168185889</v>
      </c>
      <c r="E21" s="19"/>
      <c r="F21" s="19"/>
      <c r="G21" s="19"/>
      <c r="I21" s="20" t="n">
        <v>2018</v>
      </c>
      <c r="J21" s="17" t="n">
        <v>522.035596486539</v>
      </c>
      <c r="K21" s="18" t="n">
        <f aca="false">IFERROR((J21/J20-1)*100,"")</f>
        <v>2.25026142801938</v>
      </c>
      <c r="L21" s="19"/>
    </row>
    <row r="22" customFormat="false" ht="15" hidden="false" customHeight="false" outlineLevel="0" collapsed="false">
      <c r="A22" s="12" t="n">
        <v>39630</v>
      </c>
      <c r="B22" s="13" t="n">
        <v>106.935825545918</v>
      </c>
      <c r="C22" s="21" t="n">
        <f aca="false">IFERROR((B22/B21-1)*100,"")</f>
        <v>-0.158813686627157</v>
      </c>
      <c r="D22" s="21" t="n">
        <f aca="false">IFERROR((B22/B18-1)*100,"")</f>
        <v>1.17882003472571</v>
      </c>
      <c r="E22" s="14"/>
      <c r="F22" s="14"/>
      <c r="G22" s="14"/>
      <c r="I22" s="15" t="n">
        <v>2019</v>
      </c>
      <c r="J22" s="13" t="n">
        <v>532.537823433736</v>
      </c>
      <c r="K22" s="21" t="n">
        <f aca="false">IFERROR((J22/J21-1)*100,"")</f>
        <v>2.01178368254566</v>
      </c>
      <c r="L22" s="14"/>
    </row>
    <row r="23" customFormat="false" ht="15" hidden="false" customHeight="false" outlineLevel="0" collapsed="false">
      <c r="A23" s="16" t="n">
        <v>39722</v>
      </c>
      <c r="B23" s="17" t="n">
        <v>107.118822124972</v>
      </c>
      <c r="C23" s="18" t="n">
        <f aca="false">IFERROR((B23/B22-1)*100,"")</f>
        <v>0.171127475866006</v>
      </c>
      <c r="D23" s="18" t="n">
        <f aca="false">IFERROR((B23/B19-1)*100,"")</f>
        <v>0.936204863889723</v>
      </c>
      <c r="E23" s="19"/>
      <c r="F23" s="19"/>
      <c r="G23" s="19"/>
      <c r="I23" s="20" t="n">
        <v>2020</v>
      </c>
      <c r="J23" s="17" t="n">
        <v>543.787069801277</v>
      </c>
      <c r="K23" s="18" t="n">
        <f aca="false">IFERROR((J23/J22-1)*100,"")</f>
        <v>2.1123844866094</v>
      </c>
      <c r="L23" s="19"/>
    </row>
    <row r="24" customFormat="false" ht="15" hidden="false" customHeight="false" outlineLevel="0" collapsed="false">
      <c r="A24" s="12" t="n">
        <v>39814</v>
      </c>
      <c r="B24" s="13" t="n">
        <v>108.70742360169</v>
      </c>
      <c r="C24" s="21" t="n">
        <f aca="false">IFERROR((B24/B23-1)*100,"")</f>
        <v>1.4830273944431</v>
      </c>
      <c r="D24" s="21" t="n">
        <f aca="false">IFERROR((B24/B20-1)*100,"")</f>
        <v>1.60825661165647</v>
      </c>
      <c r="E24" s="14"/>
      <c r="F24" s="14"/>
      <c r="G24" s="14"/>
      <c r="I24" s="15" t="n">
        <v>2021</v>
      </c>
      <c r="J24" s="13" t="n">
        <v>554.749615969885</v>
      </c>
      <c r="K24" s="21" t="n">
        <f aca="false">IFERROR((J24/J23-1)*100,"")</f>
        <v>2.01596300783953</v>
      </c>
      <c r="L24" s="14"/>
    </row>
    <row r="25" customFormat="false" ht="15" hidden="false" customHeight="false" outlineLevel="0" collapsed="false">
      <c r="A25" s="16" t="n">
        <v>39904</v>
      </c>
      <c r="B25" s="17" t="n">
        <v>109.051511598595</v>
      </c>
      <c r="C25" s="18" t="n">
        <f aca="false">IFERROR((B25/B24-1)*100,"")</f>
        <v>0.316526678220308</v>
      </c>
      <c r="D25" s="18" t="n">
        <f aca="false">IFERROR((B25/B21-1)*100,"")</f>
        <v>1.81650753324958</v>
      </c>
      <c r="E25" s="19"/>
      <c r="F25" s="19"/>
      <c r="G25" s="19"/>
      <c r="I25" s="20" t="n">
        <v>2022</v>
      </c>
      <c r="J25" s="17" t="n">
        <v>564.120005968162</v>
      </c>
      <c r="K25" s="18" t="n">
        <f aca="false">IFERROR((J25/J24-1)*100,"")</f>
        <v>1.68912059216009</v>
      </c>
      <c r="L25" s="19"/>
    </row>
    <row r="26" customFormat="false" ht="15" hidden="false" customHeight="false" outlineLevel="0" collapsed="false">
      <c r="A26" s="12" t="n">
        <v>39995</v>
      </c>
      <c r="B26" s="13" t="n">
        <v>108.201865741472</v>
      </c>
      <c r="C26" s="21" t="n">
        <f aca="false">IFERROR((B26/B25-1)*100,"")</f>
        <v>-0.779123411191907</v>
      </c>
      <c r="D26" s="21" t="n">
        <f aca="false">IFERROR((B26/B22-1)*100,"")</f>
        <v>1.18392520849773</v>
      </c>
      <c r="E26" s="14"/>
      <c r="F26" s="14"/>
      <c r="G26" s="14"/>
      <c r="I26" s="15" t="n">
        <v>2023</v>
      </c>
      <c r="J26" s="13" t="n">
        <v>577.426413766372</v>
      </c>
      <c r="K26" s="21" t="n">
        <f aca="false">IFERROR((J26/J25-1)*100,"")</f>
        <v>2.35879026757315</v>
      </c>
      <c r="L26" s="14"/>
    </row>
    <row r="27" customFormat="false" ht="15" hidden="false" customHeight="false" outlineLevel="0" collapsed="false">
      <c r="A27" s="16" t="n">
        <v>40087</v>
      </c>
      <c r="B27" s="17" t="n">
        <v>109.420406229858</v>
      </c>
      <c r="C27" s="18" t="n">
        <f aca="false">IFERROR((B27/B26-1)*100,"")</f>
        <v>1.12617326885813</v>
      </c>
      <c r="D27" s="18" t="n">
        <f aca="false">IFERROR((B27/B23-1)*100,"")</f>
        <v>2.14862715928779</v>
      </c>
      <c r="E27" s="19"/>
      <c r="F27" s="19"/>
      <c r="G27" s="19"/>
      <c r="I27" s="20" t="n">
        <v>2024</v>
      </c>
      <c r="J27" s="17" t="n">
        <v>589.462253381835</v>
      </c>
      <c r="K27" s="18" t="n">
        <f aca="false">IFERROR((J27/J26-1)*100,"")</f>
        <v>2.08439366965523</v>
      </c>
      <c r="L27" s="19"/>
    </row>
    <row r="28" customFormat="false" ht="15" hidden="false" customHeight="false" outlineLevel="0" collapsed="false">
      <c r="A28" s="12" t="n">
        <v>40179</v>
      </c>
      <c r="B28" s="13" t="n">
        <v>111.480795463448</v>
      </c>
      <c r="C28" s="21" t="n">
        <f aca="false">IFERROR((B28/B27-1)*100,"")</f>
        <v>1.88300272735413</v>
      </c>
      <c r="D28" s="21" t="n">
        <f aca="false">IFERROR((B28/B24-1)*100,"")</f>
        <v>2.55122582236904</v>
      </c>
      <c r="E28" s="14"/>
      <c r="F28" s="14"/>
      <c r="G28" s="14"/>
      <c r="I28" s="15" t="n">
        <v>2025</v>
      </c>
      <c r="J28" s="13" t="n">
        <v>602.170909835585</v>
      </c>
      <c r="K28" s="21" t="n">
        <f aca="false">IFERROR((J28/J27-1)*100,"")</f>
        <v>2.1559745990245</v>
      </c>
      <c r="L28" s="14"/>
    </row>
    <row r="29" customFormat="false" ht="15" hidden="false" customHeight="false" outlineLevel="0" collapsed="false">
      <c r="A29" s="16" t="n">
        <v>40269</v>
      </c>
      <c r="B29" s="17" t="n">
        <v>111.204231974723</v>
      </c>
      <c r="C29" s="18" t="n">
        <f aca="false">IFERROR((B29/B28-1)*100,"")</f>
        <v>-0.248081732441152</v>
      </c>
      <c r="D29" s="18" t="n">
        <f aca="false">IFERROR((B29/B25-1)*100,"")</f>
        <v>1.97403992349239</v>
      </c>
      <c r="E29" s="19"/>
      <c r="F29" s="19"/>
      <c r="G29" s="19"/>
      <c r="I29" s="20" t="n">
        <v>2026</v>
      </c>
      <c r="J29" s="19"/>
      <c r="K29" s="18" t="n">
        <f aca="false">IFERROR((J29/J28-1)*100,"")</f>
        <v>-100</v>
      </c>
      <c r="L29" s="17" t="n">
        <v>608.61032671225</v>
      </c>
    </row>
    <row r="30" customFormat="false" ht="15" hidden="false" customHeight="false" outlineLevel="0" collapsed="false">
      <c r="A30" s="12" t="n">
        <v>40360</v>
      </c>
      <c r="B30" s="13" t="n">
        <v>112.453381915568</v>
      </c>
      <c r="C30" s="21" t="n">
        <f aca="false">IFERROR((B30/B29-1)*100,"")</f>
        <v>1.12329352818905</v>
      </c>
      <c r="D30" s="21" t="n">
        <f aca="false">IFERROR((B30/B26-1)*100,"")</f>
        <v>3.92924479163246</v>
      </c>
      <c r="E30" s="14"/>
      <c r="F30" s="14"/>
      <c r="G30" s="14"/>
      <c r="I30" s="15" t="n">
        <v>2027</v>
      </c>
      <c r="J30" s="14"/>
      <c r="K30" s="21" t="str">
        <f aca="false">IFERROR((J30/J29-1)*100,"")</f>
        <v/>
      </c>
      <c r="L30" s="13" t="n">
        <v>614.620006213846</v>
      </c>
    </row>
    <row r="31" customFormat="false" ht="15" hidden="false" customHeight="false" outlineLevel="0" collapsed="false">
      <c r="A31" s="16" t="n">
        <v>40452</v>
      </c>
      <c r="B31" s="17" t="n">
        <v>112.773660465147</v>
      </c>
      <c r="C31" s="18" t="n">
        <f aca="false">IFERROR((B31/B30-1)*100,"")</f>
        <v>0.28481006451142</v>
      </c>
      <c r="D31" s="18" t="n">
        <f aca="false">IFERROR((B31/B27-1)*100,"")</f>
        <v>3.06456021397377</v>
      </c>
      <c r="E31" s="19"/>
      <c r="F31" s="19"/>
      <c r="G31" s="19"/>
    </row>
    <row r="32" customFormat="false" ht="15" hidden="false" customHeight="false" outlineLevel="0" collapsed="false">
      <c r="A32" s="12" t="n">
        <v>40544</v>
      </c>
      <c r="B32" s="13" t="n">
        <v>112.29864359656</v>
      </c>
      <c r="C32" s="21" t="n">
        <f aca="false">IFERROR((B32/B31-1)*100,"")</f>
        <v>-0.421212601087129</v>
      </c>
      <c r="D32" s="21" t="n">
        <f aca="false">IFERROR((B32/B28-1)*100,"")</f>
        <v>0.733622441167681</v>
      </c>
      <c r="E32" s="14"/>
      <c r="F32" s="14"/>
      <c r="G32" s="14"/>
    </row>
    <row r="33" customFormat="false" ht="15" hidden="false" customHeight="false" outlineLevel="0" collapsed="false">
      <c r="A33" s="16" t="n">
        <v>40634</v>
      </c>
      <c r="B33" s="17" t="n">
        <v>113.384588770984</v>
      </c>
      <c r="C33" s="18" t="n">
        <f aca="false">IFERROR((B33/B32-1)*100,"")</f>
        <v>0.967015397198767</v>
      </c>
      <c r="D33" s="18" t="n">
        <f aca="false">IFERROR((B33/B29-1)*100,"")</f>
        <v>1.96067789646412</v>
      </c>
      <c r="E33" s="19"/>
      <c r="F33" s="19"/>
      <c r="G33" s="19"/>
    </row>
    <row r="34" customFormat="false" ht="15" hidden="false" customHeight="false" outlineLevel="0" collapsed="false">
      <c r="A34" s="12" t="n">
        <v>40725</v>
      </c>
      <c r="B34" s="13" t="n">
        <v>113.923478942737</v>
      </c>
      <c r="C34" s="21" t="n">
        <f aca="false">IFERROR((B34/B33-1)*100,"")</f>
        <v>0.475276382437717</v>
      </c>
      <c r="D34" s="21" t="n">
        <f aca="false">IFERROR((B34/B30-1)*100,"")</f>
        <v>1.30729463367592</v>
      </c>
      <c r="E34" s="14"/>
      <c r="F34" s="14"/>
      <c r="G34" s="14"/>
    </row>
    <row r="35" customFormat="false" ht="15" hidden="false" customHeight="false" outlineLevel="0" collapsed="false">
      <c r="A35" s="16" t="n">
        <v>40817</v>
      </c>
      <c r="B35" s="17" t="n">
        <v>113.377873581532</v>
      </c>
      <c r="C35" s="18" t="n">
        <f aca="false">IFERROR((B35/B34-1)*100,"")</f>
        <v>-0.478922664817194</v>
      </c>
      <c r="D35" s="18" t="n">
        <f aca="false">IFERROR((B35/B31-1)*100,"")</f>
        <v>0.535775032834041</v>
      </c>
      <c r="E35" s="19"/>
      <c r="F35" s="19"/>
      <c r="G35" s="19"/>
    </row>
    <row r="36" customFormat="false" ht="15" hidden="false" customHeight="false" outlineLevel="0" collapsed="false">
      <c r="A36" s="12" t="n">
        <v>40909</v>
      </c>
      <c r="B36" s="13" t="n">
        <v>115.477879823065</v>
      </c>
      <c r="C36" s="21" t="n">
        <f aca="false">IFERROR((B36/B35-1)*100,"")</f>
        <v>1.85221875767783</v>
      </c>
      <c r="D36" s="21" t="n">
        <f aca="false">IFERROR((B36/B32-1)*100,"")</f>
        <v>2.83105487714233</v>
      </c>
      <c r="E36" s="14"/>
      <c r="F36" s="14"/>
      <c r="G36" s="14"/>
    </row>
    <row r="37" customFormat="false" ht="15" hidden="false" customHeight="false" outlineLevel="0" collapsed="false">
      <c r="A37" s="16" t="n">
        <v>41000</v>
      </c>
      <c r="B37" s="17" t="n">
        <v>116.796339554799</v>
      </c>
      <c r="C37" s="18" t="n">
        <f aca="false">IFERROR((B37/B36-1)*100,"")</f>
        <v>1.14174223994616</v>
      </c>
      <c r="D37" s="18" t="n">
        <f aca="false">IFERROR((B37/B33-1)*100,"")</f>
        <v>3.00900750339741</v>
      </c>
      <c r="E37" s="19"/>
      <c r="F37" s="19"/>
      <c r="G37" s="19"/>
    </row>
    <row r="38" customFormat="false" ht="15" hidden="false" customHeight="false" outlineLevel="0" collapsed="false">
      <c r="A38" s="12" t="n">
        <v>41091</v>
      </c>
      <c r="B38" s="13" t="n">
        <v>116.513548175799</v>
      </c>
      <c r="C38" s="21" t="n">
        <f aca="false">IFERROR((B38/B37-1)*100,"")</f>
        <v>-0.242123494690105</v>
      </c>
      <c r="D38" s="21" t="n">
        <f aca="false">IFERROR((B38/B34-1)*100,"")</f>
        <v>2.27351662457946</v>
      </c>
      <c r="E38" s="14"/>
      <c r="F38" s="14"/>
      <c r="G38" s="14"/>
    </row>
    <row r="39" customFormat="false" ht="15" hidden="false" customHeight="false" outlineLevel="0" collapsed="false">
      <c r="A39" s="16" t="n">
        <v>41183</v>
      </c>
      <c r="B39" s="17" t="n">
        <v>116.906785282821</v>
      </c>
      <c r="C39" s="18" t="n">
        <f aca="false">IFERROR((B39/B38-1)*100,"")</f>
        <v>0.33750333173983</v>
      </c>
      <c r="D39" s="18" t="n">
        <f aca="false">IFERROR((B39/B35-1)*100,"")</f>
        <v>3.1125223906685</v>
      </c>
      <c r="E39" s="19"/>
      <c r="F39" s="19"/>
      <c r="G39" s="19"/>
    </row>
    <row r="40" customFormat="false" ht="15" hidden="false" customHeight="false" outlineLevel="0" collapsed="false">
      <c r="A40" s="12" t="n">
        <v>41275</v>
      </c>
      <c r="B40" s="13" t="n">
        <v>116.71890051563</v>
      </c>
      <c r="C40" s="21" t="n">
        <f aca="false">IFERROR((B40/B39-1)*100,"")</f>
        <v>-0.160713312522176</v>
      </c>
      <c r="D40" s="21" t="n">
        <f aca="false">IFERROR((B40/B36-1)*100,"")</f>
        <v>1.07468260974819</v>
      </c>
      <c r="E40" s="14"/>
      <c r="F40" s="14"/>
      <c r="G40" s="14"/>
    </row>
    <row r="41" customFormat="false" ht="15" hidden="false" customHeight="false" outlineLevel="0" collapsed="false">
      <c r="A41" s="16" t="n">
        <v>41365</v>
      </c>
      <c r="B41" s="17" t="n">
        <v>117.662895317308</v>
      </c>
      <c r="C41" s="18" t="n">
        <f aca="false">IFERROR((B41/B40-1)*100,"")</f>
        <v>0.808776297161473</v>
      </c>
      <c r="D41" s="18" t="n">
        <f aca="false">IFERROR((B41/B37-1)*100,"")</f>
        <v>0.74193743212434</v>
      </c>
      <c r="E41" s="19"/>
      <c r="F41" s="19"/>
      <c r="G41" s="19"/>
    </row>
    <row r="42" customFormat="false" ht="15" hidden="false" customHeight="false" outlineLevel="0" collapsed="false">
      <c r="A42" s="12" t="n">
        <v>41456</v>
      </c>
      <c r="B42" s="13" t="n">
        <v>118.39685985612</v>
      </c>
      <c r="C42" s="21" t="n">
        <f aca="false">IFERROR((B42/B41-1)*100,"")</f>
        <v>0.623785890049344</v>
      </c>
      <c r="D42" s="21" t="n">
        <f aca="false">IFERROR((B42/B38-1)*100,"")</f>
        <v>1.61638857438244</v>
      </c>
      <c r="E42" s="14"/>
      <c r="F42" s="14"/>
      <c r="G42" s="14"/>
    </row>
    <row r="43" customFormat="false" ht="15" hidden="false" customHeight="false" outlineLevel="0" collapsed="false">
      <c r="A43" s="16" t="n">
        <v>41548</v>
      </c>
      <c r="B43" s="17" t="n">
        <v>118.445718917173</v>
      </c>
      <c r="C43" s="18" t="n">
        <f aca="false">IFERROR((B43/B42-1)*100,"")</f>
        <v>0.0412671933289976</v>
      </c>
      <c r="D43" s="18" t="n">
        <f aca="false">IFERROR((B43/B39-1)*100,"")</f>
        <v>1.3163766590869</v>
      </c>
      <c r="E43" s="19"/>
      <c r="F43" s="19"/>
      <c r="G43" s="19"/>
    </row>
    <row r="44" customFormat="false" ht="15" hidden="false" customHeight="false" outlineLevel="0" collapsed="false">
      <c r="A44" s="12" t="n">
        <v>41640</v>
      </c>
      <c r="B44" s="13" t="n">
        <v>120.308010911307</v>
      </c>
      <c r="C44" s="21" t="n">
        <f aca="false">IFERROR((B44/B43-1)*100,"")</f>
        <v>1.57227463445673</v>
      </c>
      <c r="D44" s="21" t="n">
        <f aca="false">IFERROR((B44/B40-1)*100,"")</f>
        <v>3.07500360252031</v>
      </c>
      <c r="E44" s="14"/>
      <c r="F44" s="14"/>
      <c r="G44" s="14"/>
    </row>
    <row r="45" customFormat="false" ht="15" hidden="false" customHeight="false" outlineLevel="0" collapsed="false">
      <c r="A45" s="16" t="n">
        <v>41730</v>
      </c>
      <c r="B45" s="17" t="n">
        <v>120.868802101989</v>
      </c>
      <c r="C45" s="18" t="n">
        <f aca="false">IFERROR((B45/B44-1)*100,"")</f>
        <v>0.466129550670247</v>
      </c>
      <c r="D45" s="18" t="n">
        <f aca="false">IFERROR((B45/B41-1)*100,"")</f>
        <v>2.72465400076674</v>
      </c>
      <c r="E45" s="19"/>
      <c r="F45" s="19"/>
      <c r="G45" s="19"/>
    </row>
    <row r="46" customFormat="false" ht="15" hidden="false" customHeight="false" outlineLevel="0" collapsed="false">
      <c r="A46" s="12" t="n">
        <v>41821</v>
      </c>
      <c r="B46" s="13" t="n">
        <v>120.273235990546</v>
      </c>
      <c r="C46" s="21" t="n">
        <f aca="false">IFERROR((B46/B45-1)*100,"")</f>
        <v>-0.492737663553222</v>
      </c>
      <c r="D46" s="21" t="n">
        <f aca="false">IFERROR((B46/B42-1)*100,"")</f>
        <v>1.58481917232114</v>
      </c>
      <c r="E46" s="14"/>
      <c r="F46" s="14"/>
      <c r="G46" s="14"/>
    </row>
    <row r="47" customFormat="false" ht="15" hidden="false" customHeight="false" outlineLevel="0" collapsed="false">
      <c r="A47" s="16" t="n">
        <v>41913</v>
      </c>
      <c r="B47" s="17" t="n">
        <v>121.570613360532</v>
      </c>
      <c r="C47" s="18" t="n">
        <f aca="false">IFERROR((B47/B46-1)*100,"")</f>
        <v>1.07869166344488</v>
      </c>
      <c r="D47" s="18" t="n">
        <f aca="false">IFERROR((B47/B43-1)*100,"")</f>
        <v>2.63825022290953</v>
      </c>
      <c r="E47" s="19"/>
      <c r="F47" s="19"/>
      <c r="G47" s="19"/>
    </row>
    <row r="48" customFormat="false" ht="15" hidden="false" customHeight="false" outlineLevel="0" collapsed="false">
      <c r="A48" s="12" t="n">
        <v>42005</v>
      </c>
      <c r="B48" s="13" t="n">
        <v>121.669015744318</v>
      </c>
      <c r="C48" s="21" t="n">
        <f aca="false">IFERROR((B48/B47-1)*100,"")</f>
        <v>0.0809425740863734</v>
      </c>
      <c r="D48" s="21" t="n">
        <f aca="false">IFERROR((B48/B44-1)*100,"")</f>
        <v>1.13126700599717</v>
      </c>
      <c r="E48" s="14"/>
      <c r="F48" s="14"/>
      <c r="G48" s="14"/>
    </row>
    <row r="49" customFormat="false" ht="15" hidden="false" customHeight="false" outlineLevel="0" collapsed="false">
      <c r="A49" s="16" t="n">
        <v>42095</v>
      </c>
      <c r="B49" s="17" t="n">
        <v>122.935624872949</v>
      </c>
      <c r="C49" s="18" t="n">
        <f aca="false">IFERROR((B49/B48-1)*100,"")</f>
        <v>1.04102849923</v>
      </c>
      <c r="D49" s="18" t="n">
        <f aca="false">IFERROR((B49/B45-1)*100,"")</f>
        <v>1.70997208131254</v>
      </c>
      <c r="E49" s="19"/>
      <c r="F49" s="19"/>
      <c r="G49" s="19"/>
    </row>
    <row r="50" customFormat="false" ht="15" hidden="false" customHeight="false" outlineLevel="0" collapsed="false">
      <c r="A50" s="12" t="n">
        <v>42186</v>
      </c>
      <c r="B50" s="13" t="n">
        <v>123.209626139027</v>
      </c>
      <c r="C50" s="21" t="n">
        <f aca="false">IFERROR((B50/B49-1)*100,"")</f>
        <v>0.222881907796113</v>
      </c>
      <c r="D50" s="21" t="n">
        <f aca="false">IFERROR((B50/B46-1)*100,"")</f>
        <v>2.44143272964878</v>
      </c>
      <c r="E50" s="14"/>
      <c r="F50" s="14"/>
      <c r="G50" s="14"/>
    </row>
    <row r="51" customFormat="false" ht="15" hidden="false" customHeight="false" outlineLevel="0" collapsed="false">
      <c r="A51" s="16" t="n">
        <v>42278</v>
      </c>
      <c r="B51" s="17" t="n">
        <v>123.841233264712</v>
      </c>
      <c r="C51" s="18" t="n">
        <f aca="false">IFERROR((B51/B50-1)*100,"")</f>
        <v>0.512628067689769</v>
      </c>
      <c r="D51" s="18" t="n">
        <f aca="false">IFERROR((B51/B47-1)*100,"")</f>
        <v>1.86773747488302</v>
      </c>
      <c r="E51" s="19"/>
      <c r="F51" s="19"/>
      <c r="G51" s="19"/>
    </row>
    <row r="52" customFormat="false" ht="15" hidden="false" customHeight="false" outlineLevel="0" collapsed="false">
      <c r="A52" s="12" t="n">
        <v>42370</v>
      </c>
      <c r="B52" s="13" t="n">
        <v>123.787788175864</v>
      </c>
      <c r="C52" s="21" t="n">
        <f aca="false">IFERROR((B52/B51-1)*100,"")</f>
        <v>-0.0431561342198239</v>
      </c>
      <c r="D52" s="21" t="n">
        <f aca="false">IFERROR((B52/B48-1)*100,"")</f>
        <v>1.74142317054533</v>
      </c>
      <c r="E52" s="14"/>
      <c r="F52" s="14"/>
      <c r="G52" s="14"/>
    </row>
    <row r="53" customFormat="false" ht="15" hidden="false" customHeight="false" outlineLevel="0" collapsed="false">
      <c r="A53" s="16" t="n">
        <v>42461</v>
      </c>
      <c r="B53" s="17" t="n">
        <v>124.755803504854</v>
      </c>
      <c r="C53" s="18" t="n">
        <f aca="false">IFERROR((B53/B52-1)*100,"")</f>
        <v>0.781995819825165</v>
      </c>
      <c r="D53" s="18" t="n">
        <f aca="false">IFERROR((B53/B49-1)*100,"")</f>
        <v>1.48059493233585</v>
      </c>
      <c r="E53" s="19"/>
      <c r="F53" s="19"/>
      <c r="G53" s="19"/>
    </row>
    <row r="54" customFormat="false" ht="15" hidden="false" customHeight="false" outlineLevel="0" collapsed="false">
      <c r="A54" s="12" t="n">
        <v>42552</v>
      </c>
      <c r="B54" s="13" t="n">
        <v>125.978191468107</v>
      </c>
      <c r="C54" s="21" t="n">
        <f aca="false">IFERROR((B54/B53-1)*100,"")</f>
        <v>0.979824528327722</v>
      </c>
      <c r="D54" s="21" t="n">
        <f aca="false">IFERROR((B54/B50-1)*100,"")</f>
        <v>2.24703654725427</v>
      </c>
      <c r="E54" s="14"/>
      <c r="F54" s="14"/>
      <c r="G54" s="14"/>
    </row>
    <row r="55" customFormat="false" ht="15" hidden="false" customHeight="false" outlineLevel="0" collapsed="false">
      <c r="A55" s="16" t="n">
        <v>42644</v>
      </c>
      <c r="B55" s="17" t="n">
        <v>126.862069343498</v>
      </c>
      <c r="C55" s="18" t="n">
        <f aca="false">IFERROR((B55/B54-1)*100,"")</f>
        <v>0.70161181478372</v>
      </c>
      <c r="D55" s="18" t="n">
        <f aca="false">IFERROR((B55/B51-1)*100,"")</f>
        <v>2.43928132751152</v>
      </c>
      <c r="E55" s="19"/>
      <c r="F55" s="19"/>
      <c r="G55" s="19"/>
    </row>
    <row r="56" customFormat="false" ht="15" hidden="false" customHeight="false" outlineLevel="0" collapsed="false">
      <c r="A56" s="12" t="n">
        <v>42736</v>
      </c>
      <c r="B56" s="13" t="n">
        <v>126.184735462833</v>
      </c>
      <c r="C56" s="21" t="n">
        <f aca="false">IFERROR((B56/B55-1)*100,"")</f>
        <v>-0.533913630898775</v>
      </c>
      <c r="D56" s="21" t="n">
        <f aca="false">IFERROR((B56/B52-1)*100,"")</f>
        <v>1.93633582301573</v>
      </c>
      <c r="E56" s="14"/>
      <c r="F56" s="14"/>
      <c r="G56" s="14"/>
    </row>
    <row r="57" customFormat="false" ht="15" hidden="false" customHeight="false" outlineLevel="0" collapsed="false">
      <c r="A57" s="16" t="n">
        <v>42826</v>
      </c>
      <c r="B57" s="17" t="n">
        <v>127.39683038591</v>
      </c>
      <c r="C57" s="18" t="n">
        <f aca="false">IFERROR((B57/B56-1)*100,"")</f>
        <v>0.960571751117012</v>
      </c>
      <c r="D57" s="18" t="n">
        <f aca="false">IFERROR((B57/B53-1)*100,"")</f>
        <v>2.11695713294313</v>
      </c>
      <c r="E57" s="19"/>
      <c r="F57" s="19"/>
      <c r="G57" s="19"/>
    </row>
    <row r="58" customFormat="false" ht="15" hidden="false" customHeight="false" outlineLevel="0" collapsed="false">
      <c r="A58" s="12" t="n">
        <v>42917</v>
      </c>
      <c r="B58" s="13" t="n">
        <v>128.104852980876</v>
      </c>
      <c r="C58" s="21" t="n">
        <f aca="false">IFERROR((B58/B57-1)*100,"")</f>
        <v>0.555761546673828</v>
      </c>
      <c r="D58" s="21" t="n">
        <f aca="false">IFERROR((B58/B54-1)*100,"")</f>
        <v>1.68811878308968</v>
      </c>
      <c r="E58" s="14"/>
      <c r="F58" s="14"/>
      <c r="G58" s="14"/>
    </row>
    <row r="59" customFormat="false" ht="15" hidden="false" customHeight="false" outlineLevel="0" collapsed="false">
      <c r="A59" s="16" t="n">
        <v>43009</v>
      </c>
      <c r="B59" s="17" t="n">
        <v>128.860536450328</v>
      </c>
      <c r="C59" s="18" t="n">
        <f aca="false">IFERROR((B59/B58-1)*100,"")</f>
        <v>0.589894490230303</v>
      </c>
      <c r="D59" s="18" t="n">
        <f aca="false">IFERROR((B59/B55-1)*100,"")</f>
        <v>1.57530703792901</v>
      </c>
      <c r="E59" s="19"/>
      <c r="F59" s="19"/>
      <c r="G59" s="19"/>
    </row>
    <row r="60" customFormat="false" ht="15" hidden="false" customHeight="false" outlineLevel="0" collapsed="false">
      <c r="A60" s="12" t="n">
        <v>43101</v>
      </c>
      <c r="B60" s="13" t="n">
        <v>129.79569336158</v>
      </c>
      <c r="C60" s="21" t="n">
        <f aca="false">IFERROR((B60/B59-1)*100,"")</f>
        <v>0.725712415151847</v>
      </c>
      <c r="D60" s="21" t="n">
        <f aca="false">IFERROR((B60/B56-1)*100,"")</f>
        <v>2.86164399006139</v>
      </c>
      <c r="E60" s="14"/>
      <c r="F60" s="14"/>
      <c r="G60" s="14"/>
    </row>
    <row r="61" customFormat="false" ht="15" hidden="false" customHeight="false" outlineLevel="0" collapsed="false">
      <c r="A61" s="16" t="n">
        <v>43191</v>
      </c>
      <c r="B61" s="17" t="n">
        <v>129.94445146639</v>
      </c>
      <c r="C61" s="18" t="n">
        <f aca="false">IFERROR((B61/B60-1)*100,"")</f>
        <v>0.114609430373136</v>
      </c>
      <c r="D61" s="18" t="n">
        <f aca="false">IFERROR((B61/B57-1)*100,"")</f>
        <v>1.99975232724601</v>
      </c>
      <c r="E61" s="19"/>
      <c r="F61" s="19"/>
      <c r="G61" s="19"/>
    </row>
    <row r="62" customFormat="false" ht="15" hidden="false" customHeight="false" outlineLevel="0" collapsed="false">
      <c r="A62" s="12" t="n">
        <v>43282</v>
      </c>
      <c r="B62" s="13" t="n">
        <v>130.820965552273</v>
      </c>
      <c r="C62" s="21" t="n">
        <f aca="false">IFERROR((B62/B61-1)*100,"")</f>
        <v>0.674529828700932</v>
      </c>
      <c r="D62" s="21" t="n">
        <f aca="false">IFERROR((B62/B58-1)*100,"")</f>
        <v>2.12022613366707</v>
      </c>
      <c r="E62" s="14"/>
      <c r="F62" s="14"/>
      <c r="G62" s="14"/>
    </row>
    <row r="63" customFormat="false" ht="15" hidden="false" customHeight="false" outlineLevel="0" collapsed="false">
      <c r="A63" s="16" t="n">
        <v>43374</v>
      </c>
      <c r="B63" s="17" t="n">
        <v>131.474486106297</v>
      </c>
      <c r="C63" s="18" t="n">
        <f aca="false">IFERROR((B63/B62-1)*100,"")</f>
        <v>0.499553379128104</v>
      </c>
      <c r="D63" s="18" t="n">
        <f aca="false">IFERROR((B63/B59-1)*100,"")</f>
        <v>2.02851061152962</v>
      </c>
      <c r="E63" s="19"/>
      <c r="F63" s="19"/>
      <c r="G63" s="19"/>
    </row>
    <row r="64" customFormat="false" ht="15" hidden="false" customHeight="false" outlineLevel="0" collapsed="false">
      <c r="A64" s="12" t="n">
        <v>43466</v>
      </c>
      <c r="B64" s="13" t="n">
        <v>132.067633266057</v>
      </c>
      <c r="C64" s="21" t="n">
        <f aca="false">IFERROR((B64/B63-1)*100,"")</f>
        <v>0.451150011934831</v>
      </c>
      <c r="D64" s="21" t="n">
        <f aca="false">IFERROR((B64/B60-1)*100,"")</f>
        <v>1.75039698593722</v>
      </c>
      <c r="E64" s="14"/>
      <c r="F64" s="14"/>
      <c r="G64" s="14"/>
    </row>
    <row r="65" customFormat="false" ht="15" hidden="false" customHeight="false" outlineLevel="0" collapsed="false">
      <c r="A65" s="16" t="n">
        <v>43556</v>
      </c>
      <c r="B65" s="17" t="n">
        <v>132.7520020546</v>
      </c>
      <c r="C65" s="18" t="n">
        <f aca="false">IFERROR((B65/B64-1)*100,"")</f>
        <v>0.518195693841372</v>
      </c>
      <c r="D65" s="18" t="n">
        <f aca="false">IFERROR((B65/B61-1)*100,"")</f>
        <v>2.16057750563969</v>
      </c>
      <c r="E65" s="19"/>
      <c r="F65" s="19"/>
      <c r="G65" s="19"/>
    </row>
    <row r="66" customFormat="false" ht="15" hidden="false" customHeight="false" outlineLevel="0" collapsed="false">
      <c r="A66" s="12" t="n">
        <v>43647</v>
      </c>
      <c r="B66" s="13" t="n">
        <v>133.44274803528</v>
      </c>
      <c r="C66" s="21" t="n">
        <f aca="false">IFERROR((B66/B65-1)*100,"")</f>
        <v>0.520328108042922</v>
      </c>
      <c r="D66" s="21" t="n">
        <f aca="false">IFERROR((B66/B62-1)*100,"")</f>
        <v>2.00409962725685</v>
      </c>
      <c r="E66" s="14"/>
      <c r="F66" s="14"/>
      <c r="G66" s="14"/>
    </row>
    <row r="67" customFormat="false" ht="15" hidden="false" customHeight="false" outlineLevel="0" collapsed="false">
      <c r="A67" s="16" t="n">
        <v>43739</v>
      </c>
      <c r="B67" s="17" t="n">
        <v>134.275440077799</v>
      </c>
      <c r="C67" s="18" t="n">
        <f aca="false">IFERROR((B67/B66-1)*100,"")</f>
        <v>0.624006965368729</v>
      </c>
      <c r="D67" s="18" t="n">
        <f aca="false">IFERROR((B67/B63-1)*100,"")</f>
        <v>2.1304163678096</v>
      </c>
      <c r="E67" s="19"/>
      <c r="F67" s="19"/>
      <c r="G67" s="19"/>
    </row>
    <row r="68" customFormat="false" ht="15" hidden="false" customHeight="false" outlineLevel="0" collapsed="false">
      <c r="A68" s="12" t="n">
        <v>43831</v>
      </c>
      <c r="B68" s="13" t="n">
        <v>134.604155079894</v>
      </c>
      <c r="C68" s="21" t="n">
        <f aca="false">IFERROR((B68/B67-1)*100,"")</f>
        <v>0.244806497676975</v>
      </c>
      <c r="D68" s="21" t="n">
        <f aca="false">IFERROR((B68/B64-1)*100,"")</f>
        <v>1.92062335873557</v>
      </c>
      <c r="E68" s="14"/>
      <c r="F68" s="14"/>
      <c r="G68" s="14"/>
    </row>
    <row r="69" customFormat="false" ht="15" hidden="false" customHeight="false" outlineLevel="0" collapsed="false">
      <c r="A69" s="16" t="n">
        <v>43922</v>
      </c>
      <c r="B69" s="17" t="n">
        <v>135.269663017894</v>
      </c>
      <c r="C69" s="18" t="n">
        <f aca="false">IFERROR((B69/B68-1)*100,"")</f>
        <v>0.494418569474808</v>
      </c>
      <c r="D69" s="18" t="n">
        <f aca="false">IFERROR((B69/B65-1)*100,"")</f>
        <v>1.89651449645059</v>
      </c>
      <c r="E69" s="19"/>
      <c r="F69" s="19"/>
      <c r="G69" s="19"/>
    </row>
    <row r="70" customFormat="false" ht="15" hidden="false" customHeight="false" outlineLevel="0" collapsed="false">
      <c r="A70" s="12" t="n">
        <v>44013</v>
      </c>
      <c r="B70" s="13" t="n">
        <v>136.892567405151</v>
      </c>
      <c r="C70" s="21" t="n">
        <f aca="false">IFERROR((B70/B69-1)*100,"")</f>
        <v>1.19975488298714</v>
      </c>
      <c r="D70" s="21" t="n">
        <f aca="false">IFERROR((B70/B66-1)*100,"")</f>
        <v>2.58524305041998</v>
      </c>
      <c r="E70" s="14"/>
      <c r="F70" s="14"/>
      <c r="G70" s="14"/>
    </row>
    <row r="71" customFormat="false" ht="15" hidden="false" customHeight="false" outlineLevel="0" collapsed="false">
      <c r="A71" s="16" t="n">
        <v>44105</v>
      </c>
      <c r="B71" s="17" t="n">
        <v>137.020684298338</v>
      </c>
      <c r="C71" s="18" t="n">
        <f aca="false">IFERROR((B71/B70-1)*100,"")</f>
        <v>0.0935893712972868</v>
      </c>
      <c r="D71" s="18" t="n">
        <f aca="false">IFERROR((B71/B67-1)*100,"")</f>
        <v>2.0444872263673</v>
      </c>
      <c r="E71" s="19"/>
      <c r="F71" s="19"/>
      <c r="G71" s="19"/>
    </row>
    <row r="72" customFormat="false" ht="15" hidden="false" customHeight="false" outlineLevel="0" collapsed="false">
      <c r="A72" s="12" t="n">
        <v>44197</v>
      </c>
      <c r="B72" s="13" t="n">
        <v>138.208491767598</v>
      </c>
      <c r="C72" s="21" t="n">
        <f aca="false">IFERROR((B72/B71-1)*100,"")</f>
        <v>0.86688186921724</v>
      </c>
      <c r="D72" s="21" t="n">
        <f aca="false">IFERROR((B72/B68-1)*100,"")</f>
        <v>2.67773062842276</v>
      </c>
      <c r="E72" s="14"/>
      <c r="F72" s="14"/>
      <c r="G72" s="14"/>
    </row>
    <row r="73" customFormat="false" ht="15" hidden="false" customHeight="false" outlineLevel="0" collapsed="false">
      <c r="A73" s="16" t="n">
        <v>44287</v>
      </c>
      <c r="B73" s="17" t="n">
        <v>138.04548300557</v>
      </c>
      <c r="C73" s="18" t="n">
        <f aca="false">IFERROR((B73/B72-1)*100,"")</f>
        <v>-0.117944100208911</v>
      </c>
      <c r="D73" s="18" t="n">
        <f aca="false">IFERROR((B73/B69-1)*100,"")</f>
        <v>2.05206394822579</v>
      </c>
      <c r="E73" s="19"/>
      <c r="F73" s="19"/>
      <c r="G73" s="19"/>
    </row>
    <row r="74" customFormat="false" ht="15" hidden="false" customHeight="false" outlineLevel="0" collapsed="false">
      <c r="A74" s="12" t="n">
        <v>44378</v>
      </c>
      <c r="B74" s="13" t="n">
        <v>139.73832895709</v>
      </c>
      <c r="C74" s="21" t="n">
        <f aca="false">IFERROR((B74/B73-1)*100,"")</f>
        <v>1.22629579372162</v>
      </c>
      <c r="D74" s="21" t="n">
        <f aca="false">IFERROR((B74/B70-1)*100,"")</f>
        <v>2.07882838775089</v>
      </c>
      <c r="E74" s="14"/>
      <c r="F74" s="14"/>
      <c r="G74" s="14"/>
    </row>
    <row r="75" customFormat="false" ht="15" hidden="false" customHeight="false" outlineLevel="0" collapsed="false">
      <c r="A75" s="16" t="n">
        <v>44470</v>
      </c>
      <c r="B75" s="17" t="n">
        <v>138.757312239626</v>
      </c>
      <c r="C75" s="18" t="n">
        <f aca="false">IFERROR((B75/B74-1)*100,"")</f>
        <v>-0.70203839188977</v>
      </c>
      <c r="D75" s="18" t="n">
        <f aca="false">IFERROR((B75/B71-1)*100,"")</f>
        <v>1.2674202805081</v>
      </c>
      <c r="E75" s="19"/>
      <c r="F75" s="19"/>
      <c r="G75" s="19"/>
    </row>
    <row r="76" customFormat="false" ht="15" hidden="false" customHeight="false" outlineLevel="0" collapsed="false">
      <c r="A76" s="12" t="n">
        <v>44562</v>
      </c>
      <c r="B76" s="13" t="n">
        <v>139.725967368151</v>
      </c>
      <c r="C76" s="21" t="n">
        <f aca="false">IFERROR((B76/B75-1)*100,"")</f>
        <v>0.698093032280256</v>
      </c>
      <c r="D76" s="21" t="n">
        <f aca="false">IFERROR((B76/B72-1)*100,"")</f>
        <v>1.09796118975403</v>
      </c>
      <c r="E76" s="14"/>
      <c r="F76" s="14"/>
      <c r="G76" s="14"/>
    </row>
    <row r="77" customFormat="false" ht="15" hidden="false" customHeight="false" outlineLevel="0" collapsed="false">
      <c r="A77" s="16" t="n">
        <v>44652</v>
      </c>
      <c r="B77" s="17" t="n">
        <v>140.804754660227</v>
      </c>
      <c r="C77" s="18" t="n">
        <f aca="false">IFERROR((B77/B76-1)*100,"")</f>
        <v>0.772073589752997</v>
      </c>
      <c r="D77" s="18" t="n">
        <f aca="false">IFERROR((B77/B73-1)*100,"")</f>
        <v>1.99881343060335</v>
      </c>
      <c r="E77" s="19"/>
      <c r="F77" s="19"/>
      <c r="G77" s="19"/>
    </row>
    <row r="78" customFormat="false" ht="15" hidden="false" customHeight="false" outlineLevel="0" collapsed="false">
      <c r="A78" s="12" t="n">
        <v>44743</v>
      </c>
      <c r="B78" s="13" t="n">
        <v>142.072832135038</v>
      </c>
      <c r="C78" s="21" t="n">
        <f aca="false">IFERROR((B78/B77-1)*100,"")</f>
        <v>0.900592794519461</v>
      </c>
      <c r="D78" s="21" t="n">
        <f aca="false">IFERROR((B78/B74-1)*100,"")</f>
        <v>1.6706247994881</v>
      </c>
      <c r="E78" s="14"/>
      <c r="F78" s="14"/>
      <c r="G78" s="14"/>
    </row>
    <row r="79" customFormat="false" ht="15" hidden="false" customHeight="false" outlineLevel="0" collapsed="false">
      <c r="A79" s="16" t="n">
        <v>44835</v>
      </c>
      <c r="B79" s="17" t="n">
        <v>141.516451804746</v>
      </c>
      <c r="C79" s="18" t="n">
        <f aca="false">IFERROR((B79/B78-1)*100,"")</f>
        <v>-0.391616273097628</v>
      </c>
      <c r="D79" s="18" t="n">
        <f aca="false">IFERROR((B79/B75-1)*100,"")</f>
        <v>1.98846426223291</v>
      </c>
      <c r="E79" s="19"/>
      <c r="F79" s="19"/>
      <c r="G79" s="19"/>
    </row>
    <row r="80" customFormat="false" ht="15" hidden="false" customHeight="false" outlineLevel="0" collapsed="false">
      <c r="A80" s="12" t="n">
        <v>44927</v>
      </c>
      <c r="B80" s="13" t="n">
        <v>143.668835329035</v>
      </c>
      <c r="C80" s="21" t="n">
        <f aca="false">IFERROR((B80/B79-1)*100,"")</f>
        <v>1.52094226278228</v>
      </c>
      <c r="D80" s="21" t="n">
        <f aca="false">IFERROR((B80/B76-1)*100,"")</f>
        <v>2.82185769413592</v>
      </c>
      <c r="E80" s="14"/>
      <c r="F80" s="14"/>
      <c r="G80" s="14"/>
    </row>
    <row r="81" customFormat="false" ht="15" hidden="false" customHeight="false" outlineLevel="0" collapsed="false">
      <c r="A81" s="16" t="n">
        <v>45017</v>
      </c>
      <c r="B81" s="17" t="n">
        <v>143.529677808545</v>
      </c>
      <c r="C81" s="18" t="n">
        <f aca="false">IFERROR((B81/B80-1)*100,"")</f>
        <v>-0.0968599210615984</v>
      </c>
      <c r="D81" s="18" t="n">
        <f aca="false">IFERROR((B81/B77-1)*100,"")</f>
        <v>1.93524938479048</v>
      </c>
      <c r="E81" s="19"/>
      <c r="F81" s="19"/>
      <c r="G81" s="19"/>
    </row>
    <row r="82" customFormat="false" ht="15" hidden="false" customHeight="false" outlineLevel="0" collapsed="false">
      <c r="A82" s="12" t="n">
        <v>45108</v>
      </c>
      <c r="B82" s="13" t="n">
        <v>144.887152384267</v>
      </c>
      <c r="C82" s="21" t="n">
        <f aca="false">IFERROR((B82/B81-1)*100,"")</f>
        <v>0.945779713609718</v>
      </c>
      <c r="D82" s="21" t="n">
        <f aca="false">IFERROR((B82/B78-1)*100,"")</f>
        <v>1.98089966036199</v>
      </c>
      <c r="E82" s="14"/>
      <c r="F82" s="14"/>
      <c r="G82" s="14"/>
    </row>
    <row r="83" customFormat="false" ht="15" hidden="false" customHeight="false" outlineLevel="0" collapsed="false">
      <c r="A83" s="16" t="n">
        <v>45200</v>
      </c>
      <c r="B83" s="17" t="n">
        <v>145.340748244525</v>
      </c>
      <c r="C83" s="18" t="n">
        <f aca="false">IFERROR((B83/B82-1)*100,"")</f>
        <v>0.313068379627324</v>
      </c>
      <c r="D83" s="18" t="n">
        <f aca="false">IFERROR((B83/B79-1)*100,"")</f>
        <v>2.70236879953376</v>
      </c>
      <c r="E83" s="19"/>
      <c r="F83" s="19"/>
      <c r="G83" s="19"/>
    </row>
    <row r="84" customFormat="false" ht="15" hidden="false" customHeight="false" outlineLevel="0" collapsed="false">
      <c r="A84" s="12" t="n">
        <v>45292</v>
      </c>
      <c r="B84" s="13" t="n">
        <v>145.817876365214</v>
      </c>
      <c r="C84" s="21" t="n">
        <f aca="false">IFERROR((B84/B83-1)*100,"")</f>
        <v>0.328282416632497</v>
      </c>
      <c r="D84" s="21" t="n">
        <f aca="false">IFERROR((B84/B80-1)*100,"")</f>
        <v>1.49582964966444</v>
      </c>
      <c r="E84" s="14"/>
      <c r="F84" s="14"/>
      <c r="G84" s="14"/>
    </row>
    <row r="85" customFormat="false" ht="15" hidden="false" customHeight="false" outlineLevel="0" collapsed="false">
      <c r="A85" s="16" t="n">
        <v>45383</v>
      </c>
      <c r="B85" s="17" t="n">
        <v>146.793227985023</v>
      </c>
      <c r="C85" s="18" t="n">
        <f aca="false">IFERROR((B85/B84-1)*100,"")</f>
        <v>0.668883434680301</v>
      </c>
      <c r="D85" s="18" t="n">
        <f aca="false">IFERROR((B85/B81-1)*100,"")</f>
        <v>2.2737807443781</v>
      </c>
      <c r="E85" s="19"/>
      <c r="F85" s="19"/>
      <c r="G85" s="19"/>
    </row>
    <row r="86" customFormat="false" ht="15" hidden="false" customHeight="false" outlineLevel="0" collapsed="false">
      <c r="A86" s="12" t="n">
        <v>45474</v>
      </c>
      <c r="B86" s="13" t="n">
        <v>147.682855146416</v>
      </c>
      <c r="C86" s="21" t="n">
        <f aca="false">IFERROR((B86/B85-1)*100,"")</f>
        <v>0.606041009931913</v>
      </c>
      <c r="D86" s="21" t="n">
        <f aca="false">IFERROR((B86/B82-1)*100,"")</f>
        <v>1.92957257848052</v>
      </c>
      <c r="E86" s="14"/>
      <c r="F86" s="14"/>
      <c r="G86" s="14"/>
    </row>
    <row r="87" customFormat="false" ht="15" hidden="false" customHeight="false" outlineLevel="0" collapsed="false">
      <c r="A87" s="16" t="n">
        <v>45566</v>
      </c>
      <c r="B87" s="17" t="n">
        <v>149.168293885183</v>
      </c>
      <c r="C87" s="18" t="n">
        <f aca="false">IFERROR((B87/B86-1)*100,"")</f>
        <v>1.00583018746103</v>
      </c>
      <c r="D87" s="18" t="n">
        <f aca="false">IFERROR((B87/B83-1)*100,"")</f>
        <v>2.6334979604054</v>
      </c>
      <c r="E87" s="19"/>
      <c r="F87" s="19"/>
      <c r="G87" s="19"/>
    </row>
    <row r="88" customFormat="false" ht="15" hidden="false" customHeight="false" outlineLevel="0" collapsed="false">
      <c r="A88" s="12" t="n">
        <v>45658</v>
      </c>
      <c r="B88" s="13" t="n">
        <v>149.532701043759</v>
      </c>
      <c r="C88" s="21" t="n">
        <f aca="false">IFERROR((B88/B87-1)*100,"")</f>
        <v>0.244292636917343</v>
      </c>
      <c r="D88" s="21" t="n">
        <f aca="false">IFERROR((B88/B84-1)*100,"")</f>
        <v>2.54757837046069</v>
      </c>
      <c r="E88" s="14"/>
      <c r="F88" s="14"/>
      <c r="G88" s="14"/>
    </row>
    <row r="89" customFormat="false" ht="15" hidden="false" customHeight="false" outlineLevel="0" collapsed="false">
      <c r="A89" s="16" t="n">
        <v>45748</v>
      </c>
      <c r="B89" s="17" t="n">
        <v>150.867111315567</v>
      </c>
      <c r="C89" s="18" t="n">
        <f aca="false">IFERROR((B89/B88-1)*100,"")</f>
        <v>0.892386924394284</v>
      </c>
      <c r="D89" s="18" t="n">
        <f aca="false">IFERROR((B89/B85-1)*100,"")</f>
        <v>2.77525290945952</v>
      </c>
      <c r="E89" s="19"/>
      <c r="F89" s="19"/>
      <c r="G89" s="19"/>
    </row>
    <row r="90" customFormat="false" ht="15" hidden="false" customHeight="false" outlineLevel="0" collapsed="false">
      <c r="A90" s="12" t="n">
        <v>45839</v>
      </c>
      <c r="B90" s="13" t="n">
        <v>150.378480487884</v>
      </c>
      <c r="C90" s="21" t="n">
        <f aca="false">IFERROR((B90/B89-1)*100,"")</f>
        <v>-0.323881609067833</v>
      </c>
      <c r="D90" s="21" t="n">
        <f aca="false">IFERROR((B90/B86-1)*100,"")</f>
        <v>1.82527981247134</v>
      </c>
      <c r="E90" s="14"/>
      <c r="F90" s="14"/>
      <c r="G90" s="14"/>
    </row>
    <row r="91" customFormat="false" ht="15" hidden="false" customHeight="false" outlineLevel="0" collapsed="false">
      <c r="A91" s="16" t="n">
        <v>45931</v>
      </c>
      <c r="B91" s="17" t="n">
        <v>151.392616988374</v>
      </c>
      <c r="C91" s="18" t="n">
        <f aca="false">IFERROR((B91/B90-1)*100,"")</f>
        <v>0.67438937885238</v>
      </c>
      <c r="D91" s="18" t="n">
        <f aca="false">IFERROR((B91/B87-1)*100,"")</f>
        <v>1.4911500596124</v>
      </c>
      <c r="E91" s="19"/>
      <c r="F91" s="19"/>
      <c r="G91" s="19"/>
    </row>
    <row r="92" customFormat="false" ht="15" hidden="false" customHeight="false" outlineLevel="0" collapsed="false">
      <c r="A92" s="12" t="n">
        <v>46023</v>
      </c>
      <c r="B92" s="14"/>
      <c r="C92" s="21" t="n">
        <f aca="false">IFERROR((B92/B91-1)*100,"")</f>
        <v>-100</v>
      </c>
      <c r="D92" s="21" t="n">
        <f aca="false">IFERROR((B92/B88-1)*100,"")</f>
        <v>-100</v>
      </c>
      <c r="E92" s="13" t="n">
        <v>152.284564791457</v>
      </c>
      <c r="F92" s="13" t="n">
        <v>151.282909702967</v>
      </c>
      <c r="G92" s="22" t="n">
        <f aca="false">153.310861-149.254958</f>
        <v>4.055903</v>
      </c>
    </row>
    <row r="93" customFormat="false" ht="15" hidden="false" customHeight="false" outlineLevel="0" collapsed="false">
      <c r="A93" s="16" t="n">
        <v>46113</v>
      </c>
      <c r="B93" s="19"/>
      <c r="C93" s="18" t="str">
        <f aca="false">IFERROR((B93/B92-1)*100,"")</f>
        <v/>
      </c>
      <c r="D93" s="18" t="n">
        <f aca="false">IFERROR((B93/B89-1)*100,"")</f>
        <v>-100</v>
      </c>
      <c r="E93" s="17" t="n">
        <v>153.060406892589</v>
      </c>
      <c r="F93" s="17" t="n">
        <v>151.702664446587</v>
      </c>
      <c r="G93" s="23" t="n">
        <f aca="false">154.570621-148.834708</f>
        <v>5.73591299999998</v>
      </c>
    </row>
    <row r="94" customFormat="false" ht="15" hidden="false" customHeight="false" outlineLevel="0" collapsed="false">
      <c r="A94" s="12" t="n">
        <v>46204</v>
      </c>
      <c r="B94" s="14"/>
      <c r="C94" s="21" t="str">
        <f aca="false">IFERROR((B94/B93-1)*100,"")</f>
        <v/>
      </c>
      <c r="D94" s="21" t="n">
        <f aca="false">IFERROR((B94/B90-1)*100,"")</f>
        <v>-100</v>
      </c>
      <c r="E94" s="13" t="n">
        <v>153.840201665921</v>
      </c>
      <c r="F94" s="13" t="n">
        <v>152.497032107764</v>
      </c>
      <c r="G94" s="22" t="n">
        <f aca="false">156.009547-148.984517</f>
        <v>7.02502999999999</v>
      </c>
    </row>
    <row r="95" customFormat="false" ht="15" hidden="false" customHeight="false" outlineLevel="0" collapsed="false">
      <c r="A95" s="16" t="n">
        <v>46296</v>
      </c>
      <c r="B95" s="19"/>
      <c r="C95" s="18" t="str">
        <f aca="false">IFERROR((B95/B94-1)*100,"")</f>
        <v/>
      </c>
      <c r="D95" s="18" t="n">
        <f aca="false">IFERROR((B95/B91-1)*100,"")</f>
        <v>-100</v>
      </c>
      <c r="E95" s="17" t="n">
        <v>154.62396924908</v>
      </c>
      <c r="F95" s="17" t="n">
        <v>153.127720454933</v>
      </c>
      <c r="G95" s="23" t="n">
        <f aca="false">157.183624-149.071817</f>
        <v>8.111807</v>
      </c>
    </row>
    <row r="96" customFormat="false" ht="15" hidden="false" customHeight="false" outlineLevel="0" collapsed="false">
      <c r="A96" s="12" t="n">
        <v>46388</v>
      </c>
      <c r="B96" s="14"/>
      <c r="C96" s="21" t="str">
        <f aca="false">IFERROR((B96/B95-1)*100,"")</f>
        <v/>
      </c>
      <c r="D96" s="21" t="str">
        <f aca="false">IFERROR((B96/B92-1)*100,"")</f>
        <v/>
      </c>
      <c r="E96" s="13" t="n">
        <v>155.411729882285</v>
      </c>
      <c r="F96" s="13" t="n">
        <v>152.902823986223</v>
      </c>
      <c r="G96" s="22" t="n">
        <f aca="false">157.437461-148.368186</f>
        <v>9.06927500000001</v>
      </c>
    </row>
    <row r="97" customFormat="false" ht="15" hidden="false" customHeight="false" outlineLevel="0" collapsed="false">
      <c r="A97" s="16" t="n">
        <v>46478</v>
      </c>
      <c r="B97" s="19"/>
      <c r="C97" s="18" t="str">
        <f aca="false">IFERROR((B97/B96-1)*100,"")</f>
        <v/>
      </c>
      <c r="D97" s="18" t="str">
        <f aca="false">IFERROR((B97/B93-1)*100,"")</f>
        <v/>
      </c>
      <c r="E97" s="17" t="n">
        <v>156.203503908874</v>
      </c>
      <c r="F97" s="17" t="n">
        <v>153.24158301568</v>
      </c>
      <c r="G97" s="23" t="n">
        <f aca="false">158.20903-148.274137</f>
        <v>9.93489300000002</v>
      </c>
    </row>
    <row r="98" customFormat="false" ht="15" hidden="false" customHeight="false" outlineLevel="0" collapsed="false">
      <c r="A98" s="12" t="n">
        <v>46569</v>
      </c>
      <c r="B98" s="14"/>
      <c r="C98" s="21" t="str">
        <f aca="false">IFERROR((B98/B97-1)*100,"")</f>
        <v/>
      </c>
      <c r="D98" s="21" t="str">
        <f aca="false">IFERROR((B98/B94-1)*100,"")</f>
        <v/>
      </c>
      <c r="E98" s="13" t="n">
        <v>156.999311775829</v>
      </c>
      <c r="F98" s="13" t="n">
        <v>153.959004748403</v>
      </c>
      <c r="G98" s="22" t="n">
        <f aca="false">159.32446-148.593549</f>
        <v>10.730911</v>
      </c>
    </row>
    <row r="99" customFormat="false" ht="15" hidden="false" customHeight="false" outlineLevel="0" collapsed="false">
      <c r="A99" s="16" t="n">
        <v>46661</v>
      </c>
      <c r="B99" s="19"/>
      <c r="C99" s="18" t="str">
        <f aca="false">IFERROR((B99/B98-1)*100,"")</f>
        <v/>
      </c>
      <c r="D99" s="18" t="str">
        <f aca="false">IFERROR((B99/B95-1)*100,"")</f>
        <v/>
      </c>
      <c r="E99" s="17" t="n">
        <v>157.799174034299</v>
      </c>
      <c r="F99" s="17" t="n">
        <v>154.516594463539</v>
      </c>
      <c r="G99" s="23" t="n">
        <f aca="false">160.252508-148.780681</f>
        <v>11.471827</v>
      </c>
    </row>
    <row r="102" customFormat="false" ht="21.75" hidden="false" customHeight="true" outlineLevel="0" collapsed="false">
      <c r="A102" s="9" t="s">
        <v>149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customFormat="false" ht="15" hidden="false" customHeight="false" outlineLevel="0" collapsed="false">
      <c r="A103" s="5" t="s">
        <v>113</v>
      </c>
      <c r="B103" s="10" t="s">
        <v>114</v>
      </c>
      <c r="D103" s="5" t="s">
        <v>115</v>
      </c>
      <c r="E103" s="2" t="s">
        <v>116</v>
      </c>
      <c r="H103" s="5" t="s">
        <v>117</v>
      </c>
      <c r="I103" s="2" t="s">
        <v>118</v>
      </c>
    </row>
    <row r="104" customFormat="false" ht="18" hidden="false" customHeight="true" outlineLevel="0" collapsed="false">
      <c r="A104" s="11" t="s">
        <v>119</v>
      </c>
      <c r="B104" s="11"/>
      <c r="C104" s="11"/>
      <c r="D104" s="11"/>
      <c r="E104" s="11"/>
      <c r="F104" s="11"/>
      <c r="G104" s="11"/>
      <c r="I104" s="11" t="s">
        <v>120</v>
      </c>
      <c r="J104" s="11"/>
      <c r="K104" s="11"/>
      <c r="L104" s="11"/>
    </row>
    <row r="105" customFormat="false" ht="15" hidden="false" customHeight="false" outlineLevel="0" collapsed="false">
      <c r="A105" s="6" t="s">
        <v>121</v>
      </c>
      <c r="B105" s="6" t="s">
        <v>122</v>
      </c>
      <c r="C105" s="6" t="s">
        <v>123</v>
      </c>
      <c r="D105" s="6" t="s">
        <v>124</v>
      </c>
      <c r="E105" s="6" t="s">
        <v>125</v>
      </c>
      <c r="F105" s="6" t="s">
        <v>126</v>
      </c>
      <c r="G105" s="6" t="s">
        <v>127</v>
      </c>
      <c r="I105" s="6" t="s">
        <v>128</v>
      </c>
      <c r="J105" s="6" t="s">
        <v>122</v>
      </c>
      <c r="K105" s="6" t="s">
        <v>124</v>
      </c>
      <c r="L105" s="6" t="s">
        <v>129</v>
      </c>
    </row>
    <row r="106" customFormat="false" ht="15" hidden="false" customHeight="false" outlineLevel="0" collapsed="false">
      <c r="A106" s="12" t="n">
        <v>38353</v>
      </c>
      <c r="B106" s="13" t="n">
        <v>100.118052881478</v>
      </c>
      <c r="C106" s="14"/>
      <c r="D106" s="14"/>
      <c r="E106" s="14"/>
      <c r="F106" s="14"/>
      <c r="G106" s="14"/>
      <c r="I106" s="15" t="n">
        <v>2005</v>
      </c>
      <c r="J106" s="13" t="n">
        <v>403.015807806437</v>
      </c>
      <c r="K106" s="14"/>
      <c r="L106" s="14"/>
    </row>
    <row r="107" customFormat="false" ht="15" hidden="false" customHeight="false" outlineLevel="0" collapsed="false">
      <c r="A107" s="16" t="n">
        <v>38443</v>
      </c>
      <c r="B107" s="17" t="n">
        <v>101.123807075126</v>
      </c>
      <c r="C107" s="18" t="n">
        <f aca="false">IFERROR((B107/B106-1)*100,"")</f>
        <v>1.00456827185647</v>
      </c>
      <c r="D107" s="19"/>
      <c r="E107" s="19"/>
      <c r="F107" s="19"/>
      <c r="G107" s="19"/>
      <c r="I107" s="20" t="n">
        <v>2006</v>
      </c>
      <c r="J107" s="17" t="n">
        <v>412.577769863507</v>
      </c>
      <c r="K107" s="18" t="n">
        <f aca="false">IFERROR((J107/J106-1)*100,"")</f>
        <v>2.37260223342457</v>
      </c>
      <c r="L107" s="19"/>
    </row>
    <row r="108" customFormat="false" ht="15" hidden="false" customHeight="false" outlineLevel="0" collapsed="false">
      <c r="A108" s="12" t="n">
        <v>38534</v>
      </c>
      <c r="B108" s="13" t="n">
        <v>100.608846163367</v>
      </c>
      <c r="C108" s="21" t="n">
        <f aca="false">IFERROR((B108/B107-1)*100,"")</f>
        <v>-0.509238058428252</v>
      </c>
      <c r="D108" s="14"/>
      <c r="E108" s="14"/>
      <c r="F108" s="14"/>
      <c r="G108" s="14"/>
      <c r="I108" s="15" t="n">
        <v>2007</v>
      </c>
      <c r="J108" s="13" t="n">
        <v>419.743881120703</v>
      </c>
      <c r="K108" s="21" t="n">
        <f aca="false">IFERROR((J108/J107-1)*100,"")</f>
        <v>1.73691162748963</v>
      </c>
      <c r="L108" s="14"/>
    </row>
    <row r="109" customFormat="false" ht="15" hidden="false" customHeight="false" outlineLevel="0" collapsed="false">
      <c r="A109" s="16" t="n">
        <v>38626</v>
      </c>
      <c r="B109" s="17" t="n">
        <v>101.165101686466</v>
      </c>
      <c r="C109" s="18" t="n">
        <f aca="false">IFERROR((B109/B108-1)*100,"")</f>
        <v>0.552889277942481</v>
      </c>
      <c r="D109" s="19"/>
      <c r="E109" s="19"/>
      <c r="F109" s="19"/>
      <c r="G109" s="19"/>
      <c r="I109" s="20" t="n">
        <v>2008</v>
      </c>
      <c r="J109" s="17" t="n">
        <v>428.392749505972</v>
      </c>
      <c r="K109" s="18" t="n">
        <f aca="false">IFERROR((J109/J108-1)*100,"")</f>
        <v>2.06051089111203</v>
      </c>
      <c r="L109" s="19"/>
    </row>
    <row r="110" customFormat="false" ht="15" hidden="false" customHeight="false" outlineLevel="0" collapsed="false">
      <c r="A110" s="12" t="n">
        <v>38718</v>
      </c>
      <c r="B110" s="13" t="n">
        <v>102.476882160083</v>
      </c>
      <c r="C110" s="21" t="n">
        <f aca="false">IFERROR((B110/B109-1)*100,"")</f>
        <v>1.2966729156092</v>
      </c>
      <c r="D110" s="21" t="n">
        <f aca="false">IFERROR((B110/B106-1)*100,"")</f>
        <v>2.35604789617507</v>
      </c>
      <c r="E110" s="14"/>
      <c r="F110" s="14"/>
      <c r="G110" s="14"/>
      <c r="I110" s="15" t="n">
        <v>2009</v>
      </c>
      <c r="J110" s="13" t="n">
        <v>438.625291971466</v>
      </c>
      <c r="K110" s="21" t="n">
        <f aca="false">IFERROR((J110/J109-1)*100,"")</f>
        <v>2.38858908730251</v>
      </c>
      <c r="L110" s="14"/>
    </row>
    <row r="111" customFormat="false" ht="15" hidden="false" customHeight="false" outlineLevel="0" collapsed="false">
      <c r="A111" s="16" t="n">
        <v>38808</v>
      </c>
      <c r="B111" s="17" t="n">
        <v>102.708233154416</v>
      </c>
      <c r="C111" s="18" t="n">
        <f aca="false">IFERROR((B111/B110-1)*100,"")</f>
        <v>0.225759204862608</v>
      </c>
      <c r="D111" s="18" t="n">
        <f aca="false">IFERROR((B111/B107-1)*100,"")</f>
        <v>1.56681806699901</v>
      </c>
      <c r="E111" s="19"/>
      <c r="F111" s="19"/>
      <c r="G111" s="19"/>
      <c r="I111" s="20" t="n">
        <v>2010</v>
      </c>
      <c r="J111" s="17" t="n">
        <v>444.934256061319</v>
      </c>
      <c r="K111" s="18" t="n">
        <f aca="false">IFERROR((J111/J110-1)*100,"")</f>
        <v>1.43834936227591</v>
      </c>
      <c r="L111" s="19"/>
    </row>
    <row r="112" customFormat="false" ht="15" hidden="false" customHeight="false" outlineLevel="0" collapsed="false">
      <c r="A112" s="12" t="n">
        <v>38899</v>
      </c>
      <c r="B112" s="13" t="n">
        <v>103.51584281333</v>
      </c>
      <c r="C112" s="21" t="n">
        <f aca="false">IFERROR((B112/B111-1)*100,"")</f>
        <v>0.786314430801194</v>
      </c>
      <c r="D112" s="21" t="n">
        <f aca="false">IFERROR((B112/B108-1)*100,"")</f>
        <v>2.88940462078469</v>
      </c>
      <c r="E112" s="14"/>
      <c r="F112" s="14"/>
      <c r="G112" s="14"/>
      <c r="I112" s="15" t="n">
        <v>2011</v>
      </c>
      <c r="J112" s="13" t="n">
        <v>451.612744728629</v>
      </c>
      <c r="K112" s="21" t="n">
        <f aca="false">IFERROR((J112/J111-1)*100,"")</f>
        <v>1.50100572754945</v>
      </c>
      <c r="L112" s="14"/>
    </row>
    <row r="113" customFormat="false" ht="15" hidden="false" customHeight="false" outlineLevel="0" collapsed="false">
      <c r="A113" s="16" t="n">
        <v>38991</v>
      </c>
      <c r="B113" s="17" t="n">
        <v>103.876811735678</v>
      </c>
      <c r="C113" s="18" t="n">
        <f aca="false">IFERROR((B113/B112-1)*100,"")</f>
        <v>0.348708866717673</v>
      </c>
      <c r="D113" s="18" t="n">
        <f aca="false">IFERROR((B113/B109-1)*100,"")</f>
        <v>2.68047973461778</v>
      </c>
      <c r="E113" s="19"/>
      <c r="F113" s="19"/>
      <c r="G113" s="19"/>
      <c r="I113" s="20" t="n">
        <v>2012</v>
      </c>
      <c r="J113" s="17" t="n">
        <v>464.552903198013</v>
      </c>
      <c r="K113" s="18" t="n">
        <f aca="false">IFERROR((J113/J112-1)*100,"")</f>
        <v>2.86532180954278</v>
      </c>
      <c r="L113" s="19"/>
    </row>
    <row r="114" customFormat="false" ht="15" hidden="false" customHeight="false" outlineLevel="0" collapsed="false">
      <c r="A114" s="12" t="n">
        <v>39083</v>
      </c>
      <c r="B114" s="13" t="n">
        <v>104.043331092109</v>
      </c>
      <c r="C114" s="21" t="n">
        <f aca="false">IFERROR((B114/B113-1)*100,"")</f>
        <v>0.160304647061094</v>
      </c>
      <c r="D114" s="21" t="n">
        <f aca="false">IFERROR((B114/B110-1)*100,"")</f>
        <v>1.52858761801367</v>
      </c>
      <c r="E114" s="14"/>
      <c r="F114" s="14"/>
      <c r="G114" s="14"/>
      <c r="I114" s="15" t="n">
        <v>2013</v>
      </c>
      <c r="J114" s="13" t="n">
        <v>471.568530512436</v>
      </c>
      <c r="K114" s="21" t="n">
        <f aca="false">IFERROR((J114/J113-1)*100,"")</f>
        <v>1.51018910141925</v>
      </c>
      <c r="L114" s="14"/>
    </row>
    <row r="115" customFormat="false" ht="15" hidden="false" customHeight="false" outlineLevel="0" collapsed="false">
      <c r="A115" s="16" t="n">
        <v>39173</v>
      </c>
      <c r="B115" s="17" t="n">
        <v>105.503942463833</v>
      </c>
      <c r="C115" s="18" t="n">
        <f aca="false">IFERROR((B115/B114-1)*100,"")</f>
        <v>1.40384910440019</v>
      </c>
      <c r="D115" s="18" t="n">
        <f aca="false">IFERROR((B115/B111-1)*100,"")</f>
        <v>2.72199143491683</v>
      </c>
      <c r="E115" s="19"/>
      <c r="F115" s="19"/>
      <c r="G115" s="19"/>
      <c r="I115" s="20" t="n">
        <v>2014</v>
      </c>
      <c r="J115" s="17" t="n">
        <v>481.663215524348</v>
      </c>
      <c r="K115" s="18" t="n">
        <f aca="false">IFERROR((J115/J114-1)*100,"")</f>
        <v>2.1406612949644</v>
      </c>
      <c r="L115" s="19"/>
    </row>
    <row r="116" customFormat="false" ht="15" hidden="false" customHeight="false" outlineLevel="0" collapsed="false">
      <c r="A116" s="12" t="n">
        <v>39264</v>
      </c>
      <c r="B116" s="13" t="n">
        <v>104.947845626693</v>
      </c>
      <c r="C116" s="21" t="n">
        <f aca="false">IFERROR((B116/B115-1)*100,"")</f>
        <v>-0.527086309908398</v>
      </c>
      <c r="D116" s="21" t="n">
        <f aca="false">IFERROR((B116/B112-1)*100,"")</f>
        <v>1.38336584472902</v>
      </c>
      <c r="E116" s="14"/>
      <c r="F116" s="14"/>
      <c r="G116" s="14"/>
      <c r="I116" s="15" t="n">
        <v>2015</v>
      </c>
      <c r="J116" s="13" t="n">
        <v>492.126729833406</v>
      </c>
      <c r="K116" s="21" t="n">
        <f aca="false">IFERROR((J116/J115-1)*100,"")</f>
        <v>2.17237147695977</v>
      </c>
      <c r="L116" s="14"/>
    </row>
    <row r="117" customFormat="false" ht="15" hidden="false" customHeight="false" outlineLevel="0" collapsed="false">
      <c r="A117" s="16" t="n">
        <v>39356</v>
      </c>
      <c r="B117" s="17" t="n">
        <v>105.248761938068</v>
      </c>
      <c r="C117" s="18" t="n">
        <f aca="false">IFERROR((B117/B116-1)*100,"")</f>
        <v>0.286729384084539</v>
      </c>
      <c r="D117" s="18" t="n">
        <f aca="false">IFERROR((B117/B113-1)*100,"")</f>
        <v>1.32074731546616</v>
      </c>
      <c r="E117" s="19"/>
      <c r="F117" s="19"/>
      <c r="G117" s="19"/>
      <c r="I117" s="20" t="n">
        <v>2016</v>
      </c>
      <c r="J117" s="17" t="n">
        <v>501.518688387122</v>
      </c>
      <c r="K117" s="18" t="n">
        <f aca="false">IFERROR((J117/J116-1)*100,"")</f>
        <v>1.90844308678271</v>
      </c>
      <c r="L117" s="19"/>
    </row>
    <row r="118" customFormat="false" ht="15" hidden="false" customHeight="false" outlineLevel="0" collapsed="false">
      <c r="A118" s="12" t="n">
        <v>39448</v>
      </c>
      <c r="B118" s="13" t="n">
        <v>107.003028108405</v>
      </c>
      <c r="C118" s="21" t="n">
        <f aca="false">IFERROR((B118/B117-1)*100,"")</f>
        <v>1.66678081341163</v>
      </c>
      <c r="D118" s="21" t="n">
        <f aca="false">IFERROR((B118/B114-1)*100,"")</f>
        <v>2.84467729476712</v>
      </c>
      <c r="E118" s="14"/>
      <c r="F118" s="14"/>
      <c r="G118" s="14"/>
      <c r="I118" s="15" t="n">
        <v>2017</v>
      </c>
      <c r="J118" s="13" t="n">
        <v>511.135528182711</v>
      </c>
      <c r="K118" s="21" t="n">
        <f aca="false">IFERROR((J118/J117-1)*100,"")</f>
        <v>1.91754365655175</v>
      </c>
      <c r="L118" s="14"/>
    </row>
    <row r="119" customFormat="false" ht="15" hidden="false" customHeight="false" outlineLevel="0" collapsed="false">
      <c r="A119" s="16" t="n">
        <v>39539</v>
      </c>
      <c r="B119" s="17" t="n">
        <v>106.740107148656</v>
      </c>
      <c r="C119" s="18" t="n">
        <f aca="false">IFERROR((B119/B118-1)*100,"")</f>
        <v>-0.245713569417061</v>
      </c>
      <c r="D119" s="18" t="n">
        <f aca="false">IFERROR((B119/B115-1)*100,"")</f>
        <v>1.17167629564758</v>
      </c>
      <c r="E119" s="19"/>
      <c r="F119" s="19"/>
      <c r="G119" s="19"/>
      <c r="I119" s="20" t="n">
        <v>2018</v>
      </c>
      <c r="J119" s="17" t="n">
        <v>521.746130509614</v>
      </c>
      <c r="K119" s="18" t="n">
        <f aca="false">IFERROR((J119/J118-1)*100,"")</f>
        <v>2.0758882413493</v>
      </c>
      <c r="L119" s="19"/>
    </row>
    <row r="120" customFormat="false" ht="15" hidden="false" customHeight="false" outlineLevel="0" collapsed="false">
      <c r="A120" s="12" t="n">
        <v>39630</v>
      </c>
      <c r="B120" s="13" t="n">
        <v>107.057147434781</v>
      </c>
      <c r="C120" s="21" t="n">
        <f aca="false">IFERROR((B120/B119-1)*100,"")</f>
        <v>0.297020768101497</v>
      </c>
      <c r="D120" s="21" t="n">
        <f aca="false">IFERROR((B120/B116-1)*100,"")</f>
        <v>2.00985717762243</v>
      </c>
      <c r="E120" s="14"/>
      <c r="F120" s="14"/>
      <c r="G120" s="14"/>
      <c r="I120" s="15" t="n">
        <v>2019</v>
      </c>
      <c r="J120" s="13" t="n">
        <v>532.208657151772</v>
      </c>
      <c r="K120" s="21" t="n">
        <f aca="false">IFERROR((J120/J119-1)*100,"")</f>
        <v>2.00529070180913</v>
      </c>
      <c r="L120" s="14"/>
    </row>
    <row r="121" customFormat="false" ht="15" hidden="false" customHeight="false" outlineLevel="0" collapsed="false">
      <c r="A121" s="16" t="n">
        <v>39722</v>
      </c>
      <c r="B121" s="17" t="n">
        <v>107.592466814129</v>
      </c>
      <c r="C121" s="18" t="n">
        <f aca="false">IFERROR((B121/B120-1)*100,"")</f>
        <v>0.500031424500924</v>
      </c>
      <c r="D121" s="18" t="n">
        <f aca="false">IFERROR((B121/B117-1)*100,"")</f>
        <v>2.22682417626927</v>
      </c>
      <c r="E121" s="19"/>
      <c r="F121" s="19"/>
      <c r="G121" s="19"/>
      <c r="I121" s="20" t="n">
        <v>2020</v>
      </c>
      <c r="J121" s="17" t="n">
        <v>543.019400562695</v>
      </c>
      <c r="K121" s="18" t="n">
        <f aca="false">IFERROR((J121/J120-1)*100,"")</f>
        <v>2.03129792528709</v>
      </c>
      <c r="L121" s="19"/>
    </row>
    <row r="122" customFormat="false" ht="15" hidden="false" customHeight="false" outlineLevel="0" collapsed="false">
      <c r="A122" s="12" t="n">
        <v>39814</v>
      </c>
      <c r="B122" s="13" t="n">
        <v>109.598066755772</v>
      </c>
      <c r="C122" s="21" t="n">
        <f aca="false">IFERROR((B122/B121-1)*100,"")</f>
        <v>1.86407097172274</v>
      </c>
      <c r="D122" s="21" t="n">
        <f aca="false">IFERROR((B122/B118-1)*100,"")</f>
        <v>2.4252011305115</v>
      </c>
      <c r="E122" s="14"/>
      <c r="F122" s="14"/>
      <c r="G122" s="14"/>
      <c r="I122" s="15" t="n">
        <v>2021</v>
      </c>
      <c r="J122" s="13" t="n">
        <v>554.153857875173</v>
      </c>
      <c r="K122" s="21" t="n">
        <f aca="false">IFERROR((J122/J121-1)*100,"")</f>
        <v>2.05047136454808</v>
      </c>
      <c r="L122" s="14"/>
    </row>
    <row r="123" customFormat="false" ht="15" hidden="false" customHeight="false" outlineLevel="0" collapsed="false">
      <c r="A123" s="16" t="n">
        <v>39904</v>
      </c>
      <c r="B123" s="17" t="n">
        <v>109.296524891136</v>
      </c>
      <c r="C123" s="18" t="n">
        <f aca="false">IFERROR((B123/B122-1)*100,"")</f>
        <v>-0.275134291654477</v>
      </c>
      <c r="D123" s="18" t="n">
        <f aca="false">IFERROR((B123/B119-1)*100,"")</f>
        <v>2.39499267029994</v>
      </c>
      <c r="E123" s="19"/>
      <c r="F123" s="19"/>
      <c r="G123" s="19"/>
      <c r="I123" s="20" t="n">
        <v>2022</v>
      </c>
      <c r="J123" s="17" t="n">
        <v>566.903600901761</v>
      </c>
      <c r="K123" s="18" t="n">
        <f aca="false">IFERROR((J123/J122-1)*100,"")</f>
        <v>2.30075868739317</v>
      </c>
      <c r="L123" s="19"/>
    </row>
    <row r="124" customFormat="false" ht="15" hidden="false" customHeight="false" outlineLevel="0" collapsed="false">
      <c r="A124" s="12" t="n">
        <v>39995</v>
      </c>
      <c r="B124" s="13" t="n">
        <v>109.825859524261</v>
      </c>
      <c r="C124" s="21" t="n">
        <f aca="false">IFERROR((B124/B123-1)*100,"")</f>
        <v>0.484310579546832</v>
      </c>
      <c r="D124" s="21" t="n">
        <f aca="false">IFERROR((B124/B120-1)*100,"")</f>
        <v>2.58620013312685</v>
      </c>
      <c r="E124" s="14"/>
      <c r="F124" s="14"/>
      <c r="G124" s="14"/>
      <c r="I124" s="15" t="n">
        <v>2023</v>
      </c>
      <c r="J124" s="13" t="n">
        <v>576.860642647575</v>
      </c>
      <c r="K124" s="21" t="n">
        <f aca="false">IFERROR((J124/J123-1)*100,"")</f>
        <v>1.75639063325339</v>
      </c>
      <c r="L124" s="14"/>
    </row>
    <row r="125" customFormat="false" ht="15" hidden="false" customHeight="false" outlineLevel="0" collapsed="false">
      <c r="A125" s="16" t="n">
        <v>40087</v>
      </c>
      <c r="B125" s="17" t="n">
        <v>109.904840800297</v>
      </c>
      <c r="C125" s="18" t="n">
        <f aca="false">IFERROR((B125/B124-1)*100,"")</f>
        <v>0.0719150083394071</v>
      </c>
      <c r="D125" s="18" t="n">
        <f aca="false">IFERROR((B125/B121-1)*100,"")</f>
        <v>2.14919692301723</v>
      </c>
      <c r="E125" s="19"/>
      <c r="F125" s="19"/>
      <c r="G125" s="19"/>
      <c r="I125" s="20" t="n">
        <v>2024</v>
      </c>
      <c r="J125" s="17" t="n">
        <v>587.5896043018</v>
      </c>
      <c r="K125" s="18" t="n">
        <f aca="false">IFERROR((J125/J124-1)*100,"")</f>
        <v>1.85988796271181</v>
      </c>
      <c r="L125" s="19"/>
    </row>
    <row r="126" customFormat="false" ht="15" hidden="false" customHeight="false" outlineLevel="0" collapsed="false">
      <c r="A126" s="12" t="n">
        <v>40179</v>
      </c>
      <c r="B126" s="13" t="n">
        <v>110.166349309133</v>
      </c>
      <c r="C126" s="21" t="n">
        <f aca="false">IFERROR((B126/B125-1)*100,"")</f>
        <v>0.237940846764673</v>
      </c>
      <c r="D126" s="21" t="n">
        <f aca="false">IFERROR((B126/B122-1)*100,"")</f>
        <v>0.518515125478403</v>
      </c>
      <c r="E126" s="14"/>
      <c r="F126" s="14"/>
      <c r="G126" s="14"/>
      <c r="I126" s="15" t="n">
        <v>2025</v>
      </c>
      <c r="J126" s="13" t="n">
        <v>598.918288407565</v>
      </c>
      <c r="K126" s="21" t="n">
        <f aca="false">IFERROR((J126/J125-1)*100,"")</f>
        <v>1.92799260280085</v>
      </c>
      <c r="L126" s="14"/>
    </row>
    <row r="127" customFormat="false" ht="15" hidden="false" customHeight="false" outlineLevel="0" collapsed="false">
      <c r="A127" s="16" t="n">
        <v>40269</v>
      </c>
      <c r="B127" s="17" t="n">
        <v>110.858645964984</v>
      </c>
      <c r="C127" s="18" t="n">
        <f aca="false">IFERROR((B127/B126-1)*100,"")</f>
        <v>0.628410272458413</v>
      </c>
      <c r="D127" s="18" t="n">
        <f aca="false">IFERROR((B127/B123-1)*100,"")</f>
        <v>1.42925045000564</v>
      </c>
      <c r="E127" s="19"/>
      <c r="F127" s="19"/>
      <c r="G127" s="19"/>
      <c r="I127" s="20" t="n">
        <v>2026</v>
      </c>
      <c r="J127" s="19"/>
      <c r="K127" s="18" t="n">
        <f aca="false">IFERROR((J127/J126-1)*100,"")</f>
        <v>-100</v>
      </c>
      <c r="L127" s="17" t="n">
        <v>605.931220697428</v>
      </c>
    </row>
    <row r="128" customFormat="false" ht="15" hidden="false" customHeight="false" outlineLevel="0" collapsed="false">
      <c r="A128" s="12" t="n">
        <v>40360</v>
      </c>
      <c r="B128" s="13" t="n">
        <v>111.606323288494</v>
      </c>
      <c r="C128" s="21" t="n">
        <f aca="false">IFERROR((B128/B127-1)*100,"")</f>
        <v>0.674442049153812</v>
      </c>
      <c r="D128" s="21" t="n">
        <f aca="false">IFERROR((B128/B124-1)*100,"")</f>
        <v>1.62116988835346</v>
      </c>
      <c r="E128" s="14"/>
      <c r="F128" s="14"/>
      <c r="G128" s="14"/>
      <c r="I128" s="15" t="n">
        <v>2027</v>
      </c>
      <c r="J128" s="14"/>
      <c r="K128" s="21" t="str">
        <f aca="false">IFERROR((J128/J127-1)*100,"")</f>
        <v/>
      </c>
      <c r="L128" s="13" t="n">
        <v>611.681878475194</v>
      </c>
    </row>
    <row r="129" customFormat="false" ht="15" hidden="false" customHeight="false" outlineLevel="0" collapsed="false">
      <c r="A129" s="16" t="n">
        <v>40452</v>
      </c>
      <c r="B129" s="17" t="n">
        <v>112.302937498709</v>
      </c>
      <c r="C129" s="18" t="n">
        <f aca="false">IFERROR((B129/B128-1)*100,"")</f>
        <v>0.624170915849009</v>
      </c>
      <c r="D129" s="18" t="n">
        <f aca="false">IFERROR((B129/B125-1)*100,"")</f>
        <v>2.18197549894066</v>
      </c>
      <c r="E129" s="19"/>
      <c r="F129" s="19"/>
      <c r="G129" s="19"/>
    </row>
    <row r="130" customFormat="false" ht="15" hidden="false" customHeight="false" outlineLevel="0" collapsed="false">
      <c r="A130" s="12" t="n">
        <v>40544</v>
      </c>
      <c r="B130" s="13" t="n">
        <v>112.551378401176</v>
      </c>
      <c r="C130" s="21" t="n">
        <f aca="false">IFERROR((B130/B129-1)*100,"")</f>
        <v>0.221223868226295</v>
      </c>
      <c r="D130" s="21" t="n">
        <f aca="false">IFERROR((B130/B126-1)*100,"")</f>
        <v>2.16493430798046</v>
      </c>
      <c r="E130" s="14"/>
      <c r="F130" s="14"/>
      <c r="G130" s="14"/>
    </row>
    <row r="131" customFormat="false" ht="15" hidden="false" customHeight="false" outlineLevel="0" collapsed="false">
      <c r="A131" s="16" t="n">
        <v>40634</v>
      </c>
      <c r="B131" s="17" t="n">
        <v>112.842376505101</v>
      </c>
      <c r="C131" s="18" t="n">
        <f aca="false">IFERROR((B131/B130-1)*100,"")</f>
        <v>0.258546903697954</v>
      </c>
      <c r="D131" s="18" t="n">
        <f aca="false">IFERROR((B131/B127-1)*100,"")</f>
        <v>1.78942338944335</v>
      </c>
      <c r="E131" s="19"/>
      <c r="F131" s="19"/>
      <c r="G131" s="19"/>
    </row>
    <row r="132" customFormat="false" ht="15" hidden="false" customHeight="false" outlineLevel="0" collapsed="false">
      <c r="A132" s="12" t="n">
        <v>40725</v>
      </c>
      <c r="B132" s="13" t="n">
        <v>112.558321827838</v>
      </c>
      <c r="C132" s="21" t="n">
        <f aca="false">IFERROR((B132/B131-1)*100,"")</f>
        <v>-0.251726954057863</v>
      </c>
      <c r="D132" s="21" t="n">
        <f aca="false">IFERROR((B132/B128-1)*100,"")</f>
        <v>0.852996955095065</v>
      </c>
      <c r="E132" s="14"/>
      <c r="F132" s="14"/>
      <c r="G132" s="14"/>
    </row>
    <row r="133" customFormat="false" ht="15" hidden="false" customHeight="false" outlineLevel="0" collapsed="false">
      <c r="A133" s="16" t="n">
        <v>40817</v>
      </c>
      <c r="B133" s="17" t="n">
        <v>113.660667994514</v>
      </c>
      <c r="C133" s="18" t="n">
        <f aca="false">IFERROR((B133/B132-1)*100,"")</f>
        <v>0.979355545440419</v>
      </c>
      <c r="D133" s="18" t="n">
        <f aca="false">IFERROR((B133/B129-1)*100,"")</f>
        <v>1.20898929809419</v>
      </c>
      <c r="E133" s="19"/>
      <c r="F133" s="19"/>
      <c r="G133" s="19"/>
    </row>
    <row r="134" customFormat="false" ht="15" hidden="false" customHeight="false" outlineLevel="0" collapsed="false">
      <c r="A134" s="12" t="n">
        <v>40909</v>
      </c>
      <c r="B134" s="13" t="n">
        <v>114.318338252085</v>
      </c>
      <c r="C134" s="21" t="n">
        <f aca="false">IFERROR((B134/B133-1)*100,"")</f>
        <v>0.578626071071864</v>
      </c>
      <c r="D134" s="21" t="n">
        <f aca="false">IFERROR((B134/B130-1)*100,"")</f>
        <v>1.56991400372815</v>
      </c>
      <c r="E134" s="14"/>
      <c r="F134" s="14"/>
      <c r="G134" s="14"/>
    </row>
    <row r="135" customFormat="false" ht="15" hidden="false" customHeight="false" outlineLevel="0" collapsed="false">
      <c r="A135" s="16" t="n">
        <v>41000</v>
      </c>
      <c r="B135" s="17" t="n">
        <v>116.114959277946</v>
      </c>
      <c r="C135" s="18" t="n">
        <f aca="false">IFERROR((B135/B134-1)*100,"")</f>
        <v>1.5715947706477</v>
      </c>
      <c r="D135" s="18" t="n">
        <f aca="false">IFERROR((B135/B131-1)*100,"")</f>
        <v>2.90013634434283</v>
      </c>
      <c r="E135" s="19"/>
      <c r="F135" s="19"/>
      <c r="G135" s="19"/>
    </row>
    <row r="136" customFormat="false" ht="15" hidden="false" customHeight="false" outlineLevel="0" collapsed="false">
      <c r="A136" s="12" t="n">
        <v>41091</v>
      </c>
      <c r="B136" s="13" t="n">
        <v>116.629372606061</v>
      </c>
      <c r="C136" s="21" t="n">
        <f aca="false">IFERROR((B136/B135-1)*100,"")</f>
        <v>0.443020719564169</v>
      </c>
      <c r="D136" s="21" t="n">
        <f aca="false">IFERROR((B136/B132-1)*100,"")</f>
        <v>3.61683677591516</v>
      </c>
      <c r="E136" s="14"/>
      <c r="F136" s="14"/>
      <c r="G136" s="14"/>
    </row>
    <row r="137" customFormat="false" ht="15" hidden="false" customHeight="false" outlineLevel="0" collapsed="false">
      <c r="A137" s="16" t="n">
        <v>41183</v>
      </c>
      <c r="B137" s="17" t="n">
        <v>117.490233061922</v>
      </c>
      <c r="C137" s="18" t="n">
        <f aca="false">IFERROR((B137/B136-1)*100,"")</f>
        <v>0.738116339500117</v>
      </c>
      <c r="D137" s="18" t="n">
        <f aca="false">IFERROR((B137/B133-1)*100,"")</f>
        <v>3.36929663970762</v>
      </c>
      <c r="E137" s="19"/>
      <c r="F137" s="19"/>
      <c r="G137" s="19"/>
    </row>
    <row r="138" customFormat="false" ht="15" hidden="false" customHeight="false" outlineLevel="0" collapsed="false">
      <c r="A138" s="12" t="n">
        <v>41275</v>
      </c>
      <c r="B138" s="13" t="n">
        <v>116.643859191886</v>
      </c>
      <c r="C138" s="21" t="n">
        <f aca="false">IFERROR((B138/B137-1)*100,"")</f>
        <v>-0.720378067162508</v>
      </c>
      <c r="D138" s="21" t="n">
        <f aca="false">IFERROR((B138/B134-1)*100,"")</f>
        <v>2.03425012588396</v>
      </c>
      <c r="E138" s="14"/>
      <c r="F138" s="14"/>
      <c r="G138" s="14"/>
    </row>
    <row r="139" customFormat="false" ht="15" hidden="false" customHeight="false" outlineLevel="0" collapsed="false">
      <c r="A139" s="16" t="n">
        <v>41365</v>
      </c>
      <c r="B139" s="17" t="n">
        <v>117.53319952773</v>
      </c>
      <c r="C139" s="18" t="n">
        <f aca="false">IFERROR((B139/B138-1)*100,"")</f>
        <v>0.762440767996786</v>
      </c>
      <c r="D139" s="18" t="n">
        <f aca="false">IFERROR((B139/B135-1)*100,"")</f>
        <v>1.22141045271285</v>
      </c>
      <c r="E139" s="19"/>
      <c r="F139" s="19"/>
      <c r="G139" s="19"/>
    </row>
    <row r="140" customFormat="false" ht="15" hidden="false" customHeight="false" outlineLevel="0" collapsed="false">
      <c r="A140" s="12" t="n">
        <v>41456</v>
      </c>
      <c r="B140" s="13" t="n">
        <v>118.472774496717</v>
      </c>
      <c r="C140" s="21" t="n">
        <f aca="false">IFERROR((B140/B139-1)*100,"")</f>
        <v>0.799412398167299</v>
      </c>
      <c r="D140" s="21" t="n">
        <f aca="false">IFERROR((B140/B136-1)*100,"")</f>
        <v>1.58056401184903</v>
      </c>
      <c r="E140" s="14"/>
      <c r="F140" s="14"/>
      <c r="G140" s="14"/>
    </row>
    <row r="141" customFormat="false" ht="15" hidden="false" customHeight="false" outlineLevel="0" collapsed="false">
      <c r="A141" s="16" t="n">
        <v>41548</v>
      </c>
      <c r="B141" s="17" t="n">
        <v>118.918697296103</v>
      </c>
      <c r="C141" s="18" t="n">
        <f aca="false">IFERROR((B141/B140-1)*100,"")</f>
        <v>0.37639263643503</v>
      </c>
      <c r="D141" s="18" t="n">
        <f aca="false">IFERROR((B141/B137-1)*100,"")</f>
        <v>1.21581530392227</v>
      </c>
      <c r="E141" s="19"/>
      <c r="F141" s="19"/>
      <c r="G141" s="19"/>
    </row>
    <row r="142" customFormat="false" ht="15" hidden="false" customHeight="false" outlineLevel="0" collapsed="false">
      <c r="A142" s="12" t="n">
        <v>41640</v>
      </c>
      <c r="B142" s="13" t="n">
        <v>119.755948791549</v>
      </c>
      <c r="C142" s="21" t="n">
        <f aca="false">IFERROR((B142/B141-1)*100,"")</f>
        <v>0.704053706004593</v>
      </c>
      <c r="D142" s="21" t="n">
        <f aca="false">IFERROR((B142/B138-1)*100,"")</f>
        <v>2.66802695077419</v>
      </c>
      <c r="E142" s="14"/>
      <c r="F142" s="14"/>
      <c r="G142" s="14"/>
    </row>
    <row r="143" customFormat="false" ht="15" hidden="false" customHeight="false" outlineLevel="0" collapsed="false">
      <c r="A143" s="16" t="n">
        <v>41730</v>
      </c>
      <c r="B143" s="17" t="n">
        <v>120.299880600458</v>
      </c>
      <c r="C143" s="18" t="n">
        <f aca="false">IFERROR((B143/B142-1)*100,"")</f>
        <v>0.454200241740121</v>
      </c>
      <c r="D143" s="18" t="n">
        <f aca="false">IFERROR((B143/B139-1)*100,"")</f>
        <v>2.35395708093145</v>
      </c>
      <c r="E143" s="19"/>
      <c r="F143" s="19"/>
      <c r="G143" s="19"/>
    </row>
    <row r="144" customFormat="false" ht="15" hidden="false" customHeight="false" outlineLevel="0" collapsed="false">
      <c r="A144" s="12" t="n">
        <v>41821</v>
      </c>
      <c r="B144" s="13" t="n">
        <v>120.262076832779</v>
      </c>
      <c r="C144" s="21" t="n">
        <f aca="false">IFERROR((B144/B143-1)*100,"")</f>
        <v>-0.0314246094765824</v>
      </c>
      <c r="D144" s="21" t="n">
        <f aca="false">IFERROR((B144/B140-1)*100,"")</f>
        <v>1.51030677188284</v>
      </c>
      <c r="E144" s="14"/>
      <c r="F144" s="14"/>
      <c r="G144" s="14"/>
    </row>
    <row r="145" customFormat="false" ht="15" hidden="false" customHeight="false" outlineLevel="0" collapsed="false">
      <c r="A145" s="16" t="n">
        <v>41913</v>
      </c>
      <c r="B145" s="17" t="n">
        <v>121.345309299563</v>
      </c>
      <c r="C145" s="18" t="n">
        <f aca="false">IFERROR((B145/B144-1)*100,"")</f>
        <v>0.900726559287923</v>
      </c>
      <c r="D145" s="18" t="n">
        <f aca="false">IFERROR((B145/B141-1)*100,"")</f>
        <v>2.04056389670786</v>
      </c>
      <c r="E145" s="19"/>
      <c r="F145" s="19"/>
      <c r="G145" s="19"/>
    </row>
    <row r="146" customFormat="false" ht="15" hidden="false" customHeight="false" outlineLevel="0" collapsed="false">
      <c r="A146" s="12" t="n">
        <v>42005</v>
      </c>
      <c r="B146" s="13" t="n">
        <v>122.631169713071</v>
      </c>
      <c r="C146" s="21" t="n">
        <f aca="false">IFERROR((B146/B145-1)*100,"")</f>
        <v>1.05967047340438</v>
      </c>
      <c r="D146" s="21" t="n">
        <f aca="false">IFERROR((B146/B142-1)*100,"")</f>
        <v>2.4009002897446</v>
      </c>
      <c r="E146" s="14"/>
      <c r="F146" s="14"/>
      <c r="G146" s="14"/>
    </row>
    <row r="147" customFormat="false" ht="15" hidden="false" customHeight="false" outlineLevel="0" collapsed="false">
      <c r="A147" s="16" t="n">
        <v>42095</v>
      </c>
      <c r="B147" s="17" t="n">
        <v>122.350546630417</v>
      </c>
      <c r="C147" s="18" t="n">
        <f aca="false">IFERROR((B147/B146-1)*100,"")</f>
        <v>-0.228835037055419</v>
      </c>
      <c r="D147" s="18" t="n">
        <f aca="false">IFERROR((B147/B143-1)*100,"")</f>
        <v>1.70462848318995</v>
      </c>
      <c r="E147" s="19"/>
      <c r="F147" s="19"/>
      <c r="G147" s="19"/>
    </row>
    <row r="148" customFormat="false" ht="15" hidden="false" customHeight="false" outlineLevel="0" collapsed="false">
      <c r="A148" s="12" t="n">
        <v>42186</v>
      </c>
      <c r="B148" s="13" t="n">
        <v>123.369896595534</v>
      </c>
      <c r="C148" s="21" t="n">
        <f aca="false">IFERROR((B148/B147-1)*100,"")</f>
        <v>0.833138872845862</v>
      </c>
      <c r="D148" s="21" t="n">
        <f aca="false">IFERROR((B148/B144-1)*100,"")</f>
        <v>2.58420596467592</v>
      </c>
      <c r="E148" s="14"/>
      <c r="F148" s="14"/>
      <c r="G148" s="14"/>
    </row>
    <row r="149" customFormat="false" ht="15" hidden="false" customHeight="false" outlineLevel="0" collapsed="false">
      <c r="A149" s="16" t="n">
        <v>42278</v>
      </c>
      <c r="B149" s="17" t="n">
        <v>123.775116894384</v>
      </c>
      <c r="C149" s="18" t="n">
        <f aca="false">IFERROR((B149/B148-1)*100,"")</f>
        <v>0.328459624293687</v>
      </c>
      <c r="D149" s="18" t="n">
        <f aca="false">IFERROR((B149/B145-1)*100,"")</f>
        <v>2.00239103501108</v>
      </c>
      <c r="E149" s="19"/>
      <c r="F149" s="19"/>
      <c r="G149" s="19"/>
    </row>
    <row r="150" customFormat="false" ht="15" hidden="false" customHeight="false" outlineLevel="0" collapsed="false">
      <c r="A150" s="12" t="n">
        <v>42370</v>
      </c>
      <c r="B150" s="13" t="n">
        <v>124.629354277408</v>
      </c>
      <c r="C150" s="21" t="n">
        <f aca="false">IFERROR((B150/B149-1)*100,"")</f>
        <v>0.690152758048779</v>
      </c>
      <c r="D150" s="21" t="n">
        <f aca="false">IFERROR((B150/B146-1)*100,"")</f>
        <v>1.62942632693808</v>
      </c>
      <c r="E150" s="14"/>
      <c r="F150" s="14"/>
      <c r="G150" s="14"/>
    </row>
    <row r="151" customFormat="false" ht="15" hidden="false" customHeight="false" outlineLevel="0" collapsed="false">
      <c r="A151" s="16" t="n">
        <v>42461</v>
      </c>
      <c r="B151" s="17" t="n">
        <v>124.940042718069</v>
      </c>
      <c r="C151" s="18" t="n">
        <f aca="false">IFERROR((B151/B150-1)*100,"")</f>
        <v>0.2492899385236</v>
      </c>
      <c r="D151" s="18" t="n">
        <f aca="false">IFERROR((B151/B147-1)*100,"")</f>
        <v>2.11645649240446</v>
      </c>
      <c r="E151" s="19"/>
      <c r="F151" s="19"/>
      <c r="G151" s="19"/>
    </row>
    <row r="152" customFormat="false" ht="15" hidden="false" customHeight="false" outlineLevel="0" collapsed="false">
      <c r="A152" s="12" t="n">
        <v>42552</v>
      </c>
      <c r="B152" s="13" t="n">
        <v>125.472238291235</v>
      </c>
      <c r="C152" s="21" t="n">
        <f aca="false">IFERROR((B152/B151-1)*100,"")</f>
        <v>0.425960774134371</v>
      </c>
      <c r="D152" s="21" t="n">
        <f aca="false">IFERROR((B152/B148-1)*100,"")</f>
        <v>1.70409618044229</v>
      </c>
      <c r="E152" s="14"/>
      <c r="F152" s="14"/>
      <c r="G152" s="14"/>
    </row>
    <row r="153" customFormat="false" ht="15" hidden="false" customHeight="false" outlineLevel="0" collapsed="false">
      <c r="A153" s="16" t="n">
        <v>42644</v>
      </c>
      <c r="B153" s="17" t="n">
        <v>126.47705310041</v>
      </c>
      <c r="C153" s="18" t="n">
        <f aca="false">IFERROR((B153/B152-1)*100,"")</f>
        <v>0.800826400214061</v>
      </c>
      <c r="D153" s="18" t="n">
        <f aca="false">IFERROR((B153/B149-1)*100,"")</f>
        <v>2.18293973281571</v>
      </c>
      <c r="E153" s="19"/>
      <c r="F153" s="19"/>
      <c r="G153" s="19"/>
    </row>
    <row r="154" customFormat="false" ht="15" hidden="false" customHeight="false" outlineLevel="0" collapsed="false">
      <c r="A154" s="12" t="n">
        <v>42736</v>
      </c>
      <c r="B154" s="13" t="n">
        <v>127.046927646778</v>
      </c>
      <c r="C154" s="21" t="n">
        <f aca="false">IFERROR((B154/B153-1)*100,"")</f>
        <v>0.450575446215673</v>
      </c>
      <c r="D154" s="21" t="n">
        <f aca="false">IFERROR((B154/B150-1)*100,"")</f>
        <v>1.93981055537551</v>
      </c>
      <c r="E154" s="14"/>
      <c r="F154" s="14"/>
      <c r="G154" s="14"/>
    </row>
    <row r="155" customFormat="false" ht="15" hidden="false" customHeight="false" outlineLevel="0" collapsed="false">
      <c r="A155" s="16" t="n">
        <v>42826</v>
      </c>
      <c r="B155" s="17" t="n">
        <v>126.988045705237</v>
      </c>
      <c r="C155" s="18" t="n">
        <f aca="false">IFERROR((B155/B154-1)*100,"")</f>
        <v>-0.0463466080067754</v>
      </c>
      <c r="D155" s="18" t="n">
        <f aca="false">IFERROR((B155/B151-1)*100,"")</f>
        <v>1.63918864009778</v>
      </c>
      <c r="E155" s="19"/>
      <c r="F155" s="19"/>
      <c r="G155" s="19"/>
    </row>
    <row r="156" customFormat="false" ht="15" hidden="false" customHeight="false" outlineLevel="0" collapsed="false">
      <c r="A156" s="12" t="n">
        <v>42917</v>
      </c>
      <c r="B156" s="13" t="n">
        <v>127.860184485789</v>
      </c>
      <c r="C156" s="21" t="n">
        <f aca="false">IFERROR((B156/B155-1)*100,"")</f>
        <v>0.686788095453106</v>
      </c>
      <c r="D156" s="21" t="n">
        <f aca="false">IFERROR((B156/B152-1)*100,"")</f>
        <v>1.90316696910404</v>
      </c>
      <c r="E156" s="14"/>
      <c r="F156" s="14"/>
      <c r="G156" s="14"/>
    </row>
    <row r="157" customFormat="false" ht="15" hidden="false" customHeight="false" outlineLevel="0" collapsed="false">
      <c r="A157" s="16" t="n">
        <v>43009</v>
      </c>
      <c r="B157" s="17" t="n">
        <v>129.240370344907</v>
      </c>
      <c r="C157" s="18" t="n">
        <f aca="false">IFERROR((B157/B156-1)*100,"")</f>
        <v>1.07944929429684</v>
      </c>
      <c r="D157" s="18" t="n">
        <f aca="false">IFERROR((B157/B153-1)*100,"")</f>
        <v>2.18483683542443</v>
      </c>
      <c r="E157" s="19"/>
      <c r="F157" s="19"/>
      <c r="G157" s="19"/>
    </row>
    <row r="158" customFormat="false" ht="15" hidden="false" customHeight="false" outlineLevel="0" collapsed="false">
      <c r="A158" s="12" t="n">
        <v>43101</v>
      </c>
      <c r="B158" s="13" t="n">
        <v>129.076587043919</v>
      </c>
      <c r="C158" s="21" t="n">
        <f aca="false">IFERROR((B158/B157-1)*100,"")</f>
        <v>-0.126727662998483</v>
      </c>
      <c r="D158" s="21" t="n">
        <f aca="false">IFERROR((B158/B154-1)*100,"")</f>
        <v>1.597566690305</v>
      </c>
      <c r="E158" s="14"/>
      <c r="F158" s="14"/>
      <c r="G158" s="14"/>
    </row>
    <row r="159" customFormat="false" ht="15" hidden="false" customHeight="false" outlineLevel="0" collapsed="false">
      <c r="A159" s="16" t="n">
        <v>43191</v>
      </c>
      <c r="B159" s="17" t="n">
        <v>130.828085603978</v>
      </c>
      <c r="C159" s="18" t="n">
        <f aca="false">IFERROR((B159/B158-1)*100,"")</f>
        <v>1.35694520607663</v>
      </c>
      <c r="D159" s="18" t="n">
        <f aca="false">IFERROR((B159/B155-1)*100,"")</f>
        <v>3.02393810174475</v>
      </c>
      <c r="E159" s="19"/>
      <c r="F159" s="19"/>
      <c r="G159" s="19"/>
    </row>
    <row r="160" customFormat="false" ht="15" hidden="false" customHeight="false" outlineLevel="0" collapsed="false">
      <c r="A160" s="12" t="n">
        <v>43282</v>
      </c>
      <c r="B160" s="13" t="n">
        <v>130.715866953843</v>
      </c>
      <c r="C160" s="21" t="n">
        <f aca="false">IFERROR((B160/B159-1)*100,"")</f>
        <v>-0.085775657128695</v>
      </c>
      <c r="D160" s="21" t="n">
        <f aca="false">IFERROR((B160/B156-1)*100,"")</f>
        <v>2.23344153579825</v>
      </c>
      <c r="E160" s="14"/>
      <c r="F160" s="14"/>
      <c r="G160" s="14"/>
    </row>
    <row r="161" customFormat="false" ht="15" hidden="false" customHeight="false" outlineLevel="0" collapsed="false">
      <c r="A161" s="16" t="n">
        <v>43374</v>
      </c>
      <c r="B161" s="17" t="n">
        <v>131.125590907874</v>
      </c>
      <c r="C161" s="18" t="n">
        <f aca="false">IFERROR((B161/B160-1)*100,"")</f>
        <v>0.313446227745473</v>
      </c>
      <c r="D161" s="18" t="n">
        <f aca="false">IFERROR((B161/B157-1)*100,"")</f>
        <v>1.45869325345933</v>
      </c>
      <c r="E161" s="19"/>
      <c r="F161" s="19"/>
      <c r="G161" s="19"/>
    </row>
    <row r="162" customFormat="false" ht="15" hidden="false" customHeight="false" outlineLevel="0" collapsed="false">
      <c r="A162" s="12" t="n">
        <v>43466</v>
      </c>
      <c r="B162" s="13" t="n">
        <v>131.967263243195</v>
      </c>
      <c r="C162" s="21" t="n">
        <f aca="false">IFERROR((B162/B161-1)*100,"")</f>
        <v>0.641882587139087</v>
      </c>
      <c r="D162" s="21" t="n">
        <f aca="false">IFERROR((B162/B158-1)*100,"")</f>
        <v>2.23950467352614</v>
      </c>
      <c r="E162" s="14"/>
      <c r="F162" s="14"/>
      <c r="G162" s="14"/>
    </row>
    <row r="163" customFormat="false" ht="15" hidden="false" customHeight="false" outlineLevel="0" collapsed="false">
      <c r="A163" s="16" t="n">
        <v>43556</v>
      </c>
      <c r="B163" s="17" t="n">
        <v>132.798907225319</v>
      </c>
      <c r="C163" s="18" t="n">
        <f aca="false">IFERROR((B163/B162-1)*100,"")</f>
        <v>0.630189610427112</v>
      </c>
      <c r="D163" s="18" t="n">
        <f aca="false">IFERROR((B163/B159-1)*100,"")</f>
        <v>1.50642089750221</v>
      </c>
      <c r="E163" s="19"/>
      <c r="F163" s="19"/>
      <c r="G163" s="19"/>
    </row>
    <row r="164" customFormat="false" ht="15" hidden="false" customHeight="false" outlineLevel="0" collapsed="false">
      <c r="A164" s="12" t="n">
        <v>43647</v>
      </c>
      <c r="B164" s="13" t="n">
        <v>133.147224485016</v>
      </c>
      <c r="C164" s="21" t="n">
        <f aca="false">IFERROR((B164/B163-1)*100,"")</f>
        <v>0.26228925145162</v>
      </c>
      <c r="D164" s="21" t="n">
        <f aca="false">IFERROR((B164/B160-1)*100,"")</f>
        <v>1.86003244122754</v>
      </c>
      <c r="E164" s="14"/>
      <c r="F164" s="14"/>
      <c r="G164" s="14"/>
    </row>
    <row r="165" customFormat="false" ht="15" hidden="false" customHeight="false" outlineLevel="0" collapsed="false">
      <c r="A165" s="16" t="n">
        <v>43739</v>
      </c>
      <c r="B165" s="17" t="n">
        <v>134.295262198242</v>
      </c>
      <c r="C165" s="18" t="n">
        <f aca="false">IFERROR((B165/B164-1)*100,"")</f>
        <v>0.862231802177282</v>
      </c>
      <c r="D165" s="18" t="n">
        <f aca="false">IFERROR((B165/B161-1)*100,"")</f>
        <v>2.41727893725552</v>
      </c>
      <c r="E165" s="19"/>
      <c r="F165" s="19"/>
      <c r="G165" s="19"/>
    </row>
    <row r="166" customFormat="false" ht="15" hidden="false" customHeight="false" outlineLevel="0" collapsed="false">
      <c r="A166" s="12" t="n">
        <v>43831</v>
      </c>
      <c r="B166" s="13" t="n">
        <v>135.232086735252</v>
      </c>
      <c r="C166" s="21" t="n">
        <f aca="false">IFERROR((B166/B165-1)*100,"")</f>
        <v>0.697585694144887</v>
      </c>
      <c r="D166" s="21" t="n">
        <f aca="false">IFERROR((B166/B162-1)*100,"")</f>
        <v>2.47396468777241</v>
      </c>
      <c r="E166" s="14"/>
      <c r="F166" s="14"/>
      <c r="G166" s="14"/>
    </row>
    <row r="167" customFormat="false" ht="15" hidden="false" customHeight="false" outlineLevel="0" collapsed="false">
      <c r="A167" s="16" t="n">
        <v>43922</v>
      </c>
      <c r="B167" s="17" t="n">
        <v>135.623702981384</v>
      </c>
      <c r="C167" s="18" t="n">
        <f aca="false">IFERROR((B167/B166-1)*100,"")</f>
        <v>0.289588259403972</v>
      </c>
      <c r="D167" s="18" t="n">
        <f aca="false">IFERROR((B167/B163-1)*100,"")</f>
        <v>2.12712274150884</v>
      </c>
      <c r="E167" s="19"/>
      <c r="F167" s="19"/>
      <c r="G167" s="19"/>
    </row>
    <row r="168" customFormat="false" ht="15" hidden="false" customHeight="false" outlineLevel="0" collapsed="false">
      <c r="A168" s="12" t="n">
        <v>44013</v>
      </c>
      <c r="B168" s="13" t="n">
        <v>135.761060086173</v>
      </c>
      <c r="C168" s="21" t="n">
        <f aca="false">IFERROR((B168/B167-1)*100,"")</f>
        <v>0.101278096505131</v>
      </c>
      <c r="D168" s="21" t="n">
        <f aca="false">IFERROR((B168/B164-1)*100,"")</f>
        <v>1.9631168514904</v>
      </c>
      <c r="E168" s="14"/>
      <c r="F168" s="14"/>
      <c r="G168" s="14"/>
    </row>
    <row r="169" customFormat="false" ht="15" hidden="false" customHeight="false" outlineLevel="0" collapsed="false">
      <c r="A169" s="16" t="n">
        <v>44105</v>
      </c>
      <c r="B169" s="17" t="n">
        <v>136.402550759886</v>
      </c>
      <c r="C169" s="18" t="n">
        <f aca="false">IFERROR((B169/B168-1)*100,"")</f>
        <v>0.472514484864672</v>
      </c>
      <c r="D169" s="18" t="n">
        <f aca="false">IFERROR((B169/B165-1)*100,"")</f>
        <v>1.56914587093415</v>
      </c>
      <c r="E169" s="19"/>
      <c r="F169" s="19"/>
      <c r="G169" s="19"/>
    </row>
    <row r="170" customFormat="false" ht="15" hidden="false" customHeight="false" outlineLevel="0" collapsed="false">
      <c r="A170" s="12" t="n">
        <v>44197</v>
      </c>
      <c r="B170" s="13" t="n">
        <v>137.689276316908</v>
      </c>
      <c r="C170" s="21" t="n">
        <f aca="false">IFERROR((B170/B169-1)*100,"")</f>
        <v>0.943329541752158</v>
      </c>
      <c r="D170" s="21" t="n">
        <f aca="false">IFERROR((B170/B166-1)*100,"")</f>
        <v>1.81701668662899</v>
      </c>
      <c r="E170" s="14"/>
      <c r="F170" s="14"/>
      <c r="G170" s="14"/>
    </row>
    <row r="171" customFormat="false" ht="15" hidden="false" customHeight="false" outlineLevel="0" collapsed="false">
      <c r="A171" s="16" t="n">
        <v>44287</v>
      </c>
      <c r="B171" s="17" t="n">
        <v>137.3633160356</v>
      </c>
      <c r="C171" s="18" t="n">
        <f aca="false">IFERROR((B171/B170-1)*100,"")</f>
        <v>-0.236736142440874</v>
      </c>
      <c r="D171" s="18" t="n">
        <f aca="false">IFERROR((B171/B167-1)*100,"")</f>
        <v>1.28267626968952</v>
      </c>
      <c r="E171" s="19"/>
      <c r="F171" s="19"/>
      <c r="G171" s="19"/>
    </row>
    <row r="172" customFormat="false" ht="15" hidden="false" customHeight="false" outlineLevel="0" collapsed="false">
      <c r="A172" s="12" t="n">
        <v>44378</v>
      </c>
      <c r="B172" s="13" t="n">
        <v>139.532166224685</v>
      </c>
      <c r="C172" s="21" t="n">
        <f aca="false">IFERROR((B172/B171-1)*100,"")</f>
        <v>1.57891513664616</v>
      </c>
      <c r="D172" s="21" t="n">
        <f aca="false">IFERROR((B172/B168-1)*100,"")</f>
        <v>2.77775242482536</v>
      </c>
      <c r="E172" s="14"/>
      <c r="F172" s="14"/>
      <c r="G172" s="14"/>
    </row>
    <row r="173" customFormat="false" ht="15" hidden="false" customHeight="false" outlineLevel="0" collapsed="false">
      <c r="A173" s="16" t="n">
        <v>44470</v>
      </c>
      <c r="B173" s="17" t="n">
        <v>139.56909929798</v>
      </c>
      <c r="C173" s="18" t="n">
        <f aca="false">IFERROR((B173/B172-1)*100,"")</f>
        <v>0.0264692180261372</v>
      </c>
      <c r="D173" s="18" t="n">
        <f aca="false">IFERROR((B173/B169-1)*100,"")</f>
        <v>2.32147311062243</v>
      </c>
      <c r="E173" s="19"/>
      <c r="F173" s="19"/>
      <c r="G173" s="19"/>
    </row>
    <row r="174" customFormat="false" ht="15" hidden="false" customHeight="false" outlineLevel="0" collapsed="false">
      <c r="A174" s="12" t="n">
        <v>44562</v>
      </c>
      <c r="B174" s="13" t="n">
        <v>140.342080506209</v>
      </c>
      <c r="C174" s="21" t="n">
        <f aca="false">IFERROR((B174/B173-1)*100,"")</f>
        <v>0.553834059341796</v>
      </c>
      <c r="D174" s="21" t="n">
        <f aca="false">IFERROR((B174/B170-1)*100,"")</f>
        <v>1.92665998417731</v>
      </c>
      <c r="E174" s="14"/>
      <c r="F174" s="14"/>
      <c r="G174" s="14"/>
    </row>
    <row r="175" customFormat="false" ht="15" hidden="false" customHeight="false" outlineLevel="0" collapsed="false">
      <c r="A175" s="16" t="n">
        <v>44652</v>
      </c>
      <c r="B175" s="17" t="n">
        <v>141.375305053297</v>
      </c>
      <c r="C175" s="18" t="n">
        <f aca="false">IFERROR((B175/B174-1)*100,"")</f>
        <v>0.736218633329222</v>
      </c>
      <c r="D175" s="18" t="n">
        <f aca="false">IFERROR((B175/B171-1)*100,"")</f>
        <v>2.9207135743996</v>
      </c>
      <c r="E175" s="19"/>
      <c r="F175" s="19"/>
      <c r="G175" s="19"/>
    </row>
    <row r="176" customFormat="false" ht="15" hidden="false" customHeight="false" outlineLevel="0" collapsed="false">
      <c r="A176" s="12" t="n">
        <v>44743</v>
      </c>
      <c r="B176" s="13" t="n">
        <v>142.457488248338</v>
      </c>
      <c r="C176" s="21" t="n">
        <f aca="false">IFERROR((B176/B175-1)*100,"")</f>
        <v>0.765468335953679</v>
      </c>
      <c r="D176" s="21" t="n">
        <f aca="false">IFERROR((B176/B172-1)*100,"")</f>
        <v>2.09652161419349</v>
      </c>
      <c r="E176" s="14"/>
      <c r="F176" s="14"/>
      <c r="G176" s="14"/>
    </row>
    <row r="177" customFormat="false" ht="15" hidden="false" customHeight="false" outlineLevel="0" collapsed="false">
      <c r="A177" s="16" t="n">
        <v>44835</v>
      </c>
      <c r="B177" s="17" t="n">
        <v>142.728727093916</v>
      </c>
      <c r="C177" s="18" t="n">
        <f aca="false">IFERROR((B177/B176-1)*100,"")</f>
        <v>0.190399851150636</v>
      </c>
      <c r="D177" s="18" t="n">
        <f aca="false">IFERROR((B177/B173-1)*100,"")</f>
        <v>2.26384479933506</v>
      </c>
      <c r="E177" s="19"/>
      <c r="F177" s="19"/>
      <c r="G177" s="19"/>
    </row>
    <row r="178" customFormat="false" ht="15" hidden="false" customHeight="false" outlineLevel="0" collapsed="false">
      <c r="A178" s="12" t="n">
        <v>44927</v>
      </c>
      <c r="B178" s="13" t="n">
        <v>142.986736528899</v>
      </c>
      <c r="C178" s="21" t="n">
        <f aca="false">IFERROR((B178/B177-1)*100,"")</f>
        <v>0.180769099701528</v>
      </c>
      <c r="D178" s="21" t="n">
        <f aca="false">IFERROR((B178/B174-1)*100,"")</f>
        <v>1.88443552578901</v>
      </c>
      <c r="E178" s="14"/>
      <c r="F178" s="14"/>
      <c r="G178" s="14"/>
    </row>
    <row r="179" customFormat="false" ht="15" hidden="false" customHeight="false" outlineLevel="0" collapsed="false">
      <c r="A179" s="16" t="n">
        <v>45017</v>
      </c>
      <c r="B179" s="17" t="n">
        <v>144.088886782902</v>
      </c>
      <c r="C179" s="18" t="n">
        <f aca="false">IFERROR((B179/B178-1)*100,"")</f>
        <v>0.770805936801233</v>
      </c>
      <c r="D179" s="18" t="n">
        <f aca="false">IFERROR((B179/B175-1)*100,"")</f>
        <v>1.91941706409184</v>
      </c>
      <c r="E179" s="19"/>
      <c r="F179" s="19"/>
      <c r="G179" s="19"/>
    </row>
    <row r="180" customFormat="false" ht="15" hidden="false" customHeight="false" outlineLevel="0" collapsed="false">
      <c r="A180" s="12" t="n">
        <v>45108</v>
      </c>
      <c r="B180" s="13" t="n">
        <v>144.501620995695</v>
      </c>
      <c r="C180" s="21" t="n">
        <f aca="false">IFERROR((B180/B179-1)*100,"")</f>
        <v>0.286444167907507</v>
      </c>
      <c r="D180" s="21" t="n">
        <f aca="false">IFERROR((B180/B176-1)*100,"")</f>
        <v>1.43490719406274</v>
      </c>
      <c r="E180" s="14"/>
      <c r="F180" s="14"/>
      <c r="G180" s="14"/>
    </row>
    <row r="181" customFormat="false" ht="15" hidden="false" customHeight="false" outlineLevel="0" collapsed="false">
      <c r="A181" s="16" t="n">
        <v>45200</v>
      </c>
      <c r="B181" s="17" t="n">
        <v>145.283398340079</v>
      </c>
      <c r="C181" s="18" t="n">
        <f aca="false">IFERROR((B181/B180-1)*100,"")</f>
        <v>0.541016314555809</v>
      </c>
      <c r="D181" s="18" t="n">
        <f aca="false">IFERROR((B181/B177-1)*100,"")</f>
        <v>1.78987881289099</v>
      </c>
      <c r="E181" s="19"/>
      <c r="F181" s="19"/>
      <c r="G181" s="19"/>
    </row>
    <row r="182" customFormat="false" ht="15" hidden="false" customHeight="false" outlineLevel="0" collapsed="false">
      <c r="A182" s="12" t="n">
        <v>45292</v>
      </c>
      <c r="B182" s="13" t="n">
        <v>145.863374480853</v>
      </c>
      <c r="C182" s="21" t="n">
        <f aca="false">IFERROR((B182/B181-1)*100,"")</f>
        <v>0.399203313937102</v>
      </c>
      <c r="D182" s="21" t="n">
        <f aca="false">IFERROR((B182/B178-1)*100,"")</f>
        <v>2.01182153099391</v>
      </c>
      <c r="E182" s="14"/>
      <c r="F182" s="14"/>
      <c r="G182" s="14"/>
    </row>
    <row r="183" customFormat="false" ht="15" hidden="false" customHeight="false" outlineLevel="0" collapsed="false">
      <c r="A183" s="16" t="n">
        <v>45383</v>
      </c>
      <c r="B183" s="17" t="n">
        <v>146.037732030107</v>
      </c>
      <c r="C183" s="18" t="n">
        <f aca="false">IFERROR((B183/B182-1)*100,"")</f>
        <v>0.119534838594038</v>
      </c>
      <c r="D183" s="18" t="n">
        <f aca="false">IFERROR((B183/B179-1)*100,"")</f>
        <v>1.35252987979608</v>
      </c>
      <c r="E183" s="19"/>
      <c r="F183" s="19"/>
      <c r="G183" s="19"/>
    </row>
    <row r="184" customFormat="false" ht="15" hidden="false" customHeight="false" outlineLevel="0" collapsed="false">
      <c r="A184" s="12" t="n">
        <v>45474</v>
      </c>
      <c r="B184" s="13" t="n">
        <v>147.669411710419</v>
      </c>
      <c r="C184" s="21" t="n">
        <f aca="false">IFERROR((B184/B183-1)*100,"")</f>
        <v>1.11730006870856</v>
      </c>
      <c r="D184" s="21" t="n">
        <f aca="false">IFERROR((B184/B180-1)*100,"")</f>
        <v>2.19221811692965</v>
      </c>
      <c r="E184" s="14"/>
      <c r="F184" s="14"/>
      <c r="G184" s="14"/>
    </row>
    <row r="185" customFormat="false" ht="15" hidden="false" customHeight="false" outlineLevel="0" collapsed="false">
      <c r="A185" s="16" t="n">
        <v>45566</v>
      </c>
      <c r="B185" s="17" t="n">
        <v>148.019086080421</v>
      </c>
      <c r="C185" s="18" t="n">
        <f aca="false">IFERROR((B185/B184-1)*100,"")</f>
        <v>0.236795397198986</v>
      </c>
      <c r="D185" s="18" t="n">
        <f aca="false">IFERROR((B185/B181-1)*100,"")</f>
        <v>1.88300092894145</v>
      </c>
      <c r="E185" s="19"/>
      <c r="F185" s="19"/>
      <c r="G185" s="19"/>
    </row>
    <row r="186" customFormat="false" ht="15" hidden="false" customHeight="false" outlineLevel="0" collapsed="false">
      <c r="A186" s="12" t="n">
        <v>45658</v>
      </c>
      <c r="B186" s="13" t="n">
        <v>148.5944933103</v>
      </c>
      <c r="C186" s="21" t="n">
        <f aca="false">IFERROR((B186/B185-1)*100,"")</f>
        <v>0.388738537114652</v>
      </c>
      <c r="D186" s="21" t="n">
        <f aca="false">IFERROR((B186/B182-1)*100,"")</f>
        <v>1.8723814934128</v>
      </c>
      <c r="E186" s="14"/>
      <c r="F186" s="14"/>
      <c r="G186" s="14"/>
    </row>
    <row r="187" customFormat="false" ht="15" hidden="false" customHeight="false" outlineLevel="0" collapsed="false">
      <c r="A187" s="16" t="n">
        <v>45748</v>
      </c>
      <c r="B187" s="17" t="n">
        <v>149.487515786437</v>
      </c>
      <c r="C187" s="18" t="n">
        <f aca="false">IFERROR((B187/B186-1)*100,"")</f>
        <v>0.600979522351364</v>
      </c>
      <c r="D187" s="18" t="n">
        <f aca="false">IFERROR((B187/B183-1)*100,"")</f>
        <v>2.36225508871837</v>
      </c>
      <c r="E187" s="19"/>
      <c r="F187" s="19"/>
      <c r="G187" s="19"/>
    </row>
    <row r="188" customFormat="false" ht="15" hidden="false" customHeight="false" outlineLevel="0" collapsed="false">
      <c r="A188" s="12" t="n">
        <v>45839</v>
      </c>
      <c r="B188" s="13" t="n">
        <v>149.625087414801</v>
      </c>
      <c r="C188" s="21" t="n">
        <f aca="false">IFERROR((B188/B187-1)*100,"")</f>
        <v>0.0920288410980241</v>
      </c>
      <c r="D188" s="21" t="n">
        <f aca="false">IFERROR((B188/B184-1)*100,"")</f>
        <v>1.32436073370217</v>
      </c>
      <c r="E188" s="14"/>
      <c r="F188" s="14"/>
      <c r="G188" s="14"/>
    </row>
    <row r="189" customFormat="false" ht="15" hidden="false" customHeight="false" outlineLevel="0" collapsed="false">
      <c r="A189" s="16" t="n">
        <v>45931</v>
      </c>
      <c r="B189" s="17" t="n">
        <v>151.211191896028</v>
      </c>
      <c r="C189" s="18" t="n">
        <f aca="false">IFERROR((B189/B188-1)*100,"")</f>
        <v>1.06005250097478</v>
      </c>
      <c r="D189" s="18" t="n">
        <f aca="false">IFERROR((B189/B185-1)*100,"")</f>
        <v>2.15655014507568</v>
      </c>
      <c r="E189" s="19"/>
      <c r="F189" s="19"/>
      <c r="G189" s="19"/>
    </row>
    <row r="190" customFormat="false" ht="15" hidden="false" customHeight="false" outlineLevel="0" collapsed="false">
      <c r="A190" s="12" t="n">
        <v>46023</v>
      </c>
      <c r="B190" s="14"/>
      <c r="C190" s="21" t="n">
        <f aca="false">IFERROR((B190/B189-1)*100,"")</f>
        <v>-100</v>
      </c>
      <c r="D190" s="21" t="n">
        <f aca="false">IFERROR((B190/B186-1)*100,"")</f>
        <v>-100</v>
      </c>
      <c r="E190" s="13" t="n">
        <v>151.85743588291</v>
      </c>
      <c r="F190" s="13" t="n">
        <v>150.735295203017</v>
      </c>
      <c r="G190" s="22" t="n">
        <f aca="false">152.093263-149.377327</f>
        <v>2.715936</v>
      </c>
    </row>
    <row r="191" customFormat="false" ht="15" hidden="false" customHeight="false" outlineLevel="0" collapsed="false">
      <c r="A191" s="16" t="n">
        <v>46113</v>
      </c>
      <c r="B191" s="19"/>
      <c r="C191" s="18" t="str">
        <f aca="false">IFERROR((B191/B190-1)*100,"")</f>
        <v/>
      </c>
      <c r="D191" s="18" t="n">
        <f aca="false">IFERROR((B191/B187-1)*100,"")</f>
        <v>-100</v>
      </c>
      <c r="E191" s="17" t="n">
        <v>152.61529854739</v>
      </c>
      <c r="F191" s="17" t="n">
        <v>151.108176711897</v>
      </c>
      <c r="G191" s="23" t="n">
        <f aca="false">153.028633-149.18772</f>
        <v>3.840913</v>
      </c>
    </row>
    <row r="192" customFormat="false" ht="15" hidden="false" customHeight="false" outlineLevel="0" collapsed="false">
      <c r="A192" s="12" t="n">
        <v>46204</v>
      </c>
      <c r="B192" s="14"/>
      <c r="C192" s="21" t="str">
        <f aca="false">IFERROR((B192/B191-1)*100,"")</f>
        <v/>
      </c>
      <c r="D192" s="21" t="n">
        <f aca="false">IFERROR((B192/B188-1)*100,"")</f>
        <v>-100</v>
      </c>
      <c r="E192" s="13" t="n">
        <v>153.376943415981</v>
      </c>
      <c r="F192" s="13" t="n">
        <v>151.673281897512</v>
      </c>
      <c r="G192" s="22" t="n">
        <f aca="false">154.025351-149.321213</f>
        <v>4.704138</v>
      </c>
    </row>
    <row r="193" customFormat="false" ht="15" hidden="false" customHeight="false" outlineLevel="0" collapsed="false">
      <c r="A193" s="16" t="n">
        <v>46296</v>
      </c>
      <c r="B193" s="19"/>
      <c r="C193" s="18" t="str">
        <f aca="false">IFERROR((B193/B192-1)*100,"")</f>
        <v/>
      </c>
      <c r="D193" s="18" t="n">
        <f aca="false">IFERROR((B193/B189-1)*100,"")</f>
        <v>-100</v>
      </c>
      <c r="E193" s="17" t="n">
        <v>154.142389364223</v>
      </c>
      <c r="F193" s="17" t="n">
        <v>152.414466885002</v>
      </c>
      <c r="G193" s="23" t="n">
        <f aca="false">155.130402-149.698531</f>
        <v>5.431871</v>
      </c>
    </row>
    <row r="194" customFormat="false" ht="15" hidden="false" customHeight="false" outlineLevel="0" collapsed="false">
      <c r="A194" s="12" t="n">
        <v>46388</v>
      </c>
      <c r="B194" s="14"/>
      <c r="C194" s="21" t="str">
        <f aca="false">IFERROR((B194/B193-1)*100,"")</f>
        <v/>
      </c>
      <c r="D194" s="21" t="str">
        <f aca="false">IFERROR((B194/B190-1)*100,"")</f>
        <v/>
      </c>
      <c r="E194" s="13" t="n">
        <v>154.911655361859</v>
      </c>
      <c r="F194" s="13" t="n">
        <v>152.285389957629</v>
      </c>
      <c r="G194" s="22" t="n">
        <f aca="false">155.321898-149.248882</f>
        <v>6.073016</v>
      </c>
    </row>
    <row r="195" customFormat="false" ht="15" hidden="false" customHeight="false" outlineLevel="0" collapsed="false">
      <c r="A195" s="16" t="n">
        <v>46478</v>
      </c>
      <c r="B195" s="19"/>
      <c r="C195" s="18" t="str">
        <f aca="false">IFERROR((B195/B194-1)*100,"")</f>
        <v/>
      </c>
      <c r="D195" s="18" t="str">
        <f aca="false">IFERROR((B195/B191-1)*100,"")</f>
        <v/>
      </c>
      <c r="E195" s="17" t="n">
        <v>155.684760473301</v>
      </c>
      <c r="F195" s="17" t="n">
        <v>152.580766728778</v>
      </c>
      <c r="G195" s="23" t="n">
        <f aca="false">155.907095-149.254439</f>
        <v>6.65265600000001</v>
      </c>
    </row>
    <row r="196" customFormat="false" ht="15" hidden="false" customHeight="false" outlineLevel="0" collapsed="false">
      <c r="A196" s="12" t="n">
        <v>46569</v>
      </c>
      <c r="B196" s="14"/>
      <c r="C196" s="21" t="str">
        <f aca="false">IFERROR((B196/B195-1)*100,"")</f>
        <v/>
      </c>
      <c r="D196" s="21" t="str">
        <f aca="false">IFERROR((B196/B192-1)*100,"")</f>
        <v/>
      </c>
      <c r="E196" s="13" t="n">
        <v>156.461723858105</v>
      </c>
      <c r="F196" s="13" t="n">
        <v>153.072242413549</v>
      </c>
      <c r="G196" s="22" t="n">
        <f aca="false">156.665087-149.479398</f>
        <v>7.185689</v>
      </c>
    </row>
    <row r="197" customFormat="false" ht="15" hidden="false" customHeight="false" outlineLevel="0" collapsed="false">
      <c r="A197" s="16" t="n">
        <v>46661</v>
      </c>
      <c r="B197" s="19"/>
      <c r="C197" s="18" t="str">
        <f aca="false">IFERROR((B197/B196-1)*100,"")</f>
        <v/>
      </c>
      <c r="D197" s="18" t="str">
        <f aca="false">IFERROR((B197/B193-1)*100,"")</f>
        <v/>
      </c>
      <c r="E197" s="17" t="n">
        <v>157.242564771445</v>
      </c>
      <c r="F197" s="17" t="n">
        <v>153.743479375238</v>
      </c>
      <c r="G197" s="23" t="n">
        <f aca="false">157.584392-149.902567</f>
        <v>7.681825</v>
      </c>
    </row>
    <row r="200" customFormat="false" ht="21.75" hidden="false" customHeight="true" outlineLevel="0" collapsed="false">
      <c r="A200" s="9" t="s">
        <v>150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customFormat="false" ht="15" hidden="false" customHeight="false" outlineLevel="0" collapsed="false">
      <c r="A201" s="5" t="s">
        <v>113</v>
      </c>
      <c r="B201" s="10" t="s">
        <v>114</v>
      </c>
      <c r="D201" s="5" t="s">
        <v>115</v>
      </c>
      <c r="E201" s="2" t="s">
        <v>151</v>
      </c>
      <c r="H201" s="5" t="s">
        <v>117</v>
      </c>
      <c r="I201" s="2" t="s">
        <v>118</v>
      </c>
    </row>
    <row r="202" customFormat="false" ht="18" hidden="false" customHeight="true" outlineLevel="0" collapsed="false">
      <c r="A202" s="11" t="s">
        <v>119</v>
      </c>
      <c r="B202" s="11"/>
      <c r="C202" s="11"/>
      <c r="D202" s="11"/>
      <c r="E202" s="11"/>
      <c r="F202" s="11"/>
      <c r="G202" s="11"/>
      <c r="I202" s="11" t="s">
        <v>120</v>
      </c>
      <c r="J202" s="11"/>
      <c r="K202" s="11"/>
      <c r="L202" s="11"/>
    </row>
    <row r="203" customFormat="false" ht="15" hidden="false" customHeight="false" outlineLevel="0" collapsed="false">
      <c r="A203" s="6" t="s">
        <v>121</v>
      </c>
      <c r="B203" s="6" t="s">
        <v>122</v>
      </c>
      <c r="C203" s="6" t="s">
        <v>123</v>
      </c>
      <c r="D203" s="6" t="s">
        <v>124</v>
      </c>
      <c r="E203" s="6" t="s">
        <v>125</v>
      </c>
      <c r="F203" s="6" t="s">
        <v>126</v>
      </c>
      <c r="G203" s="6" t="s">
        <v>127</v>
      </c>
      <c r="I203" s="6" t="s">
        <v>128</v>
      </c>
      <c r="J203" s="6" t="s">
        <v>122</v>
      </c>
      <c r="K203" s="6" t="s">
        <v>124</v>
      </c>
      <c r="L203" s="6" t="s">
        <v>129</v>
      </c>
    </row>
    <row r="204" customFormat="false" ht="15" hidden="false" customHeight="false" outlineLevel="0" collapsed="false">
      <c r="A204" s="12" t="n">
        <v>38353</v>
      </c>
      <c r="B204" s="13" t="n">
        <v>301.121369041036</v>
      </c>
      <c r="C204" s="14"/>
      <c r="D204" s="14"/>
      <c r="E204" s="14"/>
      <c r="F204" s="14"/>
      <c r="G204" s="14"/>
      <c r="I204" s="15" t="n">
        <v>2005</v>
      </c>
      <c r="J204" s="13" t="n">
        <v>1214.65781105805</v>
      </c>
      <c r="K204" s="14"/>
      <c r="L204" s="14"/>
    </row>
    <row r="205" customFormat="false" ht="15" hidden="false" customHeight="false" outlineLevel="0" collapsed="false">
      <c r="A205" s="16" t="n">
        <v>38443</v>
      </c>
      <c r="B205" s="17" t="n">
        <v>303.730640563659</v>
      </c>
      <c r="C205" s="18" t="n">
        <f aca="false">IFERROR((B205/B204-1)*100,"")</f>
        <v>0.866518218528456</v>
      </c>
      <c r="D205" s="19"/>
      <c r="E205" s="19"/>
      <c r="F205" s="19"/>
      <c r="G205" s="19"/>
      <c r="I205" s="20" t="n">
        <v>2006</v>
      </c>
      <c r="J205" s="17" t="n">
        <v>1244.52526762877</v>
      </c>
      <c r="K205" s="18" t="n">
        <f aca="false">IFERROR((J205/J204-1)*100,"")</f>
        <v>2.45891940090548</v>
      </c>
      <c r="L205" s="19"/>
    </row>
    <row r="206" customFormat="false" ht="15" hidden="false" customHeight="false" outlineLevel="0" collapsed="false">
      <c r="A206" s="12" t="n">
        <v>38534</v>
      </c>
      <c r="B206" s="13" t="n">
        <v>304.237965001925</v>
      </c>
      <c r="C206" s="21" t="n">
        <f aca="false">IFERROR((B206/B205-1)*100,"")</f>
        <v>0.167031036883247</v>
      </c>
      <c r="D206" s="14"/>
      <c r="E206" s="14"/>
      <c r="F206" s="14"/>
      <c r="G206" s="14"/>
      <c r="I206" s="15" t="n">
        <v>2007</v>
      </c>
      <c r="J206" s="13" t="n">
        <v>1274.4927771363</v>
      </c>
      <c r="K206" s="21" t="n">
        <f aca="false">IFERROR((J206/J205-1)*100,"")</f>
        <v>2.40794705314678</v>
      </c>
      <c r="L206" s="14"/>
    </row>
    <row r="207" customFormat="false" ht="15" hidden="false" customHeight="false" outlineLevel="0" collapsed="false">
      <c r="A207" s="16" t="n">
        <v>38626</v>
      </c>
      <c r="B207" s="17" t="n">
        <v>305.567836451431</v>
      </c>
      <c r="C207" s="18" t="n">
        <f aca="false">IFERROR((B207/B206-1)*100,"")</f>
        <v>0.437115548513978</v>
      </c>
      <c r="D207" s="19"/>
      <c r="E207" s="19"/>
      <c r="F207" s="19"/>
      <c r="G207" s="19"/>
      <c r="I207" s="20" t="n">
        <v>2008</v>
      </c>
      <c r="J207" s="17" t="n">
        <v>1308.12206422021</v>
      </c>
      <c r="K207" s="18" t="n">
        <f aca="false">IFERROR((J207/J206-1)*100,"")</f>
        <v>2.63864085283148</v>
      </c>
      <c r="L207" s="19"/>
    </row>
    <row r="208" customFormat="false" ht="15" hidden="false" customHeight="false" outlineLevel="0" collapsed="false">
      <c r="A208" s="12" t="n">
        <v>38718</v>
      </c>
      <c r="B208" s="13" t="n">
        <v>308.591176394903</v>
      </c>
      <c r="C208" s="21" t="n">
        <f aca="false">IFERROR((B208/B207-1)*100,"")</f>
        <v>0.989416942104393</v>
      </c>
      <c r="D208" s="21" t="n">
        <f aca="false">IFERROR((B208/B204-1)*100,"")</f>
        <v>2.48066332112378</v>
      </c>
      <c r="E208" s="14"/>
      <c r="F208" s="14"/>
      <c r="G208" s="14"/>
      <c r="I208" s="15" t="n">
        <v>2009</v>
      </c>
      <c r="J208" s="13" t="n">
        <v>1340.84926037438</v>
      </c>
      <c r="K208" s="21" t="n">
        <f aca="false">IFERROR((J208/J207-1)*100,"")</f>
        <v>2.50184574125971</v>
      </c>
      <c r="L208" s="14"/>
    </row>
    <row r="209" customFormat="false" ht="15" hidden="false" customHeight="false" outlineLevel="0" collapsed="false">
      <c r="A209" s="16" t="n">
        <v>38808</v>
      </c>
      <c r="B209" s="17" t="n">
        <v>310.76011103953</v>
      </c>
      <c r="C209" s="18" t="n">
        <f aca="false">IFERROR((B209/B208-1)*100,"")</f>
        <v>0.702850505955843</v>
      </c>
      <c r="D209" s="18" t="n">
        <f aca="false">IFERROR((B209/B205-1)*100,"")</f>
        <v>2.31437646950121</v>
      </c>
      <c r="E209" s="19"/>
      <c r="F209" s="19"/>
      <c r="G209" s="19"/>
      <c r="I209" s="20" t="n">
        <v>2010</v>
      </c>
      <c r="J209" s="17" t="n">
        <v>1374.82025327358</v>
      </c>
      <c r="K209" s="18" t="n">
        <f aca="false">IFERROR((J209/J208-1)*100,"")</f>
        <v>2.53354302404665</v>
      </c>
      <c r="L209" s="19"/>
    </row>
    <row r="210" customFormat="false" ht="15" hidden="false" customHeight="false" outlineLevel="0" collapsed="false">
      <c r="A210" s="12" t="n">
        <v>38899</v>
      </c>
      <c r="B210" s="13" t="n">
        <v>311.781474979319</v>
      </c>
      <c r="C210" s="21" t="n">
        <f aca="false">IFERROR((B210/B209-1)*100,"")</f>
        <v>0.328666358231255</v>
      </c>
      <c r="D210" s="21" t="n">
        <f aca="false">IFERROR((B210/B206-1)*100,"")</f>
        <v>2.47947687177905</v>
      </c>
      <c r="E210" s="14"/>
      <c r="F210" s="14"/>
      <c r="G210" s="14"/>
      <c r="I210" s="15" t="n">
        <v>2011</v>
      </c>
      <c r="J210" s="13" t="n">
        <v>1409.53520763654</v>
      </c>
      <c r="K210" s="21" t="n">
        <f aca="false">IFERROR((J210/J209-1)*100,"")</f>
        <v>2.52505404108685</v>
      </c>
      <c r="L210" s="14"/>
    </row>
    <row r="211" customFormat="false" ht="15" hidden="false" customHeight="false" outlineLevel="0" collapsed="false">
      <c r="A211" s="16" t="n">
        <v>38991</v>
      </c>
      <c r="B211" s="17" t="n">
        <v>313.39250521502</v>
      </c>
      <c r="C211" s="18" t="n">
        <f aca="false">IFERROR((B211/B210-1)*100,"")</f>
        <v>0.516717754256546</v>
      </c>
      <c r="D211" s="18" t="n">
        <f aca="false">IFERROR((B211/B207-1)*100,"")</f>
        <v>2.56069776664232</v>
      </c>
      <c r="E211" s="19"/>
      <c r="F211" s="19"/>
      <c r="G211" s="19"/>
      <c r="I211" s="20" t="n">
        <v>2012</v>
      </c>
      <c r="J211" s="17" t="n">
        <v>1445.89959261676</v>
      </c>
      <c r="K211" s="18" t="n">
        <f aca="false">IFERROR((J211/J210-1)*100,"")</f>
        <v>2.57988482892848</v>
      </c>
      <c r="L211" s="19"/>
    </row>
    <row r="212" customFormat="false" ht="15" hidden="false" customHeight="false" outlineLevel="0" collapsed="false">
      <c r="A212" s="12" t="n">
        <v>39083</v>
      </c>
      <c r="B212" s="13" t="n">
        <v>316.225111078589</v>
      </c>
      <c r="C212" s="21" t="n">
        <f aca="false">IFERROR((B212/B211-1)*100,"")</f>
        <v>0.903852458636667</v>
      </c>
      <c r="D212" s="21" t="n">
        <f aca="false">IFERROR((B212/B208-1)*100,"")</f>
        <v>2.47380199682592</v>
      </c>
      <c r="E212" s="14"/>
      <c r="F212" s="14"/>
      <c r="G212" s="14"/>
      <c r="I212" s="15" t="n">
        <v>2013</v>
      </c>
      <c r="J212" s="13" t="n">
        <v>1483.39229857845</v>
      </c>
      <c r="K212" s="21" t="n">
        <f aca="false">IFERROR((J212/J211-1)*100,"")</f>
        <v>2.59303662253867</v>
      </c>
      <c r="L212" s="14"/>
    </row>
    <row r="213" customFormat="false" ht="15" hidden="false" customHeight="false" outlineLevel="0" collapsed="false">
      <c r="A213" s="16" t="n">
        <v>39173</v>
      </c>
      <c r="B213" s="17" t="n">
        <v>318.073408752339</v>
      </c>
      <c r="C213" s="18" t="n">
        <f aca="false">IFERROR((B213/B212-1)*100,"")</f>
        <v>0.584487951461532</v>
      </c>
      <c r="D213" s="18" t="n">
        <f aca="false">IFERROR((B213/B209-1)*100,"")</f>
        <v>2.35335792883629</v>
      </c>
      <c r="E213" s="19"/>
      <c r="F213" s="19"/>
      <c r="G213" s="19"/>
      <c r="I213" s="20" t="n">
        <v>2014</v>
      </c>
      <c r="J213" s="17" t="n">
        <v>1520.05900760799</v>
      </c>
      <c r="K213" s="18" t="n">
        <f aca="false">IFERROR((J213/J212-1)*100,"")</f>
        <v>2.47181470907447</v>
      </c>
      <c r="L213" s="19"/>
    </row>
    <row r="214" customFormat="false" ht="15" hidden="false" customHeight="false" outlineLevel="0" collapsed="false">
      <c r="A214" s="12" t="n">
        <v>39264</v>
      </c>
      <c r="B214" s="13" t="n">
        <v>319.152406442561</v>
      </c>
      <c r="C214" s="21" t="n">
        <f aca="false">IFERROR((B214/B213-1)*100,"")</f>
        <v>0.339229140359465</v>
      </c>
      <c r="D214" s="21" t="n">
        <f aca="false">IFERROR((B214/B210-1)*100,"")</f>
        <v>2.36413387412826</v>
      </c>
      <c r="E214" s="14"/>
      <c r="F214" s="14"/>
      <c r="G214" s="14"/>
      <c r="I214" s="15" t="n">
        <v>2015</v>
      </c>
      <c r="J214" s="13" t="n">
        <v>1559.51072678697</v>
      </c>
      <c r="K214" s="21" t="n">
        <f aca="false">IFERROR((J214/J213-1)*100,"")</f>
        <v>2.59540708495669</v>
      </c>
      <c r="L214" s="14"/>
    </row>
    <row r="215" customFormat="false" ht="15" hidden="false" customHeight="false" outlineLevel="0" collapsed="false">
      <c r="A215" s="16" t="n">
        <v>39356</v>
      </c>
      <c r="B215" s="17" t="n">
        <v>321.041850862815</v>
      </c>
      <c r="C215" s="18" t="n">
        <f aca="false">IFERROR((B215/B214-1)*100,"")</f>
        <v>0.592019481010508</v>
      </c>
      <c r="D215" s="18" t="n">
        <f aca="false">IFERROR((B215/B211-1)*100,"")</f>
        <v>2.44081958582492</v>
      </c>
      <c r="E215" s="19"/>
      <c r="F215" s="19"/>
      <c r="G215" s="19"/>
      <c r="I215" s="20" t="n">
        <v>2016</v>
      </c>
      <c r="J215" s="17" t="n">
        <v>1597.32121747097</v>
      </c>
      <c r="K215" s="18" t="n">
        <f aca="false">IFERROR((J215/J214-1)*100,"")</f>
        <v>2.42450981801794</v>
      </c>
      <c r="L215" s="19"/>
    </row>
    <row r="216" customFormat="false" ht="15" hidden="false" customHeight="false" outlineLevel="0" collapsed="false">
      <c r="A216" s="12" t="n">
        <v>39448</v>
      </c>
      <c r="B216" s="13" t="n">
        <v>324.257963663953</v>
      </c>
      <c r="C216" s="21" t="n">
        <f aca="false">IFERROR((B216/B215-1)*100,"")</f>
        <v>1.00177369165255</v>
      </c>
      <c r="D216" s="21" t="n">
        <f aca="false">IFERROR((B216/B212-1)*100,"")</f>
        <v>2.5402323547191</v>
      </c>
      <c r="E216" s="14"/>
      <c r="F216" s="14"/>
      <c r="G216" s="14"/>
      <c r="I216" s="15" t="n">
        <v>2017</v>
      </c>
      <c r="J216" s="13" t="n">
        <v>1638.75035575257</v>
      </c>
      <c r="K216" s="21" t="n">
        <f aca="false">IFERROR((J216/J215-1)*100,"")</f>
        <v>2.59366355548714</v>
      </c>
      <c r="L216" s="14"/>
    </row>
    <row r="217" customFormat="false" ht="15" hidden="false" customHeight="false" outlineLevel="0" collapsed="false">
      <c r="A217" s="16" t="n">
        <v>39539</v>
      </c>
      <c r="B217" s="17" t="n">
        <v>326.822429767543</v>
      </c>
      <c r="C217" s="18" t="n">
        <f aca="false">IFERROR((B217/B216-1)*100,"")</f>
        <v>0.790872203912141</v>
      </c>
      <c r="D217" s="18" t="n">
        <f aca="false">IFERROR((B217/B213-1)*100,"")</f>
        <v>2.75062950075669</v>
      </c>
      <c r="E217" s="19"/>
      <c r="F217" s="19"/>
      <c r="G217" s="19"/>
      <c r="I217" s="20" t="n">
        <v>2018</v>
      </c>
      <c r="J217" s="17" t="n">
        <v>1679.13279976271</v>
      </c>
      <c r="K217" s="18" t="n">
        <f aca="false">IFERROR((J217/J216-1)*100,"")</f>
        <v>2.46422183027322</v>
      </c>
      <c r="L217" s="19"/>
    </row>
    <row r="218" customFormat="false" ht="15" hidden="false" customHeight="false" outlineLevel="0" collapsed="false">
      <c r="A218" s="12" t="n">
        <v>39630</v>
      </c>
      <c r="B218" s="13" t="n">
        <v>327.608149187723</v>
      </c>
      <c r="C218" s="21" t="n">
        <f aca="false">IFERROR((B218/B217-1)*100,"")</f>
        <v>0.240411718601763</v>
      </c>
      <c r="D218" s="21" t="n">
        <f aca="false">IFERROR((B218/B214-1)*100,"")</f>
        <v>2.64943725144169</v>
      </c>
      <c r="E218" s="14"/>
      <c r="F218" s="14"/>
      <c r="G218" s="14"/>
      <c r="I218" s="15" t="n">
        <v>2019</v>
      </c>
      <c r="J218" s="13" t="n">
        <v>1722.98926446689</v>
      </c>
      <c r="K218" s="21" t="n">
        <f aca="false">IFERROR((J218/J217-1)*100,"")</f>
        <v>2.61185206496946</v>
      </c>
      <c r="L218" s="14"/>
    </row>
    <row r="219" customFormat="false" ht="15" hidden="false" customHeight="false" outlineLevel="0" collapsed="false">
      <c r="A219" s="16" t="n">
        <v>39722</v>
      </c>
      <c r="B219" s="17" t="n">
        <v>329.43352160099</v>
      </c>
      <c r="C219" s="18" t="n">
        <f aca="false">IFERROR((B219/B218-1)*100,"")</f>
        <v>0.557181626218029</v>
      </c>
      <c r="D219" s="18" t="n">
        <f aca="false">IFERROR((B219/B215-1)*100,"")</f>
        <v>2.61388685482029</v>
      </c>
      <c r="E219" s="19"/>
      <c r="F219" s="19"/>
      <c r="G219" s="19"/>
      <c r="I219" s="20" t="n">
        <v>2020</v>
      </c>
      <c r="J219" s="17" t="n">
        <v>1765.68123191486</v>
      </c>
      <c r="K219" s="18" t="n">
        <f aca="false">IFERROR((J219/J218-1)*100,"")</f>
        <v>2.47778487819994</v>
      </c>
      <c r="L219" s="19"/>
    </row>
    <row r="220" customFormat="false" ht="15" hidden="false" customHeight="false" outlineLevel="0" collapsed="false">
      <c r="A220" s="12" t="n">
        <v>39814</v>
      </c>
      <c r="B220" s="13" t="n">
        <v>332.452198325155</v>
      </c>
      <c r="C220" s="21" t="n">
        <f aca="false">IFERROR((B220/B219-1)*100,"")</f>
        <v>0.916323484475612</v>
      </c>
      <c r="D220" s="21" t="n">
        <f aca="false">IFERROR((B220/B216-1)*100,"")</f>
        <v>2.52707275670609</v>
      </c>
      <c r="E220" s="14"/>
      <c r="F220" s="14"/>
      <c r="G220" s="14"/>
      <c r="I220" s="15" t="n">
        <v>2021</v>
      </c>
      <c r="J220" s="13" t="n">
        <v>1810.90147825987</v>
      </c>
      <c r="K220" s="21" t="n">
        <f aca="false">IFERROR((J220/J219-1)*100,"")</f>
        <v>2.56106513042409</v>
      </c>
      <c r="L220" s="14"/>
    </row>
    <row r="221" customFormat="false" ht="15" hidden="false" customHeight="false" outlineLevel="0" collapsed="false">
      <c r="A221" s="16" t="n">
        <v>39904</v>
      </c>
      <c r="B221" s="17" t="n">
        <v>335.035056102072</v>
      </c>
      <c r="C221" s="18" t="n">
        <f aca="false">IFERROR((B221/B220-1)*100,"")</f>
        <v>0.776911023578419</v>
      </c>
      <c r="D221" s="18" t="n">
        <f aca="false">IFERROR((B221/B217-1)*100,"")</f>
        <v>2.51287108426745</v>
      </c>
      <c r="E221" s="19"/>
      <c r="F221" s="19"/>
      <c r="G221" s="19"/>
      <c r="I221" s="20" t="n">
        <v>2022</v>
      </c>
      <c r="J221" s="17" t="n">
        <v>1855.44815474334</v>
      </c>
      <c r="K221" s="18" t="n">
        <f aca="false">IFERROR((J221/J220-1)*100,"")</f>
        <v>2.45991717485783</v>
      </c>
      <c r="L221" s="19"/>
    </row>
    <row r="222" customFormat="false" ht="15" hidden="false" customHeight="false" outlineLevel="0" collapsed="false">
      <c r="A222" s="12" t="n">
        <v>39995</v>
      </c>
      <c r="B222" s="13" t="n">
        <v>335.678521669082</v>
      </c>
      <c r="C222" s="21" t="n">
        <f aca="false">IFERROR((B222/B221-1)*100,"")</f>
        <v>0.192059175686365</v>
      </c>
      <c r="D222" s="21" t="n">
        <f aca="false">IFERROR((B222/B218-1)*100,"")</f>
        <v>2.46342238475097</v>
      </c>
      <c r="E222" s="14"/>
      <c r="F222" s="14"/>
      <c r="G222" s="14"/>
      <c r="I222" s="15" t="n">
        <v>2023</v>
      </c>
      <c r="J222" s="13" t="n">
        <v>1902.43974615992</v>
      </c>
      <c r="K222" s="21" t="n">
        <f aca="false">IFERROR((J222/J221-1)*100,"")</f>
        <v>2.53262756474455</v>
      </c>
      <c r="L222" s="14"/>
    </row>
    <row r="223" customFormat="false" ht="15" hidden="false" customHeight="false" outlineLevel="0" collapsed="false">
      <c r="A223" s="16" t="n">
        <v>40087</v>
      </c>
      <c r="B223" s="17" t="n">
        <v>337.683484278072</v>
      </c>
      <c r="C223" s="18" t="n">
        <f aca="false">IFERROR((B223/B222-1)*100,"")</f>
        <v>0.597286534455965</v>
      </c>
      <c r="D223" s="18" t="n">
        <f aca="false">IFERROR((B223/B219-1)*100,"")</f>
        <v>2.50428755306646</v>
      </c>
      <c r="E223" s="19"/>
      <c r="F223" s="19"/>
      <c r="G223" s="19"/>
      <c r="I223" s="20" t="n">
        <v>2024</v>
      </c>
      <c r="J223" s="17" t="n">
        <v>1950.64964260328</v>
      </c>
      <c r="K223" s="18" t="n">
        <f aca="false">IFERROR((J223/J222-1)*100,"")</f>
        <v>2.53410897983382</v>
      </c>
      <c r="L223" s="19"/>
    </row>
    <row r="224" customFormat="false" ht="15" hidden="false" customHeight="false" outlineLevel="0" collapsed="false">
      <c r="A224" s="12" t="n">
        <v>40179</v>
      </c>
      <c r="B224" s="13" t="n">
        <v>340.886774075616</v>
      </c>
      <c r="C224" s="21" t="n">
        <f aca="false">IFERROR((B224/B223-1)*100,"")</f>
        <v>0.948607185925021</v>
      </c>
      <c r="D224" s="21" t="n">
        <f aca="false">IFERROR((B224/B220-1)*100,"")</f>
        <v>2.53707925318383</v>
      </c>
      <c r="E224" s="14"/>
      <c r="F224" s="14"/>
      <c r="G224" s="14"/>
      <c r="I224" s="15" t="n">
        <v>2025</v>
      </c>
      <c r="J224" s="13" t="n">
        <v>2000.80040301829</v>
      </c>
      <c r="K224" s="21" t="n">
        <f aca="false">IFERROR((J224/J223-1)*100,"")</f>
        <v>2.570977346197</v>
      </c>
      <c r="L224" s="14"/>
    </row>
    <row r="225" customFormat="false" ht="15" hidden="false" customHeight="false" outlineLevel="0" collapsed="false">
      <c r="A225" s="16" t="n">
        <v>40269</v>
      </c>
      <c r="B225" s="17" t="n">
        <v>343.846745813642</v>
      </c>
      <c r="C225" s="18" t="n">
        <f aca="false">IFERROR((B225/B224-1)*100,"")</f>
        <v>0.868315218756433</v>
      </c>
      <c r="D225" s="18" t="n">
        <f aca="false">IFERROR((B225/B221-1)*100,"")</f>
        <v>2.63007991285722</v>
      </c>
      <c r="E225" s="19"/>
      <c r="F225" s="19"/>
      <c r="G225" s="19"/>
      <c r="I225" s="20" t="n">
        <v>2026</v>
      </c>
      <c r="J225" s="19"/>
      <c r="K225" s="18" t="n">
        <f aca="false">IFERROR((J225/J224-1)*100,"")</f>
        <v>-100</v>
      </c>
      <c r="L225" s="17" t="n">
        <v>2030.50159508433</v>
      </c>
    </row>
    <row r="226" customFormat="false" ht="15" hidden="false" customHeight="false" outlineLevel="0" collapsed="false">
      <c r="A226" s="12" t="n">
        <v>40360</v>
      </c>
      <c r="B226" s="13" t="n">
        <v>343.958635090393</v>
      </c>
      <c r="C226" s="21" t="n">
        <f aca="false">IFERROR((B226/B225-1)*100,"")</f>
        <v>0.0325404495207238</v>
      </c>
      <c r="D226" s="21" t="n">
        <f aca="false">IFERROR((B226/B222-1)*100,"")</f>
        <v>2.46667954212256</v>
      </c>
      <c r="E226" s="14"/>
      <c r="F226" s="14"/>
      <c r="G226" s="14"/>
      <c r="I226" s="15" t="n">
        <v>2027</v>
      </c>
      <c r="J226" s="14"/>
      <c r="K226" s="21" t="str">
        <f aca="false">IFERROR((J226/J225-1)*100,"")</f>
        <v/>
      </c>
      <c r="L226" s="13" t="n">
        <v>2055.47824939344</v>
      </c>
    </row>
    <row r="227" customFormat="false" ht="15" hidden="false" customHeight="false" outlineLevel="0" collapsed="false">
      <c r="A227" s="16" t="n">
        <v>40452</v>
      </c>
      <c r="B227" s="17" t="n">
        <v>346.128098293927</v>
      </c>
      <c r="C227" s="18" t="n">
        <f aca="false">IFERROR((B227/B226-1)*100,"")</f>
        <v>0.630733751738477</v>
      </c>
      <c r="D227" s="18" t="n">
        <f aca="false">IFERROR((B227/B223-1)*100,"")</f>
        <v>2.50074830692655</v>
      </c>
      <c r="E227" s="19"/>
      <c r="F227" s="19"/>
      <c r="G227" s="19"/>
    </row>
    <row r="228" customFormat="false" ht="15" hidden="false" customHeight="false" outlineLevel="0" collapsed="false">
      <c r="A228" s="12" t="n">
        <v>40544</v>
      </c>
      <c r="B228" s="13" t="n">
        <v>349.461794355869</v>
      </c>
      <c r="C228" s="21" t="n">
        <f aca="false">IFERROR((B228/B227-1)*100,"")</f>
        <v>0.963139392142365</v>
      </c>
      <c r="D228" s="21" t="n">
        <f aca="false">IFERROR((B228/B224-1)*100,"")</f>
        <v>2.51550395391715</v>
      </c>
      <c r="E228" s="14"/>
      <c r="F228" s="14"/>
      <c r="G228" s="14"/>
    </row>
    <row r="229" customFormat="false" ht="15" hidden="false" customHeight="false" outlineLevel="0" collapsed="false">
      <c r="A229" s="16" t="n">
        <v>40634</v>
      </c>
      <c r="B229" s="17" t="n">
        <v>351.791693722714</v>
      </c>
      <c r="C229" s="18" t="n">
        <f aca="false">IFERROR((B229/B228-1)*100,"")</f>
        <v>0.666710754787969</v>
      </c>
      <c r="D229" s="18" t="n">
        <f aca="false">IFERROR((B229/B225-1)*100,"")</f>
        <v>2.31060727076882</v>
      </c>
      <c r="E229" s="19"/>
      <c r="F229" s="19"/>
      <c r="G229" s="19"/>
    </row>
    <row r="230" customFormat="false" ht="15" hidden="false" customHeight="false" outlineLevel="0" collapsed="false">
      <c r="A230" s="12" t="n">
        <v>40725</v>
      </c>
      <c r="B230" s="13" t="n">
        <v>352.908832637416</v>
      </c>
      <c r="C230" s="21" t="n">
        <f aca="false">IFERROR((B230/B229-1)*100,"")</f>
        <v>0.31755693344544</v>
      </c>
      <c r="D230" s="21" t="n">
        <f aca="false">IFERROR((B230/B226-1)*100,"")</f>
        <v>2.60211450852843</v>
      </c>
      <c r="E230" s="14"/>
      <c r="F230" s="14"/>
      <c r="G230" s="14"/>
    </row>
    <row r="231" customFormat="false" ht="15" hidden="false" customHeight="false" outlineLevel="0" collapsed="false">
      <c r="A231" s="16" t="n">
        <v>40817</v>
      </c>
      <c r="B231" s="17" t="n">
        <v>355.372886920543</v>
      </c>
      <c r="C231" s="18" t="n">
        <f aca="false">IFERROR((B231/B230-1)*100,"")</f>
        <v>0.698212698365364</v>
      </c>
      <c r="D231" s="18" t="n">
        <f aca="false">IFERROR((B231/B227-1)*100,"")</f>
        <v>2.67091538427087</v>
      </c>
      <c r="E231" s="19"/>
      <c r="F231" s="19"/>
      <c r="G231" s="19"/>
    </row>
    <row r="232" customFormat="false" ht="15" hidden="false" customHeight="false" outlineLevel="0" collapsed="false">
      <c r="A232" s="12" t="n">
        <v>40909</v>
      </c>
      <c r="B232" s="13" t="n">
        <v>358.135813382284</v>
      </c>
      <c r="C232" s="21" t="n">
        <f aca="false">IFERROR((B232/B231-1)*100,"")</f>
        <v>0.777472498164489</v>
      </c>
      <c r="D232" s="21" t="n">
        <f aca="false">IFERROR((B232/B228-1)*100,"")</f>
        <v>2.48210796330484</v>
      </c>
      <c r="E232" s="14"/>
      <c r="F232" s="14"/>
      <c r="G232" s="14"/>
    </row>
    <row r="233" customFormat="false" ht="15" hidden="false" customHeight="false" outlineLevel="0" collapsed="false">
      <c r="A233" s="16" t="n">
        <v>41000</v>
      </c>
      <c r="B233" s="17" t="n">
        <v>361.742674513291</v>
      </c>
      <c r="C233" s="18" t="n">
        <f aca="false">IFERROR((B233/B232-1)*100,"")</f>
        <v>1.00712104074239</v>
      </c>
      <c r="D233" s="18" t="n">
        <f aca="false">IFERROR((B233/B229-1)*100,"")</f>
        <v>2.82865711957931</v>
      </c>
      <c r="E233" s="19"/>
      <c r="F233" s="19"/>
      <c r="G233" s="19"/>
    </row>
    <row r="234" customFormat="false" ht="15" hidden="false" customHeight="false" outlineLevel="0" collapsed="false">
      <c r="A234" s="12" t="n">
        <v>41091</v>
      </c>
      <c r="B234" s="13" t="n">
        <v>362.558810594821</v>
      </c>
      <c r="C234" s="21" t="n">
        <f aca="false">IFERROR((B234/B233-1)*100,"")</f>
        <v>0.225612331370173</v>
      </c>
      <c r="D234" s="21" t="n">
        <f aca="false">IFERROR((B234/B230-1)*100,"")</f>
        <v>2.73441100504259</v>
      </c>
      <c r="E234" s="14"/>
      <c r="F234" s="14"/>
      <c r="G234" s="14"/>
    </row>
    <row r="235" customFormat="false" ht="15" hidden="false" customHeight="false" outlineLevel="0" collapsed="false">
      <c r="A235" s="16" t="n">
        <v>41183</v>
      </c>
      <c r="B235" s="17" t="n">
        <v>363.462294126368</v>
      </c>
      <c r="C235" s="18" t="n">
        <f aca="false">IFERROR((B235/B234-1)*100,"")</f>
        <v>0.24919640762977</v>
      </c>
      <c r="D235" s="18" t="n">
        <f aca="false">IFERROR((B235/B231-1)*100,"")</f>
        <v>2.27631524619765</v>
      </c>
      <c r="E235" s="19"/>
      <c r="F235" s="19"/>
      <c r="G235" s="19"/>
    </row>
    <row r="236" customFormat="false" ht="15" hidden="false" customHeight="false" outlineLevel="0" collapsed="false">
      <c r="A236" s="12" t="n">
        <v>41275</v>
      </c>
      <c r="B236" s="13" t="n">
        <v>367.758674123216</v>
      </c>
      <c r="C236" s="21" t="n">
        <f aca="false">IFERROR((B236/B235-1)*100,"")</f>
        <v>1.18207034574922</v>
      </c>
      <c r="D236" s="21" t="n">
        <f aca="false">IFERROR((B236/B232-1)*100,"")</f>
        <v>2.6869305948636</v>
      </c>
      <c r="E236" s="14"/>
      <c r="F236" s="14"/>
      <c r="G236" s="14"/>
    </row>
    <row r="237" customFormat="false" ht="15" hidden="false" customHeight="false" outlineLevel="0" collapsed="false">
      <c r="A237" s="16" t="n">
        <v>41365</v>
      </c>
      <c r="B237" s="17" t="n">
        <v>370.907405993724</v>
      </c>
      <c r="C237" s="18" t="n">
        <f aca="false">IFERROR((B237/B236-1)*100,"")</f>
        <v>0.856195133402427</v>
      </c>
      <c r="D237" s="18" t="n">
        <f aca="false">IFERROR((B237/B233-1)*100,"")</f>
        <v>2.53349469834168</v>
      </c>
      <c r="E237" s="19"/>
      <c r="F237" s="19"/>
      <c r="G237" s="19"/>
    </row>
    <row r="238" customFormat="false" ht="15" hidden="false" customHeight="false" outlineLevel="0" collapsed="false">
      <c r="A238" s="12" t="n">
        <v>41456</v>
      </c>
      <c r="B238" s="13" t="n">
        <v>371.048702359313</v>
      </c>
      <c r="C238" s="21" t="n">
        <f aca="false">IFERROR((B238/B237-1)*100,"")</f>
        <v>0.0380947814212052</v>
      </c>
      <c r="D238" s="21" t="n">
        <f aca="false">IFERROR((B238/B234-1)*100,"")</f>
        <v>2.34165920573355</v>
      </c>
      <c r="E238" s="14"/>
      <c r="F238" s="14"/>
      <c r="G238" s="14"/>
    </row>
    <row r="239" customFormat="false" ht="15" hidden="false" customHeight="false" outlineLevel="0" collapsed="false">
      <c r="A239" s="16" t="n">
        <v>41548</v>
      </c>
      <c r="B239" s="17" t="n">
        <v>373.677516102201</v>
      </c>
      <c r="C239" s="18" t="n">
        <f aca="false">IFERROR((B239/B238-1)*100,"")</f>
        <v>0.708482128133814</v>
      </c>
      <c r="D239" s="18" t="n">
        <f aca="false">IFERROR((B239/B235-1)*100,"")</f>
        <v>2.81053141987837</v>
      </c>
      <c r="E239" s="19"/>
      <c r="F239" s="19"/>
      <c r="G239" s="19"/>
    </row>
    <row r="240" customFormat="false" ht="15" hidden="false" customHeight="false" outlineLevel="0" collapsed="false">
      <c r="A240" s="12" t="n">
        <v>41640</v>
      </c>
      <c r="B240" s="13" t="n">
        <v>376.735719182617</v>
      </c>
      <c r="C240" s="21" t="n">
        <f aca="false">IFERROR((B240/B239-1)*100,"")</f>
        <v>0.818407035113067</v>
      </c>
      <c r="D240" s="21" t="n">
        <f aca="false">IFERROR((B240/B236-1)*100,"")</f>
        <v>2.44101517953406</v>
      </c>
      <c r="E240" s="14"/>
      <c r="F240" s="14"/>
      <c r="G240" s="14"/>
    </row>
    <row r="241" customFormat="false" ht="15" hidden="false" customHeight="false" outlineLevel="0" collapsed="false">
      <c r="A241" s="16" t="n">
        <v>41730</v>
      </c>
      <c r="B241" s="17" t="n">
        <v>379.698487781251</v>
      </c>
      <c r="C241" s="18" t="n">
        <f aca="false">IFERROR((B241/B240-1)*100,"")</f>
        <v>0.786431561377432</v>
      </c>
      <c r="D241" s="18" t="n">
        <f aca="false">IFERROR((B241/B237-1)*100,"")</f>
        <v>2.37015536639775</v>
      </c>
      <c r="E241" s="19"/>
      <c r="F241" s="19"/>
      <c r="G241" s="19"/>
    </row>
    <row r="242" customFormat="false" ht="15" hidden="false" customHeight="false" outlineLevel="0" collapsed="false">
      <c r="A242" s="12" t="n">
        <v>41821</v>
      </c>
      <c r="B242" s="13" t="n">
        <v>380.710239867355</v>
      </c>
      <c r="C242" s="21" t="n">
        <f aca="false">IFERROR((B242/B241-1)*100,"")</f>
        <v>0.266461974082532</v>
      </c>
      <c r="D242" s="21" t="n">
        <f aca="false">IFERROR((B242/B238-1)*100,"")</f>
        <v>2.60384619232172</v>
      </c>
      <c r="E242" s="14"/>
      <c r="F242" s="14"/>
      <c r="G242" s="14"/>
    </row>
    <row r="243" customFormat="false" ht="15" hidden="false" customHeight="false" outlineLevel="0" collapsed="false">
      <c r="A243" s="16" t="n">
        <v>41913</v>
      </c>
      <c r="B243" s="17" t="n">
        <v>382.914560776771</v>
      </c>
      <c r="C243" s="18" t="n">
        <f aca="false">IFERROR((B243/B242-1)*100,"")</f>
        <v>0.57900226434271</v>
      </c>
      <c r="D243" s="18" t="n">
        <f aca="false">IFERROR((B243/B239-1)*100,"")</f>
        <v>2.47192947836983</v>
      </c>
      <c r="E243" s="19"/>
      <c r="F243" s="19"/>
      <c r="G243" s="19"/>
    </row>
    <row r="244" customFormat="false" ht="15" hidden="false" customHeight="false" outlineLevel="0" collapsed="false">
      <c r="A244" s="12" t="n">
        <v>42005</v>
      </c>
      <c r="B244" s="13" t="n">
        <v>386.291549338559</v>
      </c>
      <c r="C244" s="21" t="n">
        <f aca="false">IFERROR((B244/B243-1)*100,"")</f>
        <v>0.881916988201681</v>
      </c>
      <c r="D244" s="21" t="n">
        <f aca="false">IFERROR((B244/B240-1)*100,"")</f>
        <v>2.53648105804125</v>
      </c>
      <c r="E244" s="14"/>
      <c r="F244" s="14"/>
      <c r="G244" s="14"/>
    </row>
    <row r="245" customFormat="false" ht="15" hidden="false" customHeight="false" outlineLevel="0" collapsed="false">
      <c r="A245" s="16" t="n">
        <v>42095</v>
      </c>
      <c r="B245" s="17" t="n">
        <v>389.463413783177</v>
      </c>
      <c r="C245" s="18" t="n">
        <f aca="false">IFERROR((B245/B244-1)*100,"")</f>
        <v>0.821106350902179</v>
      </c>
      <c r="D245" s="18" t="n">
        <f aca="false">IFERROR((B245/B241-1)*100,"")</f>
        <v>2.57175793851232</v>
      </c>
      <c r="E245" s="19"/>
      <c r="F245" s="19"/>
      <c r="G245" s="19"/>
    </row>
    <row r="246" customFormat="false" ht="15" hidden="false" customHeight="false" outlineLevel="0" collapsed="false">
      <c r="A246" s="12" t="n">
        <v>42186</v>
      </c>
      <c r="B246" s="13" t="n">
        <v>390.702854248417</v>
      </c>
      <c r="C246" s="21" t="n">
        <f aca="false">IFERROR((B246/B245-1)*100,"")</f>
        <v>0.318243106124005</v>
      </c>
      <c r="D246" s="21" t="n">
        <f aca="false">IFERROR((B246/B242-1)*100,"")</f>
        <v>2.62472960657529</v>
      </c>
      <c r="E246" s="14"/>
      <c r="F246" s="14"/>
      <c r="G246" s="14"/>
    </row>
    <row r="247" customFormat="false" ht="15" hidden="false" customHeight="false" outlineLevel="0" collapsed="false">
      <c r="A247" s="16" t="n">
        <v>42278</v>
      </c>
      <c r="B247" s="17" t="n">
        <v>393.05290941682</v>
      </c>
      <c r="C247" s="18" t="n">
        <f aca="false">IFERROR((B247/B246-1)*100,"")</f>
        <v>0.601494241173173</v>
      </c>
      <c r="D247" s="18" t="n">
        <f aca="false">IFERROR((B247/B243-1)*100,"")</f>
        <v>2.64767905913077</v>
      </c>
      <c r="E247" s="19"/>
      <c r="F247" s="19"/>
      <c r="G247" s="19"/>
    </row>
    <row r="248" customFormat="false" ht="15" hidden="false" customHeight="false" outlineLevel="0" collapsed="false">
      <c r="A248" s="12" t="n">
        <v>42370</v>
      </c>
      <c r="B248" s="13" t="n">
        <v>396.089116621219</v>
      </c>
      <c r="C248" s="21" t="n">
        <f aca="false">IFERROR((B248/B247-1)*100,"")</f>
        <v>0.772467810734079</v>
      </c>
      <c r="D248" s="21" t="n">
        <f aca="false">IFERROR((B248/B244-1)*100,"")</f>
        <v>2.53631416463442</v>
      </c>
      <c r="E248" s="14"/>
      <c r="F248" s="14"/>
      <c r="G248" s="14"/>
    </row>
    <row r="249" customFormat="false" ht="15" hidden="false" customHeight="false" outlineLevel="0" collapsed="false">
      <c r="A249" s="16" t="n">
        <v>42461</v>
      </c>
      <c r="B249" s="17" t="n">
        <v>398.721315108949</v>
      </c>
      <c r="C249" s="18" t="n">
        <f aca="false">IFERROR((B249/B248-1)*100,"")</f>
        <v>0.664547036834495</v>
      </c>
      <c r="D249" s="18" t="n">
        <f aca="false">IFERROR((B249/B245-1)*100,"")</f>
        <v>2.37709140271816</v>
      </c>
      <c r="E249" s="19"/>
      <c r="F249" s="19"/>
      <c r="G249" s="19"/>
    </row>
    <row r="250" customFormat="false" ht="15" hidden="false" customHeight="false" outlineLevel="0" collapsed="false">
      <c r="A250" s="12" t="n">
        <v>42552</v>
      </c>
      <c r="B250" s="13" t="n">
        <v>400.133915180569</v>
      </c>
      <c r="C250" s="21" t="n">
        <f aca="false">IFERROR((B250/B249-1)*100,"")</f>
        <v>0.354282557287844</v>
      </c>
      <c r="D250" s="21" t="n">
        <f aca="false">IFERROR((B250/B246-1)*100,"")</f>
        <v>2.4138704976431</v>
      </c>
      <c r="E250" s="14"/>
      <c r="F250" s="14"/>
      <c r="G250" s="14"/>
    </row>
    <row r="251" customFormat="false" ht="15" hidden="false" customHeight="false" outlineLevel="0" collapsed="false">
      <c r="A251" s="16" t="n">
        <v>42644</v>
      </c>
      <c r="B251" s="17" t="n">
        <v>402.376870560229</v>
      </c>
      <c r="C251" s="18" t="n">
        <f aca="false">IFERROR((B251/B250-1)*100,"")</f>
        <v>0.560551179134117</v>
      </c>
      <c r="D251" s="18" t="n">
        <f aca="false">IFERROR((B251/B247-1)*100,"")</f>
        <v>2.37218982992469</v>
      </c>
      <c r="E251" s="19"/>
      <c r="F251" s="19"/>
      <c r="G251" s="19"/>
    </row>
    <row r="252" customFormat="false" ht="15" hidden="false" customHeight="false" outlineLevel="0" collapsed="false">
      <c r="A252" s="12" t="n">
        <v>42736</v>
      </c>
      <c r="B252" s="13" t="n">
        <v>406.825789556505</v>
      </c>
      <c r="C252" s="21" t="n">
        <f aca="false">IFERROR((B252/B251-1)*100,"")</f>
        <v>1.10565972395029</v>
      </c>
      <c r="D252" s="21" t="n">
        <f aca="false">IFERROR((B252/B248-1)*100,"")</f>
        <v>2.71067102950817</v>
      </c>
      <c r="E252" s="14"/>
      <c r="F252" s="14"/>
      <c r="G252" s="14"/>
    </row>
    <row r="253" customFormat="false" ht="15" hidden="false" customHeight="false" outlineLevel="0" collapsed="false">
      <c r="A253" s="16" t="n">
        <v>42826</v>
      </c>
      <c r="B253" s="17" t="n">
        <v>409.469590442908</v>
      </c>
      <c r="C253" s="18" t="n">
        <f aca="false">IFERROR((B253/B252-1)*100,"")</f>
        <v>0.649860690809345</v>
      </c>
      <c r="D253" s="18" t="n">
        <f aca="false">IFERROR((B253/B249-1)*100,"")</f>
        <v>2.69568616641966</v>
      </c>
      <c r="E253" s="19"/>
      <c r="F253" s="19"/>
      <c r="G253" s="19"/>
    </row>
    <row r="254" customFormat="false" ht="15" hidden="false" customHeight="false" outlineLevel="0" collapsed="false">
      <c r="A254" s="12" t="n">
        <v>42917</v>
      </c>
      <c r="B254" s="13" t="n">
        <v>410.262843489202</v>
      </c>
      <c r="C254" s="21" t="n">
        <f aca="false">IFERROR((B254/B253-1)*100,"")</f>
        <v>0.193726973824027</v>
      </c>
      <c r="D254" s="21" t="n">
        <f aca="false">IFERROR((B254/B250-1)*100,"")</f>
        <v>2.53138460009383</v>
      </c>
      <c r="E254" s="14"/>
      <c r="F254" s="14"/>
      <c r="G254" s="14"/>
    </row>
    <row r="255" customFormat="false" ht="15" hidden="false" customHeight="false" outlineLevel="0" collapsed="false">
      <c r="A255" s="16" t="n">
        <v>43009</v>
      </c>
      <c r="B255" s="17" t="n">
        <v>412.192132263959</v>
      </c>
      <c r="C255" s="18" t="n">
        <f aca="false">IFERROR((B255/B254-1)*100,"")</f>
        <v>0.470256764748234</v>
      </c>
      <c r="D255" s="18" t="n">
        <f aca="false">IFERROR((B255/B251-1)*100,"")</f>
        <v>2.4393205529095</v>
      </c>
      <c r="E255" s="19"/>
      <c r="F255" s="19"/>
      <c r="G255" s="19"/>
    </row>
    <row r="256" customFormat="false" ht="15" hidden="false" customHeight="false" outlineLevel="0" collapsed="false">
      <c r="A256" s="12" t="n">
        <v>43101</v>
      </c>
      <c r="B256" s="13" t="n">
        <v>415.98069531235</v>
      </c>
      <c r="C256" s="21" t="n">
        <f aca="false">IFERROR((B256/B255-1)*100,"")</f>
        <v>0.919125512557106</v>
      </c>
      <c r="D256" s="21" t="n">
        <f aca="false">IFERROR((B256/B252-1)*100,"")</f>
        <v>2.25032581288047</v>
      </c>
      <c r="E256" s="14"/>
      <c r="F256" s="14"/>
      <c r="G256" s="14"/>
    </row>
    <row r="257" customFormat="false" ht="15" hidden="false" customHeight="false" outlineLevel="0" collapsed="false">
      <c r="A257" s="16" t="n">
        <v>43191</v>
      </c>
      <c r="B257" s="17" t="n">
        <v>419.564523623829</v>
      </c>
      <c r="C257" s="18" t="n">
        <f aca="false">IFERROR((B257/B256-1)*100,"")</f>
        <v>0.861537170321824</v>
      </c>
      <c r="D257" s="18" t="n">
        <f aca="false">IFERROR((B257/B253-1)*100,"")</f>
        <v>2.465368226735</v>
      </c>
      <c r="E257" s="19"/>
      <c r="F257" s="19"/>
      <c r="G257" s="19"/>
    </row>
    <row r="258" customFormat="false" ht="15" hidden="false" customHeight="false" outlineLevel="0" collapsed="false">
      <c r="A258" s="12" t="n">
        <v>43282</v>
      </c>
      <c r="B258" s="13" t="n">
        <v>421.011339138461</v>
      </c>
      <c r="C258" s="21" t="n">
        <f aca="false">IFERROR((B258/B257-1)*100,"")</f>
        <v>0.344837428611777</v>
      </c>
      <c r="D258" s="21" t="n">
        <f aca="false">IFERROR((B258/B254-1)*100,"")</f>
        <v>2.6199047317677</v>
      </c>
      <c r="E258" s="14"/>
      <c r="F258" s="14"/>
      <c r="G258" s="14"/>
    </row>
    <row r="259" customFormat="false" ht="15" hidden="false" customHeight="false" outlineLevel="0" collapsed="false">
      <c r="A259" s="16" t="n">
        <v>43374</v>
      </c>
      <c r="B259" s="17" t="n">
        <v>422.576241688069</v>
      </c>
      <c r="C259" s="18" t="n">
        <f aca="false">IFERROR((B259/B258-1)*100,"")</f>
        <v>0.37170080806157</v>
      </c>
      <c r="D259" s="18" t="n">
        <f aca="false">IFERROR((B259/B255-1)*100,"")</f>
        <v>2.51924008521849</v>
      </c>
      <c r="E259" s="19"/>
      <c r="F259" s="19"/>
      <c r="G259" s="19"/>
    </row>
    <row r="260" customFormat="false" ht="15" hidden="false" customHeight="false" outlineLevel="0" collapsed="false">
      <c r="A260" s="12" t="n">
        <v>43466</v>
      </c>
      <c r="B260" s="13" t="n">
        <v>427.666256658585</v>
      </c>
      <c r="C260" s="21" t="n">
        <f aca="false">IFERROR((B260/B259-1)*100,"")</f>
        <v>1.20451991105388</v>
      </c>
      <c r="D260" s="21" t="n">
        <f aca="false">IFERROR((B260/B256-1)*100,"")</f>
        <v>2.8091595302183</v>
      </c>
      <c r="E260" s="14"/>
      <c r="F260" s="14"/>
      <c r="G260" s="14"/>
    </row>
    <row r="261" customFormat="false" ht="15" hidden="false" customHeight="false" outlineLevel="0" collapsed="false">
      <c r="A261" s="16" t="n">
        <v>43556</v>
      </c>
      <c r="B261" s="17" t="n">
        <v>430.605169659658</v>
      </c>
      <c r="C261" s="18" t="n">
        <f aca="false">IFERROR((B261/B260-1)*100,"")</f>
        <v>0.687197775207893</v>
      </c>
      <c r="D261" s="18" t="n">
        <f aca="false">IFERROR((B261/B257-1)*100,"")</f>
        <v>2.63145366545041</v>
      </c>
      <c r="E261" s="19"/>
      <c r="F261" s="19"/>
      <c r="G261" s="19"/>
    </row>
    <row r="262" customFormat="false" ht="15" hidden="false" customHeight="false" outlineLevel="0" collapsed="false">
      <c r="A262" s="12" t="n">
        <v>43647</v>
      </c>
      <c r="B262" s="13" t="n">
        <v>431.335566705032</v>
      </c>
      <c r="C262" s="21" t="n">
        <f aca="false">IFERROR((B262/B261-1)*100,"")</f>
        <v>0.169621058184655</v>
      </c>
      <c r="D262" s="21" t="n">
        <f aca="false">IFERROR((B262/B258-1)*100,"")</f>
        <v>2.45224453756965</v>
      </c>
      <c r="E262" s="14"/>
      <c r="F262" s="14"/>
      <c r="G262" s="14"/>
    </row>
    <row r="263" customFormat="false" ht="15" hidden="false" customHeight="false" outlineLevel="0" collapsed="false">
      <c r="A263" s="16" t="n">
        <v>43739</v>
      </c>
      <c r="B263" s="17" t="n">
        <v>433.382271443616</v>
      </c>
      <c r="C263" s="18" t="n">
        <f aca="false">IFERROR((B263/B262-1)*100,"")</f>
        <v>0.474504051269853</v>
      </c>
      <c r="D263" s="18" t="n">
        <f aca="false">IFERROR((B263/B259-1)*100,"")</f>
        <v>2.55717872646588</v>
      </c>
      <c r="E263" s="19"/>
      <c r="F263" s="19"/>
      <c r="G263" s="19"/>
    </row>
    <row r="264" customFormat="false" ht="15" hidden="false" customHeight="false" outlineLevel="0" collapsed="false">
      <c r="A264" s="12" t="n">
        <v>43831</v>
      </c>
      <c r="B264" s="13" t="n">
        <v>437.516251528124</v>
      </c>
      <c r="C264" s="21" t="n">
        <f aca="false">IFERROR((B264/B263-1)*100,"")</f>
        <v>0.953887677670329</v>
      </c>
      <c r="D264" s="21" t="n">
        <f aca="false">IFERROR((B264/B260-1)*100,"")</f>
        <v>2.30319664368617</v>
      </c>
      <c r="E264" s="14"/>
      <c r="F264" s="14"/>
      <c r="G264" s="14"/>
    </row>
    <row r="265" customFormat="false" ht="15" hidden="false" customHeight="false" outlineLevel="0" collapsed="false">
      <c r="A265" s="16" t="n">
        <v>43922</v>
      </c>
      <c r="B265" s="17" t="n">
        <v>441.342430960362</v>
      </c>
      <c r="C265" s="18" t="n">
        <f aca="false">IFERROR((B265/B264-1)*100,"")</f>
        <v>0.874522813466649</v>
      </c>
      <c r="D265" s="18" t="n">
        <f aca="false">IFERROR((B265/B261-1)*100,"")</f>
        <v>2.49352819177489</v>
      </c>
      <c r="E265" s="19"/>
      <c r="F265" s="19"/>
      <c r="G265" s="19"/>
    </row>
    <row r="266" customFormat="false" ht="15" hidden="false" customHeight="false" outlineLevel="0" collapsed="false">
      <c r="A266" s="12" t="n">
        <v>44013</v>
      </c>
      <c r="B266" s="13" t="n">
        <v>442.471533069865</v>
      </c>
      <c r="C266" s="21" t="n">
        <f aca="false">IFERROR((B266/B265-1)*100,"")</f>
        <v>0.255833572821573</v>
      </c>
      <c r="D266" s="21" t="n">
        <f aca="false">IFERROR((B266/B262-1)*100,"")</f>
        <v>2.58174081258826</v>
      </c>
      <c r="E266" s="14"/>
      <c r="F266" s="14"/>
      <c r="G266" s="14"/>
    </row>
    <row r="267" customFormat="false" ht="15" hidden="false" customHeight="false" outlineLevel="0" collapsed="false">
      <c r="A267" s="16" t="n">
        <v>44105</v>
      </c>
      <c r="B267" s="17" t="n">
        <v>444.351016356509</v>
      </c>
      <c r="C267" s="18" t="n">
        <f aca="false">IFERROR((B267/B266-1)*100,"")</f>
        <v>0.424769311960938</v>
      </c>
      <c r="D267" s="18" t="n">
        <f aca="false">IFERROR((B267/B263-1)*100,"")</f>
        <v>2.5309629940228</v>
      </c>
      <c r="E267" s="19"/>
      <c r="F267" s="19"/>
      <c r="G267" s="19"/>
    </row>
    <row r="268" customFormat="false" ht="15" hidden="false" customHeight="false" outlineLevel="0" collapsed="false">
      <c r="A268" s="12" t="n">
        <v>44197</v>
      </c>
      <c r="B268" s="13" t="n">
        <v>449.629522232111</v>
      </c>
      <c r="C268" s="21" t="n">
        <f aca="false">IFERROR((B268/B267-1)*100,"")</f>
        <v>1.18791353711376</v>
      </c>
      <c r="D268" s="21" t="n">
        <f aca="false">IFERROR((B268/B264-1)*100,"")</f>
        <v>2.76864474443594</v>
      </c>
      <c r="E268" s="14"/>
      <c r="F268" s="14"/>
      <c r="G268" s="14"/>
    </row>
    <row r="269" customFormat="false" ht="15" hidden="false" customHeight="false" outlineLevel="0" collapsed="false">
      <c r="A269" s="16" t="n">
        <v>44287</v>
      </c>
      <c r="B269" s="17" t="n">
        <v>452.187899785659</v>
      </c>
      <c r="C269" s="18" t="n">
        <f aca="false">IFERROR((B269/B268-1)*100,"")</f>
        <v>0.56899679114657</v>
      </c>
      <c r="D269" s="18" t="n">
        <f aca="false">IFERROR((B269/B265-1)*100,"")</f>
        <v>2.45738185691722</v>
      </c>
      <c r="E269" s="19"/>
      <c r="F269" s="19"/>
      <c r="G269" s="19"/>
    </row>
    <row r="270" customFormat="false" ht="15" hidden="false" customHeight="false" outlineLevel="0" collapsed="false">
      <c r="A270" s="12" t="n">
        <v>44378</v>
      </c>
      <c r="B270" s="13" t="n">
        <v>453.528666597999</v>
      </c>
      <c r="C270" s="21" t="n">
        <f aca="false">IFERROR((B270/B269-1)*100,"")</f>
        <v>0.296506565738719</v>
      </c>
      <c r="D270" s="21" t="n">
        <f aca="false">IFERROR((B270/B266-1)*100,"")</f>
        <v>2.49894800043293</v>
      </c>
      <c r="E270" s="14"/>
      <c r="F270" s="14"/>
      <c r="G270" s="14"/>
    </row>
    <row r="271" customFormat="false" ht="15" hidden="false" customHeight="false" outlineLevel="0" collapsed="false">
      <c r="A271" s="16" t="n">
        <v>44470</v>
      </c>
      <c r="B271" s="17" t="n">
        <v>455.555389644105</v>
      </c>
      <c r="C271" s="18" t="n">
        <f aca="false">IFERROR((B271/B270-1)*100,"")</f>
        <v>0.446878708088905</v>
      </c>
      <c r="D271" s="18" t="n">
        <f aca="false">IFERROR((B271/B267-1)*100,"")</f>
        <v>2.52151404524008</v>
      </c>
      <c r="E271" s="19"/>
      <c r="F271" s="19"/>
      <c r="G271" s="19"/>
    </row>
    <row r="272" customFormat="false" ht="15" hidden="false" customHeight="false" outlineLevel="0" collapsed="false">
      <c r="A272" s="12" t="n">
        <v>44562</v>
      </c>
      <c r="B272" s="13" t="n">
        <v>460.581163478383</v>
      </c>
      <c r="C272" s="21" t="n">
        <f aca="false">IFERROR((B272/B271-1)*100,"")</f>
        <v>1.10321904833648</v>
      </c>
      <c r="D272" s="21" t="n">
        <f aca="false">IFERROR((B272/B268-1)*100,"")</f>
        <v>2.43570333013379</v>
      </c>
      <c r="E272" s="14"/>
      <c r="F272" s="14"/>
      <c r="G272" s="14"/>
    </row>
    <row r="273" customFormat="false" ht="15" hidden="false" customHeight="false" outlineLevel="0" collapsed="false">
      <c r="A273" s="16" t="n">
        <v>44652</v>
      </c>
      <c r="B273" s="17" t="n">
        <v>463.569659170587</v>
      </c>
      <c r="C273" s="18" t="n">
        <f aca="false">IFERROR((B273/B272-1)*100,"")</f>
        <v>0.648853216148626</v>
      </c>
      <c r="D273" s="18" t="n">
        <f aca="false">IFERROR((B273/B269-1)*100,"")</f>
        <v>2.51704200628169</v>
      </c>
      <c r="E273" s="19"/>
      <c r="F273" s="19"/>
      <c r="G273" s="19"/>
    </row>
    <row r="274" customFormat="false" ht="15" hidden="false" customHeight="false" outlineLevel="0" collapsed="false">
      <c r="A274" s="12" t="n">
        <v>44743</v>
      </c>
      <c r="B274" s="13" t="n">
        <v>464.495592989269</v>
      </c>
      <c r="C274" s="21" t="n">
        <f aca="false">IFERROR((B274/B273-1)*100,"")</f>
        <v>0.19973995285596</v>
      </c>
      <c r="D274" s="21" t="n">
        <f aca="false">IFERROR((B274/B270-1)*100,"")</f>
        <v>2.41813300877631</v>
      </c>
      <c r="E274" s="14"/>
      <c r="F274" s="14"/>
      <c r="G274" s="14"/>
    </row>
    <row r="275" customFormat="false" ht="15" hidden="false" customHeight="false" outlineLevel="0" collapsed="false">
      <c r="A275" s="16" t="n">
        <v>44835</v>
      </c>
      <c r="B275" s="17" t="n">
        <v>466.801739105105</v>
      </c>
      <c r="C275" s="18" t="n">
        <f aca="false">IFERROR((B275/B274-1)*100,"")</f>
        <v>0.496483960374161</v>
      </c>
      <c r="D275" s="18" t="n">
        <f aca="false">IFERROR((B275/B271-1)*100,"")</f>
        <v>2.46871175638728</v>
      </c>
      <c r="E275" s="19"/>
      <c r="F275" s="19"/>
      <c r="G275" s="19"/>
    </row>
    <row r="276" customFormat="false" ht="15" hidden="false" customHeight="false" outlineLevel="0" collapsed="false">
      <c r="A276" s="12" t="n">
        <v>44927</v>
      </c>
      <c r="B276" s="13" t="n">
        <v>471.211885172771</v>
      </c>
      <c r="C276" s="21" t="n">
        <f aca="false">IFERROR((B276/B275-1)*100,"")</f>
        <v>0.944757848614852</v>
      </c>
      <c r="D276" s="21" t="n">
        <f aca="false">IFERROR((B276/B272-1)*100,"")</f>
        <v>2.3081103912509</v>
      </c>
      <c r="E276" s="14"/>
      <c r="F276" s="14"/>
      <c r="G276" s="14"/>
    </row>
    <row r="277" customFormat="false" ht="15" hidden="false" customHeight="false" outlineLevel="0" collapsed="false">
      <c r="A277" s="16" t="n">
        <v>45017</v>
      </c>
      <c r="B277" s="17" t="n">
        <v>475.201369907696</v>
      </c>
      <c r="C277" s="18" t="n">
        <f aca="false">IFERROR((B277/B276-1)*100,"")</f>
        <v>0.846643486817267</v>
      </c>
      <c r="D277" s="18" t="n">
        <f aca="false">IFERROR((B277/B273-1)*100,"")</f>
        <v>2.50916135407135</v>
      </c>
      <c r="E277" s="19"/>
      <c r="F277" s="19"/>
      <c r="G277" s="19"/>
    </row>
    <row r="278" customFormat="false" ht="15" hidden="false" customHeight="false" outlineLevel="0" collapsed="false">
      <c r="A278" s="12" t="n">
        <v>45108</v>
      </c>
      <c r="B278" s="13" t="n">
        <v>476.892652147968</v>
      </c>
      <c r="C278" s="21" t="n">
        <f aca="false">IFERROR((B278/B277-1)*100,"")</f>
        <v>0.35590853633285</v>
      </c>
      <c r="D278" s="21" t="n">
        <f aca="false">IFERROR((B278/B274-1)*100,"")</f>
        <v>2.66892933879468</v>
      </c>
      <c r="E278" s="14"/>
      <c r="F278" s="14"/>
      <c r="G278" s="14"/>
    </row>
    <row r="279" customFormat="false" ht="15" hidden="false" customHeight="false" outlineLevel="0" collapsed="false">
      <c r="A279" s="16" t="n">
        <v>45200</v>
      </c>
      <c r="B279" s="17" t="n">
        <v>479.133838931483</v>
      </c>
      <c r="C279" s="18" t="n">
        <f aca="false">IFERROR((B279/B278-1)*100,"")</f>
        <v>0.469956241393188</v>
      </c>
      <c r="D279" s="18" t="n">
        <f aca="false">IFERROR((B279/B275-1)*100,"")</f>
        <v>2.64182816671137</v>
      </c>
      <c r="E279" s="19"/>
      <c r="F279" s="19"/>
      <c r="G279" s="19"/>
    </row>
    <row r="280" customFormat="false" ht="15" hidden="false" customHeight="false" outlineLevel="0" collapsed="false">
      <c r="A280" s="12" t="n">
        <v>45292</v>
      </c>
      <c r="B280" s="13" t="n">
        <v>483.931559866033</v>
      </c>
      <c r="C280" s="21" t="n">
        <f aca="false">IFERROR((B280/B279-1)*100,"")</f>
        <v>1.0013321007027</v>
      </c>
      <c r="D280" s="21" t="n">
        <f aca="false">IFERROR((B280/B276-1)*100,"")</f>
        <v>2.69935353786703</v>
      </c>
      <c r="E280" s="14"/>
      <c r="F280" s="14"/>
      <c r="G280" s="14"/>
    </row>
    <row r="281" customFormat="false" ht="15" hidden="false" customHeight="false" outlineLevel="0" collapsed="false">
      <c r="A281" s="16" t="n">
        <v>45383</v>
      </c>
      <c r="B281" s="17" t="n">
        <v>487.588160030162</v>
      </c>
      <c r="C281" s="18" t="n">
        <f aca="false">IFERROR((B281/B280-1)*100,"")</f>
        <v>0.755602747864126</v>
      </c>
      <c r="D281" s="18" t="n">
        <f aca="false">IFERROR((B281/B277-1)*100,"")</f>
        <v>2.60664023861561</v>
      </c>
      <c r="E281" s="19"/>
      <c r="F281" s="19"/>
      <c r="G281" s="19"/>
    </row>
    <row r="282" customFormat="false" ht="15" hidden="false" customHeight="false" outlineLevel="0" collapsed="false">
      <c r="A282" s="12" t="n">
        <v>45474</v>
      </c>
      <c r="B282" s="13" t="n">
        <v>488.509982289838</v>
      </c>
      <c r="C282" s="21" t="n">
        <f aca="false">IFERROR((B282/B281-1)*100,"")</f>
        <v>0.189057556200534</v>
      </c>
      <c r="D282" s="21" t="n">
        <f aca="false">IFERROR((B282/B278-1)*100,"")</f>
        <v>2.43604720885198</v>
      </c>
      <c r="E282" s="14"/>
      <c r="F282" s="14"/>
      <c r="G282" s="14"/>
    </row>
    <row r="283" customFormat="false" ht="15" hidden="false" customHeight="false" outlineLevel="0" collapsed="false">
      <c r="A283" s="16" t="n">
        <v>45566</v>
      </c>
      <c r="B283" s="17" t="n">
        <v>490.61994041725</v>
      </c>
      <c r="C283" s="18" t="n">
        <f aca="false">IFERROR((B283/B282-1)*100,"")</f>
        <v>0.43191709563879</v>
      </c>
      <c r="D283" s="18" t="n">
        <f aca="false">IFERROR((B283/B279-1)*100,"")</f>
        <v>2.3972636771769</v>
      </c>
      <c r="E283" s="19"/>
      <c r="F283" s="19"/>
      <c r="G283" s="19"/>
    </row>
    <row r="284" customFormat="false" ht="15" hidden="false" customHeight="false" outlineLevel="0" collapsed="false">
      <c r="A284" s="12" t="n">
        <v>45658</v>
      </c>
      <c r="B284" s="13" t="n">
        <v>496.075180380486</v>
      </c>
      <c r="C284" s="21" t="n">
        <f aca="false">IFERROR((B284/B283-1)*100,"")</f>
        <v>1.1119075100364</v>
      </c>
      <c r="D284" s="21" t="n">
        <f aca="false">IFERROR((B284/B280-1)*100,"")</f>
        <v>2.50936734066585</v>
      </c>
      <c r="E284" s="14"/>
      <c r="F284" s="14"/>
      <c r="G284" s="14"/>
    </row>
    <row r="285" customFormat="false" ht="15" hidden="false" customHeight="false" outlineLevel="0" collapsed="false">
      <c r="A285" s="16" t="n">
        <v>45748</v>
      </c>
      <c r="B285" s="17" t="n">
        <v>499.936516029145</v>
      </c>
      <c r="C285" s="18" t="n">
        <f aca="false">IFERROR((B285/B284-1)*100,"")</f>
        <v>0.778377109231165</v>
      </c>
      <c r="D285" s="18" t="n">
        <f aca="false">IFERROR((B285/B281-1)*100,"")</f>
        <v>2.53253811540843</v>
      </c>
      <c r="E285" s="19"/>
      <c r="F285" s="19"/>
      <c r="G285" s="19"/>
    </row>
    <row r="286" customFormat="false" ht="15" hidden="false" customHeight="false" outlineLevel="0" collapsed="false">
      <c r="A286" s="12" t="n">
        <v>45839</v>
      </c>
      <c r="B286" s="13" t="n">
        <v>500.492398581337</v>
      </c>
      <c r="C286" s="21" t="n">
        <f aca="false">IFERROR((B286/B285-1)*100,"")</f>
        <v>0.111190628083624</v>
      </c>
      <c r="D286" s="21" t="n">
        <f aca="false">IFERROR((B286/B282-1)*100,"")</f>
        <v>2.45284983437435</v>
      </c>
      <c r="E286" s="14"/>
      <c r="F286" s="14"/>
      <c r="G286" s="14"/>
    </row>
    <row r="287" customFormat="false" ht="15" hidden="false" customHeight="false" outlineLevel="0" collapsed="false">
      <c r="A287" s="16" t="n">
        <v>45931</v>
      </c>
      <c r="B287" s="17" t="n">
        <v>504.296308027319</v>
      </c>
      <c r="C287" s="18" t="n">
        <f aca="false">IFERROR((B287/B286-1)*100,"")</f>
        <v>0.760033410450256</v>
      </c>
      <c r="D287" s="18" t="n">
        <f aca="false">IFERROR((B287/B283-1)*100,"")</f>
        <v>2.78756864191811</v>
      </c>
      <c r="E287" s="19"/>
      <c r="F287" s="19"/>
      <c r="G287" s="19"/>
    </row>
    <row r="288" customFormat="false" ht="15" hidden="false" customHeight="false" outlineLevel="0" collapsed="false">
      <c r="A288" s="12" t="n">
        <v>46023</v>
      </c>
      <c r="B288" s="14"/>
      <c r="C288" s="21" t="n">
        <f aca="false">IFERROR((B288/B287-1)*100,"")</f>
        <v>-100</v>
      </c>
      <c r="D288" s="21" t="n">
        <f aca="false">IFERROR((B288/B284-1)*100,"")</f>
        <v>-100</v>
      </c>
      <c r="E288" s="13" t="n">
        <v>507.781919563901</v>
      </c>
      <c r="F288" s="13" t="n">
        <v>505.015689558486</v>
      </c>
      <c r="G288" s="22" t="n">
        <f aca="false">510.13856-499.89282</f>
        <v>10.24574</v>
      </c>
    </row>
    <row r="289" customFormat="false" ht="15" hidden="false" customHeight="false" outlineLevel="0" collapsed="false">
      <c r="A289" s="16" t="n">
        <v>46113</v>
      </c>
      <c r="B289" s="19"/>
      <c r="C289" s="18" t="str">
        <f aca="false">IFERROR((B289/B288-1)*100,"")</f>
        <v/>
      </c>
      <c r="D289" s="18" t="n">
        <f aca="false">IFERROR((B289/B285-1)*100,"")</f>
        <v>-100</v>
      </c>
      <c r="E289" s="17" t="n">
        <v>510.952706363192</v>
      </c>
      <c r="F289" s="17" t="n">
        <v>507.341423107595</v>
      </c>
      <c r="G289" s="23" t="n">
        <f aca="false">514.586255-500.096591</f>
        <v>14.4896640000001</v>
      </c>
    </row>
    <row r="290" customFormat="false" ht="15" hidden="false" customHeight="false" outlineLevel="0" collapsed="false">
      <c r="A290" s="12" t="n">
        <v>46204</v>
      </c>
      <c r="B290" s="14"/>
      <c r="C290" s="21" t="str">
        <f aca="false">IFERROR((B290/B289-1)*100,"")</f>
        <v/>
      </c>
      <c r="D290" s="21" t="n">
        <f aca="false">IFERROR((B290/B286-1)*100,"")</f>
        <v>-100</v>
      </c>
      <c r="E290" s="13" t="n">
        <v>514.143292782239</v>
      </c>
      <c r="F290" s="13" t="n">
        <v>507.929342818608</v>
      </c>
      <c r="G290" s="22" t="n">
        <f aca="false">516.802414-499.056272</f>
        <v>17.746142</v>
      </c>
    </row>
    <row r="291" customFormat="false" ht="15" hidden="false" customHeight="false" outlineLevel="0" collapsed="false">
      <c r="A291" s="16" t="n">
        <v>46296</v>
      </c>
      <c r="B291" s="19"/>
      <c r="C291" s="18" t="str">
        <f aca="false">IFERROR((B291/B290-1)*100,"")</f>
        <v/>
      </c>
      <c r="D291" s="18" t="n">
        <f aca="false">IFERROR((B291/B287-1)*100,"")</f>
        <v>-100</v>
      </c>
      <c r="E291" s="17" t="n">
        <v>517.35380245753</v>
      </c>
      <c r="F291" s="17" t="n">
        <v>510.215139599639</v>
      </c>
      <c r="G291" s="23" t="n">
        <f aca="false">520.46088-499.9694</f>
        <v>20.49148</v>
      </c>
    </row>
    <row r="292" customFormat="false" ht="15" hidden="false" customHeight="false" outlineLevel="0" collapsed="false">
      <c r="A292" s="12" t="n">
        <v>46388</v>
      </c>
      <c r="B292" s="14"/>
      <c r="C292" s="21" t="str">
        <f aca="false">IFERROR((B292/B291-1)*100,"")</f>
        <v/>
      </c>
      <c r="D292" s="21" t="str">
        <f aca="false">IFERROR((B292/B288-1)*100,"")</f>
        <v/>
      </c>
      <c r="E292" s="13" t="n">
        <v>520.584359797586</v>
      </c>
      <c r="F292" s="13" t="n">
        <v>511.748168229362</v>
      </c>
      <c r="G292" s="22" t="n">
        <f aca="false">523.203254-500.293083</f>
        <v>22.910171</v>
      </c>
    </row>
    <row r="293" customFormat="false" ht="15" hidden="false" customHeight="false" outlineLevel="0" collapsed="false">
      <c r="A293" s="16" t="n">
        <v>46478</v>
      </c>
      <c r="B293" s="19"/>
      <c r="C293" s="18" t="str">
        <f aca="false">IFERROR((B293/B292-1)*100,"")</f>
        <v/>
      </c>
      <c r="D293" s="18" t="str">
        <f aca="false">IFERROR((B293/B289-1)*100,"")</f>
        <v/>
      </c>
      <c r="E293" s="17" t="n">
        <v>523.835089987785</v>
      </c>
      <c r="F293" s="17" t="n">
        <v>513.737277844927</v>
      </c>
      <c r="G293" s="23" t="n">
        <f aca="false">526.285695-501.18886</f>
        <v>25.0968350000001</v>
      </c>
    </row>
    <row r="294" customFormat="false" ht="15" hidden="false" customHeight="false" outlineLevel="0" collapsed="false">
      <c r="A294" s="12" t="n">
        <v>46569</v>
      </c>
      <c r="B294" s="14"/>
      <c r="C294" s="21" t="str">
        <f aca="false">IFERROR((B294/B293-1)*100,"")</f>
        <v/>
      </c>
      <c r="D294" s="21" t="str">
        <f aca="false">IFERROR((B294/B290-1)*100,"")</f>
        <v/>
      </c>
      <c r="E294" s="13" t="n">
        <v>527.106118995208</v>
      </c>
      <c r="F294" s="13" t="n">
        <v>514.005404819074</v>
      </c>
      <c r="G294" s="22" t="n">
        <f aca="false">527.559245-500.451565</f>
        <v>27.10768</v>
      </c>
    </row>
    <row r="295" customFormat="false" ht="15" hidden="false" customHeight="false" outlineLevel="0" collapsed="false">
      <c r="A295" s="16" t="n">
        <v>46661</v>
      </c>
      <c r="B295" s="19"/>
      <c r="C295" s="18" t="str">
        <f aca="false">IFERROR((B295/B294-1)*100,"")</f>
        <v/>
      </c>
      <c r="D295" s="18" t="str">
        <f aca="false">IFERROR((B295/B291-1)*100,"")</f>
        <v/>
      </c>
      <c r="E295" s="17" t="n">
        <v>530.397573573525</v>
      </c>
      <c r="F295" s="17" t="n">
        <v>515.987398500081</v>
      </c>
      <c r="G295" s="23" t="n">
        <f aca="false">530.477063-501.497734</f>
        <v>28.9793290000001</v>
      </c>
    </row>
    <row r="298" customFormat="false" ht="21.75" hidden="false" customHeight="true" outlineLevel="0" collapsed="false">
      <c r="A298" s="9" t="s">
        <v>152</v>
      </c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</row>
    <row r="299" customFormat="false" ht="15" hidden="false" customHeight="false" outlineLevel="0" collapsed="false">
      <c r="A299" s="5" t="s">
        <v>113</v>
      </c>
      <c r="B299" s="10" t="s">
        <v>114</v>
      </c>
      <c r="D299" s="5" t="s">
        <v>115</v>
      </c>
      <c r="E299" s="2" t="s">
        <v>116</v>
      </c>
      <c r="H299" s="5" t="s">
        <v>117</v>
      </c>
      <c r="I299" s="2" t="s">
        <v>118</v>
      </c>
    </row>
    <row r="300" customFormat="false" ht="18" hidden="false" customHeight="true" outlineLevel="0" collapsed="false">
      <c r="A300" s="11" t="s">
        <v>119</v>
      </c>
      <c r="B300" s="11"/>
      <c r="C300" s="11"/>
      <c r="D300" s="11"/>
      <c r="E300" s="11"/>
      <c r="F300" s="11"/>
      <c r="G300" s="11"/>
      <c r="I300" s="11" t="s">
        <v>120</v>
      </c>
      <c r="J300" s="11"/>
      <c r="K300" s="11"/>
      <c r="L300" s="11"/>
    </row>
    <row r="301" customFormat="false" ht="15" hidden="false" customHeight="false" outlineLevel="0" collapsed="false">
      <c r="A301" s="6" t="s">
        <v>121</v>
      </c>
      <c r="B301" s="6" t="s">
        <v>122</v>
      </c>
      <c r="C301" s="6" t="s">
        <v>123</v>
      </c>
      <c r="D301" s="6" t="s">
        <v>124</v>
      </c>
      <c r="E301" s="6" t="s">
        <v>125</v>
      </c>
      <c r="F301" s="6" t="s">
        <v>126</v>
      </c>
      <c r="G301" s="6" t="s">
        <v>127</v>
      </c>
      <c r="I301" s="6" t="s">
        <v>128</v>
      </c>
      <c r="J301" s="6" t="s">
        <v>122</v>
      </c>
      <c r="K301" s="6" t="s">
        <v>124</v>
      </c>
      <c r="L301" s="6" t="s">
        <v>129</v>
      </c>
    </row>
    <row r="302" customFormat="false" ht="15" hidden="false" customHeight="false" outlineLevel="0" collapsed="false">
      <c r="A302" s="12" t="n">
        <v>38353</v>
      </c>
      <c r="B302" s="13" t="n">
        <v>100.401837706735</v>
      </c>
      <c r="C302" s="14"/>
      <c r="D302" s="14"/>
      <c r="E302" s="14"/>
      <c r="F302" s="14"/>
      <c r="G302" s="14"/>
      <c r="I302" s="15" t="n">
        <v>2005</v>
      </c>
      <c r="J302" s="13" t="n">
        <v>402.155479265869</v>
      </c>
      <c r="K302" s="14"/>
      <c r="L302" s="14"/>
    </row>
    <row r="303" customFormat="false" ht="15" hidden="false" customHeight="false" outlineLevel="0" collapsed="false">
      <c r="A303" s="16" t="n">
        <v>38443</v>
      </c>
      <c r="B303" s="17" t="n">
        <v>100.033143769995</v>
      </c>
      <c r="C303" s="18" t="n">
        <f aca="false">IFERROR((B303/B302-1)*100,"")</f>
        <v>-0.367218315083839</v>
      </c>
      <c r="D303" s="19"/>
      <c r="E303" s="19"/>
      <c r="F303" s="19"/>
      <c r="G303" s="19"/>
      <c r="I303" s="20" t="n">
        <v>2006</v>
      </c>
      <c r="J303" s="17" t="n">
        <v>411.104295965243</v>
      </c>
      <c r="K303" s="18" t="n">
        <f aca="false">IFERROR((J303/J302-1)*100,"")</f>
        <v>2.22521317270388</v>
      </c>
      <c r="L303" s="19"/>
    </row>
    <row r="304" customFormat="false" ht="15" hidden="false" customHeight="false" outlineLevel="0" collapsed="false">
      <c r="A304" s="12" t="n">
        <v>38534</v>
      </c>
      <c r="B304" s="13" t="n">
        <v>100.756003848331</v>
      </c>
      <c r="C304" s="21" t="n">
        <f aca="false">IFERROR((B304/B303-1)*100,"")</f>
        <v>0.722620574634614</v>
      </c>
      <c r="D304" s="14"/>
      <c r="E304" s="14"/>
      <c r="F304" s="14"/>
      <c r="G304" s="14"/>
      <c r="I304" s="15" t="n">
        <v>2007</v>
      </c>
      <c r="J304" s="13" t="n">
        <v>420.174191545109</v>
      </c>
      <c r="K304" s="21" t="n">
        <f aca="false">IFERROR((J304/J303-1)*100,"")</f>
        <v>2.206227390198</v>
      </c>
      <c r="L304" s="14"/>
    </row>
    <row r="305" customFormat="false" ht="15" hidden="false" customHeight="false" outlineLevel="0" collapsed="false">
      <c r="A305" s="16" t="n">
        <v>38626</v>
      </c>
      <c r="B305" s="17" t="n">
        <v>100.964493940808</v>
      </c>
      <c r="C305" s="18" t="n">
        <f aca="false">IFERROR((B305/B304-1)*100,"")</f>
        <v>0.206925726025164</v>
      </c>
      <c r="D305" s="19"/>
      <c r="E305" s="19"/>
      <c r="F305" s="19"/>
      <c r="G305" s="19"/>
      <c r="I305" s="20" t="n">
        <v>2008</v>
      </c>
      <c r="J305" s="17" t="n">
        <v>427.510452592099</v>
      </c>
      <c r="K305" s="18" t="n">
        <f aca="false">IFERROR((J305/J304-1)*100,"")</f>
        <v>1.74600467963353</v>
      </c>
      <c r="L305" s="19"/>
    </row>
    <row r="306" customFormat="false" ht="15" hidden="false" customHeight="false" outlineLevel="0" collapsed="false">
      <c r="A306" s="12" t="n">
        <v>38718</v>
      </c>
      <c r="B306" s="13" t="n">
        <v>102.335353633842</v>
      </c>
      <c r="C306" s="21" t="n">
        <f aca="false">IFERROR((B306/B305-1)*100,"")</f>
        <v>1.35776414017199</v>
      </c>
      <c r="D306" s="21" t="n">
        <f aca="false">IFERROR((B306/B302-1)*100,"")</f>
        <v>1.9257774272569</v>
      </c>
      <c r="E306" s="14"/>
      <c r="F306" s="14"/>
      <c r="G306" s="14"/>
      <c r="I306" s="15" t="n">
        <v>2009</v>
      </c>
      <c r="J306" s="13" t="n">
        <v>435.500735363184</v>
      </c>
      <c r="K306" s="21" t="n">
        <f aca="false">IFERROR((J306/J305-1)*100,"")</f>
        <v>1.86902629459411</v>
      </c>
      <c r="L306" s="14"/>
    </row>
    <row r="307" customFormat="false" ht="15" hidden="false" customHeight="false" outlineLevel="0" collapsed="false">
      <c r="A307" s="16" t="n">
        <v>38808</v>
      </c>
      <c r="B307" s="17" t="n">
        <v>101.753500308234</v>
      </c>
      <c r="C307" s="18" t="n">
        <f aca="false">IFERROR((B307/B306-1)*100,"")</f>
        <v>-0.568575086661338</v>
      </c>
      <c r="D307" s="18" t="n">
        <f aca="false">IFERROR((B307/B303-1)*100,"")</f>
        <v>1.71978653614455</v>
      </c>
      <c r="E307" s="19"/>
      <c r="F307" s="19"/>
      <c r="G307" s="19"/>
      <c r="I307" s="20" t="n">
        <v>2010</v>
      </c>
      <c r="J307" s="17" t="n">
        <v>442.006026524759</v>
      </c>
      <c r="K307" s="18" t="n">
        <f aca="false">IFERROR((J307/J306-1)*100,"")</f>
        <v>1.4937497536371</v>
      </c>
      <c r="L307" s="19"/>
    </row>
    <row r="308" customFormat="false" ht="15" hidden="false" customHeight="false" outlineLevel="0" collapsed="false">
      <c r="A308" s="12" t="n">
        <v>38899</v>
      </c>
      <c r="B308" s="13" t="n">
        <v>103.395805705348</v>
      </c>
      <c r="C308" s="21" t="n">
        <f aca="false">IFERROR((B308/B307-1)*100,"")</f>
        <v>1.61400383489452</v>
      </c>
      <c r="D308" s="21" t="n">
        <f aca="false">IFERROR((B308/B304-1)*100,"")</f>
        <v>2.61999459703732</v>
      </c>
      <c r="E308" s="14"/>
      <c r="F308" s="14"/>
      <c r="G308" s="14"/>
      <c r="I308" s="15" t="n">
        <v>2011</v>
      </c>
      <c r="J308" s="13" t="n">
        <v>454.574031842952</v>
      </c>
      <c r="K308" s="21" t="n">
        <f aca="false">IFERROR((J308/J307-1)*100,"")</f>
        <v>2.84340134839518</v>
      </c>
      <c r="L308" s="14"/>
    </row>
    <row r="309" customFormat="false" ht="15" hidden="false" customHeight="false" outlineLevel="0" collapsed="false">
      <c r="A309" s="16" t="n">
        <v>38991</v>
      </c>
      <c r="B309" s="17" t="n">
        <v>103.619636317819</v>
      </c>
      <c r="C309" s="18" t="n">
        <f aca="false">IFERROR((B309/B308-1)*100,"")</f>
        <v>0.216479392896618</v>
      </c>
      <c r="D309" s="18" t="n">
        <f aca="false">IFERROR((B309/B305-1)*100,"")</f>
        <v>2.62977832441573</v>
      </c>
      <c r="E309" s="19"/>
      <c r="F309" s="19"/>
      <c r="G309" s="19"/>
      <c r="I309" s="20" t="n">
        <v>2012</v>
      </c>
      <c r="J309" s="17" t="n">
        <v>463.332396941985</v>
      </c>
      <c r="K309" s="18" t="n">
        <f aca="false">IFERROR((J309/J308-1)*100,"")</f>
        <v>1.92671918884684</v>
      </c>
      <c r="L309" s="19"/>
    </row>
    <row r="310" customFormat="false" ht="15" hidden="false" customHeight="false" outlineLevel="0" collapsed="false">
      <c r="A310" s="12" t="n">
        <v>39083</v>
      </c>
      <c r="B310" s="13" t="n">
        <v>104.137714495671</v>
      </c>
      <c r="C310" s="21" t="n">
        <f aca="false">IFERROR((B310/B309-1)*100,"")</f>
        <v>0.499980695031743</v>
      </c>
      <c r="D310" s="21" t="n">
        <f aca="false">IFERROR((B310/B306-1)*100,"")</f>
        <v>1.76122991500773</v>
      </c>
      <c r="E310" s="14"/>
      <c r="F310" s="14"/>
      <c r="G310" s="14"/>
      <c r="I310" s="15" t="n">
        <v>2013</v>
      </c>
      <c r="J310" s="13" t="n">
        <v>472.011736092458</v>
      </c>
      <c r="K310" s="21" t="n">
        <f aca="false">IFERROR((J310/J309-1)*100,"")</f>
        <v>1.87324245137124</v>
      </c>
      <c r="L310" s="14"/>
    </row>
    <row r="311" customFormat="false" ht="15" hidden="false" customHeight="false" outlineLevel="0" collapsed="false">
      <c r="A311" s="16" t="n">
        <v>39173</v>
      </c>
      <c r="B311" s="17" t="n">
        <v>104.394945254885</v>
      </c>
      <c r="C311" s="18" t="n">
        <f aca="false">IFERROR((B311/B310-1)*100,"")</f>
        <v>0.247010183064189</v>
      </c>
      <c r="D311" s="18" t="n">
        <f aca="false">IFERROR((B311/B307-1)*100,"")</f>
        <v>2.59592538698923</v>
      </c>
      <c r="E311" s="19"/>
      <c r="F311" s="19"/>
      <c r="G311" s="19"/>
      <c r="I311" s="20" t="n">
        <v>2014</v>
      </c>
      <c r="J311" s="17" t="n">
        <v>484.260769689386</v>
      </c>
      <c r="K311" s="18" t="n">
        <f aca="false">IFERROR((J311/J310-1)*100,"")</f>
        <v>2.59506971126005</v>
      </c>
      <c r="L311" s="19"/>
    </row>
    <row r="312" customFormat="false" ht="15" hidden="false" customHeight="false" outlineLevel="0" collapsed="false">
      <c r="A312" s="12" t="n">
        <v>39264</v>
      </c>
      <c r="B312" s="13" t="n">
        <v>104.850134351704</v>
      </c>
      <c r="C312" s="21" t="n">
        <f aca="false">IFERROR((B312/B311-1)*100,"")</f>
        <v>0.436025993123645</v>
      </c>
      <c r="D312" s="21" t="n">
        <f aca="false">IFERROR((B312/B308-1)*100,"")</f>
        <v>1.40656445049645</v>
      </c>
      <c r="E312" s="14"/>
      <c r="F312" s="14"/>
      <c r="G312" s="14"/>
      <c r="I312" s="15" t="n">
        <v>2015</v>
      </c>
      <c r="J312" s="13" t="n">
        <v>491.382261184185</v>
      </c>
      <c r="K312" s="21" t="n">
        <f aca="false">IFERROR((J312/J311-1)*100,"")</f>
        <v>1.470590215137</v>
      </c>
      <c r="L312" s="14"/>
    </row>
    <row r="313" customFormat="false" ht="15" hidden="false" customHeight="false" outlineLevel="0" collapsed="false">
      <c r="A313" s="16" t="n">
        <v>39356</v>
      </c>
      <c r="B313" s="17" t="n">
        <v>106.79139744285</v>
      </c>
      <c r="C313" s="18" t="n">
        <f aca="false">IFERROR((B313/B312-1)*100,"")</f>
        <v>1.85146457193295</v>
      </c>
      <c r="D313" s="18" t="n">
        <f aca="false">IFERROR((B313/B309-1)*100,"")</f>
        <v>3.06096531288902</v>
      </c>
      <c r="E313" s="19"/>
      <c r="F313" s="19"/>
      <c r="G313" s="19"/>
      <c r="I313" s="20" t="n">
        <v>2016</v>
      </c>
      <c r="J313" s="17" t="n">
        <v>501.245169767241</v>
      </c>
      <c r="K313" s="18" t="n">
        <f aca="false">IFERROR((J313/J312-1)*100,"")</f>
        <v>2.00717635986425</v>
      </c>
      <c r="L313" s="19"/>
    </row>
    <row r="314" customFormat="false" ht="15" hidden="false" customHeight="false" outlineLevel="0" collapsed="false">
      <c r="A314" s="12" t="n">
        <v>39448</v>
      </c>
      <c r="B314" s="13" t="n">
        <v>105.953729626266</v>
      </c>
      <c r="C314" s="21" t="n">
        <f aca="false">IFERROR((B314/B313-1)*100,"")</f>
        <v>-0.784396343377924</v>
      </c>
      <c r="D314" s="21" t="n">
        <f aca="false">IFERROR((B314/B310-1)*100,"")</f>
        <v>1.7438592150691</v>
      </c>
      <c r="E314" s="14"/>
      <c r="F314" s="14"/>
      <c r="G314" s="14"/>
      <c r="I314" s="15" t="n">
        <v>2017</v>
      </c>
      <c r="J314" s="13" t="n">
        <v>513.033716417306</v>
      </c>
      <c r="K314" s="21" t="n">
        <f aca="false">IFERROR((J314/J313-1)*100,"")</f>
        <v>2.35185241895486</v>
      </c>
      <c r="L314" s="14"/>
    </row>
    <row r="315" customFormat="false" ht="15" hidden="false" customHeight="false" outlineLevel="0" collapsed="false">
      <c r="A315" s="16" t="n">
        <v>39539</v>
      </c>
      <c r="B315" s="17" t="n">
        <v>106.646132705796</v>
      </c>
      <c r="C315" s="18" t="n">
        <f aca="false">IFERROR((B315/B314-1)*100,"")</f>
        <v>0.653495711734786</v>
      </c>
      <c r="D315" s="18" t="n">
        <f aca="false">IFERROR((B315/B311-1)*100,"")</f>
        <v>2.1564142262011</v>
      </c>
      <c r="E315" s="19"/>
      <c r="F315" s="19"/>
      <c r="G315" s="19"/>
      <c r="I315" s="20" t="n">
        <v>2018</v>
      </c>
      <c r="J315" s="17" t="n">
        <v>521.634951011336</v>
      </c>
      <c r="K315" s="18" t="n">
        <f aca="false">IFERROR((J315/J314-1)*100,"")</f>
        <v>1.67654372778752</v>
      </c>
      <c r="L315" s="19"/>
    </row>
    <row r="316" customFormat="false" ht="15" hidden="false" customHeight="false" outlineLevel="0" collapsed="false">
      <c r="A316" s="12" t="n">
        <v>39630</v>
      </c>
      <c r="B316" s="13" t="n">
        <v>107.076678979122</v>
      </c>
      <c r="C316" s="21" t="n">
        <f aca="false">IFERROR((B316/B315-1)*100,"")</f>
        <v>0.403714848725856</v>
      </c>
      <c r="D316" s="21" t="n">
        <f aca="false">IFERROR((B316/B312-1)*100,"")</f>
        <v>2.12354961792351</v>
      </c>
      <c r="E316" s="14"/>
      <c r="F316" s="14"/>
      <c r="G316" s="14"/>
      <c r="I316" s="15" t="n">
        <v>2019</v>
      </c>
      <c r="J316" s="13" t="n">
        <v>530.272416537674</v>
      </c>
      <c r="K316" s="21" t="n">
        <f aca="false">IFERROR((J316/J315-1)*100,"")</f>
        <v>1.65584486039381</v>
      </c>
      <c r="L316" s="14"/>
    </row>
    <row r="317" customFormat="false" ht="15" hidden="false" customHeight="false" outlineLevel="0" collapsed="false">
      <c r="A317" s="16" t="n">
        <v>39722</v>
      </c>
      <c r="B317" s="17" t="n">
        <v>107.833911280915</v>
      </c>
      <c r="C317" s="18" t="n">
        <f aca="false">IFERROR((B317/B316-1)*100,"")</f>
        <v>0.707186951456951</v>
      </c>
      <c r="D317" s="18" t="n">
        <f aca="false">IFERROR((B317/B313-1)*100,"")</f>
        <v>0.976215184957874</v>
      </c>
      <c r="E317" s="19"/>
      <c r="F317" s="19"/>
      <c r="G317" s="19"/>
      <c r="I317" s="20" t="n">
        <v>2020</v>
      </c>
      <c r="J317" s="17" t="n">
        <v>544.182969670092</v>
      </c>
      <c r="K317" s="18" t="n">
        <f aca="false">IFERROR((J317/J316-1)*100,"")</f>
        <v>2.62328431549288</v>
      </c>
      <c r="L317" s="19"/>
    </row>
    <row r="318" customFormat="false" ht="15" hidden="false" customHeight="false" outlineLevel="0" collapsed="false">
      <c r="A318" s="12" t="n">
        <v>39814</v>
      </c>
      <c r="B318" s="13" t="n">
        <v>108.238958352377</v>
      </c>
      <c r="C318" s="21" t="n">
        <f aca="false">IFERROR((B318/B317-1)*100,"")</f>
        <v>0.375621237002632</v>
      </c>
      <c r="D318" s="21" t="n">
        <f aca="false">IFERROR((B318/B314-1)*100,"")</f>
        <v>2.15681763555862</v>
      </c>
      <c r="E318" s="14"/>
      <c r="F318" s="14"/>
      <c r="G318" s="14"/>
      <c r="I318" s="15" t="n">
        <v>2021</v>
      </c>
      <c r="J318" s="13" t="n">
        <v>556.641247693984</v>
      </c>
      <c r="K318" s="21" t="n">
        <f aca="false">IFERROR((J318/J317-1)*100,"")</f>
        <v>2.28935463221951</v>
      </c>
      <c r="L318" s="14"/>
    </row>
    <row r="319" customFormat="false" ht="15" hidden="false" customHeight="false" outlineLevel="0" collapsed="false">
      <c r="A319" s="16" t="n">
        <v>39904</v>
      </c>
      <c r="B319" s="17" t="n">
        <v>108.313625475312</v>
      </c>
      <c r="C319" s="18" t="n">
        <f aca="false">IFERROR((B319/B318-1)*100,"")</f>
        <v>0.0689835934039706</v>
      </c>
      <c r="D319" s="18" t="n">
        <f aca="false">IFERROR((B319/B315-1)*100,"")</f>
        <v>1.56357546889703</v>
      </c>
      <c r="E319" s="19"/>
      <c r="F319" s="19"/>
      <c r="G319" s="19"/>
      <c r="I319" s="20" t="n">
        <v>2022</v>
      </c>
      <c r="J319" s="17" t="n">
        <v>566.067541740358</v>
      </c>
      <c r="K319" s="18" t="n">
        <f aca="false">IFERROR((J319/J318-1)*100,"")</f>
        <v>1.69342356237954</v>
      </c>
      <c r="L319" s="19"/>
    </row>
    <row r="320" customFormat="false" ht="15" hidden="false" customHeight="false" outlineLevel="0" collapsed="false">
      <c r="A320" s="12" t="n">
        <v>39995</v>
      </c>
      <c r="B320" s="13" t="n">
        <v>110.137710806933</v>
      </c>
      <c r="C320" s="21" t="n">
        <f aca="false">IFERROR((B320/B319-1)*100,"")</f>
        <v>1.68407744050372</v>
      </c>
      <c r="D320" s="21" t="n">
        <f aca="false">IFERROR((B320/B316-1)*100,"")</f>
        <v>2.858728769883</v>
      </c>
      <c r="E320" s="14"/>
      <c r="F320" s="14"/>
      <c r="G320" s="14"/>
      <c r="I320" s="15" t="n">
        <v>2023</v>
      </c>
      <c r="J320" s="13" t="n">
        <v>575.772224468143</v>
      </c>
      <c r="K320" s="21" t="n">
        <f aca="false">IFERROR((J320/J319-1)*100,"")</f>
        <v>1.71440367309317</v>
      </c>
      <c r="L320" s="14"/>
    </row>
    <row r="321" customFormat="false" ht="15" hidden="false" customHeight="false" outlineLevel="0" collapsed="false">
      <c r="A321" s="16" t="n">
        <v>40087</v>
      </c>
      <c r="B321" s="17" t="n">
        <v>108.810440728562</v>
      </c>
      <c r="C321" s="18" t="n">
        <f aca="false">IFERROR((B321/B320-1)*100,"")</f>
        <v>-1.20510047707243</v>
      </c>
      <c r="D321" s="18" t="n">
        <f aca="false">IFERROR((B321/B317-1)*100,"")</f>
        <v>0.90558659706097</v>
      </c>
      <c r="E321" s="19"/>
      <c r="F321" s="19"/>
      <c r="G321" s="19"/>
      <c r="I321" s="20" t="n">
        <v>2024</v>
      </c>
      <c r="J321" s="17" t="n">
        <v>588.089937292897</v>
      </c>
      <c r="K321" s="18" t="n">
        <f aca="false">IFERROR((J321/J320-1)*100,"")</f>
        <v>2.13933779736115</v>
      </c>
      <c r="L321" s="19"/>
    </row>
    <row r="322" customFormat="false" ht="15" hidden="false" customHeight="false" outlineLevel="0" collapsed="false">
      <c r="A322" s="12" t="n">
        <v>40179</v>
      </c>
      <c r="B322" s="13" t="n">
        <v>109.559870109765</v>
      </c>
      <c r="C322" s="21" t="n">
        <f aca="false">IFERROR((B322/B321-1)*100,"")</f>
        <v>0.688747675484591</v>
      </c>
      <c r="D322" s="21" t="n">
        <f aca="false">IFERROR((B322/B318-1)*100,"")</f>
        <v>1.22036628723561</v>
      </c>
      <c r="E322" s="14"/>
      <c r="F322" s="14"/>
      <c r="G322" s="14"/>
      <c r="I322" s="15" t="n">
        <v>2025</v>
      </c>
      <c r="J322" s="13" t="n">
        <v>599.874619228658</v>
      </c>
      <c r="K322" s="21" t="n">
        <f aca="false">IFERROR((J322/J321-1)*100,"")</f>
        <v>2.0038911038011</v>
      </c>
      <c r="L322" s="14"/>
    </row>
    <row r="323" customFormat="false" ht="15" hidden="false" customHeight="false" outlineLevel="0" collapsed="false">
      <c r="A323" s="16" t="n">
        <v>40269</v>
      </c>
      <c r="B323" s="17" t="n">
        <v>109.769483163447</v>
      </c>
      <c r="C323" s="18" t="n">
        <f aca="false">IFERROR((B323/B322-1)*100,"")</f>
        <v>0.191322838802188</v>
      </c>
      <c r="D323" s="18" t="n">
        <f aca="false">IFERROR((B323/B319-1)*100,"")</f>
        <v>1.34411315450496</v>
      </c>
      <c r="E323" s="19"/>
      <c r="F323" s="19"/>
      <c r="G323" s="19"/>
      <c r="I323" s="20" t="n">
        <v>2026</v>
      </c>
      <c r="J323" s="19"/>
      <c r="K323" s="18" t="n">
        <f aca="false">IFERROR((J323/J322-1)*100,"")</f>
        <v>-100</v>
      </c>
      <c r="L323" s="17" t="n">
        <v>607.733575511077</v>
      </c>
    </row>
    <row r="324" customFormat="false" ht="15" hidden="false" customHeight="false" outlineLevel="0" collapsed="false">
      <c r="A324" s="12" t="n">
        <v>40360</v>
      </c>
      <c r="B324" s="13" t="n">
        <v>110.74846666359</v>
      </c>
      <c r="C324" s="21" t="n">
        <f aca="false">IFERROR((B324/B323-1)*100,"")</f>
        <v>0.891853976105095</v>
      </c>
      <c r="D324" s="21" t="n">
        <f aca="false">IFERROR((B324/B320-1)*100,"")</f>
        <v>0.554538361276924</v>
      </c>
      <c r="E324" s="14"/>
      <c r="F324" s="14"/>
      <c r="G324" s="14"/>
      <c r="I324" s="15" t="n">
        <v>2027</v>
      </c>
      <c r="J324" s="14"/>
      <c r="K324" s="21" t="str">
        <f aca="false">IFERROR((J324/J323-1)*100,"")</f>
        <v/>
      </c>
      <c r="L324" s="13" t="n">
        <v>613.886232981009</v>
      </c>
    </row>
    <row r="325" customFormat="false" ht="15" hidden="false" customHeight="false" outlineLevel="0" collapsed="false">
      <c r="A325" s="16" t="n">
        <v>40452</v>
      </c>
      <c r="B325" s="17" t="n">
        <v>111.928206587958</v>
      </c>
      <c r="C325" s="18" t="n">
        <f aca="false">IFERROR((B325/B324-1)*100,"")</f>
        <v>1.06524267099091</v>
      </c>
      <c r="D325" s="18" t="n">
        <f aca="false">IFERROR((B325/B321-1)*100,"")</f>
        <v>2.86531865740161</v>
      </c>
      <c r="E325" s="19"/>
      <c r="F325" s="19"/>
      <c r="G325" s="19"/>
    </row>
    <row r="326" customFormat="false" ht="15" hidden="false" customHeight="false" outlineLevel="0" collapsed="false">
      <c r="A326" s="12" t="n">
        <v>40544</v>
      </c>
      <c r="B326" s="13" t="n">
        <v>112.843032739054</v>
      </c>
      <c r="C326" s="21" t="n">
        <f aca="false">IFERROR((B326/B325-1)*100,"")</f>
        <v>0.817332984225905</v>
      </c>
      <c r="D326" s="21" t="n">
        <f aca="false">IFERROR((B326/B322-1)*100,"")</f>
        <v>2.99668357218796</v>
      </c>
      <c r="E326" s="14"/>
      <c r="F326" s="14"/>
      <c r="G326" s="14"/>
    </row>
    <row r="327" customFormat="false" ht="15" hidden="false" customHeight="false" outlineLevel="0" collapsed="false">
      <c r="A327" s="16" t="n">
        <v>40634</v>
      </c>
      <c r="B327" s="17" t="n">
        <v>112.946387924262</v>
      </c>
      <c r="C327" s="18" t="n">
        <f aca="false">IFERROR((B327/B326-1)*100,"")</f>
        <v>0.0915919952692246</v>
      </c>
      <c r="D327" s="18" t="n">
        <f aca="false">IFERROR((B327/B323-1)*100,"")</f>
        <v>2.89416026135916</v>
      </c>
      <c r="E327" s="19"/>
      <c r="F327" s="19"/>
      <c r="G327" s="19"/>
    </row>
    <row r="328" customFormat="false" ht="15" hidden="false" customHeight="false" outlineLevel="0" collapsed="false">
      <c r="A328" s="12" t="n">
        <v>40725</v>
      </c>
      <c r="B328" s="13" t="n">
        <v>113.537026508701</v>
      </c>
      <c r="C328" s="21" t="n">
        <f aca="false">IFERROR((B328/B327-1)*100,"")</f>
        <v>0.522937116709898</v>
      </c>
      <c r="D328" s="21" t="n">
        <f aca="false">IFERROR((B328/B324-1)*100,"")</f>
        <v>2.5179218540174</v>
      </c>
      <c r="E328" s="14"/>
      <c r="F328" s="14"/>
      <c r="G328" s="14"/>
    </row>
    <row r="329" customFormat="false" ht="15" hidden="false" customHeight="false" outlineLevel="0" collapsed="false">
      <c r="A329" s="16" t="n">
        <v>40817</v>
      </c>
      <c r="B329" s="17" t="n">
        <v>115.247584670934</v>
      </c>
      <c r="C329" s="18" t="n">
        <f aca="false">IFERROR((B329/B328-1)*100,"")</f>
        <v>1.50660820952679</v>
      </c>
      <c r="D329" s="18" t="n">
        <f aca="false">IFERROR((B329/B325-1)*100,"")</f>
        <v>2.96563143836954</v>
      </c>
      <c r="E329" s="19"/>
      <c r="F329" s="19"/>
      <c r="G329" s="19"/>
    </row>
    <row r="330" customFormat="false" ht="15" hidden="false" customHeight="false" outlineLevel="0" collapsed="false">
      <c r="A330" s="12" t="n">
        <v>40909</v>
      </c>
      <c r="B330" s="13" t="n">
        <v>114.639799752527</v>
      </c>
      <c r="C330" s="21" t="n">
        <f aca="false">IFERROR((B330/B329-1)*100,"")</f>
        <v>-0.527373237489104</v>
      </c>
      <c r="D330" s="21" t="n">
        <f aca="false">IFERROR((B330/B326-1)*100,"")</f>
        <v>1.59227111312017</v>
      </c>
      <c r="E330" s="14"/>
      <c r="F330" s="14"/>
      <c r="G330" s="14"/>
    </row>
    <row r="331" customFormat="false" ht="15" hidden="false" customHeight="false" outlineLevel="0" collapsed="false">
      <c r="A331" s="16" t="n">
        <v>41000</v>
      </c>
      <c r="B331" s="17" t="n">
        <v>115.651575319766</v>
      </c>
      <c r="C331" s="18" t="n">
        <f aca="false">IFERROR((B331/B330-1)*100,"")</f>
        <v>0.88256920321137</v>
      </c>
      <c r="D331" s="18" t="n">
        <f aca="false">IFERROR((B331/B327-1)*100,"")</f>
        <v>2.39510748880052</v>
      </c>
      <c r="E331" s="19"/>
      <c r="F331" s="19"/>
      <c r="G331" s="19"/>
    </row>
    <row r="332" customFormat="false" ht="15" hidden="false" customHeight="false" outlineLevel="0" collapsed="false">
      <c r="A332" s="12" t="n">
        <v>41091</v>
      </c>
      <c r="B332" s="13" t="n">
        <v>116.894561750634</v>
      </c>
      <c r="C332" s="21" t="n">
        <f aca="false">IFERROR((B332/B331-1)*100,"")</f>
        <v>1.07476826617499</v>
      </c>
      <c r="D332" s="21" t="n">
        <f aca="false">IFERROR((B332/B328-1)*100,"")</f>
        <v>2.95721611282076</v>
      </c>
      <c r="E332" s="14"/>
      <c r="F332" s="14"/>
      <c r="G332" s="14"/>
    </row>
    <row r="333" customFormat="false" ht="15" hidden="false" customHeight="false" outlineLevel="0" collapsed="false">
      <c r="A333" s="16" t="n">
        <v>41183</v>
      </c>
      <c r="B333" s="17" t="n">
        <v>116.146460119058</v>
      </c>
      <c r="C333" s="18" t="n">
        <f aca="false">IFERROR((B333/B332-1)*100,"")</f>
        <v>-0.63997984198152</v>
      </c>
      <c r="D333" s="18" t="n">
        <f aca="false">IFERROR((B333/B329-1)*100,"")</f>
        <v>0.77995165858793</v>
      </c>
      <c r="E333" s="19"/>
      <c r="F333" s="19"/>
      <c r="G333" s="19"/>
    </row>
    <row r="334" customFormat="false" ht="15" hidden="false" customHeight="false" outlineLevel="0" collapsed="false">
      <c r="A334" s="12" t="n">
        <v>41275</v>
      </c>
      <c r="B334" s="13" t="n">
        <v>117.176623395381</v>
      </c>
      <c r="C334" s="21" t="n">
        <f aca="false">IFERROR((B334/B333-1)*100,"")</f>
        <v>0.886951935743219</v>
      </c>
      <c r="D334" s="21" t="n">
        <f aca="false">IFERROR((B334/B330-1)*100,"")</f>
        <v>2.21286468428072</v>
      </c>
      <c r="E334" s="14"/>
      <c r="F334" s="14"/>
      <c r="G334" s="14"/>
    </row>
    <row r="335" customFormat="false" ht="15" hidden="false" customHeight="false" outlineLevel="0" collapsed="false">
      <c r="A335" s="16" t="n">
        <v>41365</v>
      </c>
      <c r="B335" s="17" t="n">
        <v>117.770245450348</v>
      </c>
      <c r="C335" s="18" t="n">
        <f aca="false">IFERROR((B335/B334-1)*100,"")</f>
        <v>0.506604506740116</v>
      </c>
      <c r="D335" s="18" t="n">
        <f aca="false">IFERROR((B335/B331-1)*100,"")</f>
        <v>1.83194230145485</v>
      </c>
      <c r="E335" s="19"/>
      <c r="F335" s="19"/>
      <c r="G335" s="19"/>
    </row>
    <row r="336" customFormat="false" ht="15" hidden="false" customHeight="false" outlineLevel="0" collapsed="false">
      <c r="A336" s="12" t="n">
        <v>41456</v>
      </c>
      <c r="B336" s="13" t="n">
        <v>118.020713927556</v>
      </c>
      <c r="C336" s="21" t="n">
        <f aca="false">IFERROR((B336/B335-1)*100,"")</f>
        <v>0.212675516001704</v>
      </c>
      <c r="D336" s="21" t="n">
        <f aca="false">IFERROR((B336/B332-1)*100,"")</f>
        <v>0.963391418775994</v>
      </c>
      <c r="E336" s="14"/>
      <c r="F336" s="14"/>
      <c r="G336" s="14"/>
    </row>
    <row r="337" customFormat="false" ht="15" hidden="false" customHeight="false" outlineLevel="0" collapsed="false">
      <c r="A337" s="16" t="n">
        <v>41548</v>
      </c>
      <c r="B337" s="17" t="n">
        <v>119.044153319174</v>
      </c>
      <c r="C337" s="18" t="n">
        <f aca="false">IFERROR((B337/B336-1)*100,"")</f>
        <v>0.867169293897274</v>
      </c>
      <c r="D337" s="18" t="n">
        <f aca="false">IFERROR((B337/B333-1)*100,"")</f>
        <v>2.49486139925907</v>
      </c>
      <c r="E337" s="19"/>
      <c r="F337" s="19"/>
      <c r="G337" s="19"/>
    </row>
    <row r="338" customFormat="false" ht="15" hidden="false" customHeight="false" outlineLevel="0" collapsed="false">
      <c r="A338" s="12" t="n">
        <v>41640</v>
      </c>
      <c r="B338" s="13" t="n">
        <v>119.322503918277</v>
      </c>
      <c r="C338" s="21" t="n">
        <f aca="false">IFERROR((B338/B337-1)*100,"")</f>
        <v>0.233821310280824</v>
      </c>
      <c r="D338" s="21" t="n">
        <f aca="false">IFERROR((B338/B334-1)*100,"")</f>
        <v>1.83132135123565</v>
      </c>
      <c r="E338" s="14"/>
      <c r="F338" s="14"/>
      <c r="G338" s="14"/>
    </row>
    <row r="339" customFormat="false" ht="15" hidden="false" customHeight="false" outlineLevel="0" collapsed="false">
      <c r="A339" s="16" t="n">
        <v>41730</v>
      </c>
      <c r="B339" s="17" t="n">
        <v>121.130371117213</v>
      </c>
      <c r="C339" s="18" t="n">
        <f aca="false">IFERROR((B339/B338-1)*100,"")</f>
        <v>1.51511000822886</v>
      </c>
      <c r="D339" s="18" t="n">
        <f aca="false">IFERROR((B339/B335-1)*100,"")</f>
        <v>2.85311935456689</v>
      </c>
      <c r="E339" s="19"/>
      <c r="F339" s="19"/>
      <c r="G339" s="19"/>
    </row>
    <row r="340" customFormat="false" ht="15" hidden="false" customHeight="false" outlineLevel="0" collapsed="false">
      <c r="A340" s="12" t="n">
        <v>41821</v>
      </c>
      <c r="B340" s="13" t="n">
        <v>121.923401554328</v>
      </c>
      <c r="C340" s="21" t="n">
        <f aca="false">IFERROR((B340/B339-1)*100,"")</f>
        <v>0.654691659738926</v>
      </c>
      <c r="D340" s="21" t="n">
        <f aca="false">IFERROR((B340/B336-1)*100,"")</f>
        <v>3.30678191725529</v>
      </c>
      <c r="E340" s="14"/>
      <c r="F340" s="14"/>
      <c r="G340" s="14"/>
    </row>
    <row r="341" customFormat="false" ht="15" hidden="false" customHeight="false" outlineLevel="0" collapsed="false">
      <c r="A341" s="16" t="n">
        <v>41913</v>
      </c>
      <c r="B341" s="17" t="n">
        <v>121.884493099569</v>
      </c>
      <c r="C341" s="18" t="n">
        <f aca="false">IFERROR((B341/B340-1)*100,"")</f>
        <v>-0.0319122123095927</v>
      </c>
      <c r="D341" s="18" t="n">
        <f aca="false">IFERROR((B341/B337-1)*100,"")</f>
        <v>2.38595487573376</v>
      </c>
      <c r="E341" s="19"/>
      <c r="F341" s="19"/>
      <c r="G341" s="19"/>
    </row>
    <row r="342" customFormat="false" ht="15" hidden="false" customHeight="false" outlineLevel="0" collapsed="false">
      <c r="A342" s="12" t="n">
        <v>42005</v>
      </c>
      <c r="B342" s="13" t="n">
        <v>121.779975405068</v>
      </c>
      <c r="C342" s="21" t="n">
        <f aca="false">IFERROR((B342/B341-1)*100,"")</f>
        <v>-0.0857514289495542</v>
      </c>
      <c r="D342" s="21" t="n">
        <f aca="false">IFERROR((B342/B338-1)*100,"")</f>
        <v>2.05952054817211</v>
      </c>
      <c r="E342" s="14"/>
      <c r="F342" s="14"/>
      <c r="G342" s="14"/>
    </row>
    <row r="343" customFormat="false" ht="15" hidden="false" customHeight="false" outlineLevel="0" collapsed="false">
      <c r="A343" s="16" t="n">
        <v>42095</v>
      </c>
      <c r="B343" s="17" t="n">
        <v>122.16135662729</v>
      </c>
      <c r="C343" s="18" t="n">
        <f aca="false">IFERROR((B343/B342-1)*100,"")</f>
        <v>0.313172359374958</v>
      </c>
      <c r="D343" s="18" t="n">
        <f aca="false">IFERROR((B343/B339-1)*100,"")</f>
        <v>0.851137085248399</v>
      </c>
      <c r="E343" s="19"/>
      <c r="F343" s="19"/>
      <c r="G343" s="19"/>
    </row>
    <row r="344" customFormat="false" ht="15" hidden="false" customHeight="false" outlineLevel="0" collapsed="false">
      <c r="A344" s="12" t="n">
        <v>42186</v>
      </c>
      <c r="B344" s="13" t="n">
        <v>123.66016678252</v>
      </c>
      <c r="C344" s="21" t="n">
        <f aca="false">IFERROR((B344/B343-1)*100,"")</f>
        <v>1.22691020844106</v>
      </c>
      <c r="D344" s="21" t="n">
        <f aca="false">IFERROR((B344/B340-1)*100,"")</f>
        <v>1.42447241961079</v>
      </c>
      <c r="E344" s="14"/>
      <c r="F344" s="14"/>
      <c r="G344" s="14"/>
    </row>
    <row r="345" customFormat="false" ht="15" hidden="false" customHeight="false" outlineLevel="0" collapsed="false">
      <c r="A345" s="16" t="n">
        <v>42278</v>
      </c>
      <c r="B345" s="17" t="n">
        <v>123.780762369307</v>
      </c>
      <c r="C345" s="18" t="n">
        <f aca="false">IFERROR((B345/B344-1)*100,"")</f>
        <v>0.097521772713427</v>
      </c>
      <c r="D345" s="18" t="n">
        <f aca="false">IFERROR((B345/B341-1)*100,"")</f>
        <v>1.55579206305549</v>
      </c>
      <c r="E345" s="19"/>
      <c r="F345" s="19"/>
      <c r="G345" s="19"/>
    </row>
    <row r="346" customFormat="false" ht="15" hidden="false" customHeight="false" outlineLevel="0" collapsed="false">
      <c r="A346" s="12" t="n">
        <v>42370</v>
      </c>
      <c r="B346" s="13" t="n">
        <v>124.974398202918</v>
      </c>
      <c r="C346" s="21" t="n">
        <f aca="false">IFERROR((B346/B345-1)*100,"")</f>
        <v>0.9643144950503</v>
      </c>
      <c r="D346" s="21" t="n">
        <f aca="false">IFERROR((B346/B342-1)*100,"")</f>
        <v>2.62311006980001</v>
      </c>
      <c r="E346" s="14"/>
      <c r="F346" s="14"/>
      <c r="G346" s="14"/>
    </row>
    <row r="347" customFormat="false" ht="15" hidden="false" customHeight="false" outlineLevel="0" collapsed="false">
      <c r="A347" s="16" t="n">
        <v>42461</v>
      </c>
      <c r="B347" s="17" t="n">
        <v>125.121599169476</v>
      </c>
      <c r="C347" s="18" t="n">
        <f aca="false">IFERROR((B347/B346-1)*100,"")</f>
        <v>0.117784897286244</v>
      </c>
      <c r="D347" s="18" t="n">
        <f aca="false">IFERROR((B347/B343-1)*100,"")</f>
        <v>2.42322336941379</v>
      </c>
      <c r="E347" s="19"/>
      <c r="F347" s="19"/>
      <c r="G347" s="19"/>
    </row>
    <row r="348" customFormat="false" ht="15" hidden="false" customHeight="false" outlineLevel="0" collapsed="false">
      <c r="A348" s="12" t="n">
        <v>42552</v>
      </c>
      <c r="B348" s="13" t="n">
        <v>125.578509471425</v>
      </c>
      <c r="C348" s="21" t="n">
        <f aca="false">IFERROR((B348/B347-1)*100,"")</f>
        <v>0.36517300368788</v>
      </c>
      <c r="D348" s="21" t="n">
        <f aca="false">IFERROR((B348/B344-1)*100,"")</f>
        <v>1.55130203914278</v>
      </c>
      <c r="E348" s="14"/>
      <c r="F348" s="14"/>
      <c r="G348" s="14"/>
    </row>
    <row r="349" customFormat="false" ht="15" hidden="false" customHeight="false" outlineLevel="0" collapsed="false">
      <c r="A349" s="16" t="n">
        <v>42644</v>
      </c>
      <c r="B349" s="17" t="n">
        <v>125.570662923422</v>
      </c>
      <c r="C349" s="18" t="n">
        <f aca="false">IFERROR((B349/B348-1)*100,"")</f>
        <v>-0.00624832070066361</v>
      </c>
      <c r="D349" s="18" t="n">
        <f aca="false">IFERROR((B349/B345-1)*100,"")</f>
        <v>1.44602482635769</v>
      </c>
      <c r="E349" s="19"/>
      <c r="F349" s="19"/>
      <c r="G349" s="19"/>
    </row>
    <row r="350" customFormat="false" ht="15" hidden="false" customHeight="false" outlineLevel="0" collapsed="false">
      <c r="A350" s="12" t="n">
        <v>42736</v>
      </c>
      <c r="B350" s="13" t="n">
        <v>127.471449772296</v>
      </c>
      <c r="C350" s="21" t="n">
        <f aca="false">IFERROR((B350/B349-1)*100,"")</f>
        <v>1.51371889310854</v>
      </c>
      <c r="D350" s="21" t="n">
        <f aca="false">IFERROR((B350/B346-1)*100,"")</f>
        <v>1.99805048496662</v>
      </c>
      <c r="E350" s="14"/>
      <c r="F350" s="14"/>
      <c r="G350" s="14"/>
    </row>
    <row r="351" customFormat="false" ht="15" hidden="false" customHeight="false" outlineLevel="0" collapsed="false">
      <c r="A351" s="16" t="n">
        <v>42826</v>
      </c>
      <c r="B351" s="17" t="n">
        <v>128.167333899762</v>
      </c>
      <c r="C351" s="18" t="n">
        <f aca="false">IFERROR((B351/B350-1)*100,"")</f>
        <v>0.545913715353263</v>
      </c>
      <c r="D351" s="18" t="n">
        <f aca="false">IFERROR((B351/B347-1)*100,"")</f>
        <v>2.43421979138974</v>
      </c>
      <c r="E351" s="19"/>
      <c r="F351" s="19"/>
      <c r="G351" s="19"/>
    </row>
    <row r="352" customFormat="false" ht="15" hidden="false" customHeight="false" outlineLevel="0" collapsed="false">
      <c r="A352" s="12" t="n">
        <v>42917</v>
      </c>
      <c r="B352" s="13" t="n">
        <v>128.101559916089</v>
      </c>
      <c r="C352" s="21" t="n">
        <f aca="false">IFERROR((B352/B351-1)*100,"")</f>
        <v>-0.0513188358315708</v>
      </c>
      <c r="D352" s="21" t="n">
        <f aca="false">IFERROR((B352/B348-1)*100,"")</f>
        <v>2.00914189480614</v>
      </c>
      <c r="E352" s="14"/>
      <c r="F352" s="14"/>
      <c r="G352" s="14"/>
    </row>
    <row r="353" customFormat="false" ht="15" hidden="false" customHeight="false" outlineLevel="0" collapsed="false">
      <c r="A353" s="16" t="n">
        <v>43009</v>
      </c>
      <c r="B353" s="17" t="n">
        <v>129.29337282916</v>
      </c>
      <c r="C353" s="18" t="n">
        <f aca="false">IFERROR((B353/B352-1)*100,"")</f>
        <v>0.930365651949816</v>
      </c>
      <c r="D353" s="18" t="n">
        <f aca="false">IFERROR((B353/B349-1)*100,"")</f>
        <v>2.96463347335185</v>
      </c>
      <c r="E353" s="19"/>
      <c r="F353" s="19"/>
      <c r="G353" s="19"/>
    </row>
    <row r="354" customFormat="false" ht="15" hidden="false" customHeight="false" outlineLevel="0" collapsed="false">
      <c r="A354" s="12" t="n">
        <v>43101</v>
      </c>
      <c r="B354" s="13" t="n">
        <v>129.528057903303</v>
      </c>
      <c r="C354" s="21" t="n">
        <f aca="false">IFERROR((B354/B353-1)*100,"")</f>
        <v>0.181513614354478</v>
      </c>
      <c r="D354" s="21" t="n">
        <f aca="false">IFERROR((B354/B350-1)*100,"")</f>
        <v>1.61338726019109</v>
      </c>
      <c r="E354" s="14"/>
      <c r="F354" s="14"/>
      <c r="G354" s="14"/>
    </row>
    <row r="355" customFormat="false" ht="15" hidden="false" customHeight="false" outlineLevel="0" collapsed="false">
      <c r="A355" s="16" t="n">
        <v>43191</v>
      </c>
      <c r="B355" s="17" t="n">
        <v>130.08803431918</v>
      </c>
      <c r="C355" s="18" t="n">
        <f aca="false">IFERROR((B355/B354-1)*100,"")</f>
        <v>0.432320552736876</v>
      </c>
      <c r="D355" s="18" t="n">
        <f aca="false">IFERROR((B355/B351-1)*100,"")</f>
        <v>1.49858810429773</v>
      </c>
      <c r="E355" s="19"/>
      <c r="F355" s="19"/>
      <c r="G355" s="19"/>
    </row>
    <row r="356" customFormat="false" ht="15" hidden="false" customHeight="false" outlineLevel="0" collapsed="false">
      <c r="A356" s="12" t="n">
        <v>43282</v>
      </c>
      <c r="B356" s="13" t="n">
        <v>130.182828116586</v>
      </c>
      <c r="C356" s="21" t="n">
        <f aca="false">IFERROR((B356/B355-1)*100,"")</f>
        <v>0.0728689597798926</v>
      </c>
      <c r="D356" s="21" t="n">
        <f aca="false">IFERROR((B356/B352-1)*100,"")</f>
        <v>1.62470168346187</v>
      </c>
      <c r="E356" s="14"/>
      <c r="F356" s="14"/>
      <c r="G356" s="14"/>
    </row>
    <row r="357" customFormat="false" ht="15" hidden="false" customHeight="false" outlineLevel="0" collapsed="false">
      <c r="A357" s="16" t="n">
        <v>43374</v>
      </c>
      <c r="B357" s="17" t="n">
        <v>131.836030672267</v>
      </c>
      <c r="C357" s="18" t="n">
        <f aca="false">IFERROR((B357/B356-1)*100,"")</f>
        <v>1.2699083124853</v>
      </c>
      <c r="D357" s="18" t="n">
        <f aca="false">IFERROR((B357/B353-1)*100,"")</f>
        <v>1.9665801792232</v>
      </c>
      <c r="E357" s="19"/>
      <c r="F357" s="19"/>
      <c r="G357" s="19"/>
    </row>
    <row r="358" customFormat="false" ht="15" hidden="false" customHeight="false" outlineLevel="0" collapsed="false">
      <c r="A358" s="12" t="n">
        <v>43466</v>
      </c>
      <c r="B358" s="13" t="n">
        <v>131.667116929056</v>
      </c>
      <c r="C358" s="21" t="n">
        <f aca="false">IFERROR((B358/B357-1)*100,"")</f>
        <v>-0.128124111708805</v>
      </c>
      <c r="D358" s="21" t="n">
        <f aca="false">IFERROR((B358/B354-1)*100,"")</f>
        <v>1.65142522815427</v>
      </c>
      <c r="E358" s="14"/>
      <c r="F358" s="14"/>
      <c r="G358" s="14"/>
    </row>
    <row r="359" customFormat="false" ht="15" hidden="false" customHeight="false" outlineLevel="0" collapsed="false">
      <c r="A359" s="16" t="n">
        <v>43556</v>
      </c>
      <c r="B359" s="17" t="n">
        <v>133.113559757486</v>
      </c>
      <c r="C359" s="18" t="n">
        <f aca="false">IFERROR((B359/B358-1)*100,"")</f>
        <v>1.098560416728</v>
      </c>
      <c r="D359" s="18" t="n">
        <f aca="false">IFERROR((B359/B355-1)*100,"")</f>
        <v>2.32575229085463</v>
      </c>
      <c r="E359" s="19"/>
      <c r="F359" s="19"/>
      <c r="G359" s="19"/>
    </row>
    <row r="360" customFormat="false" ht="15" hidden="false" customHeight="false" outlineLevel="0" collapsed="false">
      <c r="A360" s="12" t="n">
        <v>43647</v>
      </c>
      <c r="B360" s="13" t="n">
        <v>131.961675837973</v>
      </c>
      <c r="C360" s="21" t="n">
        <f aca="false">IFERROR((B360/B359-1)*100,"")</f>
        <v>-0.8653392799435</v>
      </c>
      <c r="D360" s="21" t="n">
        <f aca="false">IFERROR((B360/B356-1)*100,"")</f>
        <v>1.36642270499296</v>
      </c>
      <c r="E360" s="14"/>
      <c r="F360" s="14"/>
      <c r="G360" s="14"/>
    </row>
    <row r="361" customFormat="false" ht="15" hidden="false" customHeight="false" outlineLevel="0" collapsed="false">
      <c r="A361" s="16" t="n">
        <v>43739</v>
      </c>
      <c r="B361" s="17" t="n">
        <v>133.53006401316</v>
      </c>
      <c r="C361" s="18" t="n">
        <f aca="false">IFERROR((B361/B360-1)*100,"")</f>
        <v>1.18851792782027</v>
      </c>
      <c r="D361" s="18" t="n">
        <f aca="false">IFERROR((B361/B357-1)*100,"")</f>
        <v>1.28495475194002</v>
      </c>
      <c r="E361" s="19"/>
      <c r="F361" s="19"/>
      <c r="G361" s="19"/>
    </row>
    <row r="362" customFormat="false" ht="15" hidden="false" customHeight="false" outlineLevel="0" collapsed="false">
      <c r="A362" s="12" t="n">
        <v>43831</v>
      </c>
      <c r="B362" s="13" t="n">
        <v>134.693462925609</v>
      </c>
      <c r="C362" s="21" t="n">
        <f aca="false">IFERROR((B362/B361-1)*100,"")</f>
        <v>0.871263652157506</v>
      </c>
      <c r="D362" s="21" t="n">
        <f aca="false">IFERROR((B362/B358-1)*100,"")</f>
        <v>2.29848277013867</v>
      </c>
      <c r="E362" s="14"/>
      <c r="F362" s="14"/>
      <c r="G362" s="14"/>
    </row>
    <row r="363" customFormat="false" ht="15" hidden="false" customHeight="false" outlineLevel="0" collapsed="false">
      <c r="A363" s="16" t="n">
        <v>43922</v>
      </c>
      <c r="B363" s="17" t="n">
        <v>135.797687554627</v>
      </c>
      <c r="C363" s="18" t="n">
        <f aca="false">IFERROR((B363/B362-1)*100,"")</f>
        <v>0.819805657255901</v>
      </c>
      <c r="D363" s="18" t="n">
        <f aca="false">IFERROR((B363/B359-1)*100,"")</f>
        <v>2.01641951581133</v>
      </c>
      <c r="E363" s="19"/>
      <c r="F363" s="19"/>
      <c r="G363" s="19"/>
    </row>
    <row r="364" customFormat="false" ht="15" hidden="false" customHeight="false" outlineLevel="0" collapsed="false">
      <c r="A364" s="12" t="n">
        <v>44013</v>
      </c>
      <c r="B364" s="13" t="n">
        <v>136.659083235117</v>
      </c>
      <c r="C364" s="21" t="n">
        <f aca="false">IFERROR((B364/B363-1)*100,"")</f>
        <v>0.634322790027997</v>
      </c>
      <c r="D364" s="21" t="n">
        <f aca="false">IFERROR((B364/B360-1)*100,"")</f>
        <v>3.55967546434568</v>
      </c>
      <c r="E364" s="14"/>
      <c r="F364" s="14"/>
      <c r="G364" s="14"/>
    </row>
    <row r="365" customFormat="false" ht="15" hidden="false" customHeight="false" outlineLevel="0" collapsed="false">
      <c r="A365" s="16" t="n">
        <v>44105</v>
      </c>
      <c r="B365" s="17" t="n">
        <v>137.03273595474</v>
      </c>
      <c r="C365" s="18" t="n">
        <f aca="false">IFERROR((B365/B364-1)*100,"")</f>
        <v>0.273419600642444</v>
      </c>
      <c r="D365" s="18" t="n">
        <f aca="false">IFERROR((B365/B361-1)*100,"")</f>
        <v>2.62313357479946</v>
      </c>
      <c r="E365" s="19"/>
      <c r="F365" s="19"/>
      <c r="G365" s="19"/>
    </row>
    <row r="366" customFormat="false" ht="15" hidden="false" customHeight="false" outlineLevel="0" collapsed="false">
      <c r="A366" s="12" t="n">
        <v>44197</v>
      </c>
      <c r="B366" s="13" t="n">
        <v>137.268392146705</v>
      </c>
      <c r="C366" s="21" t="n">
        <f aca="false">IFERROR((B366/B365-1)*100,"")</f>
        <v>0.171970726792692</v>
      </c>
      <c r="D366" s="21" t="n">
        <f aca="false">IFERROR((B366/B362-1)*100,"")</f>
        <v>1.91169576100254</v>
      </c>
      <c r="E366" s="14"/>
      <c r="F366" s="14"/>
      <c r="G366" s="14"/>
    </row>
    <row r="367" customFormat="false" ht="15" hidden="false" customHeight="false" outlineLevel="0" collapsed="false">
      <c r="A367" s="16" t="n">
        <v>44287</v>
      </c>
      <c r="B367" s="17" t="n">
        <v>139.347190077351</v>
      </c>
      <c r="C367" s="18" t="n">
        <f aca="false">IFERROR((B367/B366-1)*100,"")</f>
        <v>1.51440393388196</v>
      </c>
      <c r="D367" s="18" t="n">
        <f aca="false">IFERROR((B367/B363-1)*100,"")</f>
        <v>2.61381661694111</v>
      </c>
      <c r="E367" s="19"/>
      <c r="F367" s="19"/>
      <c r="G367" s="19"/>
    </row>
    <row r="368" customFormat="false" ht="15" hidden="false" customHeight="false" outlineLevel="0" collapsed="false">
      <c r="A368" s="12" t="n">
        <v>44378</v>
      </c>
      <c r="B368" s="13" t="n">
        <v>139.63534280448</v>
      </c>
      <c r="C368" s="21" t="n">
        <f aca="false">IFERROR((B368/B367-1)*100,"")</f>
        <v>0.206787612271864</v>
      </c>
      <c r="D368" s="21" t="n">
        <f aca="false">IFERROR((B368/B364-1)*100,"")</f>
        <v>2.17787175130024</v>
      </c>
      <c r="E368" s="14"/>
      <c r="F368" s="14"/>
      <c r="G368" s="14"/>
    </row>
    <row r="369" customFormat="false" ht="15" hidden="false" customHeight="false" outlineLevel="0" collapsed="false">
      <c r="A369" s="16" t="n">
        <v>44470</v>
      </c>
      <c r="B369" s="17" t="n">
        <v>140.390322665447</v>
      </c>
      <c r="C369" s="18" t="n">
        <f aca="false">IFERROR((B369/B368-1)*100,"")</f>
        <v>0.540679634399033</v>
      </c>
      <c r="D369" s="18" t="n">
        <f aca="false">IFERROR((B369/B365-1)*100,"")</f>
        <v>2.45020774584583</v>
      </c>
      <c r="E369" s="19"/>
      <c r="F369" s="19"/>
      <c r="G369" s="19"/>
    </row>
    <row r="370" customFormat="false" ht="15" hidden="false" customHeight="false" outlineLevel="0" collapsed="false">
      <c r="A370" s="12" t="n">
        <v>44562</v>
      </c>
      <c r="B370" s="13" t="n">
        <v>141.151087939369</v>
      </c>
      <c r="C370" s="21" t="n">
        <f aca="false">IFERROR((B370/B369-1)*100,"")</f>
        <v>0.541892959199708</v>
      </c>
      <c r="D370" s="21" t="n">
        <f aca="false">IFERROR((B370/B366-1)*100,"")</f>
        <v>2.82854321518853</v>
      </c>
      <c r="E370" s="14"/>
      <c r="F370" s="14"/>
      <c r="G370" s="14"/>
    </row>
    <row r="371" customFormat="false" ht="15" hidden="false" customHeight="false" outlineLevel="0" collapsed="false">
      <c r="A371" s="16" t="n">
        <v>44652</v>
      </c>
      <c r="B371" s="17" t="n">
        <v>140.712080013212</v>
      </c>
      <c r="C371" s="18" t="n">
        <f aca="false">IFERROR((B371/B370-1)*100,"")</f>
        <v>-0.311019867127116</v>
      </c>
      <c r="D371" s="18" t="n">
        <f aca="false">IFERROR((B371/B367-1)*100,"")</f>
        <v>0.979488667911177</v>
      </c>
      <c r="E371" s="19"/>
      <c r="F371" s="19"/>
      <c r="G371" s="19"/>
    </row>
    <row r="372" customFormat="false" ht="15" hidden="false" customHeight="false" outlineLevel="0" collapsed="false">
      <c r="A372" s="12" t="n">
        <v>44743</v>
      </c>
      <c r="B372" s="13" t="n">
        <v>142.188579282904</v>
      </c>
      <c r="C372" s="21" t="n">
        <f aca="false">IFERROR((B372/B371-1)*100,"")</f>
        <v>1.04930526899594</v>
      </c>
      <c r="D372" s="21" t="n">
        <f aca="false">IFERROR((B372/B368-1)*100,"")</f>
        <v>1.82850303307442</v>
      </c>
      <c r="E372" s="14"/>
      <c r="F372" s="14"/>
      <c r="G372" s="14"/>
    </row>
    <row r="373" customFormat="false" ht="15" hidden="false" customHeight="false" outlineLevel="0" collapsed="false">
      <c r="A373" s="16" t="n">
        <v>44835</v>
      </c>
      <c r="B373" s="17" t="n">
        <v>142.015794504873</v>
      </c>
      <c r="C373" s="18" t="n">
        <f aca="false">IFERROR((B373/B372-1)*100,"")</f>
        <v>-0.121518042379209</v>
      </c>
      <c r="D373" s="18" t="n">
        <f aca="false">IFERROR((B373/B369-1)*100,"")</f>
        <v>1.15782328052543</v>
      </c>
      <c r="E373" s="19"/>
      <c r="F373" s="19"/>
      <c r="G373" s="19"/>
    </row>
    <row r="374" customFormat="false" ht="15" hidden="false" customHeight="false" outlineLevel="0" collapsed="false">
      <c r="A374" s="12" t="n">
        <v>44927</v>
      </c>
      <c r="B374" s="13" t="n">
        <v>142.900348669371</v>
      </c>
      <c r="C374" s="21" t="n">
        <f aca="false">IFERROR((B374/B373-1)*100,"")</f>
        <v>0.622856188343368</v>
      </c>
      <c r="D374" s="21" t="n">
        <f aca="false">IFERROR((B374/B370-1)*100,"")</f>
        <v>1.23928249901517</v>
      </c>
      <c r="E374" s="14"/>
      <c r="F374" s="14"/>
      <c r="G374" s="14"/>
    </row>
    <row r="375" customFormat="false" ht="15" hidden="false" customHeight="false" outlineLevel="0" collapsed="false">
      <c r="A375" s="16" t="n">
        <v>45017</v>
      </c>
      <c r="B375" s="17" t="n">
        <v>143.3825391028</v>
      </c>
      <c r="C375" s="18" t="n">
        <f aca="false">IFERROR((B375/B374-1)*100,"")</f>
        <v>0.337431250461062</v>
      </c>
      <c r="D375" s="18" t="n">
        <f aca="false">IFERROR((B375/B371-1)*100,"")</f>
        <v>1.89781793385271</v>
      </c>
      <c r="E375" s="19"/>
      <c r="F375" s="19"/>
      <c r="G375" s="19"/>
    </row>
    <row r="376" customFormat="false" ht="15" hidden="false" customHeight="false" outlineLevel="0" collapsed="false">
      <c r="A376" s="12" t="n">
        <v>45108</v>
      </c>
      <c r="B376" s="13" t="n">
        <v>144.652172129037</v>
      </c>
      <c r="C376" s="21" t="n">
        <f aca="false">IFERROR((B376/B375-1)*100,"")</f>
        <v>0.885486499389865</v>
      </c>
      <c r="D376" s="21" t="n">
        <f aca="false">IFERROR((B376/B372-1)*100,"")</f>
        <v>1.73262357536574</v>
      </c>
      <c r="E376" s="14"/>
      <c r="F376" s="14"/>
      <c r="G376" s="14"/>
    </row>
    <row r="377" customFormat="false" ht="15" hidden="false" customHeight="false" outlineLevel="0" collapsed="false">
      <c r="A377" s="16" t="n">
        <v>45200</v>
      </c>
      <c r="B377" s="17" t="n">
        <v>144.837164566934</v>
      </c>
      <c r="C377" s="18" t="n">
        <f aca="false">IFERROR((B377/B376-1)*100,"")</f>
        <v>0.127887770487178</v>
      </c>
      <c r="D377" s="18" t="n">
        <f aca="false">IFERROR((B377/B373-1)*100,"")</f>
        <v>1.98665935144622</v>
      </c>
      <c r="E377" s="19"/>
      <c r="F377" s="19"/>
      <c r="G377" s="19"/>
    </row>
    <row r="378" customFormat="false" ht="15" hidden="false" customHeight="false" outlineLevel="0" collapsed="false">
      <c r="A378" s="12" t="n">
        <v>45292</v>
      </c>
      <c r="B378" s="13" t="n">
        <v>145.930636300563</v>
      </c>
      <c r="C378" s="21" t="n">
        <f aca="false">IFERROR((B378/B377-1)*100,"")</f>
        <v>0.754966266357182</v>
      </c>
      <c r="D378" s="21" t="n">
        <f aca="false">IFERROR((B378/B374-1)*100,"")</f>
        <v>2.12055999821448</v>
      </c>
      <c r="E378" s="14"/>
      <c r="F378" s="14"/>
      <c r="G378" s="14"/>
    </row>
    <row r="379" customFormat="false" ht="15" hidden="false" customHeight="false" outlineLevel="0" collapsed="false">
      <c r="A379" s="16" t="n">
        <v>45383</v>
      </c>
      <c r="B379" s="17" t="n">
        <v>146.41873179906</v>
      </c>
      <c r="C379" s="18" t="n">
        <f aca="false">IFERROR((B379/B378-1)*100,"")</f>
        <v>0.334470890328453</v>
      </c>
      <c r="D379" s="18" t="n">
        <f aca="false">IFERROR((B379/B375-1)*100,"")</f>
        <v>2.11754702857023</v>
      </c>
      <c r="E379" s="19"/>
      <c r="F379" s="19"/>
      <c r="G379" s="19"/>
    </row>
    <row r="380" customFormat="false" ht="15" hidden="false" customHeight="false" outlineLevel="0" collapsed="false">
      <c r="A380" s="12" t="n">
        <v>45474</v>
      </c>
      <c r="B380" s="13" t="n">
        <v>147.192309245692</v>
      </c>
      <c r="C380" s="21" t="n">
        <f aca="false">IFERROR((B380/B379-1)*100,"")</f>
        <v>0.528332295415823</v>
      </c>
      <c r="D380" s="21" t="n">
        <f aca="false">IFERROR((B380/B376-1)*100,"")</f>
        <v>1.75603109118125</v>
      </c>
      <c r="E380" s="14"/>
      <c r="F380" s="14"/>
      <c r="G380" s="14"/>
    </row>
    <row r="381" customFormat="false" ht="15" hidden="false" customHeight="false" outlineLevel="0" collapsed="false">
      <c r="A381" s="16" t="n">
        <v>45566</v>
      </c>
      <c r="B381" s="17" t="n">
        <v>148.548259947582</v>
      </c>
      <c r="C381" s="18" t="n">
        <f aca="false">IFERROR((B381/B380-1)*100,"")</f>
        <v>0.92121029205845</v>
      </c>
      <c r="D381" s="18" t="n">
        <f aca="false">IFERROR((B381/B377-1)*100,"")</f>
        <v>2.56225354296589</v>
      </c>
      <c r="E381" s="19"/>
      <c r="F381" s="19"/>
      <c r="G381" s="19"/>
    </row>
    <row r="382" customFormat="false" ht="15" hidden="false" customHeight="false" outlineLevel="0" collapsed="false">
      <c r="A382" s="12" t="n">
        <v>45658</v>
      </c>
      <c r="B382" s="13" t="n">
        <v>148.860677455257</v>
      </c>
      <c r="C382" s="21" t="n">
        <f aca="false">IFERROR((B382/B381-1)*100,"")</f>
        <v>0.210313811676377</v>
      </c>
      <c r="D382" s="21" t="n">
        <f aca="false">IFERROR((B382/B378-1)*100,"")</f>
        <v>2.00783141153369</v>
      </c>
      <c r="E382" s="14"/>
      <c r="F382" s="14"/>
      <c r="G382" s="14"/>
    </row>
    <row r="383" customFormat="false" ht="15" hidden="false" customHeight="false" outlineLevel="0" collapsed="false">
      <c r="A383" s="16" t="n">
        <v>45748</v>
      </c>
      <c r="B383" s="17" t="n">
        <v>149.529399816696</v>
      </c>
      <c r="C383" s="18" t="n">
        <f aca="false">IFERROR((B383/B382-1)*100,"")</f>
        <v>0.449227003982022</v>
      </c>
      <c r="D383" s="18" t="n">
        <f aca="false">IFERROR((B383/B379-1)*100,"")</f>
        <v>2.12450140731024</v>
      </c>
      <c r="E383" s="19"/>
      <c r="F383" s="19"/>
      <c r="G383" s="19"/>
    </row>
    <row r="384" customFormat="false" ht="15" hidden="false" customHeight="false" outlineLevel="0" collapsed="false">
      <c r="A384" s="12" t="n">
        <v>45839</v>
      </c>
      <c r="B384" s="13" t="n">
        <v>149.751983835335</v>
      </c>
      <c r="C384" s="21" t="n">
        <f aca="false">IFERROR((B384/B383-1)*100,"")</f>
        <v>0.148856357954874</v>
      </c>
      <c r="D384" s="21" t="n">
        <f aca="false">IFERROR((B384/B380-1)*100,"")</f>
        <v>1.73900022546043</v>
      </c>
      <c r="E384" s="14"/>
      <c r="F384" s="14"/>
      <c r="G384" s="14"/>
    </row>
    <row r="385" customFormat="false" ht="15" hidden="false" customHeight="false" outlineLevel="0" collapsed="false">
      <c r="A385" s="16" t="n">
        <v>45931</v>
      </c>
      <c r="B385" s="17" t="n">
        <v>151.73255812137</v>
      </c>
      <c r="C385" s="18" t="n">
        <f aca="false">IFERROR((B385/B384-1)*100,"")</f>
        <v>1.32256964836792</v>
      </c>
      <c r="D385" s="18" t="n">
        <f aca="false">IFERROR((B385/B381-1)*100,"")</f>
        <v>2.14361189751522</v>
      </c>
      <c r="E385" s="19"/>
      <c r="F385" s="19"/>
      <c r="G385" s="19"/>
    </row>
    <row r="386" customFormat="false" ht="15" hidden="false" customHeight="false" outlineLevel="0" collapsed="false">
      <c r="A386" s="12" t="n">
        <v>46023</v>
      </c>
      <c r="B386" s="14"/>
      <c r="C386" s="21" t="n">
        <f aca="false">IFERROR((B386/B385-1)*100,"")</f>
        <v>-100</v>
      </c>
      <c r="D386" s="21" t="n">
        <f aca="false">IFERROR((B386/B382-1)*100,"")</f>
        <v>-100</v>
      </c>
      <c r="E386" s="13" t="n">
        <v>151.920144372426</v>
      </c>
      <c r="F386" s="13" t="n">
        <v>151.192854922066</v>
      </c>
      <c r="G386" s="22" t="n">
        <f aca="false">152.521845-149.863865</f>
        <v>2.65798000000001</v>
      </c>
    </row>
    <row r="387" customFormat="false" ht="15" hidden="false" customHeight="false" outlineLevel="0" collapsed="false">
      <c r="A387" s="16" t="n">
        <v>46113</v>
      </c>
      <c r="B387" s="19"/>
      <c r="C387" s="18" t="str">
        <f aca="false">IFERROR((B387/B386-1)*100,"")</f>
        <v/>
      </c>
      <c r="D387" s="18" t="n">
        <f aca="false">IFERROR((B387/B383-1)*100,"")</f>
        <v>-100</v>
      </c>
      <c r="E387" s="17" t="n">
        <v>152.677662481846</v>
      </c>
      <c r="F387" s="17" t="n">
        <v>151.664223523897</v>
      </c>
      <c r="G387" s="23" t="n">
        <f aca="false">153.5437-149.784747</f>
        <v>3.75895299999999</v>
      </c>
    </row>
    <row r="388" customFormat="false" ht="15" hidden="false" customHeight="false" outlineLevel="0" collapsed="false">
      <c r="A388" s="12" t="n">
        <v>46204</v>
      </c>
      <c r="B388" s="14"/>
      <c r="C388" s="21" t="str">
        <f aca="false">IFERROR((B388/B387-1)*100,"")</f>
        <v/>
      </c>
      <c r="D388" s="21" t="n">
        <f aca="false">IFERROR((B388/B384-1)*100,"")</f>
        <v>-100</v>
      </c>
      <c r="E388" s="13" t="n">
        <v>153.4389577973</v>
      </c>
      <c r="F388" s="13" t="n">
        <v>152.108056126939</v>
      </c>
      <c r="G388" s="22" t="n">
        <f aca="false">154.409935-149.806177</f>
        <v>4.603758</v>
      </c>
    </row>
    <row r="389" customFormat="false" ht="15" hidden="false" customHeight="false" outlineLevel="0" collapsed="false">
      <c r="A389" s="16" t="n">
        <v>46296</v>
      </c>
      <c r="B389" s="19"/>
      <c r="C389" s="18" t="str">
        <f aca="false">IFERROR((B389/B388-1)*100,"")</f>
        <v/>
      </c>
      <c r="D389" s="18" t="n">
        <f aca="false">IFERROR((B389/B385-1)*100,"")</f>
        <v>-100</v>
      </c>
      <c r="E389" s="17" t="n">
        <v>154.204049153039</v>
      </c>
      <c r="F389" s="17" t="n">
        <v>152.768440938176</v>
      </c>
      <c r="G389" s="23" t="n">
        <f aca="false">155.426422-150.11046</f>
        <v>5.31596200000001</v>
      </c>
    </row>
    <row r="390" customFormat="false" ht="15" hidden="false" customHeight="false" outlineLevel="0" collapsed="false">
      <c r="A390" s="12" t="n">
        <v>46388</v>
      </c>
      <c r="B390" s="14"/>
      <c r="C390" s="21" t="str">
        <f aca="false">IFERROR((B390/B389-1)*100,"")</f>
        <v/>
      </c>
      <c r="D390" s="21" t="str">
        <f aca="false">IFERROR((B390/B386-1)*100,"")</f>
        <v/>
      </c>
      <c r="E390" s="13" t="n">
        <v>154.972955477226</v>
      </c>
      <c r="F390" s="13" t="n">
        <v>152.851309039774</v>
      </c>
      <c r="G390" s="22" t="n">
        <f aca="false">155.823022-149.879596</f>
        <v>5.94342600000002</v>
      </c>
    </row>
    <row r="391" customFormat="false" ht="15" hidden="false" customHeight="false" outlineLevel="0" collapsed="false">
      <c r="A391" s="16" t="n">
        <v>46478</v>
      </c>
      <c r="B391" s="19"/>
      <c r="C391" s="18" t="str">
        <f aca="false">IFERROR((B391/B390-1)*100,"")</f>
        <v/>
      </c>
      <c r="D391" s="18" t="str">
        <f aca="false">IFERROR((B391/B387-1)*100,"")</f>
        <v/>
      </c>
      <c r="E391" s="17" t="n">
        <v>155.745695792404</v>
      </c>
      <c r="F391" s="17" t="n">
        <v>153.23975493572</v>
      </c>
      <c r="G391" s="23" t="n">
        <f aca="false">156.495103-149.984407</f>
        <v>6.510696</v>
      </c>
    </row>
    <row r="392" customFormat="false" ht="15" hidden="false" customHeight="false" outlineLevel="0" collapsed="false">
      <c r="A392" s="12" t="n">
        <v>46569</v>
      </c>
      <c r="B392" s="14"/>
      <c r="C392" s="21" t="str">
        <f aca="false">IFERROR((B392/B391-1)*100,"")</f>
        <v/>
      </c>
      <c r="D392" s="21" t="str">
        <f aca="false">IFERROR((B392/B388-1)*100,"")</f>
        <v/>
      </c>
      <c r="E392" s="13" t="n">
        <v>156.522289215971</v>
      </c>
      <c r="F392" s="13" t="n">
        <v>153.60481096817</v>
      </c>
      <c r="G392" s="22" t="n">
        <f aca="false">157.120989-150.088633</f>
        <v>7.03235600000002</v>
      </c>
    </row>
    <row r="393" customFormat="false" ht="15" hidden="false" customHeight="false" outlineLevel="0" collapsed="false">
      <c r="A393" s="16" t="n">
        <v>46661</v>
      </c>
      <c r="B393" s="19"/>
      <c r="C393" s="18" t="str">
        <f aca="false">IFERROR((B393/B392-1)*100,"")</f>
        <v/>
      </c>
      <c r="D393" s="18" t="str">
        <f aca="false">IFERROR((B393/B389-1)*100,"")</f>
        <v/>
      </c>
      <c r="E393" s="17" t="n">
        <v>157.302754960647</v>
      </c>
      <c r="F393" s="17" t="n">
        <v>154.190358037346</v>
      </c>
      <c r="G393" s="23" t="n">
        <f aca="false">157.94931-150.431406</f>
        <v>7.51790399999999</v>
      </c>
    </row>
  </sheetData>
  <mergeCells count="12">
    <mergeCell ref="A4:N4"/>
    <mergeCell ref="A6:G6"/>
    <mergeCell ref="I6:L6"/>
    <mergeCell ref="A102:N102"/>
    <mergeCell ref="A104:G104"/>
    <mergeCell ref="I104:L104"/>
    <mergeCell ref="A200:N200"/>
    <mergeCell ref="A202:G202"/>
    <mergeCell ref="I202:L202"/>
    <mergeCell ref="A298:N298"/>
    <mergeCell ref="A300:G300"/>
    <mergeCell ref="I300:L3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1"/>
    <col collapsed="false" customWidth="true" hidden="false" outlineLevel="0" max="7" min="5" style="0" width="13"/>
    <col collapsed="false" customWidth="true" hidden="false" outlineLevel="0" max="8" min="8" style="0" width="2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6"/>
  </cols>
  <sheetData>
    <row r="1" customFormat="false" ht="22.0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2" t="s">
        <v>154</v>
      </c>
    </row>
    <row r="4" customFormat="false" ht="21.75" hidden="false" customHeight="true" outlineLevel="0" collapsed="false">
      <c r="A4" s="9" t="s">
        <v>155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false" outlineLevel="0" collapsed="false">
      <c r="A5" s="5" t="s">
        <v>113</v>
      </c>
      <c r="B5" s="10" t="s">
        <v>114</v>
      </c>
      <c r="D5" s="5" t="s">
        <v>115</v>
      </c>
      <c r="E5" s="2" t="s">
        <v>144</v>
      </c>
      <c r="H5" s="5" t="s">
        <v>117</v>
      </c>
      <c r="I5" s="2" t="s">
        <v>118</v>
      </c>
    </row>
    <row r="6" customFormat="false" ht="18" hidden="false" customHeight="true" outlineLevel="0" collapsed="false">
      <c r="A6" s="11" t="s">
        <v>119</v>
      </c>
      <c r="B6" s="11"/>
      <c r="C6" s="11"/>
      <c r="D6" s="11"/>
      <c r="E6" s="11"/>
      <c r="F6" s="11"/>
      <c r="G6" s="11"/>
      <c r="I6" s="11" t="s">
        <v>120</v>
      </c>
      <c r="J6" s="11"/>
      <c r="K6" s="11"/>
      <c r="L6" s="11"/>
    </row>
    <row r="7" customFormat="false" ht="15" hidden="false" customHeight="false" outlineLevel="0" collapsed="false">
      <c r="A7" s="6" t="s">
        <v>121</v>
      </c>
      <c r="B7" s="6" t="s">
        <v>122</v>
      </c>
      <c r="C7" s="6" t="s">
        <v>123</v>
      </c>
      <c r="D7" s="6" t="s">
        <v>124</v>
      </c>
      <c r="E7" s="6" t="s">
        <v>125</v>
      </c>
      <c r="F7" s="6" t="s">
        <v>126</v>
      </c>
      <c r="G7" s="6" t="s">
        <v>127</v>
      </c>
      <c r="I7" s="6" t="s">
        <v>128</v>
      </c>
      <c r="J7" s="6" t="s">
        <v>122</v>
      </c>
      <c r="K7" s="6" t="s">
        <v>124</v>
      </c>
      <c r="L7" s="6" t="s">
        <v>129</v>
      </c>
    </row>
    <row r="8" customFormat="false" ht="15" hidden="false" customHeight="false" outlineLevel="0" collapsed="false">
      <c r="A8" s="12" t="n">
        <v>38353</v>
      </c>
      <c r="B8" s="13" t="n">
        <v>99.973314400757</v>
      </c>
      <c r="C8" s="14"/>
      <c r="D8" s="14"/>
      <c r="E8" s="14"/>
      <c r="F8" s="14"/>
      <c r="G8" s="14"/>
      <c r="I8" s="15" t="n">
        <v>2005</v>
      </c>
      <c r="J8" s="13" t="n">
        <v>100.880242575288</v>
      </c>
      <c r="K8" s="14"/>
      <c r="L8" s="14"/>
    </row>
    <row r="9" customFormat="false" ht="15" hidden="false" customHeight="false" outlineLevel="0" collapsed="false">
      <c r="A9" s="16" t="n">
        <v>38443</v>
      </c>
      <c r="B9" s="17" t="n">
        <v>100.653845847</v>
      </c>
      <c r="C9" s="18" t="n">
        <f aca="false">IFERROR((B9/B8-1)*100,"")</f>
        <v>0.680713098612151</v>
      </c>
      <c r="D9" s="19"/>
      <c r="E9" s="19"/>
      <c r="F9" s="19"/>
      <c r="G9" s="19"/>
      <c r="I9" s="20" t="n">
        <v>2006</v>
      </c>
      <c r="J9" s="17" t="n">
        <v>103.772420795862</v>
      </c>
      <c r="K9" s="18" t="n">
        <f aca="false">IFERROR((J9/J8-1)*100,"")</f>
        <v>2.8669421749419</v>
      </c>
      <c r="L9" s="19"/>
    </row>
    <row r="10" customFormat="false" ht="15" hidden="false" customHeight="false" outlineLevel="0" collapsed="false">
      <c r="A10" s="12" t="n">
        <v>38534</v>
      </c>
      <c r="B10" s="13" t="n">
        <v>101.670824681681</v>
      </c>
      <c r="C10" s="21" t="n">
        <f aca="false">IFERROR((B10/B9-1)*100,"")</f>
        <v>1.01037255568641</v>
      </c>
      <c r="D10" s="14"/>
      <c r="E10" s="14"/>
      <c r="F10" s="14"/>
      <c r="G10" s="14"/>
      <c r="I10" s="15" t="n">
        <v>2007</v>
      </c>
      <c r="J10" s="13" t="n">
        <v>106.050820037053</v>
      </c>
      <c r="K10" s="21" t="n">
        <f aca="false">IFERROR((J10/J9-1)*100,"")</f>
        <v>2.19557298915931</v>
      </c>
      <c r="L10" s="14"/>
    </row>
    <row r="11" customFormat="false" ht="15" hidden="false" customHeight="false" outlineLevel="0" collapsed="false">
      <c r="A11" s="16" t="n">
        <v>38626</v>
      </c>
      <c r="B11" s="17" t="n">
        <v>100.880242575288</v>
      </c>
      <c r="C11" s="18" t="n">
        <f aca="false">IFERROR((B11/B10-1)*100,"")</f>
        <v>-0.77758994172441</v>
      </c>
      <c r="D11" s="19"/>
      <c r="E11" s="19"/>
      <c r="F11" s="19"/>
      <c r="G11" s="19"/>
      <c r="I11" s="20" t="n">
        <v>2008</v>
      </c>
      <c r="J11" s="17" t="n">
        <v>108.451085884315</v>
      </c>
      <c r="K11" s="18" t="n">
        <f aca="false">IFERROR((J11/J10-1)*100,"")</f>
        <v>2.26331663104826</v>
      </c>
      <c r="L11" s="19"/>
    </row>
    <row r="12" customFormat="false" ht="15" hidden="false" customHeight="false" outlineLevel="0" collapsed="false">
      <c r="A12" s="12" t="n">
        <v>38718</v>
      </c>
      <c r="B12" s="13" t="n">
        <v>102.385413696559</v>
      </c>
      <c r="C12" s="21" t="n">
        <f aca="false">IFERROR((B12/B11-1)*100,"")</f>
        <v>1.49203757132956</v>
      </c>
      <c r="D12" s="21" t="n">
        <f aca="false">IFERROR((B12/B8-1)*100,"")</f>
        <v>2.41274315077034</v>
      </c>
      <c r="E12" s="14"/>
      <c r="F12" s="14"/>
      <c r="G12" s="14"/>
      <c r="I12" s="15" t="n">
        <v>2009</v>
      </c>
      <c r="J12" s="13" t="n">
        <v>110.110170012925</v>
      </c>
      <c r="K12" s="21" t="n">
        <f aca="false">IFERROR((J12/J11-1)*100,"")</f>
        <v>1.52979946220211</v>
      </c>
      <c r="L12" s="14"/>
    </row>
    <row r="13" customFormat="false" ht="15" hidden="false" customHeight="false" outlineLevel="0" collapsed="false">
      <c r="A13" s="16" t="n">
        <v>38808</v>
      </c>
      <c r="B13" s="17" t="n">
        <v>102.286186982062</v>
      </c>
      <c r="C13" s="18" t="n">
        <f aca="false">IFERROR((B13/B12-1)*100,"")</f>
        <v>-0.0969148933571473</v>
      </c>
      <c r="D13" s="18" t="n">
        <f aca="false">IFERROR((B13/B9-1)*100,"")</f>
        <v>1.6217374719528</v>
      </c>
      <c r="E13" s="19"/>
      <c r="F13" s="19"/>
      <c r="G13" s="19"/>
      <c r="I13" s="20" t="n">
        <v>2010</v>
      </c>
      <c r="J13" s="17" t="n">
        <v>112.483233922178</v>
      </c>
      <c r="K13" s="18" t="n">
        <f aca="false">IFERROR((J13/J12-1)*100,"")</f>
        <v>2.15517232329625</v>
      </c>
      <c r="L13" s="19"/>
    </row>
    <row r="14" customFormat="false" ht="15" hidden="false" customHeight="false" outlineLevel="0" collapsed="false">
      <c r="A14" s="12" t="n">
        <v>38899</v>
      </c>
      <c r="B14" s="13" t="n">
        <v>102.587729516207</v>
      </c>
      <c r="C14" s="21" t="n">
        <f aca="false">IFERROR((B14/B13-1)*100,"")</f>
        <v>0.294802791111759</v>
      </c>
      <c r="D14" s="21" t="n">
        <f aca="false">IFERROR((B14/B10-1)*100,"")</f>
        <v>0.90183672395403</v>
      </c>
      <c r="E14" s="14"/>
      <c r="F14" s="14"/>
      <c r="G14" s="14"/>
      <c r="I14" s="15" t="n">
        <v>2011</v>
      </c>
      <c r="J14" s="13" t="n">
        <v>114.217581201279</v>
      </c>
      <c r="K14" s="21" t="n">
        <f aca="false">IFERROR((J14/J13-1)*100,"")</f>
        <v>1.54187181380339</v>
      </c>
      <c r="L14" s="14"/>
    </row>
    <row r="15" customFormat="false" ht="15" hidden="false" customHeight="false" outlineLevel="0" collapsed="false">
      <c r="A15" s="16" t="n">
        <v>38991</v>
      </c>
      <c r="B15" s="17" t="n">
        <v>103.772420795862</v>
      </c>
      <c r="C15" s="18" t="n">
        <f aca="false">IFERROR((B15/B14-1)*100,"")</f>
        <v>1.15480797288543</v>
      </c>
      <c r="D15" s="18" t="n">
        <f aca="false">IFERROR((B15/B11-1)*100,"")</f>
        <v>2.8669421749419</v>
      </c>
      <c r="E15" s="19"/>
      <c r="F15" s="19"/>
      <c r="G15" s="19"/>
      <c r="I15" s="20" t="n">
        <v>2012</v>
      </c>
      <c r="J15" s="17" t="n">
        <v>115.72448566728</v>
      </c>
      <c r="K15" s="18" t="n">
        <f aca="false">IFERROR((J15/J14-1)*100,"")</f>
        <v>1.31932794422067</v>
      </c>
      <c r="L15" s="19"/>
    </row>
    <row r="16" customFormat="false" ht="15" hidden="false" customHeight="false" outlineLevel="0" collapsed="false">
      <c r="A16" s="12" t="n">
        <v>39083</v>
      </c>
      <c r="B16" s="13" t="n">
        <v>104.042534892646</v>
      </c>
      <c r="C16" s="21" t="n">
        <f aca="false">IFERROR((B16/B15-1)*100,"")</f>
        <v>0.260294685921658</v>
      </c>
      <c r="D16" s="21" t="n">
        <f aca="false">IFERROR((B16/B12-1)*100,"")</f>
        <v>1.61851296611257</v>
      </c>
      <c r="E16" s="14"/>
      <c r="F16" s="14"/>
      <c r="G16" s="14"/>
      <c r="I16" s="15" t="n">
        <v>2013</v>
      </c>
      <c r="J16" s="13" t="n">
        <v>119.231525473763</v>
      </c>
      <c r="K16" s="21" t="n">
        <f aca="false">IFERROR((J16/J15-1)*100,"")</f>
        <v>3.03050800896656</v>
      </c>
      <c r="L16" s="14"/>
    </row>
    <row r="17" customFormat="false" ht="15" hidden="false" customHeight="false" outlineLevel="0" collapsed="false">
      <c r="A17" s="16" t="n">
        <v>39173</v>
      </c>
      <c r="B17" s="17" t="n">
        <v>104.77738971827</v>
      </c>
      <c r="C17" s="18" t="n">
        <f aca="false">IFERROR((B17/B16-1)*100,"")</f>
        <v>0.70630230836104</v>
      </c>
      <c r="D17" s="18" t="n">
        <f aca="false">IFERROR((B17/B13-1)*100,"")</f>
        <v>2.43552214596197</v>
      </c>
      <c r="E17" s="19"/>
      <c r="F17" s="19"/>
      <c r="G17" s="19"/>
      <c r="I17" s="20" t="n">
        <v>2014</v>
      </c>
      <c r="J17" s="17" t="n">
        <v>121.343143750951</v>
      </c>
      <c r="K17" s="18" t="n">
        <f aca="false">IFERROR((J17/J16-1)*100,"")</f>
        <v>1.77102345105278</v>
      </c>
      <c r="L17" s="19"/>
    </row>
    <row r="18" customFormat="false" ht="15" hidden="false" customHeight="false" outlineLevel="0" collapsed="false">
      <c r="A18" s="12" t="n">
        <v>39264</v>
      </c>
      <c r="B18" s="13" t="n">
        <v>105.489873266691</v>
      </c>
      <c r="C18" s="21" t="n">
        <f aca="false">IFERROR((B18/B17-1)*100,"")</f>
        <v>0.679997421520961</v>
      </c>
      <c r="D18" s="21" t="n">
        <f aca="false">IFERROR((B18/B14-1)*100,"")</f>
        <v>2.82893847458239</v>
      </c>
      <c r="E18" s="14"/>
      <c r="F18" s="14"/>
      <c r="G18" s="14"/>
      <c r="I18" s="15" t="n">
        <v>2015</v>
      </c>
      <c r="J18" s="13" t="n">
        <v>124.580977694993</v>
      </c>
      <c r="K18" s="21" t="n">
        <f aca="false">IFERROR((J18/J17-1)*100,"")</f>
        <v>2.66832871141698</v>
      </c>
      <c r="L18" s="14"/>
    </row>
    <row r="19" customFormat="false" ht="15" hidden="false" customHeight="false" outlineLevel="0" collapsed="false">
      <c r="A19" s="16" t="n">
        <v>39356</v>
      </c>
      <c r="B19" s="17" t="n">
        <v>106.050820037053</v>
      </c>
      <c r="C19" s="18" t="n">
        <f aca="false">IFERROR((B19/B18-1)*100,"")</f>
        <v>0.531754141881802</v>
      </c>
      <c r="D19" s="18" t="n">
        <f aca="false">IFERROR((B19/B15-1)*100,"")</f>
        <v>2.19557298915931</v>
      </c>
      <c r="E19" s="19"/>
      <c r="F19" s="19"/>
      <c r="G19" s="19"/>
      <c r="I19" s="20" t="n">
        <v>2016</v>
      </c>
      <c r="J19" s="17" t="n">
        <v>126.15287934481</v>
      </c>
      <c r="K19" s="18" t="n">
        <f aca="false">IFERROR((J19/J18-1)*100,"")</f>
        <v>1.26175093413117</v>
      </c>
      <c r="L19" s="19"/>
    </row>
    <row r="20" customFormat="false" ht="15" hidden="false" customHeight="false" outlineLevel="0" collapsed="false">
      <c r="A20" s="12" t="n">
        <v>39448</v>
      </c>
      <c r="B20" s="13" t="n">
        <v>106.143661174895</v>
      </c>
      <c r="C20" s="21" t="n">
        <f aca="false">IFERROR((B20/B19-1)*100,"")</f>
        <v>0.0875440074953326</v>
      </c>
      <c r="D20" s="21" t="n">
        <f aca="false">IFERROR((B20/B16-1)*100,"")</f>
        <v>2.01948778393077</v>
      </c>
      <c r="E20" s="14"/>
      <c r="F20" s="14"/>
      <c r="G20" s="14"/>
      <c r="I20" s="15" t="n">
        <v>2017</v>
      </c>
      <c r="J20" s="13" t="n">
        <v>129.122428294008</v>
      </c>
      <c r="K20" s="21" t="n">
        <f aca="false">IFERROR((J20/J19-1)*100,"")</f>
        <v>2.35392879228806</v>
      </c>
      <c r="L20" s="14"/>
    </row>
    <row r="21" customFormat="false" ht="15" hidden="false" customHeight="false" outlineLevel="0" collapsed="false">
      <c r="A21" s="16" t="n">
        <v>39539</v>
      </c>
      <c r="B21" s="17" t="n">
        <v>106.178322442757</v>
      </c>
      <c r="C21" s="18" t="n">
        <f aca="false">IFERROR((B21/B20-1)*100,"")</f>
        <v>0.0326550521040359</v>
      </c>
      <c r="D21" s="18" t="n">
        <f aca="false">IFERROR((B21/B17-1)*100,"")</f>
        <v>1.33705633271977</v>
      </c>
      <c r="E21" s="19"/>
      <c r="F21" s="19"/>
      <c r="G21" s="19"/>
      <c r="I21" s="20" t="n">
        <v>2018</v>
      </c>
      <c r="J21" s="17" t="n">
        <v>131.138097798889</v>
      </c>
      <c r="K21" s="18" t="n">
        <f aca="false">IFERROR((J21/J20-1)*100,"")</f>
        <v>1.56105297237115</v>
      </c>
      <c r="L21" s="19"/>
    </row>
    <row r="22" customFormat="false" ht="15" hidden="false" customHeight="false" outlineLevel="0" collapsed="false">
      <c r="A22" s="12" t="n">
        <v>39630</v>
      </c>
      <c r="B22" s="13" t="n">
        <v>106.143142801533</v>
      </c>
      <c r="C22" s="21" t="n">
        <f aca="false">IFERROR((B22/B21-1)*100,"")</f>
        <v>-0.0331326022248613</v>
      </c>
      <c r="D22" s="21" t="n">
        <f aca="false">IFERROR((B22/B18-1)*100,"")</f>
        <v>0.619272271936344</v>
      </c>
      <c r="E22" s="14"/>
      <c r="F22" s="14"/>
      <c r="G22" s="14"/>
      <c r="I22" s="15" t="n">
        <v>2019</v>
      </c>
      <c r="J22" s="13" t="n">
        <v>134.629906779845</v>
      </c>
      <c r="K22" s="21" t="n">
        <f aca="false">IFERROR((J22/J21-1)*100,"")</f>
        <v>2.66269607350145</v>
      </c>
      <c r="L22" s="14"/>
    </row>
    <row r="23" customFormat="false" ht="15" hidden="false" customHeight="false" outlineLevel="0" collapsed="false">
      <c r="A23" s="16" t="n">
        <v>39722</v>
      </c>
      <c r="B23" s="17" t="n">
        <v>108.451085884315</v>
      </c>
      <c r="C23" s="18" t="n">
        <f aca="false">IFERROR((B23/B22-1)*100,"")</f>
        <v>2.1743685195917</v>
      </c>
      <c r="D23" s="18" t="n">
        <f aca="false">IFERROR((B23/B19-1)*100,"")</f>
        <v>2.26331663104826</v>
      </c>
      <c r="E23" s="19"/>
      <c r="F23" s="19"/>
      <c r="G23" s="19"/>
      <c r="I23" s="20" t="n">
        <v>2020</v>
      </c>
      <c r="J23" s="17" t="n">
        <v>136.848293498262</v>
      </c>
      <c r="K23" s="18" t="n">
        <f aca="false">IFERROR((J23/J22-1)*100,"")</f>
        <v>1.64776666008188</v>
      </c>
      <c r="L23" s="19"/>
    </row>
    <row r="24" customFormat="false" ht="15" hidden="false" customHeight="false" outlineLevel="0" collapsed="false">
      <c r="A24" s="12" t="n">
        <v>39814</v>
      </c>
      <c r="B24" s="13" t="n">
        <v>107.708115710673</v>
      </c>
      <c r="C24" s="21" t="n">
        <f aca="false">IFERROR((B24/B23-1)*100,"")</f>
        <v>-0.685073982970008</v>
      </c>
      <c r="D24" s="21" t="n">
        <f aca="false">IFERROR((B24/B20-1)*100,"")</f>
        <v>1.47390293349681</v>
      </c>
      <c r="E24" s="14"/>
      <c r="F24" s="14"/>
      <c r="G24" s="14"/>
      <c r="I24" s="15" t="n">
        <v>2021</v>
      </c>
      <c r="J24" s="13" t="n">
        <v>138.674904778968</v>
      </c>
      <c r="K24" s="21" t="n">
        <f aca="false">IFERROR((J24/J23-1)*100,"")</f>
        <v>1.33477095987982</v>
      </c>
      <c r="L24" s="14"/>
    </row>
    <row r="25" customFormat="false" ht="15" hidden="false" customHeight="false" outlineLevel="0" collapsed="false">
      <c r="A25" s="16" t="n">
        <v>39904</v>
      </c>
      <c r="B25" s="17" t="n">
        <v>108.732097379741</v>
      </c>
      <c r="C25" s="18" t="n">
        <f aca="false">IFERROR((B25/B24-1)*100,"")</f>
        <v>0.950700569136709</v>
      </c>
      <c r="D25" s="18" t="n">
        <f aca="false">IFERROR((B25/B21-1)*100,"")</f>
        <v>2.40517544281273</v>
      </c>
      <c r="E25" s="19"/>
      <c r="F25" s="19"/>
      <c r="G25" s="19"/>
      <c r="I25" s="20" t="n">
        <v>2022</v>
      </c>
      <c r="J25" s="17" t="n">
        <v>142.07842426987</v>
      </c>
      <c r="K25" s="18" t="n">
        <f aca="false">IFERROR((J25/J24-1)*100,"")</f>
        <v>2.45431536176408</v>
      </c>
      <c r="L25" s="19"/>
    </row>
    <row r="26" customFormat="false" ht="15" hidden="false" customHeight="false" outlineLevel="0" collapsed="false">
      <c r="A26" s="12" t="n">
        <v>39995</v>
      </c>
      <c r="B26" s="13" t="n">
        <v>109.878853406631</v>
      </c>
      <c r="C26" s="21" t="n">
        <f aca="false">IFERROR((B26/B25-1)*100,"")</f>
        <v>1.05466192092811</v>
      </c>
      <c r="D26" s="21" t="n">
        <f aca="false">IFERROR((B26/B22-1)*100,"")</f>
        <v>3.51950253826887</v>
      </c>
      <c r="E26" s="14"/>
      <c r="F26" s="14"/>
      <c r="G26" s="14"/>
      <c r="I26" s="15" t="n">
        <v>2023</v>
      </c>
      <c r="J26" s="13" t="n">
        <v>145.451530671778</v>
      </c>
      <c r="K26" s="21" t="n">
        <f aca="false">IFERROR((J26/J25-1)*100,"")</f>
        <v>2.37411585836607</v>
      </c>
      <c r="L26" s="14"/>
    </row>
    <row r="27" customFormat="false" ht="15" hidden="false" customHeight="false" outlineLevel="0" collapsed="false">
      <c r="A27" s="16" t="n">
        <v>40087</v>
      </c>
      <c r="B27" s="17" t="n">
        <v>110.110170012925</v>
      </c>
      <c r="C27" s="18" t="n">
        <f aca="false">IFERROR((B27/B26-1)*100,"")</f>
        <v>0.210519676100063</v>
      </c>
      <c r="D27" s="18" t="n">
        <f aca="false">IFERROR((B27/B23-1)*100,"")</f>
        <v>1.52979946220211</v>
      </c>
      <c r="E27" s="19"/>
      <c r="F27" s="19"/>
      <c r="G27" s="19"/>
      <c r="I27" s="20" t="n">
        <v>2024</v>
      </c>
      <c r="J27" s="17" t="n">
        <v>147.769265985604</v>
      </c>
      <c r="K27" s="18" t="n">
        <f aca="false">IFERROR((J27/J26-1)*100,"")</f>
        <v>1.5934760556469</v>
      </c>
      <c r="L27" s="19"/>
    </row>
    <row r="28" customFormat="false" ht="15" hidden="false" customHeight="false" outlineLevel="0" collapsed="false">
      <c r="A28" s="12" t="n">
        <v>40179</v>
      </c>
      <c r="B28" s="13" t="n">
        <v>110.13778356471</v>
      </c>
      <c r="C28" s="21" t="n">
        <f aca="false">IFERROR((B28/B27-1)*100,"")</f>
        <v>0.0250781120228583</v>
      </c>
      <c r="D28" s="21" t="n">
        <f aca="false">IFERROR((B28/B24-1)*100,"")</f>
        <v>2.2557890257439</v>
      </c>
      <c r="E28" s="14"/>
      <c r="F28" s="14"/>
      <c r="G28" s="14"/>
      <c r="I28" s="15" t="n">
        <v>2025</v>
      </c>
      <c r="J28" s="13" t="n">
        <v>151.962040462415</v>
      </c>
      <c r="K28" s="21" t="n">
        <f aca="false">IFERROR((J28/J27-1)*100,"")</f>
        <v>2.83737924042986</v>
      </c>
      <c r="L28" s="14"/>
    </row>
    <row r="29" customFormat="false" ht="15" hidden="false" customHeight="false" outlineLevel="0" collapsed="false">
      <c r="A29" s="16" t="n">
        <v>40269</v>
      </c>
      <c r="B29" s="17" t="n">
        <v>110.991526767721</v>
      </c>
      <c r="C29" s="18" t="n">
        <f aca="false">IFERROR((B29/B28-1)*100,"")</f>
        <v>0.77515923725604</v>
      </c>
      <c r="D29" s="18" t="n">
        <f aca="false">IFERROR((B29/B25-1)*100,"")</f>
        <v>2.07797829935081</v>
      </c>
      <c r="E29" s="19"/>
      <c r="F29" s="19"/>
      <c r="G29" s="19"/>
      <c r="I29" s="20" t="n">
        <v>2026</v>
      </c>
      <c r="J29" s="19"/>
      <c r="K29" s="18" t="n">
        <f aca="false">IFERROR((J29/J28-1)*100,"")</f>
        <v>-100</v>
      </c>
      <c r="L29" s="17" t="n">
        <v>152.967539087273</v>
      </c>
    </row>
    <row r="30" customFormat="false" ht="15" hidden="false" customHeight="false" outlineLevel="0" collapsed="false">
      <c r="A30" s="12" t="n">
        <v>40360</v>
      </c>
      <c r="B30" s="13" t="n">
        <v>111.423759464763</v>
      </c>
      <c r="C30" s="21" t="n">
        <f aca="false">IFERROR((B30/B29-1)*100,"")</f>
        <v>0.389428553358995</v>
      </c>
      <c r="D30" s="21" t="n">
        <f aca="false">IFERROR((B30/B26-1)*100,"")</f>
        <v>1.40600853597801</v>
      </c>
      <c r="E30" s="14"/>
      <c r="F30" s="14"/>
      <c r="G30" s="14"/>
      <c r="I30" s="15" t="n">
        <v>2027</v>
      </c>
      <c r="J30" s="14"/>
      <c r="K30" s="21" t="str">
        <f aca="false">IFERROR((J30/J29-1)*100,"")</f>
        <v/>
      </c>
      <c r="L30" s="13" t="n">
        <v>154.460117254107</v>
      </c>
    </row>
    <row r="31" customFormat="false" ht="15" hidden="false" customHeight="false" outlineLevel="0" collapsed="false">
      <c r="A31" s="16" t="n">
        <v>40452</v>
      </c>
      <c r="B31" s="17" t="n">
        <v>112.483233922178</v>
      </c>
      <c r="C31" s="18" t="n">
        <f aca="false">IFERROR((B31/B30-1)*100,"")</f>
        <v>0.950851472347014</v>
      </c>
      <c r="D31" s="18" t="n">
        <f aca="false">IFERROR((B31/B27-1)*100,"")</f>
        <v>2.15517232329625</v>
      </c>
      <c r="E31" s="19"/>
      <c r="F31" s="19"/>
      <c r="G31" s="19"/>
    </row>
    <row r="32" customFormat="false" ht="15" hidden="false" customHeight="false" outlineLevel="0" collapsed="false">
      <c r="A32" s="12" t="n">
        <v>40544</v>
      </c>
      <c r="B32" s="13" t="n">
        <v>112.749183536203</v>
      </c>
      <c r="C32" s="21" t="n">
        <f aca="false">IFERROR((B32/B31-1)*100,"")</f>
        <v>0.236434893229243</v>
      </c>
      <c r="D32" s="21" t="n">
        <f aca="false">IFERROR((B32/B28-1)*100,"")</f>
        <v>2.37103007430599</v>
      </c>
      <c r="E32" s="14"/>
      <c r="F32" s="14"/>
      <c r="G32" s="14"/>
    </row>
    <row r="33" customFormat="false" ht="15" hidden="false" customHeight="false" outlineLevel="0" collapsed="false">
      <c r="A33" s="16" t="n">
        <v>40634</v>
      </c>
      <c r="B33" s="17" t="n">
        <v>113.83742401851</v>
      </c>
      <c r="C33" s="18" t="n">
        <f aca="false">IFERROR((B33/B32-1)*100,"")</f>
        <v>0.965187017924407</v>
      </c>
      <c r="D33" s="18" t="n">
        <f aca="false">IFERROR((B33/B29-1)*100,"")</f>
        <v>2.56406712626398</v>
      </c>
      <c r="E33" s="19"/>
      <c r="F33" s="19"/>
      <c r="G33" s="19"/>
    </row>
    <row r="34" customFormat="false" ht="15" hidden="false" customHeight="false" outlineLevel="0" collapsed="false">
      <c r="A34" s="12" t="n">
        <v>40725</v>
      </c>
      <c r="B34" s="13" t="n">
        <v>113.105653732198</v>
      </c>
      <c r="C34" s="21" t="n">
        <f aca="false">IFERROR((B34/B33-1)*100,"")</f>
        <v>-0.642820489501517</v>
      </c>
      <c r="D34" s="21" t="n">
        <f aca="false">IFERROR((B34/B30-1)*100,"")</f>
        <v>1.50945747613838</v>
      </c>
      <c r="E34" s="14"/>
      <c r="F34" s="14"/>
      <c r="G34" s="14"/>
    </row>
    <row r="35" customFormat="false" ht="15" hidden="false" customHeight="false" outlineLevel="0" collapsed="false">
      <c r="A35" s="16" t="n">
        <v>40817</v>
      </c>
      <c r="B35" s="17" t="n">
        <v>114.217581201279</v>
      </c>
      <c r="C35" s="18" t="n">
        <f aca="false">IFERROR((B35/B34-1)*100,"")</f>
        <v>0.983087434084529</v>
      </c>
      <c r="D35" s="18" t="n">
        <f aca="false">IFERROR((B35/B31-1)*100,"")</f>
        <v>1.54187181380339</v>
      </c>
      <c r="E35" s="19"/>
      <c r="F35" s="19"/>
      <c r="G35" s="19"/>
    </row>
    <row r="36" customFormat="false" ht="15" hidden="false" customHeight="false" outlineLevel="0" collapsed="false">
      <c r="A36" s="12" t="n">
        <v>40909</v>
      </c>
      <c r="B36" s="13" t="n">
        <v>115.466053070449</v>
      </c>
      <c r="C36" s="21" t="n">
        <f aca="false">IFERROR((B36/B35-1)*100,"")</f>
        <v>1.09306453178166</v>
      </c>
      <c r="D36" s="21" t="n">
        <f aca="false">IFERROR((B36/B32-1)*100,"")</f>
        <v>2.40965783435019</v>
      </c>
      <c r="E36" s="14"/>
      <c r="F36" s="14"/>
      <c r="G36" s="14"/>
    </row>
    <row r="37" customFormat="false" ht="15" hidden="false" customHeight="false" outlineLevel="0" collapsed="false">
      <c r="A37" s="16" t="n">
        <v>41000</v>
      </c>
      <c r="B37" s="17" t="n">
        <v>115.472369154946</v>
      </c>
      <c r="C37" s="18" t="n">
        <f aca="false">IFERROR((B37/B36-1)*100,"")</f>
        <v>0.00547007915205899</v>
      </c>
      <c r="D37" s="18" t="n">
        <f aca="false">IFERROR((B37/B33-1)*100,"")</f>
        <v>1.43621058762684</v>
      </c>
      <c r="E37" s="19"/>
      <c r="F37" s="19"/>
      <c r="G37" s="19"/>
    </row>
    <row r="38" customFormat="false" ht="15" hidden="false" customHeight="false" outlineLevel="0" collapsed="false">
      <c r="A38" s="12" t="n">
        <v>41091</v>
      </c>
      <c r="B38" s="13" t="n">
        <v>116.931543399836</v>
      </c>
      <c r="C38" s="21" t="n">
        <f aca="false">IFERROR((B38/B37-1)*100,"")</f>
        <v>1.26365662674863</v>
      </c>
      <c r="D38" s="21" t="n">
        <f aca="false">IFERROR((B38/B34-1)*100,"")</f>
        <v>3.382580393988</v>
      </c>
      <c r="E38" s="14"/>
      <c r="F38" s="14"/>
      <c r="G38" s="14"/>
    </row>
    <row r="39" customFormat="false" ht="15" hidden="false" customHeight="false" outlineLevel="0" collapsed="false">
      <c r="A39" s="16" t="n">
        <v>41183</v>
      </c>
      <c r="B39" s="17" t="n">
        <v>115.72448566728</v>
      </c>
      <c r="C39" s="18" t="n">
        <f aca="false">IFERROR((B39/B38-1)*100,"")</f>
        <v>-1.03227726023258</v>
      </c>
      <c r="D39" s="18" t="n">
        <f aca="false">IFERROR((B39/B35-1)*100,"")</f>
        <v>1.31932794422067</v>
      </c>
      <c r="E39" s="19"/>
      <c r="F39" s="19"/>
      <c r="G39" s="19"/>
    </row>
    <row r="40" customFormat="false" ht="15" hidden="false" customHeight="false" outlineLevel="0" collapsed="false">
      <c r="A40" s="12" t="n">
        <v>41275</v>
      </c>
      <c r="B40" s="13" t="n">
        <v>116.8473467553</v>
      </c>
      <c r="C40" s="21" t="n">
        <f aca="false">IFERROR((B40/B39-1)*100,"")</f>
        <v>0.970288251051832</v>
      </c>
      <c r="D40" s="21" t="n">
        <f aca="false">IFERROR((B40/B36-1)*100,"")</f>
        <v>1.19627686936552</v>
      </c>
      <c r="E40" s="14"/>
      <c r="F40" s="14"/>
      <c r="G40" s="14"/>
    </row>
    <row r="41" customFormat="false" ht="15" hidden="false" customHeight="false" outlineLevel="0" collapsed="false">
      <c r="A41" s="16" t="n">
        <v>41365</v>
      </c>
      <c r="B41" s="17" t="n">
        <v>117.458280413365</v>
      </c>
      <c r="C41" s="18" t="n">
        <f aca="false">IFERROR((B41/B40-1)*100,"")</f>
        <v>0.522847694047091</v>
      </c>
      <c r="D41" s="18" t="n">
        <f aca="false">IFERROR((B41/B37-1)*100,"")</f>
        <v>1.7198151150384</v>
      </c>
      <c r="E41" s="19"/>
      <c r="F41" s="19"/>
      <c r="G41" s="19"/>
    </row>
    <row r="42" customFormat="false" ht="15" hidden="false" customHeight="false" outlineLevel="0" collapsed="false">
      <c r="A42" s="12" t="n">
        <v>41456</v>
      </c>
      <c r="B42" s="13" t="n">
        <v>118.21531621404</v>
      </c>
      <c r="C42" s="21" t="n">
        <f aca="false">IFERROR((B42/B41-1)*100,"")</f>
        <v>0.644514629373427</v>
      </c>
      <c r="D42" s="21" t="n">
        <f aca="false">IFERROR((B42/B38-1)*100,"")</f>
        <v>1.0978840925878</v>
      </c>
      <c r="E42" s="14"/>
      <c r="F42" s="14"/>
      <c r="G42" s="14"/>
    </row>
    <row r="43" customFormat="false" ht="15" hidden="false" customHeight="false" outlineLevel="0" collapsed="false">
      <c r="A43" s="16" t="n">
        <v>41548</v>
      </c>
      <c r="B43" s="17" t="n">
        <v>119.231525473763</v>
      </c>
      <c r="C43" s="18" t="n">
        <f aca="false">IFERROR((B43/B42-1)*100,"")</f>
        <v>0.859625717096302</v>
      </c>
      <c r="D43" s="18" t="n">
        <f aca="false">IFERROR((B43/B39-1)*100,"")</f>
        <v>3.03050800896656</v>
      </c>
      <c r="E43" s="19"/>
      <c r="F43" s="19"/>
      <c r="G43" s="19"/>
    </row>
    <row r="44" customFormat="false" ht="15" hidden="false" customHeight="false" outlineLevel="0" collapsed="false">
      <c r="A44" s="12" t="n">
        <v>41640</v>
      </c>
      <c r="B44" s="13" t="n">
        <v>119.114684182007</v>
      </c>
      <c r="C44" s="21" t="n">
        <f aca="false">IFERROR((B44/B43-1)*100,"")</f>
        <v>-0.0979953005647127</v>
      </c>
      <c r="D44" s="21" t="n">
        <f aca="false">IFERROR((B44/B40-1)*100,"")</f>
        <v>1.9404269670366</v>
      </c>
      <c r="E44" s="14"/>
      <c r="F44" s="14"/>
      <c r="G44" s="14"/>
    </row>
    <row r="45" customFormat="false" ht="15" hidden="false" customHeight="false" outlineLevel="0" collapsed="false">
      <c r="A45" s="16" t="n">
        <v>41730</v>
      </c>
      <c r="B45" s="17" t="n">
        <v>120.091492585518</v>
      </c>
      <c r="C45" s="18" t="n">
        <f aca="false">IFERROR((B45/B44-1)*100,"")</f>
        <v>0.820057082147097</v>
      </c>
      <c r="D45" s="18" t="n">
        <f aca="false">IFERROR((B45/B41-1)*100,"")</f>
        <v>2.24182761988858</v>
      </c>
      <c r="E45" s="19"/>
      <c r="F45" s="19"/>
      <c r="G45" s="19"/>
    </row>
    <row r="46" customFormat="false" ht="15" hidden="false" customHeight="false" outlineLevel="0" collapsed="false">
      <c r="A46" s="12" t="n">
        <v>41821</v>
      </c>
      <c r="B46" s="13" t="n">
        <v>121.017052361458</v>
      </c>
      <c r="C46" s="21" t="n">
        <f aca="false">IFERROR((B46/B45-1)*100,"")</f>
        <v>0.770712192856204</v>
      </c>
      <c r="D46" s="21" t="n">
        <f aca="false">IFERROR((B46/B42-1)*100,"")</f>
        <v>2.37002804471225</v>
      </c>
      <c r="E46" s="14"/>
      <c r="F46" s="14"/>
      <c r="G46" s="14"/>
    </row>
    <row r="47" customFormat="false" ht="15" hidden="false" customHeight="false" outlineLevel="0" collapsed="false">
      <c r="A47" s="16" t="n">
        <v>41913</v>
      </c>
      <c r="B47" s="17" t="n">
        <v>121.343143750951</v>
      </c>
      <c r="C47" s="18" t="n">
        <f aca="false">IFERROR((B47/B46-1)*100,"")</f>
        <v>0.269459041622433</v>
      </c>
      <c r="D47" s="18" t="n">
        <f aca="false">IFERROR((B47/B43-1)*100,"")</f>
        <v>1.77102345105278</v>
      </c>
      <c r="E47" s="19"/>
      <c r="F47" s="19"/>
      <c r="G47" s="19"/>
    </row>
    <row r="48" customFormat="false" ht="15" hidden="false" customHeight="false" outlineLevel="0" collapsed="false">
      <c r="A48" s="12" t="n">
        <v>42005</v>
      </c>
      <c r="B48" s="13" t="n">
        <v>121.807999795322</v>
      </c>
      <c r="C48" s="21" t="n">
        <f aca="false">IFERROR((B48/B47-1)*100,"")</f>
        <v>0.38309213854355</v>
      </c>
      <c r="D48" s="21" t="n">
        <f aca="false">IFERROR((B48/B44-1)*100,"")</f>
        <v>2.26111132461244</v>
      </c>
      <c r="E48" s="14"/>
      <c r="F48" s="14"/>
      <c r="G48" s="14"/>
    </row>
    <row r="49" customFormat="false" ht="15" hidden="false" customHeight="false" outlineLevel="0" collapsed="false">
      <c r="A49" s="16" t="n">
        <v>42095</v>
      </c>
      <c r="B49" s="17" t="n">
        <v>123.439593136619</v>
      </c>
      <c r="C49" s="18" t="n">
        <f aca="false">IFERROR((B49/B48-1)*100,"")</f>
        <v>1.33947962698511</v>
      </c>
      <c r="D49" s="18" t="n">
        <f aca="false">IFERROR((B49/B45-1)*100,"")</f>
        <v>2.7879581467573</v>
      </c>
      <c r="E49" s="19"/>
      <c r="F49" s="19"/>
      <c r="G49" s="19"/>
    </row>
    <row r="50" customFormat="false" ht="15" hidden="false" customHeight="false" outlineLevel="0" collapsed="false">
      <c r="A50" s="12" t="n">
        <v>42186</v>
      </c>
      <c r="B50" s="13" t="n">
        <v>122.392527616532</v>
      </c>
      <c r="C50" s="21" t="n">
        <f aca="false">IFERROR((B50/B49-1)*100,"")</f>
        <v>-0.848241227535262</v>
      </c>
      <c r="D50" s="21" t="n">
        <f aca="false">IFERROR((B50/B46-1)*100,"")</f>
        <v>1.13659623022868</v>
      </c>
      <c r="E50" s="14"/>
      <c r="F50" s="14"/>
      <c r="G50" s="14"/>
    </row>
    <row r="51" customFormat="false" ht="15" hidden="false" customHeight="false" outlineLevel="0" collapsed="false">
      <c r="A51" s="16" t="n">
        <v>42278</v>
      </c>
      <c r="B51" s="17" t="n">
        <v>124.580977694993</v>
      </c>
      <c r="C51" s="18" t="n">
        <f aca="false">IFERROR((B51/B50-1)*100,"")</f>
        <v>1.78805856948876</v>
      </c>
      <c r="D51" s="18" t="n">
        <f aca="false">IFERROR((B51/B47-1)*100,"")</f>
        <v>2.66832871141698</v>
      </c>
      <c r="E51" s="19"/>
      <c r="F51" s="19"/>
      <c r="G51" s="19"/>
    </row>
    <row r="52" customFormat="false" ht="15" hidden="false" customHeight="false" outlineLevel="0" collapsed="false">
      <c r="A52" s="12" t="n">
        <v>42370</v>
      </c>
      <c r="B52" s="13" t="n">
        <v>125.249603831813</v>
      </c>
      <c r="C52" s="21" t="n">
        <f aca="false">IFERROR((B52/B51-1)*100,"")</f>
        <v>0.536700023704007</v>
      </c>
      <c r="D52" s="21" t="n">
        <f aca="false">IFERROR((B52/B48-1)*100,"")</f>
        <v>2.82543350377138</v>
      </c>
      <c r="E52" s="14"/>
      <c r="F52" s="14"/>
      <c r="G52" s="14"/>
    </row>
    <row r="53" customFormat="false" ht="15" hidden="false" customHeight="false" outlineLevel="0" collapsed="false">
      <c r="A53" s="16" t="n">
        <v>42461</v>
      </c>
      <c r="B53" s="17" t="n">
        <v>125.908336543374</v>
      </c>
      <c r="C53" s="18" t="n">
        <f aca="false">IFERROR((B53/B52-1)*100,"")</f>
        <v>0.525935964193192</v>
      </c>
      <c r="D53" s="18" t="n">
        <f aca="false">IFERROR((B53/B49-1)*100,"")</f>
        <v>1.99996074519064</v>
      </c>
      <c r="E53" s="19"/>
      <c r="F53" s="19"/>
      <c r="G53" s="19"/>
    </row>
    <row r="54" customFormat="false" ht="15" hidden="false" customHeight="false" outlineLevel="0" collapsed="false">
      <c r="A54" s="12" t="n">
        <v>42552</v>
      </c>
      <c r="B54" s="13" t="n">
        <v>126.384314457623</v>
      </c>
      <c r="C54" s="21" t="n">
        <f aca="false">IFERROR((B54/B53-1)*100,"")</f>
        <v>0.378035265428522</v>
      </c>
      <c r="D54" s="21" t="n">
        <f aca="false">IFERROR((B54/B50-1)*100,"")</f>
        <v>3.26146286773081</v>
      </c>
      <c r="E54" s="14"/>
      <c r="F54" s="14"/>
      <c r="G54" s="14"/>
    </row>
    <row r="55" customFormat="false" ht="15" hidden="false" customHeight="false" outlineLevel="0" collapsed="false">
      <c r="A55" s="16" t="n">
        <v>42644</v>
      </c>
      <c r="B55" s="17" t="n">
        <v>126.15287934481</v>
      </c>
      <c r="C55" s="18" t="n">
        <f aca="false">IFERROR((B55/B54-1)*100,"")</f>
        <v>-0.183120123573877</v>
      </c>
      <c r="D55" s="18" t="n">
        <f aca="false">IFERROR((B55/B51-1)*100,"")</f>
        <v>1.26175093413117</v>
      </c>
      <c r="E55" s="19"/>
      <c r="F55" s="19"/>
      <c r="G55" s="19"/>
    </row>
    <row r="56" customFormat="false" ht="15" hidden="false" customHeight="false" outlineLevel="0" collapsed="false">
      <c r="A56" s="12" t="n">
        <v>42736</v>
      </c>
      <c r="B56" s="13" t="n">
        <v>127.314186032815</v>
      </c>
      <c r="C56" s="21" t="n">
        <f aca="false">IFERROR((B56/B55-1)*100,"")</f>
        <v>0.920555039279858</v>
      </c>
      <c r="D56" s="21" t="n">
        <f aca="false">IFERROR((B56/B52-1)*100,"")</f>
        <v>1.64837423659578</v>
      </c>
      <c r="E56" s="14"/>
      <c r="F56" s="14"/>
      <c r="G56" s="14"/>
    </row>
    <row r="57" customFormat="false" ht="15" hidden="false" customHeight="false" outlineLevel="0" collapsed="false">
      <c r="A57" s="16" t="n">
        <v>42826</v>
      </c>
      <c r="B57" s="17" t="n">
        <v>128.075654268501</v>
      </c>
      <c r="C57" s="18" t="n">
        <f aca="false">IFERROR((B57/B56-1)*100,"")</f>
        <v>0.598101640841042</v>
      </c>
      <c r="D57" s="18" t="n">
        <f aca="false">IFERROR((B57/B53-1)*100,"")</f>
        <v>1.72134569054525</v>
      </c>
      <c r="E57" s="19"/>
      <c r="F57" s="19"/>
      <c r="G57" s="19"/>
    </row>
    <row r="58" customFormat="false" ht="15" hidden="false" customHeight="false" outlineLevel="0" collapsed="false">
      <c r="A58" s="12" t="n">
        <v>42917</v>
      </c>
      <c r="B58" s="13" t="n">
        <v>129.277690840529</v>
      </c>
      <c r="C58" s="21" t="n">
        <f aca="false">IFERROR((B58/B57-1)*100,"")</f>
        <v>0.938536350951136</v>
      </c>
      <c r="D58" s="21" t="n">
        <f aca="false">IFERROR((B58/B54-1)*100,"")</f>
        <v>2.28934768948466</v>
      </c>
      <c r="E58" s="14"/>
      <c r="F58" s="14"/>
      <c r="G58" s="14"/>
    </row>
    <row r="59" customFormat="false" ht="15" hidden="false" customHeight="false" outlineLevel="0" collapsed="false">
      <c r="A59" s="16" t="n">
        <v>43009</v>
      </c>
      <c r="B59" s="17" t="n">
        <v>129.122428294008</v>
      </c>
      <c r="C59" s="18" t="n">
        <f aca="false">IFERROR((B59/B58-1)*100,"")</f>
        <v>-0.120100030803472</v>
      </c>
      <c r="D59" s="18" t="n">
        <f aca="false">IFERROR((B59/B55-1)*100,"")</f>
        <v>2.35392879228806</v>
      </c>
      <c r="E59" s="19"/>
      <c r="F59" s="19"/>
      <c r="G59" s="19"/>
    </row>
    <row r="60" customFormat="false" ht="15" hidden="false" customHeight="false" outlineLevel="0" collapsed="false">
      <c r="A60" s="12" t="n">
        <v>43101</v>
      </c>
      <c r="B60" s="13" t="n">
        <v>129.670092061811</v>
      </c>
      <c r="C60" s="21" t="n">
        <f aca="false">IFERROR((B60/B59-1)*100,"")</f>
        <v>0.424143020727796</v>
      </c>
      <c r="D60" s="21" t="n">
        <f aca="false">IFERROR((B60/B56-1)*100,"")</f>
        <v>1.85046623821532</v>
      </c>
      <c r="E60" s="14"/>
      <c r="F60" s="14"/>
      <c r="G60" s="14"/>
    </row>
    <row r="61" customFormat="false" ht="15" hidden="false" customHeight="false" outlineLevel="0" collapsed="false">
      <c r="A61" s="16" t="n">
        <v>43191</v>
      </c>
      <c r="B61" s="17" t="n">
        <v>130.222607656672</v>
      </c>
      <c r="C61" s="18" t="n">
        <f aca="false">IFERROR((B61/B60-1)*100,"")</f>
        <v>0.426093315795306</v>
      </c>
      <c r="D61" s="18" t="n">
        <f aca="false">IFERROR((B61/B57-1)*100,"")</f>
        <v>1.6763165493344</v>
      </c>
      <c r="E61" s="19"/>
      <c r="F61" s="19"/>
      <c r="G61" s="19"/>
    </row>
    <row r="62" customFormat="false" ht="15" hidden="false" customHeight="false" outlineLevel="0" collapsed="false">
      <c r="A62" s="12" t="n">
        <v>43282</v>
      </c>
      <c r="B62" s="13" t="n">
        <v>130.377971130849</v>
      </c>
      <c r="C62" s="21" t="n">
        <f aca="false">IFERROR((B62/B61-1)*100,"")</f>
        <v>0.119306069024905</v>
      </c>
      <c r="D62" s="21" t="n">
        <f aca="false">IFERROR((B62/B58-1)*100,"")</f>
        <v>0.851098347414769</v>
      </c>
      <c r="E62" s="14"/>
      <c r="F62" s="14"/>
      <c r="G62" s="14"/>
    </row>
    <row r="63" customFormat="false" ht="15" hidden="false" customHeight="false" outlineLevel="0" collapsed="false">
      <c r="A63" s="16" t="n">
        <v>43374</v>
      </c>
      <c r="B63" s="17" t="n">
        <v>131.138097798889</v>
      </c>
      <c r="C63" s="18" t="n">
        <f aca="false">IFERROR((B63/B62-1)*100,"")</f>
        <v>0.583017714915446</v>
      </c>
      <c r="D63" s="18" t="n">
        <f aca="false">IFERROR((B63/B59-1)*100,"")</f>
        <v>1.56105297237115</v>
      </c>
      <c r="E63" s="19"/>
      <c r="F63" s="19"/>
      <c r="G63" s="19"/>
    </row>
    <row r="64" customFormat="false" ht="15" hidden="false" customHeight="false" outlineLevel="0" collapsed="false">
      <c r="A64" s="12" t="n">
        <v>43466</v>
      </c>
      <c r="B64" s="13" t="n">
        <v>132.482842869181</v>
      </c>
      <c r="C64" s="21" t="n">
        <f aca="false">IFERROR((B64/B63-1)*100,"")</f>
        <v>1.0254419523106</v>
      </c>
      <c r="D64" s="21" t="n">
        <f aca="false">IFERROR((B64/B60-1)*100,"")</f>
        <v>2.16915925842733</v>
      </c>
      <c r="E64" s="14"/>
      <c r="F64" s="14"/>
      <c r="G64" s="14"/>
    </row>
    <row r="65" customFormat="false" ht="15" hidden="false" customHeight="false" outlineLevel="0" collapsed="false">
      <c r="A65" s="16" t="n">
        <v>43556</v>
      </c>
      <c r="B65" s="17" t="n">
        <v>132.706660409534</v>
      </c>
      <c r="C65" s="18" t="n">
        <f aca="false">IFERROR((B65/B64-1)*100,"")</f>
        <v>0.168940774145465</v>
      </c>
      <c r="D65" s="18" t="n">
        <f aca="false">IFERROR((B65/B61-1)*100,"")</f>
        <v>1.90754339631352</v>
      </c>
      <c r="E65" s="19"/>
      <c r="F65" s="19"/>
      <c r="G65" s="19"/>
    </row>
    <row r="66" customFormat="false" ht="15" hidden="false" customHeight="false" outlineLevel="0" collapsed="false">
      <c r="A66" s="12" t="n">
        <v>43647</v>
      </c>
      <c r="B66" s="13" t="n">
        <v>132.907435244395</v>
      </c>
      <c r="C66" s="21" t="n">
        <f aca="false">IFERROR((B66/B65-1)*100,"")</f>
        <v>0.151292206616982</v>
      </c>
      <c r="D66" s="21" t="n">
        <f aca="false">IFERROR((B66/B62-1)*100,"")</f>
        <v>1.9401008403543</v>
      </c>
      <c r="E66" s="14"/>
      <c r="F66" s="14"/>
      <c r="G66" s="14"/>
    </row>
    <row r="67" customFormat="false" ht="15" hidden="false" customHeight="false" outlineLevel="0" collapsed="false">
      <c r="A67" s="16" t="n">
        <v>43739</v>
      </c>
      <c r="B67" s="17" t="n">
        <v>134.629906779845</v>
      </c>
      <c r="C67" s="18" t="n">
        <f aca="false">IFERROR((B67/B66-1)*100,"")</f>
        <v>1.29599335980104</v>
      </c>
      <c r="D67" s="18" t="n">
        <f aca="false">IFERROR((B67/B63-1)*100,"")</f>
        <v>2.66269607350145</v>
      </c>
      <c r="E67" s="19"/>
      <c r="F67" s="19"/>
      <c r="G67" s="19"/>
    </row>
    <row r="68" customFormat="false" ht="15" hidden="false" customHeight="false" outlineLevel="0" collapsed="false">
      <c r="A68" s="12" t="n">
        <v>43831</v>
      </c>
      <c r="B68" s="13" t="n">
        <v>134.834436782222</v>
      </c>
      <c r="C68" s="21" t="n">
        <f aca="false">IFERROR((B68/B67-1)*100,"")</f>
        <v>0.1519201842068</v>
      </c>
      <c r="D68" s="21" t="n">
        <f aca="false">IFERROR((B68/B64-1)*100,"")</f>
        <v>1.77501770200015</v>
      </c>
      <c r="E68" s="14"/>
      <c r="F68" s="14"/>
      <c r="G68" s="14"/>
    </row>
    <row r="69" customFormat="false" ht="15" hidden="false" customHeight="false" outlineLevel="0" collapsed="false">
      <c r="A69" s="16" t="n">
        <v>43922</v>
      </c>
      <c r="B69" s="17" t="n">
        <v>135.762031765786</v>
      </c>
      <c r="C69" s="18" t="n">
        <f aca="false">IFERROR((B69/B68-1)*100,"")</f>
        <v>0.687951094468398</v>
      </c>
      <c r="D69" s="18" t="n">
        <f aca="false">IFERROR((B69/B65-1)*100,"")</f>
        <v>2.30234966867722</v>
      </c>
      <c r="E69" s="19"/>
      <c r="F69" s="19"/>
      <c r="G69" s="19"/>
    </row>
    <row r="70" customFormat="false" ht="15" hidden="false" customHeight="false" outlineLevel="0" collapsed="false">
      <c r="A70" s="12" t="n">
        <v>44013</v>
      </c>
      <c r="B70" s="13" t="n">
        <v>136.366324701275</v>
      </c>
      <c r="C70" s="21" t="n">
        <f aca="false">IFERROR((B70/B69-1)*100,"")</f>
        <v>0.445111882630256</v>
      </c>
      <c r="D70" s="21" t="n">
        <f aca="false">IFERROR((B70/B66-1)*100,"")</f>
        <v>2.60248002718559</v>
      </c>
      <c r="E70" s="14"/>
      <c r="F70" s="14"/>
      <c r="G70" s="14"/>
    </row>
    <row r="71" customFormat="false" ht="15" hidden="false" customHeight="false" outlineLevel="0" collapsed="false">
      <c r="A71" s="16" t="n">
        <v>44105</v>
      </c>
      <c r="B71" s="17" t="n">
        <v>136.848293498262</v>
      </c>
      <c r="C71" s="18" t="n">
        <f aca="false">IFERROR((B71/B70-1)*100,"")</f>
        <v>0.353436816635355</v>
      </c>
      <c r="D71" s="18" t="n">
        <f aca="false">IFERROR((B71/B67-1)*100,"")</f>
        <v>1.64776666008188</v>
      </c>
      <c r="E71" s="19"/>
      <c r="F71" s="19"/>
      <c r="G71" s="19"/>
    </row>
    <row r="72" customFormat="false" ht="15" hidden="false" customHeight="false" outlineLevel="0" collapsed="false">
      <c r="A72" s="12" t="n">
        <v>44197</v>
      </c>
      <c r="B72" s="13" t="n">
        <v>136.924664497136</v>
      </c>
      <c r="C72" s="21" t="n">
        <f aca="false">IFERROR((B72/B71-1)*100,"")</f>
        <v>0.055807052409218</v>
      </c>
      <c r="D72" s="21" t="n">
        <f aca="false">IFERROR((B72/B68-1)*100,"")</f>
        <v>1.55021800424022</v>
      </c>
      <c r="E72" s="14"/>
      <c r="F72" s="14"/>
      <c r="G72" s="14"/>
    </row>
    <row r="73" customFormat="false" ht="15" hidden="false" customHeight="false" outlineLevel="0" collapsed="false">
      <c r="A73" s="16" t="n">
        <v>44287</v>
      </c>
      <c r="B73" s="17" t="n">
        <v>138.678904964411</v>
      </c>
      <c r="C73" s="18" t="n">
        <f aca="false">IFERROR((B73/B72-1)*100,"")</f>
        <v>1.28117200339175</v>
      </c>
      <c r="D73" s="18" t="n">
        <f aca="false">IFERROR((B73/B69-1)*100,"")</f>
        <v>2.14851911148313</v>
      </c>
      <c r="E73" s="19"/>
      <c r="F73" s="19"/>
      <c r="G73" s="19"/>
    </row>
    <row r="74" customFormat="false" ht="15" hidden="false" customHeight="false" outlineLevel="0" collapsed="false">
      <c r="A74" s="12" t="n">
        <v>44378</v>
      </c>
      <c r="B74" s="13" t="n">
        <v>138.711251786855</v>
      </c>
      <c r="C74" s="21" t="n">
        <f aca="false">IFERROR((B74/B73-1)*100,"")</f>
        <v>0.023324976824779</v>
      </c>
      <c r="D74" s="21" t="n">
        <f aca="false">IFERROR((B74/B70-1)*100,"")</f>
        <v>1.71957929548701</v>
      </c>
      <c r="E74" s="14"/>
      <c r="F74" s="14"/>
      <c r="G74" s="14"/>
    </row>
    <row r="75" customFormat="false" ht="15" hidden="false" customHeight="false" outlineLevel="0" collapsed="false">
      <c r="A75" s="16" t="n">
        <v>44470</v>
      </c>
      <c r="B75" s="17" t="n">
        <v>138.674904778968</v>
      </c>
      <c r="C75" s="18" t="n">
        <f aca="false">IFERROR((B75/B74-1)*100,"")</f>
        <v>-0.0262033594382483</v>
      </c>
      <c r="D75" s="18" t="n">
        <f aca="false">IFERROR((B75/B71-1)*100,"")</f>
        <v>1.33477095987982</v>
      </c>
      <c r="E75" s="19"/>
      <c r="F75" s="19"/>
      <c r="G75" s="19"/>
    </row>
    <row r="76" customFormat="false" ht="15" hidden="false" customHeight="false" outlineLevel="0" collapsed="false">
      <c r="A76" s="12" t="n">
        <v>44562</v>
      </c>
      <c r="B76" s="13" t="n">
        <v>139.378717535604</v>
      </c>
      <c r="C76" s="21" t="n">
        <f aca="false">IFERROR((B76/B75-1)*100,"")</f>
        <v>0.507527124505636</v>
      </c>
      <c r="D76" s="21" t="n">
        <f aca="false">IFERROR((B76/B72-1)*100,"")</f>
        <v>1.79226514629813</v>
      </c>
      <c r="E76" s="14"/>
      <c r="F76" s="14"/>
      <c r="G76" s="14"/>
    </row>
    <row r="77" customFormat="false" ht="15" hidden="false" customHeight="false" outlineLevel="0" collapsed="false">
      <c r="A77" s="16" t="n">
        <v>44652</v>
      </c>
      <c r="B77" s="17" t="n">
        <v>141.614777658738</v>
      </c>
      <c r="C77" s="18" t="n">
        <f aca="false">IFERROR((B77/B76-1)*100,"")</f>
        <v>1.60430527893429</v>
      </c>
      <c r="D77" s="18" t="n">
        <f aca="false">IFERROR((B77/B73-1)*100,"")</f>
        <v>2.11702904279525</v>
      </c>
      <c r="E77" s="19"/>
      <c r="F77" s="19"/>
      <c r="G77" s="19"/>
    </row>
    <row r="78" customFormat="false" ht="15" hidden="false" customHeight="false" outlineLevel="0" collapsed="false">
      <c r="A78" s="12" t="n">
        <v>44743</v>
      </c>
      <c r="B78" s="13" t="n">
        <v>142.11106195704</v>
      </c>
      <c r="C78" s="21" t="n">
        <f aca="false">IFERROR((B78/B77-1)*100,"")</f>
        <v>0.350446688196571</v>
      </c>
      <c r="D78" s="21" t="n">
        <f aca="false">IFERROR((B78/B74-1)*100,"")</f>
        <v>2.45099811759277</v>
      </c>
      <c r="E78" s="14"/>
      <c r="F78" s="14"/>
      <c r="G78" s="14"/>
    </row>
    <row r="79" customFormat="false" ht="15" hidden="false" customHeight="false" outlineLevel="0" collapsed="false">
      <c r="A79" s="16" t="n">
        <v>44835</v>
      </c>
      <c r="B79" s="17" t="n">
        <v>142.07842426987</v>
      </c>
      <c r="C79" s="18" t="n">
        <f aca="false">IFERROR((B79/B78-1)*100,"")</f>
        <v>-0.0229663241698597</v>
      </c>
      <c r="D79" s="18" t="n">
        <f aca="false">IFERROR((B79/B75-1)*100,"")</f>
        <v>2.45431536176408</v>
      </c>
      <c r="E79" s="19"/>
      <c r="F79" s="19"/>
      <c r="G79" s="19"/>
    </row>
    <row r="80" customFormat="false" ht="15" hidden="false" customHeight="false" outlineLevel="0" collapsed="false">
      <c r="A80" s="12" t="n">
        <v>44927</v>
      </c>
      <c r="B80" s="13" t="n">
        <v>143.446367952661</v>
      </c>
      <c r="C80" s="21" t="n">
        <f aca="false">IFERROR((B80/B79-1)*100,"")</f>
        <v>0.962808878139265</v>
      </c>
      <c r="D80" s="21" t="n">
        <f aca="false">IFERROR((B80/B76-1)*100,"")</f>
        <v>2.91841573016192</v>
      </c>
      <c r="E80" s="14"/>
      <c r="F80" s="14"/>
      <c r="G80" s="14"/>
    </row>
    <row r="81" customFormat="false" ht="15" hidden="false" customHeight="false" outlineLevel="0" collapsed="false">
      <c r="A81" s="16" t="n">
        <v>45017</v>
      </c>
      <c r="B81" s="17" t="n">
        <v>143.26100761367</v>
      </c>
      <c r="C81" s="18" t="n">
        <f aca="false">IFERROR((B81/B80-1)*100,"")</f>
        <v>-0.129219262666447</v>
      </c>
      <c r="D81" s="18" t="n">
        <f aca="false">IFERROR((B81/B77-1)*100,"")</f>
        <v>1.16247045834386</v>
      </c>
      <c r="E81" s="19"/>
      <c r="F81" s="19"/>
      <c r="G81" s="19"/>
    </row>
    <row r="82" customFormat="false" ht="15" hidden="false" customHeight="false" outlineLevel="0" collapsed="false">
      <c r="A82" s="12" t="n">
        <v>45108</v>
      </c>
      <c r="B82" s="13" t="n">
        <v>144.852051059819</v>
      </c>
      <c r="C82" s="21" t="n">
        <f aca="false">IFERROR((B82/B81-1)*100,"")</f>
        <v>1.11059071316799</v>
      </c>
      <c r="D82" s="21" t="n">
        <f aca="false">IFERROR((B82/B78-1)*100,"")</f>
        <v>1.92876547752989</v>
      </c>
      <c r="E82" s="14"/>
      <c r="F82" s="14"/>
      <c r="G82" s="14"/>
    </row>
    <row r="83" customFormat="false" ht="15" hidden="false" customHeight="false" outlineLevel="0" collapsed="false">
      <c r="A83" s="16" t="n">
        <v>45200</v>
      </c>
      <c r="B83" s="17" t="n">
        <v>145.451530671778</v>
      </c>
      <c r="C83" s="18" t="n">
        <f aca="false">IFERROR((B83/B82-1)*100,"")</f>
        <v>0.413856488446429</v>
      </c>
      <c r="D83" s="18" t="n">
        <f aca="false">IFERROR((B83/B79-1)*100,"")</f>
        <v>2.37411585836607</v>
      </c>
      <c r="E83" s="19"/>
      <c r="F83" s="19"/>
      <c r="G83" s="19"/>
    </row>
    <row r="84" customFormat="false" ht="15" hidden="false" customHeight="false" outlineLevel="0" collapsed="false">
      <c r="A84" s="12" t="n">
        <v>45292</v>
      </c>
      <c r="B84" s="13" t="n">
        <v>146.238357804976</v>
      </c>
      <c r="C84" s="21" t="n">
        <f aca="false">IFERROR((B84/B83-1)*100,"")</f>
        <v>0.54095486624588</v>
      </c>
      <c r="D84" s="21" t="n">
        <f aca="false">IFERROR((B84/B80-1)*100,"")</f>
        <v>1.9463649670352</v>
      </c>
      <c r="E84" s="14"/>
      <c r="F84" s="14"/>
      <c r="G84" s="14"/>
    </row>
    <row r="85" customFormat="false" ht="15" hidden="false" customHeight="false" outlineLevel="0" collapsed="false">
      <c r="A85" s="16" t="n">
        <v>45383</v>
      </c>
      <c r="B85" s="17" t="n">
        <v>146.021373836073</v>
      </c>
      <c r="C85" s="18" t="n">
        <f aca="false">IFERROR((B85/B84-1)*100,"")</f>
        <v>-0.148376918450066</v>
      </c>
      <c r="D85" s="18" t="n">
        <f aca="false">IFERROR((B85/B81-1)*100,"")</f>
        <v>1.92680916348575</v>
      </c>
      <c r="E85" s="19"/>
      <c r="F85" s="19"/>
      <c r="G85" s="19"/>
    </row>
    <row r="86" customFormat="false" ht="15" hidden="false" customHeight="false" outlineLevel="0" collapsed="false">
      <c r="A86" s="12" t="n">
        <v>45474</v>
      </c>
      <c r="B86" s="13" t="n">
        <v>147.487664453492</v>
      </c>
      <c r="C86" s="21" t="n">
        <f aca="false">IFERROR((B86/B85-1)*100,"")</f>
        <v>1.00416163668287</v>
      </c>
      <c r="D86" s="21" t="n">
        <f aca="false">IFERROR((B86/B82-1)*100,"")</f>
        <v>1.81952093490523</v>
      </c>
      <c r="E86" s="14"/>
      <c r="F86" s="14"/>
      <c r="G86" s="14"/>
    </row>
    <row r="87" customFormat="false" ht="15" hidden="false" customHeight="false" outlineLevel="0" collapsed="false">
      <c r="A87" s="16" t="n">
        <v>45566</v>
      </c>
      <c r="B87" s="17" t="n">
        <v>147.769265985604</v>
      </c>
      <c r="C87" s="18" t="n">
        <f aca="false">IFERROR((B87/B86-1)*100,"")</f>
        <v>0.190932260779886</v>
      </c>
      <c r="D87" s="18" t="n">
        <f aca="false">IFERROR((B87/B83-1)*100,"")</f>
        <v>1.5934760556469</v>
      </c>
      <c r="E87" s="19"/>
      <c r="F87" s="19"/>
      <c r="G87" s="19"/>
    </row>
    <row r="88" customFormat="false" ht="15" hidden="false" customHeight="false" outlineLevel="0" collapsed="false">
      <c r="A88" s="12" t="n">
        <v>45658</v>
      </c>
      <c r="B88" s="13" t="n">
        <v>148.583249949918</v>
      </c>
      <c r="C88" s="21" t="n">
        <f aca="false">IFERROR((B88/B87-1)*100,"")</f>
        <v>0.550847944520072</v>
      </c>
      <c r="D88" s="21" t="n">
        <f aca="false">IFERROR((B88/B84-1)*100,"")</f>
        <v>1.60347270041821</v>
      </c>
      <c r="E88" s="14"/>
      <c r="F88" s="14"/>
      <c r="G88" s="14"/>
    </row>
    <row r="89" customFormat="false" ht="15" hidden="false" customHeight="false" outlineLevel="0" collapsed="false">
      <c r="A89" s="16" t="n">
        <v>45748</v>
      </c>
      <c r="B89" s="17" t="n">
        <v>149.565800151144</v>
      </c>
      <c r="C89" s="18" t="n">
        <f aca="false">IFERROR((B89/B88-1)*100,"")</f>
        <v>0.661279250223079</v>
      </c>
      <c r="D89" s="18" t="n">
        <f aca="false">IFERROR((B89/B85-1)*100,"")</f>
        <v>2.42733390459033</v>
      </c>
      <c r="E89" s="19"/>
      <c r="F89" s="19"/>
      <c r="G89" s="19"/>
    </row>
    <row r="90" customFormat="false" ht="15" hidden="false" customHeight="false" outlineLevel="0" collapsed="false">
      <c r="A90" s="12" t="n">
        <v>45839</v>
      </c>
      <c r="B90" s="13" t="n">
        <v>150.324221368455</v>
      </c>
      <c r="C90" s="21" t="n">
        <f aca="false">IFERROR((B90/B89-1)*100,"")</f>
        <v>0.507081977660917</v>
      </c>
      <c r="D90" s="21" t="n">
        <f aca="false">IFERROR((B90/B86-1)*100,"")</f>
        <v>1.92325027687843</v>
      </c>
      <c r="E90" s="14"/>
      <c r="F90" s="14"/>
      <c r="G90" s="14"/>
    </row>
    <row r="91" customFormat="false" ht="15" hidden="false" customHeight="false" outlineLevel="0" collapsed="false">
      <c r="A91" s="16" t="n">
        <v>45931</v>
      </c>
      <c r="B91" s="17" t="n">
        <v>151.962040462415</v>
      </c>
      <c r="C91" s="18" t="n">
        <f aca="false">IFERROR((B91/B90-1)*100,"")</f>
        <v>1.08952441532753</v>
      </c>
      <c r="D91" s="18" t="n">
        <f aca="false">IFERROR((B91/B87-1)*100,"")</f>
        <v>2.83737924042986</v>
      </c>
      <c r="E91" s="19"/>
      <c r="F91" s="19"/>
      <c r="G91" s="19"/>
    </row>
    <row r="92" customFormat="false" ht="15" hidden="false" customHeight="false" outlineLevel="0" collapsed="false">
      <c r="A92" s="12" t="n">
        <v>46023</v>
      </c>
      <c r="B92" s="14"/>
      <c r="C92" s="21" t="n">
        <f aca="false">IFERROR((B92/B91-1)*100,"")</f>
        <v>-100</v>
      </c>
      <c r="D92" s="21" t="n">
        <f aca="false">IFERROR((B92/B88-1)*100,"")</f>
        <v>-100</v>
      </c>
      <c r="E92" s="13" t="n">
        <v>151.67996184171</v>
      </c>
      <c r="F92" s="13" t="n">
        <v>151.30238257778</v>
      </c>
      <c r="G92" s="22" t="n">
        <f aca="false">152.667578-149.937187</f>
        <v>2.730391</v>
      </c>
    </row>
    <row r="93" customFormat="false" ht="15" hidden="false" customHeight="false" outlineLevel="0" collapsed="false">
      <c r="A93" s="16" t="n">
        <v>46113</v>
      </c>
      <c r="B93" s="19"/>
      <c r="C93" s="18" t="str">
        <f aca="false">IFERROR((B93/B92-1)*100,"")</f>
        <v/>
      </c>
      <c r="D93" s="18" t="n">
        <f aca="false">IFERROR((B93/B89-1)*100,"")</f>
        <v>-100</v>
      </c>
      <c r="E93" s="17" t="n">
        <v>152.421682587661</v>
      </c>
      <c r="F93" s="17" t="n">
        <v>151.922410446079</v>
      </c>
      <c r="G93" s="23" t="n">
        <f aca="false">153.853089-149.991732</f>
        <v>3.861357</v>
      </c>
    </row>
    <row r="94" customFormat="false" ht="15" hidden="false" customHeight="false" outlineLevel="0" collapsed="false">
      <c r="A94" s="12" t="n">
        <v>46204</v>
      </c>
      <c r="B94" s="14"/>
      <c r="C94" s="21" t="str">
        <f aca="false">IFERROR((B94/B93-1)*100,"")</f>
        <v/>
      </c>
      <c r="D94" s="21" t="n">
        <f aca="false">IFERROR((B94/B90-1)*100,"")</f>
        <v>-100</v>
      </c>
      <c r="E94" s="13" t="n">
        <v>153.167030376092</v>
      </c>
      <c r="F94" s="13" t="n">
        <v>152.608682080805</v>
      </c>
      <c r="G94" s="22" t="n">
        <f aca="false">154.97327-150.244094</f>
        <v>4.72917600000002</v>
      </c>
    </row>
    <row r="95" customFormat="false" ht="15" hidden="false" customHeight="false" outlineLevel="0" collapsed="false">
      <c r="A95" s="16" t="n">
        <v>46296</v>
      </c>
      <c r="B95" s="19"/>
      <c r="C95" s="18" t="str">
        <f aca="false">IFERROR((B95/B94-1)*100,"")</f>
        <v/>
      </c>
      <c r="D95" s="18" t="n">
        <f aca="false">IFERROR((B95/B91-1)*100,"")</f>
        <v>-100</v>
      </c>
      <c r="E95" s="17" t="n">
        <v>153.916022943378</v>
      </c>
      <c r="F95" s="17" t="n">
        <v>152.967539087273</v>
      </c>
      <c r="G95" s="23" t="n">
        <f aca="false">155.69793-150.237148</f>
        <v>5.46078200000002</v>
      </c>
    </row>
    <row r="96" customFormat="false" ht="15" hidden="false" customHeight="false" outlineLevel="0" collapsed="false">
      <c r="A96" s="12" t="n">
        <v>46388</v>
      </c>
      <c r="B96" s="14"/>
      <c r="C96" s="21" t="str">
        <f aca="false">IFERROR((B96/B95-1)*100,"")</f>
        <v/>
      </c>
      <c r="D96" s="21" t="str">
        <f aca="false">IFERROR((B96/B92-1)*100,"")</f>
        <v/>
      </c>
      <c r="E96" s="13" t="n">
        <v>154.668678112625</v>
      </c>
      <c r="F96" s="13" t="n">
        <v>153.043252286874</v>
      </c>
      <c r="G96" s="22" t="n">
        <f aca="false">156.095922-149.990582</f>
        <v>6.10534000000001</v>
      </c>
    </row>
    <row r="97" customFormat="false" ht="15" hidden="false" customHeight="false" outlineLevel="0" collapsed="false">
      <c r="A97" s="16" t="n">
        <v>46478</v>
      </c>
      <c r="B97" s="19"/>
      <c r="C97" s="18" t="str">
        <f aca="false">IFERROR((B97/B96-1)*100,"")</f>
        <v/>
      </c>
      <c r="D97" s="18" t="str">
        <f aca="false">IFERROR((B97/B93-1)*100,"")</f>
        <v/>
      </c>
      <c r="E97" s="17" t="n">
        <v>155.425013794096</v>
      </c>
      <c r="F97" s="17" t="n">
        <v>153.576236669719</v>
      </c>
      <c r="G97" s="23" t="n">
        <f aca="false">156.920269-150.232204</f>
        <v>6.688065</v>
      </c>
    </row>
    <row r="98" customFormat="false" ht="15" hidden="false" customHeight="false" outlineLevel="0" collapsed="false">
      <c r="A98" s="12" t="n">
        <v>46569</v>
      </c>
      <c r="B98" s="14"/>
      <c r="C98" s="21" t="str">
        <f aca="false">IFERROR((B98/B97-1)*100,"")</f>
        <v/>
      </c>
      <c r="D98" s="21" t="str">
        <f aca="false">IFERROR((B98/B94-1)*100,"")</f>
        <v/>
      </c>
      <c r="E98" s="13" t="n">
        <v>156.185047985633</v>
      </c>
      <c r="F98" s="13" t="n">
        <v>154.179816993263</v>
      </c>
      <c r="G98" s="22" t="n">
        <f aca="false">157.791785-150.567849</f>
        <v>7.22393600000001</v>
      </c>
    </row>
    <row r="99" customFormat="false" ht="15" hidden="false" customHeight="false" outlineLevel="0" collapsed="false">
      <c r="A99" s="16" t="n">
        <v>46661</v>
      </c>
      <c r="B99" s="19"/>
      <c r="C99" s="18" t="str">
        <f aca="false">IFERROR((B99/B98-1)*100,"")</f>
        <v/>
      </c>
      <c r="D99" s="18" t="str">
        <f aca="false">IFERROR((B99/B95-1)*100,"")</f>
        <v/>
      </c>
      <c r="E99" s="17" t="n">
        <v>156.948798773092</v>
      </c>
      <c r="F99" s="17" t="n">
        <v>154.460117254107</v>
      </c>
      <c r="G99" s="23" t="n">
        <f aca="false">158.321473-150.598761</f>
        <v>7.722712</v>
      </c>
    </row>
    <row r="102" customFormat="false" ht="21.75" hidden="false" customHeight="true" outlineLevel="0" collapsed="false">
      <c r="A102" s="9" t="s">
        <v>156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customFormat="false" ht="15" hidden="false" customHeight="false" outlineLevel="0" collapsed="false">
      <c r="A103" s="5" t="s">
        <v>113</v>
      </c>
      <c r="B103" s="10" t="s">
        <v>114</v>
      </c>
      <c r="D103" s="5" t="s">
        <v>115</v>
      </c>
      <c r="E103" s="2" t="s">
        <v>157</v>
      </c>
      <c r="H103" s="5" t="s">
        <v>117</v>
      </c>
      <c r="I103" s="2" t="s">
        <v>118</v>
      </c>
    </row>
    <row r="104" customFormat="false" ht="18" hidden="false" customHeight="true" outlineLevel="0" collapsed="false">
      <c r="A104" s="11" t="s">
        <v>119</v>
      </c>
      <c r="B104" s="11"/>
      <c r="C104" s="11"/>
      <c r="D104" s="11"/>
      <c r="E104" s="11"/>
      <c r="F104" s="11"/>
      <c r="G104" s="11"/>
      <c r="I104" s="11" t="s">
        <v>120</v>
      </c>
      <c r="J104" s="11"/>
      <c r="K104" s="11"/>
      <c r="L104" s="11"/>
    </row>
    <row r="105" customFormat="false" ht="15" hidden="false" customHeight="false" outlineLevel="0" collapsed="false">
      <c r="A105" s="6" t="s">
        <v>121</v>
      </c>
      <c r="B105" s="6" t="s">
        <v>122</v>
      </c>
      <c r="C105" s="6" t="s">
        <v>123</v>
      </c>
      <c r="D105" s="6" t="s">
        <v>124</v>
      </c>
      <c r="E105" s="6" t="s">
        <v>125</v>
      </c>
      <c r="F105" s="6" t="s">
        <v>126</v>
      </c>
      <c r="G105" s="6" t="s">
        <v>127</v>
      </c>
      <c r="I105" s="6" t="s">
        <v>128</v>
      </c>
      <c r="J105" s="6" t="s">
        <v>122</v>
      </c>
      <c r="K105" s="6" t="s">
        <v>124</v>
      </c>
      <c r="L105" s="6" t="s">
        <v>129</v>
      </c>
    </row>
    <row r="106" customFormat="false" ht="15" hidden="false" customHeight="false" outlineLevel="0" collapsed="false">
      <c r="A106" s="12" t="n">
        <v>38353</v>
      </c>
      <c r="B106" s="13" t="n">
        <v>101.173924191328</v>
      </c>
      <c r="C106" s="14"/>
      <c r="D106" s="14"/>
      <c r="E106" s="14"/>
      <c r="F106" s="14"/>
      <c r="G106" s="14"/>
      <c r="I106" s="15" t="n">
        <v>2005</v>
      </c>
      <c r="J106" s="13" t="n">
        <v>101.618687168843</v>
      </c>
      <c r="K106" s="14"/>
      <c r="L106" s="14"/>
    </row>
    <row r="107" customFormat="false" ht="15" hidden="false" customHeight="false" outlineLevel="0" collapsed="false">
      <c r="A107" s="16" t="n">
        <v>38443</v>
      </c>
      <c r="B107" s="17" t="n">
        <v>100.613624108734</v>
      </c>
      <c r="C107" s="18" t="n">
        <f aca="false">IFERROR((B107/B106-1)*100,"")</f>
        <v>-0.553798903297087</v>
      </c>
      <c r="D107" s="19"/>
      <c r="E107" s="19"/>
      <c r="F107" s="19"/>
      <c r="G107" s="19"/>
      <c r="I107" s="20" t="n">
        <v>2006</v>
      </c>
      <c r="J107" s="17" t="n">
        <v>104.164376793227</v>
      </c>
      <c r="K107" s="18" t="n">
        <f aca="false">IFERROR((J107/J106-1)*100,"")</f>
        <v>2.50513925667397</v>
      </c>
      <c r="L107" s="19"/>
    </row>
    <row r="108" customFormat="false" ht="15" hidden="false" customHeight="false" outlineLevel="0" collapsed="false">
      <c r="A108" s="12" t="n">
        <v>38534</v>
      </c>
      <c r="B108" s="13" t="n">
        <v>100.054749712603</v>
      </c>
      <c r="C108" s="21" t="n">
        <f aca="false">IFERROR((B108/B107-1)*100,"")</f>
        <v>-0.555465923309373</v>
      </c>
      <c r="D108" s="14"/>
      <c r="E108" s="14"/>
      <c r="F108" s="14"/>
      <c r="G108" s="14"/>
      <c r="I108" s="15" t="n">
        <v>2007</v>
      </c>
      <c r="J108" s="13" t="n">
        <v>106.315838324578</v>
      </c>
      <c r="K108" s="21" t="n">
        <f aca="false">IFERROR((J108/J107-1)*100,"")</f>
        <v>2.06544847440733</v>
      </c>
      <c r="L108" s="14"/>
    </row>
    <row r="109" customFormat="false" ht="15" hidden="false" customHeight="false" outlineLevel="0" collapsed="false">
      <c r="A109" s="16" t="n">
        <v>38626</v>
      </c>
      <c r="B109" s="17" t="n">
        <v>101.618687168843</v>
      </c>
      <c r="C109" s="18" t="n">
        <f aca="false">IFERROR((B109/B108-1)*100,"")</f>
        <v>1.56308167351589</v>
      </c>
      <c r="D109" s="19"/>
      <c r="E109" s="19"/>
      <c r="F109" s="19"/>
      <c r="G109" s="19"/>
      <c r="I109" s="20" t="n">
        <v>2008</v>
      </c>
      <c r="J109" s="17" t="n">
        <v>106.963811843207</v>
      </c>
      <c r="K109" s="18" t="n">
        <f aca="false">IFERROR((J109/J108-1)*100,"")</f>
        <v>0.609479762226073</v>
      </c>
      <c r="L109" s="19"/>
    </row>
    <row r="110" customFormat="false" ht="15" hidden="false" customHeight="false" outlineLevel="0" collapsed="false">
      <c r="A110" s="12" t="n">
        <v>38718</v>
      </c>
      <c r="B110" s="13" t="n">
        <v>101.76484898062</v>
      </c>
      <c r="C110" s="21" t="n">
        <f aca="false">IFERROR((B110/B109-1)*100,"")</f>
        <v>0.143833595816734</v>
      </c>
      <c r="D110" s="21" t="n">
        <f aca="false">IFERROR((B110/B106-1)*100,"")</f>
        <v>0.584068270569715</v>
      </c>
      <c r="E110" s="14"/>
      <c r="F110" s="14"/>
      <c r="G110" s="14"/>
      <c r="I110" s="15" t="n">
        <v>2009</v>
      </c>
      <c r="J110" s="13" t="n">
        <v>109.412765447697</v>
      </c>
      <c r="K110" s="21" t="n">
        <f aca="false">IFERROR((J110/J109-1)*100,"")</f>
        <v>2.28951601694889</v>
      </c>
      <c r="L110" s="14"/>
    </row>
    <row r="111" customFormat="false" ht="15" hidden="false" customHeight="false" outlineLevel="0" collapsed="false">
      <c r="A111" s="16" t="n">
        <v>38808</v>
      </c>
      <c r="B111" s="17" t="n">
        <v>101.363955442605</v>
      </c>
      <c r="C111" s="18" t="n">
        <f aca="false">IFERROR((B111/B110-1)*100,"")</f>
        <v>-0.393941073003257</v>
      </c>
      <c r="D111" s="18" t="n">
        <f aca="false">IFERROR((B111/B107-1)*100,"")</f>
        <v>0.745755200171216</v>
      </c>
      <c r="E111" s="19"/>
      <c r="F111" s="19"/>
      <c r="G111" s="19"/>
      <c r="I111" s="20" t="n">
        <v>2010</v>
      </c>
      <c r="J111" s="17" t="n">
        <v>112.025952387128</v>
      </c>
      <c r="K111" s="18" t="n">
        <f aca="false">IFERROR((J111/J110-1)*100,"")</f>
        <v>2.38837481964642</v>
      </c>
      <c r="L111" s="19"/>
    </row>
    <row r="112" customFormat="false" ht="15" hidden="false" customHeight="false" outlineLevel="0" collapsed="false">
      <c r="A112" s="12" t="n">
        <v>38899</v>
      </c>
      <c r="B112" s="13" t="n">
        <v>103.175234673021</v>
      </c>
      <c r="C112" s="21" t="n">
        <f aca="false">IFERROR((B112/B111-1)*100,"")</f>
        <v>1.78690662031364</v>
      </c>
      <c r="D112" s="21" t="n">
        <f aca="false">IFERROR((B112/B108-1)*100,"")</f>
        <v>3.11877743873346</v>
      </c>
      <c r="E112" s="14"/>
      <c r="F112" s="14"/>
      <c r="G112" s="14"/>
      <c r="I112" s="15" t="n">
        <v>2011</v>
      </c>
      <c r="J112" s="13" t="n">
        <v>114.544138229534</v>
      </c>
      <c r="K112" s="21" t="n">
        <f aca="false">IFERROR((J112/J111-1)*100,"")</f>
        <v>2.2478593475411</v>
      </c>
      <c r="L112" s="14"/>
    </row>
    <row r="113" customFormat="false" ht="15" hidden="false" customHeight="false" outlineLevel="0" collapsed="false">
      <c r="A113" s="16" t="n">
        <v>38991</v>
      </c>
      <c r="B113" s="17" t="n">
        <v>104.164376793227</v>
      </c>
      <c r="C113" s="18" t="n">
        <f aca="false">IFERROR((B113/B112-1)*100,"")</f>
        <v>0.958701110145421</v>
      </c>
      <c r="D113" s="18" t="n">
        <f aca="false">IFERROR((B113/B109-1)*100,"")</f>
        <v>2.50513925667397</v>
      </c>
      <c r="E113" s="19"/>
      <c r="F113" s="19"/>
      <c r="G113" s="19"/>
      <c r="I113" s="20" t="n">
        <v>2012</v>
      </c>
      <c r="J113" s="17" t="n">
        <v>115.851008546744</v>
      </c>
      <c r="K113" s="18" t="n">
        <f aca="false">IFERROR((J113/J112-1)*100,"")</f>
        <v>1.14093164208104</v>
      </c>
      <c r="L113" s="19"/>
    </row>
    <row r="114" customFormat="false" ht="15" hidden="false" customHeight="false" outlineLevel="0" collapsed="false">
      <c r="A114" s="12" t="n">
        <v>39083</v>
      </c>
      <c r="B114" s="13" t="n">
        <v>104.01895213578</v>
      </c>
      <c r="C114" s="21" t="n">
        <f aca="false">IFERROR((B114/B113-1)*100,"")</f>
        <v>-0.139610740181528</v>
      </c>
      <c r="D114" s="21" t="n">
        <f aca="false">IFERROR((B114/B110-1)*100,"")</f>
        <v>2.21501154646184</v>
      </c>
      <c r="E114" s="14"/>
      <c r="F114" s="14"/>
      <c r="G114" s="14"/>
      <c r="I114" s="15" t="n">
        <v>2013</v>
      </c>
      <c r="J114" s="13" t="n">
        <v>118.864493907389</v>
      </c>
      <c r="K114" s="21" t="n">
        <f aca="false">IFERROR((J114/J113-1)*100,"")</f>
        <v>2.60117317789987</v>
      </c>
      <c r="L114" s="14"/>
    </row>
    <row r="115" customFormat="false" ht="15" hidden="false" customHeight="false" outlineLevel="0" collapsed="false">
      <c r="A115" s="16" t="n">
        <v>39173</v>
      </c>
      <c r="B115" s="17" t="n">
        <v>104.872194046134</v>
      </c>
      <c r="C115" s="18" t="n">
        <f aca="false">IFERROR((B115/B114-1)*100,"")</f>
        <v>0.820275433307316</v>
      </c>
      <c r="D115" s="18" t="n">
        <f aca="false">IFERROR((B115/B111-1)*100,"")</f>
        <v>3.46103167364511</v>
      </c>
      <c r="E115" s="19"/>
      <c r="F115" s="19"/>
      <c r="G115" s="19"/>
      <c r="I115" s="20" t="n">
        <v>2014</v>
      </c>
      <c r="J115" s="17" t="n">
        <v>121.778353244422</v>
      </c>
      <c r="K115" s="18" t="n">
        <f aca="false">IFERROR((J115/J114-1)*100,"")</f>
        <v>2.45141273162992</v>
      </c>
      <c r="L115" s="19"/>
    </row>
    <row r="116" customFormat="false" ht="15" hidden="false" customHeight="false" outlineLevel="0" collapsed="false">
      <c r="A116" s="12" t="n">
        <v>39264</v>
      </c>
      <c r="B116" s="13" t="n">
        <v>105.177152393957</v>
      </c>
      <c r="C116" s="21" t="n">
        <f aca="false">IFERROR((B116/B115-1)*100,"")</f>
        <v>0.290790471771052</v>
      </c>
      <c r="D116" s="21" t="n">
        <f aca="false">IFERROR((B116/B112-1)*100,"")</f>
        <v>1.94030837659851</v>
      </c>
      <c r="E116" s="14"/>
      <c r="F116" s="14"/>
      <c r="G116" s="14"/>
      <c r="I116" s="15" t="n">
        <v>2015</v>
      </c>
      <c r="J116" s="13" t="n">
        <v>124.373655216265</v>
      </c>
      <c r="K116" s="21" t="n">
        <f aca="false">IFERROR((J116/J115-1)*100,"")</f>
        <v>2.13116855557569</v>
      </c>
      <c r="L116" s="14"/>
    </row>
    <row r="117" customFormat="false" ht="15" hidden="false" customHeight="false" outlineLevel="0" collapsed="false">
      <c r="A117" s="16" t="n">
        <v>39356</v>
      </c>
      <c r="B117" s="17" t="n">
        <v>106.315838324578</v>
      </c>
      <c r="C117" s="18" t="n">
        <f aca="false">IFERROR((B117/B116-1)*100,"")</f>
        <v>1.08263620444493</v>
      </c>
      <c r="D117" s="18" t="n">
        <f aca="false">IFERROR((B117/B113-1)*100,"")</f>
        <v>2.06544847440733</v>
      </c>
      <c r="E117" s="19"/>
      <c r="F117" s="19"/>
      <c r="G117" s="19"/>
      <c r="I117" s="20" t="n">
        <v>2016</v>
      </c>
      <c r="J117" s="17" t="n">
        <v>125.851764275759</v>
      </c>
      <c r="K117" s="18" t="n">
        <f aca="false">IFERROR((J117/J116-1)*100,"")</f>
        <v>1.18844224439993</v>
      </c>
      <c r="L117" s="19"/>
    </row>
    <row r="118" customFormat="false" ht="15" hidden="false" customHeight="false" outlineLevel="0" collapsed="false">
      <c r="A118" s="12" t="n">
        <v>39448</v>
      </c>
      <c r="B118" s="13" t="n">
        <v>106.212457463534</v>
      </c>
      <c r="C118" s="21" t="n">
        <f aca="false">IFERROR((B118/B117-1)*100,"")</f>
        <v>-0.0972393790735771</v>
      </c>
      <c r="D118" s="21" t="n">
        <f aca="false">IFERROR((B118/B114-1)*100,"")</f>
        <v>2.1087554553435</v>
      </c>
      <c r="E118" s="14"/>
      <c r="F118" s="14"/>
      <c r="G118" s="14"/>
      <c r="I118" s="15" t="n">
        <v>2017</v>
      </c>
      <c r="J118" s="13" t="n">
        <v>129.499366886919</v>
      </c>
      <c r="K118" s="21" t="n">
        <f aca="false">IFERROR((J118/J117-1)*100,"")</f>
        <v>2.8983325201285</v>
      </c>
      <c r="L118" s="14"/>
    </row>
    <row r="119" customFormat="false" ht="15" hidden="false" customHeight="false" outlineLevel="0" collapsed="false">
      <c r="A119" s="16" t="n">
        <v>39539</v>
      </c>
      <c r="B119" s="17" t="n">
        <v>106.877275115087</v>
      </c>
      <c r="C119" s="18" t="n">
        <f aca="false">IFERROR((B119/B118-1)*100,"")</f>
        <v>0.625931898601007</v>
      </c>
      <c r="D119" s="18" t="n">
        <f aca="false">IFERROR((B119/B115-1)*100,"")</f>
        <v>1.91192821623543</v>
      </c>
      <c r="E119" s="19"/>
      <c r="F119" s="19"/>
      <c r="G119" s="19"/>
      <c r="I119" s="20" t="n">
        <v>2018</v>
      </c>
      <c r="J119" s="17" t="n">
        <v>131.383103383489</v>
      </c>
      <c r="K119" s="18" t="n">
        <f aca="false">IFERROR((J119/J118-1)*100,"")</f>
        <v>1.45462988882041</v>
      </c>
      <c r="L119" s="19"/>
    </row>
    <row r="120" customFormat="false" ht="15" hidden="false" customHeight="false" outlineLevel="0" collapsed="false">
      <c r="A120" s="12" t="n">
        <v>39630</v>
      </c>
      <c r="B120" s="13" t="n">
        <v>107.106026762215</v>
      </c>
      <c r="C120" s="21" t="n">
        <f aca="false">IFERROR((B120/B119-1)*100,"")</f>
        <v>0.214032072657333</v>
      </c>
      <c r="D120" s="21" t="n">
        <f aca="false">IFERROR((B120/B116-1)*100,"")</f>
        <v>1.83392906572846</v>
      </c>
      <c r="E120" s="14"/>
      <c r="F120" s="14"/>
      <c r="G120" s="14"/>
      <c r="I120" s="15" t="n">
        <v>2019</v>
      </c>
      <c r="J120" s="13" t="n">
        <v>134.072647043284</v>
      </c>
      <c r="K120" s="21" t="n">
        <f aca="false">IFERROR((J120/J119-1)*100,"")</f>
        <v>2.04710011449858</v>
      </c>
      <c r="L120" s="14"/>
    </row>
    <row r="121" customFormat="false" ht="15" hidden="false" customHeight="false" outlineLevel="0" collapsed="false">
      <c r="A121" s="16" t="n">
        <v>39722</v>
      </c>
      <c r="B121" s="17" t="n">
        <v>106.963811843207</v>
      </c>
      <c r="C121" s="18" t="n">
        <f aca="false">IFERROR((B121/B120-1)*100,"")</f>
        <v>-0.1327795674127</v>
      </c>
      <c r="D121" s="18" t="n">
        <f aca="false">IFERROR((B121/B117-1)*100,"")</f>
        <v>0.609479762226073</v>
      </c>
      <c r="E121" s="19"/>
      <c r="F121" s="19"/>
      <c r="G121" s="19"/>
      <c r="I121" s="20" t="n">
        <v>2020</v>
      </c>
      <c r="J121" s="17" t="n">
        <v>136.67780863227</v>
      </c>
      <c r="K121" s="18" t="n">
        <f aca="false">IFERROR((J121/J120-1)*100,"")</f>
        <v>1.94309700482347</v>
      </c>
      <c r="L121" s="19"/>
    </row>
    <row r="122" customFormat="false" ht="15" hidden="false" customHeight="false" outlineLevel="0" collapsed="false">
      <c r="A122" s="12" t="n">
        <v>39814</v>
      </c>
      <c r="B122" s="13" t="n">
        <v>107.508895406301</v>
      </c>
      <c r="C122" s="21" t="n">
        <f aca="false">IFERROR((B122/B121-1)*100,"")</f>
        <v>0.509596239794474</v>
      </c>
      <c r="D122" s="21" t="n">
        <f aca="false">IFERROR((B122/B118-1)*100,"")</f>
        <v>1.22060817885878</v>
      </c>
      <c r="E122" s="14"/>
      <c r="F122" s="14"/>
      <c r="G122" s="14"/>
      <c r="I122" s="15" t="n">
        <v>2021</v>
      </c>
      <c r="J122" s="13" t="n">
        <v>139.328061098343</v>
      </c>
      <c r="K122" s="21" t="n">
        <f aca="false">IFERROR((J122/J121-1)*100,"")</f>
        <v>1.93905103732228</v>
      </c>
      <c r="L122" s="14"/>
    </row>
    <row r="123" customFormat="false" ht="15" hidden="false" customHeight="false" outlineLevel="0" collapsed="false">
      <c r="A123" s="16" t="n">
        <v>39904</v>
      </c>
      <c r="B123" s="17" t="n">
        <v>109.165575765347</v>
      </c>
      <c r="C123" s="18" t="n">
        <f aca="false">IFERROR((B123/B122-1)*100,"")</f>
        <v>1.54097049624091</v>
      </c>
      <c r="D123" s="18" t="n">
        <f aca="false">IFERROR((B123/B119-1)*100,"")</f>
        <v>2.14105444566772</v>
      </c>
      <c r="E123" s="19"/>
      <c r="F123" s="19"/>
      <c r="G123" s="19"/>
      <c r="I123" s="20" t="n">
        <v>2022</v>
      </c>
      <c r="J123" s="17" t="n">
        <v>142.197687246371</v>
      </c>
      <c r="K123" s="18" t="n">
        <f aca="false">IFERROR((J123/J122-1)*100,"")</f>
        <v>2.05961823153613</v>
      </c>
      <c r="L123" s="19"/>
    </row>
    <row r="124" customFormat="false" ht="15" hidden="false" customHeight="false" outlineLevel="0" collapsed="false">
      <c r="A124" s="12" t="n">
        <v>39995</v>
      </c>
      <c r="B124" s="13" t="n">
        <v>108.936636659422</v>
      </c>
      <c r="C124" s="21" t="n">
        <f aca="false">IFERROR((B124/B123-1)*100,"")</f>
        <v>-0.209717307237411</v>
      </c>
      <c r="D124" s="21" t="n">
        <f aca="false">IFERROR((B124/B120-1)*100,"")</f>
        <v>1.7091567604038</v>
      </c>
      <c r="E124" s="14"/>
      <c r="F124" s="14"/>
      <c r="G124" s="14"/>
      <c r="I124" s="15" t="n">
        <v>2023</v>
      </c>
      <c r="J124" s="13" t="n">
        <v>145.580375997066</v>
      </c>
      <c r="K124" s="21" t="n">
        <f aca="false">IFERROR((J124/J123-1)*100,"")</f>
        <v>2.37886340924434</v>
      </c>
      <c r="L124" s="14"/>
    </row>
    <row r="125" customFormat="false" ht="15" hidden="false" customHeight="false" outlineLevel="0" collapsed="false">
      <c r="A125" s="16" t="n">
        <v>40087</v>
      </c>
      <c r="B125" s="17" t="n">
        <v>109.412765447697</v>
      </c>
      <c r="C125" s="18" t="n">
        <f aca="false">IFERROR((B125/B124-1)*100,"")</f>
        <v>0.437069477152829</v>
      </c>
      <c r="D125" s="18" t="n">
        <f aca="false">IFERROR((B125/B121-1)*100,"")</f>
        <v>2.28951601694889</v>
      </c>
      <c r="E125" s="19"/>
      <c r="F125" s="19"/>
      <c r="G125" s="19"/>
      <c r="I125" s="20" t="n">
        <v>2024</v>
      </c>
      <c r="J125" s="17" t="n">
        <v>147.830970513176</v>
      </c>
      <c r="K125" s="18" t="n">
        <f aca="false">IFERROR((J125/J124-1)*100,"")</f>
        <v>1.54594635485406</v>
      </c>
      <c r="L125" s="19"/>
    </row>
    <row r="126" customFormat="false" ht="15" hidden="false" customHeight="false" outlineLevel="0" collapsed="false">
      <c r="A126" s="12" t="n">
        <v>40179</v>
      </c>
      <c r="B126" s="13" t="n">
        <v>111.157794317112</v>
      </c>
      <c r="C126" s="21" t="n">
        <f aca="false">IFERROR((B126/B125-1)*100,"")</f>
        <v>1.59490427124729</v>
      </c>
      <c r="D126" s="21" t="n">
        <f aca="false">IFERROR((B126/B122-1)*100,"")</f>
        <v>3.39404371798311</v>
      </c>
      <c r="E126" s="14"/>
      <c r="F126" s="14"/>
      <c r="G126" s="14"/>
      <c r="I126" s="15" t="n">
        <v>2025</v>
      </c>
      <c r="J126" s="13" t="n">
        <v>151.690617578851</v>
      </c>
      <c r="K126" s="21" t="n">
        <f aca="false">IFERROR((J126/J125-1)*100,"")</f>
        <v>2.61085146926712</v>
      </c>
      <c r="L126" s="14"/>
    </row>
    <row r="127" customFormat="false" ht="15" hidden="false" customHeight="false" outlineLevel="0" collapsed="false">
      <c r="A127" s="16" t="n">
        <v>40269</v>
      </c>
      <c r="B127" s="17" t="n">
        <v>110.760753272211</v>
      </c>
      <c r="C127" s="18" t="n">
        <f aca="false">IFERROR((B127/B126-1)*100,"")</f>
        <v>-0.35718686875722</v>
      </c>
      <c r="D127" s="18" t="n">
        <f aca="false">IFERROR((B127/B123-1)*100,"")</f>
        <v>1.46124590621219</v>
      </c>
      <c r="E127" s="19"/>
      <c r="F127" s="19"/>
      <c r="G127" s="19"/>
      <c r="I127" s="20" t="n">
        <v>2026</v>
      </c>
      <c r="J127" s="19"/>
      <c r="K127" s="18" t="n">
        <f aca="false">IFERROR((J127/J126-1)*100,"")</f>
        <v>-100</v>
      </c>
      <c r="L127" s="17" t="n">
        <v>152.834523561873</v>
      </c>
    </row>
    <row r="128" customFormat="false" ht="15" hidden="false" customHeight="false" outlineLevel="0" collapsed="false">
      <c r="A128" s="12" t="n">
        <v>40360</v>
      </c>
      <c r="B128" s="13" t="n">
        <v>111.025561011839</v>
      </c>
      <c r="C128" s="21" t="n">
        <f aca="false">IFERROR((B128/B127-1)*100,"")</f>
        <v>0.239080840283656</v>
      </c>
      <c r="D128" s="21" t="n">
        <f aca="false">IFERROR((B128/B124-1)*100,"")</f>
        <v>1.91755906596227</v>
      </c>
      <c r="E128" s="14"/>
      <c r="F128" s="14"/>
      <c r="G128" s="14"/>
      <c r="I128" s="15" t="n">
        <v>2027</v>
      </c>
      <c r="J128" s="14"/>
      <c r="K128" s="21" t="str">
        <f aca="false">IFERROR((J128/J127-1)*100,"")</f>
        <v/>
      </c>
      <c r="L128" s="13" t="n">
        <v>154.253333083033</v>
      </c>
    </row>
    <row r="129" customFormat="false" ht="15" hidden="false" customHeight="false" outlineLevel="0" collapsed="false">
      <c r="A129" s="16" t="n">
        <v>40452</v>
      </c>
      <c r="B129" s="17" t="n">
        <v>112.025952387128</v>
      </c>
      <c r="C129" s="18" t="n">
        <f aca="false">IFERROR((B129/B128-1)*100,"")</f>
        <v>0.901045998932637</v>
      </c>
      <c r="D129" s="18" t="n">
        <f aca="false">IFERROR((B129/B125-1)*100,"")</f>
        <v>2.38837481964642</v>
      </c>
      <c r="E129" s="19"/>
      <c r="F129" s="19"/>
      <c r="G129" s="19"/>
    </row>
    <row r="130" customFormat="false" ht="15" hidden="false" customHeight="false" outlineLevel="0" collapsed="false">
      <c r="A130" s="12" t="n">
        <v>40544</v>
      </c>
      <c r="B130" s="13" t="n">
        <v>112.196644417837</v>
      </c>
      <c r="C130" s="21" t="n">
        <f aca="false">IFERROR((B130/B129-1)*100,"")</f>
        <v>0.152368292410165</v>
      </c>
      <c r="D130" s="21" t="n">
        <f aca="false">IFERROR((B130/B126-1)*100,"")</f>
        <v>0.934572431116587</v>
      </c>
      <c r="E130" s="14"/>
      <c r="F130" s="14"/>
      <c r="G130" s="14"/>
    </row>
    <row r="131" customFormat="false" ht="15" hidden="false" customHeight="false" outlineLevel="0" collapsed="false">
      <c r="A131" s="16" t="n">
        <v>40634</v>
      </c>
      <c r="B131" s="17" t="n">
        <v>111.320544193511</v>
      </c>
      <c r="C131" s="18" t="n">
        <f aca="false">IFERROR((B131/B130-1)*100,"")</f>
        <v>-0.780861342932471</v>
      </c>
      <c r="D131" s="18" t="n">
        <f aca="false">IFERROR((B131/B127-1)*100,"")</f>
        <v>0.505405484128318</v>
      </c>
      <c r="E131" s="19"/>
      <c r="F131" s="19"/>
      <c r="G131" s="19"/>
    </row>
    <row r="132" customFormat="false" ht="15" hidden="false" customHeight="false" outlineLevel="0" collapsed="false">
      <c r="A132" s="12" t="n">
        <v>40725</v>
      </c>
      <c r="B132" s="13" t="n">
        <v>114.167691749661</v>
      </c>
      <c r="C132" s="21" t="n">
        <f aca="false">IFERROR((B132/B131-1)*100,"")</f>
        <v>2.55761196352144</v>
      </c>
      <c r="D132" s="21" t="n">
        <f aca="false">IFERROR((B132/B128-1)*100,"")</f>
        <v>2.83009669952243</v>
      </c>
      <c r="E132" s="14"/>
      <c r="F132" s="14"/>
      <c r="G132" s="14"/>
    </row>
    <row r="133" customFormat="false" ht="15" hidden="false" customHeight="false" outlineLevel="0" collapsed="false">
      <c r="A133" s="16" t="n">
        <v>40817</v>
      </c>
      <c r="B133" s="17" t="n">
        <v>114.544138229534</v>
      </c>
      <c r="C133" s="18" t="n">
        <f aca="false">IFERROR((B133/B132-1)*100,"")</f>
        <v>0.329731182354842</v>
      </c>
      <c r="D133" s="18" t="n">
        <f aca="false">IFERROR((B133/B129-1)*100,"")</f>
        <v>2.2478593475411</v>
      </c>
      <c r="E133" s="19"/>
      <c r="F133" s="19"/>
      <c r="G133" s="19"/>
    </row>
    <row r="134" customFormat="false" ht="15" hidden="false" customHeight="false" outlineLevel="0" collapsed="false">
      <c r="A134" s="12" t="n">
        <v>40909</v>
      </c>
      <c r="B134" s="13" t="n">
        <v>115.984042810436</v>
      </c>
      <c r="C134" s="21" t="n">
        <f aca="false">IFERROR((B134/B133-1)*100,"")</f>
        <v>1.25707400060628</v>
      </c>
      <c r="D134" s="21" t="n">
        <f aca="false">IFERROR((B134/B130-1)*100,"")</f>
        <v>3.375678846949</v>
      </c>
      <c r="E134" s="14"/>
      <c r="F134" s="14"/>
      <c r="G134" s="14"/>
    </row>
    <row r="135" customFormat="false" ht="15" hidden="false" customHeight="false" outlineLevel="0" collapsed="false">
      <c r="A135" s="16" t="n">
        <v>41000</v>
      </c>
      <c r="B135" s="17" t="n">
        <v>116.041760127496</v>
      </c>
      <c r="C135" s="18" t="n">
        <f aca="false">IFERROR((B135/B134-1)*100,"")</f>
        <v>0.0497631533280307</v>
      </c>
      <c r="D135" s="18" t="n">
        <f aca="false">IFERROR((B135/B131-1)*100,"")</f>
        <v>4.2411003002093</v>
      </c>
      <c r="E135" s="19"/>
      <c r="F135" s="19"/>
      <c r="G135" s="19"/>
    </row>
    <row r="136" customFormat="false" ht="15" hidden="false" customHeight="false" outlineLevel="0" collapsed="false">
      <c r="A136" s="12" t="n">
        <v>41091</v>
      </c>
      <c r="B136" s="13" t="n">
        <v>115.252264527461</v>
      </c>
      <c r="C136" s="21" t="n">
        <f aca="false">IFERROR((B136/B135-1)*100,"")</f>
        <v>-0.68035472675344</v>
      </c>
      <c r="D136" s="21" t="n">
        <f aca="false">IFERROR((B136/B132-1)*100,"")</f>
        <v>0.949982224549184</v>
      </c>
      <c r="E136" s="14"/>
      <c r="F136" s="14"/>
      <c r="G136" s="14"/>
    </row>
    <row r="137" customFormat="false" ht="15" hidden="false" customHeight="false" outlineLevel="0" collapsed="false">
      <c r="A137" s="16" t="n">
        <v>41183</v>
      </c>
      <c r="B137" s="17" t="n">
        <v>115.851008546744</v>
      </c>
      <c r="C137" s="18" t="n">
        <f aca="false">IFERROR((B137/B136-1)*100,"")</f>
        <v>0.519507379519335</v>
      </c>
      <c r="D137" s="18" t="n">
        <f aca="false">IFERROR((B137/B133-1)*100,"")</f>
        <v>1.14093164208104</v>
      </c>
      <c r="E137" s="19"/>
      <c r="F137" s="19"/>
      <c r="G137" s="19"/>
    </row>
    <row r="138" customFormat="false" ht="15" hidden="false" customHeight="false" outlineLevel="0" collapsed="false">
      <c r="A138" s="12" t="n">
        <v>41275</v>
      </c>
      <c r="B138" s="13" t="n">
        <v>117.599835662273</v>
      </c>
      <c r="C138" s="21" t="n">
        <f aca="false">IFERROR((B138/B137-1)*100,"")</f>
        <v>1.50954846010132</v>
      </c>
      <c r="D138" s="21" t="n">
        <f aca="false">IFERROR((B138/B134-1)*100,"")</f>
        <v>1.39311651213765</v>
      </c>
      <c r="E138" s="14"/>
      <c r="F138" s="14"/>
      <c r="G138" s="14"/>
    </row>
    <row r="139" customFormat="false" ht="15" hidden="false" customHeight="false" outlineLevel="0" collapsed="false">
      <c r="A139" s="16" t="n">
        <v>41365</v>
      </c>
      <c r="B139" s="17" t="n">
        <v>119.263984858964</v>
      </c>
      <c r="C139" s="18" t="n">
        <f aca="false">IFERROR((B139/B138-1)*100,"")</f>
        <v>1.41509483182447</v>
      </c>
      <c r="D139" s="18" t="n">
        <f aca="false">IFERROR((B139/B135-1)*100,"")</f>
        <v>2.77678029696191</v>
      </c>
      <c r="E139" s="19"/>
      <c r="F139" s="19"/>
      <c r="G139" s="19"/>
    </row>
    <row r="140" customFormat="false" ht="15" hidden="false" customHeight="false" outlineLevel="0" collapsed="false">
      <c r="A140" s="12" t="n">
        <v>41456</v>
      </c>
      <c r="B140" s="13" t="n">
        <v>117.853339107604</v>
      </c>
      <c r="C140" s="21" t="n">
        <f aca="false">IFERROR((B140/B139-1)*100,"")</f>
        <v>-1.18279273749595</v>
      </c>
      <c r="D140" s="21" t="n">
        <f aca="false">IFERROR((B140/B136-1)*100,"")</f>
        <v>2.25685333889778</v>
      </c>
      <c r="E140" s="14"/>
      <c r="F140" s="14"/>
      <c r="G140" s="14"/>
    </row>
    <row r="141" customFormat="false" ht="15" hidden="false" customHeight="false" outlineLevel="0" collapsed="false">
      <c r="A141" s="16" t="n">
        <v>41548</v>
      </c>
      <c r="B141" s="17" t="n">
        <v>118.864493907389</v>
      </c>
      <c r="C141" s="18" t="n">
        <f aca="false">IFERROR((B141/B140-1)*100,"")</f>
        <v>0.857977217651151</v>
      </c>
      <c r="D141" s="18" t="n">
        <f aca="false">IFERROR((B141/B137-1)*100,"")</f>
        <v>2.60117317789987</v>
      </c>
      <c r="E141" s="19"/>
      <c r="F141" s="19"/>
      <c r="G141" s="19"/>
    </row>
    <row r="142" customFormat="false" ht="15" hidden="false" customHeight="false" outlineLevel="0" collapsed="false">
      <c r="A142" s="12" t="n">
        <v>41640</v>
      </c>
      <c r="B142" s="13" t="n">
        <v>119.790926665174</v>
      </c>
      <c r="C142" s="21" t="n">
        <f aca="false">IFERROR((B142/B141-1)*100,"")</f>
        <v>0.779402433251009</v>
      </c>
      <c r="D142" s="21" t="n">
        <f aca="false">IFERROR((B142/B138-1)*100,"")</f>
        <v>1.86317522517065</v>
      </c>
      <c r="E142" s="14"/>
      <c r="F142" s="14"/>
      <c r="G142" s="14"/>
    </row>
    <row r="143" customFormat="false" ht="15" hidden="false" customHeight="false" outlineLevel="0" collapsed="false">
      <c r="A143" s="16" t="n">
        <v>41730</v>
      </c>
      <c r="B143" s="17" t="n">
        <v>119.537327512883</v>
      </c>
      <c r="C143" s="18" t="n">
        <f aca="false">IFERROR((B143/B142-1)*100,"")</f>
        <v>-0.21170146967836</v>
      </c>
      <c r="D143" s="18" t="n">
        <f aca="false">IFERROR((B143/B139-1)*100,"")</f>
        <v>0.229191280369956</v>
      </c>
      <c r="E143" s="19"/>
      <c r="F143" s="19"/>
      <c r="G143" s="19"/>
    </row>
    <row r="144" customFormat="false" ht="15" hidden="false" customHeight="false" outlineLevel="0" collapsed="false">
      <c r="A144" s="12" t="n">
        <v>41821</v>
      </c>
      <c r="B144" s="13" t="n">
        <v>121.642592001609</v>
      </c>
      <c r="C144" s="21" t="n">
        <f aca="false">IFERROR((B144/B143-1)*100,"")</f>
        <v>1.76117747696811</v>
      </c>
      <c r="D144" s="21" t="n">
        <f aca="false">IFERROR((B144/B140-1)*100,"")</f>
        <v>3.21522743665785</v>
      </c>
      <c r="E144" s="14"/>
      <c r="F144" s="14"/>
      <c r="G144" s="14"/>
    </row>
    <row r="145" customFormat="false" ht="15" hidden="false" customHeight="false" outlineLevel="0" collapsed="false">
      <c r="A145" s="16" t="n">
        <v>41913</v>
      </c>
      <c r="B145" s="17" t="n">
        <v>121.778353244422</v>
      </c>
      <c r="C145" s="18" t="n">
        <f aca="false">IFERROR((B145/B144-1)*100,"")</f>
        <v>0.111606667186681</v>
      </c>
      <c r="D145" s="18" t="n">
        <f aca="false">IFERROR((B145/B141-1)*100,"")</f>
        <v>2.45141273162992</v>
      </c>
      <c r="E145" s="19"/>
      <c r="F145" s="19"/>
      <c r="G145" s="19"/>
    </row>
    <row r="146" customFormat="false" ht="15" hidden="false" customHeight="false" outlineLevel="0" collapsed="false">
      <c r="A146" s="12" t="n">
        <v>42005</v>
      </c>
      <c r="B146" s="13" t="n">
        <v>121.911299378456</v>
      </c>
      <c r="C146" s="21" t="n">
        <f aca="false">IFERROR((B146/B145-1)*100,"")</f>
        <v>0.10917057957498</v>
      </c>
      <c r="D146" s="21" t="n">
        <f aca="false">IFERROR((B146/B142-1)*100,"")</f>
        <v>1.77006119938274</v>
      </c>
      <c r="E146" s="14"/>
      <c r="F146" s="14"/>
      <c r="G146" s="14"/>
    </row>
    <row r="147" customFormat="false" ht="15" hidden="false" customHeight="false" outlineLevel="0" collapsed="false">
      <c r="A147" s="16" t="n">
        <v>42095</v>
      </c>
      <c r="B147" s="17" t="n">
        <v>122.37124651552</v>
      </c>
      <c r="C147" s="18" t="n">
        <f aca="false">IFERROR((B147/B146-1)*100,"")</f>
        <v>0.377280153201265</v>
      </c>
      <c r="D147" s="18" t="n">
        <f aca="false">IFERROR((B147/B143-1)*100,"")</f>
        <v>2.3707398028721</v>
      </c>
      <c r="E147" s="19"/>
      <c r="F147" s="19"/>
      <c r="G147" s="19"/>
    </row>
    <row r="148" customFormat="false" ht="15" hidden="false" customHeight="false" outlineLevel="0" collapsed="false">
      <c r="A148" s="12" t="n">
        <v>42186</v>
      </c>
      <c r="B148" s="13" t="n">
        <v>123.548901914695</v>
      </c>
      <c r="C148" s="21" t="n">
        <f aca="false">IFERROR((B148/B147-1)*100,"")</f>
        <v>0.9623628366209</v>
      </c>
      <c r="D148" s="21" t="n">
        <f aca="false">IFERROR((B148/B144-1)*100,"")</f>
        <v>1.56714016177892</v>
      </c>
      <c r="E148" s="14"/>
      <c r="F148" s="14"/>
      <c r="G148" s="14"/>
    </row>
    <row r="149" customFormat="false" ht="15" hidden="false" customHeight="false" outlineLevel="0" collapsed="false">
      <c r="A149" s="16" t="n">
        <v>42278</v>
      </c>
      <c r="B149" s="17" t="n">
        <v>124.373655216265</v>
      </c>
      <c r="C149" s="18" t="n">
        <f aca="false">IFERROR((B149/B148-1)*100,"")</f>
        <v>0.667552109964387</v>
      </c>
      <c r="D149" s="18" t="n">
        <f aca="false">IFERROR((B149/B145-1)*100,"")</f>
        <v>2.13116855557569</v>
      </c>
      <c r="E149" s="19"/>
      <c r="F149" s="19"/>
      <c r="G149" s="19"/>
    </row>
    <row r="150" customFormat="false" ht="15" hidden="false" customHeight="false" outlineLevel="0" collapsed="false">
      <c r="A150" s="12" t="n">
        <v>42370</v>
      </c>
      <c r="B150" s="13" t="n">
        <v>124.328002207241</v>
      </c>
      <c r="C150" s="21" t="n">
        <f aca="false">IFERROR((B150/B149-1)*100,"")</f>
        <v>-0.0367063337849194</v>
      </c>
      <c r="D150" s="21" t="n">
        <f aca="false">IFERROR((B150/B146-1)*100,"")</f>
        <v>1.98234523059484</v>
      </c>
      <c r="E150" s="14"/>
      <c r="F150" s="14"/>
      <c r="G150" s="14"/>
    </row>
    <row r="151" customFormat="false" ht="15" hidden="false" customHeight="false" outlineLevel="0" collapsed="false">
      <c r="A151" s="16" t="n">
        <v>42461</v>
      </c>
      <c r="B151" s="17" t="n">
        <v>125.616745950274</v>
      </c>
      <c r="C151" s="18" t="n">
        <f aca="false">IFERROR((B151/B150-1)*100,"")</f>
        <v>1.03656756334345</v>
      </c>
      <c r="D151" s="18" t="n">
        <f aca="false">IFERROR((B151/B147-1)*100,"")</f>
        <v>2.65217485901959</v>
      </c>
      <c r="E151" s="19"/>
      <c r="F151" s="19"/>
      <c r="G151" s="19"/>
    </row>
    <row r="152" customFormat="false" ht="15" hidden="false" customHeight="false" outlineLevel="0" collapsed="false">
      <c r="A152" s="12" t="n">
        <v>42552</v>
      </c>
      <c r="B152" s="13" t="n">
        <v>126.053450741318</v>
      </c>
      <c r="C152" s="21" t="n">
        <f aca="false">IFERROR((B152/B151-1)*100,"")</f>
        <v>0.347648546171531</v>
      </c>
      <c r="D152" s="21" t="n">
        <f aca="false">IFERROR((B152/B148-1)*100,"")</f>
        <v>2.02717206531853</v>
      </c>
      <c r="E152" s="14"/>
      <c r="F152" s="14"/>
      <c r="G152" s="14"/>
    </row>
    <row r="153" customFormat="false" ht="15" hidden="false" customHeight="false" outlineLevel="0" collapsed="false">
      <c r="A153" s="16" t="n">
        <v>42644</v>
      </c>
      <c r="B153" s="17" t="n">
        <v>125.851764275759</v>
      </c>
      <c r="C153" s="18" t="n">
        <f aca="false">IFERROR((B153/B152-1)*100,"")</f>
        <v>-0.160000749184253</v>
      </c>
      <c r="D153" s="18" t="n">
        <f aca="false">IFERROR((B153/B149-1)*100,"")</f>
        <v>1.18844224439993</v>
      </c>
      <c r="E153" s="19"/>
      <c r="F153" s="19"/>
      <c r="G153" s="19"/>
    </row>
    <row r="154" customFormat="false" ht="15" hidden="false" customHeight="false" outlineLevel="0" collapsed="false">
      <c r="A154" s="12" t="n">
        <v>42736</v>
      </c>
      <c r="B154" s="13" t="n">
        <v>127.062721358814</v>
      </c>
      <c r="C154" s="21" t="n">
        <f aca="false">IFERROR((B154/B153-1)*100,"")</f>
        <v>0.962209063992092</v>
      </c>
      <c r="D154" s="21" t="n">
        <f aca="false">IFERROR((B154/B150-1)*100,"")</f>
        <v>2.19960033381332</v>
      </c>
      <c r="E154" s="14"/>
      <c r="F154" s="14"/>
      <c r="G154" s="14"/>
    </row>
    <row r="155" customFormat="false" ht="15" hidden="false" customHeight="false" outlineLevel="0" collapsed="false">
      <c r="A155" s="16" t="n">
        <v>42826</v>
      </c>
      <c r="B155" s="17" t="n">
        <v>127.230196743111</v>
      </c>
      <c r="C155" s="18" t="n">
        <f aca="false">IFERROR((B155/B154-1)*100,"")</f>
        <v>0.131805286795395</v>
      </c>
      <c r="D155" s="18" t="n">
        <f aca="false">IFERROR((B155/B151-1)*100,"")</f>
        <v>1.2844233311667</v>
      </c>
      <c r="E155" s="19"/>
      <c r="F155" s="19"/>
      <c r="G155" s="19"/>
    </row>
    <row r="156" customFormat="false" ht="15" hidden="false" customHeight="false" outlineLevel="0" collapsed="false">
      <c r="A156" s="12" t="n">
        <v>42917</v>
      </c>
      <c r="B156" s="13" t="n">
        <v>127.457190768547</v>
      </c>
      <c r="C156" s="21" t="n">
        <f aca="false">IFERROR((B156/B155-1)*100,"")</f>
        <v>0.178412068239919</v>
      </c>
      <c r="D156" s="21" t="n">
        <f aca="false">IFERROR((B156/B152-1)*100,"")</f>
        <v>1.1136069809857</v>
      </c>
      <c r="E156" s="14"/>
      <c r="F156" s="14"/>
      <c r="G156" s="14"/>
    </row>
    <row r="157" customFormat="false" ht="15" hidden="false" customHeight="false" outlineLevel="0" collapsed="false">
      <c r="A157" s="16" t="n">
        <v>43009</v>
      </c>
      <c r="B157" s="17" t="n">
        <v>129.499366886919</v>
      </c>
      <c r="C157" s="18" t="n">
        <f aca="false">IFERROR((B157/B156-1)*100,"")</f>
        <v>1.60224472707926</v>
      </c>
      <c r="D157" s="18" t="n">
        <f aca="false">IFERROR((B157/B153-1)*100,"")</f>
        <v>2.8983325201285</v>
      </c>
      <c r="E157" s="19"/>
      <c r="F157" s="19"/>
      <c r="G157" s="19"/>
    </row>
    <row r="158" customFormat="false" ht="15" hidden="false" customHeight="false" outlineLevel="0" collapsed="false">
      <c r="A158" s="12" t="n">
        <v>43101</v>
      </c>
      <c r="B158" s="13" t="n">
        <v>128.630065462528</v>
      </c>
      <c r="C158" s="21" t="n">
        <f aca="false">IFERROR((B158/B157-1)*100,"")</f>
        <v>-0.671278513006224</v>
      </c>
      <c r="D158" s="21" t="n">
        <f aca="false">IFERROR((B158/B154-1)*100,"")</f>
        <v>1.2335200182652</v>
      </c>
      <c r="E158" s="14"/>
      <c r="F158" s="14"/>
      <c r="G158" s="14"/>
    </row>
    <row r="159" customFormat="false" ht="15" hidden="false" customHeight="false" outlineLevel="0" collapsed="false">
      <c r="A159" s="16" t="n">
        <v>43191</v>
      </c>
      <c r="B159" s="17" t="n">
        <v>131.309524657788</v>
      </c>
      <c r="C159" s="18" t="n">
        <f aca="false">IFERROR((B159/B158-1)*100,"")</f>
        <v>2.08307380208912</v>
      </c>
      <c r="D159" s="18" t="n">
        <f aca="false">IFERROR((B159/B155-1)*100,"")</f>
        <v>3.20625764881353</v>
      </c>
      <c r="E159" s="19"/>
      <c r="F159" s="19"/>
      <c r="G159" s="19"/>
    </row>
    <row r="160" customFormat="false" ht="15" hidden="false" customHeight="false" outlineLevel="0" collapsed="false">
      <c r="A160" s="12" t="n">
        <v>43282</v>
      </c>
      <c r="B160" s="13" t="n">
        <v>131.913459216487</v>
      </c>
      <c r="C160" s="21" t="n">
        <f aca="false">IFERROR((B160/B159-1)*100,"")</f>
        <v>0.459932027225851</v>
      </c>
      <c r="D160" s="21" t="n">
        <f aca="false">IFERROR((B160/B156-1)*100,"")</f>
        <v>3.49628641669413</v>
      </c>
      <c r="E160" s="14"/>
      <c r="F160" s="14"/>
      <c r="G160" s="14"/>
    </row>
    <row r="161" customFormat="false" ht="15" hidden="false" customHeight="false" outlineLevel="0" collapsed="false">
      <c r="A161" s="16" t="n">
        <v>43374</v>
      </c>
      <c r="B161" s="17" t="n">
        <v>131.383103383489</v>
      </c>
      <c r="C161" s="18" t="n">
        <f aca="false">IFERROR((B161/B160-1)*100,"")</f>
        <v>-0.402048309663006</v>
      </c>
      <c r="D161" s="18" t="n">
        <f aca="false">IFERROR((B161/B157-1)*100,"")</f>
        <v>1.45462988882041</v>
      </c>
      <c r="E161" s="19"/>
      <c r="F161" s="19"/>
      <c r="G161" s="19"/>
    </row>
    <row r="162" customFormat="false" ht="15" hidden="false" customHeight="false" outlineLevel="0" collapsed="false">
      <c r="A162" s="12" t="n">
        <v>43466</v>
      </c>
      <c r="B162" s="13" t="n">
        <v>131.417696266202</v>
      </c>
      <c r="C162" s="21" t="n">
        <f aca="false">IFERROR((B162/B161-1)*100,"")</f>
        <v>0.0263297804831142</v>
      </c>
      <c r="D162" s="21" t="n">
        <f aca="false">IFERROR((B162/B158-1)*100,"")</f>
        <v>2.1671689224835</v>
      </c>
      <c r="E162" s="14"/>
      <c r="F162" s="14"/>
      <c r="G162" s="14"/>
    </row>
    <row r="163" customFormat="false" ht="15" hidden="false" customHeight="false" outlineLevel="0" collapsed="false">
      <c r="A163" s="16" t="n">
        <v>43556</v>
      </c>
      <c r="B163" s="17" t="n">
        <v>133.047191241611</v>
      </c>
      <c r="C163" s="18" t="n">
        <f aca="false">IFERROR((B163/B162-1)*100,"")</f>
        <v>1.23993573293857</v>
      </c>
      <c r="D163" s="18" t="n">
        <f aca="false">IFERROR((B163/B159-1)*100,"")</f>
        <v>1.32333628375552</v>
      </c>
      <c r="E163" s="19"/>
      <c r="F163" s="19"/>
      <c r="G163" s="19"/>
    </row>
    <row r="164" customFormat="false" ht="15" hidden="false" customHeight="false" outlineLevel="0" collapsed="false">
      <c r="A164" s="12" t="n">
        <v>43647</v>
      </c>
      <c r="B164" s="13" t="n">
        <v>133.512582603992</v>
      </c>
      <c r="C164" s="21" t="n">
        <f aca="false">IFERROR((B164/B163-1)*100,"")</f>
        <v>0.349794203122378</v>
      </c>
      <c r="D164" s="21" t="n">
        <f aca="false">IFERROR((B164/B160-1)*100,"")</f>
        <v>1.21225187862002</v>
      </c>
      <c r="E164" s="14"/>
      <c r="F164" s="14"/>
      <c r="G164" s="14"/>
    </row>
    <row r="165" customFormat="false" ht="15" hidden="false" customHeight="false" outlineLevel="0" collapsed="false">
      <c r="A165" s="16" t="n">
        <v>43739</v>
      </c>
      <c r="B165" s="17" t="n">
        <v>134.072647043284</v>
      </c>
      <c r="C165" s="18" t="n">
        <f aca="false">IFERROR((B165/B164-1)*100,"")</f>
        <v>0.419484387440838</v>
      </c>
      <c r="D165" s="18" t="n">
        <f aca="false">IFERROR((B165/B161-1)*100,"")</f>
        <v>2.04710011449858</v>
      </c>
      <c r="E165" s="19"/>
      <c r="F165" s="19"/>
      <c r="G165" s="19"/>
    </row>
    <row r="166" customFormat="false" ht="15" hidden="false" customHeight="false" outlineLevel="0" collapsed="false">
      <c r="A166" s="12" t="n">
        <v>43831</v>
      </c>
      <c r="B166" s="13" t="n">
        <v>134.963250201942</v>
      </c>
      <c r="C166" s="21" t="n">
        <f aca="false">IFERROR((B166/B165-1)*100,"")</f>
        <v>0.664269094627756</v>
      </c>
      <c r="D166" s="21" t="n">
        <f aca="false">IFERROR((B166/B162-1)*100,"")</f>
        <v>2.69792732369798</v>
      </c>
      <c r="E166" s="14"/>
      <c r="F166" s="14"/>
      <c r="G166" s="14"/>
    </row>
    <row r="167" customFormat="false" ht="15" hidden="false" customHeight="false" outlineLevel="0" collapsed="false">
      <c r="A167" s="16" t="n">
        <v>43922</v>
      </c>
      <c r="B167" s="17" t="n">
        <v>134.858518269963</v>
      </c>
      <c r="C167" s="18" t="n">
        <f aca="false">IFERROR((B167/B166-1)*100,"")</f>
        <v>-0.0776003332923381</v>
      </c>
      <c r="D167" s="18" t="n">
        <f aca="false">IFERROR((B167/B163-1)*100,"")</f>
        <v>1.36141696149208</v>
      </c>
      <c r="E167" s="19"/>
      <c r="F167" s="19"/>
      <c r="G167" s="19"/>
    </row>
    <row r="168" customFormat="false" ht="15" hidden="false" customHeight="false" outlineLevel="0" collapsed="false">
      <c r="A168" s="12" t="n">
        <v>44013</v>
      </c>
      <c r="B168" s="13" t="n">
        <v>135.747213334535</v>
      </c>
      <c r="C168" s="21" t="n">
        <f aca="false">IFERROR((B168/B167-1)*100,"")</f>
        <v>0.658983263328139</v>
      </c>
      <c r="D168" s="21" t="n">
        <f aca="false">IFERROR((B168/B164-1)*100,"")</f>
        <v>1.67372294577752</v>
      </c>
      <c r="E168" s="14"/>
      <c r="F168" s="14"/>
      <c r="G168" s="14"/>
    </row>
    <row r="169" customFormat="false" ht="15" hidden="false" customHeight="false" outlineLevel="0" collapsed="false">
      <c r="A169" s="16" t="n">
        <v>44105</v>
      </c>
      <c r="B169" s="17" t="n">
        <v>136.67780863227</v>
      </c>
      <c r="C169" s="18" t="n">
        <f aca="false">IFERROR((B169/B168-1)*100,"")</f>
        <v>0.685535470582255</v>
      </c>
      <c r="D169" s="18" t="n">
        <f aca="false">IFERROR((B169/B165-1)*100,"")</f>
        <v>1.94309700482347</v>
      </c>
      <c r="E169" s="19"/>
      <c r="F169" s="19"/>
      <c r="G169" s="19"/>
    </row>
    <row r="170" customFormat="false" ht="15" hidden="false" customHeight="false" outlineLevel="0" collapsed="false">
      <c r="A170" s="12" t="n">
        <v>44197</v>
      </c>
      <c r="B170" s="13" t="n">
        <v>137.142831482452</v>
      </c>
      <c r="C170" s="21" t="n">
        <f aca="false">IFERROR((B170/B169-1)*100,"")</f>
        <v>0.340232884061775</v>
      </c>
      <c r="D170" s="21" t="n">
        <f aca="false">IFERROR((B170/B166-1)*100,"")</f>
        <v>1.61494427353259</v>
      </c>
      <c r="E170" s="14"/>
      <c r="F170" s="14"/>
      <c r="G170" s="14"/>
    </row>
    <row r="171" customFormat="false" ht="15" hidden="false" customHeight="false" outlineLevel="0" collapsed="false">
      <c r="A171" s="16" t="n">
        <v>44287</v>
      </c>
      <c r="B171" s="17" t="n">
        <v>139.250638886168</v>
      </c>
      <c r="C171" s="18" t="n">
        <f aca="false">IFERROR((B171/B170-1)*100,"")</f>
        <v>1.5369431861157</v>
      </c>
      <c r="D171" s="18" t="n">
        <f aca="false">IFERROR((B171/B167-1)*100,"")</f>
        <v>3.25683588441335</v>
      </c>
      <c r="E171" s="19"/>
      <c r="F171" s="19"/>
      <c r="G171" s="19"/>
    </row>
    <row r="172" customFormat="false" ht="15" hidden="false" customHeight="false" outlineLevel="0" collapsed="false">
      <c r="A172" s="12" t="n">
        <v>44378</v>
      </c>
      <c r="B172" s="13" t="n">
        <v>138.69102249552</v>
      </c>
      <c r="C172" s="21" t="n">
        <f aca="false">IFERROR((B172/B171-1)*100,"")</f>
        <v>-0.401877072252199</v>
      </c>
      <c r="D172" s="21" t="n">
        <f aca="false">IFERROR((B172/B168-1)*100,"")</f>
        <v>2.16859638490698</v>
      </c>
      <c r="E172" s="14"/>
      <c r="F172" s="14"/>
      <c r="G172" s="14"/>
    </row>
    <row r="173" customFormat="false" ht="15" hidden="false" customHeight="false" outlineLevel="0" collapsed="false">
      <c r="A173" s="16" t="n">
        <v>44470</v>
      </c>
      <c r="B173" s="17" t="n">
        <v>139.328061098343</v>
      </c>
      <c r="C173" s="18" t="n">
        <f aca="false">IFERROR((B173/B172-1)*100,"")</f>
        <v>0.459322161854048</v>
      </c>
      <c r="D173" s="18" t="n">
        <f aca="false">IFERROR((B173/B169-1)*100,"")</f>
        <v>1.93905103732228</v>
      </c>
      <c r="E173" s="19"/>
      <c r="F173" s="19"/>
      <c r="G173" s="19"/>
    </row>
    <row r="174" customFormat="false" ht="15" hidden="false" customHeight="false" outlineLevel="0" collapsed="false">
      <c r="A174" s="12" t="n">
        <v>44562</v>
      </c>
      <c r="B174" s="13" t="n">
        <v>140.117032302535</v>
      </c>
      <c r="C174" s="21" t="n">
        <f aca="false">IFERROR((B174/B173-1)*100,"")</f>
        <v>0.56626870278087</v>
      </c>
      <c r="D174" s="21" t="n">
        <f aca="false">IFERROR((B174/B170-1)*100,"")</f>
        <v>2.16868850375402</v>
      </c>
      <c r="E174" s="14"/>
      <c r="F174" s="14"/>
      <c r="G174" s="14"/>
    </row>
    <row r="175" customFormat="false" ht="15" hidden="false" customHeight="false" outlineLevel="0" collapsed="false">
      <c r="A175" s="16" t="n">
        <v>44652</v>
      </c>
      <c r="B175" s="17" t="n">
        <v>141.638634618846</v>
      </c>
      <c r="C175" s="18" t="n">
        <f aca="false">IFERROR((B175/B174-1)*100,"")</f>
        <v>1.08595100203495</v>
      </c>
      <c r="D175" s="18" t="n">
        <f aca="false">IFERROR((B175/B171-1)*100,"")</f>
        <v>1.7148903242233</v>
      </c>
      <c r="E175" s="19"/>
      <c r="F175" s="19"/>
      <c r="G175" s="19"/>
    </row>
    <row r="176" customFormat="false" ht="15" hidden="false" customHeight="false" outlineLevel="0" collapsed="false">
      <c r="A176" s="12" t="n">
        <v>44743</v>
      </c>
      <c r="B176" s="13" t="n">
        <v>141.909280538604</v>
      </c>
      <c r="C176" s="21" t="n">
        <f aca="false">IFERROR((B176/B175-1)*100,"")</f>
        <v>0.19108198867257</v>
      </c>
      <c r="D176" s="21" t="n">
        <f aca="false">IFERROR((B176/B172-1)*100,"")</f>
        <v>2.32045159461463</v>
      </c>
      <c r="E176" s="14"/>
      <c r="F176" s="14"/>
      <c r="G176" s="14"/>
    </row>
    <row r="177" customFormat="false" ht="15" hidden="false" customHeight="false" outlineLevel="0" collapsed="false">
      <c r="A177" s="16" t="n">
        <v>44835</v>
      </c>
      <c r="B177" s="17" t="n">
        <v>142.197687246371</v>
      </c>
      <c r="C177" s="18" t="n">
        <f aca="false">IFERROR((B177/B176-1)*100,"")</f>
        <v>0.203233154781679</v>
      </c>
      <c r="D177" s="18" t="n">
        <f aca="false">IFERROR((B177/B173-1)*100,"")</f>
        <v>2.05961823153613</v>
      </c>
      <c r="E177" s="19"/>
      <c r="F177" s="19"/>
      <c r="G177" s="19"/>
    </row>
    <row r="178" customFormat="false" ht="15" hidden="false" customHeight="false" outlineLevel="0" collapsed="false">
      <c r="A178" s="12" t="n">
        <v>44927</v>
      </c>
      <c r="B178" s="13" t="n">
        <v>142.98387404806</v>
      </c>
      <c r="C178" s="21" t="n">
        <f aca="false">IFERROR((B178/B177-1)*100,"")</f>
        <v>0.552882973635827</v>
      </c>
      <c r="D178" s="21" t="n">
        <f aca="false">IFERROR((B178/B174-1)*100,"")</f>
        <v>2.04603373224115</v>
      </c>
      <c r="E178" s="14"/>
      <c r="F178" s="14"/>
      <c r="G178" s="14"/>
    </row>
    <row r="179" customFormat="false" ht="15" hidden="false" customHeight="false" outlineLevel="0" collapsed="false">
      <c r="A179" s="16" t="n">
        <v>45017</v>
      </c>
      <c r="B179" s="17" t="n">
        <v>144.765793085316</v>
      </c>
      <c r="C179" s="18" t="n">
        <f aca="false">IFERROR((B179/B178-1)*100,"")</f>
        <v>1.24623776570558</v>
      </c>
      <c r="D179" s="18" t="n">
        <f aca="false">IFERROR((B179/B175-1)*100,"")</f>
        <v>2.20784284943525</v>
      </c>
      <c r="E179" s="19"/>
      <c r="F179" s="19"/>
      <c r="G179" s="19"/>
    </row>
    <row r="180" customFormat="false" ht="15" hidden="false" customHeight="false" outlineLevel="0" collapsed="false">
      <c r="A180" s="12" t="n">
        <v>45108</v>
      </c>
      <c r="B180" s="13" t="n">
        <v>145.285340299546</v>
      </c>
      <c r="C180" s="21" t="n">
        <f aca="false">IFERROR((B180/B179-1)*100,"")</f>
        <v>0.358888106891198</v>
      </c>
      <c r="D180" s="21" t="n">
        <f aca="false">IFERROR((B180/B176-1)*100,"")</f>
        <v>2.37902676141255</v>
      </c>
      <c r="E180" s="14"/>
      <c r="F180" s="14"/>
      <c r="G180" s="14"/>
    </row>
    <row r="181" customFormat="false" ht="15" hidden="false" customHeight="false" outlineLevel="0" collapsed="false">
      <c r="A181" s="16" t="n">
        <v>45200</v>
      </c>
      <c r="B181" s="17" t="n">
        <v>145.580375997066</v>
      </c>
      <c r="C181" s="18" t="n">
        <f aca="false">IFERROR((B181/B180-1)*100,"")</f>
        <v>0.203073274228838</v>
      </c>
      <c r="D181" s="18" t="n">
        <f aca="false">IFERROR((B181/B177-1)*100,"")</f>
        <v>2.37886340924434</v>
      </c>
      <c r="E181" s="19"/>
      <c r="F181" s="19"/>
      <c r="G181" s="19"/>
    </row>
    <row r="182" customFormat="false" ht="15" hidden="false" customHeight="false" outlineLevel="0" collapsed="false">
      <c r="A182" s="12" t="n">
        <v>45292</v>
      </c>
      <c r="B182" s="13" t="n">
        <v>146.065689530808</v>
      </c>
      <c r="C182" s="21" t="n">
        <f aca="false">IFERROR((B182/B181-1)*100,"")</f>
        <v>0.33336466568239</v>
      </c>
      <c r="D182" s="21" t="n">
        <f aca="false">IFERROR((B182/B178-1)*100,"")</f>
        <v>2.15535877962885</v>
      </c>
      <c r="E182" s="14"/>
      <c r="F182" s="14"/>
      <c r="G182" s="14"/>
    </row>
    <row r="183" customFormat="false" ht="15" hidden="false" customHeight="false" outlineLevel="0" collapsed="false">
      <c r="A183" s="16" t="n">
        <v>45383</v>
      </c>
      <c r="B183" s="17" t="n">
        <v>147.160339831499</v>
      </c>
      <c r="C183" s="18" t="n">
        <f aca="false">IFERROR((B183/B182-1)*100,"")</f>
        <v>0.749423293182372</v>
      </c>
      <c r="D183" s="18" t="n">
        <f aca="false">IFERROR((B183/B179-1)*100,"")</f>
        <v>1.65408325761915</v>
      </c>
      <c r="E183" s="19"/>
      <c r="F183" s="19"/>
      <c r="G183" s="19"/>
    </row>
    <row r="184" customFormat="false" ht="15" hidden="false" customHeight="false" outlineLevel="0" collapsed="false">
      <c r="A184" s="12" t="n">
        <v>45474</v>
      </c>
      <c r="B184" s="13" t="n">
        <v>148.187170707446</v>
      </c>
      <c r="C184" s="21" t="n">
        <f aca="false">IFERROR((B184/B183-1)*100,"")</f>
        <v>0.697763322048806</v>
      </c>
      <c r="D184" s="21" t="n">
        <f aca="false">IFERROR((B184/B180-1)*100,"")</f>
        <v>1.99733187251898</v>
      </c>
      <c r="E184" s="14"/>
      <c r="F184" s="14"/>
      <c r="G184" s="14"/>
    </row>
    <row r="185" customFormat="false" ht="15" hidden="false" customHeight="false" outlineLevel="0" collapsed="false">
      <c r="A185" s="16" t="n">
        <v>45566</v>
      </c>
      <c r="B185" s="17" t="n">
        <v>147.830970513176</v>
      </c>
      <c r="C185" s="18" t="n">
        <f aca="false">IFERROR((B185/B184-1)*100,"")</f>
        <v>-0.240371816648977</v>
      </c>
      <c r="D185" s="18" t="n">
        <f aca="false">IFERROR((B185/B181-1)*100,"")</f>
        <v>1.54594635485406</v>
      </c>
      <c r="E185" s="19"/>
      <c r="F185" s="19"/>
      <c r="G185" s="19"/>
    </row>
    <row r="186" customFormat="false" ht="15" hidden="false" customHeight="false" outlineLevel="0" collapsed="false">
      <c r="A186" s="12" t="n">
        <v>45658</v>
      </c>
      <c r="B186" s="13" t="n">
        <v>148.00269346069</v>
      </c>
      <c r="C186" s="21" t="n">
        <f aca="false">IFERROR((B186/B185-1)*100,"")</f>
        <v>0.116161685821581</v>
      </c>
      <c r="D186" s="21" t="n">
        <f aca="false">IFERROR((B186/B182-1)*100,"")</f>
        <v>1.32611836229593</v>
      </c>
      <c r="E186" s="14"/>
      <c r="F186" s="14"/>
      <c r="G186" s="14"/>
    </row>
    <row r="187" customFormat="false" ht="15" hidden="false" customHeight="false" outlineLevel="0" collapsed="false">
      <c r="A187" s="16" t="n">
        <v>45748</v>
      </c>
      <c r="B187" s="17" t="n">
        <v>150.436496359438</v>
      </c>
      <c r="C187" s="18" t="n">
        <f aca="false">IFERROR((B187/B186-1)*100,"")</f>
        <v>1.64443149096718</v>
      </c>
      <c r="D187" s="18" t="n">
        <f aca="false">IFERROR((B187/B183-1)*100,"")</f>
        <v>2.22624963471092</v>
      </c>
      <c r="E187" s="19"/>
      <c r="F187" s="19"/>
      <c r="G187" s="19"/>
    </row>
    <row r="188" customFormat="false" ht="15" hidden="false" customHeight="false" outlineLevel="0" collapsed="false">
      <c r="A188" s="12" t="n">
        <v>45839</v>
      </c>
      <c r="B188" s="13" t="n">
        <v>150.431595592731</v>
      </c>
      <c r="C188" s="21" t="n">
        <f aca="false">IFERROR((B188/B187-1)*100,"")</f>
        <v>-0.00325769798213971</v>
      </c>
      <c r="D188" s="21" t="n">
        <f aca="false">IFERROR((B188/B184-1)*100,"")</f>
        <v>1.5145878516813</v>
      </c>
      <c r="E188" s="14"/>
      <c r="F188" s="14"/>
      <c r="G188" s="14"/>
    </row>
    <row r="189" customFormat="false" ht="15" hidden="false" customHeight="false" outlineLevel="0" collapsed="false">
      <c r="A189" s="16" t="n">
        <v>45931</v>
      </c>
      <c r="B189" s="17" t="n">
        <v>151.690617578851</v>
      </c>
      <c r="C189" s="18" t="n">
        <f aca="false">IFERROR((B189/B188-1)*100,"")</f>
        <v>0.836939860378982</v>
      </c>
      <c r="D189" s="18" t="n">
        <f aca="false">IFERROR((B189/B185-1)*100,"")</f>
        <v>2.61085146926712</v>
      </c>
      <c r="E189" s="19"/>
      <c r="F189" s="19"/>
      <c r="G189" s="19"/>
    </row>
    <row r="190" customFormat="false" ht="15" hidden="false" customHeight="false" outlineLevel="0" collapsed="false">
      <c r="A190" s="12" t="n">
        <v>46023</v>
      </c>
      <c r="B190" s="14"/>
      <c r="C190" s="21" t="n">
        <f aca="false">IFERROR((B190/B189-1)*100,"")</f>
        <v>-100</v>
      </c>
      <c r="D190" s="21" t="n">
        <f aca="false">IFERROR((B190/B186-1)*100,"")</f>
        <v>-100</v>
      </c>
      <c r="E190" s="13" t="n">
        <v>152.169783411268</v>
      </c>
      <c r="F190" s="13" t="n">
        <v>150.928500561297</v>
      </c>
      <c r="G190" s="22" t="n">
        <f aca="false">152.730728-149.126273</f>
        <v>3.604455</v>
      </c>
    </row>
    <row r="191" customFormat="false" ht="15" hidden="false" customHeight="false" outlineLevel="0" collapsed="false">
      <c r="A191" s="16" t="n">
        <v>46113</v>
      </c>
      <c r="B191" s="19"/>
      <c r="C191" s="18" t="str">
        <f aca="false">IFERROR((B191/B190-1)*100,"")</f>
        <v/>
      </c>
      <c r="D191" s="18" t="n">
        <f aca="false">IFERROR((B191/B187-1)*100,"")</f>
        <v>-100</v>
      </c>
      <c r="E191" s="17" t="n">
        <v>152.937690975758</v>
      </c>
      <c r="F191" s="17" t="n">
        <v>152.258716078375</v>
      </c>
      <c r="G191" s="23" t="n">
        <f aca="false">154.80745-149.709982</f>
        <v>5.09746799999999</v>
      </c>
    </row>
    <row r="192" customFormat="false" ht="15" hidden="false" customHeight="false" outlineLevel="0" collapsed="false">
      <c r="A192" s="12" t="n">
        <v>46204</v>
      </c>
      <c r="B192" s="14"/>
      <c r="C192" s="21" t="str">
        <f aca="false">IFERROR((B192/B191-1)*100,"")</f>
        <v/>
      </c>
      <c r="D192" s="21" t="n">
        <f aca="false">IFERROR((B192/B188-1)*100,"")</f>
        <v>-100</v>
      </c>
      <c r="E192" s="13" t="n">
        <v>153.709473698735</v>
      </c>
      <c r="F192" s="13" t="n">
        <v>152.52988710546</v>
      </c>
      <c r="G192" s="22" t="n">
        <f aca="false">155.651436-149.408338</f>
        <v>6.243098</v>
      </c>
    </row>
    <row r="193" customFormat="false" ht="15" hidden="false" customHeight="false" outlineLevel="0" collapsed="false">
      <c r="A193" s="16" t="n">
        <v>46296</v>
      </c>
      <c r="B193" s="19"/>
      <c r="C193" s="18" t="str">
        <f aca="false">IFERROR((B193/B192-1)*100,"")</f>
        <v/>
      </c>
      <c r="D193" s="18" t="n">
        <f aca="false">IFERROR((B193/B189-1)*100,"")</f>
        <v>-100</v>
      </c>
      <c r="E193" s="17" t="n">
        <v>154.485151135747</v>
      </c>
      <c r="F193" s="17" t="n">
        <v>152.834523561873</v>
      </c>
      <c r="G193" s="23" t="n">
        <f aca="false">156.438978-149.230069</f>
        <v>7.20890900000001</v>
      </c>
    </row>
    <row r="194" customFormat="false" ht="15" hidden="false" customHeight="false" outlineLevel="0" collapsed="false">
      <c r="A194" s="12" t="n">
        <v>46388</v>
      </c>
      <c r="B194" s="14"/>
      <c r="C194" s="21" t="str">
        <f aca="false">IFERROR((B194/B193-1)*100,"")</f>
        <v/>
      </c>
      <c r="D194" s="21" t="str">
        <f aca="false">IFERROR((B194/B190-1)*100,"")</f>
        <v/>
      </c>
      <c r="E194" s="13" t="n">
        <v>155.264742941027</v>
      </c>
      <c r="F194" s="13" t="n">
        <v>152.583330152969</v>
      </c>
      <c r="G194" s="22" t="n">
        <f aca="false">156.613233-148.553428</f>
        <v>8.05980500000001</v>
      </c>
    </row>
    <row r="195" customFormat="false" ht="15" hidden="false" customHeight="false" outlineLevel="0" collapsed="false">
      <c r="A195" s="16" t="n">
        <v>46478</v>
      </c>
      <c r="B195" s="19"/>
      <c r="C195" s="18" t="str">
        <f aca="false">IFERROR((B195/B194-1)*100,"")</f>
        <v/>
      </c>
      <c r="D195" s="18" t="str">
        <f aca="false">IFERROR((B195/B191-1)*100,"")</f>
        <v/>
      </c>
      <c r="E195" s="17" t="n">
        <v>156.04826886799</v>
      </c>
      <c r="F195" s="17" t="n">
        <v>153.830804190463</v>
      </c>
      <c r="G195" s="23" t="n">
        <f aca="false">158.245341-149.416267</f>
        <v>8.82907399999999</v>
      </c>
    </row>
    <row r="196" customFormat="false" ht="15" hidden="false" customHeight="false" outlineLevel="0" collapsed="false">
      <c r="A196" s="12" t="n">
        <v>46569</v>
      </c>
      <c r="B196" s="14"/>
      <c r="C196" s="21" t="str">
        <f aca="false">IFERROR((B196/B195-1)*100,"")</f>
        <v/>
      </c>
      <c r="D196" s="21" t="str">
        <f aca="false">IFERROR((B196/B192-1)*100,"")</f>
        <v/>
      </c>
      <c r="E196" s="13" t="n">
        <v>156.835748769735</v>
      </c>
      <c r="F196" s="13" t="n">
        <v>154.023370811944</v>
      </c>
      <c r="G196" s="22" t="n">
        <f aca="false">158.791616-149.255126</f>
        <v>9.53649000000002</v>
      </c>
    </row>
    <row r="197" customFormat="false" ht="15" hidden="false" customHeight="false" outlineLevel="0" collapsed="false">
      <c r="A197" s="16" t="n">
        <v>46661</v>
      </c>
      <c r="B197" s="19"/>
      <c r="C197" s="18" t="str">
        <f aca="false">IFERROR((B197/B196-1)*100,"")</f>
        <v/>
      </c>
      <c r="D197" s="18" t="str">
        <f aca="false">IFERROR((B197/B193-1)*100,"")</f>
        <v/>
      </c>
      <c r="E197" s="17" t="n">
        <v>157.627202599549</v>
      </c>
      <c r="F197" s="17" t="n">
        <v>154.253333083033</v>
      </c>
      <c r="G197" s="23" t="n">
        <f aca="false">159.350801-149.155865</f>
        <v>10.194936</v>
      </c>
    </row>
  </sheetData>
  <mergeCells count="6">
    <mergeCell ref="A4:N4"/>
    <mergeCell ref="A6:G6"/>
    <mergeCell ref="I6:L6"/>
    <mergeCell ref="A102:N102"/>
    <mergeCell ref="A104:G104"/>
    <mergeCell ref="I104:L1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22.05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4" customFormat="false" ht="15" hidden="false" customHeight="false" outlineLevel="0" collapsed="false">
      <c r="A4" s="6" t="s">
        <v>32</v>
      </c>
      <c r="B4" s="6" t="s">
        <v>33</v>
      </c>
      <c r="C4" s="6" t="s">
        <v>160</v>
      </c>
      <c r="D4" s="6" t="s">
        <v>161</v>
      </c>
      <c r="E4" s="6" t="s">
        <v>124</v>
      </c>
      <c r="F4" s="6" t="s">
        <v>162</v>
      </c>
      <c r="G4" s="6" t="s">
        <v>113</v>
      </c>
    </row>
    <row r="5" customFormat="false" ht="15" hidden="false" customHeight="false" outlineLevel="0" collapsed="false">
      <c r="A5" s="14" t="s">
        <v>40</v>
      </c>
      <c r="B5" s="14" t="s">
        <v>41</v>
      </c>
      <c r="C5" s="12" t="n">
        <v>45931</v>
      </c>
      <c r="D5" s="22" t="n">
        <v>151.020549482316</v>
      </c>
      <c r="E5" s="21" t="n">
        <v>2.35200676803775</v>
      </c>
      <c r="F5" s="22" t="n">
        <v>154.195815781315</v>
      </c>
      <c r="G5" s="14" t="s">
        <v>114</v>
      </c>
    </row>
    <row r="6" customFormat="false" ht="15" hidden="false" customHeight="false" outlineLevel="0" collapsed="false">
      <c r="A6" s="19" t="s">
        <v>40</v>
      </c>
      <c r="B6" s="19" t="s">
        <v>48</v>
      </c>
      <c r="C6" s="16" t="n">
        <v>45931</v>
      </c>
      <c r="D6" s="23" t="n">
        <v>28515.0714061866</v>
      </c>
      <c r="E6" s="18" t="n">
        <v>2.80087987901596</v>
      </c>
      <c r="F6" s="23" t="n">
        <v>29093.2490357947</v>
      </c>
      <c r="G6" s="19" t="s">
        <v>114</v>
      </c>
    </row>
    <row r="7" customFormat="false" ht="15" hidden="false" customHeight="false" outlineLevel="0" collapsed="false">
      <c r="A7" s="14" t="s">
        <v>40</v>
      </c>
      <c r="B7" s="14" t="s">
        <v>53</v>
      </c>
      <c r="C7" s="12" t="n">
        <v>45931</v>
      </c>
      <c r="D7" s="22" t="n">
        <v>151.778398562235</v>
      </c>
      <c r="E7" s="21" t="n">
        <v>1.97356151723855</v>
      </c>
      <c r="F7" s="22" t="n">
        <v>154.902560254587</v>
      </c>
      <c r="G7" s="14" t="s">
        <v>114</v>
      </c>
    </row>
    <row r="8" customFormat="false" ht="15" hidden="false" customHeight="false" outlineLevel="0" collapsed="false">
      <c r="A8" s="19" t="s">
        <v>59</v>
      </c>
      <c r="B8" s="19" t="s">
        <v>60</v>
      </c>
      <c r="C8" s="16" t="n">
        <v>45931</v>
      </c>
      <c r="D8" s="23" t="n">
        <v>151.230957805459</v>
      </c>
      <c r="E8" s="18" t="n">
        <v>2.31526185874347</v>
      </c>
      <c r="F8" s="23" t="n">
        <v>153.746903651435</v>
      </c>
      <c r="G8" s="19" t="s">
        <v>114</v>
      </c>
    </row>
    <row r="9" customFormat="false" ht="15" hidden="false" customHeight="false" outlineLevel="0" collapsed="false">
      <c r="A9" s="14" t="s">
        <v>59</v>
      </c>
      <c r="B9" s="14" t="s">
        <v>65</v>
      </c>
      <c r="C9" s="12" t="n">
        <v>45931</v>
      </c>
      <c r="D9" s="22" t="n">
        <v>150.912468938227</v>
      </c>
      <c r="E9" s="21" t="n">
        <v>1.09081081135045</v>
      </c>
      <c r="F9" s="22" t="n">
        <v>154.224246641974</v>
      </c>
      <c r="G9" s="14" t="s">
        <v>114</v>
      </c>
    </row>
    <row r="10" customFormat="false" ht="15" hidden="false" customHeight="false" outlineLevel="0" collapsed="false">
      <c r="A10" s="19" t="s">
        <v>59</v>
      </c>
      <c r="B10" s="19" t="s">
        <v>70</v>
      </c>
      <c r="C10" s="16" t="n">
        <v>45931</v>
      </c>
      <c r="D10" s="23" t="n">
        <v>150.840443096942</v>
      </c>
      <c r="E10" s="18" t="n">
        <v>1.87569350105488</v>
      </c>
      <c r="F10" s="23" t="n">
        <v>153.736975830282</v>
      </c>
      <c r="G10" s="19" t="s">
        <v>114</v>
      </c>
    </row>
    <row r="11" customFormat="false" ht="15" hidden="false" customHeight="false" outlineLevel="0" collapsed="false">
      <c r="A11" s="14" t="s">
        <v>73</v>
      </c>
      <c r="B11" s="14" t="s">
        <v>74</v>
      </c>
      <c r="C11" s="12" t="n">
        <v>45931</v>
      </c>
      <c r="D11" s="22" t="n">
        <v>150.990677317384</v>
      </c>
      <c r="E11" s="21" t="n">
        <v>1.85233450463027</v>
      </c>
      <c r="F11" s="22" t="n">
        <v>154.037592254191</v>
      </c>
      <c r="G11" s="14" t="s">
        <v>114</v>
      </c>
    </row>
    <row r="12" customFormat="false" ht="15" hidden="false" customHeight="false" outlineLevel="0" collapsed="false">
      <c r="A12" s="19" t="s">
        <v>73</v>
      </c>
      <c r="B12" s="19" t="s">
        <v>78</v>
      </c>
      <c r="C12" s="16" t="n">
        <v>45931</v>
      </c>
      <c r="D12" s="23" t="n">
        <v>151.477299197719</v>
      </c>
      <c r="E12" s="18" t="n">
        <v>2.21837286716322</v>
      </c>
      <c r="F12" s="23" t="n">
        <v>154.724474482106</v>
      </c>
      <c r="G12" s="19" t="s">
        <v>114</v>
      </c>
    </row>
    <row r="13" customFormat="false" ht="15" hidden="false" customHeight="false" outlineLevel="0" collapsed="false">
      <c r="A13" s="14" t="s">
        <v>73</v>
      </c>
      <c r="B13" s="14" t="s">
        <v>81</v>
      </c>
      <c r="C13" s="12" t="n">
        <v>45931</v>
      </c>
      <c r="D13" s="22" t="n">
        <v>151.317371244079</v>
      </c>
      <c r="E13" s="21" t="n">
        <v>2.29433248878723</v>
      </c>
      <c r="F13" s="22" t="n">
        <v>154.040904637199</v>
      </c>
      <c r="G13" s="14" t="s">
        <v>114</v>
      </c>
    </row>
    <row r="14" customFormat="false" ht="15" hidden="false" customHeight="false" outlineLevel="0" collapsed="false">
      <c r="A14" s="19" t="s">
        <v>85</v>
      </c>
      <c r="B14" s="19" t="s">
        <v>86</v>
      </c>
      <c r="C14" s="16" t="n">
        <v>45931</v>
      </c>
      <c r="D14" s="23" t="n">
        <v>151.392616988374</v>
      </c>
      <c r="E14" s="18" t="n">
        <v>1.49115005961238</v>
      </c>
      <c r="F14" s="23" t="n">
        <v>154.516594463539</v>
      </c>
      <c r="G14" s="19" t="s">
        <v>114</v>
      </c>
    </row>
    <row r="15" customFormat="false" ht="15" hidden="false" customHeight="false" outlineLevel="0" collapsed="false">
      <c r="A15" s="14" t="s">
        <v>85</v>
      </c>
      <c r="B15" s="14" t="s">
        <v>90</v>
      </c>
      <c r="C15" s="12" t="n">
        <v>45931</v>
      </c>
      <c r="D15" s="22" t="n">
        <v>151.211191896028</v>
      </c>
      <c r="E15" s="21" t="n">
        <v>2.15655014507563</v>
      </c>
      <c r="F15" s="22" t="n">
        <v>153.743479375238</v>
      </c>
      <c r="G15" s="14" t="s">
        <v>114</v>
      </c>
    </row>
    <row r="16" customFormat="false" ht="15" hidden="false" customHeight="false" outlineLevel="0" collapsed="false">
      <c r="A16" s="19" t="s">
        <v>85</v>
      </c>
      <c r="B16" s="19" t="s">
        <v>94</v>
      </c>
      <c r="C16" s="16" t="n">
        <v>45931</v>
      </c>
      <c r="D16" s="23" t="n">
        <v>504.296308027319</v>
      </c>
      <c r="E16" s="18" t="n">
        <v>2.78756864191811</v>
      </c>
      <c r="F16" s="23" t="n">
        <v>515.987398500081</v>
      </c>
      <c r="G16" s="19" t="s">
        <v>114</v>
      </c>
    </row>
    <row r="17" customFormat="false" ht="15" hidden="false" customHeight="false" outlineLevel="0" collapsed="false">
      <c r="A17" s="14" t="s">
        <v>85</v>
      </c>
      <c r="B17" s="14" t="s">
        <v>98</v>
      </c>
      <c r="C17" s="12" t="n">
        <v>45931</v>
      </c>
      <c r="D17" s="22" t="n">
        <v>151.73255812137</v>
      </c>
      <c r="E17" s="21" t="n">
        <v>2.14361189751524</v>
      </c>
      <c r="F17" s="22" t="n">
        <v>154.190358037346</v>
      </c>
      <c r="G17" s="14" t="s">
        <v>114</v>
      </c>
    </row>
    <row r="18" customFormat="false" ht="15" hidden="false" customHeight="false" outlineLevel="0" collapsed="false">
      <c r="A18" s="19" t="s">
        <v>101</v>
      </c>
      <c r="B18" s="19" t="s">
        <v>102</v>
      </c>
      <c r="C18" s="16" t="n">
        <v>45931</v>
      </c>
      <c r="D18" s="23" t="n">
        <v>151.962040462415</v>
      </c>
      <c r="E18" s="18" t="n">
        <v>2.83737924042984</v>
      </c>
      <c r="F18" s="23" t="n">
        <v>154.460117254107</v>
      </c>
      <c r="G18" s="19" t="s">
        <v>114</v>
      </c>
    </row>
    <row r="19" customFormat="false" ht="15" hidden="false" customHeight="false" outlineLevel="0" collapsed="false">
      <c r="A19" s="14" t="s">
        <v>101</v>
      </c>
      <c r="B19" s="14" t="s">
        <v>106</v>
      </c>
      <c r="C19" s="12" t="n">
        <v>45931</v>
      </c>
      <c r="D19" s="22" t="n">
        <v>151.690617578851</v>
      </c>
      <c r="E19" s="21" t="n">
        <v>2.61085146926707</v>
      </c>
      <c r="F19" s="22" t="n">
        <v>154.253333083033</v>
      </c>
      <c r="G19" s="14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2026-05-03T15:06:05Z</dcterms:created>
  <dc:creator>openpyxl</dc:creator>
  <dc:description/>
  <dc:language>en-US</dc:language>
  <cp:lastModifiedBy/>
  <dcterms:modified xsi:type="dcterms:W3CDTF">2026-05-03T15:06:11Z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