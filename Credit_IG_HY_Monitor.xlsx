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X &amp; iTraxx" sheetId="1" state="visible" r:id="rId1"/>
    <sheet xmlns:r="http://schemas.openxmlformats.org/officeDocument/2006/relationships" name="OAS" sheetId="2" state="visible" r:id="rId2"/>
    <sheet xmlns:r="http://schemas.openxmlformats.org/officeDocument/2006/relationships" name="US IG Sec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-"/>
    <numFmt numFmtId="165" formatCode="+0.0;[Red]-0.0;-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sz val="10"/>
    </font>
    <font>
      <name val="Arial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5" fillId="0" borderId="1" pivotButton="0" quotePrefix="0" xfId="0"/>
    <xf numFmtId="0" fontId="6" fillId="0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Credit Default Swap Indices — spreads in bps</t>
        </is>
      </c>
    </row>
    <row r="2">
      <c r="A2" s="2" t="inlineStr">
        <is>
          <t>As of:</t>
        </is>
      </c>
      <c r="B2" s="2">
        <f>TEXT(TODAY(),"yyyy-mm-dd")</f>
        <v/>
      </c>
      <c r="C2" s="2" t="inlineStr">
        <is>
          <t>(BBG add-in required for live values)</t>
        </is>
      </c>
    </row>
    <row r="4">
      <c r="A4" s="3" t="inlineStr">
        <is>
          <t>Security</t>
        </is>
      </c>
      <c r="B4" s="3" t="inlineStr">
        <is>
          <t>BBG Ticker</t>
        </is>
      </c>
      <c r="C4" s="3" t="inlineStr">
        <is>
          <t>Last</t>
        </is>
      </c>
      <c r="D4" s="3" t="inlineStr">
        <is>
          <t>1d</t>
        </is>
      </c>
      <c r="E4" s="3" t="inlineStr">
        <is>
          <t>5d</t>
        </is>
      </c>
      <c r="F4" s="3" t="inlineStr">
        <is>
          <t>MTD</t>
        </is>
      </c>
      <c r="G4" s="3" t="inlineStr">
        <is>
          <t>YTD</t>
        </is>
      </c>
      <c r="H4" s="3" t="inlineStr">
        <is>
          <t>1Y</t>
        </is>
      </c>
    </row>
    <row r="5">
      <c r="A5" s="4" t="inlineStr">
        <is>
          <t>North America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5" t="inlineStr">
        <is>
          <t>CDX IG 5Y (OTR)</t>
        </is>
      </c>
      <c r="B6" s="6" t="inlineStr">
        <is>
          <t>IBOXUMAE Index</t>
        </is>
      </c>
      <c r="C6" s="7">
        <f>BDP("IBOXUMAE Index","PX_LAST")</f>
        <v/>
      </c>
      <c r="D6" s="8">
        <f>BDP("IBOXUMAE Index","CHG_NET_1D")</f>
        <v/>
      </c>
      <c r="E6" s="8">
        <f>BDP("IBOXUMAE Index","CHG_NET_5D")</f>
        <v/>
      </c>
      <c r="F6" s="8">
        <f>BDP("IBOXUMAE Index","CHG_NET_MTD")</f>
        <v/>
      </c>
      <c r="G6" s="8">
        <f>BDP("IBOXUMAE Index","CHG_NET_YTD")</f>
        <v/>
      </c>
      <c r="H6" s="8">
        <f>BDP("IBOXUMAE Index","CHG_NET_1Y")</f>
        <v/>
      </c>
    </row>
    <row r="7">
      <c r="A7" s="5" t="inlineStr">
        <is>
          <t>CDX HY 5Y (OTR)</t>
        </is>
      </c>
      <c r="B7" s="6" t="inlineStr">
        <is>
          <t>IBOXHYSE Index</t>
        </is>
      </c>
      <c r="C7" s="7">
        <f>BDP("IBOXHYSE Index","PX_LAST")</f>
        <v/>
      </c>
      <c r="D7" s="8">
        <f>BDP("IBOXHYSE Index","CHG_NET_1D")</f>
        <v/>
      </c>
      <c r="E7" s="8">
        <f>BDP("IBOXHYSE Index","CHG_NET_5D")</f>
        <v/>
      </c>
      <c r="F7" s="8">
        <f>BDP("IBOXHYSE Index","CHG_NET_MTD")</f>
        <v/>
      </c>
      <c r="G7" s="8">
        <f>BDP("IBOXHYSE Index","CHG_NET_YTD")</f>
        <v/>
      </c>
      <c r="H7" s="8">
        <f>BDP("IBOXHYSE Index","CHG_NET_1Y")</f>
        <v/>
      </c>
    </row>
    <row r="8">
      <c r="A8" s="5" t="inlineStr">
        <is>
          <t>CDX EM 5Y</t>
        </is>
      </c>
      <c r="B8" s="6" t="inlineStr">
        <is>
          <t>CDXEM CDSI GEN 5Y Corp</t>
        </is>
      </c>
      <c r="C8" s="7">
        <f>BDP("CDXEM CDSI GEN 5Y Corp","PX_LAST")</f>
        <v/>
      </c>
      <c r="D8" s="8">
        <f>BDP("CDXEM CDSI GEN 5Y Corp","CHG_NET_1D")</f>
        <v/>
      </c>
      <c r="E8" s="8">
        <f>BDP("CDXEM CDSI GEN 5Y Corp","CHG_NET_5D")</f>
        <v/>
      </c>
      <c r="F8" s="8">
        <f>BDP("CDXEM CDSI GEN 5Y Corp","CHG_NET_MTD")</f>
        <v/>
      </c>
      <c r="G8" s="8">
        <f>BDP("CDXEM CDSI GEN 5Y Corp","CHG_NET_YTD")</f>
        <v/>
      </c>
      <c r="H8" s="8">
        <f>BDP("CDXEM CDSI GEN 5Y Corp","CHG_NET_1Y")</f>
        <v/>
      </c>
    </row>
    <row r="9">
      <c r="A9" s="4" t="inlineStr">
        <is>
          <t>Europe</t>
        </is>
      </c>
      <c r="B9" s="4" t="n"/>
      <c r="C9" s="4" t="n"/>
      <c r="D9" s="4" t="n"/>
      <c r="E9" s="4" t="n"/>
      <c r="F9" s="4" t="n"/>
      <c r="G9" s="4" t="n"/>
      <c r="H9" s="4" t="n"/>
    </row>
    <row r="10">
      <c r="A10" s="5" t="inlineStr">
        <is>
          <t>iTraxx Main 5Y</t>
        </is>
      </c>
      <c r="B10" s="6" t="inlineStr">
        <is>
          <t>ITRXEBE CBIN Curncy</t>
        </is>
      </c>
      <c r="C10" s="7">
        <f>BDP("ITRXEBE CBIN Curncy","PX_LAST")</f>
        <v/>
      </c>
      <c r="D10" s="8">
        <f>BDP("ITRXEBE CBIN Curncy","CHG_NET_1D")</f>
        <v/>
      </c>
      <c r="E10" s="8">
        <f>BDP("ITRXEBE CBIN Curncy","CHG_NET_5D")</f>
        <v/>
      </c>
      <c r="F10" s="8">
        <f>BDP("ITRXEBE CBIN Curncy","CHG_NET_MTD")</f>
        <v/>
      </c>
      <c r="G10" s="8">
        <f>BDP("ITRXEBE CBIN Curncy","CHG_NET_YTD")</f>
        <v/>
      </c>
      <c r="H10" s="8">
        <f>BDP("ITRXEBE CBIN Curncy","CHG_NET_1Y")</f>
        <v/>
      </c>
    </row>
    <row r="11">
      <c r="A11" s="5" t="inlineStr">
        <is>
          <t>iTraxx XOver 5Y</t>
        </is>
      </c>
      <c r="B11" s="6" t="inlineStr">
        <is>
          <t>ITRXEXE CBIN Curncy</t>
        </is>
      </c>
      <c r="C11" s="7">
        <f>BDP("ITRXEXE CBIN Curncy","PX_LAST")</f>
        <v/>
      </c>
      <c r="D11" s="8">
        <f>BDP("ITRXEXE CBIN Curncy","CHG_NET_1D")</f>
        <v/>
      </c>
      <c r="E11" s="8">
        <f>BDP("ITRXEXE CBIN Curncy","CHG_NET_5D")</f>
        <v/>
      </c>
      <c r="F11" s="8">
        <f>BDP("ITRXEXE CBIN Curncy","CHG_NET_MTD")</f>
        <v/>
      </c>
      <c r="G11" s="8">
        <f>BDP("ITRXEXE CBIN Curncy","CHG_NET_YTD")</f>
        <v/>
      </c>
      <c r="H11" s="8">
        <f>BDP("ITRXEXE CBIN Curncy","CHG_NET_1Y")</f>
        <v/>
      </c>
    </row>
    <row r="12">
      <c r="A12" s="5" t="inlineStr">
        <is>
          <t>iTraxx Snr Fin 5Y</t>
        </is>
      </c>
      <c r="B12" s="6" t="inlineStr">
        <is>
          <t>ITRXESE CBIN Curncy</t>
        </is>
      </c>
      <c r="C12" s="7">
        <f>BDP("ITRXESE CBIN Curncy","PX_LAST")</f>
        <v/>
      </c>
      <c r="D12" s="8">
        <f>BDP("ITRXESE CBIN Curncy","CHG_NET_1D")</f>
        <v/>
      </c>
      <c r="E12" s="8">
        <f>BDP("ITRXESE CBIN Curncy","CHG_NET_5D")</f>
        <v/>
      </c>
      <c r="F12" s="8">
        <f>BDP("ITRXESE CBIN Curncy","CHG_NET_MTD")</f>
        <v/>
      </c>
      <c r="G12" s="8">
        <f>BDP("ITRXESE CBIN Curncy","CHG_NET_YTD")</f>
        <v/>
      </c>
      <c r="H12" s="8">
        <f>BDP("ITRXESE CBIN Curncy","CHG_NET_1Y")</f>
        <v/>
      </c>
    </row>
    <row r="13">
      <c r="A13" s="5" t="inlineStr">
        <is>
          <t>iTraxx Sub Fin 5Y</t>
        </is>
      </c>
      <c r="B13" s="6" t="inlineStr">
        <is>
          <t>ITRXEUE CBIN Curncy</t>
        </is>
      </c>
      <c r="C13" s="7">
        <f>BDP("ITRXEUE CBIN Curncy","PX_LAST")</f>
        <v/>
      </c>
      <c r="D13" s="8">
        <f>BDP("ITRXEUE CBIN Curncy","CHG_NET_1D")</f>
        <v/>
      </c>
      <c r="E13" s="8">
        <f>BDP("ITRXEUE CBIN Curncy","CHG_NET_5D")</f>
        <v/>
      </c>
      <c r="F13" s="8">
        <f>BDP("ITRXEUE CBIN Curncy","CHG_NET_MTD")</f>
        <v/>
      </c>
      <c r="G13" s="8">
        <f>BDP("ITRXEUE CBIN Curncy","CHG_NET_YTD")</f>
        <v/>
      </c>
      <c r="H13" s="8">
        <f>BDP("ITRXEUE CBIN Curncy","CHG_NET_1Y")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Bloomberg Index OAS (bps)</t>
        </is>
      </c>
    </row>
    <row r="2">
      <c r="A2" s="2" t="inlineStr">
        <is>
          <t>As of:</t>
        </is>
      </c>
      <c r="B2" s="2">
        <f>TEXT(TODAY(),"yyyy-mm-dd")</f>
        <v/>
      </c>
      <c r="C2" s="2" t="inlineStr">
        <is>
          <t>(BBG add-in required for live values)</t>
        </is>
      </c>
    </row>
    <row r="4">
      <c r="A4" s="3" t="inlineStr">
        <is>
          <t>Security</t>
        </is>
      </c>
      <c r="B4" s="3" t="inlineStr">
        <is>
          <t>BBG Ticker</t>
        </is>
      </c>
      <c r="C4" s="3" t="inlineStr">
        <is>
          <t>Last</t>
        </is>
      </c>
      <c r="D4" s="3" t="inlineStr">
        <is>
          <t>1d</t>
        </is>
      </c>
      <c r="E4" s="3" t="inlineStr">
        <is>
          <t>5d</t>
        </is>
      </c>
      <c r="F4" s="3" t="inlineStr">
        <is>
          <t>MTD</t>
        </is>
      </c>
      <c r="G4" s="3" t="inlineStr">
        <is>
          <t>YTD</t>
        </is>
      </c>
      <c r="H4" s="3" t="inlineStr">
        <is>
          <t>1Y</t>
        </is>
      </c>
    </row>
    <row r="5">
      <c r="A5" s="4" t="inlineStr">
        <is>
          <t>United States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5" t="inlineStr">
        <is>
          <t>US Agg OAS</t>
        </is>
      </c>
      <c r="B6" s="6" t="inlineStr">
        <is>
          <t>LBUSOAS Index</t>
        </is>
      </c>
      <c r="C6" s="7">
        <f>BDP("LBUSOAS Index","PX_LAST")</f>
        <v/>
      </c>
      <c r="D6" s="8">
        <f>BDP("LBUSOAS Index","CHG_NET_1D")</f>
        <v/>
      </c>
      <c r="E6" s="8">
        <f>BDP("LBUSOAS Index","CHG_NET_5D")</f>
        <v/>
      </c>
      <c r="F6" s="8">
        <f>BDP("LBUSOAS Index","CHG_NET_MTD")</f>
        <v/>
      </c>
      <c r="G6" s="8">
        <f>BDP("LBUSOAS Index","CHG_NET_YTD")</f>
        <v/>
      </c>
      <c r="H6" s="8">
        <f>BDP("LBUSOAS Index","CHG_NET_1Y")</f>
        <v/>
      </c>
    </row>
    <row r="7">
      <c r="A7" s="5" t="inlineStr">
        <is>
          <t>US Corp IG OAS</t>
        </is>
      </c>
      <c r="B7" s="6" t="inlineStr">
        <is>
          <t>LUACOAS Index</t>
        </is>
      </c>
      <c r="C7" s="7">
        <f>BDP("LUACOAS Index","PX_LAST")</f>
        <v/>
      </c>
      <c r="D7" s="8">
        <f>BDP("LUACOAS Index","CHG_NET_1D")</f>
        <v/>
      </c>
      <c r="E7" s="8">
        <f>BDP("LUACOAS Index","CHG_NET_5D")</f>
        <v/>
      </c>
      <c r="F7" s="8">
        <f>BDP("LUACOAS Index","CHG_NET_MTD")</f>
        <v/>
      </c>
      <c r="G7" s="8">
        <f>BDP("LUACOAS Index","CHG_NET_YTD")</f>
        <v/>
      </c>
      <c r="H7" s="8">
        <f>BDP("LUACOAS Index","CHG_NET_1Y")</f>
        <v/>
      </c>
    </row>
    <row r="8">
      <c r="A8" s="5" t="inlineStr">
        <is>
          <t>US Corp HY OAS</t>
        </is>
      </c>
      <c r="B8" s="6" t="inlineStr">
        <is>
          <t>LF98OAS Index</t>
        </is>
      </c>
      <c r="C8" s="7">
        <f>BDP("LF98OAS Index","PX_LAST")</f>
        <v/>
      </c>
      <c r="D8" s="8">
        <f>BDP("LF98OAS Index","CHG_NET_1D")</f>
        <v/>
      </c>
      <c r="E8" s="8">
        <f>BDP("LF98OAS Index","CHG_NET_5D")</f>
        <v/>
      </c>
      <c r="F8" s="8">
        <f>BDP("LF98OAS Index","CHG_NET_MTD")</f>
        <v/>
      </c>
      <c r="G8" s="8">
        <f>BDP("LF98OAS Index","CHG_NET_YTD")</f>
        <v/>
      </c>
      <c r="H8" s="8">
        <f>BDP("LF98OAS Index","CHG_NET_1Y")</f>
        <v/>
      </c>
    </row>
    <row r="9">
      <c r="A9" s="5" t="inlineStr">
        <is>
          <t>US Lev Loans Spread</t>
        </is>
      </c>
      <c r="B9" s="6" t="inlineStr">
        <is>
          <t>SPBDALB Index</t>
        </is>
      </c>
      <c r="C9" s="7">
        <f>BDP("SPBDALB Index","PX_LAST")</f>
        <v/>
      </c>
      <c r="D9" s="8">
        <f>BDP("SPBDALB Index","CHG_NET_1D")</f>
        <v/>
      </c>
      <c r="E9" s="8">
        <f>BDP("SPBDALB Index","CHG_NET_5D")</f>
        <v/>
      </c>
      <c r="F9" s="8">
        <f>BDP("SPBDALB Index","CHG_NET_MTD")</f>
        <v/>
      </c>
      <c r="G9" s="8">
        <f>BDP("SPBDALB Index","CHG_NET_YTD")</f>
        <v/>
      </c>
      <c r="H9" s="8">
        <f>BDP("SPBDALB Index","CHG_NET_1Y")</f>
        <v/>
      </c>
    </row>
    <row r="10">
      <c r="A10" s="5" t="inlineStr">
        <is>
          <t>CMBS IG OAS</t>
        </is>
      </c>
      <c r="B10" s="6" t="inlineStr">
        <is>
          <t>LUCMOAS Index</t>
        </is>
      </c>
      <c r="C10" s="7">
        <f>BDP("LUCMOAS Index","PX_LAST")</f>
        <v/>
      </c>
      <c r="D10" s="8">
        <f>BDP("LUCMOAS Index","CHG_NET_1D")</f>
        <v/>
      </c>
      <c r="E10" s="8">
        <f>BDP("LUCMOAS Index","CHG_NET_5D")</f>
        <v/>
      </c>
      <c r="F10" s="8">
        <f>BDP("LUCMOAS Index","CHG_NET_MTD")</f>
        <v/>
      </c>
      <c r="G10" s="8">
        <f>BDP("LUCMOAS Index","CHG_NET_YTD")</f>
        <v/>
      </c>
      <c r="H10" s="8">
        <f>BDP("LUCMOAS Index","CHG_NET_1Y")</f>
        <v/>
      </c>
    </row>
    <row r="11">
      <c r="A11" s="4" t="inlineStr">
        <is>
          <t>Europe</t>
        </is>
      </c>
      <c r="B11" s="4" t="n"/>
      <c r="C11" s="4" t="n"/>
      <c r="D11" s="4" t="n"/>
      <c r="E11" s="4" t="n"/>
      <c r="F11" s="4" t="n"/>
      <c r="G11" s="4" t="n"/>
      <c r="H11" s="4" t="n"/>
    </row>
    <row r="12">
      <c r="A12" s="5" t="inlineStr">
        <is>
          <t>Pan-Euro Agg OAS</t>
        </is>
      </c>
      <c r="B12" s="6" t="inlineStr">
        <is>
          <t>LBEAOAS Index</t>
        </is>
      </c>
      <c r="C12" s="7">
        <f>BDP("LBEAOAS Index","PX_LAST")</f>
        <v/>
      </c>
      <c r="D12" s="8">
        <f>BDP("LBEAOAS Index","CHG_NET_1D")</f>
        <v/>
      </c>
      <c r="E12" s="8">
        <f>BDP("LBEAOAS Index","CHG_NET_5D")</f>
        <v/>
      </c>
      <c r="F12" s="8">
        <f>BDP("LBEAOAS Index","CHG_NET_MTD")</f>
        <v/>
      </c>
      <c r="G12" s="8">
        <f>BDP("LBEAOAS Index","CHG_NET_YTD")</f>
        <v/>
      </c>
      <c r="H12" s="8">
        <f>BDP("LBEAOAS Index","CHG_NET_1Y")</f>
        <v/>
      </c>
    </row>
    <row r="13">
      <c r="A13" s="5" t="inlineStr">
        <is>
          <t>Euro Corp IG OAS</t>
        </is>
      </c>
      <c r="B13" s="6" t="inlineStr">
        <is>
          <t>LECPOAS Index</t>
        </is>
      </c>
      <c r="C13" s="7">
        <f>BDP("LECPOAS Index","PX_LAST")</f>
        <v/>
      </c>
      <c r="D13" s="8">
        <f>BDP("LECPOAS Index","CHG_NET_1D")</f>
        <v/>
      </c>
      <c r="E13" s="8">
        <f>BDP("LECPOAS Index","CHG_NET_5D")</f>
        <v/>
      </c>
      <c r="F13" s="8">
        <f>BDP("LECPOAS Index","CHG_NET_MTD")</f>
        <v/>
      </c>
      <c r="G13" s="8">
        <f>BDP("LECPOAS Index","CHG_NET_YTD")</f>
        <v/>
      </c>
      <c r="H13" s="8">
        <f>BDP("LECPOAS Index","CHG_NET_1Y")</f>
        <v/>
      </c>
    </row>
    <row r="14">
      <c r="A14" s="5" t="inlineStr">
        <is>
          <t>Pan-Euro HY OAS</t>
        </is>
      </c>
      <c r="B14" s="6" t="inlineStr">
        <is>
          <t>LP01OAS Index</t>
        </is>
      </c>
      <c r="C14" s="7">
        <f>BDP("LP01OAS Index","PX_LAST")</f>
        <v/>
      </c>
      <c r="D14" s="8">
        <f>BDP("LP01OAS Index","CHG_NET_1D")</f>
        <v/>
      </c>
      <c r="E14" s="8">
        <f>BDP("LP01OAS Index","CHG_NET_5D")</f>
        <v/>
      </c>
      <c r="F14" s="8">
        <f>BDP("LP01OAS Index","CHG_NET_MTD")</f>
        <v/>
      </c>
      <c r="G14" s="8">
        <f>BDP("LP01OAS Index","CHG_NET_YTD")</f>
        <v/>
      </c>
      <c r="H14" s="8">
        <f>BDP("LP01OAS Index","CHG_NET_1Y")</f>
        <v/>
      </c>
    </row>
    <row r="15">
      <c r="A15" s="4" t="inlineStr">
        <is>
          <t>Emerging Markets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5" t="inlineStr">
        <is>
          <t>EM USD Agg OAS</t>
        </is>
      </c>
      <c r="B16" s="6" t="inlineStr">
        <is>
          <t>EMUSOAS Index</t>
        </is>
      </c>
      <c r="C16" s="7">
        <f>BDP("EMUSOAS Index","PX_LAST")</f>
        <v/>
      </c>
      <c r="D16" s="8">
        <f>BDP("EMUSOAS Index","CHG_NET_1D")</f>
        <v/>
      </c>
      <c r="E16" s="8">
        <f>BDP("EMUSOAS Index","CHG_NET_5D")</f>
        <v/>
      </c>
      <c r="F16" s="8">
        <f>BDP("EMUSOAS Index","CHG_NET_MTD")</f>
        <v/>
      </c>
      <c r="G16" s="8">
        <f>BDP("EMUSOAS Index","CHG_NET_YTD")</f>
        <v/>
      </c>
      <c r="H16" s="8">
        <f>BDP("EMUSOAS Index","CHG_NET_1Y")</f>
        <v/>
      </c>
    </row>
    <row r="17">
      <c r="A17" s="5" t="inlineStr">
        <is>
          <t>EM USD Sovereign OAS</t>
        </is>
      </c>
      <c r="B17" s="6" t="inlineStr">
        <is>
          <t>EMSOOAS Index</t>
        </is>
      </c>
      <c r="C17" s="7">
        <f>BDP("EMSOOAS Index","PX_LAST")</f>
        <v/>
      </c>
      <c r="D17" s="8">
        <f>BDP("EMSOOAS Index","CHG_NET_1D")</f>
        <v/>
      </c>
      <c r="E17" s="8">
        <f>BDP("EMSOOAS Index","CHG_NET_5D")</f>
        <v/>
      </c>
      <c r="F17" s="8">
        <f>BDP("EMSOOAS Index","CHG_NET_MTD")</f>
        <v/>
      </c>
      <c r="G17" s="8">
        <f>BDP("EMSOOAS Index","CHG_NET_YTD")</f>
        <v/>
      </c>
      <c r="H17" s="8">
        <f>BDP("EMSOOAS Index","CHG_NET_1Y")</f>
        <v/>
      </c>
    </row>
    <row r="18">
      <c r="A18" s="5" t="inlineStr">
        <is>
          <t>EM USD Corp OAS</t>
        </is>
      </c>
      <c r="B18" s="6" t="inlineStr">
        <is>
          <t>EMCBOAS Index</t>
        </is>
      </c>
      <c r="C18" s="7">
        <f>BDP("EMCBOAS Index","PX_LAST")</f>
        <v/>
      </c>
      <c r="D18" s="8">
        <f>BDP("EMCBOAS Index","CHG_NET_1D")</f>
        <v/>
      </c>
      <c r="E18" s="8">
        <f>BDP("EMCBOAS Index","CHG_NET_5D")</f>
        <v/>
      </c>
      <c r="F18" s="8">
        <f>BDP("EMCBOAS Index","CHG_NET_MTD")</f>
        <v/>
      </c>
      <c r="G18" s="8">
        <f>BDP("EMCBOAS Index","CHG_NET_YTD")</f>
        <v/>
      </c>
      <c r="H18" s="8">
        <f>BDP("EMCBOAS Index","CHG_NET_1Y")</f>
        <v/>
      </c>
    </row>
    <row r="19">
      <c r="A19" s="5" t="inlineStr">
        <is>
          <t>Asia USD IG OAS</t>
        </is>
      </c>
      <c r="B19" s="6" t="inlineStr">
        <is>
          <t>BACMOAS Index</t>
        </is>
      </c>
      <c r="C19" s="7">
        <f>BDP("BACMOAS Index","PX_LAST")</f>
        <v/>
      </c>
      <c r="D19" s="8">
        <f>BDP("BACMOAS Index","CHG_NET_1D")</f>
        <v/>
      </c>
      <c r="E19" s="8">
        <f>BDP("BACMOAS Index","CHG_NET_5D")</f>
        <v/>
      </c>
      <c r="F19" s="8">
        <f>BDP("BACMOAS Index","CHG_NET_MTD")</f>
        <v/>
      </c>
      <c r="G19" s="8">
        <f>BDP("BACMOAS Index","CHG_NET_YTD")</f>
        <v/>
      </c>
      <c r="H19" s="8">
        <f>BDP("BACMOAS Index","CHG_NET_1Y")</f>
        <v/>
      </c>
    </row>
    <row r="20">
      <c r="A20" s="4" t="inlineStr">
        <is>
          <t>Spread relationships (bps)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9" t="inlineStr">
        <is>
          <t>US HY - US IG</t>
        </is>
      </c>
      <c r="B21" s="10" t="inlineStr">
        <is>
          <t>LF98OAS Index − LUACOAS Index</t>
        </is>
      </c>
      <c r="C21" s="11">
        <f>BDP("LF98OAS Index","PX_LAST")-BDP("LUACOAS Index","PX_LAST")</f>
        <v/>
      </c>
      <c r="D21" s="12" t="n"/>
      <c r="E21" s="12" t="n"/>
      <c r="F21" s="12" t="n"/>
      <c r="G21" s="12" t="n"/>
      <c r="H21" s="12" t="n"/>
    </row>
    <row r="22">
      <c r="A22" s="9" t="inlineStr">
        <is>
          <t>EUR HY - EUR IG</t>
        </is>
      </c>
      <c r="B22" s="10" t="inlineStr">
        <is>
          <t>LP01OAS Index − LECPOAS Index</t>
        </is>
      </c>
      <c r="C22" s="11">
        <f>BDP("LP01OAS Index","PX_LAST")-BDP("LECPOAS Index","PX_LAST")</f>
        <v/>
      </c>
      <c r="D22" s="12" t="n"/>
      <c r="E22" s="12" t="n"/>
      <c r="F22" s="12" t="n"/>
      <c r="G22" s="12" t="n"/>
      <c r="H22" s="12" t="n"/>
    </row>
    <row r="23">
      <c r="A23" s="9" t="inlineStr">
        <is>
          <t>US IG - EUR IG</t>
        </is>
      </c>
      <c r="B23" s="10" t="inlineStr">
        <is>
          <t>LUACOAS Index − LECPOAS Index</t>
        </is>
      </c>
      <c r="C23" s="11">
        <f>BDP("LUACOAS Index","PX_LAST")-BDP("LECPOAS Index","PX_LAST")</f>
        <v/>
      </c>
      <c r="D23" s="12" t="n"/>
      <c r="E23" s="12" t="n"/>
      <c r="F23" s="12" t="n"/>
      <c r="G23" s="12" t="n"/>
      <c r="H23" s="12" t="n"/>
    </row>
    <row r="24">
      <c r="A24" s="9" t="inlineStr">
        <is>
          <t>EM USD Sov - US IG</t>
        </is>
      </c>
      <c r="B24" s="10" t="inlineStr">
        <is>
          <t>EMSOOAS Index − LUACOAS Index</t>
        </is>
      </c>
      <c r="C24" s="11">
        <f>BDP("EMSOOAS Index","PX_LAST")-BDP("LUACOAS Index","PX_LAST")</f>
        <v/>
      </c>
      <c r="D24" s="12" t="n"/>
      <c r="E24" s="12" t="n"/>
      <c r="F24" s="12" t="n"/>
      <c r="G24" s="12" t="n"/>
      <c r="H24" s="12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US IG Corporate OAS by Sector (bps)</t>
        </is>
      </c>
    </row>
    <row r="2">
      <c r="A2" s="2" t="inlineStr">
        <is>
          <t>As of:</t>
        </is>
      </c>
      <c r="B2" s="2">
        <f>TEXT(TODAY(),"yyyy-mm-dd")</f>
        <v/>
      </c>
      <c r="C2" s="2" t="inlineStr">
        <is>
          <t>(BBG add-in required for live values)</t>
        </is>
      </c>
    </row>
    <row r="4">
      <c r="A4" s="3" t="inlineStr">
        <is>
          <t>Security</t>
        </is>
      </c>
      <c r="B4" s="3" t="inlineStr">
        <is>
          <t>BBG Ticker</t>
        </is>
      </c>
      <c r="C4" s="3" t="inlineStr">
        <is>
          <t>Last</t>
        </is>
      </c>
      <c r="D4" s="3" t="inlineStr">
        <is>
          <t>1d</t>
        </is>
      </c>
      <c r="E4" s="3" t="inlineStr">
        <is>
          <t>5d</t>
        </is>
      </c>
      <c r="F4" s="3" t="inlineStr">
        <is>
          <t>MTD</t>
        </is>
      </c>
      <c r="G4" s="3" t="inlineStr">
        <is>
          <t>YTD</t>
        </is>
      </c>
      <c r="H4" s="3" t="inlineStr">
        <is>
          <t>1Y</t>
        </is>
      </c>
    </row>
    <row r="5">
      <c r="A5" s="4" t="inlineStr">
        <is>
          <t>Bloomberg US IG sub-indices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5" t="inlineStr">
        <is>
          <t>Financials</t>
        </is>
      </c>
      <c r="B6" s="6" t="inlineStr">
        <is>
          <t>LUFIOAS Index</t>
        </is>
      </c>
      <c r="C6" s="7">
        <f>BDP("LUFIOAS Index","PX_LAST")</f>
        <v/>
      </c>
      <c r="D6" s="8">
        <f>BDP("LUFIOAS Index","CHG_NET_1D")</f>
        <v/>
      </c>
      <c r="E6" s="8">
        <f>BDP("LUFIOAS Index","CHG_NET_5D")</f>
        <v/>
      </c>
      <c r="F6" s="8">
        <f>BDP("LUFIOAS Index","CHG_NET_MTD")</f>
        <v/>
      </c>
      <c r="G6" s="8">
        <f>BDP("LUFIOAS Index","CHG_NET_YTD")</f>
        <v/>
      </c>
      <c r="H6" s="8">
        <f>BDP("LUFIOAS Index","CHG_NET_1Y")</f>
        <v/>
      </c>
    </row>
    <row r="7">
      <c r="A7" s="5" t="inlineStr">
        <is>
          <t>Industrials</t>
        </is>
      </c>
      <c r="B7" s="6" t="inlineStr">
        <is>
          <t>LUIDOAS Index</t>
        </is>
      </c>
      <c r="C7" s="7">
        <f>BDP("LUIDOAS Index","PX_LAST")</f>
        <v/>
      </c>
      <c r="D7" s="8">
        <f>BDP("LUIDOAS Index","CHG_NET_1D")</f>
        <v/>
      </c>
      <c r="E7" s="8">
        <f>BDP("LUIDOAS Index","CHG_NET_5D")</f>
        <v/>
      </c>
      <c r="F7" s="8">
        <f>BDP("LUIDOAS Index","CHG_NET_MTD")</f>
        <v/>
      </c>
      <c r="G7" s="8">
        <f>BDP("LUIDOAS Index","CHG_NET_YTD")</f>
        <v/>
      </c>
      <c r="H7" s="8">
        <f>BDP("LUIDOAS Index","CHG_NET_1Y")</f>
        <v/>
      </c>
    </row>
    <row r="8">
      <c r="A8" s="5" t="inlineStr">
        <is>
          <t>Utilities</t>
        </is>
      </c>
      <c r="B8" s="6" t="inlineStr">
        <is>
          <t>LUUTOAS Index</t>
        </is>
      </c>
      <c r="C8" s="7">
        <f>BDP("LUUTOAS Index","PX_LAST")</f>
        <v/>
      </c>
      <c r="D8" s="8">
        <f>BDP("LUUTOAS Index","CHG_NET_1D")</f>
        <v/>
      </c>
      <c r="E8" s="8">
        <f>BDP("LUUTOAS Index","CHG_NET_5D")</f>
        <v/>
      </c>
      <c r="F8" s="8">
        <f>BDP("LUUTOAS Index","CHG_NET_MTD")</f>
        <v/>
      </c>
      <c r="G8" s="8">
        <f>BDP("LUUTOAS Index","CHG_NET_YTD")</f>
        <v/>
      </c>
      <c r="H8" s="8">
        <f>BDP("LUUTOAS Index","CHG_NET_1Y")</f>
        <v/>
      </c>
    </row>
    <row r="9">
      <c r="A9" s="5" t="inlineStr">
        <is>
          <t>Banking</t>
        </is>
      </c>
      <c r="B9" s="6" t="inlineStr">
        <is>
          <t>LUBKOAS Index</t>
        </is>
      </c>
      <c r="C9" s="7">
        <f>BDP("LUBKOAS Index","PX_LAST")</f>
        <v/>
      </c>
      <c r="D9" s="8">
        <f>BDP("LUBKOAS Index","CHG_NET_1D")</f>
        <v/>
      </c>
      <c r="E9" s="8">
        <f>BDP("LUBKOAS Index","CHG_NET_5D")</f>
        <v/>
      </c>
      <c r="F9" s="8">
        <f>BDP("LUBKOAS Index","CHG_NET_MTD")</f>
        <v/>
      </c>
      <c r="G9" s="8">
        <f>BDP("LUBKOAS Index","CHG_NET_YTD")</f>
        <v/>
      </c>
      <c r="H9" s="8">
        <f>BDP("LUBKOAS Index","CHG_NET_1Y")</f>
        <v/>
      </c>
    </row>
    <row r="10">
      <c r="A10" s="5" t="inlineStr">
        <is>
          <t>Energy</t>
        </is>
      </c>
      <c r="B10" s="6" t="inlineStr">
        <is>
          <t>LUENOAS Index</t>
        </is>
      </c>
      <c r="C10" s="7">
        <f>BDP("LUENOAS Index","PX_LAST")</f>
        <v/>
      </c>
      <c r="D10" s="8">
        <f>BDP("LUENOAS Index","CHG_NET_1D")</f>
        <v/>
      </c>
      <c r="E10" s="8">
        <f>BDP("LUENOAS Index","CHG_NET_5D")</f>
        <v/>
      </c>
      <c r="F10" s="8">
        <f>BDP("LUENOAS Index","CHG_NET_MTD")</f>
        <v/>
      </c>
      <c r="G10" s="8">
        <f>BDP("LUENOAS Index","CHG_NET_YTD")</f>
        <v/>
      </c>
      <c r="H10" s="8">
        <f>BDP("LUENOAS Index","CHG_NET_1Y")</f>
        <v/>
      </c>
    </row>
    <row r="11">
      <c r="A11" s="5" t="inlineStr">
        <is>
          <t>Comms</t>
        </is>
      </c>
      <c r="B11" s="6" t="inlineStr">
        <is>
          <t>LUCOOAS Index</t>
        </is>
      </c>
      <c r="C11" s="7">
        <f>BDP("LUCOOAS Index","PX_LAST")</f>
        <v/>
      </c>
      <c r="D11" s="8">
        <f>BDP("LUCOOAS Index","CHG_NET_1D")</f>
        <v/>
      </c>
      <c r="E11" s="8">
        <f>BDP("LUCOOAS Index","CHG_NET_5D")</f>
        <v/>
      </c>
      <c r="F11" s="8">
        <f>BDP("LUCOOAS Index","CHG_NET_MTD")</f>
        <v/>
      </c>
      <c r="G11" s="8">
        <f>BDP("LUCOOAS Index","CHG_NET_YTD")</f>
        <v/>
      </c>
      <c r="H11" s="8">
        <f>BDP("LUCOOAS Index","CHG_NET_1Y")</f>
        <v/>
      </c>
    </row>
    <row r="12">
      <c r="A12" s="5" t="inlineStr">
        <is>
          <t>Tech</t>
        </is>
      </c>
      <c r="B12" s="6" t="inlineStr">
        <is>
          <t>LUTEOAS Index</t>
        </is>
      </c>
      <c r="C12" s="7">
        <f>BDP("LUTEOAS Index","PX_LAST")</f>
        <v/>
      </c>
      <c r="D12" s="8">
        <f>BDP("LUTEOAS Index","CHG_NET_1D")</f>
        <v/>
      </c>
      <c r="E12" s="8">
        <f>BDP("LUTEOAS Index","CHG_NET_5D")</f>
        <v/>
      </c>
      <c r="F12" s="8">
        <f>BDP("LUTEOAS Index","CHG_NET_MTD")</f>
        <v/>
      </c>
      <c r="G12" s="8">
        <f>BDP("LUTEOAS Index","CHG_NET_YTD")</f>
        <v/>
      </c>
      <c r="H12" s="8">
        <f>BDP("LUTEOAS Index","CHG_NET_1Y")</f>
        <v/>
      </c>
    </row>
    <row r="13">
      <c r="A13" s="5" t="inlineStr">
        <is>
          <t>Healthcare</t>
        </is>
      </c>
      <c r="B13" s="6" t="inlineStr">
        <is>
          <t>LUHCOAS Index</t>
        </is>
      </c>
      <c r="C13" s="7">
        <f>BDP("LUHCOAS Index","PX_LAST")</f>
        <v/>
      </c>
      <c r="D13" s="8">
        <f>BDP("LUHCOAS Index","CHG_NET_1D")</f>
        <v/>
      </c>
      <c r="E13" s="8">
        <f>BDP("LUHCOAS Index","CHG_NET_5D")</f>
        <v/>
      </c>
      <c r="F13" s="8">
        <f>BDP("LUHCOAS Index","CHG_NET_MTD")</f>
        <v/>
      </c>
      <c r="G13" s="8">
        <f>BDP("LUHCOAS Index","CHG_NET_YTD")</f>
        <v/>
      </c>
      <c r="H13" s="8">
        <f>BDP("LUHCOAS Index","CHG_NET_1Y")</f>
        <v/>
      </c>
    </row>
    <row r="14">
      <c r="A14" s="5" t="inlineStr">
        <is>
          <t>Cons Cyclical</t>
        </is>
      </c>
      <c r="B14" s="6" t="inlineStr">
        <is>
          <t>LUCCOAS Index</t>
        </is>
      </c>
      <c r="C14" s="7">
        <f>BDP("LUCCOAS Index","PX_LAST")</f>
        <v/>
      </c>
      <c r="D14" s="8">
        <f>BDP("LUCCOAS Index","CHG_NET_1D")</f>
        <v/>
      </c>
      <c r="E14" s="8">
        <f>BDP("LUCCOAS Index","CHG_NET_5D")</f>
        <v/>
      </c>
      <c r="F14" s="8">
        <f>BDP("LUCCOAS Index","CHG_NET_MTD")</f>
        <v/>
      </c>
      <c r="G14" s="8">
        <f>BDP("LUCCOAS Index","CHG_NET_YTD")</f>
        <v/>
      </c>
      <c r="H14" s="8">
        <f>BDP("LUCCOAS Index","CHG_NET_1Y")</f>
        <v/>
      </c>
    </row>
    <row r="15">
      <c r="A15" s="5" t="inlineStr">
        <is>
          <t>Cons NonCyc</t>
        </is>
      </c>
      <c r="B15" s="6" t="inlineStr">
        <is>
          <t>LUNCOAS Index</t>
        </is>
      </c>
      <c r="C15" s="7">
        <f>BDP("LUNCOAS Index","PX_LAST")</f>
        <v/>
      </c>
      <c r="D15" s="8">
        <f>BDP("LUNCOAS Index","CHG_NET_1D")</f>
        <v/>
      </c>
      <c r="E15" s="8">
        <f>BDP("LUNCOAS Index","CHG_NET_5D")</f>
        <v/>
      </c>
      <c r="F15" s="8">
        <f>BDP("LUNCOAS Index","CHG_NET_MTD")</f>
        <v/>
      </c>
      <c r="G15" s="8">
        <f>BDP("LUNCOAS Index","CHG_NET_YTD")</f>
        <v/>
      </c>
      <c r="H15" s="8">
        <f>BDP("LUNCOAS Index","CHG_NET_1Y")</f>
        <v/>
      </c>
    </row>
    <row r="20">
      <c r="A20" s="2" t="inlineStr">
        <is>
          <t>Note: BBG sub-index tickers vary by license; verify on FI&lt;GO&gt; if blanks.</t>
        </is>
      </c>
    </row>
  </sheetData>
  <mergeCells count="2">
    <mergeCell ref="A20:H2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2026-05-14T21:24:05Z</dcterms:created>
  <dcterms:modified xmlns:dcterms="http://purl.org/dc/terms/" xmlns:xsi="http://www.w3.org/2001/XMLSchema-instance" xsi:type="dcterms:W3CDTF">2026-05-14T21:24:05Z</dcterms:modified>
</cp:coreProperties>
</file>