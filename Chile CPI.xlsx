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2026 monthly" sheetId="2" state="visible" r:id="rId4"/>
    <sheet name="June detail" sheetId="3" state="visible" r:id="rId5"/>
    <sheet name="The Mepco chain" sheetId="4" state="visible" r:id="rId6"/>
    <sheet name="Annual and outlook" sheetId="5" state="visible" r:id="rId7"/>
    <sheet name="Forecasts"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<sst xmlns="http://schemas.openxmlformats.org/spreadsheetml/2006/main" count="189" uniqueCount="161">
  <si>
    <t xml:space="preserve">Chile — consumer prices</t>
  </si>
  <si>
    <t xml:space="preserve">INE Boletin Estadistico del IPC, edition 332, published 8 July 2026, base 2023=100. Outlook from DIPRES IFP 1T26.</t>
  </si>
  <si>
    <t xml:space="preserve">THE SHORT VERSION</t>
  </si>
  <si>
    <t xml:space="preserve">Inflation is going the wrong way</t>
  </si>
  <si>
    <t xml:space="preserve">June printed 0.0% month on month, yet the twelve-month rate ACCELERATED from 3.9% to 4.3%. Both are correct: the monthly figure compares June with May, the annual figure carries twelve months of accumulated increases. The annual rate is now 1.3pp above the central bank's 3% target.</t>
  </si>
  <si>
    <t xml:space="preserve">Fuel is the story</t>
  </si>
  <si>
    <t xml:space="preserve">Gasoline is up 27.4% and diesel 42.1% in the year to date. In June both FELL — gasoline -2.5%, diesel -8.0% — which is why transport was the largest negative contributor and the month printed zero. The level damage is already done.</t>
  </si>
  <si>
    <t xml:space="preserve">Core is holding better than the headline</t>
  </si>
  <si>
    <t xml:space="preserve">CPI excluding volatiles rose 0.2% in June and CPI excluding food and energy FELL 0.1%. The inflation problem is concentrated in energy and food, not generalised.</t>
  </si>
  <si>
    <t xml:space="preserve">THE CROSS-PACK LINK WORTH WRITING UP</t>
  </si>
  <si>
    <t xml:space="preserve">Mepco ties three packs together</t>
  </si>
  <si>
    <t xml:space="preserve">The government adjusted the parameters of the fuel price stabilisation mechanism (Mepco) to contain its fiscal cost, saving about US$1,200 million or 0.3% of GDP — that is in the fiscal pack. The mechanical consequence was higher pump prices, which is this pack. And the 'bencinazo' is named by pollsters as one of the drivers of the president's approval slide, which is the political pack. One policy decision, visible in three datasets.</t>
  </si>
  <si>
    <t xml:space="preserve">HOW CHILE DIFFERS FROM ARGENTINA</t>
  </si>
  <si>
    <t xml:space="preserve">No regulated-price backlog</t>
  </si>
  <si>
    <t xml:space="preserve">There is no suppressed-tariff catch-up to unwind, so no equivalent of the regulados analysis. Chilean inflation is a conventional shock-and-convergence story around a credible target.</t>
  </si>
  <si>
    <t xml:space="preserve">The UF makes indexation mechanical</t>
  </si>
  <si>
    <t xml:space="preserve">The CPI directly reajusta the Unidad de Fomento, which prices rents, education, health plans and pensions. Indexation is institutional and immediate rather than negotiated.</t>
  </si>
  <si>
    <t xml:space="preserve">Credibility is the asset</t>
  </si>
  <si>
    <t xml:space="preserve">The central bank is autonomous with a 3% target and expectations have stayed anchored through the episode. That is precisely what Argentina lacks, and it is why a 4.3% print is a nuisance in Chile and would be a triumph in Argentina.</t>
  </si>
  <si>
    <t xml:space="preserve">CAVEAT</t>
  </si>
  <si>
    <t xml:space="preserve">Series depth</t>
  </si>
  <si>
    <t xml:space="preserve">This pack covers 2026 monthly detail plus annual outturns and the official outlook. The full monthly history sits in the BCCh statistical database behind credentials and in INE spreadsheets that are not machine-readable through this channel.</t>
  </si>
  <si>
    <t xml:space="preserve">CPI in 2026</t>
  </si>
  <si>
    <t xml:space="preserve">Percent. Base 2023 = 100.</t>
  </si>
  <si>
    <t xml:space="preserve">Month</t>
  </si>
  <si>
    <t xml:space="preserve">m/m %</t>
  </si>
  <si>
    <t xml:space="preserve">y/y %</t>
  </si>
  <si>
    <t xml:space="preserve">Note</t>
  </si>
  <si>
    <t xml:space="preserve">Jan-Feb 26</t>
  </si>
  <si>
    <t xml:space="preserve">Combined; individual months not captured here. Derived residual below</t>
  </si>
  <si>
    <t xml:space="preserve">Mar-26</t>
  </si>
  <si>
    <t xml:space="preserve">Start of the fuel-driven acceleration</t>
  </si>
  <si>
    <t xml:space="preserve">Apr-26</t>
  </si>
  <si>
    <t xml:space="preserve">Peak monthly print of the year</t>
  </si>
  <si>
    <t xml:space="preserve">May-26</t>
  </si>
  <si>
    <t xml:space="preserve">First sign of moderation</t>
  </si>
  <si>
    <t xml:space="preserve">Jun-26</t>
  </si>
  <si>
    <t xml:space="preserve">Zero monthly, but annual rate still accelerated</t>
  </si>
  <si>
    <t xml:space="preserve">Accumulated in 2026 to June (published)</t>
  </si>
  <si>
    <t xml:space="preserve">Implied Jan-Feb combined</t>
  </si>
  <si>
    <t xml:space="preserve">Central bank target</t>
  </si>
  <si>
    <t xml:space="preserve">Gap to target (pp)</t>
  </si>
  <si>
    <t xml:space="preserve">The Jan-February figure is derived by compounding, not published here — it is the residual that reconciles the four known monthly prints with the published 2.8% year-to-date. Treat as indicative.</t>
  </si>
  <si>
    <t xml:space="preserve">The pattern is a spike in March and April followed by rapid moderation. If May and June are the new run rate, the annual figure falls sharply from Q4 as the March-April base drops out.</t>
  </si>
  <si>
    <t xml:space="preserve">Inside the June print</t>
  </si>
  <si>
    <t xml:space="preserve">Month-on-month percent unless noted.</t>
  </si>
  <si>
    <t xml:space="preserve">Core and aggregate measures</t>
  </si>
  <si>
    <t xml:space="preserve">Measure</t>
  </si>
  <si>
    <t xml:space="preserve">Comment</t>
  </si>
  <si>
    <t xml:space="preserve">Headline CPI</t>
  </si>
  <si>
    <t xml:space="preserve">Eight of thirteen divisions positive, four negative, one flat</t>
  </si>
  <si>
    <t xml:space="preserve">CPI excluding volatiles</t>
  </si>
  <si>
    <t xml:space="preserve">The central bank's preferred core measure</t>
  </si>
  <si>
    <t xml:space="preserve">CPI excluding food and energy</t>
  </si>
  <si>
    <t xml:space="preserve">Fell outright</t>
  </si>
  <si>
    <t xml:space="preserve">Energy</t>
  </si>
  <si>
    <t xml:space="preserve">Reversing, after driving the March-April spike</t>
  </si>
  <si>
    <t xml:space="preserve">Food</t>
  </si>
  <si>
    <t xml:space="preserve">The main upward pressure in the month</t>
  </si>
  <si>
    <t xml:space="preserve">Core excluding food and energy at -0.1% is the reassuring number. The inflation problem is a relative price shock in energy and food, not a broadening.</t>
  </si>
  <si>
    <t xml:space="preserve">Divisions and items</t>
  </si>
  <si>
    <t xml:space="preserve">Item</t>
  </si>
  <si>
    <t xml:space="preserve">Weight</t>
  </si>
  <si>
    <t xml:space="preserve">Index</t>
  </si>
  <si>
    <t xml:space="preserve">YTD %</t>
  </si>
  <si>
    <t xml:space="preserve">Incidence (pp)</t>
  </si>
  <si>
    <t xml:space="preserve">Food and non-alcoholic beverages</t>
  </si>
  <si>
    <t xml:space="preserve">Transport</t>
  </si>
  <si>
    <t xml:space="preserve">  Gasoline</t>
  </si>
  <si>
    <t xml:space="preserve">  Diesel</t>
  </si>
  <si>
    <t xml:space="preserve">Clothing and footwear</t>
  </si>
  <si>
    <t xml:space="preserve">Transport was the single largest negative contributor at -0.181pp, and the other three declining divisions together contributed -0.273pp. Food's +0.169pp almost exactly offset transport.</t>
  </si>
  <si>
    <t xml:space="preserve">Look at the year-to-date column, not the monthly one. Gasoline +27.4% and diesel +42.1% in six months is the level shift that pushed the annual rate to 4.3%, and it does not reverse just because June was negative.</t>
  </si>
  <si>
    <t xml:space="preserve">One policy decision, three datasets</t>
  </si>
  <si>
    <t xml:space="preserve">How the fuel price stabilisation mechanism connects the fiscal, price and political packs.</t>
  </si>
  <si>
    <t xml:space="preserve">The chain</t>
  </si>
  <si>
    <t xml:space="preserve">1. The fiscal problem</t>
  </si>
  <si>
    <t xml:space="preserve">2025 closed with a structural deficit of 3.7% of GDP against a 1.6% target, formally breaching the fiscal rule and triggering mandatory corrective action.</t>
  </si>
  <si>
    <t xml:space="preserve">2. The policy response</t>
  </si>
  <si>
    <t xml:space="preserve">Among the corrective measures, the government adjusted Mepco parameters using existing legislation, containing its fiscal cost and saving an estimated US$1,200 million, about 0.3% of GDP.</t>
  </si>
  <si>
    <t xml:space="preserve">3. The price consequence</t>
  </si>
  <si>
    <t xml:space="preserve">Mepco smooths pump prices. Adjusting it toward less smoothing passes more of the international oil increase through to consumers. Gasoline is up 27.4% and diesel 42.1% year to date.</t>
  </si>
  <si>
    <t xml:space="preserve">4. The inflation consequence</t>
  </si>
  <si>
    <t xml:space="preserve">Monthly CPI spiked to 1.0% in March and 1.3% in April. The twelve-month rate reached 4.3% by June, 1.3pp above the central bank's target.</t>
  </si>
  <si>
    <t xml:space="preserve">5. The political consequence</t>
  </si>
  <si>
    <t xml:space="preserve">The 'bencinazo' is named by analysts alongside unemployment and the winter storms as a driver of the president's approval falling from 57% at inauguration to 36-37% by August, with disapproval at 60%.</t>
  </si>
  <si>
    <t xml:space="preserve">This is the kind of link that only appears when the packs are read together. The fiscal saving is real and the rule required action. But it was financed, in effect, by households at the pump, and it shows up in the price index and then in the polling with a lag of about two months.</t>
  </si>
  <si>
    <t xml:space="preserve">The oil price context matters: the IFP revised its WTI assumption for 2026 from US$60 to US$84 a barrel on the US-Iran conflict and Strait of Hormuz tensions. Mepco was going to be expensive whatever the government did; the choice was who paid.</t>
  </si>
  <si>
    <t xml:space="preserve">Watch for reversal. Both fuels fell in June. If oil stays where the IFP assumes for 2027 — WTI at US$73 — the base effects turn favourable and the annual rate should fall back through 2027, which is exactly what the official forecast of 2.5% assumes.</t>
  </si>
  <si>
    <t xml:space="preserve">Annual inflation and the official path</t>
  </si>
  <si>
    <t xml:space="preserve">Average annual percent change unless noted.</t>
  </si>
  <si>
    <t xml:space="preserve">2025</t>
  </si>
  <si>
    <t xml:space="preserve">2026F</t>
  </si>
  <si>
    <t xml:space="preserve">2027F</t>
  </si>
  <si>
    <t xml:space="preserve">2028F</t>
  </si>
  <si>
    <t xml:space="preserve">2029F</t>
  </si>
  <si>
    <t xml:space="preserve">2030F</t>
  </si>
  <si>
    <t xml:space="preserve">CPI (annual average)</t>
  </si>
  <si>
    <t xml:space="preserve">Supporting detail</t>
  </si>
  <si>
    <t xml:space="preserve">CPI, December 2025 close (y/y %)</t>
  </si>
  <si>
    <t xml:space="preserve">CPI excluding volatiles, December 2025 (y/y %)</t>
  </si>
  <si>
    <t xml:space="preserve">Monetary policy rate, 2026 assumption (%)</t>
  </si>
  <si>
    <t xml:space="preserve">TPM cut through 2025 (basis points)</t>
  </si>
  <si>
    <t xml:space="preserve">Two-year inflation expectations</t>
  </si>
  <si>
    <t xml:space="preserve">2025 was a convergence success: the annual rate closed at 3.5%, core at 3.3%, and two-year expectations stayed anchored at the 3% target. The 2026 acceleration is a fuel shock landing on top of that, not a loss of anchoring.</t>
  </si>
  <si>
    <t xml:space="preserve">The official path has inflation dipping to 2.5% in 2027 on base effects before settling at target. That assumes oil behaves and Mepco is not readjusted again.</t>
  </si>
  <si>
    <t xml:space="preserve">Chart data (transposed)</t>
  </si>
  <si>
    <t xml:space="preserve">CPI</t>
  </si>
  <si>
    <t xml:space="preserve">Target</t>
  </si>
  <si>
    <t xml:space="preserve">2026 and 2027 inflation forecasts</t>
  </si>
  <si>
    <t xml:space="preserve">Banco Central IPoM June 2026 and DIPRES IFP Q1 2026.</t>
  </si>
  <si>
    <t xml:space="preserve">Headline projections</t>
  </si>
  <si>
    <t xml:space="preserve">Source</t>
  </si>
  <si>
    <t xml:space="preserve">Vintage</t>
  </si>
  <si>
    <t xml:space="preserve">2026</t>
  </si>
  <si>
    <t xml:space="preserve">2027</t>
  </si>
  <si>
    <t xml:space="preserve">BCCh IPoM</t>
  </si>
  <si>
    <t xml:space="preserve">June 2026</t>
  </si>
  <si>
    <t xml:space="preserve">CPI, December year-end</t>
  </si>
  <si>
    <t xml:space="preserve">March 2026</t>
  </si>
  <si>
    <t xml:space="preserve">Return to the 3% target</t>
  </si>
  <si>
    <t xml:space="preserve">Q2-2027</t>
  </si>
  <si>
    <t xml:space="preserve">DIPRES IFP</t>
  </si>
  <si>
    <t xml:space="preserve">Q1 2026</t>
  </si>
  <si>
    <t xml:space="preserve">CPI, annual average</t>
  </si>
  <si>
    <t xml:space="preserve">Q4 2025</t>
  </si>
  <si>
    <t xml:space="preserve">The central bank expects inflation to return to the 3% target in the SECOND QUARTER OF 2027. That is the single most useful forward-looking statement in this pack — it dates the convergence.</t>
  </si>
  <si>
    <t xml:space="preserve">Mind the definitions. The BCCh figure is a December year-end rate; DIPRES uses an annual average. They are not directly comparable and the gap between 4.2% and 3.7% is mostly definitional.</t>
  </si>
  <si>
    <t xml:space="preserve">The DIPRES Q4-2025 vintage had 2026 at 2.7%. The current 3.7% is a full point higher. The entire revision is the fuel shock.</t>
  </si>
  <si>
    <t xml:space="preserve">What the central bank is assuming</t>
  </si>
  <si>
    <t xml:space="preserve">Assumption</t>
  </si>
  <si>
    <t xml:space="preserve">2028</t>
  </si>
  <si>
    <t xml:space="preserve">Monetary policy rate (%)</t>
  </si>
  <si>
    <t xml:space="preserve">Copper (US$/lb)</t>
  </si>
  <si>
    <t xml:space="preserve">Trading partner GDP growth (%)</t>
  </si>
  <si>
    <t xml:space="preserve">GDP growth range, low (%)</t>
  </si>
  <si>
    <t xml:space="preserve">GDP growth range, high (%)</t>
  </si>
  <si>
    <t xml:space="preserve">The policy rate was held at 4.5% on 16 June, the day before the IPoM. With inflation at 4.3% the real policy rate is close to zero on a spot basis, but positive against the expected path — which is the justification for holding rather than tightening into a supply shock.</t>
  </si>
  <si>
    <t xml:space="preserve">The convergence case, and what breaks it</t>
  </si>
  <si>
    <t xml:space="preserve">- SUPPORTS convergence: core excluding food and energy is already around the 3% target; two-year expectations are anchored at 3%; both fuels fell in June; and the March-April spike drops out of the annual comparison from roughly Q2-2027.</t>
  </si>
  <si>
    <t xml:space="preserve">- The official oil path helps: the IFP assumes WTI easing from US$84 in 2026 to US$73 in 2027 and about US$70 thereafter. Base effects then work in the right direction.</t>
  </si>
  <si>
    <t xml:space="preserve">- BREAKS convergence: a renewed oil shock. The IPoM explicitly flags scenarios of more extreme crude increases tied to the Middle East conflict, which would lift global inflation significantly.</t>
  </si>
  <si>
    <t xml:space="preserve">- Also breaks it: a further Mepco readjustment. The mechanism has already been retuned once for fiscal reasons; the fiscal position has not improved enough to rule out a second.</t>
  </si>
  <si>
    <t xml:space="preserve">- Watch second-round effects. So far this is a relative price shock, not a broadening — core FELL 0.1% in June. If core starts rising while headline falls, the story changes.</t>
  </si>
  <si>
    <t xml:space="preserve">Chart data</t>
  </si>
  <si>
    <t xml:space="preserve">Sources and caveats</t>
  </si>
  <si>
    <t xml:space="preserve">Primary source</t>
  </si>
  <si>
    <t xml:space="preserve">Instituto Nacional de Estadisticas, Boletin Estadistico del Indice de Precios al Consumidor, edition 332, published 8 July 2026, base annual 2023=100.</t>
  </si>
  <si>
    <t xml:space="preserve">Outlook</t>
  </si>
  <si>
    <t xml:space="preserve">DIPRES, Informe de Finanzas Publicas primer trimestre 2026, macro assumptions table, and Banco Central de Chile Informe de Politica Monetaria June 2026 (published 17 June 2026), with the March 2026 IPoM as the prior vintage.</t>
  </si>
  <si>
    <t xml:space="preserve">Definitions differ</t>
  </si>
  <si>
    <t xml:space="preserve">The BCCh publishes a December year-end rate; DIPRES an annual average. The 4.2% and 3.7% figures for 2026 are not directly comparable.</t>
  </si>
  <si>
    <t xml:space="preserve">Mepco</t>
  </si>
  <si>
    <t xml:space="preserve">DIPRES IFP 1T26, Recuadro 2 on Mepco and Recuadro 1 on corrective actions.</t>
  </si>
  <si>
    <t xml:space="preserve">Approval linkage</t>
  </si>
  <si>
    <t xml:space="preserve">Cadem, Criteria and Pulso Ciudadano, as summarised in the companion political pack.</t>
  </si>
  <si>
    <t xml:space="preserve">Derived figure</t>
  </si>
  <si>
    <t xml:space="preserve">The January-February combined figure is a compounding residual reconciling the four known monthly prints with the published 2.8% year-to-date, not a published number.</t>
  </si>
  <si>
    <t xml:space="preserve">Full monthly CPI history is available in the BCCh statistical database, which requires API credentials, and in INE spreadsheets. Neither is machine-readable through this channel. Supply a Haver export or a BCCh API call and this pack can be extended to the full history.</t>
  </si>
  <si>
    <t xml:space="preserve">Prepared</t>
  </si>
  <si>
    <t xml:space="preserve">4 August 2026.</t>
  </si>
</sst>
</file>

<file path=xl/styles.xml><?xml version="1.0" encoding="utf-8"?>
<styleSheet xmlns="http://schemas.openxmlformats.org/spreadsheetml/2006/main">
  <numFmts count="6">
    <numFmt numFmtId="164" formatCode="General"/>
    <numFmt numFmtId="165" formatCode="\+0.0;\-0.0;\-"/>
    <numFmt numFmtId="166" formatCode="#,##0.0;\(#,##0.0\);\-"/>
    <numFmt numFmtId="167" formatCode="0.0"/>
    <numFmt numFmtId="168" formatCode="#,##0.00;\(#,##0.00\);\-"/>
    <numFmt numFmtId="169" formatCode="\+0.000;\-0.000;\-"/>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6B6B"/>
      <name val="Arial"/>
      <family val="0"/>
      <charset val="1"/>
    </font>
    <font>
      <b val="true"/>
      <sz val="11"/>
      <color rgb="FF1F3B63"/>
      <name val="Arial"/>
      <family val="0"/>
      <charset val="1"/>
    </font>
    <font>
      <b val="true"/>
      <sz val="9"/>
      <color rgb="FF1A1A1A"/>
      <name val="Arial"/>
      <family val="0"/>
      <charset val="1"/>
    </font>
    <font>
      <sz val="9"/>
      <color rgb="FF1A1A1A"/>
      <name val="Arial"/>
      <family val="0"/>
      <charset val="1"/>
    </font>
    <font>
      <i val="true"/>
      <sz val="8"/>
      <color rgb="FF6B6B6B"/>
      <name val="Arial"/>
      <family val="0"/>
      <charset val="1"/>
    </font>
    <font>
      <sz val="9"/>
      <color rgb="FF0000FF"/>
      <name val="Arial"/>
      <family val="0"/>
      <charset val="1"/>
    </font>
    <font>
      <b val="true"/>
      <sz val="9"/>
      <color rgb="FF0000FF"/>
      <name val="Arial"/>
      <family val="0"/>
      <charset val="1"/>
    </font>
    <font>
      <sz val="9"/>
      <color rgb="FF6B6B6B"/>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F3B63"/>
        <bgColor rgb="FF2F5C8F"/>
      </patternFill>
    </fill>
    <fill>
      <patternFill patternType="solid">
        <fgColor rgb="FFF2F4F7"/>
        <bgColor rgb="FFFFFFFF"/>
      </patternFill>
    </fill>
  </fills>
  <borders count="2">
    <border diagonalUp="false" diagonalDown="false">
      <left/>
      <right/>
      <top/>
      <bottom/>
      <diagonal/>
    </border>
    <border diagonalUp="false" diagonalDown="false">
      <left/>
      <right/>
      <top/>
      <bottom style="thin">
        <color rgb="FF1F3B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C00000"/>
        <sz val="9"/>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D1495B"/>
      <rgbColor rgb="FFF2F4F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1F3B63"/>
      <rgbColor rgb="FF339966"/>
      <rgbColor rgb="FF003300"/>
      <rgbColor rgb="FF333300"/>
      <rgbColor rgb="FF993300"/>
      <rgbColor rgb="FF993366"/>
      <rgbColor rgb="FF2F5C8F"/>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CPI monthly change, 2026 (%)</a:t>
            </a:r>
          </a:p>
        </c:rich>
      </c:tx>
      <c:overlay val="0"/>
      <c:spPr>
        <a:noFill/>
        <a:ln w="0">
          <a:noFill/>
        </a:ln>
      </c:spPr>
    </c:title>
    <c:autoTitleDeleted val="0"/>
    <c:plotArea>
      <c:lineChart>
        <c:grouping val="standard"/>
        <c:varyColors val="0"/>
        <c:ser>
          <c:idx val="0"/>
          <c:order val="0"/>
          <c:tx>
            <c:strRef>
              <c:f>'2026 monthly'!C7</c:f>
              <c:strCache>
                <c:ptCount val="1"/>
                <c:pt idx="0">
                  <c:v>m/m %</c:v>
                </c:pt>
              </c:strCache>
            </c:strRef>
          </c:tx>
          <c:spPr>
            <a:solidFill>
              <a:srgbClr val="2f5c8f"/>
            </a:solidFill>
            <a:ln w="2988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'2026 monthly'!$B$8:$B$12</c:f>
              <c:strCache>
                <c:ptCount val="5"/>
                <c:pt idx="0">
                  <c:v>Jan-Feb 26</c:v>
                </c:pt>
                <c:pt idx="1">
                  <c:v>Mar-26</c:v>
                </c:pt>
                <c:pt idx="2">
                  <c:v>Apr-26</c:v>
                </c:pt>
                <c:pt idx="3">
                  <c:v>May-26</c:v>
                </c:pt>
                <c:pt idx="4">
                  <c:v>Jun-26</c:v>
                </c:pt>
              </c:strCache>
            </c:strRef>
          </c:cat>
          <c:val>
            <c:numRef>
              <c:f>'2026 monthly'!$C$8:$C$12</c:f>
              <c:numCache>
                <c:formatCode>\+0.0;\-0.0;\-</c:formatCode>
                <c:ptCount val="5"/>
                <c:pt idx="1">
                  <c:v>1</c:v>
                </c:pt>
                <c:pt idx="2">
                  <c:v>1.3</c:v>
                </c:pt>
                <c:pt idx="3">
                  <c:v>0.2</c:v>
                </c:pt>
                <c:pt idx="4">
                  <c:v>0</c:v>
                </c:pt>
              </c:numCache>
            </c:numRef>
          </c:val>
          <c:smooth val="0"/>
        </c:ser>
        <c:hiLowLines>
          <c:spPr>
            <a:ln w="0">
              <a:noFill/>
            </a:ln>
          </c:spPr>
        </c:hiLowLines>
        <c:marker val="0"/>
        <c:axId val="79591995"/>
        <c:axId val="61462537"/>
      </c:lineChart>
      <c:catAx>
        <c:axId val="795919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462537"/>
        <c:crosses val="autoZero"/>
        <c:auto val="1"/>
        <c:lblAlgn val="ctr"/>
        <c:lblOffset val="100"/>
        <c:noMultiLvlLbl val="0"/>
      </c:catAx>
      <c:valAx>
        <c:axId val="6146253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5919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June: monthly change by measure (%)</a:t>
            </a:r>
          </a:p>
        </c:rich>
      </c:tx>
      <c:overlay val="0"/>
      <c:spPr>
        <a:noFill/>
        <a:ln w="0">
          <a:noFill/>
        </a:ln>
      </c:spPr>
    </c:title>
    <c:autoTitleDeleted val="0"/>
    <c:plotArea>
      <c:barChart>
        <c:barDir val="col"/>
        <c:grouping val="clustered"/>
        <c:varyColors val="0"/>
        <c:ser>
          <c:idx val="0"/>
          <c:order val="0"/>
          <c:tx>
            <c:strRef>
              <c:f>'June detail'!C6</c:f>
              <c:strCache>
                <c:ptCount val="1"/>
                <c:pt idx="0">
                  <c:v>m/m %</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'June detail'!$B$7:$B$11</c:f>
              <c:strCache>
                <c:ptCount val="5"/>
                <c:pt idx="0">
                  <c:v>Headline CPI</c:v>
                </c:pt>
                <c:pt idx="1">
                  <c:v>CPI excluding volatiles</c:v>
                </c:pt>
                <c:pt idx="2">
                  <c:v>CPI excluding food and energy</c:v>
                </c:pt>
                <c:pt idx="3">
                  <c:v>Energy</c:v>
                </c:pt>
                <c:pt idx="4">
                  <c:v>Food</c:v>
                </c:pt>
              </c:strCache>
            </c:strRef>
          </c:cat>
          <c:val>
            <c:numRef>
              <c:f>'June detail'!$C$7:$C$11</c:f>
              <c:numCache>
                <c:formatCode>\+0.0;\-0.0;\-</c:formatCode>
                <c:ptCount val="5"/>
                <c:pt idx="0">
                  <c:v>0</c:v>
                </c:pt>
                <c:pt idx="1">
                  <c:v>0.2</c:v>
                </c:pt>
                <c:pt idx="2">
                  <c:v>-0.1</c:v>
                </c:pt>
                <c:pt idx="3">
                  <c:v>-1.1</c:v>
                </c:pt>
                <c:pt idx="4">
                  <c:v>0.8</c:v>
                </c:pt>
              </c:numCache>
            </c:numRef>
          </c:val>
        </c:ser>
        <c:gapWidth val="150"/>
        <c:overlap val="0"/>
        <c:axId val="23089152"/>
        <c:axId val="15961460"/>
      </c:barChart>
      <c:catAx>
        <c:axId val="230891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961460"/>
        <c:crosses val="autoZero"/>
        <c:auto val="1"/>
        <c:lblAlgn val="ctr"/>
        <c:lblOffset val="100"/>
        <c:noMultiLvlLbl val="0"/>
      </c:catAx>
      <c:valAx>
        <c:axId val="1596146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0891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CPI vs target (%)</a:t>
            </a:r>
          </a:p>
        </c:rich>
      </c:tx>
      <c:overlay val="0"/>
      <c:spPr>
        <a:noFill/>
        <a:ln w="0">
          <a:noFill/>
        </a:ln>
      </c:spPr>
    </c:title>
    <c:autoTitleDeleted val="0"/>
    <c:plotArea>
      <c:lineChart>
        <c:grouping val="standard"/>
        <c:varyColors val="0"/>
        <c:ser>
          <c:idx val="0"/>
          <c:order val="0"/>
          <c:tx>
            <c:strRef>
              <c:f>'Annual and outlook'!C23</c:f>
              <c:strCache>
                <c:ptCount val="1"/>
                <c:pt idx="0">
                  <c:v>CPI</c:v>
                </c:pt>
              </c:strCache>
            </c:strRef>
          </c:tx>
          <c:spPr>
            <a:solidFill>
              <a:srgbClr val="2f5c8f"/>
            </a:solidFill>
            <a:ln w="2988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 and outlook'!$B$24:$B$29</c:f>
              <c:strCache>
                <c:ptCount val="6"/>
                <c:pt idx="0">
                  <c:v>2025</c:v>
                </c:pt>
                <c:pt idx="1">
                  <c:v>2026F</c:v>
                </c:pt>
                <c:pt idx="2">
                  <c:v>2027F</c:v>
                </c:pt>
                <c:pt idx="3">
                  <c:v>2028F</c:v>
                </c:pt>
                <c:pt idx="4">
                  <c:v>2029F</c:v>
                </c:pt>
                <c:pt idx="5">
                  <c:v>2030F</c:v>
                </c:pt>
              </c:strCache>
            </c:strRef>
          </c:cat>
          <c:val>
            <c:numRef>
              <c:f>'Annual and outlook'!$C$24:$C$29</c:f>
              <c:numCache>
                <c:formatCode>#,##0.0;\(#,##0.0\);\-</c:formatCode>
                <c:ptCount val="6"/>
                <c:pt idx="0">
                  <c:v>4.2</c:v>
                </c:pt>
                <c:pt idx="1">
                  <c:v>3.7</c:v>
                </c:pt>
                <c:pt idx="2">
                  <c:v>2.5</c:v>
                </c:pt>
                <c:pt idx="3">
                  <c:v>3</c:v>
                </c:pt>
                <c:pt idx="4">
                  <c:v>3</c:v>
                </c:pt>
                <c:pt idx="5">
                  <c:v>3</c:v>
                </c:pt>
              </c:numCache>
            </c:numRef>
          </c:val>
          <c:smooth val="0"/>
        </c:ser>
        <c:ser>
          <c:idx val="1"/>
          <c:order val="1"/>
          <c:tx>
            <c:strRef>
              <c:f>'Annual and outlook'!D23</c:f>
              <c:strCache>
                <c:ptCount val="1"/>
                <c:pt idx="0">
                  <c:v>Target</c:v>
                </c:pt>
              </c:strCache>
            </c:strRef>
          </c:tx>
          <c:spPr>
            <a:solidFill>
              <a:srgbClr val="d1495b"/>
            </a:solidFill>
            <a:ln w="1800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 and outlook'!$B$24:$B$29</c:f>
              <c:strCache>
                <c:ptCount val="6"/>
                <c:pt idx="0">
                  <c:v>2025</c:v>
                </c:pt>
                <c:pt idx="1">
                  <c:v>2026F</c:v>
                </c:pt>
                <c:pt idx="2">
                  <c:v>2027F</c:v>
                </c:pt>
                <c:pt idx="3">
                  <c:v>2028F</c:v>
                </c:pt>
                <c:pt idx="4">
                  <c:v>2029F</c:v>
                </c:pt>
                <c:pt idx="5">
                  <c:v>2030F</c:v>
                </c:pt>
              </c:strCache>
            </c:strRef>
          </c:cat>
          <c:val>
            <c:numRef>
              <c:f>'Annual and outlook'!$D$24:$D$29</c:f>
              <c:numCache>
                <c:formatCode>#,##0.0;\(#,##0.0\);\-</c:formatCode>
                <c:ptCount val="6"/>
                <c:pt idx="0">
                  <c:v>3</c:v>
                </c:pt>
                <c:pt idx="1">
                  <c:v>3</c:v>
                </c:pt>
                <c:pt idx="2">
                  <c:v>3</c:v>
                </c:pt>
                <c:pt idx="3">
                  <c:v>3</c:v>
                </c:pt>
                <c:pt idx="4">
                  <c:v>3</c:v>
                </c:pt>
                <c:pt idx="5">
                  <c:v>3</c:v>
                </c:pt>
              </c:numCache>
            </c:numRef>
          </c:val>
          <c:smooth val="0"/>
        </c:ser>
        <c:hiLowLines>
          <c:spPr>
            <a:ln w="0">
              <a:noFill/>
            </a:ln>
          </c:spPr>
        </c:hiLowLines>
        <c:marker val="0"/>
        <c:axId val="35036930"/>
        <c:axId val="78354926"/>
      </c:lineChart>
      <c:catAx>
        <c:axId val="350369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354926"/>
        <c:crosses val="autoZero"/>
        <c:auto val="1"/>
        <c:lblAlgn val="ctr"/>
        <c:lblOffset val="100"/>
        <c:noMultiLvlLbl val="0"/>
      </c:catAx>
      <c:valAx>
        <c:axId val="78354926"/>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03693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Inflation path vs target (annual average, %)</a:t>
            </a:r>
          </a:p>
        </c:rich>
      </c:tx>
      <c:overlay val="0"/>
      <c:spPr>
        <a:noFill/>
        <a:ln w="0">
          <a:noFill/>
        </a:ln>
      </c:spPr>
    </c:title>
    <c:autoTitleDeleted val="0"/>
    <c:plotArea>
      <c:lineChart>
        <c:grouping val="standard"/>
        <c:varyColors val="0"/>
        <c:ser>
          <c:idx val="0"/>
          <c:order val="0"/>
          <c:tx>
            <c:strRef>
              <c:f>Forecasts!C36</c:f>
              <c:strCache>
                <c:ptCount val="1"/>
                <c:pt idx="0">
                  <c:v>CPI</c:v>
                </c:pt>
              </c:strCache>
            </c:strRef>
          </c:tx>
          <c:spPr>
            <a:solidFill>
              <a:srgbClr val="2f5c8f"/>
            </a:solidFill>
            <a:ln w="2988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Forecasts!$B$37:$B$40</c:f>
              <c:strCache>
                <c:ptCount val="4"/>
                <c:pt idx="0">
                  <c:v>2025</c:v>
                </c:pt>
                <c:pt idx="1">
                  <c:v>2026F</c:v>
                </c:pt>
                <c:pt idx="2">
                  <c:v>2027F</c:v>
                </c:pt>
                <c:pt idx="3">
                  <c:v>2028F</c:v>
                </c:pt>
              </c:strCache>
            </c:strRef>
          </c:cat>
          <c:val>
            <c:numRef>
              <c:f>Forecasts!$C$37:$C$40</c:f>
              <c:numCache>
                <c:formatCode>#,##0.0;\(#,##0.0\);\-</c:formatCode>
                <c:ptCount val="4"/>
                <c:pt idx="0">
                  <c:v>4.2</c:v>
                </c:pt>
                <c:pt idx="1">
                  <c:v>3.7</c:v>
                </c:pt>
                <c:pt idx="2">
                  <c:v>2.5</c:v>
                </c:pt>
                <c:pt idx="3">
                  <c:v>3</c:v>
                </c:pt>
              </c:numCache>
            </c:numRef>
          </c:val>
          <c:smooth val="0"/>
        </c:ser>
        <c:ser>
          <c:idx val="1"/>
          <c:order val="1"/>
          <c:tx>
            <c:strRef>
              <c:f>Forecasts!D36</c:f>
              <c:strCache>
                <c:ptCount val="1"/>
                <c:pt idx="0">
                  <c:v>Target</c:v>
                </c:pt>
              </c:strCache>
            </c:strRef>
          </c:tx>
          <c:spPr>
            <a:solidFill>
              <a:srgbClr val="d1495b"/>
            </a:solidFill>
            <a:ln w="1800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Forecasts!$B$37:$B$40</c:f>
              <c:strCache>
                <c:ptCount val="4"/>
                <c:pt idx="0">
                  <c:v>2025</c:v>
                </c:pt>
                <c:pt idx="1">
                  <c:v>2026F</c:v>
                </c:pt>
                <c:pt idx="2">
                  <c:v>2027F</c:v>
                </c:pt>
                <c:pt idx="3">
                  <c:v>2028F</c:v>
                </c:pt>
              </c:strCache>
            </c:strRef>
          </c:cat>
          <c:val>
            <c:numRef>
              <c:f>Forecasts!$D$37:$D$40</c:f>
              <c:numCache>
                <c:formatCode>#,##0.0;\(#,##0.0\);\-</c:formatCode>
                <c:ptCount val="4"/>
                <c:pt idx="0">
                  <c:v>3</c:v>
                </c:pt>
                <c:pt idx="1">
                  <c:v>3</c:v>
                </c:pt>
                <c:pt idx="2">
                  <c:v>3</c:v>
                </c:pt>
                <c:pt idx="3">
                  <c:v>3</c:v>
                </c:pt>
              </c:numCache>
            </c:numRef>
          </c:val>
          <c:smooth val="0"/>
        </c:ser>
        <c:hiLowLines>
          <c:spPr>
            <a:ln w="0">
              <a:noFill/>
            </a:ln>
          </c:spPr>
        </c:hiLowLines>
        <c:marker val="0"/>
        <c:axId val="26659222"/>
        <c:axId val="41941392"/>
      </c:lineChart>
      <c:catAx>
        <c:axId val="266592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941392"/>
        <c:crosses val="autoZero"/>
        <c:auto val="1"/>
        <c:lblAlgn val="ctr"/>
        <c:lblOffset val="100"/>
        <c:noMultiLvlLbl val="0"/>
      </c:catAx>
      <c:valAx>
        <c:axId val="41941392"/>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65922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23</xdr:col>
      <xdr:colOff>295560</xdr:colOff>
      <xdr:row>25</xdr:row>
      <xdr:rowOff>109440</xdr:rowOff>
    </xdr:to>
    <xdr:graphicFrame>
      <xdr:nvGraphicFramePr>
        <xdr:cNvPr id="0" name="Chart 1"/>
        <xdr:cNvGraphicFramePr/>
      </xdr:nvGraphicFramePr>
      <xdr:xfrm>
        <a:off x="8412480" y="895320"/>
        <a:ext cx="1007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4</xdr:row>
      <xdr:rowOff>0</xdr:rowOff>
    </xdr:from>
    <xdr:to>
      <xdr:col>25</xdr:col>
      <xdr:colOff>295560</xdr:colOff>
      <xdr:row>22</xdr:row>
      <xdr:rowOff>111600</xdr:rowOff>
    </xdr:to>
    <xdr:graphicFrame>
      <xdr:nvGraphicFramePr>
        <xdr:cNvPr id="1" name="Chart 1"/>
        <xdr:cNvGraphicFramePr/>
      </xdr:nvGraphicFramePr>
      <xdr:xfrm>
        <a:off x="8083080" y="895320"/>
        <a:ext cx="1007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4</xdr:row>
      <xdr:rowOff>0</xdr:rowOff>
    </xdr:from>
    <xdr:to>
      <xdr:col>25</xdr:col>
      <xdr:colOff>295560</xdr:colOff>
      <xdr:row>25</xdr:row>
      <xdr:rowOff>109440</xdr:rowOff>
    </xdr:to>
    <xdr:graphicFrame>
      <xdr:nvGraphicFramePr>
        <xdr:cNvPr id="2" name="Chart 1"/>
        <xdr:cNvGraphicFramePr/>
      </xdr:nvGraphicFramePr>
      <xdr:xfrm>
        <a:off x="7941960" y="895320"/>
        <a:ext cx="1007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23</xdr:col>
      <xdr:colOff>295560</xdr:colOff>
      <xdr:row>24</xdr:row>
      <xdr:rowOff>90360</xdr:rowOff>
    </xdr:to>
    <xdr:graphicFrame>
      <xdr:nvGraphicFramePr>
        <xdr:cNvPr id="3" name="Chart 1"/>
        <xdr:cNvGraphicFramePr/>
      </xdr:nvGraphicFramePr>
      <xdr:xfrm>
        <a:off x="7095960" y="895320"/>
        <a:ext cx="1007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104"/>
  </cols>
  <sheetData>
    <row r="2" customFormat="false" ht="25.5" hidden="false" customHeight="tru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33" hidden="false" customHeight="true" outlineLevel="0" collapsed="false">
      <c r="B6" s="4" t="s">
        <v>3</v>
      </c>
      <c r="C6" s="5" t="s">
        <v>4</v>
      </c>
    </row>
    <row r="7" customFormat="false" ht="33" hidden="false" customHeight="true" outlineLevel="0" collapsed="false">
      <c r="B7" s="4" t="s">
        <v>5</v>
      </c>
      <c r="C7" s="5" t="s">
        <v>6</v>
      </c>
    </row>
    <row r="8" customFormat="false" ht="21.75" hidden="false" customHeight="true" outlineLevel="0" collapsed="false">
      <c r="B8" s="4" t="s">
        <v>7</v>
      </c>
      <c r="C8" s="5" t="s">
        <v>8</v>
      </c>
    </row>
    <row r="9" customFormat="false" ht="15" hidden="false" customHeight="false" outlineLevel="0" collapsed="false">
      <c r="B9" s="3"/>
    </row>
    <row r="10" customFormat="false" ht="15" hidden="false" customHeight="false" outlineLevel="0" collapsed="false">
      <c r="B10" s="3" t="s">
        <v>9</v>
      </c>
    </row>
    <row r="11" customFormat="false" ht="54.75" hidden="false" customHeight="true" outlineLevel="0" collapsed="false">
      <c r="B11" s="4" t="s">
        <v>10</v>
      </c>
      <c r="C11" s="5" t="s">
        <v>11</v>
      </c>
    </row>
    <row r="12" customFormat="false" ht="15" hidden="false" customHeight="false" outlineLevel="0" collapsed="false">
      <c r="B12" s="3"/>
    </row>
    <row r="13" customFormat="false" ht="15" hidden="false" customHeight="false" outlineLevel="0" collapsed="false">
      <c r="B13" s="3" t="s">
        <v>12</v>
      </c>
    </row>
    <row r="14" customFormat="false" ht="21.75" hidden="false" customHeight="true" outlineLevel="0" collapsed="false">
      <c r="B14" s="4" t="s">
        <v>13</v>
      </c>
      <c r="C14" s="5" t="s">
        <v>14</v>
      </c>
    </row>
    <row r="15" customFormat="false" ht="21.75" hidden="false" customHeight="true" outlineLevel="0" collapsed="false">
      <c r="B15" s="4" t="s">
        <v>15</v>
      </c>
      <c r="C15" s="5" t="s">
        <v>16</v>
      </c>
    </row>
    <row r="16" customFormat="false" ht="33" hidden="false" customHeight="true" outlineLevel="0" collapsed="false">
      <c r="B16" s="4" t="s">
        <v>17</v>
      </c>
      <c r="C16" s="5" t="s">
        <v>18</v>
      </c>
    </row>
    <row r="17" customFormat="false" ht="15" hidden="false" customHeight="false" outlineLevel="0" collapsed="false">
      <c r="B17" s="3"/>
    </row>
    <row r="18" customFormat="false" ht="15" hidden="false" customHeight="false" outlineLevel="0" collapsed="false">
      <c r="B18" s="3" t="s">
        <v>19</v>
      </c>
    </row>
    <row r="19" customFormat="false" ht="33" hidden="false" customHeight="true" outlineLevel="0" collapsed="false">
      <c r="B19" s="4" t="s">
        <v>20</v>
      </c>
      <c r="C19" s="5"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4" min="3" style="0" width="12"/>
    <col collapsed="false" customWidth="true" hidden="false" outlineLevel="0" max="5" min="5" style="0" width="62"/>
  </cols>
  <sheetData>
    <row r="2" customFormat="false" ht="25.5" hidden="false" customHeight="true" outlineLevel="0" collapsed="false">
      <c r="B2" s="1" t="s">
        <v>22</v>
      </c>
    </row>
    <row r="3" customFormat="false" ht="15" hidden="false" customHeight="false" outlineLevel="0" collapsed="false">
      <c r="B3" s="2" t="s">
        <v>23</v>
      </c>
    </row>
    <row r="7" customFormat="false" ht="31.5" hidden="false" customHeight="true" outlineLevel="0" collapsed="false">
      <c r="B7" s="6" t="s">
        <v>24</v>
      </c>
      <c r="C7" s="6" t="s">
        <v>25</v>
      </c>
      <c r="D7" s="6" t="s">
        <v>26</v>
      </c>
      <c r="E7" s="6" t="s">
        <v>27</v>
      </c>
    </row>
    <row r="8" customFormat="false" ht="15" hidden="false" customHeight="false" outlineLevel="0" collapsed="false">
      <c r="B8" s="7" t="s">
        <v>28</v>
      </c>
      <c r="E8" s="8" t="s">
        <v>29</v>
      </c>
    </row>
    <row r="9" customFormat="false" ht="15" hidden="false" customHeight="false" outlineLevel="0" collapsed="false">
      <c r="B9" s="7" t="s">
        <v>30</v>
      </c>
      <c r="C9" s="9" t="n">
        <v>1</v>
      </c>
      <c r="E9" s="8" t="s">
        <v>31</v>
      </c>
    </row>
    <row r="10" customFormat="false" ht="15" hidden="false" customHeight="false" outlineLevel="0" collapsed="false">
      <c r="B10" s="7" t="s">
        <v>32</v>
      </c>
      <c r="C10" s="9" t="n">
        <v>1.3</v>
      </c>
      <c r="E10" s="8" t="s">
        <v>33</v>
      </c>
    </row>
    <row r="11" customFormat="false" ht="15" hidden="false" customHeight="false" outlineLevel="0" collapsed="false">
      <c r="B11" s="7" t="s">
        <v>34</v>
      </c>
      <c r="C11" s="9" t="n">
        <v>0.2</v>
      </c>
      <c r="D11" s="9" t="n">
        <v>3.9</v>
      </c>
      <c r="E11" s="8" t="s">
        <v>35</v>
      </c>
    </row>
    <row r="12" customFormat="false" ht="15" hidden="false" customHeight="false" outlineLevel="0" collapsed="false">
      <c r="B12" s="4" t="s">
        <v>36</v>
      </c>
      <c r="C12" s="10" t="n">
        <v>0</v>
      </c>
      <c r="D12" s="10" t="n">
        <v>4.3</v>
      </c>
      <c r="E12" s="8" t="s">
        <v>37</v>
      </c>
    </row>
    <row r="14" customFormat="false" ht="15" hidden="false" customHeight="false" outlineLevel="0" collapsed="false">
      <c r="B14" s="4" t="s">
        <v>38</v>
      </c>
      <c r="C14" s="10" t="n">
        <v>2.8</v>
      </c>
    </row>
    <row r="15" customFormat="false" ht="15" hidden="false" customHeight="false" outlineLevel="0" collapsed="false">
      <c r="B15" s="4" t="s">
        <v>39</v>
      </c>
      <c r="C15" s="11" t="n">
        <f aca="false">((1+C14/100)/((1+C9/100)*(1+C10/100)*(1+C11/100)*(1+C12/100))-1)*100</f>
        <v>0.275439464429295</v>
      </c>
    </row>
    <row r="16" customFormat="false" ht="15" hidden="false" customHeight="false" outlineLevel="0" collapsed="false">
      <c r="B16" s="4" t="s">
        <v>40</v>
      </c>
      <c r="C16" s="12" t="n">
        <v>3</v>
      </c>
    </row>
    <row r="17" customFormat="false" ht="15" hidden="false" customHeight="false" outlineLevel="0" collapsed="false">
      <c r="B17" s="4" t="s">
        <v>41</v>
      </c>
      <c r="C17" s="11" t="n">
        <f aca="false">D12-C16</f>
        <v>1.3</v>
      </c>
    </row>
    <row r="19" customFormat="false" ht="15" hidden="false" customHeight="false" outlineLevel="0" collapsed="false">
      <c r="B19" s="8" t="s">
        <v>42</v>
      </c>
    </row>
    <row r="20" customFormat="false" ht="15" hidden="false" customHeight="false" outlineLevel="0" collapsed="false">
      <c r="B20" s="8"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2"/>
    <col collapsed="false" customWidth="true" hidden="false" outlineLevel="0" max="7" min="4" style="0" width="11"/>
    <col collapsed="false" customWidth="true" hidden="false" outlineLevel="0" max="8" min="8" style="0" width="14"/>
  </cols>
  <sheetData>
    <row r="2" customFormat="false" ht="25.5" hidden="false" customHeight="true" outlineLevel="0" collapsed="false">
      <c r="B2" s="1" t="s">
        <v>44</v>
      </c>
    </row>
    <row r="3" customFormat="false" ht="15" hidden="false" customHeight="false" outlineLevel="0" collapsed="false">
      <c r="B3" s="2" t="s">
        <v>45</v>
      </c>
    </row>
    <row r="5" customFormat="false" ht="15" hidden="false" customHeight="false" outlineLevel="0" collapsed="false">
      <c r="B5" s="3" t="s">
        <v>46</v>
      </c>
    </row>
    <row r="6" customFormat="false" ht="31.5" hidden="false" customHeight="true" outlineLevel="0" collapsed="false">
      <c r="B6" s="6" t="s">
        <v>47</v>
      </c>
      <c r="C6" s="6" t="s">
        <v>25</v>
      </c>
      <c r="D6" s="6" t="s">
        <v>48</v>
      </c>
    </row>
    <row r="7" customFormat="false" ht="15" hidden="false" customHeight="false" outlineLevel="0" collapsed="false">
      <c r="B7" s="4" t="s">
        <v>49</v>
      </c>
      <c r="C7" s="10" t="n">
        <v>0</v>
      </c>
      <c r="D7" s="8" t="s">
        <v>50</v>
      </c>
    </row>
    <row r="8" customFormat="false" ht="15" hidden="false" customHeight="false" outlineLevel="0" collapsed="false">
      <c r="B8" s="7" t="s">
        <v>51</v>
      </c>
      <c r="C8" s="9" t="n">
        <v>0.2</v>
      </c>
      <c r="D8" s="8" t="s">
        <v>52</v>
      </c>
    </row>
    <row r="9" customFormat="false" ht="15" hidden="false" customHeight="false" outlineLevel="0" collapsed="false">
      <c r="B9" s="7" t="s">
        <v>53</v>
      </c>
      <c r="C9" s="9" t="n">
        <v>-0.1</v>
      </c>
      <c r="D9" s="8" t="s">
        <v>54</v>
      </c>
    </row>
    <row r="10" customFormat="false" ht="15" hidden="false" customHeight="false" outlineLevel="0" collapsed="false">
      <c r="B10" s="7" t="s">
        <v>55</v>
      </c>
      <c r="C10" s="9" t="n">
        <v>-1.1</v>
      </c>
      <c r="D10" s="8" t="s">
        <v>56</v>
      </c>
    </row>
    <row r="11" customFormat="false" ht="15" hidden="false" customHeight="false" outlineLevel="0" collapsed="false">
      <c r="B11" s="7" t="s">
        <v>57</v>
      </c>
      <c r="C11" s="9" t="n">
        <v>0.8</v>
      </c>
      <c r="D11" s="8" t="s">
        <v>58</v>
      </c>
    </row>
    <row r="13" customFormat="false" ht="15" hidden="false" customHeight="false" outlineLevel="0" collapsed="false">
      <c r="B13" s="8" t="s">
        <v>59</v>
      </c>
    </row>
    <row r="15" customFormat="false" ht="15" hidden="false" customHeight="false" outlineLevel="0" collapsed="false">
      <c r="B15" s="3" t="s">
        <v>60</v>
      </c>
    </row>
    <row r="16" customFormat="false" ht="31.5" hidden="false" customHeight="true" outlineLevel="0" collapsed="false">
      <c r="B16" s="6" t="s">
        <v>61</v>
      </c>
      <c r="C16" s="6" t="s">
        <v>62</v>
      </c>
      <c r="D16" s="6" t="s">
        <v>63</v>
      </c>
      <c r="E16" s="6" t="s">
        <v>25</v>
      </c>
      <c r="F16" s="6" t="s">
        <v>64</v>
      </c>
      <c r="G16" s="6" t="s">
        <v>26</v>
      </c>
      <c r="H16" s="6" t="s">
        <v>65</v>
      </c>
    </row>
    <row r="17" customFormat="false" ht="15" hidden="false" customHeight="false" outlineLevel="0" collapsed="false">
      <c r="B17" s="4" t="s">
        <v>66</v>
      </c>
      <c r="C17" s="13" t="n">
        <v>22.15348</v>
      </c>
      <c r="D17" s="13" t="n">
        <v>111.6</v>
      </c>
      <c r="E17" s="9" t="n">
        <v>0.8</v>
      </c>
      <c r="F17" s="9" t="n">
        <v>1.2</v>
      </c>
      <c r="G17" s="9" t="n">
        <v>4.2</v>
      </c>
      <c r="H17" s="14" t="n">
        <v>0.169</v>
      </c>
    </row>
    <row r="18" customFormat="false" ht="15" hidden="false" customHeight="false" outlineLevel="0" collapsed="false">
      <c r="B18" s="4" t="s">
        <v>67</v>
      </c>
      <c r="E18" s="9" t="n">
        <v>-1.3</v>
      </c>
      <c r="H18" s="14" t="n">
        <v>-0.181</v>
      </c>
    </row>
    <row r="19" customFormat="false" ht="15" hidden="false" customHeight="false" outlineLevel="0" collapsed="false">
      <c r="B19" s="7" t="s">
        <v>68</v>
      </c>
      <c r="E19" s="9" t="n">
        <v>-2.5</v>
      </c>
      <c r="F19" s="9" t="n">
        <v>27.4</v>
      </c>
    </row>
    <row r="20" customFormat="false" ht="15" hidden="false" customHeight="false" outlineLevel="0" collapsed="false">
      <c r="B20" s="7" t="s">
        <v>69</v>
      </c>
      <c r="E20" s="9" t="n">
        <v>-8</v>
      </c>
      <c r="F20" s="9" t="n">
        <v>42.1</v>
      </c>
    </row>
    <row r="21" customFormat="false" ht="15" hidden="false" customHeight="false" outlineLevel="0" collapsed="false">
      <c r="B21" s="4" t="s">
        <v>70</v>
      </c>
      <c r="E21" s="9" t="n">
        <v>-6.1</v>
      </c>
    </row>
    <row r="23" customFormat="false" ht="15" hidden="false" customHeight="false" outlineLevel="0" collapsed="false">
      <c r="B23" s="8" t="s">
        <v>71</v>
      </c>
    </row>
    <row r="24" customFormat="false" ht="15" hidden="false" customHeight="false" outlineLevel="0" collapsed="false">
      <c r="B24" s="8" t="s">
        <v>72</v>
      </c>
    </row>
  </sheetData>
  <conditionalFormatting sqref="C7:C11">
    <cfRule type="cellIs" priority="2" operator="lessThan" aboveAverage="0" equalAverage="0" bottom="0" percent="0" rank="0" text="" dxfId="0">
      <formula>0</formula>
    </cfRule>
  </conditionalFormatting>
  <conditionalFormatting sqref="E17:H21">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96"/>
  </cols>
  <sheetData>
    <row r="2" customFormat="false" ht="25.5" hidden="false" customHeight="true" outlineLevel="0" collapsed="false">
      <c r="B2" s="1" t="s">
        <v>73</v>
      </c>
    </row>
    <row r="3" customFormat="false" ht="15" hidden="false" customHeight="false" outlineLevel="0" collapsed="false">
      <c r="B3" s="2" t="s">
        <v>74</v>
      </c>
    </row>
    <row r="5" customFormat="false" ht="15" hidden="false" customHeight="false" outlineLevel="0" collapsed="false">
      <c r="B5" s="3" t="s">
        <v>75</v>
      </c>
    </row>
    <row r="6" customFormat="false" ht="24" hidden="false" customHeight="true" outlineLevel="0" collapsed="false">
      <c r="B6" s="4" t="s">
        <v>76</v>
      </c>
      <c r="C6" s="5" t="s">
        <v>77</v>
      </c>
    </row>
    <row r="7" customFormat="false" ht="33" hidden="false" customHeight="true" outlineLevel="0" collapsed="false">
      <c r="B7" s="4" t="s">
        <v>78</v>
      </c>
      <c r="C7" s="5" t="s">
        <v>79</v>
      </c>
    </row>
    <row r="8" customFormat="false" ht="24" hidden="false" customHeight="true" outlineLevel="0" collapsed="false">
      <c r="B8" s="4" t="s">
        <v>80</v>
      </c>
      <c r="C8" s="5" t="s">
        <v>81</v>
      </c>
    </row>
    <row r="9" customFormat="false" ht="24" hidden="false" customHeight="true" outlineLevel="0" collapsed="false">
      <c r="B9" s="4" t="s">
        <v>82</v>
      </c>
      <c r="C9" s="5" t="s">
        <v>83</v>
      </c>
    </row>
    <row r="10" customFormat="false" ht="33" hidden="false" customHeight="true" outlineLevel="0" collapsed="false">
      <c r="B10" s="4" t="s">
        <v>84</v>
      </c>
      <c r="C10" s="5" t="s">
        <v>85</v>
      </c>
    </row>
    <row r="12" customFormat="false" ht="15" hidden="false" customHeight="false" outlineLevel="0" collapsed="false">
      <c r="B12" s="8" t="s">
        <v>86</v>
      </c>
    </row>
    <row r="13" customFormat="false" ht="15" hidden="false" customHeight="false" outlineLevel="0" collapsed="false">
      <c r="B13" s="8" t="s">
        <v>87</v>
      </c>
    </row>
    <row r="14" customFormat="false" ht="15" hidden="false" customHeight="false" outlineLevel="0" collapsed="false">
      <c r="B14" s="8"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8" min="3" style="0" width="12"/>
  </cols>
  <sheetData>
    <row r="2" customFormat="false" ht="25.5" hidden="false" customHeight="true" outlineLevel="0" collapsed="false">
      <c r="B2" s="1" t="s">
        <v>89</v>
      </c>
    </row>
    <row r="3" customFormat="false" ht="15" hidden="false" customHeight="false" outlineLevel="0" collapsed="false">
      <c r="B3" s="2" t="s">
        <v>90</v>
      </c>
    </row>
    <row r="7" customFormat="false" ht="31.5" hidden="false" customHeight="true" outlineLevel="0" collapsed="false">
      <c r="B7" s="6" t="s">
        <v>47</v>
      </c>
      <c r="C7" s="6" t="s">
        <v>91</v>
      </c>
      <c r="D7" s="6" t="s">
        <v>92</v>
      </c>
      <c r="E7" s="6" t="s">
        <v>93</v>
      </c>
      <c r="F7" s="6" t="s">
        <v>94</v>
      </c>
      <c r="G7" s="6" t="s">
        <v>95</v>
      </c>
      <c r="H7" s="6" t="s">
        <v>96</v>
      </c>
    </row>
    <row r="8" customFormat="false" ht="15" hidden="false" customHeight="false" outlineLevel="0" collapsed="false">
      <c r="B8" s="4" t="s">
        <v>97</v>
      </c>
      <c r="C8" s="15" t="n">
        <v>4.2</v>
      </c>
      <c r="D8" s="15" t="n">
        <v>3.7</v>
      </c>
      <c r="E8" s="15" t="n">
        <v>2.5</v>
      </c>
      <c r="F8" s="15" t="n">
        <v>3</v>
      </c>
      <c r="G8" s="15" t="n">
        <v>3</v>
      </c>
      <c r="H8" s="15" t="n">
        <v>3</v>
      </c>
    </row>
    <row r="9" customFormat="false" ht="15" hidden="false" customHeight="false" outlineLevel="0" collapsed="false">
      <c r="B9" s="7" t="s">
        <v>40</v>
      </c>
      <c r="C9" s="12" t="n">
        <v>3</v>
      </c>
      <c r="D9" s="12" t="n">
        <v>3</v>
      </c>
      <c r="E9" s="12" t="n">
        <v>3</v>
      </c>
      <c r="F9" s="12" t="n">
        <v>3</v>
      </c>
      <c r="G9" s="12" t="n">
        <v>3</v>
      </c>
      <c r="H9" s="12" t="n">
        <v>3</v>
      </c>
    </row>
    <row r="10" customFormat="false" ht="15" hidden="false" customHeight="false" outlineLevel="0" collapsed="false">
      <c r="B10" s="4" t="s">
        <v>41</v>
      </c>
      <c r="C10" s="11" t="n">
        <f aca="false">C8-C9</f>
        <v>1.2</v>
      </c>
      <c r="D10" s="11" t="n">
        <f aca="false">D8-D9</f>
        <v>0.7</v>
      </c>
      <c r="E10" s="11" t="n">
        <f aca="false">E8-E9</f>
        <v>-0.5</v>
      </c>
      <c r="F10" s="11" t="n">
        <f aca="false">F8-F9</f>
        <v>0</v>
      </c>
      <c r="G10" s="11" t="n">
        <f aca="false">G8-G9</f>
        <v>0</v>
      </c>
      <c r="H10" s="11" t="n">
        <f aca="false">H8-H9</f>
        <v>0</v>
      </c>
    </row>
    <row r="12" customFormat="false" ht="15" hidden="false" customHeight="false" outlineLevel="0" collapsed="false">
      <c r="B12" s="3" t="s">
        <v>98</v>
      </c>
    </row>
    <row r="13" customFormat="false" ht="15" hidden="false" customHeight="false" outlineLevel="0" collapsed="false">
      <c r="B13" s="7" t="s">
        <v>99</v>
      </c>
      <c r="E13" s="16" t="n">
        <v>3.5</v>
      </c>
    </row>
    <row r="14" customFormat="false" ht="15" hidden="false" customHeight="false" outlineLevel="0" collapsed="false">
      <c r="B14" s="7" t="s">
        <v>100</v>
      </c>
      <c r="E14" s="16" t="n">
        <v>3.3</v>
      </c>
    </row>
    <row r="15" customFormat="false" ht="15" hidden="false" customHeight="false" outlineLevel="0" collapsed="false">
      <c r="B15" s="7" t="s">
        <v>101</v>
      </c>
      <c r="E15" s="16" t="n">
        <v>4.5</v>
      </c>
    </row>
    <row r="16" customFormat="false" ht="15" hidden="false" customHeight="false" outlineLevel="0" collapsed="false">
      <c r="B16" s="7" t="s">
        <v>102</v>
      </c>
      <c r="E16" s="16" t="n">
        <v>-50</v>
      </c>
    </row>
    <row r="17" customFormat="false" ht="15" hidden="false" customHeight="false" outlineLevel="0" collapsed="false">
      <c r="B17" s="7" t="s">
        <v>103</v>
      </c>
      <c r="E17" s="16" t="n">
        <v>3</v>
      </c>
    </row>
    <row r="19" customFormat="false" ht="15" hidden="false" customHeight="false" outlineLevel="0" collapsed="false">
      <c r="B19" s="8" t="s">
        <v>104</v>
      </c>
    </row>
    <row r="20" customFormat="false" ht="15" hidden="false" customHeight="false" outlineLevel="0" collapsed="false">
      <c r="B20" s="8" t="s">
        <v>105</v>
      </c>
    </row>
    <row r="23" customFormat="false" ht="15" hidden="false" customHeight="false" outlineLevel="0" collapsed="false">
      <c r="B23" s="4" t="s">
        <v>106</v>
      </c>
      <c r="C23" s="7" t="s">
        <v>107</v>
      </c>
      <c r="D23" s="7" t="s">
        <v>108</v>
      </c>
    </row>
    <row r="24" customFormat="false" ht="15" hidden="false" customHeight="false" outlineLevel="0" collapsed="false">
      <c r="B24" s="7" t="s">
        <v>91</v>
      </c>
      <c r="C24" s="17" t="n">
        <f aca="false">INDEX($C$8:$H$8,1)</f>
        <v>4.2</v>
      </c>
      <c r="D24" s="17" t="n">
        <f aca="false">INDEX($C$9:$H$9,1)</f>
        <v>3</v>
      </c>
    </row>
    <row r="25" customFormat="false" ht="15" hidden="false" customHeight="false" outlineLevel="0" collapsed="false">
      <c r="B25" s="7" t="s">
        <v>92</v>
      </c>
      <c r="C25" s="17" t="n">
        <f aca="false">INDEX($C$8:$H$8,2)</f>
        <v>3.7</v>
      </c>
      <c r="D25" s="17" t="n">
        <f aca="false">INDEX($C$9:$H$9,2)</f>
        <v>3</v>
      </c>
    </row>
    <row r="26" customFormat="false" ht="15" hidden="false" customHeight="false" outlineLevel="0" collapsed="false">
      <c r="B26" s="7" t="s">
        <v>93</v>
      </c>
      <c r="C26" s="17" t="n">
        <f aca="false">INDEX($C$8:$H$8,3)</f>
        <v>2.5</v>
      </c>
      <c r="D26" s="17" t="n">
        <f aca="false">INDEX($C$9:$H$9,3)</f>
        <v>3</v>
      </c>
    </row>
    <row r="27" customFormat="false" ht="15" hidden="false" customHeight="false" outlineLevel="0" collapsed="false">
      <c r="B27" s="7" t="s">
        <v>94</v>
      </c>
      <c r="C27" s="17" t="n">
        <f aca="false">INDEX($C$8:$H$8,4)</f>
        <v>3</v>
      </c>
      <c r="D27" s="17" t="n">
        <f aca="false">INDEX($C$9:$H$9,4)</f>
        <v>3</v>
      </c>
    </row>
    <row r="28" customFormat="false" ht="15" hidden="false" customHeight="false" outlineLevel="0" collapsed="false">
      <c r="B28" s="7" t="s">
        <v>95</v>
      </c>
      <c r="C28" s="17" t="n">
        <f aca="false">INDEX($C$8:$H$8,5)</f>
        <v>3</v>
      </c>
      <c r="D28" s="17" t="n">
        <f aca="false">INDEX($C$9:$H$9,5)</f>
        <v>3</v>
      </c>
    </row>
    <row r="29" customFormat="false" ht="15" hidden="false" customHeight="false" outlineLevel="0" collapsed="false">
      <c r="B29" s="7" t="s">
        <v>96</v>
      </c>
      <c r="C29" s="17" t="n">
        <f aca="false">INDEX($C$8:$H$8,6)</f>
        <v>3</v>
      </c>
      <c r="D29" s="17" t="n">
        <f aca="false">INDEX($C$9:$H$9,6)</f>
        <v>3</v>
      </c>
    </row>
  </sheetData>
  <conditionalFormatting sqref="C10:H1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6" min="3" style="0" width="14"/>
  </cols>
  <sheetData>
    <row r="2" customFormat="false" ht="25.5" hidden="false" customHeight="true" outlineLevel="0" collapsed="false">
      <c r="B2" s="1" t="s">
        <v>109</v>
      </c>
    </row>
    <row r="3" customFormat="false" ht="15" hidden="false" customHeight="false" outlineLevel="0" collapsed="false">
      <c r="B3" s="2" t="s">
        <v>110</v>
      </c>
    </row>
    <row r="5" customFormat="false" ht="15" hidden="false" customHeight="false" outlineLevel="0" collapsed="false">
      <c r="B5" s="3" t="s">
        <v>111</v>
      </c>
    </row>
    <row r="6" customFormat="false" ht="31.5" hidden="false" customHeight="true" outlineLevel="0" collapsed="false">
      <c r="B6" s="6" t="s">
        <v>112</v>
      </c>
      <c r="C6" s="6" t="s">
        <v>113</v>
      </c>
      <c r="D6" s="6" t="s">
        <v>47</v>
      </c>
      <c r="E6" s="6" t="s">
        <v>114</v>
      </c>
      <c r="F6" s="6" t="s">
        <v>115</v>
      </c>
    </row>
    <row r="7" customFormat="false" ht="15" hidden="false" customHeight="false" outlineLevel="0" collapsed="false">
      <c r="B7" s="4" t="s">
        <v>116</v>
      </c>
      <c r="C7" s="18" t="s">
        <v>117</v>
      </c>
      <c r="D7" s="7" t="s">
        <v>118</v>
      </c>
      <c r="E7" s="15" t="n">
        <v>4.2</v>
      </c>
    </row>
    <row r="8" customFormat="false" ht="15" hidden="false" customHeight="false" outlineLevel="0" collapsed="false">
      <c r="B8" s="7" t="s">
        <v>116</v>
      </c>
      <c r="C8" s="18" t="s">
        <v>119</v>
      </c>
      <c r="D8" s="7" t="s">
        <v>118</v>
      </c>
      <c r="E8" s="16" t="n">
        <v>4</v>
      </c>
    </row>
    <row r="9" customFormat="false" ht="15" hidden="false" customHeight="false" outlineLevel="0" collapsed="false">
      <c r="B9" s="7" t="s">
        <v>116</v>
      </c>
      <c r="C9" s="18" t="s">
        <v>117</v>
      </c>
      <c r="D9" s="7" t="s">
        <v>120</v>
      </c>
      <c r="E9" s="19" t="s">
        <v>121</v>
      </c>
    </row>
    <row r="10" customFormat="false" ht="15" hidden="false" customHeight="false" outlineLevel="0" collapsed="false">
      <c r="B10" s="4" t="s">
        <v>122</v>
      </c>
      <c r="C10" s="18" t="s">
        <v>123</v>
      </c>
      <c r="D10" s="7" t="s">
        <v>124</v>
      </c>
      <c r="E10" s="15" t="n">
        <v>3.7</v>
      </c>
      <c r="F10" s="15" t="n">
        <v>2.5</v>
      </c>
    </row>
    <row r="11" customFormat="false" ht="15" hidden="false" customHeight="false" outlineLevel="0" collapsed="false">
      <c r="B11" s="7" t="s">
        <v>122</v>
      </c>
      <c r="C11" s="18" t="s">
        <v>125</v>
      </c>
      <c r="D11" s="7" t="s">
        <v>124</v>
      </c>
      <c r="E11" s="16" t="n">
        <v>2.7</v>
      </c>
      <c r="F11" s="16" t="n">
        <v>3</v>
      </c>
    </row>
    <row r="13" customFormat="false" ht="15" hidden="false" customHeight="false" outlineLevel="0" collapsed="false">
      <c r="B13" s="8" t="s">
        <v>126</v>
      </c>
    </row>
    <row r="14" customFormat="false" ht="15" hidden="false" customHeight="false" outlineLevel="0" collapsed="false">
      <c r="B14" s="8" t="s">
        <v>127</v>
      </c>
    </row>
    <row r="15" customFormat="false" ht="15" hidden="false" customHeight="false" outlineLevel="0" collapsed="false">
      <c r="B15" s="8" t="s">
        <v>128</v>
      </c>
    </row>
    <row r="17" customFormat="false" ht="15" hidden="false" customHeight="false" outlineLevel="0" collapsed="false">
      <c r="B17" s="3" t="s">
        <v>129</v>
      </c>
    </row>
    <row r="18" customFormat="false" ht="31.5" hidden="false" customHeight="true" outlineLevel="0" collapsed="false">
      <c r="B18" s="6" t="s">
        <v>130</v>
      </c>
      <c r="C18" s="6" t="s">
        <v>114</v>
      </c>
      <c r="D18" s="6" t="s">
        <v>115</v>
      </c>
      <c r="E18" s="6" t="s">
        <v>131</v>
      </c>
    </row>
    <row r="19" customFormat="false" ht="15" hidden="false" customHeight="false" outlineLevel="0" collapsed="false">
      <c r="B19" s="7" t="s">
        <v>132</v>
      </c>
      <c r="C19" s="13" t="n">
        <v>4.5</v>
      </c>
    </row>
    <row r="20" customFormat="false" ht="15" hidden="false" customHeight="false" outlineLevel="0" collapsed="false">
      <c r="B20" s="7" t="s">
        <v>133</v>
      </c>
      <c r="C20" s="13" t="n">
        <v>5.8</v>
      </c>
      <c r="D20" s="13" t="n">
        <v>5.2</v>
      </c>
      <c r="E20" s="13" t="n">
        <v>5</v>
      </c>
    </row>
    <row r="21" customFormat="false" ht="15" hidden="false" customHeight="false" outlineLevel="0" collapsed="false">
      <c r="B21" s="7" t="s">
        <v>134</v>
      </c>
      <c r="C21" s="13" t="n">
        <v>2.8</v>
      </c>
      <c r="D21" s="13" t="n">
        <v>2.8</v>
      </c>
      <c r="E21" s="13" t="n">
        <v>2.8</v>
      </c>
    </row>
    <row r="22" customFormat="false" ht="15" hidden="false" customHeight="false" outlineLevel="0" collapsed="false">
      <c r="B22" s="7" t="s">
        <v>135</v>
      </c>
      <c r="C22" s="13" t="n">
        <v>1</v>
      </c>
      <c r="D22" s="13" t="n">
        <v>2</v>
      </c>
    </row>
    <row r="23" customFormat="false" ht="15" hidden="false" customHeight="false" outlineLevel="0" collapsed="false">
      <c r="B23" s="7" t="s">
        <v>136</v>
      </c>
      <c r="C23" s="13" t="n">
        <v>1.75</v>
      </c>
      <c r="D23" s="13" t="n">
        <v>3</v>
      </c>
    </row>
    <row r="25" customFormat="false" ht="15" hidden="false" customHeight="false" outlineLevel="0" collapsed="false">
      <c r="B25" s="8" t="s">
        <v>137</v>
      </c>
    </row>
    <row r="27" customFormat="false" ht="15" hidden="false" customHeight="false" outlineLevel="0" collapsed="false">
      <c r="B27" s="3" t="s">
        <v>138</v>
      </c>
    </row>
    <row r="28" customFormat="false" ht="33" hidden="false" customHeight="true" outlineLevel="0" collapsed="false">
      <c r="B28" s="20" t="s">
        <v>139</v>
      </c>
      <c r="C28" s="20"/>
      <c r="D28" s="20"/>
      <c r="E28" s="20"/>
      <c r="F28" s="20"/>
      <c r="G28" s="20"/>
      <c r="H28" s="20"/>
      <c r="I28" s="20"/>
      <c r="J28" s="20"/>
    </row>
    <row r="29" customFormat="false" ht="21.75" hidden="false" customHeight="true" outlineLevel="0" collapsed="false">
      <c r="B29" s="20" t="s">
        <v>140</v>
      </c>
      <c r="C29" s="20"/>
      <c r="D29" s="20"/>
      <c r="E29" s="20"/>
      <c r="F29" s="20"/>
      <c r="G29" s="20"/>
      <c r="H29" s="20"/>
      <c r="I29" s="20"/>
      <c r="J29" s="20"/>
    </row>
    <row r="30" customFormat="false" ht="21.75" hidden="false" customHeight="true" outlineLevel="0" collapsed="false">
      <c r="B30" s="20" t="s">
        <v>141</v>
      </c>
      <c r="C30" s="20"/>
      <c r="D30" s="20"/>
      <c r="E30" s="20"/>
      <c r="F30" s="20"/>
      <c r="G30" s="20"/>
      <c r="H30" s="20"/>
      <c r="I30" s="20"/>
      <c r="J30" s="20"/>
    </row>
    <row r="31" customFormat="false" ht="21.75" hidden="false" customHeight="true" outlineLevel="0" collapsed="false">
      <c r="B31" s="20" t="s">
        <v>142</v>
      </c>
      <c r="C31" s="20"/>
      <c r="D31" s="20"/>
      <c r="E31" s="20"/>
      <c r="F31" s="20"/>
      <c r="G31" s="20"/>
      <c r="H31" s="20"/>
      <c r="I31" s="20"/>
      <c r="J31" s="20"/>
    </row>
    <row r="32" customFormat="false" ht="21.75" hidden="false" customHeight="true" outlineLevel="0" collapsed="false">
      <c r="B32" s="20" t="s">
        <v>143</v>
      </c>
      <c r="C32" s="20"/>
      <c r="D32" s="20"/>
      <c r="E32" s="20"/>
      <c r="F32" s="20"/>
      <c r="G32" s="20"/>
      <c r="H32" s="20"/>
      <c r="I32" s="20"/>
      <c r="J32" s="20"/>
    </row>
    <row r="36" customFormat="false" ht="15" hidden="false" customHeight="false" outlineLevel="0" collapsed="false">
      <c r="B36" s="4" t="s">
        <v>144</v>
      </c>
      <c r="C36" s="7" t="s">
        <v>107</v>
      </c>
      <c r="D36" s="7" t="s">
        <v>108</v>
      </c>
    </row>
    <row r="37" customFormat="false" ht="15" hidden="false" customHeight="false" outlineLevel="0" collapsed="false">
      <c r="B37" s="7" t="s">
        <v>91</v>
      </c>
      <c r="C37" s="16" t="n">
        <v>4.2</v>
      </c>
      <c r="D37" s="12" t="n">
        <v>3</v>
      </c>
    </row>
    <row r="38" customFormat="false" ht="15" hidden="false" customHeight="false" outlineLevel="0" collapsed="false">
      <c r="B38" s="7" t="s">
        <v>92</v>
      </c>
      <c r="C38" s="16" t="n">
        <v>3.7</v>
      </c>
      <c r="D38" s="12" t="n">
        <v>3</v>
      </c>
    </row>
    <row r="39" customFormat="false" ht="15" hidden="false" customHeight="false" outlineLevel="0" collapsed="false">
      <c r="B39" s="7" t="s">
        <v>93</v>
      </c>
      <c r="C39" s="16" t="n">
        <v>2.5</v>
      </c>
      <c r="D39" s="12" t="n">
        <v>3</v>
      </c>
    </row>
    <row r="40" customFormat="false" ht="15" hidden="false" customHeight="false" outlineLevel="0" collapsed="false">
      <c r="B40" s="7" t="s">
        <v>94</v>
      </c>
      <c r="C40" s="16" t="n">
        <v>3</v>
      </c>
      <c r="D40" s="12" t="n">
        <v>3</v>
      </c>
    </row>
  </sheetData>
  <mergeCells count="5">
    <mergeCell ref="B28:J28"/>
    <mergeCell ref="B29:J29"/>
    <mergeCell ref="B30:J30"/>
    <mergeCell ref="B31:J31"/>
    <mergeCell ref="B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96"/>
  </cols>
  <sheetData>
    <row r="2" customFormat="false" ht="25.5" hidden="false" customHeight="true" outlineLevel="0" collapsed="false">
      <c r="B2" s="1" t="s">
        <v>145</v>
      </c>
    </row>
    <row r="4" customFormat="false" ht="21.75" hidden="false" customHeight="true" outlineLevel="0" collapsed="false">
      <c r="B4" s="4" t="s">
        <v>146</v>
      </c>
      <c r="C4" s="5" t="s">
        <v>147</v>
      </c>
    </row>
    <row r="5" customFormat="false" ht="33" hidden="false" customHeight="true" outlineLevel="0" collapsed="false">
      <c r="B5" s="4" t="s">
        <v>148</v>
      </c>
      <c r="C5" s="5" t="s">
        <v>149</v>
      </c>
    </row>
    <row r="6" customFormat="false" ht="21.75" hidden="false" customHeight="true" outlineLevel="0" collapsed="false">
      <c r="B6" s="4" t="s">
        <v>150</v>
      </c>
      <c r="C6" s="5" t="s">
        <v>151</v>
      </c>
    </row>
    <row r="7" customFormat="false" ht="12" hidden="false" customHeight="true" outlineLevel="0" collapsed="false">
      <c r="B7" s="4" t="s">
        <v>152</v>
      </c>
      <c r="C7" s="5" t="s">
        <v>153</v>
      </c>
    </row>
    <row r="8" customFormat="false" ht="12" hidden="false" customHeight="true" outlineLevel="0" collapsed="false">
      <c r="B8" s="4" t="s">
        <v>154</v>
      </c>
      <c r="C8" s="5" t="s">
        <v>155</v>
      </c>
    </row>
    <row r="9" customFormat="false" ht="21.75" hidden="false" customHeight="true" outlineLevel="0" collapsed="false">
      <c r="B9" s="4" t="s">
        <v>156</v>
      </c>
      <c r="C9" s="5" t="s">
        <v>157</v>
      </c>
    </row>
    <row r="10" customFormat="false" ht="33" hidden="false" customHeight="true" outlineLevel="0" collapsed="false">
      <c r="B10" s="4" t="s">
        <v>20</v>
      </c>
      <c r="C10" s="5" t="s">
        <v>158</v>
      </c>
    </row>
    <row r="12" customFormat="false" ht="12" hidden="false" customHeight="true" outlineLevel="0" collapsed="false">
      <c r="B12" s="4" t="s">
        <v>159</v>
      </c>
      <c r="C12" s="5"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2026-08-04T22:52:47Z</dcterms:created>
  <dc:creator>openpyxl</dc:creator>
  <dc:description/>
  <dc:language>en-US</dc:language>
  <cp:lastModifiedBy/>
  <dcterms:modified xsi:type="dcterms:W3CDTF">2026-08-04T22:52:55Z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