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Output_Exports" sheetId="2" state="visible" r:id="rId2"/>
    <sheet xmlns:r="http://schemas.openxmlformats.org/officeDocument/2006/relationships" name="S1_Rigs" sheetId="3" state="visible" r:id="rId3"/>
    <sheet xmlns:r="http://schemas.openxmlformats.org/officeDocument/2006/relationships" name="S2_Reserves" sheetId="4" state="visible" r:id="rId4"/>
    <sheet xmlns:r="http://schemas.openxmlformats.org/officeDocument/2006/relationships" name="S3_Targets" sheetId="5" state="visible" r:id="rId5"/>
    <sheet xmlns:r="http://schemas.openxmlformats.org/officeDocument/2006/relationships" name="S3_Scorecard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#,##0.0;(#,##0.0);-"/>
    <numFmt numFmtId="166" formatCode="#,##0.00;(#,##0.00);-"/>
    <numFmt numFmtId="167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6B6B"/>
      <sz val="9"/>
    </font>
    <font>
      <name val="Arial"/>
      <b val="1"/>
      <color rgb="001A1A1A"/>
      <sz val="10"/>
    </font>
    <font>
      <name val="Arial"/>
      <b val="1"/>
      <color rgb="001A1A1A"/>
      <sz val="9"/>
    </font>
    <font>
      <name val="Arial"/>
      <color rgb="006B6B6B"/>
      <sz val="9"/>
    </font>
    <font>
      <name val="Arial"/>
      <color rgb="001A1A1A"/>
      <sz val="9"/>
    </font>
    <font>
      <name val="Arial"/>
      <b val="1"/>
      <color rgb="00EC0016"/>
      <sz val="11"/>
    </font>
    <font>
      <name val="Arial"/>
      <color rgb="000000FF"/>
      <sz val="9"/>
    </font>
    <font>
      <name val="Arial"/>
      <color rgb="006B6B6B"/>
      <sz val="8"/>
    </font>
    <font>
      <name val="Arial"/>
      <b val="1"/>
      <color rgb="000000FF"/>
      <sz val="9"/>
    </font>
    <font>
      <name val="Arial"/>
      <i val="1"/>
      <color rgb="006B6B6B"/>
      <sz val="8"/>
    </font>
    <font>
      <name val="Arial"/>
      <b val="1"/>
      <color rgb="00EC0016"/>
      <sz val="9"/>
    </font>
  </fonts>
  <fills count="4">
    <fill>
      <patternFill/>
    </fill>
    <fill>
      <patternFill patternType="gray125"/>
    </fill>
    <fill>
      <patternFill patternType="solid">
        <fgColor rgb="00EC001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EC001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8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9" fillId="0" borderId="0" applyAlignment="1" pivotButton="0" quotePrefix="0" xfId="0">
      <alignment vertical="top" wrapText="1"/>
    </xf>
    <xf numFmtId="0" fontId="9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4" fillId="3" borderId="1" applyAlignment="1" pivotButton="0" quotePrefix="0" xfId="0">
      <alignment horizontal="center" vertical="center"/>
    </xf>
    <xf numFmtId="9" fontId="4" fillId="0" borderId="0" pivotButton="0" quotePrefix="0" xfId="0"/>
    <xf numFmtId="165" fontId="10" fillId="0" borderId="0" pivotButton="0" quotePrefix="0" xfId="0"/>
    <xf numFmtId="166" fontId="8" fillId="0" borderId="0" pivotButton="0" quotePrefix="0" xfId="0"/>
    <xf numFmtId="165" fontId="8" fillId="0" borderId="0" pivotButton="0" quotePrefix="0" xfId="0"/>
    <xf numFmtId="166" fontId="4" fillId="0" borderId="0" pivotButton="0" quotePrefix="0" xfId="0"/>
    <xf numFmtId="0" fontId="8" fillId="0" borderId="0" pivotButton="0" quotePrefix="0" xfId="0"/>
    <xf numFmtId="9" fontId="12" fillId="0" borderId="0" pivotButton="0" quotePrefix="0" xfId="0"/>
    <xf numFmtId="167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C0016"/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0" customWidth="1" min="3" max="3"/>
    <col width="78" customWidth="1" min="4" max="4"/>
  </cols>
  <sheetData>
    <row r="2" ht="26" customHeight="1">
      <c r="B2" s="1" t="inlineStr">
        <is>
          <t>Venezuela TAA deck — underlying chart data</t>
        </is>
      </c>
    </row>
    <row r="3">
      <c r="B3" s="2" t="inlineStr">
        <is>
          <t>Companion to venezuela_taa_ubs.pptx. Prepared 1 September 2026.</t>
        </is>
      </c>
    </row>
    <row r="4">
      <c r="B4" s="3" t="inlineStr">
        <is>
          <t>Tab</t>
        </is>
      </c>
      <c r="C4" s="3" t="inlineStr">
        <is>
          <t>Feeds</t>
        </is>
      </c>
      <c r="D4" s="3" t="inlineStr">
        <is>
          <t>Contents</t>
        </is>
      </c>
    </row>
    <row r="5" ht="26" customHeight="1">
      <c r="B5" s="4" t="inlineStr">
        <is>
          <t>S1_Output_Exports</t>
        </is>
      </c>
      <c r="C5" s="5" t="inlineStr">
        <is>
          <t>Slide 1, left chart</t>
        </is>
      </c>
      <c r="D5" s="6" t="inlineStr">
        <is>
          <t>Monthly crude output (OPEC secondary sources) and oil exports (Reuters tanker data), Jan–Jul 2026, plus the implied inventory drawdown.</t>
        </is>
      </c>
    </row>
    <row r="6" ht="26" customHeight="1">
      <c r="B6" s="4" t="inlineStr">
        <is>
          <t>S1_Rigs</t>
        </is>
      </c>
      <c r="C6" s="5" t="inlineStr">
        <is>
          <t>Slide 1, right chart</t>
        </is>
      </c>
      <c r="D6" s="6" t="inlineStr">
        <is>
          <t>Baker Hughes active rig count and the rig requirement benchmarks.</t>
        </is>
      </c>
    </row>
    <row r="7" ht="26" customHeight="1">
      <c r="B7" s="4" t="inlineStr">
        <is>
          <t>S2_Reserves</t>
        </is>
      </c>
      <c r="C7" s="5" t="inlineStr">
        <is>
          <t>Slide 2, left chart</t>
        </is>
      </c>
      <c r="D7" s="6" t="inlineStr">
        <is>
          <t>Reserve funnel from the 303bn book to liftable barrels, and the dollar arithmetic behind the three stat callouts.</t>
        </is>
      </c>
    </row>
    <row r="8" ht="26" customHeight="1">
      <c r="B8" s="4" t="inlineStr">
        <is>
          <t>S3_Targets</t>
        </is>
      </c>
      <c r="C8" s="5" t="inlineStr">
        <is>
          <t>Slide 3, main chart</t>
        </is>
      </c>
      <c r="D8" s="6" t="inlineStr">
        <is>
          <t>Announced production targets since 2005 vs. delivered EIA annual crude output, 2005–2030.</t>
        </is>
      </c>
    </row>
    <row r="9" ht="26" customHeight="1">
      <c r="B9" s="4" t="inlineStr">
        <is>
          <t>S3_Scorecard</t>
        </is>
      </c>
      <c r="C9" s="5" t="inlineStr">
        <is>
          <t>Slide 3, table</t>
        </is>
      </c>
      <c r="D9" s="6" t="inlineStr">
        <is>
          <t>Target vs. delivered at each deadline.</t>
        </is>
      </c>
    </row>
    <row r="10" ht="26" customHeight="1">
      <c r="B10" s="4" t="inlineStr">
        <is>
          <t>Sources</t>
        </is>
      </c>
      <c r="C10" s="5" t="inlineStr">
        <is>
          <t>All slides</t>
        </is>
      </c>
      <c r="D10" s="6" t="inlineStr">
        <is>
          <t>Full source list with dates and the specific figure each supports.</t>
        </is>
      </c>
    </row>
    <row r="12">
      <c r="B12" s="7" t="inlineStr">
        <is>
          <t>Conventions</t>
        </is>
      </c>
    </row>
    <row r="13">
      <c r="B13" s="8" t="inlineStr">
        <is>
          <t>Blue figures are hardcoded inputs taken from a published source. Black figures are formulas that recalculate.</t>
        </is>
      </c>
    </row>
    <row r="14">
      <c r="B14" s="8" t="inlineStr">
        <is>
          <t>Every input row carries its source in the right-hand column. Do not overwrite a blue cell without updating that source.</t>
        </is>
      </c>
    </row>
    <row r="15">
      <c r="B15" s="8" t="inlineStr">
        <is>
          <t>The PowerPoint charts are native and carry their own embedded worksheets: right-click a chart &gt; Edit Data to change it in place.</t>
        </is>
      </c>
    </row>
    <row r="16">
      <c r="B16" s="8" t="inlineStr">
        <is>
          <t>This workbook is the audit trail and the place to rebuild a series from scratch; the two are not linked, so update both.</t>
        </is>
      </c>
    </row>
    <row r="18">
      <c r="B18" s="7" t="inlineStr">
        <is>
          <t>Before publication</t>
        </is>
      </c>
    </row>
    <row r="19">
      <c r="B19" s="8" t="inlineStr">
        <is>
          <t>OPEC revises the monthly secondary-source series each month — refresh Table 5-x from the latest MOMR before the call.</t>
        </is>
      </c>
    </row>
    <row r="20">
      <c r="B20" s="8" t="inlineStr">
        <is>
          <t>April 2026 exports (1,230 kb/d) are derived from Reuters' '+14% vs March', not a directly published level.</t>
        </is>
      </c>
    </row>
    <row r="21">
      <c r="B21" s="8" t="inlineStr">
        <is>
          <t>Upgrader nameplate capacity (~700 kb/d, four units) is from a 2019 CFR piece and should be refreshed if a newer disclosure exists.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C0016"/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  <col width="20" customWidth="1" min="7" max="7"/>
    <col width="62" customWidth="1" min="8" max="8"/>
  </cols>
  <sheetData>
    <row r="2" ht="26" customHeight="1">
      <c r="B2" s="1" t="inlineStr">
        <is>
          <t>Slide 1 — crude output vs. oil exports</t>
        </is>
      </c>
    </row>
    <row r="3">
      <c r="B3" s="2" t="inlineStr">
        <is>
          <t>Thousand b/d. Output on OPEC secondary sources; exports are crude + fuel on tanker tracking.</t>
        </is>
      </c>
    </row>
    <row r="5" ht="30" customHeight="1">
      <c r="B5" s="9" t="inlineStr">
        <is>
          <t>Month</t>
        </is>
      </c>
      <c r="C5" s="9" t="inlineStr">
        <is>
          <t>Crude output,
OPEC secondary</t>
        </is>
      </c>
      <c r="D5" s="9" t="inlineStr">
        <is>
          <t>Exports,
crude + fuel</t>
        </is>
      </c>
      <c r="E5" s="9" t="inlineStr">
        <is>
          <t>PDVSA direct
communication</t>
        </is>
      </c>
      <c r="F5" s="9" t="inlineStr">
        <is>
          <t>Exports less
output</t>
        </is>
      </c>
      <c r="G5" s="9" t="inlineStr">
        <is>
          <t>Cumulative drawdown,
mn bbl</t>
        </is>
      </c>
      <c r="H5" s="9" t="inlineStr">
        <is>
          <t>Source / note</t>
        </is>
      </c>
    </row>
    <row r="6" ht="22" customHeight="1">
      <c r="B6" s="4" t="inlineStr">
        <is>
          <t>Jan-26</t>
        </is>
      </c>
      <c r="C6" s="10" t="n">
        <v>924</v>
      </c>
      <c r="D6" s="10" t="n">
        <v>800</v>
      </c>
      <c r="F6" s="11">
        <f>D6-C6</f>
        <v/>
      </c>
      <c r="G6" s="12">
        <f>MAX(0,F6)*31/1000</f>
        <v/>
      </c>
      <c r="H6" s="13" t="inlineStr">
        <is>
          <t>Output: MOMR. Exports: Reuters, 2 Feb 2026 (up from 498 in Dec-25).</t>
        </is>
      </c>
    </row>
    <row r="7" ht="22" customHeight="1">
      <c r="B7" s="4" t="inlineStr">
        <is>
          <t>Feb-26</t>
        </is>
      </c>
      <c r="C7" s="10" t="n">
        <v>903</v>
      </c>
      <c r="D7" s="10" t="n">
        <v>737</v>
      </c>
      <c r="F7" s="11">
        <f>D7-C7</f>
        <v/>
      </c>
      <c r="G7" s="12">
        <f>MAX(0,F7)*28/1000+G6</f>
        <v/>
      </c>
      <c r="H7" s="13" t="inlineStr">
        <is>
          <t>Exports fell 6.5% m/m on the loss of the Chinese market (Reuters, 4 Mar 2026).</t>
        </is>
      </c>
    </row>
    <row r="8" ht="22" customHeight="1">
      <c r="B8" s="4" t="inlineStr">
        <is>
          <t>Mar-26</t>
        </is>
      </c>
      <c r="C8" s="10" t="n">
        <v>985</v>
      </c>
      <c r="D8" s="10" t="n">
        <v>1090</v>
      </c>
      <c r="E8" s="10" t="n">
        <v>1095</v>
      </c>
      <c r="F8" s="11">
        <f>D8-C8</f>
        <v/>
      </c>
      <c r="G8" s="12">
        <f>MAX(0,F8)*31/1000+G7</f>
        <v/>
      </c>
      <c r="H8" s="13" t="inlineStr">
        <is>
          <t>60 vessels departed carrying 1.09mn b/d (Reuters).</t>
        </is>
      </c>
    </row>
    <row r="9" ht="22" customHeight="1">
      <c r="B9" s="4" t="inlineStr">
        <is>
          <t>Apr-26</t>
        </is>
      </c>
      <c r="C9" s="10" t="n">
        <v>1036</v>
      </c>
      <c r="D9" s="10" t="n">
        <v>1230</v>
      </c>
      <c r="E9" s="10" t="n">
        <v>1136</v>
      </c>
      <c r="F9" s="11">
        <f>D9-C9</f>
        <v/>
      </c>
      <c r="G9" s="12">
        <f>MAX(0,F9)*30/1000+G8</f>
        <v/>
      </c>
      <c r="H9" s="13" t="inlineStr">
        <is>
          <t>Exports derived from Reuters' +14% m/m vs March; MOMR later revised output from 1,031 to 1,036.</t>
        </is>
      </c>
    </row>
    <row r="10" ht="22" customHeight="1">
      <c r="B10" s="4" t="inlineStr">
        <is>
          <t>May-26</t>
        </is>
      </c>
      <c r="C10" s="10" t="n">
        <v>1072</v>
      </c>
      <c r="D10" s="10" t="n">
        <v>1240</v>
      </c>
      <c r="E10" s="10" t="n">
        <v>1179</v>
      </c>
      <c r="F10" s="11">
        <f>D10-C10</f>
        <v/>
      </c>
      <c r="G10" s="12">
        <f>MAX(0,F10)*31/1000+G9</f>
        <v/>
      </c>
      <c r="H10" s="13" t="inlineStr">
        <is>
          <t>Export peak for the year (Reuters).</t>
        </is>
      </c>
    </row>
    <row r="11" ht="22" customHeight="1">
      <c r="B11" s="4" t="inlineStr">
        <is>
          <t>Jun-26</t>
        </is>
      </c>
      <c r="C11" s="10" t="n">
        <v>1104</v>
      </c>
      <c r="D11" s="10" t="n">
        <v>1200</v>
      </c>
      <c r="E11" s="10" t="n">
        <v>1187</v>
      </c>
      <c r="F11" s="11">
        <f>D11-C11</f>
        <v/>
      </c>
      <c r="G11" s="12">
        <f>MAX(0,F11)*30/1000+G10</f>
        <v/>
      </c>
      <c r="H11" s="13" t="inlineStr">
        <is>
          <t>Second month of export decline as storage ran down.</t>
        </is>
      </c>
    </row>
    <row r="12" ht="22" customHeight="1">
      <c r="B12" s="4" t="inlineStr">
        <is>
          <t>Jul-26</t>
        </is>
      </c>
      <c r="C12" s="10" t="n">
        <v>1117</v>
      </c>
      <c r="D12" s="10" t="n">
        <v>1160</v>
      </c>
      <c r="E12" s="10" t="n">
        <v>1200</v>
      </c>
      <c r="F12" s="11">
        <f>D12-C12</f>
        <v/>
      </c>
      <c r="G12" s="12">
        <f>MAX(0,F12)*31/1000+G11</f>
        <v/>
      </c>
      <c r="H12" s="13" t="inlineStr">
        <is>
          <t>Exports to the US 786 kb/d, highest since early 2019 (Reuters, 3 Aug 2026).</t>
        </is>
      </c>
    </row>
    <row r="14">
      <c r="B14" s="4" t="inlineStr">
        <is>
          <t>2H-2025 average</t>
        </is>
      </c>
      <c r="C14" s="10" t="n">
        <v>941</v>
      </c>
      <c r="H14" s="13" t="inlineStr">
        <is>
          <t>Mean of 3Q25 (946) and 4Q25 (936), MOMR Jan-2026 Table 5-7. Plotted as the dashed reference line.</t>
        </is>
      </c>
    </row>
    <row r="15">
      <c r="B15" s="4" t="inlineStr">
        <is>
          <t>4Q-2025 average</t>
        </is>
      </c>
      <c r="C15" s="10" t="n">
        <v>936</v>
      </c>
      <c r="H15" s="14" t="inlineStr">
        <is>
          <t>Base for the +181 kb/d headline on slide 1.</t>
        </is>
      </c>
    </row>
    <row r="17">
      <c r="B17" s="7" t="inlineStr">
        <is>
          <t>Derived</t>
        </is>
      </c>
    </row>
    <row r="18">
      <c r="B18" s="8" t="inlineStr">
        <is>
          <t>Output change, Jul-26 vs 4Q-25 (kb/d)</t>
        </is>
      </c>
      <c r="C18" s="15">
        <f>C12-C15</f>
        <v/>
      </c>
    </row>
    <row r="19">
      <c r="B19" s="8" t="inlineStr">
        <is>
          <t>Cumulative drawdown, Mar–Jul (mn bbl)</t>
        </is>
      </c>
      <c r="C19" s="16">
        <f>G12-G7</f>
        <v/>
      </c>
      <c r="H19" s="13" t="inlineStr">
        <is>
          <t>Sum of positive (exports less output) from March. A floor: before netting domestic consumption.</t>
        </is>
      </c>
    </row>
    <row r="20">
      <c r="B20" s="8" t="inlineStr">
        <is>
          <t>Blockade inventory build, Dec-25/Jan-26 (mn bbl)</t>
        </is>
      </c>
      <c r="C20" s="17" t="n">
        <v>40</v>
      </c>
      <c r="H20" s="13" t="inlineStr">
        <is>
          <t>More than 40mn bbl of crude and fuel in onshore tanks and vessels (Reuters, 2 Feb 2026).</t>
        </is>
      </c>
    </row>
    <row r="22">
      <c r="B22" s="18" t="inlineStr">
        <is>
          <t>Blue = hardcoded from source. Black = formula. Column E is PDVSA's own figure, shown for the reconciliation gap only; it is not plotted.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C0016"/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74" customWidth="1" min="4" max="4"/>
  </cols>
  <sheetData>
    <row r="2" ht="26" customHeight="1">
      <c r="B2" s="1" t="inlineStr">
        <is>
          <t>Slide 1 — active drilling rigs</t>
        </is>
      </c>
    </row>
    <row r="3">
      <c r="B3" s="2" t="inlineStr">
        <is>
          <t>Baker Hughes International Rig Count and rig requirement benchmarks.</t>
        </is>
      </c>
    </row>
    <row r="5">
      <c r="B5" s="19" t="inlineStr">
        <is>
          <t>Item</t>
        </is>
      </c>
      <c r="C5" s="19" t="inlineStr">
        <is>
          <t>Rigs</t>
        </is>
      </c>
      <c r="D5" s="19" t="inlineStr">
        <is>
          <t>Source / note</t>
        </is>
      </c>
    </row>
    <row r="6" ht="24" customHeight="1">
      <c r="B6" s="8" t="inlineStr">
        <is>
          <t>Active, Jul-2026</t>
        </is>
      </c>
      <c r="C6" s="17" t="n">
        <v>2</v>
      </c>
      <c r="D6" s="13" t="inlineStr">
        <is>
          <t>Baker Hughes, end-July 2026. Also 2 at end-March, both working for Chevron projects (Reuters, 27 Apr 2026).</t>
        </is>
      </c>
    </row>
    <row r="7" ht="24" customHeight="1">
      <c r="B7" s="8" t="inlineStr">
        <is>
          <t>SLB idle rigs, reactivation plan</t>
        </is>
      </c>
      <c r="C7" s="17" t="n">
        <v>15</v>
      </c>
      <c r="D7" s="13" t="inlineStr">
        <is>
          <t>SLB preparing to reactivate up to 15 idle drilling and workover rigs; up to 4 by end-2026 if contracts are signed (Reuters, 19 Aug 2026).</t>
        </is>
      </c>
    </row>
    <row r="8" ht="24" customHeight="1">
      <c r="B8" s="8" t="inlineStr">
        <is>
          <t>Needed by 2028 (oil ministry)</t>
        </is>
      </c>
      <c r="C8" s="17" t="n">
        <v>93</v>
      </c>
      <c r="D8" s="13" t="inlineStr">
        <is>
          <t>Ministry of Hydrocarbons presentation by minister Paula Henao, mostly for the Orinoco Belt (Reuters, 27 Apr 2026).</t>
        </is>
      </c>
    </row>
    <row r="9" ht="24" customHeight="1">
      <c r="B9" s="8" t="inlineStr">
        <is>
          <t>Peak, May-1997</t>
        </is>
      </c>
      <c r="C9" s="17" t="n">
        <v>119</v>
      </c>
      <c r="D9" s="13" t="inlineStr">
        <is>
          <t>All-time high in the Baker Hughes series for Venezuela, which starts in 1995.</t>
        </is>
      </c>
    </row>
    <row r="11">
      <c r="B11" s="8" t="inlineStr">
        <is>
          <t>Active as % of 2028 requirement</t>
        </is>
      </c>
      <c r="C11" s="20">
        <f>C6/C9</f>
        <v/>
      </c>
    </row>
    <row r="12">
      <c r="B12" s="8" t="inlineStr">
        <is>
          <t>Record low</t>
        </is>
      </c>
      <c r="C12" s="10" t="n">
        <v>0</v>
      </c>
      <c r="D12" s="14" t="inlineStr">
        <is>
          <t>Zero rigs in June 2020 (Baker Hughes).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C0016"/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74" customWidth="1" min="4" max="4"/>
  </cols>
  <sheetData>
    <row r="2" ht="26" customHeight="1">
      <c r="B2" s="1" t="inlineStr">
        <is>
          <t>Slide 2 — reserve funnel and deal arithmetic</t>
        </is>
      </c>
    </row>
    <row r="3">
      <c r="B3" s="2" t="inlineStr">
        <is>
          <t>Billion barrels unless stated. Shows how 65bn barrels converts into liftable volume and dollars.</t>
        </is>
      </c>
    </row>
    <row r="5">
      <c r="B5" s="19" t="inlineStr">
        <is>
          <t>Step</t>
        </is>
      </c>
      <c r="C5" s="19" t="inlineStr">
        <is>
          <t>bn bbl</t>
        </is>
      </c>
      <c r="D5" s="19" t="inlineStr">
        <is>
          <t>Source / basis</t>
        </is>
      </c>
    </row>
    <row r="6" ht="30" customHeight="1">
      <c r="B6" s="8" t="inlineStr">
        <is>
          <t>Venezuela proven reserves (OPEC / EIA)</t>
        </is>
      </c>
      <c r="C6" s="21" t="n">
        <v>303</v>
      </c>
      <c r="D6" s="13" t="inlineStr">
        <is>
          <t>~303bn bbl, roughly 17% of the world total (US EIA, cited by AP). Rests on the Magna Reserva certification of Orinoco extra-heavy oil at ~20% recovery.</t>
        </is>
      </c>
    </row>
    <row r="7" ht="30" customHeight="1">
      <c r="B7" s="8" t="inlineStr">
        <is>
          <t>Covered by the 17-field deal</t>
        </is>
      </c>
      <c r="C7" s="21" t="n">
        <v>65</v>
      </c>
      <c r="D7" s="13" t="inlineStr">
        <is>
          <t>Trump Truth Social and Rodriguez communique, 28 Aug 2026. A US official told Newsweek 63bn; Reuters reports 63.7bn recoverable at a ~20% recovery factor; Axios reported ~90bn pre-announcement. Not reconciled.</t>
        </is>
      </c>
    </row>
    <row r="8" ht="30" customHeight="1">
      <c r="B8" s="8" t="inlineStr">
        <is>
          <t>Liftable in 25 yrs at the 1.5 mb/d target</t>
        </is>
      </c>
      <c r="C8" s="16">
        <f>1.5*365*25/1000</f>
        <v/>
      </c>
      <c r="D8" s="13" t="inlineStr">
        <is>
          <t>Rodriguez: 25-year term, production could exceed 1.5 mb/d. Straight-line arithmetic.</t>
        </is>
      </c>
    </row>
    <row r="9" ht="30" customHeight="1">
      <c r="B9" s="8" t="inlineStr">
        <is>
          <t>Implied by Caracas's $209bn tax claim</t>
        </is>
      </c>
      <c r="C9" s="16">
        <f>C15/C16</f>
        <v/>
      </c>
      <c r="D9" s="13" t="inlineStr">
        <is>
          <t>$209bn of taxes at the $19/bbl implied take flagged by economist Francisco Rodriguez.</t>
        </is>
      </c>
    </row>
    <row r="11">
      <c r="B11" s="7" t="inlineStr">
        <is>
          <t>Assumptions</t>
        </is>
      </c>
    </row>
    <row r="12">
      <c r="B12" s="8" t="inlineStr">
        <is>
          <t>Merey price, Jul-26 average ($/bbl)</t>
        </is>
      </c>
      <c r="C12" s="22" t="n">
        <v>67.36</v>
      </c>
      <c r="D12" s="14" t="inlineStr">
        <is>
          <t>OPEC MOMR August 2026, ORB component table.</t>
        </is>
      </c>
    </row>
    <row r="13">
      <c r="B13" s="8" t="inlineStr">
        <is>
          <t>Production target (mn b/d)</t>
        </is>
      </c>
      <c r="C13" s="23" t="n">
        <v>1.5</v>
      </c>
      <c r="D13" s="14" t="inlineStr">
        <is>
          <t>Rodriguez, televised address 29 Aug 2026.</t>
        </is>
      </c>
    </row>
    <row r="14">
      <c r="B14" s="8" t="inlineStr">
        <is>
          <t>Term (years)</t>
        </is>
      </c>
      <c r="C14" s="10" t="n">
        <v>25</v>
      </c>
      <c r="D14" s="13" t="inlineStr">
        <is>
          <t>Rodriguez. The White House fact sheet of 31 Aug says 100-year rights; LOH 2026 art. 35 caps mixed companies at 25+15.</t>
        </is>
      </c>
    </row>
    <row r="15">
      <c r="B15" s="8" t="inlineStr">
        <is>
          <t>Tax claim to the Venezuelan State ($bn)</t>
        </is>
      </c>
      <c r="C15" s="10" t="n">
        <v>209</v>
      </c>
      <c r="D15" s="14" t="inlineStr">
        <is>
          <t>Rodriguez communique, 28 Aug 2026.</t>
        </is>
      </c>
    </row>
    <row r="16">
      <c r="B16" s="8" t="inlineStr">
        <is>
          <t>Implied state take ($/bbl)</t>
        </is>
      </c>
      <c r="C16" s="10" t="n">
        <v>19</v>
      </c>
      <c r="D16" s="13" t="inlineStr">
        <is>
          <t>Francisco Rodriguez, from the $209bn figure. He notes it assumes $65 oil.</t>
        </is>
      </c>
    </row>
    <row r="17">
      <c r="B17" s="8" t="inlineStr">
        <is>
          <t>Stated investment ($bn)</t>
        </is>
      </c>
      <c r="C17" s="10" t="n">
        <v>100</v>
      </c>
      <c r="D17" s="13" t="inlineStr">
        <is>
          <t>Stated objective. No sponsor, lender, ECA or fund identified as of 31 Aug 2026.</t>
        </is>
      </c>
    </row>
    <row r="19">
      <c r="B19" s="7" t="inlineStr">
        <is>
          <t>Slide 2 callouts</t>
        </is>
      </c>
    </row>
    <row r="20">
      <c r="B20" s="8" t="inlineStr">
        <is>
          <t>In-ground headline ($trn)</t>
        </is>
      </c>
      <c r="C20" s="16">
        <f>C7*C12/1000</f>
        <v/>
      </c>
      <c r="D20" s="14" t="inlineStr">
        <is>
          <t>65bn bbl x Merey. A stock, not a cash flow.</t>
        </is>
      </c>
    </row>
    <row r="21">
      <c r="B21" s="8" t="inlineStr">
        <is>
          <t>25-year gross revenue at target ($trn)</t>
        </is>
      </c>
      <c r="C21" s="16">
        <f>C8*C12/1000</f>
        <v/>
      </c>
      <c r="D21" s="13" t="inlineStr">
        <is>
          <t>Before diluent, royalty (up to 30%), the integrated hydrocarbons tax (up to 15%) and $100bn of capex.</t>
        </is>
      </c>
    </row>
    <row r="22">
      <c r="B22" s="8" t="inlineStr">
        <is>
          <t>Gross revenue per year ($bn)</t>
        </is>
      </c>
      <c r="C22" s="15">
        <f>C8*C12/25</f>
        <v/>
      </c>
    </row>
    <row r="23">
      <c r="B23" s="8" t="inlineStr">
        <is>
          <t>Years to lift 65bn bbl at 1.5 mn b/d</t>
        </is>
      </c>
      <c r="C23" s="15">
        <f>C7/C8*25</f>
        <v/>
      </c>
      <c r="D23" s="14" t="inlineStr">
        <is>
          <t>Why Caracas says 25 years and Washington says 100.</t>
        </is>
      </c>
    </row>
    <row r="24">
      <c r="B24" s="8" t="inlineStr">
        <is>
          <t>Deal reserves as % of the national book</t>
        </is>
      </c>
      <c r="C24" s="20">
        <f>C7/C6</f>
        <v/>
      </c>
    </row>
    <row r="25">
      <c r="B25" s="8" t="inlineStr">
        <is>
          <t>Tax claim per year ($bn)</t>
        </is>
      </c>
      <c r="C25" s="16">
        <f>C15/25</f>
        <v/>
      </c>
      <c r="D25" s="13" t="inlineStr">
        <is>
          <t>Against $18.4bn the State collected in 2025 at ~941 kb/d (F. Rodriguez).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C0016"/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2" ht="26" customHeight="1">
      <c r="B2" s="1" t="inlineStr">
        <is>
          <t>Slide 3 — announced targets vs. delivered output</t>
        </is>
      </c>
    </row>
    <row r="3">
      <c r="B3" s="2" t="inlineStr">
        <is>
          <t>Million b/d. Actual is EIA annual crude production; each target column is a straight line from the announcement year to the target year.</t>
        </is>
      </c>
    </row>
    <row r="5" ht="32" customHeight="1">
      <c r="B5" s="9" t="inlineStr">
        <is>
          <t>Year</t>
        </is>
      </c>
      <c r="C5" s="9" t="inlineStr">
        <is>
          <t>Actual crude output
(EIA)</t>
        </is>
      </c>
      <c r="D5" s="9" t="inlineStr">
        <is>
          <t>Plan Siembra
Petrolera (2005)</t>
        </is>
      </c>
      <c r="E5" s="9" t="inlineStr">
        <is>
          <t>Plan de la Patria
(2013)</t>
        </is>
      </c>
      <c r="F5" s="9" t="inlineStr">
        <is>
          <t>Maduro pledge
(Mar-2022)</t>
        </is>
      </c>
      <c r="G5" s="9" t="inlineStr">
        <is>
          <t>PDVSA +18%
(Jan-2026)</t>
        </is>
      </c>
      <c r="H5" s="9" t="inlineStr">
        <is>
          <t>US-Venezuela deal
(Aug-2026)</t>
        </is>
      </c>
    </row>
    <row r="6">
      <c r="B6" s="4" t="inlineStr">
        <is>
          <t>2005</t>
        </is>
      </c>
      <c r="C6" s="22" t="n">
        <v>2.84</v>
      </c>
      <c r="D6" s="22" t="n">
        <v>2.84</v>
      </c>
    </row>
    <row r="7">
      <c r="B7" s="4" t="inlineStr">
        <is>
          <t>2006</t>
        </is>
      </c>
      <c r="C7" s="22" t="n">
        <v>2.79</v>
      </c>
    </row>
    <row r="8">
      <c r="B8" s="4" t="inlineStr">
        <is>
          <t>2007</t>
        </is>
      </c>
      <c r="C8" s="22" t="n">
        <v>2.82</v>
      </c>
    </row>
    <row r="9">
      <c r="B9" s="4" t="inlineStr">
        <is>
          <t>2008</t>
        </is>
      </c>
      <c r="C9" s="22" t="n">
        <v>2.51</v>
      </c>
    </row>
    <row r="10">
      <c r="B10" s="4" t="inlineStr">
        <is>
          <t>2009</t>
        </is>
      </c>
      <c r="C10" s="22" t="n">
        <v>2.52</v>
      </c>
    </row>
    <row r="11">
      <c r="B11" s="4" t="inlineStr">
        <is>
          <t>2010</t>
        </is>
      </c>
      <c r="C11" s="22" t="n">
        <v>2.41</v>
      </c>
    </row>
    <row r="12">
      <c r="B12" s="4" t="inlineStr">
        <is>
          <t>2011</t>
        </is>
      </c>
      <c r="C12" s="22" t="n">
        <v>2.5</v>
      </c>
    </row>
    <row r="13">
      <c r="B13" s="4" t="inlineStr">
        <is>
          <t>2012</t>
        </is>
      </c>
      <c r="C13" s="22" t="n">
        <v>2.5</v>
      </c>
      <c r="D13" s="22" t="n">
        <v>5.84</v>
      </c>
    </row>
    <row r="14">
      <c r="B14" s="4" t="inlineStr">
        <is>
          <t>2013</t>
        </is>
      </c>
      <c r="C14" s="22" t="n">
        <v>2.5</v>
      </c>
      <c r="E14" s="22" t="n">
        <v>2.5</v>
      </c>
    </row>
    <row r="15">
      <c r="B15" s="4" t="inlineStr">
        <is>
          <t>2014</t>
        </is>
      </c>
      <c r="C15" s="22" t="n">
        <v>2.5</v>
      </c>
    </row>
    <row r="16">
      <c r="B16" s="4" t="inlineStr">
        <is>
          <t>2015</t>
        </is>
      </c>
      <c r="C16" s="22" t="n">
        <v>2.49</v>
      </c>
    </row>
    <row r="17">
      <c r="B17" s="4" t="inlineStr">
        <is>
          <t>2016</t>
        </is>
      </c>
      <c r="C17" s="22" t="n">
        <v>2.25</v>
      </c>
    </row>
    <row r="18">
      <c r="B18" s="4" t="inlineStr">
        <is>
          <t>2017</t>
        </is>
      </c>
      <c r="C18" s="22" t="n">
        <v>2</v>
      </c>
    </row>
    <row r="19">
      <c r="B19" s="4" t="inlineStr">
        <is>
          <t>2018</t>
        </is>
      </c>
      <c r="C19" s="22" t="n">
        <v>1.49</v>
      </c>
    </row>
    <row r="20">
      <c r="B20" s="4" t="inlineStr">
        <is>
          <t>2019</t>
        </is>
      </c>
      <c r="C20" s="22" t="n">
        <v>0.88</v>
      </c>
      <c r="E20" s="22" t="n">
        <v>6</v>
      </c>
    </row>
    <row r="21">
      <c r="B21" s="4" t="inlineStr">
        <is>
          <t>2020</t>
        </is>
      </c>
      <c r="C21" s="22" t="n">
        <v>0.53</v>
      </c>
    </row>
    <row r="22">
      <c r="B22" s="4" t="inlineStr">
        <is>
          <t>2021</t>
        </is>
      </c>
      <c r="C22" s="22" t="n">
        <v>0.59</v>
      </c>
      <c r="F22" s="22" t="n">
        <v>0.59</v>
      </c>
    </row>
    <row r="23">
      <c r="B23" s="4" t="inlineStr">
        <is>
          <t>2022</t>
        </is>
      </c>
      <c r="C23" s="22" t="n">
        <v>0.72</v>
      </c>
      <c r="F23" s="22" t="n">
        <v>2</v>
      </c>
    </row>
    <row r="24">
      <c r="B24" s="4" t="inlineStr">
        <is>
          <t>2023</t>
        </is>
      </c>
      <c r="C24" s="22" t="n">
        <v>0.77</v>
      </c>
    </row>
    <row r="25">
      <c r="B25" s="4" t="inlineStr">
        <is>
          <t>2024</t>
        </is>
      </c>
      <c r="C25" s="22" t="n">
        <v>0.86</v>
      </c>
    </row>
    <row r="26">
      <c r="B26" s="4" t="inlineStr">
        <is>
          <t>2025</t>
        </is>
      </c>
      <c r="C26" s="22" t="n">
        <v>0.97</v>
      </c>
      <c r="G26" s="22" t="n">
        <v>0.97</v>
      </c>
      <c r="H26" s="22" t="n">
        <v>0.97</v>
      </c>
    </row>
    <row r="27">
      <c r="B27" s="4" t="inlineStr">
        <is>
          <t>2026</t>
        </is>
      </c>
      <c r="G27" s="22" t="n">
        <v>1.15</v>
      </c>
    </row>
    <row r="28">
      <c r="B28" s="4" t="inlineStr">
        <is>
          <t>2027</t>
        </is>
      </c>
    </row>
    <row r="29">
      <c r="B29" s="4" t="inlineStr">
        <is>
          <t>2028</t>
        </is>
      </c>
    </row>
    <row r="30">
      <c r="B30" s="4" t="inlineStr">
        <is>
          <t>2029</t>
        </is>
      </c>
    </row>
    <row r="31">
      <c r="B31" s="4" t="inlineStr">
        <is>
          <t>2030</t>
        </is>
      </c>
      <c r="H31" s="22" t="n">
        <v>1.5</v>
      </c>
    </row>
    <row r="33">
      <c r="B33" s="18" t="inlineStr">
        <is>
          <t>Target columns hold only the endpoints; the chart joins them with a straight line. The 2026 deal has no stated date and is drawn to 2030 for illustration only.</t>
        </is>
      </c>
    </row>
    <row r="35">
      <c r="B35" s="7" t="inlineStr">
        <is>
          <t>Headline arithmetic</t>
        </is>
      </c>
    </row>
    <row r="36">
      <c r="B36" s="8" t="inlineStr">
        <is>
          <t>Sum of dated targets (mn b/d)</t>
        </is>
      </c>
      <c r="C36" s="24">
        <f>D13+E20+F23</f>
        <v/>
      </c>
      <c r="H36" s="14" t="inlineStr">
        <is>
          <t>5.84 (2012) + 6.00 (2019) + 2.00 (2022). The undated 1.5 target is excluded.</t>
        </is>
      </c>
    </row>
    <row r="37">
      <c r="B37" s="8" t="inlineStr">
        <is>
          <t>Output change, 2005 to 2025 (mn b/d)</t>
        </is>
      </c>
      <c r="C37" s="24">
        <f>C26-C6</f>
        <v/>
      </c>
    </row>
    <row r="38">
      <c r="B38" s="8" t="inlineStr">
        <is>
          <t>Peak-to-trough decline, 2005 to 2020 (%)</t>
        </is>
      </c>
      <c r="C38" s="20">
        <f>C21/C6-1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0016"/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1" customWidth="1" min="4" max="4"/>
    <col width="9" customWidth="1" min="5" max="5"/>
    <col width="11" customWidth="1" min="6" max="6"/>
    <col width="9" customWidth="1" min="7" max="7"/>
    <col width="66" customWidth="1" min="8" max="8"/>
  </cols>
  <sheetData>
    <row r="2" ht="26" customHeight="1">
      <c r="B2" s="1" t="inlineStr">
        <is>
          <t>Slide 3 — scorecard</t>
        </is>
      </c>
    </row>
    <row r="3">
      <c r="B3" s="2" t="inlineStr">
        <is>
          <t>Each dated production target against delivered output in the target year.</t>
        </is>
      </c>
    </row>
    <row r="5" ht="30" customHeight="1">
      <c r="B5" s="9" t="inlineStr">
        <is>
          <t>Plan</t>
        </is>
      </c>
      <c r="C5" s="9" t="inlineStr">
        <is>
          <t>Announced</t>
        </is>
      </c>
      <c r="D5" s="9" t="inlineStr">
        <is>
          <t>Target
(mn b/d)</t>
        </is>
      </c>
      <c r="E5" s="9" t="inlineStr">
        <is>
          <t>Target
year</t>
        </is>
      </c>
      <c r="F5" s="9" t="inlineStr">
        <is>
          <t>Delivered
(mn b/d)</t>
        </is>
      </c>
      <c r="G5" s="9" t="inlineStr">
        <is>
          <t>% of
target</t>
        </is>
      </c>
      <c r="H5" s="9" t="inlineStr">
        <is>
          <t>Source</t>
        </is>
      </c>
    </row>
    <row r="6" ht="26" customHeight="1">
      <c r="B6" s="4" t="inlineStr">
        <is>
          <t>Plan Siembra Petrolera</t>
        </is>
      </c>
      <c r="C6" s="5" t="inlineStr">
        <is>
          <t>Aug 2005</t>
        </is>
      </c>
      <c r="D6" s="22" t="n">
        <v>5.84</v>
      </c>
      <c r="E6" s="25" t="inlineStr">
        <is>
          <t>2012</t>
        </is>
      </c>
      <c r="F6" s="22" t="n">
        <v>2.5</v>
      </c>
      <c r="G6" s="26">
        <f>F6/D6</f>
        <v/>
      </c>
      <c r="H6" s="13" t="inlineStr">
        <is>
          <t>Target: PDVSA 2005-2012 strategy, 5.84 mn b/d (Monaldi, Baker Institute). Some contemporaneous reporting cites 5.4 or 5.8.</t>
        </is>
      </c>
    </row>
    <row r="7" ht="26" customHeight="1">
      <c r="B7" s="4" t="inlineStr">
        <is>
          <t>Plan de la Patria / PDVSA</t>
        </is>
      </c>
      <c r="C7" s="5" t="inlineStr">
        <is>
          <t>2013</t>
        </is>
      </c>
      <c r="D7" s="22" t="n">
        <v>6</v>
      </c>
      <c r="E7" s="25" t="inlineStr">
        <is>
          <t>2019</t>
        </is>
      </c>
      <c r="F7" s="22" t="n">
        <v>0.88</v>
      </c>
      <c r="G7" s="26">
        <f>F7/D7</f>
        <v/>
      </c>
      <c r="H7" s="13" t="inlineStr">
        <is>
          <t>Target: 6 mn b/d by 2019, of which 4 mn b/d from the Orinoco Belt (PDVSA, Homeland Plan oil goals).</t>
        </is>
      </c>
    </row>
    <row r="8" ht="26" customHeight="1">
      <c r="B8" s="4" t="inlineStr">
        <is>
          <t>Maduro pledge</t>
        </is>
      </c>
      <c r="C8" s="5" t="inlineStr">
        <is>
          <t>Mar 2022</t>
        </is>
      </c>
      <c r="D8" s="22" t="n">
        <v>2</v>
      </c>
      <c r="E8" s="25" t="inlineStr">
        <is>
          <t>2022</t>
        </is>
      </c>
      <c r="F8" s="22" t="n">
        <v>0.72</v>
      </c>
      <c r="G8" s="26">
        <f>F8/D8</f>
        <v/>
      </c>
      <c r="H8" s="13" t="inlineStr">
        <is>
          <t>Target: 2 mn b/d by end-2022, VTV address (EFE via Infobae, 13 Apr 2022).</t>
        </is>
      </c>
    </row>
    <row r="10">
      <c r="B10" s="4" t="inlineStr">
        <is>
          <t>Targets met</t>
        </is>
      </c>
      <c r="D10" s="15">
        <f>COUNTIF(G6:G8,"&gt;=1")</f>
        <v/>
      </c>
      <c r="E10" s="5" t="inlineStr">
        <is>
          <t>of</t>
        </is>
      </c>
      <c r="F10" s="15">
        <f>COUNT(G6:G8)</f>
        <v/>
      </c>
    </row>
    <row r="12">
      <c r="B12" s="4" t="inlineStr">
        <is>
          <t>Undated target</t>
        </is>
      </c>
      <c r="D12" s="22" t="n">
        <v>1.5</v>
      </c>
      <c r="H12" s="13" t="inlineStr">
        <is>
          <t>Rodriguez, 28-29 Aug 2026: production could exceed 1.5 mn b/d under the 25-year agreement. No date given, so it is not scored.</t>
        </is>
      </c>
    </row>
    <row r="13">
      <c r="B13" s="4" t="inlineStr">
        <is>
          <t>Nearest checkable test</t>
        </is>
      </c>
      <c r="D13" s="27" t="n">
        <v>0.18</v>
      </c>
      <c r="H13" s="13" t="inlineStr">
        <is>
          <t>PDVSA CEO Hector Obregon, 24 Jan 2026: grow output by at least 18% in 2026 from around 1 mn b/d (AFP).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C0016"/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46" customWidth="1" min="3" max="3"/>
    <col width="60" customWidth="1" min="4" max="4"/>
    <col width="14" customWidth="1" min="5" max="5"/>
  </cols>
  <sheetData>
    <row r="2" ht="26" customHeight="1">
      <c r="B2" s="1" t="inlineStr">
        <is>
          <t>Sources</t>
        </is>
      </c>
    </row>
    <row r="3">
      <c r="B3" s="2" t="inlineStr">
        <is>
          <t>Every figure in the deck, with the publication and date it came from.</t>
        </is>
      </c>
    </row>
    <row r="5">
      <c r="B5" s="19" t="inlineStr">
        <is>
          <t>Slide</t>
        </is>
      </c>
      <c r="C5" s="19" t="inlineStr">
        <is>
          <t>Figure</t>
        </is>
      </c>
      <c r="D5" s="19" t="inlineStr">
        <is>
          <t>Source</t>
        </is>
      </c>
      <c r="E5" s="19" t="inlineStr">
        <is>
          <t>Date</t>
        </is>
      </c>
    </row>
    <row r="6">
      <c r="B6" s="8" t="inlineStr">
        <is>
          <t>1</t>
        </is>
      </c>
      <c r="C6" s="6" t="inlineStr">
        <is>
          <t>Monthly crude output, secondary sources</t>
        </is>
      </c>
      <c r="D6" s="28" t="inlineStr">
        <is>
          <t>OPEC Monthly Oil Market Report, World Oil Supply tables</t>
        </is>
      </c>
      <c r="E6" s="5" t="inlineStr">
        <is>
          <t>Monthly</t>
        </is>
      </c>
    </row>
    <row r="7">
      <c r="B7" s="8" t="inlineStr">
        <is>
          <t>1</t>
        </is>
      </c>
      <c r="C7" s="6" t="inlineStr">
        <is>
          <t>Monthly oil exports, crude + fuel</t>
        </is>
      </c>
      <c r="D7" s="28" t="inlineStr">
        <is>
          <t>Reuters (Parraga/Guanipa), tanker tracking and PDVSA documents</t>
        </is>
      </c>
      <c r="E7" s="5" t="inlineStr">
        <is>
          <t>Monthly</t>
        </is>
      </c>
    </row>
    <row r="8">
      <c r="B8" s="8" t="inlineStr">
        <is>
          <t>1</t>
        </is>
      </c>
      <c r="C8" s="6" t="inlineStr">
        <is>
          <t>Blockade inventory build, &gt;40mn bbl</t>
        </is>
      </c>
      <c r="D8" s="28" t="inlineStr">
        <is>
          <t>Reuters</t>
        </is>
      </c>
      <c r="E8" s="5" t="inlineStr">
        <is>
          <t>2 Feb 2026</t>
        </is>
      </c>
    </row>
    <row r="9">
      <c r="B9" s="8" t="inlineStr">
        <is>
          <t>1</t>
        </is>
      </c>
      <c r="C9" s="6" t="inlineStr">
        <is>
          <t>Active rig count</t>
        </is>
      </c>
      <c r="D9" s="28" t="inlineStr">
        <is>
          <t>Baker Hughes International Rig Count</t>
        </is>
      </c>
      <c r="E9" s="5" t="inlineStr">
        <is>
          <t>Jul 2026</t>
        </is>
      </c>
    </row>
    <row r="10">
      <c r="B10" s="8" t="inlineStr">
        <is>
          <t>1</t>
        </is>
      </c>
      <c r="C10" s="6" t="inlineStr">
        <is>
          <t>93 rigs needed by 2028</t>
        </is>
      </c>
      <c r="D10" s="28" t="inlineStr">
        <is>
          <t>Reuters, on a Ministry of Hydrocarbons presentation</t>
        </is>
      </c>
      <c r="E10" s="5" t="inlineStr">
        <is>
          <t>27 Apr 2026</t>
        </is>
      </c>
    </row>
    <row r="11">
      <c r="B11" s="8" t="inlineStr">
        <is>
          <t>1</t>
        </is>
      </c>
      <c r="C11" s="6" t="inlineStr">
        <is>
          <t>SLB, 15 idle rigs, up to 4 by end-2026</t>
        </is>
      </c>
      <c r="D11" s="28" t="inlineStr">
        <is>
          <t>Reuters, from an industry conference in Houston</t>
        </is>
      </c>
      <c r="E11" s="5" t="inlineStr">
        <is>
          <t>19 Aug 2026</t>
        </is>
      </c>
    </row>
    <row r="12">
      <c r="B12" s="8" t="inlineStr">
        <is>
          <t>1</t>
        </is>
      </c>
      <c r="C12" s="6" t="inlineStr">
        <is>
          <t>Chevron 280 kb/d, +50% by 2028</t>
        </is>
      </c>
      <c r="D12" s="28" t="inlineStr">
        <is>
          <t>Chevron 2Q26 earnings call, CFO Eimear Bonner</t>
        </is>
      </c>
      <c r="E12" s="5" t="inlineStr">
        <is>
          <t>31 Jul 2026</t>
        </is>
      </c>
    </row>
    <row r="13">
      <c r="B13" s="8" t="inlineStr">
        <is>
          <t>2</t>
        </is>
      </c>
      <c r="C13" s="6" t="inlineStr">
        <is>
          <t>303bn bbl proven, ~17% of world</t>
        </is>
      </c>
      <c r="D13" s="28" t="inlineStr">
        <is>
          <t>US EIA, cited by AP</t>
        </is>
      </c>
      <c r="E13" s="5" t="inlineStr">
        <is>
          <t>Aug 2026</t>
        </is>
      </c>
    </row>
    <row r="14">
      <c r="B14" s="8" t="inlineStr">
        <is>
          <t>2</t>
        </is>
      </c>
      <c r="C14" s="6" t="inlineStr">
        <is>
          <t>65bn bbl, 17 fields, &gt;$100bn, &gt;$209bn taxes</t>
        </is>
      </c>
      <c r="D14" s="28" t="inlineStr">
        <is>
          <t>Truth Social post; Rodriguez communique</t>
        </is>
      </c>
      <c r="E14" s="5" t="inlineStr">
        <is>
          <t>28 Aug 2026</t>
        </is>
      </c>
    </row>
    <row r="15">
      <c r="B15" s="8" t="inlineStr">
        <is>
          <t>2</t>
        </is>
      </c>
      <c r="C15" s="6" t="inlineStr">
        <is>
          <t>63.7bn recoverable at ~20% recovery factor</t>
        </is>
      </c>
      <c r="D15" s="28" t="inlineStr">
        <is>
          <t>Reuters, via Oil &amp; Gas 360</t>
        </is>
      </c>
      <c r="E15" s="5" t="inlineStr">
        <is>
          <t>Aug 2026</t>
        </is>
      </c>
    </row>
    <row r="16">
      <c r="B16" s="8" t="inlineStr">
        <is>
          <t>2</t>
        </is>
      </c>
      <c r="C16" s="6" t="inlineStr">
        <is>
          <t>Merey $67.36/b, July average</t>
        </is>
      </c>
      <c r="D16" s="28" t="inlineStr">
        <is>
          <t>OPEC MOMR, ORB component table</t>
        </is>
      </c>
      <c r="E16" s="5" t="inlineStr">
        <is>
          <t>12 Aug 2026</t>
        </is>
      </c>
    </row>
    <row r="17">
      <c r="B17" s="8" t="inlineStr">
        <is>
          <t>2</t>
        </is>
      </c>
      <c r="C17" s="6" t="inlineStr">
        <is>
          <t>$209bn implies $19/bbl</t>
        </is>
      </c>
      <c r="D17" s="28" t="inlineStr">
        <is>
          <t>Francisco Rodriguez, cited by OilPrice</t>
        </is>
      </c>
      <c r="E17" s="5" t="inlineStr">
        <is>
          <t>31 Aug 2026</t>
        </is>
      </c>
    </row>
    <row r="18">
      <c r="B18" s="8" t="inlineStr">
        <is>
          <t>2</t>
        </is>
      </c>
      <c r="C18" s="6" t="inlineStr">
        <is>
          <t>Four Orinoco upgraders, ~700 kb/d nameplate</t>
        </is>
      </c>
      <c r="D18" s="28" t="inlineStr">
        <is>
          <t>Council on Foreign Relations</t>
        </is>
      </c>
      <c r="E18" s="5" t="inlineStr">
        <is>
          <t>2019</t>
        </is>
      </c>
    </row>
    <row r="19">
      <c r="B19" s="8" t="inlineStr">
        <is>
          <t>2</t>
        </is>
      </c>
      <c r="C19" s="6" t="inlineStr">
        <is>
          <t>81 kb/d of heavy naphtha imported in July</t>
        </is>
      </c>
      <c r="D19" s="28" t="inlineStr">
        <is>
          <t>Reuters</t>
        </is>
      </c>
      <c r="E19" s="5" t="inlineStr">
        <is>
          <t>3 Aug 2026</t>
        </is>
      </c>
    </row>
    <row r="20">
      <c r="B20" s="8" t="inlineStr">
        <is>
          <t>2</t>
        </is>
      </c>
      <c r="C20" s="6" t="inlineStr">
        <is>
          <t>Tankers waiting up to 30 days at Jose</t>
        </is>
      </c>
      <c r="D20" s="28" t="inlineStr">
        <is>
          <t>Andy Lipow, Lipow Oil Associates, via CNBC</t>
        </is>
      </c>
      <c r="E20" s="5" t="inlineStr">
        <is>
          <t>31 Aug 2026</t>
        </is>
      </c>
    </row>
    <row r="21">
      <c r="B21" s="8" t="inlineStr">
        <is>
          <t>3</t>
        </is>
      </c>
      <c r="C21" s="6" t="inlineStr">
        <is>
          <t>Annual crude output 2005-2025</t>
        </is>
      </c>
      <c r="D21" s="28" t="inlineStr">
        <is>
          <t>US EIA International Energy Statistics</t>
        </is>
      </c>
      <c r="E21" s="5" t="inlineStr">
        <is>
          <t>Jul 2026 vintage</t>
        </is>
      </c>
    </row>
    <row r="22">
      <c r="B22" s="8" t="inlineStr">
        <is>
          <t>3</t>
        </is>
      </c>
      <c r="C22" s="6" t="inlineStr">
        <is>
          <t>Plan Siembra Petrolera target 5.84 mn b/d by 2012</t>
        </is>
      </c>
      <c r="D22" s="28" t="inlineStr">
        <is>
          <t>F. Monaldi, Baker Institute, 'The Collapse of the Venezuelan Oil Industry'</t>
        </is>
      </c>
      <c r="E22" s="5" t="inlineStr">
        <is>
          <t>2020</t>
        </is>
      </c>
    </row>
    <row r="23">
      <c r="B23" s="8" t="inlineStr">
        <is>
          <t>3</t>
        </is>
      </c>
      <c r="C23" s="6" t="inlineStr">
        <is>
          <t>6 mn b/d by 2019, 4 mn b/d from the Orinoco Belt</t>
        </is>
      </c>
      <c r="D23" s="28" t="inlineStr">
        <is>
          <t>PDVSA, Homeland Plan oil goals</t>
        </is>
      </c>
      <c r="E23" s="5" t="inlineStr">
        <is>
          <t>2013</t>
        </is>
      </c>
    </row>
    <row r="24">
      <c r="B24" s="8" t="inlineStr">
        <is>
          <t>3</t>
        </is>
      </c>
      <c r="C24" s="6" t="inlineStr">
        <is>
          <t>2 mn b/d by end-2022</t>
        </is>
      </c>
      <c r="D24" s="28" t="inlineStr">
        <is>
          <t>Maduro, VTV address, reported by EFE via Infobae</t>
        </is>
      </c>
      <c r="E24" s="5" t="inlineStr">
        <is>
          <t>Mar/Apr 2022</t>
        </is>
      </c>
    </row>
    <row r="25">
      <c r="B25" s="8" t="inlineStr">
        <is>
          <t>3</t>
        </is>
      </c>
      <c r="C25" s="6" t="inlineStr">
        <is>
          <t>+18% output growth in 2026</t>
        </is>
      </c>
      <c r="D25" s="28" t="inlineStr">
        <is>
          <t>PDVSA CEO Hector Obregon, reported by AFP</t>
        </is>
      </c>
      <c r="E25" s="5" t="inlineStr">
        <is>
          <t>24 Jan 2026</t>
        </is>
      </c>
    </row>
    <row r="26">
      <c r="B26" s="8" t="inlineStr">
        <is>
          <t>3</t>
        </is>
      </c>
      <c r="C26" s="6" t="inlineStr">
        <is>
          <t>&gt;1.5 mn b/d under the agreement, 25-year term</t>
        </is>
      </c>
      <c r="D26" s="28" t="inlineStr">
        <is>
          <t>Rodriguez, statement and televised address</t>
        </is>
      </c>
      <c r="E26" s="5" t="inlineStr">
        <is>
          <t>28-29 Aug 2026</t>
        </is>
      </c>
    </row>
    <row r="27">
      <c r="B27" s="8" t="inlineStr">
        <is>
          <t>3</t>
        </is>
      </c>
      <c r="C27" s="6" t="inlineStr">
        <is>
          <t>4 mn b/d needs ~a decade and ~$100bn</t>
        </is>
      </c>
      <c r="D27" s="28" t="inlineStr">
        <is>
          <t>Analysts, to AP</t>
        </is>
      </c>
      <c r="E27" s="5" t="inlineStr">
        <is>
          <t>Jan 2026</t>
        </is>
      </c>
    </row>
    <row r="28">
      <c r="B28" s="8" t="inlineStr">
        <is>
          <t>4</t>
        </is>
      </c>
      <c r="C28" s="6" t="inlineStr">
        <is>
          <t>OSC 35% stake, 20% at-cost offtake, 100-year rights</t>
        </is>
      </c>
      <c r="D28" s="28" t="inlineStr">
        <is>
          <t>White House fact sheet, via AP</t>
        </is>
      </c>
      <c r="E28" s="5" t="inlineStr">
        <is>
          <t>31 Aug 2026</t>
        </is>
      </c>
    </row>
    <row r="29">
      <c r="B29" s="8" t="inlineStr">
        <is>
          <t>4</t>
        </is>
      </c>
      <c r="C29" s="6" t="inlineStr">
        <is>
          <t>OSC 'does not take equity stakes'</t>
        </is>
      </c>
      <c r="D29" s="28" t="inlineStr">
        <is>
          <t>Pentagon spokesman Sean Parnell</t>
        </is>
      </c>
      <c r="E29" s="5" t="inlineStr">
        <is>
          <t>30 Aug 2026</t>
        </is>
      </c>
    </row>
    <row r="30">
      <c r="B30" s="8" t="inlineStr">
        <is>
          <t>4</t>
        </is>
      </c>
      <c r="C30" s="6" t="inlineStr">
        <is>
          <t>35% passive stake via penny warrants</t>
        </is>
      </c>
      <c r="D30" s="28" t="inlineStr">
        <is>
          <t>Wall Street Journal</t>
        </is>
      </c>
      <c r="E30" s="5" t="inlineStr">
        <is>
          <t>29-30 Aug 2026</t>
        </is>
      </c>
    </row>
    <row r="31">
      <c r="B31" s="8" t="inlineStr">
        <is>
          <t>4</t>
        </is>
      </c>
      <c r="C31" s="6" t="inlineStr">
        <is>
          <t>Constitution arts. 12, 150, 187.9, 303</t>
        </is>
      </c>
      <c r="D31" s="28" t="inlineStr">
        <is>
          <t>Constitucion de la Republica Bolivariana de Venezuela</t>
        </is>
      </c>
      <c r="E31" s="5" t="inlineStr">
        <is>
          <t>1999</t>
        </is>
      </c>
    </row>
    <row r="32">
      <c r="B32" s="8" t="inlineStr">
        <is>
          <t>4</t>
        </is>
      </c>
      <c r="C32" s="6" t="inlineStr">
        <is>
          <t>LOH arts. 35, 40, 68</t>
        </is>
      </c>
      <c r="D32" s="28" t="inlineStr">
        <is>
          <t>Ley de Reforma de la LOH, Gaceta Oficial 6.978 Extraordinario</t>
        </is>
      </c>
      <c r="E32" s="5" t="inlineStr">
        <is>
          <t>29 Jan 2026</t>
        </is>
      </c>
    </row>
    <row r="33">
      <c r="B33" s="8" t="inlineStr">
        <is>
          <t>4</t>
        </is>
      </c>
      <c r="C33" s="6" t="inlineStr">
        <is>
          <t>Exxon: 'un-investable'</t>
        </is>
      </c>
      <c r="D33" s="28" t="inlineStr">
        <is>
          <t>Darren Woods, reported by AP</t>
        </is>
      </c>
      <c r="E33" s="5" t="inlineStr">
        <is>
          <t>2026</t>
        </is>
      </c>
    </row>
    <row r="34">
      <c r="B34" s="8" t="inlineStr">
        <is>
          <t>4</t>
        </is>
      </c>
      <c r="C34" s="6" t="inlineStr">
        <is>
          <t>Conoco $10-12bn award as a precondition</t>
        </is>
      </c>
      <c r="D34" s="28" t="inlineStr">
        <is>
          <t>Ryan Lance, reported by the Houston Chronicle</t>
        </is>
      </c>
      <c r="E34" s="5" t="inlineStr">
        <is>
          <t>2026</t>
        </is>
      </c>
    </row>
    <row r="35">
      <c r="B35" s="8" t="inlineStr">
        <is>
          <t>4</t>
        </is>
      </c>
      <c r="C35" s="6" t="inlineStr">
        <is>
          <t>$98.3bn of bondholder claims incl. past-due interest</t>
        </is>
      </c>
      <c r="D35" s="28" t="inlineStr">
        <is>
          <t>Barclays, via CNBC</t>
        </is>
      </c>
      <c r="E35" s="5" t="inlineStr">
        <is>
          <t>Jan 2026</t>
        </is>
      </c>
    </row>
    <row r="37">
      <c r="B37" s="18" t="inlineStr">
        <is>
          <t>teleSUR is excluded as a source. The private counterparty is attributed only as a private domestic operator, per the compliance decision on the 29 August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2026-09-01T17:33:37Z</dcterms:created>
  <dcterms:modified xmlns:dcterms="http://purl.org/dc/terms/" xmlns:xsi="http://www.w3.org/2001/XMLSchema-instance" xsi:type="dcterms:W3CDTF">2026-09-01T17:33:37Z</dcterms:modified>
</cp:coreProperties>
</file>