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onitor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Forecast" sheetId="4" state="visible" r:id="rId4"/>
    <sheet xmlns:r="http://schemas.openxmlformats.org/officeDocument/2006/relationships" name="Bottom-up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Tickers" sheetId="7" state="visible" r:id="rId7"/>
  </sheets>
  <definedNames>
    <definedName name="_xlnm._FilterDatabase" localSheetId="6" hidden="1">'Tickers'!$A$1:$E$35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0.0000"/>
    <numFmt numFmtId="165" formatCode="0.000"/>
    <numFmt numFmtId="166" formatCode="0.0"/>
    <numFmt numFmtId="167" formatCode="yyyy-mm"/>
    <numFmt numFmtId="168" formatCode="#,##0;-#,##0"/>
    <numFmt numFmtId="169" formatCode="+#,##0;-#,##0"/>
    <numFmt numFmtId="170" formatCode="#,##0.0"/>
    <numFmt numFmtId="171" formatCode="+#,##0.0;-#,##0.0"/>
    <numFmt numFmtId="172" formatCode="#,##0&quot; bps&quot;"/>
    <numFmt numFmtId="173" formatCode="+#,##0&quot; bps&quot;;-#,##0&quot; bps&quot;"/>
  </numFmts>
  <fonts count="17">
    <font>
      <name val="Calibri"/>
      <family val="2"/>
      <color theme="1"/>
      <sz val="11"/>
      <scheme val="minor"/>
    </font>
    <font>
      <name val="Calibri"/>
      <b val="1"/>
      <color rgb="001F4E79"/>
      <sz val="20"/>
    </font>
    <font>
      <name val="Calibri"/>
      <i val="1"/>
      <color rgb="00595959"/>
      <sz val="10"/>
    </font>
    <font>
      <name val="Calibri"/>
      <b val="1"/>
      <sz val="12"/>
    </font>
    <font>
      <name val="Calibri"/>
      <sz val="10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color rgb="001F4E79"/>
      <sz val="12"/>
    </font>
    <font>
      <name val="Calibri"/>
      <i val="1"/>
    </font>
    <font>
      <name val="Calibri"/>
      <sz val="11"/>
    </font>
    <font>
      <name val="Calibri"/>
      <b val="1"/>
    </font>
    <font>
      <name val="Calibri"/>
      <color rgb="00595959"/>
      <sz val="10"/>
    </font>
    <font>
      <name val="Calibri"/>
      <b val="1"/>
      <color rgb="00000000"/>
      <sz val="18"/>
    </font>
    <font>
      <name val="Calibri"/>
      <color rgb="00A6A6A6"/>
      <sz val="9"/>
    </font>
    <font>
      <name val="Calibri"/>
      <i val="1"/>
      <color rgb="00A6A6A6"/>
      <sz val="9"/>
    </font>
    <font>
      <name val="Calibri"/>
      <b val="1"/>
      <color rgb="00C00000"/>
      <sz val="18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1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70" fontId="0" fillId="0" borderId="0" pivotButton="0" quotePrefix="0" xfId="0"/>
    <xf numFmtId="172" fontId="12" fillId="0" borderId="0" pivotButton="0" quotePrefix="0" xfId="0"/>
    <xf numFmtId="173" fontId="15" fillId="0" borderId="0" pivotButton="0" quotePrefix="0" xfId="0"/>
    <xf numFmtId="2" fontId="12" fillId="0" borderId="0" pivotButton="0" quotePrefix="0" xfId="0"/>
    <xf numFmtId="0" fontId="16" fillId="0" borderId="0" pivotButton="0" quotePrefix="0" xfId="0"/>
    <xf numFmtId="169" fontId="0" fillId="0" borderId="0" pivotButton="0" quotePrefix="0" xfId="0"/>
    <xf numFmtId="0" fontId="14" fillId="0" borderId="0" pivotButton="0" quotePrefix="0" xfId="0"/>
    <xf numFmtId="2" fontId="13" fillId="0" borderId="0" pivotButton="0" quotePrefix="0" xfId="0"/>
    <xf numFmtId="0" fontId="5" fillId="0" borderId="0" applyAlignment="1" pivotButton="0" quotePrefix="0" xfId="0">
      <alignment vertical="center"/>
    </xf>
    <xf numFmtId="164" fontId="0" fillId="0" borderId="0" pivotButton="0" quotePrefix="0" xfId="0"/>
    <xf numFmtId="2" fontId="0" fillId="0" borderId="0" pivotButton="0" quotePrefix="0" xfId="0"/>
    <xf numFmtId="0" fontId="8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4" fontId="0" fillId="0" borderId="0" pivotButton="0" quotePrefix="0" xfId="0"/>
    <xf numFmtId="4" fontId="9" fillId="4" borderId="1" pivotButton="0" quotePrefix="0" xfId="0"/>
    <xf numFmtId="2" fontId="9" fillId="4" borderId="1" pivotButton="0" quotePrefix="0" xfId="0"/>
    <xf numFmtId="169" fontId="9" fillId="4" borderId="1" pivotButton="0" quotePrefix="0" xfId="0"/>
    <xf numFmtId="171" fontId="0" fillId="0" borderId="0" pivotButton="0" quotePrefix="0" xfId="0"/>
    <xf numFmtId="0" fontId="10" fillId="2" borderId="0" pivotButton="0" quotePrefix="0" xfId="0"/>
    <xf numFmtId="166" fontId="10" fillId="2" borderId="0" pivotButton="0" quotePrefix="0" xfId="0"/>
    <xf numFmtId="3" fontId="10" fillId="2" borderId="0" pivotButton="0" quotePrefix="0" xfId="0"/>
    <xf numFmtId="169" fontId="1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EMBI actual vs fitted (full history)</a:t>
            </a:r>
          </a:p>
        </rich>
      </tx>
    </title>
    <plotArea>
      <lineChart>
        <grouping val="standard"/>
        <ser>
          <idx val="0"/>
          <order val="0"/>
          <tx>
            <strRef>
              <f>'Model'!B22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'Model'!$A$23:$A$294</f>
            </numRef>
          </cat>
          <val>
            <numRef>
              <f>'Model'!$B$23:$B$294</f>
            </numRef>
          </val>
        </ser>
        <ser>
          <idx val="1"/>
          <order val="1"/>
          <tx>
            <strRef>
              <f>'Model'!C22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'Model'!$A$23:$A$294</f>
            </numRef>
          </cat>
          <val>
            <numRef>
              <f>'Model'!$C$23:$C$294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Residual / cheapness (bps)</a:t>
            </a:r>
          </a:p>
        </rich>
      </tx>
    </title>
    <plotArea>
      <lineChart>
        <grouping val="standard"/>
        <ser>
          <idx val="0"/>
          <order val="0"/>
          <tx>
            <strRef>
              <f>'Model'!D22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'Model'!$A$23:$A$294</f>
            </numRef>
          </cat>
          <val>
            <numRef>
              <f>'Model'!$D$23:$D$294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+#,##0;-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EMBI Global Div. — actual vs fitted</a:t>
            </a:r>
          </a:p>
        </rich>
      </tx>
    </title>
    <plotArea>
      <lineChart>
        <grouping val="standard"/>
        <ser>
          <idx val="0"/>
          <order val="0"/>
          <tx>
            <strRef>
              <f>'Model'!B25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'Model'!$A$26:$A$295</f>
            </numRef>
          </cat>
          <val>
            <numRef>
              <f>'Model'!$B$26:$B$295</f>
            </numRef>
          </val>
        </ser>
        <ser>
          <idx val="1"/>
          <order val="1"/>
          <tx>
            <strRef>
              <f>'Model'!C25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'Model'!$A$26:$A$295</f>
            </numRef>
          </cat>
          <val>
            <numRef>
              <f>'Model'!$C$26:$C$295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Residual = actual − fitted (rich/cheap)</a:t>
            </a:r>
          </a:p>
        </rich>
      </tx>
    </title>
    <plotArea>
      <lineChart>
        <grouping val="standard"/>
        <ser>
          <idx val="0"/>
          <order val="0"/>
          <tx>
            <strRef>
              <f>'Model'!D25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'Model'!$A$26:$A$295</f>
            </numRef>
          </cat>
          <val>
            <numRef>
              <f>'Model'!$D$26:$D$295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Contribution to EMBI spread by country (bps)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'Bottom-up'!D4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'Bottom-up'!$A$5:$A$31</f>
            </numRef>
          </cat>
          <val>
            <numRef>
              <f>'Bottom-up'!$D$5:$D$31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47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23</row>
      <rowOff>0</rowOff>
    </from>
    <ext cx="64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0" customWidth="1" min="2" max="2"/>
    <col width="3" customWidth="1" min="3" max="3"/>
    <col width="18" customWidth="1" min="4" max="4"/>
    <col width="18" customWidth="1" min="5" max="5"/>
    <col width="3" customWidth="1" min="6" max="6"/>
  </cols>
  <sheetData>
    <row r="2">
      <c r="B2" s="1" t="inlineStr">
        <is>
          <t>EMBI Global Diversified — Fair Value Model</t>
        </is>
      </c>
    </row>
    <row r="3">
      <c r="B3" s="2" t="inlineStr">
        <is>
          <t>Bloomberg-driven Excel model. No Python. No add-ins beyond BLP.</t>
        </is>
      </c>
    </row>
    <row r="5">
      <c r="B5" s="3" t="inlineStr">
        <is>
          <t>How to refresh</t>
        </is>
      </c>
    </row>
    <row r="6" ht="60" customHeight="1">
      <c r="B6" s="4" t="inlineStr">
        <is>
          <t>Open the file with Bloomberg running. Click BLP → Refresh Workbook (or hit F9). Every BDH formula re-pulls from Bloomberg, the regression re-runs automatically, fitted values and forecasts recompute, and all charts redraw. Optionally enable BLP → Settings → 'Refresh on open' so this happens automatically when you open the file each morning.</t>
        </is>
      </c>
    </row>
    <row r="8">
      <c r="B8" s="3" t="inlineStr">
        <is>
          <t>Tabs</t>
        </is>
      </c>
    </row>
    <row r="9" ht="60" customHeight="1">
      <c r="B9" s="4" t="inlineStr">
        <is>
          <t>Read me · Monitor (top-level dashboard) · Model (regression engine) · Forecast (3/6/12m projections) · Bottom-up (country attribution and shocks) · Data (BDH formulas) · Tickers (reference list).</t>
        </is>
      </c>
    </row>
    <row r="11">
      <c r="B11" s="3" t="inlineStr">
        <is>
          <t>The top-down model</t>
        </is>
      </c>
    </row>
    <row r="12" ht="60" customHeight="1">
      <c r="B12" s="4" t="inlineStr">
        <is>
          <t>OLS regression of EMBI Global Diversified spread on six global drivers, monthly from 2005: US HY OAS, VIX, DXY, WTI, UST 10Y, Bloomberg commodity index. R² is shown on the Model tab, typically 0.70–0.85. Coefficients update every refresh.</t>
        </is>
      </c>
    </row>
    <row r="14">
      <c r="B14" s="3" t="inlineStr">
        <is>
          <t>Fair value and the residual</t>
        </is>
      </c>
    </row>
    <row r="15" ht="60" customHeight="1">
      <c r="B15" s="4" t="inlineStr">
        <is>
          <t>Fitted spread = the model's prediction at the latest X values. Residual = actual spread minus fitted. Z-score = residual divided by historical residual standard deviation. |z| &gt; 1 = meaningfully rich (z&lt;-1) or cheap (z&gt;1) vs the model.</t>
        </is>
      </c>
    </row>
    <row r="17">
      <c r="B17" s="3" t="inlineStr">
        <is>
          <t>Forecasts</t>
        </is>
      </c>
    </row>
    <row r="18" ht="60" customHeight="1">
      <c r="B18" s="4" t="inlineStr">
        <is>
          <t>On the Forecast tab, the 3/6/12m columns default to 'no change'. Edit the yellow cells to put in your views — e.g. expect HY OAS to widen 50bps in 6 months — and the model returns the implied EMBI fair value at each horizon, plus a 95% confidence band based on the regression standard error.</t>
        </is>
      </c>
    </row>
    <row r="20">
      <c r="B20" s="3" t="inlineStr">
        <is>
          <t>Bottom-up scenarios</t>
        </is>
      </c>
    </row>
    <row r="21" ht="60" customHeight="1">
      <c r="B21" s="4" t="inlineStr">
        <is>
          <t>On the Bottom-up tab, each major EMBI Global Diversified country has its weight and current spread (live from Bloomberg). Edit the yellow 'Shock (bps)' column to model country-specific moves — e.g. Argentina +200, Venezuela +500. The total at the bottom shows the implied move in aggregate EMBI spread (weighted average). Combine with the top-down model when a single country is unwinding for an idiosyncratic reason vs broad EM repricing.</t>
        </is>
      </c>
    </row>
    <row r="23">
      <c r="B23" s="3" t="inlineStr">
        <is>
          <t>Caveats</t>
        </is>
      </c>
    </row>
    <row r="24" ht="60" customHeight="1">
      <c r="B24" s="4" t="inlineStr">
        <is>
          <t>Tickers marked VERIFY on the Tickers tab are best-guess Bloomberg conventions — confirm against your Terminal (ECO &lt;GO&gt; for macro, SECF &lt;GO&gt; for indices) and edit the Tickers tab to fix any that don't return data. Country weights are approximate Q1 2026 estimates of the EMBI GD index — refresh from JPM's monthly index report when you want them precise. The 'Other (rest)' row groups the smaller countries that aren't broken out individually.</t>
        </is>
      </c>
    </row>
    <row r="26">
      <c r="B26" s="3" t="inlineStr">
        <is>
          <t>Customizing</t>
        </is>
      </c>
    </row>
    <row r="27" ht="60" customHeight="1">
      <c r="B27" s="4" t="inlineStr">
        <is>
          <t>To add a driver to the regression: extend the X_VARS columns on the Data tab (BDH formula in the appropriate column), update the X range on the Model tab (currently D:I — make it D:J for 7 vars), and the LINEST/TREND formulas pick it up.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zoomScale="10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4" customWidth="1" min="6" max="6"/>
    <col width="2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EMBI Global Diversified — Monitor</t>
        </is>
      </c>
    </row>
    <row r="2">
      <c r="A2" s="2" t="inlineStr">
        <is>
          <t>Live snapshot. Refresh via BLP → Refresh Workbook. Dive into individual tabs (Model, Forecast, Bottom-up) for detail.</t>
        </is>
      </c>
    </row>
    <row r="4">
      <c r="A4" s="5" t="inlineStr">
        <is>
          <t>Current state</t>
        </is>
      </c>
      <c r="G4" s="5" t="inlineStr">
        <is>
          <t>Top EMBI components</t>
        </is>
      </c>
    </row>
    <row r="5">
      <c r="G5" s="6" t="inlineStr">
        <is>
          <t>Country</t>
        </is>
      </c>
      <c r="H5" s="6" t="inlineStr">
        <is>
          <t>Wt (%)</t>
        </is>
      </c>
      <c r="I5" s="6" t="inlineStr">
        <is>
          <t>Spread</t>
        </is>
      </c>
      <c r="J5" s="6" t="inlineStr">
        <is>
          <t>Contrib</t>
        </is>
      </c>
    </row>
    <row r="6">
      <c r="A6" s="7" t="inlineStr">
        <is>
          <t>Current spread</t>
        </is>
      </c>
      <c r="B6" s="7" t="inlineStr">
        <is>
          <t>Fitted (model)</t>
        </is>
      </c>
      <c r="C6" s="7" t="inlineStr">
        <is>
          <t>Residual</t>
        </is>
      </c>
      <c r="D6" s="7" t="inlineStr">
        <is>
          <t>Z-score</t>
        </is>
      </c>
      <c r="E6" s="7" t="inlineStr">
        <is>
          <t>Signal</t>
        </is>
      </c>
      <c r="G6">
        <f>IF('Bottom-up'!A5="","",'Bottom-up'!A5)</f>
        <v/>
      </c>
      <c r="H6" s="8">
        <f>IFERROR('Bottom-up'!B5,NA())</f>
        <v/>
      </c>
      <c r="I6" s="9">
        <f>IFERROR('Bottom-up'!C5,NA())</f>
        <v/>
      </c>
      <c r="J6" s="10">
        <f>IFERROR('Bottom-up'!D5,NA())</f>
        <v/>
      </c>
    </row>
    <row r="7">
      <c r="A7" s="11">
        <f>LOOKUP(2,1/(Data!B4:B274&lt;&gt;""),Data!B4:B274)</f>
        <v/>
      </c>
      <c r="B7" s="11">
        <f>TREND(Data!$B$4:$B$274,Data!$D$4:$I$274,$B$24:$G$24)</f>
        <v/>
      </c>
      <c r="C7" s="12">
        <f>A7-B7</f>
        <v/>
      </c>
      <c r="D7" s="13">
        <f>IFERROR(C7/STDEV.S(Model!$D$23:$D$300),NA())</f>
        <v/>
      </c>
      <c r="E7" s="14">
        <f>IF(D7="","",IF(ABS(D7)&lt;0.5,"Fair",IF(D7&lt;-1,"RICH (model fair value above)",IF(D7&lt;-0.5,"slightly rich",IF(D7&gt;1,"CHEAP (model fair value below)","slightly cheap")))))</f>
        <v/>
      </c>
      <c r="G7">
        <f>IF('Bottom-up'!A6="","",'Bottom-up'!A6)</f>
        <v/>
      </c>
      <c r="H7" s="8">
        <f>IFERROR('Bottom-up'!B6,NA())</f>
        <v/>
      </c>
      <c r="I7" s="9">
        <f>IFERROR('Bottom-up'!C6,NA())</f>
        <v/>
      </c>
      <c r="J7" s="10">
        <f>IFERROR('Bottom-up'!D6,NA())</f>
        <v/>
      </c>
    </row>
    <row r="8">
      <c r="A8" s="2">
        <f>TEXT(LOOKUP(2,1/(Data!A4:A274&lt;&gt;""),Data!A4:A274),"yyyy-mm-dd")</f>
        <v/>
      </c>
      <c r="G8">
        <f>IF('Bottom-up'!A7="","",'Bottom-up'!A7)</f>
        <v/>
      </c>
      <c r="H8" s="8">
        <f>IFERROR('Bottom-up'!B7,NA())</f>
        <v/>
      </c>
      <c r="I8" s="9">
        <f>IFERROR('Bottom-up'!C7,NA())</f>
        <v/>
      </c>
      <c r="J8" s="10">
        <f>IFERROR('Bottom-up'!D7,NA())</f>
        <v/>
      </c>
    </row>
    <row r="9">
      <c r="G9">
        <f>IF('Bottom-up'!A8="","",'Bottom-up'!A8)</f>
        <v/>
      </c>
      <c r="H9" s="8">
        <f>IFERROR('Bottom-up'!B8,NA())</f>
        <v/>
      </c>
      <c r="I9" s="9">
        <f>IFERROR('Bottom-up'!C8,NA())</f>
        <v/>
      </c>
      <c r="J9" s="10">
        <f>IFERROR('Bottom-up'!D8,NA())</f>
        <v/>
      </c>
    </row>
    <row r="10">
      <c r="A10" s="5" t="inlineStr">
        <is>
          <t>Forecast (from 'Forecast' tab)</t>
        </is>
      </c>
      <c r="G10">
        <f>IF('Bottom-up'!A9="","",'Bottom-up'!A9)</f>
        <v/>
      </c>
      <c r="H10" s="8">
        <f>IFERROR('Bottom-up'!B9,NA())</f>
        <v/>
      </c>
      <c r="I10" s="9">
        <f>IFERROR('Bottom-up'!C9,NA())</f>
        <v/>
      </c>
      <c r="J10" s="10">
        <f>IFERROR('Bottom-up'!D9,NA())</f>
        <v/>
      </c>
    </row>
    <row r="11">
      <c r="A11" s="6" t="inlineStr">
        <is>
          <t>Horizon</t>
        </is>
      </c>
      <c r="B11" s="6" t="inlineStr">
        <is>
          <t>Fair value</t>
        </is>
      </c>
      <c r="C11" s="6" t="inlineStr">
        <is>
          <t>vs current</t>
        </is>
      </c>
      <c r="D11" s="6" t="inlineStr">
        <is>
          <t>95% lower</t>
        </is>
      </c>
      <c r="E11" s="6" t="inlineStr">
        <is>
          <t>95% upper</t>
        </is>
      </c>
      <c r="G11">
        <f>IF('Bottom-up'!A10="","",'Bottom-up'!A10)</f>
        <v/>
      </c>
      <c r="H11" s="8">
        <f>IFERROR('Bottom-up'!B10,NA())</f>
        <v/>
      </c>
      <c r="I11" s="9">
        <f>IFERROR('Bottom-up'!C10,NA())</f>
        <v/>
      </c>
      <c r="J11" s="10">
        <f>IFERROR('Bottom-up'!D10,NA())</f>
        <v/>
      </c>
    </row>
    <row r="12">
      <c r="A12" t="inlineStr">
        <is>
          <t>3m</t>
        </is>
      </c>
      <c r="B12" s="9">
        <f>Forecast!C13</f>
        <v/>
      </c>
      <c r="C12" s="15">
        <f>Forecast!C13-A7</f>
        <v/>
      </c>
      <c r="D12" s="9">
        <f>Forecast!C14</f>
        <v/>
      </c>
      <c r="E12" s="9">
        <f>Forecast!C15</f>
        <v/>
      </c>
      <c r="G12">
        <f>IF('Bottom-up'!A11="","",'Bottom-up'!A11)</f>
        <v/>
      </c>
      <c r="H12" s="8">
        <f>IFERROR('Bottom-up'!B11,NA())</f>
        <v/>
      </c>
      <c r="I12" s="9">
        <f>IFERROR('Bottom-up'!C11,NA())</f>
        <v/>
      </c>
      <c r="J12" s="10">
        <f>IFERROR('Bottom-up'!D11,NA())</f>
        <v/>
      </c>
    </row>
    <row r="13">
      <c r="A13" t="inlineStr">
        <is>
          <t>6m</t>
        </is>
      </c>
      <c r="B13" s="9">
        <f>Forecast!D13</f>
        <v/>
      </c>
      <c r="C13" s="15">
        <f>Forecast!D13-A7</f>
        <v/>
      </c>
      <c r="D13" s="9">
        <f>Forecast!D14</f>
        <v/>
      </c>
      <c r="E13" s="9">
        <f>Forecast!D15</f>
        <v/>
      </c>
      <c r="G13">
        <f>IF('Bottom-up'!A12="","",'Bottom-up'!A12)</f>
        <v/>
      </c>
      <c r="H13" s="8">
        <f>IFERROR('Bottom-up'!B12,NA())</f>
        <v/>
      </c>
      <c r="I13" s="9">
        <f>IFERROR('Bottom-up'!C12,NA())</f>
        <v/>
      </c>
      <c r="J13" s="10">
        <f>IFERROR('Bottom-up'!D12,NA())</f>
        <v/>
      </c>
    </row>
    <row r="14">
      <c r="A14" t="inlineStr">
        <is>
          <t>12m</t>
        </is>
      </c>
      <c r="B14" s="9">
        <f>Forecast!E13</f>
        <v/>
      </c>
      <c r="C14" s="15">
        <f>Forecast!E13-A7</f>
        <v/>
      </c>
      <c r="D14" s="9">
        <f>Forecast!E14</f>
        <v/>
      </c>
      <c r="E14" s="9">
        <f>Forecast!E15</f>
        <v/>
      </c>
      <c r="G14">
        <f>IF('Bottom-up'!A13="","",'Bottom-up'!A13)</f>
        <v/>
      </c>
      <c r="H14" s="8">
        <f>IFERROR('Bottom-up'!B13,NA())</f>
        <v/>
      </c>
      <c r="I14" s="9">
        <f>IFERROR('Bottom-up'!C13,NA())</f>
        <v/>
      </c>
      <c r="J14" s="10">
        <f>IFERROR('Bottom-up'!D13,NA())</f>
        <v/>
      </c>
    </row>
    <row r="15">
      <c r="G15">
        <f>IF('Bottom-up'!A14="","",'Bottom-up'!A14)</f>
        <v/>
      </c>
      <c r="H15" s="8">
        <f>IFERROR('Bottom-up'!B14,NA())</f>
        <v/>
      </c>
      <c r="I15" s="9">
        <f>IFERROR('Bottom-up'!C14,NA())</f>
        <v/>
      </c>
      <c r="J15" s="10">
        <f>IFERROR('Bottom-up'!D14,NA())</f>
        <v/>
      </c>
    </row>
    <row r="23">
      <c r="B23" s="16" t="inlineStr">
        <is>
          <t>(helper: most recent observation per driver)</t>
        </is>
      </c>
    </row>
    <row r="24">
      <c r="B24" s="17">
        <f>LOOKUP(2,1/(Data!D4:D274&lt;&gt;""),Data!D4:D274)</f>
        <v/>
      </c>
      <c r="C24" s="17">
        <f>LOOKUP(2,1/(Data!E4:E274&lt;&gt;""),Data!E4:E274)</f>
        <v/>
      </c>
      <c r="D24" s="17">
        <f>LOOKUP(2,1/(Data!F4:F274&lt;&gt;""),Data!F4:F274)</f>
        <v/>
      </c>
      <c r="E24" s="17">
        <f>LOOKUP(2,1/(Data!G4:G274&lt;&gt;""),Data!G4:G274)</f>
        <v/>
      </c>
      <c r="F24" s="17">
        <f>LOOKUP(2,1/(Data!H4:H274&lt;&gt;""),Data!H4:H274)</f>
        <v/>
      </c>
      <c r="G24" s="17">
        <f>LOOKUP(2,1/(Data!I4:I274&lt;&gt;""),Data!I4:I274)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8" customWidth="1" min="5" max="5"/>
  </cols>
  <sheetData>
    <row r="1">
      <c r="A1" s="18" t="inlineStr">
        <is>
          <t>Top-down fair value model</t>
        </is>
      </c>
    </row>
    <row r="2">
      <c r="A2" s="2" t="inlineStr">
        <is>
          <t>OLS regression of EMBI Global Div. spread on global drivers (monthly, 2005–today).</t>
        </is>
      </c>
    </row>
    <row r="4">
      <c r="A4" s="5" t="inlineStr">
        <is>
          <t>Coefficients</t>
        </is>
      </c>
    </row>
    <row r="5">
      <c r="A5" s="6" t="inlineStr">
        <is>
          <t>Variable</t>
        </is>
      </c>
      <c r="B5" s="6" t="inlineStr">
        <is>
          <t>Coefficient</t>
        </is>
      </c>
      <c r="C5" s="6" t="inlineStr">
        <is>
          <t>Std error</t>
        </is>
      </c>
      <c r="D5" s="6" t="inlineStr">
        <is>
          <t>t-stat</t>
        </is>
      </c>
    </row>
    <row r="6">
      <c r="A6" t="inlineStr">
        <is>
          <t>US HY OAS (bps)</t>
        </is>
      </c>
      <c r="B6" s="19">
        <f>INDEX(LINEST(Data!$B$4:$B$274,Data!$D$4:$I$274,TRUE,TRUE),1,6)</f>
        <v/>
      </c>
      <c r="C6" s="19">
        <f>INDEX(LINEST(Data!$B$4:$B$274,Data!$D$4:$I$274,TRUE,TRUE),2,6)</f>
        <v/>
      </c>
      <c r="D6" s="20">
        <f>B6/C6</f>
        <v/>
      </c>
    </row>
    <row r="7">
      <c r="A7" t="inlineStr">
        <is>
          <t>VIX</t>
        </is>
      </c>
      <c r="B7" s="19">
        <f>INDEX(LINEST(Data!$B$4:$B$274,Data!$D$4:$I$274,TRUE,TRUE),1,5)</f>
        <v/>
      </c>
      <c r="C7" s="19">
        <f>INDEX(LINEST(Data!$B$4:$B$274,Data!$D$4:$I$274,TRUE,TRUE),2,5)</f>
        <v/>
      </c>
      <c r="D7" s="20">
        <f>B7/C7</f>
        <v/>
      </c>
    </row>
    <row r="8">
      <c r="A8" t="inlineStr">
        <is>
          <t>DXY</t>
        </is>
      </c>
      <c r="B8" s="19">
        <f>INDEX(LINEST(Data!$B$4:$B$274,Data!$D$4:$I$274,TRUE,TRUE),1,4)</f>
        <v/>
      </c>
      <c r="C8" s="19">
        <f>INDEX(LINEST(Data!$B$4:$B$274,Data!$D$4:$I$274,TRUE,TRUE),2,4)</f>
        <v/>
      </c>
      <c r="D8" s="20">
        <f>B8/C8</f>
        <v/>
      </c>
    </row>
    <row r="9">
      <c r="A9" t="inlineStr">
        <is>
          <t>WTI oil (USD/bbl)</t>
        </is>
      </c>
      <c r="B9" s="19">
        <f>INDEX(LINEST(Data!$B$4:$B$274,Data!$D$4:$I$274,TRUE,TRUE),1,3)</f>
        <v/>
      </c>
      <c r="C9" s="19">
        <f>INDEX(LINEST(Data!$B$4:$B$274,Data!$D$4:$I$274,TRUE,TRUE),2,3)</f>
        <v/>
      </c>
      <c r="D9" s="20">
        <f>B9/C9</f>
        <v/>
      </c>
    </row>
    <row r="10">
      <c r="A10" t="inlineStr">
        <is>
          <t>UST 10Y yield (%)</t>
        </is>
      </c>
      <c r="B10" s="19">
        <f>INDEX(LINEST(Data!$B$4:$B$274,Data!$D$4:$I$274,TRUE,TRUE),1,2)</f>
        <v/>
      </c>
      <c r="C10" s="19">
        <f>INDEX(LINEST(Data!$B$4:$B$274,Data!$D$4:$I$274,TRUE,TRUE),2,2)</f>
        <v/>
      </c>
      <c r="D10" s="20">
        <f>B10/C10</f>
        <v/>
      </c>
    </row>
    <row r="11">
      <c r="A11" t="inlineStr">
        <is>
          <t>BCOM commodity index</t>
        </is>
      </c>
      <c r="B11" s="19">
        <f>INDEX(LINEST(Data!$B$4:$B$274,Data!$D$4:$I$274,TRUE,TRUE),1,1)</f>
        <v/>
      </c>
      <c r="C11" s="19">
        <f>INDEX(LINEST(Data!$B$4:$B$274,Data!$D$4:$I$274,TRUE,TRUE),2,1)</f>
        <v/>
      </c>
      <c r="D11" s="20">
        <f>B11/C11</f>
        <v/>
      </c>
    </row>
    <row r="12">
      <c r="A12" s="21" t="inlineStr">
        <is>
          <t>Intercept</t>
        </is>
      </c>
      <c r="B12" s="20">
        <f>INDEX(LINEST(Data!$B$4:$B$274,Data!$D$4:$I$274,TRUE,TRUE),1,7)</f>
        <v/>
      </c>
      <c r="C12" s="20">
        <f>INDEX(LINEST(Data!$B$4:$B$274,Data!$D$4:$I$274,TRUE,TRUE),2,7)</f>
        <v/>
      </c>
      <c r="D12" s="20">
        <f>B12/C12</f>
        <v/>
      </c>
    </row>
    <row r="15">
      <c r="A15" s="5" t="inlineStr">
        <is>
          <t>Diagnostics</t>
        </is>
      </c>
    </row>
    <row r="16">
      <c r="A16" t="inlineStr">
        <is>
          <t>R²</t>
        </is>
      </c>
      <c r="B16" s="22">
        <f>INDEX(LINEST(Data!$B$4:$B$274,Data!$D$4:$I$274,TRUE,TRUE),3,1)</f>
        <v/>
      </c>
    </row>
    <row r="17">
      <c r="A17" t="inlineStr">
        <is>
          <t>Standard error</t>
        </is>
      </c>
      <c r="B17" s="8">
        <f>INDEX(LINEST(Data!$B$4:$B$274,Data!$D$4:$I$274,TRUE,TRUE),3,2)</f>
        <v/>
      </c>
    </row>
    <row r="18">
      <c r="A18" t="inlineStr">
        <is>
          <t>F-stat</t>
        </is>
      </c>
      <c r="B18" s="8">
        <f>INDEX(LINEST(Data!$B$4:$B$274,Data!$D$4:$I$274,TRUE,TRUE),4,1)</f>
        <v/>
      </c>
    </row>
    <row r="19">
      <c r="A19" t="inlineStr">
        <is>
          <t>Degrees of freedom</t>
        </is>
      </c>
      <c r="B19" s="23">
        <f>INDEX(LINEST(Data!$B$4:$B$274,Data!$D$4:$I$274,TRUE,TRUE),4,2)</f>
        <v/>
      </c>
    </row>
    <row r="20">
      <c r="A20" t="inlineStr">
        <is>
          <t>Observations</t>
        </is>
      </c>
      <c r="B20" s="23">
        <f>COUNT(Data!$B$4:$B$274)</f>
        <v/>
      </c>
    </row>
    <row r="24">
      <c r="A24" s="5" t="inlineStr">
        <is>
          <t>Fitted vs actual time series</t>
        </is>
      </c>
    </row>
    <row r="25">
      <c r="A25" s="6" t="inlineStr">
        <is>
          <t>Date</t>
        </is>
      </c>
      <c r="B25" s="6" t="inlineStr">
        <is>
          <t>EMBI actual</t>
        </is>
      </c>
      <c r="C25" s="6" t="inlineStr">
        <is>
          <t>Fitted</t>
        </is>
      </c>
      <c r="D25" s="6" t="inlineStr">
        <is>
          <t>Residual (act − fit)</t>
        </is>
      </c>
      <c r="E25" s="6" t="inlineStr">
        <is>
          <t>Z-score of residual</t>
        </is>
      </c>
    </row>
    <row r="26">
      <c r="A26" s="24">
        <f>Data!A4</f>
        <v/>
      </c>
      <c r="B26" s="9">
        <f>Data!B4</f>
        <v/>
      </c>
      <c r="C26" s="9">
        <f>IFERROR(TREND(Data!$B$4:$B$274,Data!$D$4:$I$274,Data!D4:I4),NA())</f>
        <v/>
      </c>
      <c r="D26" s="25">
        <f>IFERROR(B26-C26,NA())</f>
        <v/>
      </c>
      <c r="E26" s="20">
        <f>IFERROR(D26/STDEV.S(D$26:D$295),NA())</f>
        <v/>
      </c>
    </row>
    <row r="27">
      <c r="A27" s="24">
        <f>Data!A5</f>
        <v/>
      </c>
      <c r="B27" s="9">
        <f>Data!B5</f>
        <v/>
      </c>
      <c r="C27" s="9">
        <f>IFERROR(TREND(Data!$B$4:$B$274,Data!$D$4:$I$274,Data!D5:I5),NA())</f>
        <v/>
      </c>
      <c r="D27" s="25">
        <f>IFERROR(B27-C27,NA())</f>
        <v/>
      </c>
      <c r="E27" s="20">
        <f>IFERROR(D27/STDEV.S(D$26:D$295),NA())</f>
        <v/>
      </c>
    </row>
    <row r="28">
      <c r="A28" s="24">
        <f>Data!A6</f>
        <v/>
      </c>
      <c r="B28" s="9">
        <f>Data!B6</f>
        <v/>
      </c>
      <c r="C28" s="9">
        <f>IFERROR(TREND(Data!$B$4:$B$274,Data!$D$4:$I$274,Data!D6:I6),NA())</f>
        <v/>
      </c>
      <c r="D28" s="25">
        <f>IFERROR(B28-C28,NA())</f>
        <v/>
      </c>
      <c r="E28" s="20">
        <f>IFERROR(D28/STDEV.S(D$26:D$295),NA())</f>
        <v/>
      </c>
    </row>
    <row r="29">
      <c r="A29" s="24">
        <f>Data!A7</f>
        <v/>
      </c>
      <c r="B29" s="9">
        <f>Data!B7</f>
        <v/>
      </c>
      <c r="C29" s="9">
        <f>IFERROR(TREND(Data!$B$4:$B$274,Data!$D$4:$I$274,Data!D7:I7),NA())</f>
        <v/>
      </c>
      <c r="D29" s="25">
        <f>IFERROR(B29-C29,NA())</f>
        <v/>
      </c>
      <c r="E29" s="20">
        <f>IFERROR(D29/STDEV.S(D$26:D$295),NA())</f>
        <v/>
      </c>
    </row>
    <row r="30">
      <c r="A30" s="24">
        <f>Data!A8</f>
        <v/>
      </c>
      <c r="B30" s="9">
        <f>Data!B8</f>
        <v/>
      </c>
      <c r="C30" s="9">
        <f>IFERROR(TREND(Data!$B$4:$B$274,Data!$D$4:$I$274,Data!D8:I8),NA())</f>
        <v/>
      </c>
      <c r="D30" s="25">
        <f>IFERROR(B30-C30,NA())</f>
        <v/>
      </c>
      <c r="E30" s="20">
        <f>IFERROR(D30/STDEV.S(D$26:D$295),NA())</f>
        <v/>
      </c>
    </row>
    <row r="31">
      <c r="A31" s="24">
        <f>Data!A9</f>
        <v/>
      </c>
      <c r="B31" s="9">
        <f>Data!B9</f>
        <v/>
      </c>
      <c r="C31" s="9">
        <f>IFERROR(TREND(Data!$B$4:$B$274,Data!$D$4:$I$274,Data!D9:I9),NA())</f>
        <v/>
      </c>
      <c r="D31" s="25">
        <f>IFERROR(B31-C31,NA())</f>
        <v/>
      </c>
      <c r="E31" s="20">
        <f>IFERROR(D31/STDEV.S(D$26:D$295),NA())</f>
        <v/>
      </c>
    </row>
    <row r="32">
      <c r="A32" s="24">
        <f>Data!A10</f>
        <v/>
      </c>
      <c r="B32" s="9">
        <f>Data!B10</f>
        <v/>
      </c>
      <c r="C32" s="9">
        <f>IFERROR(TREND(Data!$B$4:$B$274,Data!$D$4:$I$274,Data!D10:I10),NA())</f>
        <v/>
      </c>
      <c r="D32" s="25">
        <f>IFERROR(B32-C32,NA())</f>
        <v/>
      </c>
      <c r="E32" s="20">
        <f>IFERROR(D32/STDEV.S(D$26:D$295),NA())</f>
        <v/>
      </c>
    </row>
    <row r="33">
      <c r="A33" s="24">
        <f>Data!A11</f>
        <v/>
      </c>
      <c r="B33" s="9">
        <f>Data!B11</f>
        <v/>
      </c>
      <c r="C33" s="9">
        <f>IFERROR(TREND(Data!$B$4:$B$274,Data!$D$4:$I$274,Data!D11:I11),NA())</f>
        <v/>
      </c>
      <c r="D33" s="25">
        <f>IFERROR(B33-C33,NA())</f>
        <v/>
      </c>
      <c r="E33" s="20">
        <f>IFERROR(D33/STDEV.S(D$26:D$295),NA())</f>
        <v/>
      </c>
    </row>
    <row r="34">
      <c r="A34" s="24">
        <f>Data!A12</f>
        <v/>
      </c>
      <c r="B34" s="9">
        <f>Data!B12</f>
        <v/>
      </c>
      <c r="C34" s="9">
        <f>IFERROR(TREND(Data!$B$4:$B$274,Data!$D$4:$I$274,Data!D12:I12),NA())</f>
        <v/>
      </c>
      <c r="D34" s="25">
        <f>IFERROR(B34-C34,NA())</f>
        <v/>
      </c>
      <c r="E34" s="20">
        <f>IFERROR(D34/STDEV.S(D$26:D$295),NA())</f>
        <v/>
      </c>
    </row>
    <row r="35">
      <c r="A35" s="24">
        <f>Data!A13</f>
        <v/>
      </c>
      <c r="B35" s="9">
        <f>Data!B13</f>
        <v/>
      </c>
      <c r="C35" s="9">
        <f>IFERROR(TREND(Data!$B$4:$B$274,Data!$D$4:$I$274,Data!D13:I13),NA())</f>
        <v/>
      </c>
      <c r="D35" s="25">
        <f>IFERROR(B35-C35,NA())</f>
        <v/>
      </c>
      <c r="E35" s="20">
        <f>IFERROR(D35/STDEV.S(D$26:D$295),NA())</f>
        <v/>
      </c>
    </row>
    <row r="36">
      <c r="A36" s="24">
        <f>Data!A14</f>
        <v/>
      </c>
      <c r="B36" s="9">
        <f>Data!B14</f>
        <v/>
      </c>
      <c r="C36" s="9">
        <f>IFERROR(TREND(Data!$B$4:$B$274,Data!$D$4:$I$274,Data!D14:I14),NA())</f>
        <v/>
      </c>
      <c r="D36" s="25">
        <f>IFERROR(B36-C36,NA())</f>
        <v/>
      </c>
      <c r="E36" s="20">
        <f>IFERROR(D36/STDEV.S(D$26:D$295),NA())</f>
        <v/>
      </c>
    </row>
    <row r="37">
      <c r="A37" s="24">
        <f>Data!A15</f>
        <v/>
      </c>
      <c r="B37" s="9">
        <f>Data!B15</f>
        <v/>
      </c>
      <c r="C37" s="9">
        <f>IFERROR(TREND(Data!$B$4:$B$274,Data!$D$4:$I$274,Data!D15:I15),NA())</f>
        <v/>
      </c>
      <c r="D37" s="25">
        <f>IFERROR(B37-C37,NA())</f>
        <v/>
      </c>
      <c r="E37" s="20">
        <f>IFERROR(D37/STDEV.S(D$26:D$295),NA())</f>
        <v/>
      </c>
    </row>
    <row r="38">
      <c r="A38" s="24">
        <f>Data!A16</f>
        <v/>
      </c>
      <c r="B38" s="9">
        <f>Data!B16</f>
        <v/>
      </c>
      <c r="C38" s="9">
        <f>IFERROR(TREND(Data!$B$4:$B$274,Data!$D$4:$I$274,Data!D16:I16),NA())</f>
        <v/>
      </c>
      <c r="D38" s="25">
        <f>IFERROR(B38-C38,NA())</f>
        <v/>
      </c>
      <c r="E38" s="20">
        <f>IFERROR(D38/STDEV.S(D$26:D$295),NA())</f>
        <v/>
      </c>
    </row>
    <row r="39">
      <c r="A39" s="24">
        <f>Data!A17</f>
        <v/>
      </c>
      <c r="B39" s="9">
        <f>Data!B17</f>
        <v/>
      </c>
      <c r="C39" s="9">
        <f>IFERROR(TREND(Data!$B$4:$B$274,Data!$D$4:$I$274,Data!D17:I17),NA())</f>
        <v/>
      </c>
      <c r="D39" s="25">
        <f>IFERROR(B39-C39,NA())</f>
        <v/>
      </c>
      <c r="E39" s="20">
        <f>IFERROR(D39/STDEV.S(D$26:D$295),NA())</f>
        <v/>
      </c>
    </row>
    <row r="40">
      <c r="A40" s="24">
        <f>Data!A18</f>
        <v/>
      </c>
      <c r="B40" s="9">
        <f>Data!B18</f>
        <v/>
      </c>
      <c r="C40" s="9">
        <f>IFERROR(TREND(Data!$B$4:$B$274,Data!$D$4:$I$274,Data!D18:I18),NA())</f>
        <v/>
      </c>
      <c r="D40" s="25">
        <f>IFERROR(B40-C40,NA())</f>
        <v/>
      </c>
      <c r="E40" s="20">
        <f>IFERROR(D40/STDEV.S(D$26:D$295),NA())</f>
        <v/>
      </c>
    </row>
    <row r="41">
      <c r="A41" s="24">
        <f>Data!A19</f>
        <v/>
      </c>
      <c r="B41" s="9">
        <f>Data!B19</f>
        <v/>
      </c>
      <c r="C41" s="9">
        <f>IFERROR(TREND(Data!$B$4:$B$274,Data!$D$4:$I$274,Data!D19:I19),NA())</f>
        <v/>
      </c>
      <c r="D41" s="25">
        <f>IFERROR(B41-C41,NA())</f>
        <v/>
      </c>
      <c r="E41" s="20">
        <f>IFERROR(D41/STDEV.S(D$26:D$295),NA())</f>
        <v/>
      </c>
    </row>
    <row r="42">
      <c r="A42" s="24">
        <f>Data!A20</f>
        <v/>
      </c>
      <c r="B42" s="9">
        <f>Data!B20</f>
        <v/>
      </c>
      <c r="C42" s="9">
        <f>IFERROR(TREND(Data!$B$4:$B$274,Data!$D$4:$I$274,Data!D20:I20),NA())</f>
        <v/>
      </c>
      <c r="D42" s="25">
        <f>IFERROR(B42-C42,NA())</f>
        <v/>
      </c>
      <c r="E42" s="20">
        <f>IFERROR(D42/STDEV.S(D$26:D$295),NA())</f>
        <v/>
      </c>
    </row>
    <row r="43">
      <c r="A43" s="24">
        <f>Data!A21</f>
        <v/>
      </c>
      <c r="B43" s="9">
        <f>Data!B21</f>
        <v/>
      </c>
      <c r="C43" s="9">
        <f>IFERROR(TREND(Data!$B$4:$B$274,Data!$D$4:$I$274,Data!D21:I21),NA())</f>
        <v/>
      </c>
      <c r="D43" s="25">
        <f>IFERROR(B43-C43,NA())</f>
        <v/>
      </c>
      <c r="E43" s="20">
        <f>IFERROR(D43/STDEV.S(D$26:D$295),NA())</f>
        <v/>
      </c>
    </row>
    <row r="44">
      <c r="A44" s="24">
        <f>Data!A22</f>
        <v/>
      </c>
      <c r="B44" s="9">
        <f>Data!B22</f>
        <v/>
      </c>
      <c r="C44" s="9">
        <f>IFERROR(TREND(Data!$B$4:$B$274,Data!$D$4:$I$274,Data!D22:I22),NA())</f>
        <v/>
      </c>
      <c r="D44" s="25">
        <f>IFERROR(B44-C44,NA())</f>
        <v/>
      </c>
      <c r="E44" s="20">
        <f>IFERROR(D44/STDEV.S(D$26:D$295),NA())</f>
        <v/>
      </c>
    </row>
    <row r="45">
      <c r="A45" s="24">
        <f>Data!A23</f>
        <v/>
      </c>
      <c r="B45" s="9">
        <f>Data!B23</f>
        <v/>
      </c>
      <c r="C45" s="9">
        <f>IFERROR(TREND(Data!$B$4:$B$274,Data!$D$4:$I$274,Data!D23:I23),NA())</f>
        <v/>
      </c>
      <c r="D45" s="25">
        <f>IFERROR(B45-C45,NA())</f>
        <v/>
      </c>
      <c r="E45" s="20">
        <f>IFERROR(D45/STDEV.S(D$26:D$295),NA())</f>
        <v/>
      </c>
    </row>
    <row r="46">
      <c r="A46" s="24">
        <f>Data!A24</f>
        <v/>
      </c>
      <c r="B46" s="9">
        <f>Data!B24</f>
        <v/>
      </c>
      <c r="C46" s="9">
        <f>IFERROR(TREND(Data!$B$4:$B$274,Data!$D$4:$I$274,Data!D24:I24),NA())</f>
        <v/>
      </c>
      <c r="D46" s="25">
        <f>IFERROR(B46-C46,NA())</f>
        <v/>
      </c>
      <c r="E46" s="20">
        <f>IFERROR(D46/STDEV.S(D$26:D$295),NA())</f>
        <v/>
      </c>
    </row>
    <row r="47">
      <c r="A47" s="24">
        <f>Data!A25</f>
        <v/>
      </c>
      <c r="B47" s="9">
        <f>Data!B25</f>
        <v/>
      </c>
      <c r="C47" s="9">
        <f>IFERROR(TREND(Data!$B$4:$B$274,Data!$D$4:$I$274,Data!D25:I25),NA())</f>
        <v/>
      </c>
      <c r="D47" s="25">
        <f>IFERROR(B47-C47,NA())</f>
        <v/>
      </c>
      <c r="E47" s="20">
        <f>IFERROR(D47/STDEV.S(D$26:D$295),NA())</f>
        <v/>
      </c>
    </row>
    <row r="48">
      <c r="A48" s="24">
        <f>Data!A26</f>
        <v/>
      </c>
      <c r="B48" s="9">
        <f>Data!B26</f>
        <v/>
      </c>
      <c r="C48" s="9">
        <f>IFERROR(TREND(Data!$B$4:$B$274,Data!$D$4:$I$274,Data!D26:I26),NA())</f>
        <v/>
      </c>
      <c r="D48" s="25">
        <f>IFERROR(B48-C48,NA())</f>
        <v/>
      </c>
      <c r="E48" s="20">
        <f>IFERROR(D48/STDEV.S(D$26:D$295),NA())</f>
        <v/>
      </c>
    </row>
    <row r="49">
      <c r="A49" s="24">
        <f>Data!A27</f>
        <v/>
      </c>
      <c r="B49" s="9">
        <f>Data!B27</f>
        <v/>
      </c>
      <c r="C49" s="9">
        <f>IFERROR(TREND(Data!$B$4:$B$274,Data!$D$4:$I$274,Data!D27:I27),NA())</f>
        <v/>
      </c>
      <c r="D49" s="25">
        <f>IFERROR(B49-C49,NA())</f>
        <v/>
      </c>
      <c r="E49" s="20">
        <f>IFERROR(D49/STDEV.S(D$26:D$295),NA())</f>
        <v/>
      </c>
    </row>
    <row r="50">
      <c r="A50" s="24">
        <f>Data!A28</f>
        <v/>
      </c>
      <c r="B50" s="9">
        <f>Data!B28</f>
        <v/>
      </c>
      <c r="C50" s="9">
        <f>IFERROR(TREND(Data!$B$4:$B$274,Data!$D$4:$I$274,Data!D28:I28),NA())</f>
        <v/>
      </c>
      <c r="D50" s="25">
        <f>IFERROR(B50-C50,NA())</f>
        <v/>
      </c>
      <c r="E50" s="20">
        <f>IFERROR(D50/STDEV.S(D$26:D$295),NA())</f>
        <v/>
      </c>
    </row>
    <row r="51">
      <c r="A51" s="24">
        <f>Data!A29</f>
        <v/>
      </c>
      <c r="B51" s="9">
        <f>Data!B29</f>
        <v/>
      </c>
      <c r="C51" s="9">
        <f>IFERROR(TREND(Data!$B$4:$B$274,Data!$D$4:$I$274,Data!D29:I29),NA())</f>
        <v/>
      </c>
      <c r="D51" s="25">
        <f>IFERROR(B51-C51,NA())</f>
        <v/>
      </c>
      <c r="E51" s="20">
        <f>IFERROR(D51/STDEV.S(D$26:D$295),NA())</f>
        <v/>
      </c>
    </row>
    <row r="52">
      <c r="A52" s="24">
        <f>Data!A30</f>
        <v/>
      </c>
      <c r="B52" s="9">
        <f>Data!B30</f>
        <v/>
      </c>
      <c r="C52" s="9">
        <f>IFERROR(TREND(Data!$B$4:$B$274,Data!$D$4:$I$274,Data!D30:I30),NA())</f>
        <v/>
      </c>
      <c r="D52" s="25">
        <f>IFERROR(B52-C52,NA())</f>
        <v/>
      </c>
      <c r="E52" s="20">
        <f>IFERROR(D52/STDEV.S(D$26:D$295),NA())</f>
        <v/>
      </c>
    </row>
    <row r="53">
      <c r="A53" s="24">
        <f>Data!A31</f>
        <v/>
      </c>
      <c r="B53" s="9">
        <f>Data!B31</f>
        <v/>
      </c>
      <c r="C53" s="9">
        <f>IFERROR(TREND(Data!$B$4:$B$274,Data!$D$4:$I$274,Data!D31:I31),NA())</f>
        <v/>
      </c>
      <c r="D53" s="25">
        <f>IFERROR(B53-C53,NA())</f>
        <v/>
      </c>
      <c r="E53" s="20">
        <f>IFERROR(D53/STDEV.S(D$26:D$295),NA())</f>
        <v/>
      </c>
    </row>
    <row r="54">
      <c r="A54" s="24">
        <f>Data!A32</f>
        <v/>
      </c>
      <c r="B54" s="9">
        <f>Data!B32</f>
        <v/>
      </c>
      <c r="C54" s="9">
        <f>IFERROR(TREND(Data!$B$4:$B$274,Data!$D$4:$I$274,Data!D32:I32),NA())</f>
        <v/>
      </c>
      <c r="D54" s="25">
        <f>IFERROR(B54-C54,NA())</f>
        <v/>
      </c>
      <c r="E54" s="20">
        <f>IFERROR(D54/STDEV.S(D$26:D$295),NA())</f>
        <v/>
      </c>
    </row>
    <row r="55">
      <c r="A55" s="24">
        <f>Data!A33</f>
        <v/>
      </c>
      <c r="B55" s="9">
        <f>Data!B33</f>
        <v/>
      </c>
      <c r="C55" s="9">
        <f>IFERROR(TREND(Data!$B$4:$B$274,Data!$D$4:$I$274,Data!D33:I33),NA())</f>
        <v/>
      </c>
      <c r="D55" s="25">
        <f>IFERROR(B55-C55,NA())</f>
        <v/>
      </c>
      <c r="E55" s="20">
        <f>IFERROR(D55/STDEV.S(D$26:D$295),NA())</f>
        <v/>
      </c>
    </row>
    <row r="56">
      <c r="A56" s="24">
        <f>Data!A34</f>
        <v/>
      </c>
      <c r="B56" s="9">
        <f>Data!B34</f>
        <v/>
      </c>
      <c r="C56" s="9">
        <f>IFERROR(TREND(Data!$B$4:$B$274,Data!$D$4:$I$274,Data!D34:I34),NA())</f>
        <v/>
      </c>
      <c r="D56" s="25">
        <f>IFERROR(B56-C56,NA())</f>
        <v/>
      </c>
      <c r="E56" s="20">
        <f>IFERROR(D56/STDEV.S(D$26:D$295),NA())</f>
        <v/>
      </c>
    </row>
    <row r="57">
      <c r="A57" s="24">
        <f>Data!A35</f>
        <v/>
      </c>
      <c r="B57" s="9">
        <f>Data!B35</f>
        <v/>
      </c>
      <c r="C57" s="9">
        <f>IFERROR(TREND(Data!$B$4:$B$274,Data!$D$4:$I$274,Data!D35:I35),NA())</f>
        <v/>
      </c>
      <c r="D57" s="25">
        <f>IFERROR(B57-C57,NA())</f>
        <v/>
      </c>
      <c r="E57" s="20">
        <f>IFERROR(D57/STDEV.S(D$26:D$295),NA())</f>
        <v/>
      </c>
    </row>
    <row r="58">
      <c r="A58" s="24">
        <f>Data!A36</f>
        <v/>
      </c>
      <c r="B58" s="9">
        <f>Data!B36</f>
        <v/>
      </c>
      <c r="C58" s="9">
        <f>IFERROR(TREND(Data!$B$4:$B$274,Data!$D$4:$I$274,Data!D36:I36),NA())</f>
        <v/>
      </c>
      <c r="D58" s="25">
        <f>IFERROR(B58-C58,NA())</f>
        <v/>
      </c>
      <c r="E58" s="20">
        <f>IFERROR(D58/STDEV.S(D$26:D$295),NA())</f>
        <v/>
      </c>
    </row>
    <row r="59">
      <c r="A59" s="24">
        <f>Data!A37</f>
        <v/>
      </c>
      <c r="B59" s="9">
        <f>Data!B37</f>
        <v/>
      </c>
      <c r="C59" s="9">
        <f>IFERROR(TREND(Data!$B$4:$B$274,Data!$D$4:$I$274,Data!D37:I37),NA())</f>
        <v/>
      </c>
      <c r="D59" s="25">
        <f>IFERROR(B59-C59,NA())</f>
        <v/>
      </c>
      <c r="E59" s="20">
        <f>IFERROR(D59/STDEV.S(D$26:D$295),NA())</f>
        <v/>
      </c>
    </row>
    <row r="60">
      <c r="A60" s="24">
        <f>Data!A38</f>
        <v/>
      </c>
      <c r="B60" s="9">
        <f>Data!B38</f>
        <v/>
      </c>
      <c r="C60" s="9">
        <f>IFERROR(TREND(Data!$B$4:$B$274,Data!$D$4:$I$274,Data!D38:I38),NA())</f>
        <v/>
      </c>
      <c r="D60" s="25">
        <f>IFERROR(B60-C60,NA())</f>
        <v/>
      </c>
      <c r="E60" s="20">
        <f>IFERROR(D60/STDEV.S(D$26:D$295),NA())</f>
        <v/>
      </c>
    </row>
    <row r="61">
      <c r="A61" s="24">
        <f>Data!A39</f>
        <v/>
      </c>
      <c r="B61" s="9">
        <f>Data!B39</f>
        <v/>
      </c>
      <c r="C61" s="9">
        <f>IFERROR(TREND(Data!$B$4:$B$274,Data!$D$4:$I$274,Data!D39:I39),NA())</f>
        <v/>
      </c>
      <c r="D61" s="25">
        <f>IFERROR(B61-C61,NA())</f>
        <v/>
      </c>
      <c r="E61" s="20">
        <f>IFERROR(D61/STDEV.S(D$26:D$295),NA())</f>
        <v/>
      </c>
    </row>
    <row r="62">
      <c r="A62" s="24">
        <f>Data!A40</f>
        <v/>
      </c>
      <c r="B62" s="9">
        <f>Data!B40</f>
        <v/>
      </c>
      <c r="C62" s="9">
        <f>IFERROR(TREND(Data!$B$4:$B$274,Data!$D$4:$I$274,Data!D40:I40),NA())</f>
        <v/>
      </c>
      <c r="D62" s="25">
        <f>IFERROR(B62-C62,NA())</f>
        <v/>
      </c>
      <c r="E62" s="20">
        <f>IFERROR(D62/STDEV.S(D$26:D$295),NA())</f>
        <v/>
      </c>
    </row>
    <row r="63">
      <c r="A63" s="24">
        <f>Data!A41</f>
        <v/>
      </c>
      <c r="B63" s="9">
        <f>Data!B41</f>
        <v/>
      </c>
      <c r="C63" s="9">
        <f>IFERROR(TREND(Data!$B$4:$B$274,Data!$D$4:$I$274,Data!D41:I41),NA())</f>
        <v/>
      </c>
      <c r="D63" s="25">
        <f>IFERROR(B63-C63,NA())</f>
        <v/>
      </c>
      <c r="E63" s="20">
        <f>IFERROR(D63/STDEV.S(D$26:D$295),NA())</f>
        <v/>
      </c>
    </row>
    <row r="64">
      <c r="A64" s="24">
        <f>Data!A42</f>
        <v/>
      </c>
      <c r="B64" s="9">
        <f>Data!B42</f>
        <v/>
      </c>
      <c r="C64" s="9">
        <f>IFERROR(TREND(Data!$B$4:$B$274,Data!$D$4:$I$274,Data!D42:I42),NA())</f>
        <v/>
      </c>
      <c r="D64" s="25">
        <f>IFERROR(B64-C64,NA())</f>
        <v/>
      </c>
      <c r="E64" s="20">
        <f>IFERROR(D64/STDEV.S(D$26:D$295),NA())</f>
        <v/>
      </c>
    </row>
    <row r="65">
      <c r="A65" s="24">
        <f>Data!A43</f>
        <v/>
      </c>
      <c r="B65" s="9">
        <f>Data!B43</f>
        <v/>
      </c>
      <c r="C65" s="9">
        <f>IFERROR(TREND(Data!$B$4:$B$274,Data!$D$4:$I$274,Data!D43:I43),NA())</f>
        <v/>
      </c>
      <c r="D65" s="25">
        <f>IFERROR(B65-C65,NA())</f>
        <v/>
      </c>
      <c r="E65" s="20">
        <f>IFERROR(D65/STDEV.S(D$26:D$295),NA())</f>
        <v/>
      </c>
    </row>
    <row r="66">
      <c r="A66" s="24">
        <f>Data!A44</f>
        <v/>
      </c>
      <c r="B66" s="9">
        <f>Data!B44</f>
        <v/>
      </c>
      <c r="C66" s="9">
        <f>IFERROR(TREND(Data!$B$4:$B$274,Data!$D$4:$I$274,Data!D44:I44),NA())</f>
        <v/>
      </c>
      <c r="D66" s="25">
        <f>IFERROR(B66-C66,NA())</f>
        <v/>
      </c>
      <c r="E66" s="20">
        <f>IFERROR(D66/STDEV.S(D$26:D$295),NA())</f>
        <v/>
      </c>
    </row>
    <row r="67">
      <c r="A67" s="24">
        <f>Data!A45</f>
        <v/>
      </c>
      <c r="B67" s="9">
        <f>Data!B45</f>
        <v/>
      </c>
      <c r="C67" s="9">
        <f>IFERROR(TREND(Data!$B$4:$B$274,Data!$D$4:$I$274,Data!D45:I45),NA())</f>
        <v/>
      </c>
      <c r="D67" s="25">
        <f>IFERROR(B67-C67,NA())</f>
        <v/>
      </c>
      <c r="E67" s="20">
        <f>IFERROR(D67/STDEV.S(D$26:D$295),NA())</f>
        <v/>
      </c>
    </row>
    <row r="68">
      <c r="A68" s="24">
        <f>Data!A46</f>
        <v/>
      </c>
      <c r="B68" s="9">
        <f>Data!B46</f>
        <v/>
      </c>
      <c r="C68" s="9">
        <f>IFERROR(TREND(Data!$B$4:$B$274,Data!$D$4:$I$274,Data!D46:I46),NA())</f>
        <v/>
      </c>
      <c r="D68" s="25">
        <f>IFERROR(B68-C68,NA())</f>
        <v/>
      </c>
      <c r="E68" s="20">
        <f>IFERROR(D68/STDEV.S(D$26:D$295),NA())</f>
        <v/>
      </c>
    </row>
    <row r="69">
      <c r="A69" s="24">
        <f>Data!A47</f>
        <v/>
      </c>
      <c r="B69" s="9">
        <f>Data!B47</f>
        <v/>
      </c>
      <c r="C69" s="9">
        <f>IFERROR(TREND(Data!$B$4:$B$274,Data!$D$4:$I$274,Data!D47:I47),NA())</f>
        <v/>
      </c>
      <c r="D69" s="25">
        <f>IFERROR(B69-C69,NA())</f>
        <v/>
      </c>
      <c r="E69" s="20">
        <f>IFERROR(D69/STDEV.S(D$26:D$295),NA())</f>
        <v/>
      </c>
    </row>
    <row r="70">
      <c r="A70" s="24">
        <f>Data!A48</f>
        <v/>
      </c>
      <c r="B70" s="9">
        <f>Data!B48</f>
        <v/>
      </c>
      <c r="C70" s="9">
        <f>IFERROR(TREND(Data!$B$4:$B$274,Data!$D$4:$I$274,Data!D48:I48),NA())</f>
        <v/>
      </c>
      <c r="D70" s="25">
        <f>IFERROR(B70-C70,NA())</f>
        <v/>
      </c>
      <c r="E70" s="20">
        <f>IFERROR(D70/STDEV.S(D$26:D$295),NA())</f>
        <v/>
      </c>
    </row>
    <row r="71">
      <c r="A71" s="24">
        <f>Data!A49</f>
        <v/>
      </c>
      <c r="B71" s="9">
        <f>Data!B49</f>
        <v/>
      </c>
      <c r="C71" s="9">
        <f>IFERROR(TREND(Data!$B$4:$B$274,Data!$D$4:$I$274,Data!D49:I49),NA())</f>
        <v/>
      </c>
      <c r="D71" s="25">
        <f>IFERROR(B71-C71,NA())</f>
        <v/>
      </c>
      <c r="E71" s="20">
        <f>IFERROR(D71/STDEV.S(D$26:D$295),NA())</f>
        <v/>
      </c>
    </row>
    <row r="72">
      <c r="A72" s="24">
        <f>Data!A50</f>
        <v/>
      </c>
      <c r="B72" s="9">
        <f>Data!B50</f>
        <v/>
      </c>
      <c r="C72" s="9">
        <f>IFERROR(TREND(Data!$B$4:$B$274,Data!$D$4:$I$274,Data!D50:I50),NA())</f>
        <v/>
      </c>
      <c r="D72" s="25">
        <f>IFERROR(B72-C72,NA())</f>
        <v/>
      </c>
      <c r="E72" s="20">
        <f>IFERROR(D72/STDEV.S(D$26:D$295),NA())</f>
        <v/>
      </c>
    </row>
    <row r="73">
      <c r="A73" s="24">
        <f>Data!A51</f>
        <v/>
      </c>
      <c r="B73" s="9">
        <f>Data!B51</f>
        <v/>
      </c>
      <c r="C73" s="9">
        <f>IFERROR(TREND(Data!$B$4:$B$274,Data!$D$4:$I$274,Data!D51:I51),NA())</f>
        <v/>
      </c>
      <c r="D73" s="25">
        <f>IFERROR(B73-C73,NA())</f>
        <v/>
      </c>
      <c r="E73" s="20">
        <f>IFERROR(D73/STDEV.S(D$26:D$295),NA())</f>
        <v/>
      </c>
    </row>
    <row r="74">
      <c r="A74" s="24">
        <f>Data!A52</f>
        <v/>
      </c>
      <c r="B74" s="9">
        <f>Data!B52</f>
        <v/>
      </c>
      <c r="C74" s="9">
        <f>IFERROR(TREND(Data!$B$4:$B$274,Data!$D$4:$I$274,Data!D52:I52),NA())</f>
        <v/>
      </c>
      <c r="D74" s="25">
        <f>IFERROR(B74-C74,NA())</f>
        <v/>
      </c>
      <c r="E74" s="20">
        <f>IFERROR(D74/STDEV.S(D$26:D$295),NA())</f>
        <v/>
      </c>
    </row>
    <row r="75">
      <c r="A75" s="24">
        <f>Data!A53</f>
        <v/>
      </c>
      <c r="B75" s="9">
        <f>Data!B53</f>
        <v/>
      </c>
      <c r="C75" s="9">
        <f>IFERROR(TREND(Data!$B$4:$B$274,Data!$D$4:$I$274,Data!D53:I53),NA())</f>
        <v/>
      </c>
      <c r="D75" s="25">
        <f>IFERROR(B75-C75,NA())</f>
        <v/>
      </c>
      <c r="E75" s="20">
        <f>IFERROR(D75/STDEV.S(D$26:D$295),NA())</f>
        <v/>
      </c>
    </row>
    <row r="76">
      <c r="A76" s="24">
        <f>Data!A54</f>
        <v/>
      </c>
      <c r="B76" s="9">
        <f>Data!B54</f>
        <v/>
      </c>
      <c r="C76" s="9">
        <f>IFERROR(TREND(Data!$B$4:$B$274,Data!$D$4:$I$274,Data!D54:I54),NA())</f>
        <v/>
      </c>
      <c r="D76" s="25">
        <f>IFERROR(B76-C76,NA())</f>
        <v/>
      </c>
      <c r="E76" s="20">
        <f>IFERROR(D76/STDEV.S(D$26:D$295),NA())</f>
        <v/>
      </c>
    </row>
    <row r="77">
      <c r="A77" s="24">
        <f>Data!A55</f>
        <v/>
      </c>
      <c r="B77" s="9">
        <f>Data!B55</f>
        <v/>
      </c>
      <c r="C77" s="9">
        <f>IFERROR(TREND(Data!$B$4:$B$274,Data!$D$4:$I$274,Data!D55:I55),NA())</f>
        <v/>
      </c>
      <c r="D77" s="25">
        <f>IFERROR(B77-C77,NA())</f>
        <v/>
      </c>
      <c r="E77" s="20">
        <f>IFERROR(D77/STDEV.S(D$26:D$295),NA())</f>
        <v/>
      </c>
    </row>
    <row r="78">
      <c r="A78" s="24">
        <f>Data!A56</f>
        <v/>
      </c>
      <c r="B78" s="9">
        <f>Data!B56</f>
        <v/>
      </c>
      <c r="C78" s="9">
        <f>IFERROR(TREND(Data!$B$4:$B$274,Data!$D$4:$I$274,Data!D56:I56),NA())</f>
        <v/>
      </c>
      <c r="D78" s="25">
        <f>IFERROR(B78-C78,NA())</f>
        <v/>
      </c>
      <c r="E78" s="20">
        <f>IFERROR(D78/STDEV.S(D$26:D$295),NA())</f>
        <v/>
      </c>
    </row>
    <row r="79">
      <c r="A79" s="24">
        <f>Data!A57</f>
        <v/>
      </c>
      <c r="B79" s="9">
        <f>Data!B57</f>
        <v/>
      </c>
      <c r="C79" s="9">
        <f>IFERROR(TREND(Data!$B$4:$B$274,Data!$D$4:$I$274,Data!D57:I57),NA())</f>
        <v/>
      </c>
      <c r="D79" s="25">
        <f>IFERROR(B79-C79,NA())</f>
        <v/>
      </c>
      <c r="E79" s="20">
        <f>IFERROR(D79/STDEV.S(D$26:D$295),NA())</f>
        <v/>
      </c>
    </row>
    <row r="80">
      <c r="A80" s="24">
        <f>Data!A58</f>
        <v/>
      </c>
      <c r="B80" s="9">
        <f>Data!B58</f>
        <v/>
      </c>
      <c r="C80" s="9">
        <f>IFERROR(TREND(Data!$B$4:$B$274,Data!$D$4:$I$274,Data!D58:I58),NA())</f>
        <v/>
      </c>
      <c r="D80" s="25">
        <f>IFERROR(B80-C80,NA())</f>
        <v/>
      </c>
      <c r="E80" s="20">
        <f>IFERROR(D80/STDEV.S(D$26:D$295),NA())</f>
        <v/>
      </c>
    </row>
    <row r="81">
      <c r="A81" s="24">
        <f>Data!A59</f>
        <v/>
      </c>
      <c r="B81" s="9">
        <f>Data!B59</f>
        <v/>
      </c>
      <c r="C81" s="9">
        <f>IFERROR(TREND(Data!$B$4:$B$274,Data!$D$4:$I$274,Data!D59:I59),NA())</f>
        <v/>
      </c>
      <c r="D81" s="25">
        <f>IFERROR(B81-C81,NA())</f>
        <v/>
      </c>
      <c r="E81" s="20">
        <f>IFERROR(D81/STDEV.S(D$26:D$295),NA())</f>
        <v/>
      </c>
    </row>
    <row r="82">
      <c r="A82" s="24">
        <f>Data!A60</f>
        <v/>
      </c>
      <c r="B82" s="9">
        <f>Data!B60</f>
        <v/>
      </c>
      <c r="C82" s="9">
        <f>IFERROR(TREND(Data!$B$4:$B$274,Data!$D$4:$I$274,Data!D60:I60),NA())</f>
        <v/>
      </c>
      <c r="D82" s="25">
        <f>IFERROR(B82-C82,NA())</f>
        <v/>
      </c>
      <c r="E82" s="20">
        <f>IFERROR(D82/STDEV.S(D$26:D$295),NA())</f>
        <v/>
      </c>
    </row>
    <row r="83">
      <c r="A83" s="24">
        <f>Data!A61</f>
        <v/>
      </c>
      <c r="B83" s="9">
        <f>Data!B61</f>
        <v/>
      </c>
      <c r="C83" s="9">
        <f>IFERROR(TREND(Data!$B$4:$B$274,Data!$D$4:$I$274,Data!D61:I61),NA())</f>
        <v/>
      </c>
      <c r="D83" s="25">
        <f>IFERROR(B83-C83,NA())</f>
        <v/>
      </c>
      <c r="E83" s="20">
        <f>IFERROR(D83/STDEV.S(D$26:D$295),NA())</f>
        <v/>
      </c>
    </row>
    <row r="84">
      <c r="A84" s="24">
        <f>Data!A62</f>
        <v/>
      </c>
      <c r="B84" s="9">
        <f>Data!B62</f>
        <v/>
      </c>
      <c r="C84" s="9">
        <f>IFERROR(TREND(Data!$B$4:$B$274,Data!$D$4:$I$274,Data!D62:I62),NA())</f>
        <v/>
      </c>
      <c r="D84" s="25">
        <f>IFERROR(B84-C84,NA())</f>
        <v/>
      </c>
      <c r="E84" s="20">
        <f>IFERROR(D84/STDEV.S(D$26:D$295),NA())</f>
        <v/>
      </c>
    </row>
    <row r="85">
      <c r="A85" s="24">
        <f>Data!A63</f>
        <v/>
      </c>
      <c r="B85" s="9">
        <f>Data!B63</f>
        <v/>
      </c>
      <c r="C85" s="9">
        <f>IFERROR(TREND(Data!$B$4:$B$274,Data!$D$4:$I$274,Data!D63:I63),NA())</f>
        <v/>
      </c>
      <c r="D85" s="25">
        <f>IFERROR(B85-C85,NA())</f>
        <v/>
      </c>
      <c r="E85" s="20">
        <f>IFERROR(D85/STDEV.S(D$26:D$295),NA())</f>
        <v/>
      </c>
    </row>
    <row r="86">
      <c r="A86" s="24">
        <f>Data!A64</f>
        <v/>
      </c>
      <c r="B86" s="9">
        <f>Data!B64</f>
        <v/>
      </c>
      <c r="C86" s="9">
        <f>IFERROR(TREND(Data!$B$4:$B$274,Data!$D$4:$I$274,Data!D64:I64),NA())</f>
        <v/>
      </c>
      <c r="D86" s="25">
        <f>IFERROR(B86-C86,NA())</f>
        <v/>
      </c>
      <c r="E86" s="20">
        <f>IFERROR(D86/STDEV.S(D$26:D$295),NA())</f>
        <v/>
      </c>
    </row>
    <row r="87">
      <c r="A87" s="24">
        <f>Data!A65</f>
        <v/>
      </c>
      <c r="B87" s="9">
        <f>Data!B65</f>
        <v/>
      </c>
      <c r="C87" s="9">
        <f>IFERROR(TREND(Data!$B$4:$B$274,Data!$D$4:$I$274,Data!D65:I65),NA())</f>
        <v/>
      </c>
      <c r="D87" s="25">
        <f>IFERROR(B87-C87,NA())</f>
        <v/>
      </c>
      <c r="E87" s="20">
        <f>IFERROR(D87/STDEV.S(D$26:D$295),NA())</f>
        <v/>
      </c>
    </row>
    <row r="88">
      <c r="A88" s="24">
        <f>Data!A66</f>
        <v/>
      </c>
      <c r="B88" s="9">
        <f>Data!B66</f>
        <v/>
      </c>
      <c r="C88" s="9">
        <f>IFERROR(TREND(Data!$B$4:$B$274,Data!$D$4:$I$274,Data!D66:I66),NA())</f>
        <v/>
      </c>
      <c r="D88" s="25">
        <f>IFERROR(B88-C88,NA())</f>
        <v/>
      </c>
      <c r="E88" s="20">
        <f>IFERROR(D88/STDEV.S(D$26:D$295),NA())</f>
        <v/>
      </c>
    </row>
    <row r="89">
      <c r="A89" s="24">
        <f>Data!A67</f>
        <v/>
      </c>
      <c r="B89" s="9">
        <f>Data!B67</f>
        <v/>
      </c>
      <c r="C89" s="9">
        <f>IFERROR(TREND(Data!$B$4:$B$274,Data!$D$4:$I$274,Data!D67:I67),NA())</f>
        <v/>
      </c>
      <c r="D89" s="25">
        <f>IFERROR(B89-C89,NA())</f>
        <v/>
      </c>
      <c r="E89" s="20">
        <f>IFERROR(D89/STDEV.S(D$26:D$295),NA())</f>
        <v/>
      </c>
    </row>
    <row r="90">
      <c r="A90" s="24">
        <f>Data!A68</f>
        <v/>
      </c>
      <c r="B90" s="9">
        <f>Data!B68</f>
        <v/>
      </c>
      <c r="C90" s="9">
        <f>IFERROR(TREND(Data!$B$4:$B$274,Data!$D$4:$I$274,Data!D68:I68),NA())</f>
        <v/>
      </c>
      <c r="D90" s="25">
        <f>IFERROR(B90-C90,NA())</f>
        <v/>
      </c>
      <c r="E90" s="20">
        <f>IFERROR(D90/STDEV.S(D$26:D$295),NA())</f>
        <v/>
      </c>
    </row>
    <row r="91">
      <c r="A91" s="24">
        <f>Data!A69</f>
        <v/>
      </c>
      <c r="B91" s="9">
        <f>Data!B69</f>
        <v/>
      </c>
      <c r="C91" s="9">
        <f>IFERROR(TREND(Data!$B$4:$B$274,Data!$D$4:$I$274,Data!D69:I69),NA())</f>
        <v/>
      </c>
      <c r="D91" s="25">
        <f>IFERROR(B91-C91,NA())</f>
        <v/>
      </c>
      <c r="E91" s="20">
        <f>IFERROR(D91/STDEV.S(D$26:D$295),NA())</f>
        <v/>
      </c>
    </row>
    <row r="92">
      <c r="A92" s="24">
        <f>Data!A70</f>
        <v/>
      </c>
      <c r="B92" s="9">
        <f>Data!B70</f>
        <v/>
      </c>
      <c r="C92" s="9">
        <f>IFERROR(TREND(Data!$B$4:$B$274,Data!$D$4:$I$274,Data!D70:I70),NA())</f>
        <v/>
      </c>
      <c r="D92" s="25">
        <f>IFERROR(B92-C92,NA())</f>
        <v/>
      </c>
      <c r="E92" s="20">
        <f>IFERROR(D92/STDEV.S(D$26:D$295),NA())</f>
        <v/>
      </c>
    </row>
    <row r="93">
      <c r="A93" s="24">
        <f>Data!A71</f>
        <v/>
      </c>
      <c r="B93" s="9">
        <f>Data!B71</f>
        <v/>
      </c>
      <c r="C93" s="9">
        <f>IFERROR(TREND(Data!$B$4:$B$274,Data!$D$4:$I$274,Data!D71:I71),NA())</f>
        <v/>
      </c>
      <c r="D93" s="25">
        <f>IFERROR(B93-C93,NA())</f>
        <v/>
      </c>
      <c r="E93" s="20">
        <f>IFERROR(D93/STDEV.S(D$26:D$295),NA())</f>
        <v/>
      </c>
    </row>
    <row r="94">
      <c r="A94" s="24">
        <f>Data!A72</f>
        <v/>
      </c>
      <c r="B94" s="9">
        <f>Data!B72</f>
        <v/>
      </c>
      <c r="C94" s="9">
        <f>IFERROR(TREND(Data!$B$4:$B$274,Data!$D$4:$I$274,Data!D72:I72),NA())</f>
        <v/>
      </c>
      <c r="D94" s="25">
        <f>IFERROR(B94-C94,NA())</f>
        <v/>
      </c>
      <c r="E94" s="20">
        <f>IFERROR(D94/STDEV.S(D$26:D$295),NA())</f>
        <v/>
      </c>
    </row>
    <row r="95">
      <c r="A95" s="24">
        <f>Data!A73</f>
        <v/>
      </c>
      <c r="B95" s="9">
        <f>Data!B73</f>
        <v/>
      </c>
      <c r="C95" s="9">
        <f>IFERROR(TREND(Data!$B$4:$B$274,Data!$D$4:$I$274,Data!D73:I73),NA())</f>
        <v/>
      </c>
      <c r="D95" s="25">
        <f>IFERROR(B95-C95,NA())</f>
        <v/>
      </c>
      <c r="E95" s="20">
        <f>IFERROR(D95/STDEV.S(D$26:D$295),NA())</f>
        <v/>
      </c>
    </row>
    <row r="96">
      <c r="A96" s="24">
        <f>Data!A74</f>
        <v/>
      </c>
      <c r="B96" s="9">
        <f>Data!B74</f>
        <v/>
      </c>
      <c r="C96" s="9">
        <f>IFERROR(TREND(Data!$B$4:$B$274,Data!$D$4:$I$274,Data!D74:I74),NA())</f>
        <v/>
      </c>
      <c r="D96" s="25">
        <f>IFERROR(B96-C96,NA())</f>
        <v/>
      </c>
      <c r="E96" s="20">
        <f>IFERROR(D96/STDEV.S(D$26:D$295),NA())</f>
        <v/>
      </c>
    </row>
    <row r="97">
      <c r="A97" s="24">
        <f>Data!A75</f>
        <v/>
      </c>
      <c r="B97" s="9">
        <f>Data!B75</f>
        <v/>
      </c>
      <c r="C97" s="9">
        <f>IFERROR(TREND(Data!$B$4:$B$274,Data!$D$4:$I$274,Data!D75:I75),NA())</f>
        <v/>
      </c>
      <c r="D97" s="25">
        <f>IFERROR(B97-C97,NA())</f>
        <v/>
      </c>
      <c r="E97" s="20">
        <f>IFERROR(D97/STDEV.S(D$26:D$295),NA())</f>
        <v/>
      </c>
    </row>
    <row r="98">
      <c r="A98" s="24">
        <f>Data!A76</f>
        <v/>
      </c>
      <c r="B98" s="9">
        <f>Data!B76</f>
        <v/>
      </c>
      <c r="C98" s="9">
        <f>IFERROR(TREND(Data!$B$4:$B$274,Data!$D$4:$I$274,Data!D76:I76),NA())</f>
        <v/>
      </c>
      <c r="D98" s="25">
        <f>IFERROR(B98-C98,NA())</f>
        <v/>
      </c>
      <c r="E98" s="20">
        <f>IFERROR(D98/STDEV.S(D$26:D$295),NA())</f>
        <v/>
      </c>
    </row>
    <row r="99">
      <c r="A99" s="24">
        <f>Data!A77</f>
        <v/>
      </c>
      <c r="B99" s="9">
        <f>Data!B77</f>
        <v/>
      </c>
      <c r="C99" s="9">
        <f>IFERROR(TREND(Data!$B$4:$B$274,Data!$D$4:$I$274,Data!D77:I77),NA())</f>
        <v/>
      </c>
      <c r="D99" s="25">
        <f>IFERROR(B99-C99,NA())</f>
        <v/>
      </c>
      <c r="E99" s="20">
        <f>IFERROR(D99/STDEV.S(D$26:D$295),NA())</f>
        <v/>
      </c>
    </row>
    <row r="100">
      <c r="A100" s="24">
        <f>Data!A78</f>
        <v/>
      </c>
      <c r="B100" s="9">
        <f>Data!B78</f>
        <v/>
      </c>
      <c r="C100" s="9">
        <f>IFERROR(TREND(Data!$B$4:$B$274,Data!$D$4:$I$274,Data!D78:I78),NA())</f>
        <v/>
      </c>
      <c r="D100" s="25">
        <f>IFERROR(B100-C100,NA())</f>
        <v/>
      </c>
      <c r="E100" s="20">
        <f>IFERROR(D100/STDEV.S(D$26:D$295),NA())</f>
        <v/>
      </c>
    </row>
    <row r="101">
      <c r="A101" s="24">
        <f>Data!A79</f>
        <v/>
      </c>
      <c r="B101" s="9">
        <f>Data!B79</f>
        <v/>
      </c>
      <c r="C101" s="9">
        <f>IFERROR(TREND(Data!$B$4:$B$274,Data!$D$4:$I$274,Data!D79:I79),NA())</f>
        <v/>
      </c>
      <c r="D101" s="25">
        <f>IFERROR(B101-C101,NA())</f>
        <v/>
      </c>
      <c r="E101" s="20">
        <f>IFERROR(D101/STDEV.S(D$26:D$295),NA())</f>
        <v/>
      </c>
    </row>
    <row r="102">
      <c r="A102" s="24">
        <f>Data!A80</f>
        <v/>
      </c>
      <c r="B102" s="9">
        <f>Data!B80</f>
        <v/>
      </c>
      <c r="C102" s="9">
        <f>IFERROR(TREND(Data!$B$4:$B$274,Data!$D$4:$I$274,Data!D80:I80),NA())</f>
        <v/>
      </c>
      <c r="D102" s="25">
        <f>IFERROR(B102-C102,NA())</f>
        <v/>
      </c>
      <c r="E102" s="20">
        <f>IFERROR(D102/STDEV.S(D$26:D$295),NA())</f>
        <v/>
      </c>
    </row>
    <row r="103">
      <c r="A103" s="24">
        <f>Data!A81</f>
        <v/>
      </c>
      <c r="B103" s="9">
        <f>Data!B81</f>
        <v/>
      </c>
      <c r="C103" s="9">
        <f>IFERROR(TREND(Data!$B$4:$B$274,Data!$D$4:$I$274,Data!D81:I81),NA())</f>
        <v/>
      </c>
      <c r="D103" s="25">
        <f>IFERROR(B103-C103,NA())</f>
        <v/>
      </c>
      <c r="E103" s="20">
        <f>IFERROR(D103/STDEV.S(D$26:D$295),NA())</f>
        <v/>
      </c>
    </row>
    <row r="104">
      <c r="A104" s="24">
        <f>Data!A82</f>
        <v/>
      </c>
      <c r="B104" s="9">
        <f>Data!B82</f>
        <v/>
      </c>
      <c r="C104" s="9">
        <f>IFERROR(TREND(Data!$B$4:$B$274,Data!$D$4:$I$274,Data!D82:I82),NA())</f>
        <v/>
      </c>
      <c r="D104" s="25">
        <f>IFERROR(B104-C104,NA())</f>
        <v/>
      </c>
      <c r="E104" s="20">
        <f>IFERROR(D104/STDEV.S(D$26:D$295),NA())</f>
        <v/>
      </c>
    </row>
    <row r="105">
      <c r="A105" s="24">
        <f>Data!A83</f>
        <v/>
      </c>
      <c r="B105" s="9">
        <f>Data!B83</f>
        <v/>
      </c>
      <c r="C105" s="9">
        <f>IFERROR(TREND(Data!$B$4:$B$274,Data!$D$4:$I$274,Data!D83:I83),NA())</f>
        <v/>
      </c>
      <c r="D105" s="25">
        <f>IFERROR(B105-C105,NA())</f>
        <v/>
      </c>
      <c r="E105" s="20">
        <f>IFERROR(D105/STDEV.S(D$26:D$295),NA())</f>
        <v/>
      </c>
    </row>
    <row r="106">
      <c r="A106" s="24">
        <f>Data!A84</f>
        <v/>
      </c>
      <c r="B106" s="9">
        <f>Data!B84</f>
        <v/>
      </c>
      <c r="C106" s="9">
        <f>IFERROR(TREND(Data!$B$4:$B$274,Data!$D$4:$I$274,Data!D84:I84),NA())</f>
        <v/>
      </c>
      <c r="D106" s="25">
        <f>IFERROR(B106-C106,NA())</f>
        <v/>
      </c>
      <c r="E106" s="20">
        <f>IFERROR(D106/STDEV.S(D$26:D$295),NA())</f>
        <v/>
      </c>
    </row>
    <row r="107">
      <c r="A107" s="24">
        <f>Data!A85</f>
        <v/>
      </c>
      <c r="B107" s="9">
        <f>Data!B85</f>
        <v/>
      </c>
      <c r="C107" s="9">
        <f>IFERROR(TREND(Data!$B$4:$B$274,Data!$D$4:$I$274,Data!D85:I85),NA())</f>
        <v/>
      </c>
      <c r="D107" s="25">
        <f>IFERROR(B107-C107,NA())</f>
        <v/>
      </c>
      <c r="E107" s="20">
        <f>IFERROR(D107/STDEV.S(D$26:D$295),NA())</f>
        <v/>
      </c>
    </row>
    <row r="108">
      <c r="A108" s="24">
        <f>Data!A86</f>
        <v/>
      </c>
      <c r="B108" s="9">
        <f>Data!B86</f>
        <v/>
      </c>
      <c r="C108" s="9">
        <f>IFERROR(TREND(Data!$B$4:$B$274,Data!$D$4:$I$274,Data!D86:I86),NA())</f>
        <v/>
      </c>
      <c r="D108" s="25">
        <f>IFERROR(B108-C108,NA())</f>
        <v/>
      </c>
      <c r="E108" s="20">
        <f>IFERROR(D108/STDEV.S(D$26:D$295),NA())</f>
        <v/>
      </c>
    </row>
    <row r="109">
      <c r="A109" s="24">
        <f>Data!A87</f>
        <v/>
      </c>
      <c r="B109" s="9">
        <f>Data!B87</f>
        <v/>
      </c>
      <c r="C109" s="9">
        <f>IFERROR(TREND(Data!$B$4:$B$274,Data!$D$4:$I$274,Data!D87:I87),NA())</f>
        <v/>
      </c>
      <c r="D109" s="25">
        <f>IFERROR(B109-C109,NA())</f>
        <v/>
      </c>
      <c r="E109" s="20">
        <f>IFERROR(D109/STDEV.S(D$26:D$295),NA())</f>
        <v/>
      </c>
    </row>
    <row r="110">
      <c r="A110" s="24">
        <f>Data!A88</f>
        <v/>
      </c>
      <c r="B110" s="9">
        <f>Data!B88</f>
        <v/>
      </c>
      <c r="C110" s="9">
        <f>IFERROR(TREND(Data!$B$4:$B$274,Data!$D$4:$I$274,Data!D88:I88),NA())</f>
        <v/>
      </c>
      <c r="D110" s="25">
        <f>IFERROR(B110-C110,NA())</f>
        <v/>
      </c>
      <c r="E110" s="20">
        <f>IFERROR(D110/STDEV.S(D$26:D$295),NA())</f>
        <v/>
      </c>
    </row>
    <row r="111">
      <c r="A111" s="24">
        <f>Data!A89</f>
        <v/>
      </c>
      <c r="B111" s="9">
        <f>Data!B89</f>
        <v/>
      </c>
      <c r="C111" s="9">
        <f>IFERROR(TREND(Data!$B$4:$B$274,Data!$D$4:$I$274,Data!D89:I89),NA())</f>
        <v/>
      </c>
      <c r="D111" s="25">
        <f>IFERROR(B111-C111,NA())</f>
        <v/>
      </c>
      <c r="E111" s="20">
        <f>IFERROR(D111/STDEV.S(D$26:D$295),NA())</f>
        <v/>
      </c>
    </row>
    <row r="112">
      <c r="A112" s="24">
        <f>Data!A90</f>
        <v/>
      </c>
      <c r="B112" s="9">
        <f>Data!B90</f>
        <v/>
      </c>
      <c r="C112" s="9">
        <f>IFERROR(TREND(Data!$B$4:$B$274,Data!$D$4:$I$274,Data!D90:I90),NA())</f>
        <v/>
      </c>
      <c r="D112" s="25">
        <f>IFERROR(B112-C112,NA())</f>
        <v/>
      </c>
      <c r="E112" s="20">
        <f>IFERROR(D112/STDEV.S(D$26:D$295),NA())</f>
        <v/>
      </c>
    </row>
    <row r="113">
      <c r="A113" s="24">
        <f>Data!A91</f>
        <v/>
      </c>
      <c r="B113" s="9">
        <f>Data!B91</f>
        <v/>
      </c>
      <c r="C113" s="9">
        <f>IFERROR(TREND(Data!$B$4:$B$274,Data!$D$4:$I$274,Data!D91:I91),NA())</f>
        <v/>
      </c>
      <c r="D113" s="25">
        <f>IFERROR(B113-C113,NA())</f>
        <v/>
      </c>
      <c r="E113" s="20">
        <f>IFERROR(D113/STDEV.S(D$26:D$295),NA())</f>
        <v/>
      </c>
    </row>
    <row r="114">
      <c r="A114" s="24">
        <f>Data!A92</f>
        <v/>
      </c>
      <c r="B114" s="9">
        <f>Data!B92</f>
        <v/>
      </c>
      <c r="C114" s="9">
        <f>IFERROR(TREND(Data!$B$4:$B$274,Data!$D$4:$I$274,Data!D92:I92),NA())</f>
        <v/>
      </c>
      <c r="D114" s="25">
        <f>IFERROR(B114-C114,NA())</f>
        <v/>
      </c>
      <c r="E114" s="20">
        <f>IFERROR(D114/STDEV.S(D$26:D$295),NA())</f>
        <v/>
      </c>
    </row>
    <row r="115">
      <c r="A115" s="24">
        <f>Data!A93</f>
        <v/>
      </c>
      <c r="B115" s="9">
        <f>Data!B93</f>
        <v/>
      </c>
      <c r="C115" s="9">
        <f>IFERROR(TREND(Data!$B$4:$B$274,Data!$D$4:$I$274,Data!D93:I93),NA())</f>
        <v/>
      </c>
      <c r="D115" s="25">
        <f>IFERROR(B115-C115,NA())</f>
        <v/>
      </c>
      <c r="E115" s="20">
        <f>IFERROR(D115/STDEV.S(D$26:D$295),NA())</f>
        <v/>
      </c>
    </row>
    <row r="116">
      <c r="A116" s="24">
        <f>Data!A94</f>
        <v/>
      </c>
      <c r="B116" s="9">
        <f>Data!B94</f>
        <v/>
      </c>
      <c r="C116" s="9">
        <f>IFERROR(TREND(Data!$B$4:$B$274,Data!$D$4:$I$274,Data!D94:I94),NA())</f>
        <v/>
      </c>
      <c r="D116" s="25">
        <f>IFERROR(B116-C116,NA())</f>
        <v/>
      </c>
      <c r="E116" s="20">
        <f>IFERROR(D116/STDEV.S(D$26:D$295),NA())</f>
        <v/>
      </c>
    </row>
    <row r="117">
      <c r="A117" s="24">
        <f>Data!A95</f>
        <v/>
      </c>
      <c r="B117" s="9">
        <f>Data!B95</f>
        <v/>
      </c>
      <c r="C117" s="9">
        <f>IFERROR(TREND(Data!$B$4:$B$274,Data!$D$4:$I$274,Data!D95:I95),NA())</f>
        <v/>
      </c>
      <c r="D117" s="25">
        <f>IFERROR(B117-C117,NA())</f>
        <v/>
      </c>
      <c r="E117" s="20">
        <f>IFERROR(D117/STDEV.S(D$26:D$295),NA())</f>
        <v/>
      </c>
    </row>
    <row r="118">
      <c r="A118" s="24">
        <f>Data!A96</f>
        <v/>
      </c>
      <c r="B118" s="9">
        <f>Data!B96</f>
        <v/>
      </c>
      <c r="C118" s="9">
        <f>IFERROR(TREND(Data!$B$4:$B$274,Data!$D$4:$I$274,Data!D96:I96),NA())</f>
        <v/>
      </c>
      <c r="D118" s="25">
        <f>IFERROR(B118-C118,NA())</f>
        <v/>
      </c>
      <c r="E118" s="20">
        <f>IFERROR(D118/STDEV.S(D$26:D$295),NA())</f>
        <v/>
      </c>
    </row>
    <row r="119">
      <c r="A119" s="24">
        <f>Data!A97</f>
        <v/>
      </c>
      <c r="B119" s="9">
        <f>Data!B97</f>
        <v/>
      </c>
      <c r="C119" s="9">
        <f>IFERROR(TREND(Data!$B$4:$B$274,Data!$D$4:$I$274,Data!D97:I97),NA())</f>
        <v/>
      </c>
      <c r="D119" s="25">
        <f>IFERROR(B119-C119,NA())</f>
        <v/>
      </c>
      <c r="E119" s="20">
        <f>IFERROR(D119/STDEV.S(D$26:D$295),NA())</f>
        <v/>
      </c>
    </row>
    <row r="120">
      <c r="A120" s="24">
        <f>Data!A98</f>
        <v/>
      </c>
      <c r="B120" s="9">
        <f>Data!B98</f>
        <v/>
      </c>
      <c r="C120" s="9">
        <f>IFERROR(TREND(Data!$B$4:$B$274,Data!$D$4:$I$274,Data!D98:I98),NA())</f>
        <v/>
      </c>
      <c r="D120" s="25">
        <f>IFERROR(B120-C120,NA())</f>
        <v/>
      </c>
      <c r="E120" s="20">
        <f>IFERROR(D120/STDEV.S(D$26:D$295),NA())</f>
        <v/>
      </c>
    </row>
    <row r="121">
      <c r="A121" s="24">
        <f>Data!A99</f>
        <v/>
      </c>
      <c r="B121" s="9">
        <f>Data!B99</f>
        <v/>
      </c>
      <c r="C121" s="9">
        <f>IFERROR(TREND(Data!$B$4:$B$274,Data!$D$4:$I$274,Data!D99:I99),NA())</f>
        <v/>
      </c>
      <c r="D121" s="25">
        <f>IFERROR(B121-C121,NA())</f>
        <v/>
      </c>
      <c r="E121" s="20">
        <f>IFERROR(D121/STDEV.S(D$26:D$295),NA())</f>
        <v/>
      </c>
    </row>
    <row r="122">
      <c r="A122" s="24">
        <f>Data!A100</f>
        <v/>
      </c>
      <c r="B122" s="9">
        <f>Data!B100</f>
        <v/>
      </c>
      <c r="C122" s="9">
        <f>IFERROR(TREND(Data!$B$4:$B$274,Data!$D$4:$I$274,Data!D100:I100),NA())</f>
        <v/>
      </c>
      <c r="D122" s="25">
        <f>IFERROR(B122-C122,NA())</f>
        <v/>
      </c>
      <c r="E122" s="20">
        <f>IFERROR(D122/STDEV.S(D$26:D$295),NA())</f>
        <v/>
      </c>
    </row>
    <row r="123">
      <c r="A123" s="24">
        <f>Data!A101</f>
        <v/>
      </c>
      <c r="B123" s="9">
        <f>Data!B101</f>
        <v/>
      </c>
      <c r="C123" s="9">
        <f>IFERROR(TREND(Data!$B$4:$B$274,Data!$D$4:$I$274,Data!D101:I101),NA())</f>
        <v/>
      </c>
      <c r="D123" s="25">
        <f>IFERROR(B123-C123,NA())</f>
        <v/>
      </c>
      <c r="E123" s="20">
        <f>IFERROR(D123/STDEV.S(D$26:D$295),NA())</f>
        <v/>
      </c>
    </row>
    <row r="124">
      <c r="A124" s="24">
        <f>Data!A102</f>
        <v/>
      </c>
      <c r="B124" s="9">
        <f>Data!B102</f>
        <v/>
      </c>
      <c r="C124" s="9">
        <f>IFERROR(TREND(Data!$B$4:$B$274,Data!$D$4:$I$274,Data!D102:I102),NA())</f>
        <v/>
      </c>
      <c r="D124" s="25">
        <f>IFERROR(B124-C124,NA())</f>
        <v/>
      </c>
      <c r="E124" s="20">
        <f>IFERROR(D124/STDEV.S(D$26:D$295),NA())</f>
        <v/>
      </c>
    </row>
    <row r="125">
      <c r="A125" s="24">
        <f>Data!A103</f>
        <v/>
      </c>
      <c r="B125" s="9">
        <f>Data!B103</f>
        <v/>
      </c>
      <c r="C125" s="9">
        <f>IFERROR(TREND(Data!$B$4:$B$274,Data!$D$4:$I$274,Data!D103:I103),NA())</f>
        <v/>
      </c>
      <c r="D125" s="25">
        <f>IFERROR(B125-C125,NA())</f>
        <v/>
      </c>
      <c r="E125" s="20">
        <f>IFERROR(D125/STDEV.S(D$26:D$295),NA())</f>
        <v/>
      </c>
    </row>
    <row r="126">
      <c r="A126" s="24">
        <f>Data!A104</f>
        <v/>
      </c>
      <c r="B126" s="9">
        <f>Data!B104</f>
        <v/>
      </c>
      <c r="C126" s="9">
        <f>IFERROR(TREND(Data!$B$4:$B$274,Data!$D$4:$I$274,Data!D104:I104),NA())</f>
        <v/>
      </c>
      <c r="D126" s="25">
        <f>IFERROR(B126-C126,NA())</f>
        <v/>
      </c>
      <c r="E126" s="20">
        <f>IFERROR(D126/STDEV.S(D$26:D$295),NA())</f>
        <v/>
      </c>
    </row>
    <row r="127">
      <c r="A127" s="24">
        <f>Data!A105</f>
        <v/>
      </c>
      <c r="B127" s="9">
        <f>Data!B105</f>
        <v/>
      </c>
      <c r="C127" s="9">
        <f>IFERROR(TREND(Data!$B$4:$B$274,Data!$D$4:$I$274,Data!D105:I105),NA())</f>
        <v/>
      </c>
      <c r="D127" s="25">
        <f>IFERROR(B127-C127,NA())</f>
        <v/>
      </c>
      <c r="E127" s="20">
        <f>IFERROR(D127/STDEV.S(D$26:D$295),NA())</f>
        <v/>
      </c>
    </row>
    <row r="128">
      <c r="A128" s="24">
        <f>Data!A106</f>
        <v/>
      </c>
      <c r="B128" s="9">
        <f>Data!B106</f>
        <v/>
      </c>
      <c r="C128" s="9">
        <f>IFERROR(TREND(Data!$B$4:$B$274,Data!$D$4:$I$274,Data!D106:I106),NA())</f>
        <v/>
      </c>
      <c r="D128" s="25">
        <f>IFERROR(B128-C128,NA())</f>
        <v/>
      </c>
      <c r="E128" s="20">
        <f>IFERROR(D128/STDEV.S(D$26:D$295),NA())</f>
        <v/>
      </c>
    </row>
    <row r="129">
      <c r="A129" s="24">
        <f>Data!A107</f>
        <v/>
      </c>
      <c r="B129" s="9">
        <f>Data!B107</f>
        <v/>
      </c>
      <c r="C129" s="9">
        <f>IFERROR(TREND(Data!$B$4:$B$274,Data!$D$4:$I$274,Data!D107:I107),NA())</f>
        <v/>
      </c>
      <c r="D129" s="25">
        <f>IFERROR(B129-C129,NA())</f>
        <v/>
      </c>
      <c r="E129" s="20">
        <f>IFERROR(D129/STDEV.S(D$26:D$295),NA())</f>
        <v/>
      </c>
    </row>
    <row r="130">
      <c r="A130" s="24">
        <f>Data!A108</f>
        <v/>
      </c>
      <c r="B130" s="9">
        <f>Data!B108</f>
        <v/>
      </c>
      <c r="C130" s="9">
        <f>IFERROR(TREND(Data!$B$4:$B$274,Data!$D$4:$I$274,Data!D108:I108),NA())</f>
        <v/>
      </c>
      <c r="D130" s="25">
        <f>IFERROR(B130-C130,NA())</f>
        <v/>
      </c>
      <c r="E130" s="20">
        <f>IFERROR(D130/STDEV.S(D$26:D$295),NA())</f>
        <v/>
      </c>
    </row>
    <row r="131">
      <c r="A131" s="24">
        <f>Data!A109</f>
        <v/>
      </c>
      <c r="B131" s="9">
        <f>Data!B109</f>
        <v/>
      </c>
      <c r="C131" s="9">
        <f>IFERROR(TREND(Data!$B$4:$B$274,Data!$D$4:$I$274,Data!D109:I109),NA())</f>
        <v/>
      </c>
      <c r="D131" s="25">
        <f>IFERROR(B131-C131,NA())</f>
        <v/>
      </c>
      <c r="E131" s="20">
        <f>IFERROR(D131/STDEV.S(D$26:D$295),NA())</f>
        <v/>
      </c>
    </row>
    <row r="132">
      <c r="A132" s="24">
        <f>Data!A110</f>
        <v/>
      </c>
      <c r="B132" s="9">
        <f>Data!B110</f>
        <v/>
      </c>
      <c r="C132" s="9">
        <f>IFERROR(TREND(Data!$B$4:$B$274,Data!$D$4:$I$274,Data!D110:I110),NA())</f>
        <v/>
      </c>
      <c r="D132" s="25">
        <f>IFERROR(B132-C132,NA())</f>
        <v/>
      </c>
      <c r="E132" s="20">
        <f>IFERROR(D132/STDEV.S(D$26:D$295),NA())</f>
        <v/>
      </c>
    </row>
    <row r="133">
      <c r="A133" s="24">
        <f>Data!A111</f>
        <v/>
      </c>
      <c r="B133" s="9">
        <f>Data!B111</f>
        <v/>
      </c>
      <c r="C133" s="9">
        <f>IFERROR(TREND(Data!$B$4:$B$274,Data!$D$4:$I$274,Data!D111:I111),NA())</f>
        <v/>
      </c>
      <c r="D133" s="25">
        <f>IFERROR(B133-C133,NA())</f>
        <v/>
      </c>
      <c r="E133" s="20">
        <f>IFERROR(D133/STDEV.S(D$26:D$295),NA())</f>
        <v/>
      </c>
    </row>
    <row r="134">
      <c r="A134" s="24">
        <f>Data!A112</f>
        <v/>
      </c>
      <c r="B134" s="9">
        <f>Data!B112</f>
        <v/>
      </c>
      <c r="C134" s="9">
        <f>IFERROR(TREND(Data!$B$4:$B$274,Data!$D$4:$I$274,Data!D112:I112),NA())</f>
        <v/>
      </c>
      <c r="D134" s="25">
        <f>IFERROR(B134-C134,NA())</f>
        <v/>
      </c>
      <c r="E134" s="20">
        <f>IFERROR(D134/STDEV.S(D$26:D$295),NA())</f>
        <v/>
      </c>
    </row>
    <row r="135">
      <c r="A135" s="24">
        <f>Data!A113</f>
        <v/>
      </c>
      <c r="B135" s="9">
        <f>Data!B113</f>
        <v/>
      </c>
      <c r="C135" s="9">
        <f>IFERROR(TREND(Data!$B$4:$B$274,Data!$D$4:$I$274,Data!D113:I113),NA())</f>
        <v/>
      </c>
      <c r="D135" s="25">
        <f>IFERROR(B135-C135,NA())</f>
        <v/>
      </c>
      <c r="E135" s="20">
        <f>IFERROR(D135/STDEV.S(D$26:D$295),NA())</f>
        <v/>
      </c>
    </row>
    <row r="136">
      <c r="A136" s="24">
        <f>Data!A114</f>
        <v/>
      </c>
      <c r="B136" s="9">
        <f>Data!B114</f>
        <v/>
      </c>
      <c r="C136" s="9">
        <f>IFERROR(TREND(Data!$B$4:$B$274,Data!$D$4:$I$274,Data!D114:I114),NA())</f>
        <v/>
      </c>
      <c r="D136" s="25">
        <f>IFERROR(B136-C136,NA())</f>
        <v/>
      </c>
      <c r="E136" s="20">
        <f>IFERROR(D136/STDEV.S(D$26:D$295),NA())</f>
        <v/>
      </c>
    </row>
    <row r="137">
      <c r="A137" s="24">
        <f>Data!A115</f>
        <v/>
      </c>
      <c r="B137" s="9">
        <f>Data!B115</f>
        <v/>
      </c>
      <c r="C137" s="9">
        <f>IFERROR(TREND(Data!$B$4:$B$274,Data!$D$4:$I$274,Data!D115:I115),NA())</f>
        <v/>
      </c>
      <c r="D137" s="25">
        <f>IFERROR(B137-C137,NA())</f>
        <v/>
      </c>
      <c r="E137" s="20">
        <f>IFERROR(D137/STDEV.S(D$26:D$295),NA())</f>
        <v/>
      </c>
    </row>
    <row r="138">
      <c r="A138" s="24">
        <f>Data!A116</f>
        <v/>
      </c>
      <c r="B138" s="9">
        <f>Data!B116</f>
        <v/>
      </c>
      <c r="C138" s="9">
        <f>IFERROR(TREND(Data!$B$4:$B$274,Data!$D$4:$I$274,Data!D116:I116),NA())</f>
        <v/>
      </c>
      <c r="D138" s="25">
        <f>IFERROR(B138-C138,NA())</f>
        <v/>
      </c>
      <c r="E138" s="20">
        <f>IFERROR(D138/STDEV.S(D$26:D$295),NA())</f>
        <v/>
      </c>
    </row>
    <row r="139">
      <c r="A139" s="24">
        <f>Data!A117</f>
        <v/>
      </c>
      <c r="B139" s="9">
        <f>Data!B117</f>
        <v/>
      </c>
      <c r="C139" s="9">
        <f>IFERROR(TREND(Data!$B$4:$B$274,Data!$D$4:$I$274,Data!D117:I117),NA())</f>
        <v/>
      </c>
      <c r="D139" s="25">
        <f>IFERROR(B139-C139,NA())</f>
        <v/>
      </c>
      <c r="E139" s="20">
        <f>IFERROR(D139/STDEV.S(D$26:D$295),NA())</f>
        <v/>
      </c>
    </row>
    <row r="140">
      <c r="A140" s="24">
        <f>Data!A118</f>
        <v/>
      </c>
      <c r="B140" s="9">
        <f>Data!B118</f>
        <v/>
      </c>
      <c r="C140" s="9">
        <f>IFERROR(TREND(Data!$B$4:$B$274,Data!$D$4:$I$274,Data!D118:I118),NA())</f>
        <v/>
      </c>
      <c r="D140" s="25">
        <f>IFERROR(B140-C140,NA())</f>
        <v/>
      </c>
      <c r="E140" s="20">
        <f>IFERROR(D140/STDEV.S(D$26:D$295),NA())</f>
        <v/>
      </c>
    </row>
    <row r="141">
      <c r="A141" s="24">
        <f>Data!A119</f>
        <v/>
      </c>
      <c r="B141" s="9">
        <f>Data!B119</f>
        <v/>
      </c>
      <c r="C141" s="9">
        <f>IFERROR(TREND(Data!$B$4:$B$274,Data!$D$4:$I$274,Data!D119:I119),NA())</f>
        <v/>
      </c>
      <c r="D141" s="25">
        <f>IFERROR(B141-C141,NA())</f>
        <v/>
      </c>
      <c r="E141" s="20">
        <f>IFERROR(D141/STDEV.S(D$26:D$295),NA())</f>
        <v/>
      </c>
    </row>
    <row r="142">
      <c r="A142" s="24">
        <f>Data!A120</f>
        <v/>
      </c>
      <c r="B142" s="9">
        <f>Data!B120</f>
        <v/>
      </c>
      <c r="C142" s="9">
        <f>IFERROR(TREND(Data!$B$4:$B$274,Data!$D$4:$I$274,Data!D120:I120),NA())</f>
        <v/>
      </c>
      <c r="D142" s="25">
        <f>IFERROR(B142-C142,NA())</f>
        <v/>
      </c>
      <c r="E142" s="20">
        <f>IFERROR(D142/STDEV.S(D$26:D$295),NA())</f>
        <v/>
      </c>
    </row>
    <row r="143">
      <c r="A143" s="24">
        <f>Data!A121</f>
        <v/>
      </c>
      <c r="B143" s="9">
        <f>Data!B121</f>
        <v/>
      </c>
      <c r="C143" s="9">
        <f>IFERROR(TREND(Data!$B$4:$B$274,Data!$D$4:$I$274,Data!D121:I121),NA())</f>
        <v/>
      </c>
      <c r="D143" s="25">
        <f>IFERROR(B143-C143,NA())</f>
        <v/>
      </c>
      <c r="E143" s="20">
        <f>IFERROR(D143/STDEV.S(D$26:D$295),NA())</f>
        <v/>
      </c>
    </row>
    <row r="144">
      <c r="A144" s="24">
        <f>Data!A122</f>
        <v/>
      </c>
      <c r="B144" s="9">
        <f>Data!B122</f>
        <v/>
      </c>
      <c r="C144" s="9">
        <f>IFERROR(TREND(Data!$B$4:$B$274,Data!$D$4:$I$274,Data!D122:I122),NA())</f>
        <v/>
      </c>
      <c r="D144" s="25">
        <f>IFERROR(B144-C144,NA())</f>
        <v/>
      </c>
      <c r="E144" s="20">
        <f>IFERROR(D144/STDEV.S(D$26:D$295),NA())</f>
        <v/>
      </c>
    </row>
    <row r="145">
      <c r="A145" s="24">
        <f>Data!A123</f>
        <v/>
      </c>
      <c r="B145" s="9">
        <f>Data!B123</f>
        <v/>
      </c>
      <c r="C145" s="9">
        <f>IFERROR(TREND(Data!$B$4:$B$274,Data!$D$4:$I$274,Data!D123:I123),NA())</f>
        <v/>
      </c>
      <c r="D145" s="25">
        <f>IFERROR(B145-C145,NA())</f>
        <v/>
      </c>
      <c r="E145" s="20">
        <f>IFERROR(D145/STDEV.S(D$26:D$295),NA())</f>
        <v/>
      </c>
    </row>
    <row r="146">
      <c r="A146" s="24">
        <f>Data!A124</f>
        <v/>
      </c>
      <c r="B146" s="9">
        <f>Data!B124</f>
        <v/>
      </c>
      <c r="C146" s="9">
        <f>IFERROR(TREND(Data!$B$4:$B$274,Data!$D$4:$I$274,Data!D124:I124),NA())</f>
        <v/>
      </c>
      <c r="D146" s="25">
        <f>IFERROR(B146-C146,NA())</f>
        <v/>
      </c>
      <c r="E146" s="20">
        <f>IFERROR(D146/STDEV.S(D$26:D$295),NA())</f>
        <v/>
      </c>
    </row>
    <row r="147">
      <c r="A147" s="24">
        <f>Data!A125</f>
        <v/>
      </c>
      <c r="B147" s="9">
        <f>Data!B125</f>
        <v/>
      </c>
      <c r="C147" s="9">
        <f>IFERROR(TREND(Data!$B$4:$B$274,Data!$D$4:$I$274,Data!D125:I125),NA())</f>
        <v/>
      </c>
      <c r="D147" s="25">
        <f>IFERROR(B147-C147,NA())</f>
        <v/>
      </c>
      <c r="E147" s="20">
        <f>IFERROR(D147/STDEV.S(D$26:D$295),NA())</f>
        <v/>
      </c>
    </row>
    <row r="148">
      <c r="A148" s="24">
        <f>Data!A126</f>
        <v/>
      </c>
      <c r="B148" s="9">
        <f>Data!B126</f>
        <v/>
      </c>
      <c r="C148" s="9">
        <f>IFERROR(TREND(Data!$B$4:$B$274,Data!$D$4:$I$274,Data!D126:I126),NA())</f>
        <v/>
      </c>
      <c r="D148" s="25">
        <f>IFERROR(B148-C148,NA())</f>
        <v/>
      </c>
      <c r="E148" s="20">
        <f>IFERROR(D148/STDEV.S(D$26:D$295),NA())</f>
        <v/>
      </c>
    </row>
    <row r="149">
      <c r="A149" s="24">
        <f>Data!A127</f>
        <v/>
      </c>
      <c r="B149" s="9">
        <f>Data!B127</f>
        <v/>
      </c>
      <c r="C149" s="9">
        <f>IFERROR(TREND(Data!$B$4:$B$274,Data!$D$4:$I$274,Data!D127:I127),NA())</f>
        <v/>
      </c>
      <c r="D149" s="25">
        <f>IFERROR(B149-C149,NA())</f>
        <v/>
      </c>
      <c r="E149" s="20">
        <f>IFERROR(D149/STDEV.S(D$26:D$295),NA())</f>
        <v/>
      </c>
    </row>
    <row r="150">
      <c r="A150" s="24">
        <f>Data!A128</f>
        <v/>
      </c>
      <c r="B150" s="9">
        <f>Data!B128</f>
        <v/>
      </c>
      <c r="C150" s="9">
        <f>IFERROR(TREND(Data!$B$4:$B$274,Data!$D$4:$I$274,Data!D128:I128),NA())</f>
        <v/>
      </c>
      <c r="D150" s="25">
        <f>IFERROR(B150-C150,NA())</f>
        <v/>
      </c>
      <c r="E150" s="20">
        <f>IFERROR(D150/STDEV.S(D$26:D$295),NA())</f>
        <v/>
      </c>
    </row>
    <row r="151">
      <c r="A151" s="24">
        <f>Data!A129</f>
        <v/>
      </c>
      <c r="B151" s="9">
        <f>Data!B129</f>
        <v/>
      </c>
      <c r="C151" s="9">
        <f>IFERROR(TREND(Data!$B$4:$B$274,Data!$D$4:$I$274,Data!D129:I129),NA())</f>
        <v/>
      </c>
      <c r="D151" s="25">
        <f>IFERROR(B151-C151,NA())</f>
        <v/>
      </c>
      <c r="E151" s="20">
        <f>IFERROR(D151/STDEV.S(D$26:D$295),NA())</f>
        <v/>
      </c>
    </row>
    <row r="152">
      <c r="A152" s="24">
        <f>Data!A130</f>
        <v/>
      </c>
      <c r="B152" s="9">
        <f>Data!B130</f>
        <v/>
      </c>
      <c r="C152" s="9">
        <f>IFERROR(TREND(Data!$B$4:$B$274,Data!$D$4:$I$274,Data!D130:I130),NA())</f>
        <v/>
      </c>
      <c r="D152" s="25">
        <f>IFERROR(B152-C152,NA())</f>
        <v/>
      </c>
      <c r="E152" s="20">
        <f>IFERROR(D152/STDEV.S(D$26:D$295),NA())</f>
        <v/>
      </c>
    </row>
    <row r="153">
      <c r="A153" s="24">
        <f>Data!A131</f>
        <v/>
      </c>
      <c r="B153" s="9">
        <f>Data!B131</f>
        <v/>
      </c>
      <c r="C153" s="9">
        <f>IFERROR(TREND(Data!$B$4:$B$274,Data!$D$4:$I$274,Data!D131:I131),NA())</f>
        <v/>
      </c>
      <c r="D153" s="25">
        <f>IFERROR(B153-C153,NA())</f>
        <v/>
      </c>
      <c r="E153" s="20">
        <f>IFERROR(D153/STDEV.S(D$26:D$295),NA())</f>
        <v/>
      </c>
    </row>
    <row r="154">
      <c r="A154" s="24">
        <f>Data!A132</f>
        <v/>
      </c>
      <c r="B154" s="9">
        <f>Data!B132</f>
        <v/>
      </c>
      <c r="C154" s="9">
        <f>IFERROR(TREND(Data!$B$4:$B$274,Data!$D$4:$I$274,Data!D132:I132),NA())</f>
        <v/>
      </c>
      <c r="D154" s="25">
        <f>IFERROR(B154-C154,NA())</f>
        <v/>
      </c>
      <c r="E154" s="20">
        <f>IFERROR(D154/STDEV.S(D$26:D$295),NA())</f>
        <v/>
      </c>
    </row>
    <row r="155">
      <c r="A155" s="24">
        <f>Data!A133</f>
        <v/>
      </c>
      <c r="B155" s="9">
        <f>Data!B133</f>
        <v/>
      </c>
      <c r="C155" s="9">
        <f>IFERROR(TREND(Data!$B$4:$B$274,Data!$D$4:$I$274,Data!D133:I133),NA())</f>
        <v/>
      </c>
      <c r="D155" s="25">
        <f>IFERROR(B155-C155,NA())</f>
        <v/>
      </c>
      <c r="E155" s="20">
        <f>IFERROR(D155/STDEV.S(D$26:D$295),NA())</f>
        <v/>
      </c>
    </row>
    <row r="156">
      <c r="A156" s="24">
        <f>Data!A134</f>
        <v/>
      </c>
      <c r="B156" s="9">
        <f>Data!B134</f>
        <v/>
      </c>
      <c r="C156" s="9">
        <f>IFERROR(TREND(Data!$B$4:$B$274,Data!$D$4:$I$274,Data!D134:I134),NA())</f>
        <v/>
      </c>
      <c r="D156" s="25">
        <f>IFERROR(B156-C156,NA())</f>
        <v/>
      </c>
      <c r="E156" s="20">
        <f>IFERROR(D156/STDEV.S(D$26:D$295),NA())</f>
        <v/>
      </c>
    </row>
    <row r="157">
      <c r="A157" s="24">
        <f>Data!A135</f>
        <v/>
      </c>
      <c r="B157" s="9">
        <f>Data!B135</f>
        <v/>
      </c>
      <c r="C157" s="9">
        <f>IFERROR(TREND(Data!$B$4:$B$274,Data!$D$4:$I$274,Data!D135:I135),NA())</f>
        <v/>
      </c>
      <c r="D157" s="25">
        <f>IFERROR(B157-C157,NA())</f>
        <v/>
      </c>
      <c r="E157" s="20">
        <f>IFERROR(D157/STDEV.S(D$26:D$295),NA())</f>
        <v/>
      </c>
    </row>
    <row r="158">
      <c r="A158" s="24">
        <f>Data!A136</f>
        <v/>
      </c>
      <c r="B158" s="9">
        <f>Data!B136</f>
        <v/>
      </c>
      <c r="C158" s="9">
        <f>IFERROR(TREND(Data!$B$4:$B$274,Data!$D$4:$I$274,Data!D136:I136),NA())</f>
        <v/>
      </c>
      <c r="D158" s="25">
        <f>IFERROR(B158-C158,NA())</f>
        <v/>
      </c>
      <c r="E158" s="20">
        <f>IFERROR(D158/STDEV.S(D$26:D$295),NA())</f>
        <v/>
      </c>
    </row>
    <row r="159">
      <c r="A159" s="24">
        <f>Data!A137</f>
        <v/>
      </c>
      <c r="B159" s="9">
        <f>Data!B137</f>
        <v/>
      </c>
      <c r="C159" s="9">
        <f>IFERROR(TREND(Data!$B$4:$B$274,Data!$D$4:$I$274,Data!D137:I137),NA())</f>
        <v/>
      </c>
      <c r="D159" s="25">
        <f>IFERROR(B159-C159,NA())</f>
        <v/>
      </c>
      <c r="E159" s="20">
        <f>IFERROR(D159/STDEV.S(D$26:D$295),NA())</f>
        <v/>
      </c>
    </row>
    <row r="160">
      <c r="A160" s="24">
        <f>Data!A138</f>
        <v/>
      </c>
      <c r="B160" s="9">
        <f>Data!B138</f>
        <v/>
      </c>
      <c r="C160" s="9">
        <f>IFERROR(TREND(Data!$B$4:$B$274,Data!$D$4:$I$274,Data!D138:I138),NA())</f>
        <v/>
      </c>
      <c r="D160" s="25">
        <f>IFERROR(B160-C160,NA())</f>
        <v/>
      </c>
      <c r="E160" s="20">
        <f>IFERROR(D160/STDEV.S(D$26:D$295),NA())</f>
        <v/>
      </c>
    </row>
    <row r="161">
      <c r="A161" s="24">
        <f>Data!A139</f>
        <v/>
      </c>
      <c r="B161" s="9">
        <f>Data!B139</f>
        <v/>
      </c>
      <c r="C161" s="9">
        <f>IFERROR(TREND(Data!$B$4:$B$274,Data!$D$4:$I$274,Data!D139:I139),NA())</f>
        <v/>
      </c>
      <c r="D161" s="25">
        <f>IFERROR(B161-C161,NA())</f>
        <v/>
      </c>
      <c r="E161" s="20">
        <f>IFERROR(D161/STDEV.S(D$26:D$295),NA())</f>
        <v/>
      </c>
    </row>
    <row r="162">
      <c r="A162" s="24">
        <f>Data!A140</f>
        <v/>
      </c>
      <c r="B162" s="9">
        <f>Data!B140</f>
        <v/>
      </c>
      <c r="C162" s="9">
        <f>IFERROR(TREND(Data!$B$4:$B$274,Data!$D$4:$I$274,Data!D140:I140),NA())</f>
        <v/>
      </c>
      <c r="D162" s="25">
        <f>IFERROR(B162-C162,NA())</f>
        <v/>
      </c>
      <c r="E162" s="20">
        <f>IFERROR(D162/STDEV.S(D$26:D$295),NA())</f>
        <v/>
      </c>
    </row>
    <row r="163">
      <c r="A163" s="24">
        <f>Data!A141</f>
        <v/>
      </c>
      <c r="B163" s="9">
        <f>Data!B141</f>
        <v/>
      </c>
      <c r="C163" s="9">
        <f>IFERROR(TREND(Data!$B$4:$B$274,Data!$D$4:$I$274,Data!D141:I141),NA())</f>
        <v/>
      </c>
      <c r="D163" s="25">
        <f>IFERROR(B163-C163,NA())</f>
        <v/>
      </c>
      <c r="E163" s="20">
        <f>IFERROR(D163/STDEV.S(D$26:D$295),NA())</f>
        <v/>
      </c>
    </row>
    <row r="164">
      <c r="A164" s="24">
        <f>Data!A142</f>
        <v/>
      </c>
      <c r="B164" s="9">
        <f>Data!B142</f>
        <v/>
      </c>
      <c r="C164" s="9">
        <f>IFERROR(TREND(Data!$B$4:$B$274,Data!$D$4:$I$274,Data!D142:I142),NA())</f>
        <v/>
      </c>
      <c r="D164" s="25">
        <f>IFERROR(B164-C164,NA())</f>
        <v/>
      </c>
      <c r="E164" s="20">
        <f>IFERROR(D164/STDEV.S(D$26:D$295),NA())</f>
        <v/>
      </c>
    </row>
    <row r="165">
      <c r="A165" s="24">
        <f>Data!A143</f>
        <v/>
      </c>
      <c r="B165" s="9">
        <f>Data!B143</f>
        <v/>
      </c>
      <c r="C165" s="9">
        <f>IFERROR(TREND(Data!$B$4:$B$274,Data!$D$4:$I$274,Data!D143:I143),NA())</f>
        <v/>
      </c>
      <c r="D165" s="25">
        <f>IFERROR(B165-C165,NA())</f>
        <v/>
      </c>
      <c r="E165" s="20">
        <f>IFERROR(D165/STDEV.S(D$26:D$295),NA())</f>
        <v/>
      </c>
    </row>
    <row r="166">
      <c r="A166" s="24">
        <f>Data!A144</f>
        <v/>
      </c>
      <c r="B166" s="9">
        <f>Data!B144</f>
        <v/>
      </c>
      <c r="C166" s="9">
        <f>IFERROR(TREND(Data!$B$4:$B$274,Data!$D$4:$I$274,Data!D144:I144),NA())</f>
        <v/>
      </c>
      <c r="D166" s="25">
        <f>IFERROR(B166-C166,NA())</f>
        <v/>
      </c>
      <c r="E166" s="20">
        <f>IFERROR(D166/STDEV.S(D$26:D$295),NA())</f>
        <v/>
      </c>
    </row>
    <row r="167">
      <c r="A167" s="24">
        <f>Data!A145</f>
        <v/>
      </c>
      <c r="B167" s="9">
        <f>Data!B145</f>
        <v/>
      </c>
      <c r="C167" s="9">
        <f>IFERROR(TREND(Data!$B$4:$B$274,Data!$D$4:$I$274,Data!D145:I145),NA())</f>
        <v/>
      </c>
      <c r="D167" s="25">
        <f>IFERROR(B167-C167,NA())</f>
        <v/>
      </c>
      <c r="E167" s="20">
        <f>IFERROR(D167/STDEV.S(D$26:D$295),NA())</f>
        <v/>
      </c>
    </row>
    <row r="168">
      <c r="A168" s="24">
        <f>Data!A146</f>
        <v/>
      </c>
      <c r="B168" s="9">
        <f>Data!B146</f>
        <v/>
      </c>
      <c r="C168" s="9">
        <f>IFERROR(TREND(Data!$B$4:$B$274,Data!$D$4:$I$274,Data!D146:I146),NA())</f>
        <v/>
      </c>
      <c r="D168" s="25">
        <f>IFERROR(B168-C168,NA())</f>
        <v/>
      </c>
      <c r="E168" s="20">
        <f>IFERROR(D168/STDEV.S(D$26:D$295),NA())</f>
        <v/>
      </c>
    </row>
    <row r="169">
      <c r="A169" s="24">
        <f>Data!A147</f>
        <v/>
      </c>
      <c r="B169" s="9">
        <f>Data!B147</f>
        <v/>
      </c>
      <c r="C169" s="9">
        <f>IFERROR(TREND(Data!$B$4:$B$274,Data!$D$4:$I$274,Data!D147:I147),NA())</f>
        <v/>
      </c>
      <c r="D169" s="25">
        <f>IFERROR(B169-C169,NA())</f>
        <v/>
      </c>
      <c r="E169" s="20">
        <f>IFERROR(D169/STDEV.S(D$26:D$295),NA())</f>
        <v/>
      </c>
    </row>
    <row r="170">
      <c r="A170" s="24">
        <f>Data!A148</f>
        <v/>
      </c>
      <c r="B170" s="9">
        <f>Data!B148</f>
        <v/>
      </c>
      <c r="C170" s="9">
        <f>IFERROR(TREND(Data!$B$4:$B$274,Data!$D$4:$I$274,Data!D148:I148),NA())</f>
        <v/>
      </c>
      <c r="D170" s="25">
        <f>IFERROR(B170-C170,NA())</f>
        <v/>
      </c>
      <c r="E170" s="20">
        <f>IFERROR(D170/STDEV.S(D$26:D$295),NA())</f>
        <v/>
      </c>
    </row>
    <row r="171">
      <c r="A171" s="24">
        <f>Data!A149</f>
        <v/>
      </c>
      <c r="B171" s="9">
        <f>Data!B149</f>
        <v/>
      </c>
      <c r="C171" s="9">
        <f>IFERROR(TREND(Data!$B$4:$B$274,Data!$D$4:$I$274,Data!D149:I149),NA())</f>
        <v/>
      </c>
      <c r="D171" s="25">
        <f>IFERROR(B171-C171,NA())</f>
        <v/>
      </c>
      <c r="E171" s="20">
        <f>IFERROR(D171/STDEV.S(D$26:D$295),NA())</f>
        <v/>
      </c>
    </row>
    <row r="172">
      <c r="A172" s="24">
        <f>Data!A150</f>
        <v/>
      </c>
      <c r="B172" s="9">
        <f>Data!B150</f>
        <v/>
      </c>
      <c r="C172" s="9">
        <f>IFERROR(TREND(Data!$B$4:$B$274,Data!$D$4:$I$274,Data!D150:I150),NA())</f>
        <v/>
      </c>
      <c r="D172" s="25">
        <f>IFERROR(B172-C172,NA())</f>
        <v/>
      </c>
      <c r="E172" s="20">
        <f>IFERROR(D172/STDEV.S(D$26:D$295),NA())</f>
        <v/>
      </c>
    </row>
    <row r="173">
      <c r="A173" s="24">
        <f>Data!A151</f>
        <v/>
      </c>
      <c r="B173" s="9">
        <f>Data!B151</f>
        <v/>
      </c>
      <c r="C173" s="9">
        <f>IFERROR(TREND(Data!$B$4:$B$274,Data!$D$4:$I$274,Data!D151:I151),NA())</f>
        <v/>
      </c>
      <c r="D173" s="25">
        <f>IFERROR(B173-C173,NA())</f>
        <v/>
      </c>
      <c r="E173" s="20">
        <f>IFERROR(D173/STDEV.S(D$26:D$295),NA())</f>
        <v/>
      </c>
    </row>
    <row r="174">
      <c r="A174" s="24">
        <f>Data!A152</f>
        <v/>
      </c>
      <c r="B174" s="9">
        <f>Data!B152</f>
        <v/>
      </c>
      <c r="C174" s="9">
        <f>IFERROR(TREND(Data!$B$4:$B$274,Data!$D$4:$I$274,Data!D152:I152),NA())</f>
        <v/>
      </c>
      <c r="D174" s="25">
        <f>IFERROR(B174-C174,NA())</f>
        <v/>
      </c>
      <c r="E174" s="20">
        <f>IFERROR(D174/STDEV.S(D$26:D$295),NA())</f>
        <v/>
      </c>
    </row>
    <row r="175">
      <c r="A175" s="24">
        <f>Data!A153</f>
        <v/>
      </c>
      <c r="B175" s="9">
        <f>Data!B153</f>
        <v/>
      </c>
      <c r="C175" s="9">
        <f>IFERROR(TREND(Data!$B$4:$B$274,Data!$D$4:$I$274,Data!D153:I153),NA())</f>
        <v/>
      </c>
      <c r="D175" s="25">
        <f>IFERROR(B175-C175,NA())</f>
        <v/>
      </c>
      <c r="E175" s="20">
        <f>IFERROR(D175/STDEV.S(D$26:D$295),NA())</f>
        <v/>
      </c>
    </row>
    <row r="176">
      <c r="A176" s="24">
        <f>Data!A154</f>
        <v/>
      </c>
      <c r="B176" s="9">
        <f>Data!B154</f>
        <v/>
      </c>
      <c r="C176" s="9">
        <f>IFERROR(TREND(Data!$B$4:$B$274,Data!$D$4:$I$274,Data!D154:I154),NA())</f>
        <v/>
      </c>
      <c r="D176" s="25">
        <f>IFERROR(B176-C176,NA())</f>
        <v/>
      </c>
      <c r="E176" s="20">
        <f>IFERROR(D176/STDEV.S(D$26:D$295),NA())</f>
        <v/>
      </c>
    </row>
    <row r="177">
      <c r="A177" s="24">
        <f>Data!A155</f>
        <v/>
      </c>
      <c r="B177" s="9">
        <f>Data!B155</f>
        <v/>
      </c>
      <c r="C177" s="9">
        <f>IFERROR(TREND(Data!$B$4:$B$274,Data!$D$4:$I$274,Data!D155:I155),NA())</f>
        <v/>
      </c>
      <c r="D177" s="25">
        <f>IFERROR(B177-C177,NA())</f>
        <v/>
      </c>
      <c r="E177" s="20">
        <f>IFERROR(D177/STDEV.S(D$26:D$295),NA())</f>
        <v/>
      </c>
    </row>
    <row r="178">
      <c r="A178" s="24">
        <f>Data!A156</f>
        <v/>
      </c>
      <c r="B178" s="9">
        <f>Data!B156</f>
        <v/>
      </c>
      <c r="C178" s="9">
        <f>IFERROR(TREND(Data!$B$4:$B$274,Data!$D$4:$I$274,Data!D156:I156),NA())</f>
        <v/>
      </c>
      <c r="D178" s="25">
        <f>IFERROR(B178-C178,NA())</f>
        <v/>
      </c>
      <c r="E178" s="20">
        <f>IFERROR(D178/STDEV.S(D$26:D$295),NA())</f>
        <v/>
      </c>
    </row>
    <row r="179">
      <c r="A179" s="24">
        <f>Data!A157</f>
        <v/>
      </c>
      <c r="B179" s="9">
        <f>Data!B157</f>
        <v/>
      </c>
      <c r="C179" s="9">
        <f>IFERROR(TREND(Data!$B$4:$B$274,Data!$D$4:$I$274,Data!D157:I157),NA())</f>
        <v/>
      </c>
      <c r="D179" s="25">
        <f>IFERROR(B179-C179,NA())</f>
        <v/>
      </c>
      <c r="E179" s="20">
        <f>IFERROR(D179/STDEV.S(D$26:D$295),NA())</f>
        <v/>
      </c>
    </row>
    <row r="180">
      <c r="A180" s="24">
        <f>Data!A158</f>
        <v/>
      </c>
      <c r="B180" s="9">
        <f>Data!B158</f>
        <v/>
      </c>
      <c r="C180" s="9">
        <f>IFERROR(TREND(Data!$B$4:$B$274,Data!$D$4:$I$274,Data!D158:I158),NA())</f>
        <v/>
      </c>
      <c r="D180" s="25">
        <f>IFERROR(B180-C180,NA())</f>
        <v/>
      </c>
      <c r="E180" s="20">
        <f>IFERROR(D180/STDEV.S(D$26:D$295),NA())</f>
        <v/>
      </c>
    </row>
    <row r="181">
      <c r="A181" s="24">
        <f>Data!A159</f>
        <v/>
      </c>
      <c r="B181" s="9">
        <f>Data!B159</f>
        <v/>
      </c>
      <c r="C181" s="9">
        <f>IFERROR(TREND(Data!$B$4:$B$274,Data!$D$4:$I$274,Data!D159:I159),NA())</f>
        <v/>
      </c>
      <c r="D181" s="25">
        <f>IFERROR(B181-C181,NA())</f>
        <v/>
      </c>
      <c r="E181" s="20">
        <f>IFERROR(D181/STDEV.S(D$26:D$295),NA())</f>
        <v/>
      </c>
    </row>
    <row r="182">
      <c r="A182" s="24">
        <f>Data!A160</f>
        <v/>
      </c>
      <c r="B182" s="9">
        <f>Data!B160</f>
        <v/>
      </c>
      <c r="C182" s="9">
        <f>IFERROR(TREND(Data!$B$4:$B$274,Data!$D$4:$I$274,Data!D160:I160),NA())</f>
        <v/>
      </c>
      <c r="D182" s="25">
        <f>IFERROR(B182-C182,NA())</f>
        <v/>
      </c>
      <c r="E182" s="20">
        <f>IFERROR(D182/STDEV.S(D$26:D$295),NA())</f>
        <v/>
      </c>
    </row>
    <row r="183">
      <c r="A183" s="24">
        <f>Data!A161</f>
        <v/>
      </c>
      <c r="B183" s="9">
        <f>Data!B161</f>
        <v/>
      </c>
      <c r="C183" s="9">
        <f>IFERROR(TREND(Data!$B$4:$B$274,Data!$D$4:$I$274,Data!D161:I161),NA())</f>
        <v/>
      </c>
      <c r="D183" s="25">
        <f>IFERROR(B183-C183,NA())</f>
        <v/>
      </c>
      <c r="E183" s="20">
        <f>IFERROR(D183/STDEV.S(D$26:D$295),NA())</f>
        <v/>
      </c>
    </row>
    <row r="184">
      <c r="A184" s="24">
        <f>Data!A162</f>
        <v/>
      </c>
      <c r="B184" s="9">
        <f>Data!B162</f>
        <v/>
      </c>
      <c r="C184" s="9">
        <f>IFERROR(TREND(Data!$B$4:$B$274,Data!$D$4:$I$274,Data!D162:I162),NA())</f>
        <v/>
      </c>
      <c r="D184" s="25">
        <f>IFERROR(B184-C184,NA())</f>
        <v/>
      </c>
      <c r="E184" s="20">
        <f>IFERROR(D184/STDEV.S(D$26:D$295),NA())</f>
        <v/>
      </c>
    </row>
    <row r="185">
      <c r="A185" s="24">
        <f>Data!A163</f>
        <v/>
      </c>
      <c r="B185" s="9">
        <f>Data!B163</f>
        <v/>
      </c>
      <c r="C185" s="9">
        <f>IFERROR(TREND(Data!$B$4:$B$274,Data!$D$4:$I$274,Data!D163:I163),NA())</f>
        <v/>
      </c>
      <c r="D185" s="25">
        <f>IFERROR(B185-C185,NA())</f>
        <v/>
      </c>
      <c r="E185" s="20">
        <f>IFERROR(D185/STDEV.S(D$26:D$295),NA())</f>
        <v/>
      </c>
    </row>
    <row r="186">
      <c r="A186" s="24">
        <f>Data!A164</f>
        <v/>
      </c>
      <c r="B186" s="9">
        <f>Data!B164</f>
        <v/>
      </c>
      <c r="C186" s="9">
        <f>IFERROR(TREND(Data!$B$4:$B$274,Data!$D$4:$I$274,Data!D164:I164),NA())</f>
        <v/>
      </c>
      <c r="D186" s="25">
        <f>IFERROR(B186-C186,NA())</f>
        <v/>
      </c>
      <c r="E186" s="20">
        <f>IFERROR(D186/STDEV.S(D$26:D$295),NA())</f>
        <v/>
      </c>
    </row>
    <row r="187">
      <c r="A187" s="24">
        <f>Data!A165</f>
        <v/>
      </c>
      <c r="B187" s="9">
        <f>Data!B165</f>
        <v/>
      </c>
      <c r="C187" s="9">
        <f>IFERROR(TREND(Data!$B$4:$B$274,Data!$D$4:$I$274,Data!D165:I165),NA())</f>
        <v/>
      </c>
      <c r="D187" s="25">
        <f>IFERROR(B187-C187,NA())</f>
        <v/>
      </c>
      <c r="E187" s="20">
        <f>IFERROR(D187/STDEV.S(D$26:D$295),NA())</f>
        <v/>
      </c>
    </row>
    <row r="188">
      <c r="A188" s="24">
        <f>Data!A166</f>
        <v/>
      </c>
      <c r="B188" s="9">
        <f>Data!B166</f>
        <v/>
      </c>
      <c r="C188" s="9">
        <f>IFERROR(TREND(Data!$B$4:$B$274,Data!$D$4:$I$274,Data!D166:I166),NA())</f>
        <v/>
      </c>
      <c r="D188" s="25">
        <f>IFERROR(B188-C188,NA())</f>
        <v/>
      </c>
      <c r="E188" s="20">
        <f>IFERROR(D188/STDEV.S(D$26:D$295),NA())</f>
        <v/>
      </c>
    </row>
    <row r="189">
      <c r="A189" s="24">
        <f>Data!A167</f>
        <v/>
      </c>
      <c r="B189" s="9">
        <f>Data!B167</f>
        <v/>
      </c>
      <c r="C189" s="9">
        <f>IFERROR(TREND(Data!$B$4:$B$274,Data!$D$4:$I$274,Data!D167:I167),NA())</f>
        <v/>
      </c>
      <c r="D189" s="25">
        <f>IFERROR(B189-C189,NA())</f>
        <v/>
      </c>
      <c r="E189" s="20">
        <f>IFERROR(D189/STDEV.S(D$26:D$295),NA())</f>
        <v/>
      </c>
    </row>
    <row r="190">
      <c r="A190" s="24">
        <f>Data!A168</f>
        <v/>
      </c>
      <c r="B190" s="9">
        <f>Data!B168</f>
        <v/>
      </c>
      <c r="C190" s="9">
        <f>IFERROR(TREND(Data!$B$4:$B$274,Data!$D$4:$I$274,Data!D168:I168),NA())</f>
        <v/>
      </c>
      <c r="D190" s="25">
        <f>IFERROR(B190-C190,NA())</f>
        <v/>
      </c>
      <c r="E190" s="20">
        <f>IFERROR(D190/STDEV.S(D$26:D$295),NA())</f>
        <v/>
      </c>
    </row>
    <row r="191">
      <c r="A191" s="24">
        <f>Data!A169</f>
        <v/>
      </c>
      <c r="B191" s="9">
        <f>Data!B169</f>
        <v/>
      </c>
      <c r="C191" s="9">
        <f>IFERROR(TREND(Data!$B$4:$B$274,Data!$D$4:$I$274,Data!D169:I169),NA())</f>
        <v/>
      </c>
      <c r="D191" s="25">
        <f>IFERROR(B191-C191,NA())</f>
        <v/>
      </c>
      <c r="E191" s="20">
        <f>IFERROR(D191/STDEV.S(D$26:D$295),NA())</f>
        <v/>
      </c>
    </row>
    <row r="192">
      <c r="A192" s="24">
        <f>Data!A170</f>
        <v/>
      </c>
      <c r="B192" s="9">
        <f>Data!B170</f>
        <v/>
      </c>
      <c r="C192" s="9">
        <f>IFERROR(TREND(Data!$B$4:$B$274,Data!$D$4:$I$274,Data!D170:I170),NA())</f>
        <v/>
      </c>
      <c r="D192" s="25">
        <f>IFERROR(B192-C192,NA())</f>
        <v/>
      </c>
      <c r="E192" s="20">
        <f>IFERROR(D192/STDEV.S(D$26:D$295),NA())</f>
        <v/>
      </c>
    </row>
    <row r="193">
      <c r="A193" s="24">
        <f>Data!A171</f>
        <v/>
      </c>
      <c r="B193" s="9">
        <f>Data!B171</f>
        <v/>
      </c>
      <c r="C193" s="9">
        <f>IFERROR(TREND(Data!$B$4:$B$274,Data!$D$4:$I$274,Data!D171:I171),NA())</f>
        <v/>
      </c>
      <c r="D193" s="25">
        <f>IFERROR(B193-C193,NA())</f>
        <v/>
      </c>
      <c r="E193" s="20">
        <f>IFERROR(D193/STDEV.S(D$26:D$295),NA())</f>
        <v/>
      </c>
    </row>
    <row r="194">
      <c r="A194" s="24">
        <f>Data!A172</f>
        <v/>
      </c>
      <c r="B194" s="9">
        <f>Data!B172</f>
        <v/>
      </c>
      <c r="C194" s="9">
        <f>IFERROR(TREND(Data!$B$4:$B$274,Data!$D$4:$I$274,Data!D172:I172),NA())</f>
        <v/>
      </c>
      <c r="D194" s="25">
        <f>IFERROR(B194-C194,NA())</f>
        <v/>
      </c>
      <c r="E194" s="20">
        <f>IFERROR(D194/STDEV.S(D$26:D$295),NA())</f>
        <v/>
      </c>
    </row>
    <row r="195">
      <c r="A195" s="24">
        <f>Data!A173</f>
        <v/>
      </c>
      <c r="B195" s="9">
        <f>Data!B173</f>
        <v/>
      </c>
      <c r="C195" s="9">
        <f>IFERROR(TREND(Data!$B$4:$B$274,Data!$D$4:$I$274,Data!D173:I173),NA())</f>
        <v/>
      </c>
      <c r="D195" s="25">
        <f>IFERROR(B195-C195,NA())</f>
        <v/>
      </c>
      <c r="E195" s="20">
        <f>IFERROR(D195/STDEV.S(D$26:D$295),NA())</f>
        <v/>
      </c>
    </row>
    <row r="196">
      <c r="A196" s="24">
        <f>Data!A174</f>
        <v/>
      </c>
      <c r="B196" s="9">
        <f>Data!B174</f>
        <v/>
      </c>
      <c r="C196" s="9">
        <f>IFERROR(TREND(Data!$B$4:$B$274,Data!$D$4:$I$274,Data!D174:I174),NA())</f>
        <v/>
      </c>
      <c r="D196" s="25">
        <f>IFERROR(B196-C196,NA())</f>
        <v/>
      </c>
      <c r="E196" s="20">
        <f>IFERROR(D196/STDEV.S(D$26:D$295),NA())</f>
        <v/>
      </c>
    </row>
    <row r="197">
      <c r="A197" s="24">
        <f>Data!A175</f>
        <v/>
      </c>
      <c r="B197" s="9">
        <f>Data!B175</f>
        <v/>
      </c>
      <c r="C197" s="9">
        <f>IFERROR(TREND(Data!$B$4:$B$274,Data!$D$4:$I$274,Data!D175:I175),NA())</f>
        <v/>
      </c>
      <c r="D197" s="25">
        <f>IFERROR(B197-C197,NA())</f>
        <v/>
      </c>
      <c r="E197" s="20">
        <f>IFERROR(D197/STDEV.S(D$26:D$295),NA())</f>
        <v/>
      </c>
    </row>
    <row r="198">
      <c r="A198" s="24">
        <f>Data!A176</f>
        <v/>
      </c>
      <c r="B198" s="9">
        <f>Data!B176</f>
        <v/>
      </c>
      <c r="C198" s="9">
        <f>IFERROR(TREND(Data!$B$4:$B$274,Data!$D$4:$I$274,Data!D176:I176),NA())</f>
        <v/>
      </c>
      <c r="D198" s="25">
        <f>IFERROR(B198-C198,NA())</f>
        <v/>
      </c>
      <c r="E198" s="20">
        <f>IFERROR(D198/STDEV.S(D$26:D$295),NA())</f>
        <v/>
      </c>
    </row>
    <row r="199">
      <c r="A199" s="24">
        <f>Data!A177</f>
        <v/>
      </c>
      <c r="B199" s="9">
        <f>Data!B177</f>
        <v/>
      </c>
      <c r="C199" s="9">
        <f>IFERROR(TREND(Data!$B$4:$B$274,Data!$D$4:$I$274,Data!D177:I177),NA())</f>
        <v/>
      </c>
      <c r="D199" s="25">
        <f>IFERROR(B199-C199,NA())</f>
        <v/>
      </c>
      <c r="E199" s="20">
        <f>IFERROR(D199/STDEV.S(D$26:D$295),NA())</f>
        <v/>
      </c>
    </row>
    <row r="200">
      <c r="A200" s="24">
        <f>Data!A178</f>
        <v/>
      </c>
      <c r="B200" s="9">
        <f>Data!B178</f>
        <v/>
      </c>
      <c r="C200" s="9">
        <f>IFERROR(TREND(Data!$B$4:$B$274,Data!$D$4:$I$274,Data!D178:I178),NA())</f>
        <v/>
      </c>
      <c r="D200" s="25">
        <f>IFERROR(B200-C200,NA())</f>
        <v/>
      </c>
      <c r="E200" s="20">
        <f>IFERROR(D200/STDEV.S(D$26:D$295),NA())</f>
        <v/>
      </c>
    </row>
    <row r="201">
      <c r="A201" s="24">
        <f>Data!A179</f>
        <v/>
      </c>
      <c r="B201" s="9">
        <f>Data!B179</f>
        <v/>
      </c>
      <c r="C201" s="9">
        <f>IFERROR(TREND(Data!$B$4:$B$274,Data!$D$4:$I$274,Data!D179:I179),NA())</f>
        <v/>
      </c>
      <c r="D201" s="25">
        <f>IFERROR(B201-C201,NA())</f>
        <v/>
      </c>
      <c r="E201" s="20">
        <f>IFERROR(D201/STDEV.S(D$26:D$295),NA())</f>
        <v/>
      </c>
    </row>
    <row r="202">
      <c r="A202" s="24">
        <f>Data!A180</f>
        <v/>
      </c>
      <c r="B202" s="9">
        <f>Data!B180</f>
        <v/>
      </c>
      <c r="C202" s="9">
        <f>IFERROR(TREND(Data!$B$4:$B$274,Data!$D$4:$I$274,Data!D180:I180),NA())</f>
        <v/>
      </c>
      <c r="D202" s="25">
        <f>IFERROR(B202-C202,NA())</f>
        <v/>
      </c>
      <c r="E202" s="20">
        <f>IFERROR(D202/STDEV.S(D$26:D$295),NA())</f>
        <v/>
      </c>
    </row>
    <row r="203">
      <c r="A203" s="24">
        <f>Data!A181</f>
        <v/>
      </c>
      <c r="B203" s="9">
        <f>Data!B181</f>
        <v/>
      </c>
      <c r="C203" s="9">
        <f>IFERROR(TREND(Data!$B$4:$B$274,Data!$D$4:$I$274,Data!D181:I181),NA())</f>
        <v/>
      </c>
      <c r="D203" s="25">
        <f>IFERROR(B203-C203,NA())</f>
        <v/>
      </c>
      <c r="E203" s="20">
        <f>IFERROR(D203/STDEV.S(D$26:D$295),NA())</f>
        <v/>
      </c>
    </row>
    <row r="204">
      <c r="A204" s="24">
        <f>Data!A182</f>
        <v/>
      </c>
      <c r="B204" s="9">
        <f>Data!B182</f>
        <v/>
      </c>
      <c r="C204" s="9">
        <f>IFERROR(TREND(Data!$B$4:$B$274,Data!$D$4:$I$274,Data!D182:I182),NA())</f>
        <v/>
      </c>
      <c r="D204" s="25">
        <f>IFERROR(B204-C204,NA())</f>
        <v/>
      </c>
      <c r="E204" s="20">
        <f>IFERROR(D204/STDEV.S(D$26:D$295),NA())</f>
        <v/>
      </c>
    </row>
    <row r="205">
      <c r="A205" s="24">
        <f>Data!A183</f>
        <v/>
      </c>
      <c r="B205" s="9">
        <f>Data!B183</f>
        <v/>
      </c>
      <c r="C205" s="9">
        <f>IFERROR(TREND(Data!$B$4:$B$274,Data!$D$4:$I$274,Data!D183:I183),NA())</f>
        <v/>
      </c>
      <c r="D205" s="25">
        <f>IFERROR(B205-C205,NA())</f>
        <v/>
      </c>
      <c r="E205" s="20">
        <f>IFERROR(D205/STDEV.S(D$26:D$295),NA())</f>
        <v/>
      </c>
    </row>
    <row r="206">
      <c r="A206" s="24">
        <f>Data!A184</f>
        <v/>
      </c>
      <c r="B206" s="9">
        <f>Data!B184</f>
        <v/>
      </c>
      <c r="C206" s="9">
        <f>IFERROR(TREND(Data!$B$4:$B$274,Data!$D$4:$I$274,Data!D184:I184),NA())</f>
        <v/>
      </c>
      <c r="D206" s="25">
        <f>IFERROR(B206-C206,NA())</f>
        <v/>
      </c>
      <c r="E206" s="20">
        <f>IFERROR(D206/STDEV.S(D$26:D$295),NA())</f>
        <v/>
      </c>
    </row>
    <row r="207">
      <c r="A207" s="24">
        <f>Data!A185</f>
        <v/>
      </c>
      <c r="B207" s="9">
        <f>Data!B185</f>
        <v/>
      </c>
      <c r="C207" s="9">
        <f>IFERROR(TREND(Data!$B$4:$B$274,Data!$D$4:$I$274,Data!D185:I185),NA())</f>
        <v/>
      </c>
      <c r="D207" s="25">
        <f>IFERROR(B207-C207,NA())</f>
        <v/>
      </c>
      <c r="E207" s="20">
        <f>IFERROR(D207/STDEV.S(D$26:D$295),NA())</f>
        <v/>
      </c>
    </row>
    <row r="208">
      <c r="A208" s="24">
        <f>Data!A186</f>
        <v/>
      </c>
      <c r="B208" s="9">
        <f>Data!B186</f>
        <v/>
      </c>
      <c r="C208" s="9">
        <f>IFERROR(TREND(Data!$B$4:$B$274,Data!$D$4:$I$274,Data!D186:I186),NA())</f>
        <v/>
      </c>
      <c r="D208" s="25">
        <f>IFERROR(B208-C208,NA())</f>
        <v/>
      </c>
      <c r="E208" s="20">
        <f>IFERROR(D208/STDEV.S(D$26:D$295),NA())</f>
        <v/>
      </c>
    </row>
    <row r="209">
      <c r="A209" s="24">
        <f>Data!A187</f>
        <v/>
      </c>
      <c r="B209" s="9">
        <f>Data!B187</f>
        <v/>
      </c>
      <c r="C209" s="9">
        <f>IFERROR(TREND(Data!$B$4:$B$274,Data!$D$4:$I$274,Data!D187:I187),NA())</f>
        <v/>
      </c>
      <c r="D209" s="25">
        <f>IFERROR(B209-C209,NA())</f>
        <v/>
      </c>
      <c r="E209" s="20">
        <f>IFERROR(D209/STDEV.S(D$26:D$295),NA())</f>
        <v/>
      </c>
    </row>
    <row r="210">
      <c r="A210" s="24">
        <f>Data!A188</f>
        <v/>
      </c>
      <c r="B210" s="9">
        <f>Data!B188</f>
        <v/>
      </c>
      <c r="C210" s="9">
        <f>IFERROR(TREND(Data!$B$4:$B$274,Data!$D$4:$I$274,Data!D188:I188),NA())</f>
        <v/>
      </c>
      <c r="D210" s="25">
        <f>IFERROR(B210-C210,NA())</f>
        <v/>
      </c>
      <c r="E210" s="20">
        <f>IFERROR(D210/STDEV.S(D$26:D$295),NA())</f>
        <v/>
      </c>
    </row>
    <row r="211">
      <c r="A211" s="24">
        <f>Data!A189</f>
        <v/>
      </c>
      <c r="B211" s="9">
        <f>Data!B189</f>
        <v/>
      </c>
      <c r="C211" s="9">
        <f>IFERROR(TREND(Data!$B$4:$B$274,Data!$D$4:$I$274,Data!D189:I189),NA())</f>
        <v/>
      </c>
      <c r="D211" s="25">
        <f>IFERROR(B211-C211,NA())</f>
        <v/>
      </c>
      <c r="E211" s="20">
        <f>IFERROR(D211/STDEV.S(D$26:D$295),NA())</f>
        <v/>
      </c>
    </row>
    <row r="212">
      <c r="A212" s="24">
        <f>Data!A190</f>
        <v/>
      </c>
      <c r="B212" s="9">
        <f>Data!B190</f>
        <v/>
      </c>
      <c r="C212" s="9">
        <f>IFERROR(TREND(Data!$B$4:$B$274,Data!$D$4:$I$274,Data!D190:I190),NA())</f>
        <v/>
      </c>
      <c r="D212" s="25">
        <f>IFERROR(B212-C212,NA())</f>
        <v/>
      </c>
      <c r="E212" s="20">
        <f>IFERROR(D212/STDEV.S(D$26:D$295),NA())</f>
        <v/>
      </c>
    </row>
    <row r="213">
      <c r="A213" s="24">
        <f>Data!A191</f>
        <v/>
      </c>
      <c r="B213" s="9">
        <f>Data!B191</f>
        <v/>
      </c>
      <c r="C213" s="9">
        <f>IFERROR(TREND(Data!$B$4:$B$274,Data!$D$4:$I$274,Data!D191:I191),NA())</f>
        <v/>
      </c>
      <c r="D213" s="25">
        <f>IFERROR(B213-C213,NA())</f>
        <v/>
      </c>
      <c r="E213" s="20">
        <f>IFERROR(D213/STDEV.S(D$26:D$295),NA())</f>
        <v/>
      </c>
    </row>
    <row r="214">
      <c r="A214" s="24">
        <f>Data!A192</f>
        <v/>
      </c>
      <c r="B214" s="9">
        <f>Data!B192</f>
        <v/>
      </c>
      <c r="C214" s="9">
        <f>IFERROR(TREND(Data!$B$4:$B$274,Data!$D$4:$I$274,Data!D192:I192),NA())</f>
        <v/>
      </c>
      <c r="D214" s="25">
        <f>IFERROR(B214-C214,NA())</f>
        <v/>
      </c>
      <c r="E214" s="20">
        <f>IFERROR(D214/STDEV.S(D$26:D$295),NA())</f>
        <v/>
      </c>
    </row>
    <row r="215">
      <c r="A215" s="24">
        <f>Data!A193</f>
        <v/>
      </c>
      <c r="B215" s="9">
        <f>Data!B193</f>
        <v/>
      </c>
      <c r="C215" s="9">
        <f>IFERROR(TREND(Data!$B$4:$B$274,Data!$D$4:$I$274,Data!D193:I193),NA())</f>
        <v/>
      </c>
      <c r="D215" s="25">
        <f>IFERROR(B215-C215,NA())</f>
        <v/>
      </c>
      <c r="E215" s="20">
        <f>IFERROR(D215/STDEV.S(D$26:D$295),NA())</f>
        <v/>
      </c>
    </row>
    <row r="216">
      <c r="A216" s="24">
        <f>Data!A194</f>
        <v/>
      </c>
      <c r="B216" s="9">
        <f>Data!B194</f>
        <v/>
      </c>
      <c r="C216" s="9">
        <f>IFERROR(TREND(Data!$B$4:$B$274,Data!$D$4:$I$274,Data!D194:I194),NA())</f>
        <v/>
      </c>
      <c r="D216" s="25">
        <f>IFERROR(B216-C216,NA())</f>
        <v/>
      </c>
      <c r="E216" s="20">
        <f>IFERROR(D216/STDEV.S(D$26:D$295),NA())</f>
        <v/>
      </c>
    </row>
    <row r="217">
      <c r="A217" s="24">
        <f>Data!A195</f>
        <v/>
      </c>
      <c r="B217" s="9">
        <f>Data!B195</f>
        <v/>
      </c>
      <c r="C217" s="9">
        <f>IFERROR(TREND(Data!$B$4:$B$274,Data!$D$4:$I$274,Data!D195:I195),NA())</f>
        <v/>
      </c>
      <c r="D217" s="25">
        <f>IFERROR(B217-C217,NA())</f>
        <v/>
      </c>
      <c r="E217" s="20">
        <f>IFERROR(D217/STDEV.S(D$26:D$295),NA())</f>
        <v/>
      </c>
    </row>
    <row r="218">
      <c r="A218" s="24">
        <f>Data!A196</f>
        <v/>
      </c>
      <c r="B218" s="9">
        <f>Data!B196</f>
        <v/>
      </c>
      <c r="C218" s="9">
        <f>IFERROR(TREND(Data!$B$4:$B$274,Data!$D$4:$I$274,Data!D196:I196),NA())</f>
        <v/>
      </c>
      <c r="D218" s="25">
        <f>IFERROR(B218-C218,NA())</f>
        <v/>
      </c>
      <c r="E218" s="20">
        <f>IFERROR(D218/STDEV.S(D$26:D$295),NA())</f>
        <v/>
      </c>
    </row>
    <row r="219">
      <c r="A219" s="24">
        <f>Data!A197</f>
        <v/>
      </c>
      <c r="B219" s="9">
        <f>Data!B197</f>
        <v/>
      </c>
      <c r="C219" s="9">
        <f>IFERROR(TREND(Data!$B$4:$B$274,Data!$D$4:$I$274,Data!D197:I197),NA())</f>
        <v/>
      </c>
      <c r="D219" s="25">
        <f>IFERROR(B219-C219,NA())</f>
        <v/>
      </c>
      <c r="E219" s="20">
        <f>IFERROR(D219/STDEV.S(D$26:D$295),NA())</f>
        <v/>
      </c>
    </row>
    <row r="220">
      <c r="A220" s="24">
        <f>Data!A198</f>
        <v/>
      </c>
      <c r="B220" s="9">
        <f>Data!B198</f>
        <v/>
      </c>
      <c r="C220" s="9">
        <f>IFERROR(TREND(Data!$B$4:$B$274,Data!$D$4:$I$274,Data!D198:I198),NA())</f>
        <v/>
      </c>
      <c r="D220" s="25">
        <f>IFERROR(B220-C220,NA())</f>
        <v/>
      </c>
      <c r="E220" s="20">
        <f>IFERROR(D220/STDEV.S(D$26:D$295),NA())</f>
        <v/>
      </c>
    </row>
    <row r="221">
      <c r="A221" s="24">
        <f>Data!A199</f>
        <v/>
      </c>
      <c r="B221" s="9">
        <f>Data!B199</f>
        <v/>
      </c>
      <c r="C221" s="9">
        <f>IFERROR(TREND(Data!$B$4:$B$274,Data!$D$4:$I$274,Data!D199:I199),NA())</f>
        <v/>
      </c>
      <c r="D221" s="25">
        <f>IFERROR(B221-C221,NA())</f>
        <v/>
      </c>
      <c r="E221" s="20">
        <f>IFERROR(D221/STDEV.S(D$26:D$295),NA())</f>
        <v/>
      </c>
    </row>
    <row r="222">
      <c r="A222" s="24">
        <f>Data!A200</f>
        <v/>
      </c>
      <c r="B222" s="9">
        <f>Data!B200</f>
        <v/>
      </c>
      <c r="C222" s="9">
        <f>IFERROR(TREND(Data!$B$4:$B$274,Data!$D$4:$I$274,Data!D200:I200),NA())</f>
        <v/>
      </c>
      <c r="D222" s="25">
        <f>IFERROR(B222-C222,NA())</f>
        <v/>
      </c>
      <c r="E222" s="20">
        <f>IFERROR(D222/STDEV.S(D$26:D$295),NA())</f>
        <v/>
      </c>
    </row>
    <row r="223">
      <c r="A223" s="24">
        <f>Data!A201</f>
        <v/>
      </c>
      <c r="B223" s="9">
        <f>Data!B201</f>
        <v/>
      </c>
      <c r="C223" s="9">
        <f>IFERROR(TREND(Data!$B$4:$B$274,Data!$D$4:$I$274,Data!D201:I201),NA())</f>
        <v/>
      </c>
      <c r="D223" s="25">
        <f>IFERROR(B223-C223,NA())</f>
        <v/>
      </c>
      <c r="E223" s="20">
        <f>IFERROR(D223/STDEV.S(D$26:D$295),NA())</f>
        <v/>
      </c>
    </row>
    <row r="224">
      <c r="A224" s="24">
        <f>Data!A202</f>
        <v/>
      </c>
      <c r="B224" s="9">
        <f>Data!B202</f>
        <v/>
      </c>
      <c r="C224" s="9">
        <f>IFERROR(TREND(Data!$B$4:$B$274,Data!$D$4:$I$274,Data!D202:I202),NA())</f>
        <v/>
      </c>
      <c r="D224" s="25">
        <f>IFERROR(B224-C224,NA())</f>
        <v/>
      </c>
      <c r="E224" s="20">
        <f>IFERROR(D224/STDEV.S(D$26:D$295),NA())</f>
        <v/>
      </c>
    </row>
    <row r="225">
      <c r="A225" s="24">
        <f>Data!A203</f>
        <v/>
      </c>
      <c r="B225" s="9">
        <f>Data!B203</f>
        <v/>
      </c>
      <c r="C225" s="9">
        <f>IFERROR(TREND(Data!$B$4:$B$274,Data!$D$4:$I$274,Data!D203:I203),NA())</f>
        <v/>
      </c>
      <c r="D225" s="25">
        <f>IFERROR(B225-C225,NA())</f>
        <v/>
      </c>
      <c r="E225" s="20">
        <f>IFERROR(D225/STDEV.S(D$26:D$295),NA())</f>
        <v/>
      </c>
    </row>
    <row r="226">
      <c r="A226" s="24">
        <f>Data!A204</f>
        <v/>
      </c>
      <c r="B226" s="9">
        <f>Data!B204</f>
        <v/>
      </c>
      <c r="C226" s="9">
        <f>IFERROR(TREND(Data!$B$4:$B$274,Data!$D$4:$I$274,Data!D204:I204),NA())</f>
        <v/>
      </c>
      <c r="D226" s="25">
        <f>IFERROR(B226-C226,NA())</f>
        <v/>
      </c>
      <c r="E226" s="20">
        <f>IFERROR(D226/STDEV.S(D$26:D$295),NA())</f>
        <v/>
      </c>
    </row>
    <row r="227">
      <c r="A227" s="24">
        <f>Data!A205</f>
        <v/>
      </c>
      <c r="B227" s="9">
        <f>Data!B205</f>
        <v/>
      </c>
      <c r="C227" s="9">
        <f>IFERROR(TREND(Data!$B$4:$B$274,Data!$D$4:$I$274,Data!D205:I205),NA())</f>
        <v/>
      </c>
      <c r="D227" s="25">
        <f>IFERROR(B227-C227,NA())</f>
        <v/>
      </c>
      <c r="E227" s="20">
        <f>IFERROR(D227/STDEV.S(D$26:D$295),NA())</f>
        <v/>
      </c>
    </row>
    <row r="228">
      <c r="A228" s="24">
        <f>Data!A206</f>
        <v/>
      </c>
      <c r="B228" s="9">
        <f>Data!B206</f>
        <v/>
      </c>
      <c r="C228" s="9">
        <f>IFERROR(TREND(Data!$B$4:$B$274,Data!$D$4:$I$274,Data!D206:I206),NA())</f>
        <v/>
      </c>
      <c r="D228" s="25">
        <f>IFERROR(B228-C228,NA())</f>
        <v/>
      </c>
      <c r="E228" s="20">
        <f>IFERROR(D228/STDEV.S(D$26:D$295),NA())</f>
        <v/>
      </c>
    </row>
    <row r="229">
      <c r="A229" s="24">
        <f>Data!A207</f>
        <v/>
      </c>
      <c r="B229" s="9">
        <f>Data!B207</f>
        <v/>
      </c>
      <c r="C229" s="9">
        <f>IFERROR(TREND(Data!$B$4:$B$274,Data!$D$4:$I$274,Data!D207:I207),NA())</f>
        <v/>
      </c>
      <c r="D229" s="25">
        <f>IFERROR(B229-C229,NA())</f>
        <v/>
      </c>
      <c r="E229" s="20">
        <f>IFERROR(D229/STDEV.S(D$26:D$295),NA())</f>
        <v/>
      </c>
    </row>
    <row r="230">
      <c r="A230" s="24">
        <f>Data!A208</f>
        <v/>
      </c>
      <c r="B230" s="9">
        <f>Data!B208</f>
        <v/>
      </c>
      <c r="C230" s="9">
        <f>IFERROR(TREND(Data!$B$4:$B$274,Data!$D$4:$I$274,Data!D208:I208),NA())</f>
        <v/>
      </c>
      <c r="D230" s="25">
        <f>IFERROR(B230-C230,NA())</f>
        <v/>
      </c>
      <c r="E230" s="20">
        <f>IFERROR(D230/STDEV.S(D$26:D$295),NA())</f>
        <v/>
      </c>
    </row>
    <row r="231">
      <c r="A231" s="24">
        <f>Data!A209</f>
        <v/>
      </c>
      <c r="B231" s="9">
        <f>Data!B209</f>
        <v/>
      </c>
      <c r="C231" s="9">
        <f>IFERROR(TREND(Data!$B$4:$B$274,Data!$D$4:$I$274,Data!D209:I209),NA())</f>
        <v/>
      </c>
      <c r="D231" s="25">
        <f>IFERROR(B231-C231,NA())</f>
        <v/>
      </c>
      <c r="E231" s="20">
        <f>IFERROR(D231/STDEV.S(D$26:D$295),NA())</f>
        <v/>
      </c>
    </row>
    <row r="232">
      <c r="A232" s="24">
        <f>Data!A210</f>
        <v/>
      </c>
      <c r="B232" s="9">
        <f>Data!B210</f>
        <v/>
      </c>
      <c r="C232" s="9">
        <f>IFERROR(TREND(Data!$B$4:$B$274,Data!$D$4:$I$274,Data!D210:I210),NA())</f>
        <v/>
      </c>
      <c r="D232" s="25">
        <f>IFERROR(B232-C232,NA())</f>
        <v/>
      </c>
      <c r="E232" s="20">
        <f>IFERROR(D232/STDEV.S(D$26:D$295),NA())</f>
        <v/>
      </c>
    </row>
    <row r="233">
      <c r="A233" s="24">
        <f>Data!A211</f>
        <v/>
      </c>
      <c r="B233" s="9">
        <f>Data!B211</f>
        <v/>
      </c>
      <c r="C233" s="9">
        <f>IFERROR(TREND(Data!$B$4:$B$274,Data!$D$4:$I$274,Data!D211:I211),NA())</f>
        <v/>
      </c>
      <c r="D233" s="25">
        <f>IFERROR(B233-C233,NA())</f>
        <v/>
      </c>
      <c r="E233" s="20">
        <f>IFERROR(D233/STDEV.S(D$26:D$295),NA())</f>
        <v/>
      </c>
    </row>
    <row r="234">
      <c r="A234" s="24">
        <f>Data!A212</f>
        <v/>
      </c>
      <c r="B234" s="9">
        <f>Data!B212</f>
        <v/>
      </c>
      <c r="C234" s="9">
        <f>IFERROR(TREND(Data!$B$4:$B$274,Data!$D$4:$I$274,Data!D212:I212),NA())</f>
        <v/>
      </c>
      <c r="D234" s="25">
        <f>IFERROR(B234-C234,NA())</f>
        <v/>
      </c>
      <c r="E234" s="20">
        <f>IFERROR(D234/STDEV.S(D$26:D$295),NA())</f>
        <v/>
      </c>
    </row>
    <row r="235">
      <c r="A235" s="24">
        <f>Data!A213</f>
        <v/>
      </c>
      <c r="B235" s="9">
        <f>Data!B213</f>
        <v/>
      </c>
      <c r="C235" s="9">
        <f>IFERROR(TREND(Data!$B$4:$B$274,Data!$D$4:$I$274,Data!D213:I213),NA())</f>
        <v/>
      </c>
      <c r="D235" s="25">
        <f>IFERROR(B235-C235,NA())</f>
        <v/>
      </c>
      <c r="E235" s="20">
        <f>IFERROR(D235/STDEV.S(D$26:D$295),NA())</f>
        <v/>
      </c>
    </row>
    <row r="236">
      <c r="A236" s="24">
        <f>Data!A214</f>
        <v/>
      </c>
      <c r="B236" s="9">
        <f>Data!B214</f>
        <v/>
      </c>
      <c r="C236" s="9">
        <f>IFERROR(TREND(Data!$B$4:$B$274,Data!$D$4:$I$274,Data!D214:I214),NA())</f>
        <v/>
      </c>
      <c r="D236" s="25">
        <f>IFERROR(B236-C236,NA())</f>
        <v/>
      </c>
      <c r="E236" s="20">
        <f>IFERROR(D236/STDEV.S(D$26:D$295),NA())</f>
        <v/>
      </c>
    </row>
    <row r="237">
      <c r="A237" s="24">
        <f>Data!A215</f>
        <v/>
      </c>
      <c r="B237" s="9">
        <f>Data!B215</f>
        <v/>
      </c>
      <c r="C237" s="9">
        <f>IFERROR(TREND(Data!$B$4:$B$274,Data!$D$4:$I$274,Data!D215:I215),NA())</f>
        <v/>
      </c>
      <c r="D237" s="25">
        <f>IFERROR(B237-C237,NA())</f>
        <v/>
      </c>
      <c r="E237" s="20">
        <f>IFERROR(D237/STDEV.S(D$26:D$295),NA())</f>
        <v/>
      </c>
    </row>
    <row r="238">
      <c r="A238" s="24">
        <f>Data!A216</f>
        <v/>
      </c>
      <c r="B238" s="9">
        <f>Data!B216</f>
        <v/>
      </c>
      <c r="C238" s="9">
        <f>IFERROR(TREND(Data!$B$4:$B$274,Data!$D$4:$I$274,Data!D216:I216),NA())</f>
        <v/>
      </c>
      <c r="D238" s="25">
        <f>IFERROR(B238-C238,NA())</f>
        <v/>
      </c>
      <c r="E238" s="20">
        <f>IFERROR(D238/STDEV.S(D$26:D$295),NA())</f>
        <v/>
      </c>
    </row>
    <row r="239">
      <c r="A239" s="24">
        <f>Data!A217</f>
        <v/>
      </c>
      <c r="B239" s="9">
        <f>Data!B217</f>
        <v/>
      </c>
      <c r="C239" s="9">
        <f>IFERROR(TREND(Data!$B$4:$B$274,Data!$D$4:$I$274,Data!D217:I217),NA())</f>
        <v/>
      </c>
      <c r="D239" s="25">
        <f>IFERROR(B239-C239,NA())</f>
        <v/>
      </c>
      <c r="E239" s="20">
        <f>IFERROR(D239/STDEV.S(D$26:D$295),NA())</f>
        <v/>
      </c>
    </row>
    <row r="240">
      <c r="A240" s="24">
        <f>Data!A218</f>
        <v/>
      </c>
      <c r="B240" s="9">
        <f>Data!B218</f>
        <v/>
      </c>
      <c r="C240" s="9">
        <f>IFERROR(TREND(Data!$B$4:$B$274,Data!$D$4:$I$274,Data!D218:I218),NA())</f>
        <v/>
      </c>
      <c r="D240" s="25">
        <f>IFERROR(B240-C240,NA())</f>
        <v/>
      </c>
      <c r="E240" s="20">
        <f>IFERROR(D240/STDEV.S(D$26:D$295),NA())</f>
        <v/>
      </c>
    </row>
    <row r="241">
      <c r="A241" s="24">
        <f>Data!A219</f>
        <v/>
      </c>
      <c r="B241" s="9">
        <f>Data!B219</f>
        <v/>
      </c>
      <c r="C241" s="9">
        <f>IFERROR(TREND(Data!$B$4:$B$274,Data!$D$4:$I$274,Data!D219:I219),NA())</f>
        <v/>
      </c>
      <c r="D241" s="25">
        <f>IFERROR(B241-C241,NA())</f>
        <v/>
      </c>
      <c r="E241" s="20">
        <f>IFERROR(D241/STDEV.S(D$26:D$295),NA())</f>
        <v/>
      </c>
    </row>
    <row r="242">
      <c r="A242" s="24">
        <f>Data!A220</f>
        <v/>
      </c>
      <c r="B242" s="9">
        <f>Data!B220</f>
        <v/>
      </c>
      <c r="C242" s="9">
        <f>IFERROR(TREND(Data!$B$4:$B$274,Data!$D$4:$I$274,Data!D220:I220),NA())</f>
        <v/>
      </c>
      <c r="D242" s="25">
        <f>IFERROR(B242-C242,NA())</f>
        <v/>
      </c>
      <c r="E242" s="20">
        <f>IFERROR(D242/STDEV.S(D$26:D$295),NA())</f>
        <v/>
      </c>
    </row>
    <row r="243">
      <c r="A243" s="24">
        <f>Data!A221</f>
        <v/>
      </c>
      <c r="B243" s="9">
        <f>Data!B221</f>
        <v/>
      </c>
      <c r="C243" s="9">
        <f>IFERROR(TREND(Data!$B$4:$B$274,Data!$D$4:$I$274,Data!D221:I221),NA())</f>
        <v/>
      </c>
      <c r="D243" s="25">
        <f>IFERROR(B243-C243,NA())</f>
        <v/>
      </c>
      <c r="E243" s="20">
        <f>IFERROR(D243/STDEV.S(D$26:D$295),NA())</f>
        <v/>
      </c>
    </row>
    <row r="244">
      <c r="A244" s="24">
        <f>Data!A222</f>
        <v/>
      </c>
      <c r="B244" s="9">
        <f>Data!B222</f>
        <v/>
      </c>
      <c r="C244" s="9">
        <f>IFERROR(TREND(Data!$B$4:$B$274,Data!$D$4:$I$274,Data!D222:I222),NA())</f>
        <v/>
      </c>
      <c r="D244" s="25">
        <f>IFERROR(B244-C244,NA())</f>
        <v/>
      </c>
      <c r="E244" s="20">
        <f>IFERROR(D244/STDEV.S(D$26:D$295),NA())</f>
        <v/>
      </c>
    </row>
    <row r="245">
      <c r="A245" s="24">
        <f>Data!A223</f>
        <v/>
      </c>
      <c r="B245" s="9">
        <f>Data!B223</f>
        <v/>
      </c>
      <c r="C245" s="9">
        <f>IFERROR(TREND(Data!$B$4:$B$274,Data!$D$4:$I$274,Data!D223:I223),NA())</f>
        <v/>
      </c>
      <c r="D245" s="25">
        <f>IFERROR(B245-C245,NA())</f>
        <v/>
      </c>
      <c r="E245" s="20">
        <f>IFERROR(D245/STDEV.S(D$26:D$295),NA())</f>
        <v/>
      </c>
    </row>
    <row r="246">
      <c r="A246" s="24">
        <f>Data!A224</f>
        <v/>
      </c>
      <c r="B246" s="9">
        <f>Data!B224</f>
        <v/>
      </c>
      <c r="C246" s="9">
        <f>IFERROR(TREND(Data!$B$4:$B$274,Data!$D$4:$I$274,Data!D224:I224),NA())</f>
        <v/>
      </c>
      <c r="D246" s="25">
        <f>IFERROR(B246-C246,NA())</f>
        <v/>
      </c>
      <c r="E246" s="20">
        <f>IFERROR(D246/STDEV.S(D$26:D$295),NA())</f>
        <v/>
      </c>
    </row>
    <row r="247">
      <c r="A247" s="24">
        <f>Data!A225</f>
        <v/>
      </c>
      <c r="B247" s="9">
        <f>Data!B225</f>
        <v/>
      </c>
      <c r="C247" s="9">
        <f>IFERROR(TREND(Data!$B$4:$B$274,Data!$D$4:$I$274,Data!D225:I225),NA())</f>
        <v/>
      </c>
      <c r="D247" s="25">
        <f>IFERROR(B247-C247,NA())</f>
        <v/>
      </c>
      <c r="E247" s="20">
        <f>IFERROR(D247/STDEV.S(D$26:D$295),NA())</f>
        <v/>
      </c>
    </row>
    <row r="248">
      <c r="A248" s="24">
        <f>Data!A226</f>
        <v/>
      </c>
      <c r="B248" s="9">
        <f>Data!B226</f>
        <v/>
      </c>
      <c r="C248" s="9">
        <f>IFERROR(TREND(Data!$B$4:$B$274,Data!$D$4:$I$274,Data!D226:I226),NA())</f>
        <v/>
      </c>
      <c r="D248" s="25">
        <f>IFERROR(B248-C248,NA())</f>
        <v/>
      </c>
      <c r="E248" s="20">
        <f>IFERROR(D248/STDEV.S(D$26:D$295),NA())</f>
        <v/>
      </c>
    </row>
    <row r="249">
      <c r="A249" s="24">
        <f>Data!A227</f>
        <v/>
      </c>
      <c r="B249" s="9">
        <f>Data!B227</f>
        <v/>
      </c>
      <c r="C249" s="9">
        <f>IFERROR(TREND(Data!$B$4:$B$274,Data!$D$4:$I$274,Data!D227:I227),NA())</f>
        <v/>
      </c>
      <c r="D249" s="25">
        <f>IFERROR(B249-C249,NA())</f>
        <v/>
      </c>
      <c r="E249" s="20">
        <f>IFERROR(D249/STDEV.S(D$26:D$295),NA())</f>
        <v/>
      </c>
    </row>
    <row r="250">
      <c r="A250" s="24">
        <f>Data!A228</f>
        <v/>
      </c>
      <c r="B250" s="9">
        <f>Data!B228</f>
        <v/>
      </c>
      <c r="C250" s="9">
        <f>IFERROR(TREND(Data!$B$4:$B$274,Data!$D$4:$I$274,Data!D228:I228),NA())</f>
        <v/>
      </c>
      <c r="D250" s="25">
        <f>IFERROR(B250-C250,NA())</f>
        <v/>
      </c>
      <c r="E250" s="20">
        <f>IFERROR(D250/STDEV.S(D$26:D$295),NA())</f>
        <v/>
      </c>
    </row>
    <row r="251">
      <c r="A251" s="24">
        <f>Data!A229</f>
        <v/>
      </c>
      <c r="B251" s="9">
        <f>Data!B229</f>
        <v/>
      </c>
      <c r="C251" s="9">
        <f>IFERROR(TREND(Data!$B$4:$B$274,Data!$D$4:$I$274,Data!D229:I229),NA())</f>
        <v/>
      </c>
      <c r="D251" s="25">
        <f>IFERROR(B251-C251,NA())</f>
        <v/>
      </c>
      <c r="E251" s="20">
        <f>IFERROR(D251/STDEV.S(D$26:D$295),NA())</f>
        <v/>
      </c>
    </row>
    <row r="252">
      <c r="A252" s="24">
        <f>Data!A230</f>
        <v/>
      </c>
      <c r="B252" s="9">
        <f>Data!B230</f>
        <v/>
      </c>
      <c r="C252" s="9">
        <f>IFERROR(TREND(Data!$B$4:$B$274,Data!$D$4:$I$274,Data!D230:I230),NA())</f>
        <v/>
      </c>
      <c r="D252" s="25">
        <f>IFERROR(B252-C252,NA())</f>
        <v/>
      </c>
      <c r="E252" s="20">
        <f>IFERROR(D252/STDEV.S(D$26:D$295),NA())</f>
        <v/>
      </c>
    </row>
    <row r="253">
      <c r="A253" s="24">
        <f>Data!A231</f>
        <v/>
      </c>
      <c r="B253" s="9">
        <f>Data!B231</f>
        <v/>
      </c>
      <c r="C253" s="9">
        <f>IFERROR(TREND(Data!$B$4:$B$274,Data!$D$4:$I$274,Data!D231:I231),NA())</f>
        <v/>
      </c>
      <c r="D253" s="25">
        <f>IFERROR(B253-C253,NA())</f>
        <v/>
      </c>
      <c r="E253" s="20">
        <f>IFERROR(D253/STDEV.S(D$26:D$295),NA())</f>
        <v/>
      </c>
    </row>
    <row r="254">
      <c r="A254" s="24">
        <f>Data!A232</f>
        <v/>
      </c>
      <c r="B254" s="9">
        <f>Data!B232</f>
        <v/>
      </c>
      <c r="C254" s="9">
        <f>IFERROR(TREND(Data!$B$4:$B$274,Data!$D$4:$I$274,Data!D232:I232),NA())</f>
        <v/>
      </c>
      <c r="D254" s="25">
        <f>IFERROR(B254-C254,NA())</f>
        <v/>
      </c>
      <c r="E254" s="20">
        <f>IFERROR(D254/STDEV.S(D$26:D$295),NA())</f>
        <v/>
      </c>
    </row>
    <row r="255">
      <c r="A255" s="24">
        <f>Data!A233</f>
        <v/>
      </c>
      <c r="B255" s="9">
        <f>Data!B233</f>
        <v/>
      </c>
      <c r="C255" s="9">
        <f>IFERROR(TREND(Data!$B$4:$B$274,Data!$D$4:$I$274,Data!D233:I233),NA())</f>
        <v/>
      </c>
      <c r="D255" s="25">
        <f>IFERROR(B255-C255,NA())</f>
        <v/>
      </c>
      <c r="E255" s="20">
        <f>IFERROR(D255/STDEV.S(D$26:D$295),NA())</f>
        <v/>
      </c>
    </row>
    <row r="256">
      <c r="A256" s="24">
        <f>Data!A234</f>
        <v/>
      </c>
      <c r="B256" s="9">
        <f>Data!B234</f>
        <v/>
      </c>
      <c r="C256" s="9">
        <f>IFERROR(TREND(Data!$B$4:$B$274,Data!$D$4:$I$274,Data!D234:I234),NA())</f>
        <v/>
      </c>
      <c r="D256" s="25">
        <f>IFERROR(B256-C256,NA())</f>
        <v/>
      </c>
      <c r="E256" s="20">
        <f>IFERROR(D256/STDEV.S(D$26:D$295),NA())</f>
        <v/>
      </c>
    </row>
    <row r="257">
      <c r="A257" s="24">
        <f>Data!A235</f>
        <v/>
      </c>
      <c r="B257" s="9">
        <f>Data!B235</f>
        <v/>
      </c>
      <c r="C257" s="9">
        <f>IFERROR(TREND(Data!$B$4:$B$274,Data!$D$4:$I$274,Data!D235:I235),NA())</f>
        <v/>
      </c>
      <c r="D257" s="25">
        <f>IFERROR(B257-C257,NA())</f>
        <v/>
      </c>
      <c r="E257" s="20">
        <f>IFERROR(D257/STDEV.S(D$26:D$295),NA())</f>
        <v/>
      </c>
    </row>
    <row r="258">
      <c r="A258" s="24">
        <f>Data!A236</f>
        <v/>
      </c>
      <c r="B258" s="9">
        <f>Data!B236</f>
        <v/>
      </c>
      <c r="C258" s="9">
        <f>IFERROR(TREND(Data!$B$4:$B$274,Data!$D$4:$I$274,Data!D236:I236),NA())</f>
        <v/>
      </c>
      <c r="D258" s="25">
        <f>IFERROR(B258-C258,NA())</f>
        <v/>
      </c>
      <c r="E258" s="20">
        <f>IFERROR(D258/STDEV.S(D$26:D$295),NA())</f>
        <v/>
      </c>
    </row>
    <row r="259">
      <c r="A259" s="24">
        <f>Data!A237</f>
        <v/>
      </c>
      <c r="B259" s="9">
        <f>Data!B237</f>
        <v/>
      </c>
      <c r="C259" s="9">
        <f>IFERROR(TREND(Data!$B$4:$B$274,Data!$D$4:$I$274,Data!D237:I237),NA())</f>
        <v/>
      </c>
      <c r="D259" s="25">
        <f>IFERROR(B259-C259,NA())</f>
        <v/>
      </c>
      <c r="E259" s="20">
        <f>IFERROR(D259/STDEV.S(D$26:D$295),NA())</f>
        <v/>
      </c>
    </row>
    <row r="260">
      <c r="A260" s="24">
        <f>Data!A238</f>
        <v/>
      </c>
      <c r="B260" s="9">
        <f>Data!B238</f>
        <v/>
      </c>
      <c r="C260" s="9">
        <f>IFERROR(TREND(Data!$B$4:$B$274,Data!$D$4:$I$274,Data!D238:I238),NA())</f>
        <v/>
      </c>
      <c r="D260" s="25">
        <f>IFERROR(B260-C260,NA())</f>
        <v/>
      </c>
      <c r="E260" s="20">
        <f>IFERROR(D260/STDEV.S(D$26:D$295),NA())</f>
        <v/>
      </c>
    </row>
    <row r="261">
      <c r="A261" s="24">
        <f>Data!A239</f>
        <v/>
      </c>
      <c r="B261" s="9">
        <f>Data!B239</f>
        <v/>
      </c>
      <c r="C261" s="9">
        <f>IFERROR(TREND(Data!$B$4:$B$274,Data!$D$4:$I$274,Data!D239:I239),NA())</f>
        <v/>
      </c>
      <c r="D261" s="25">
        <f>IFERROR(B261-C261,NA())</f>
        <v/>
      </c>
      <c r="E261" s="20">
        <f>IFERROR(D261/STDEV.S(D$26:D$295),NA())</f>
        <v/>
      </c>
    </row>
    <row r="262">
      <c r="A262" s="24">
        <f>Data!A240</f>
        <v/>
      </c>
      <c r="B262" s="9">
        <f>Data!B240</f>
        <v/>
      </c>
      <c r="C262" s="9">
        <f>IFERROR(TREND(Data!$B$4:$B$274,Data!$D$4:$I$274,Data!D240:I240),NA())</f>
        <v/>
      </c>
      <c r="D262" s="25">
        <f>IFERROR(B262-C262,NA())</f>
        <v/>
      </c>
      <c r="E262" s="20">
        <f>IFERROR(D262/STDEV.S(D$26:D$295),NA())</f>
        <v/>
      </c>
    </row>
    <row r="263">
      <c r="A263" s="24">
        <f>Data!A241</f>
        <v/>
      </c>
      <c r="B263" s="9">
        <f>Data!B241</f>
        <v/>
      </c>
      <c r="C263" s="9">
        <f>IFERROR(TREND(Data!$B$4:$B$274,Data!$D$4:$I$274,Data!D241:I241),NA())</f>
        <v/>
      </c>
      <c r="D263" s="25">
        <f>IFERROR(B263-C263,NA())</f>
        <v/>
      </c>
      <c r="E263" s="20">
        <f>IFERROR(D263/STDEV.S(D$26:D$295),NA())</f>
        <v/>
      </c>
    </row>
    <row r="264">
      <c r="A264" s="24">
        <f>Data!A242</f>
        <v/>
      </c>
      <c r="B264" s="9">
        <f>Data!B242</f>
        <v/>
      </c>
      <c r="C264" s="9">
        <f>IFERROR(TREND(Data!$B$4:$B$274,Data!$D$4:$I$274,Data!D242:I242),NA())</f>
        <v/>
      </c>
      <c r="D264" s="25">
        <f>IFERROR(B264-C264,NA())</f>
        <v/>
      </c>
      <c r="E264" s="20">
        <f>IFERROR(D264/STDEV.S(D$26:D$295),NA())</f>
        <v/>
      </c>
    </row>
    <row r="265">
      <c r="A265" s="24">
        <f>Data!A243</f>
        <v/>
      </c>
      <c r="B265" s="9">
        <f>Data!B243</f>
        <v/>
      </c>
      <c r="C265" s="9">
        <f>IFERROR(TREND(Data!$B$4:$B$274,Data!$D$4:$I$274,Data!D243:I243),NA())</f>
        <v/>
      </c>
      <c r="D265" s="25">
        <f>IFERROR(B265-C265,NA())</f>
        <v/>
      </c>
      <c r="E265" s="20">
        <f>IFERROR(D265/STDEV.S(D$26:D$295),NA())</f>
        <v/>
      </c>
    </row>
    <row r="266">
      <c r="A266" s="24">
        <f>Data!A244</f>
        <v/>
      </c>
      <c r="B266" s="9">
        <f>Data!B244</f>
        <v/>
      </c>
      <c r="C266" s="9">
        <f>IFERROR(TREND(Data!$B$4:$B$274,Data!$D$4:$I$274,Data!D244:I244),NA())</f>
        <v/>
      </c>
      <c r="D266" s="25">
        <f>IFERROR(B266-C266,NA())</f>
        <v/>
      </c>
      <c r="E266" s="20">
        <f>IFERROR(D266/STDEV.S(D$26:D$295),NA())</f>
        <v/>
      </c>
    </row>
    <row r="267">
      <c r="A267" s="24">
        <f>Data!A245</f>
        <v/>
      </c>
      <c r="B267" s="9">
        <f>Data!B245</f>
        <v/>
      </c>
      <c r="C267" s="9">
        <f>IFERROR(TREND(Data!$B$4:$B$274,Data!$D$4:$I$274,Data!D245:I245),NA())</f>
        <v/>
      </c>
      <c r="D267" s="25">
        <f>IFERROR(B267-C267,NA())</f>
        <v/>
      </c>
      <c r="E267" s="20">
        <f>IFERROR(D267/STDEV.S(D$26:D$295),NA())</f>
        <v/>
      </c>
    </row>
    <row r="268">
      <c r="A268" s="24">
        <f>Data!A246</f>
        <v/>
      </c>
      <c r="B268" s="9">
        <f>Data!B246</f>
        <v/>
      </c>
      <c r="C268" s="9">
        <f>IFERROR(TREND(Data!$B$4:$B$274,Data!$D$4:$I$274,Data!D246:I246),NA())</f>
        <v/>
      </c>
      <c r="D268" s="25">
        <f>IFERROR(B268-C268,NA())</f>
        <v/>
      </c>
      <c r="E268" s="20">
        <f>IFERROR(D268/STDEV.S(D$26:D$295),NA())</f>
        <v/>
      </c>
    </row>
    <row r="269">
      <c r="A269" s="24">
        <f>Data!A247</f>
        <v/>
      </c>
      <c r="B269" s="9">
        <f>Data!B247</f>
        <v/>
      </c>
      <c r="C269" s="9">
        <f>IFERROR(TREND(Data!$B$4:$B$274,Data!$D$4:$I$274,Data!D247:I247),NA())</f>
        <v/>
      </c>
      <c r="D269" s="25">
        <f>IFERROR(B269-C269,NA())</f>
        <v/>
      </c>
      <c r="E269" s="20">
        <f>IFERROR(D269/STDEV.S(D$26:D$295),NA())</f>
        <v/>
      </c>
    </row>
    <row r="270">
      <c r="A270" s="24">
        <f>Data!A248</f>
        <v/>
      </c>
      <c r="B270" s="9">
        <f>Data!B248</f>
        <v/>
      </c>
      <c r="C270" s="9">
        <f>IFERROR(TREND(Data!$B$4:$B$274,Data!$D$4:$I$274,Data!D248:I248),NA())</f>
        <v/>
      </c>
      <c r="D270" s="25">
        <f>IFERROR(B270-C270,NA())</f>
        <v/>
      </c>
      <c r="E270" s="20">
        <f>IFERROR(D270/STDEV.S(D$26:D$295),NA())</f>
        <v/>
      </c>
    </row>
    <row r="271">
      <c r="A271" s="24">
        <f>Data!A249</f>
        <v/>
      </c>
      <c r="B271" s="9">
        <f>Data!B249</f>
        <v/>
      </c>
      <c r="C271" s="9">
        <f>IFERROR(TREND(Data!$B$4:$B$274,Data!$D$4:$I$274,Data!D249:I249),NA())</f>
        <v/>
      </c>
      <c r="D271" s="25">
        <f>IFERROR(B271-C271,NA())</f>
        <v/>
      </c>
      <c r="E271" s="20">
        <f>IFERROR(D271/STDEV.S(D$26:D$295),NA())</f>
        <v/>
      </c>
    </row>
    <row r="272">
      <c r="A272" s="24">
        <f>Data!A250</f>
        <v/>
      </c>
      <c r="B272" s="9">
        <f>Data!B250</f>
        <v/>
      </c>
      <c r="C272" s="9">
        <f>IFERROR(TREND(Data!$B$4:$B$274,Data!$D$4:$I$274,Data!D250:I250),NA())</f>
        <v/>
      </c>
      <c r="D272" s="25">
        <f>IFERROR(B272-C272,NA())</f>
        <v/>
      </c>
      <c r="E272" s="20">
        <f>IFERROR(D272/STDEV.S(D$26:D$295),NA())</f>
        <v/>
      </c>
    </row>
    <row r="273">
      <c r="A273" s="24">
        <f>Data!A251</f>
        <v/>
      </c>
      <c r="B273" s="9">
        <f>Data!B251</f>
        <v/>
      </c>
      <c r="C273" s="9">
        <f>IFERROR(TREND(Data!$B$4:$B$274,Data!$D$4:$I$274,Data!D251:I251),NA())</f>
        <v/>
      </c>
      <c r="D273" s="25">
        <f>IFERROR(B273-C273,NA())</f>
        <v/>
      </c>
      <c r="E273" s="20">
        <f>IFERROR(D273/STDEV.S(D$26:D$295),NA())</f>
        <v/>
      </c>
    </row>
    <row r="274">
      <c r="A274" s="24">
        <f>Data!A252</f>
        <v/>
      </c>
      <c r="B274" s="9">
        <f>Data!B252</f>
        <v/>
      </c>
      <c r="C274" s="9">
        <f>IFERROR(TREND(Data!$B$4:$B$274,Data!$D$4:$I$274,Data!D252:I252),NA())</f>
        <v/>
      </c>
      <c r="D274" s="25">
        <f>IFERROR(B274-C274,NA())</f>
        <v/>
      </c>
      <c r="E274" s="20">
        <f>IFERROR(D274/STDEV.S(D$26:D$295),NA())</f>
        <v/>
      </c>
    </row>
    <row r="275">
      <c r="A275" s="24">
        <f>Data!A253</f>
        <v/>
      </c>
      <c r="B275" s="9">
        <f>Data!B253</f>
        <v/>
      </c>
      <c r="C275" s="9">
        <f>IFERROR(TREND(Data!$B$4:$B$274,Data!$D$4:$I$274,Data!D253:I253),NA())</f>
        <v/>
      </c>
      <c r="D275" s="25">
        <f>IFERROR(B275-C275,NA())</f>
        <v/>
      </c>
      <c r="E275" s="20">
        <f>IFERROR(D275/STDEV.S(D$26:D$295),NA())</f>
        <v/>
      </c>
    </row>
    <row r="276">
      <c r="A276" s="24">
        <f>Data!A254</f>
        <v/>
      </c>
      <c r="B276" s="9">
        <f>Data!B254</f>
        <v/>
      </c>
      <c r="C276" s="9">
        <f>IFERROR(TREND(Data!$B$4:$B$274,Data!$D$4:$I$274,Data!D254:I254),NA())</f>
        <v/>
      </c>
      <c r="D276" s="25">
        <f>IFERROR(B276-C276,NA())</f>
        <v/>
      </c>
      <c r="E276" s="20">
        <f>IFERROR(D276/STDEV.S(D$26:D$295),NA())</f>
        <v/>
      </c>
    </row>
    <row r="277">
      <c r="A277" s="24">
        <f>Data!A255</f>
        <v/>
      </c>
      <c r="B277" s="9">
        <f>Data!B255</f>
        <v/>
      </c>
      <c r="C277" s="9">
        <f>IFERROR(TREND(Data!$B$4:$B$274,Data!$D$4:$I$274,Data!D255:I255),NA())</f>
        <v/>
      </c>
      <c r="D277" s="25">
        <f>IFERROR(B277-C277,NA())</f>
        <v/>
      </c>
      <c r="E277" s="20">
        <f>IFERROR(D277/STDEV.S(D$26:D$295),NA())</f>
        <v/>
      </c>
    </row>
    <row r="278">
      <c r="A278" s="24">
        <f>Data!A256</f>
        <v/>
      </c>
      <c r="B278" s="9">
        <f>Data!B256</f>
        <v/>
      </c>
      <c r="C278" s="9">
        <f>IFERROR(TREND(Data!$B$4:$B$274,Data!$D$4:$I$274,Data!D256:I256),NA())</f>
        <v/>
      </c>
      <c r="D278" s="25">
        <f>IFERROR(B278-C278,NA())</f>
        <v/>
      </c>
      <c r="E278" s="20">
        <f>IFERROR(D278/STDEV.S(D$26:D$295),NA())</f>
        <v/>
      </c>
    </row>
    <row r="279">
      <c r="A279" s="24">
        <f>Data!A257</f>
        <v/>
      </c>
      <c r="B279" s="9">
        <f>Data!B257</f>
        <v/>
      </c>
      <c r="C279" s="9">
        <f>IFERROR(TREND(Data!$B$4:$B$274,Data!$D$4:$I$274,Data!D257:I257),NA())</f>
        <v/>
      </c>
      <c r="D279" s="25">
        <f>IFERROR(B279-C279,NA())</f>
        <v/>
      </c>
      <c r="E279" s="20">
        <f>IFERROR(D279/STDEV.S(D$26:D$295),NA())</f>
        <v/>
      </c>
    </row>
    <row r="280">
      <c r="A280" s="24">
        <f>Data!A258</f>
        <v/>
      </c>
      <c r="B280" s="9">
        <f>Data!B258</f>
        <v/>
      </c>
      <c r="C280" s="9">
        <f>IFERROR(TREND(Data!$B$4:$B$274,Data!$D$4:$I$274,Data!D258:I258),NA())</f>
        <v/>
      </c>
      <c r="D280" s="25">
        <f>IFERROR(B280-C280,NA())</f>
        <v/>
      </c>
      <c r="E280" s="20">
        <f>IFERROR(D280/STDEV.S(D$26:D$295),NA())</f>
        <v/>
      </c>
    </row>
    <row r="281">
      <c r="A281" s="24">
        <f>Data!A259</f>
        <v/>
      </c>
      <c r="B281" s="9">
        <f>Data!B259</f>
        <v/>
      </c>
      <c r="C281" s="9">
        <f>IFERROR(TREND(Data!$B$4:$B$274,Data!$D$4:$I$274,Data!D259:I259),NA())</f>
        <v/>
      </c>
      <c r="D281" s="25">
        <f>IFERROR(B281-C281,NA())</f>
        <v/>
      </c>
      <c r="E281" s="20">
        <f>IFERROR(D281/STDEV.S(D$26:D$295),NA())</f>
        <v/>
      </c>
    </row>
    <row r="282">
      <c r="A282" s="24">
        <f>Data!A260</f>
        <v/>
      </c>
      <c r="B282" s="9">
        <f>Data!B260</f>
        <v/>
      </c>
      <c r="C282" s="9">
        <f>IFERROR(TREND(Data!$B$4:$B$274,Data!$D$4:$I$274,Data!D260:I260),NA())</f>
        <v/>
      </c>
      <c r="D282" s="25">
        <f>IFERROR(B282-C282,NA())</f>
        <v/>
      </c>
      <c r="E282" s="20">
        <f>IFERROR(D282/STDEV.S(D$26:D$295),NA())</f>
        <v/>
      </c>
    </row>
    <row r="283">
      <c r="A283" s="24">
        <f>Data!A261</f>
        <v/>
      </c>
      <c r="B283" s="9">
        <f>Data!B261</f>
        <v/>
      </c>
      <c r="C283" s="9">
        <f>IFERROR(TREND(Data!$B$4:$B$274,Data!$D$4:$I$274,Data!D261:I261),NA())</f>
        <v/>
      </c>
      <c r="D283" s="25">
        <f>IFERROR(B283-C283,NA())</f>
        <v/>
      </c>
      <c r="E283" s="20">
        <f>IFERROR(D283/STDEV.S(D$26:D$295),NA())</f>
        <v/>
      </c>
    </row>
    <row r="284">
      <c r="A284" s="24">
        <f>Data!A262</f>
        <v/>
      </c>
      <c r="B284" s="9">
        <f>Data!B262</f>
        <v/>
      </c>
      <c r="C284" s="9">
        <f>IFERROR(TREND(Data!$B$4:$B$274,Data!$D$4:$I$274,Data!D262:I262),NA())</f>
        <v/>
      </c>
      <c r="D284" s="25">
        <f>IFERROR(B284-C284,NA())</f>
        <v/>
      </c>
      <c r="E284" s="20">
        <f>IFERROR(D284/STDEV.S(D$26:D$295),NA())</f>
        <v/>
      </c>
    </row>
    <row r="285">
      <c r="A285" s="24">
        <f>Data!A263</f>
        <v/>
      </c>
      <c r="B285" s="9">
        <f>Data!B263</f>
        <v/>
      </c>
      <c r="C285" s="9">
        <f>IFERROR(TREND(Data!$B$4:$B$274,Data!$D$4:$I$274,Data!D263:I263),NA())</f>
        <v/>
      </c>
      <c r="D285" s="25">
        <f>IFERROR(B285-C285,NA())</f>
        <v/>
      </c>
      <c r="E285" s="20">
        <f>IFERROR(D285/STDEV.S(D$26:D$295),NA())</f>
        <v/>
      </c>
    </row>
    <row r="286">
      <c r="A286" s="24">
        <f>Data!A264</f>
        <v/>
      </c>
      <c r="B286" s="9">
        <f>Data!B264</f>
        <v/>
      </c>
      <c r="C286" s="9">
        <f>IFERROR(TREND(Data!$B$4:$B$274,Data!$D$4:$I$274,Data!D264:I264),NA())</f>
        <v/>
      </c>
      <c r="D286" s="25">
        <f>IFERROR(B286-C286,NA())</f>
        <v/>
      </c>
      <c r="E286" s="20">
        <f>IFERROR(D286/STDEV.S(D$26:D$295),NA())</f>
        <v/>
      </c>
    </row>
    <row r="287">
      <c r="A287" s="24">
        <f>Data!A265</f>
        <v/>
      </c>
      <c r="B287" s="9">
        <f>Data!B265</f>
        <v/>
      </c>
      <c r="C287" s="9">
        <f>IFERROR(TREND(Data!$B$4:$B$274,Data!$D$4:$I$274,Data!D265:I265),NA())</f>
        <v/>
      </c>
      <c r="D287" s="25">
        <f>IFERROR(B287-C287,NA())</f>
        <v/>
      </c>
      <c r="E287" s="20">
        <f>IFERROR(D287/STDEV.S(D$26:D$295),NA())</f>
        <v/>
      </c>
    </row>
    <row r="288">
      <c r="A288" s="24">
        <f>Data!A266</f>
        <v/>
      </c>
      <c r="B288" s="9">
        <f>Data!B266</f>
        <v/>
      </c>
      <c r="C288" s="9">
        <f>IFERROR(TREND(Data!$B$4:$B$274,Data!$D$4:$I$274,Data!D266:I266),NA())</f>
        <v/>
      </c>
      <c r="D288" s="25">
        <f>IFERROR(B288-C288,NA())</f>
        <v/>
      </c>
      <c r="E288" s="20">
        <f>IFERROR(D288/STDEV.S(D$26:D$295),NA())</f>
        <v/>
      </c>
    </row>
    <row r="289">
      <c r="A289" s="24">
        <f>Data!A267</f>
        <v/>
      </c>
      <c r="B289" s="9">
        <f>Data!B267</f>
        <v/>
      </c>
      <c r="C289" s="9">
        <f>IFERROR(TREND(Data!$B$4:$B$274,Data!$D$4:$I$274,Data!D267:I267),NA())</f>
        <v/>
      </c>
      <c r="D289" s="25">
        <f>IFERROR(B289-C289,NA())</f>
        <v/>
      </c>
      <c r="E289" s="20">
        <f>IFERROR(D289/STDEV.S(D$26:D$295),NA())</f>
        <v/>
      </c>
    </row>
    <row r="290">
      <c r="A290" s="24">
        <f>Data!A268</f>
        <v/>
      </c>
      <c r="B290" s="9">
        <f>Data!B268</f>
        <v/>
      </c>
      <c r="C290" s="9">
        <f>IFERROR(TREND(Data!$B$4:$B$274,Data!$D$4:$I$274,Data!D268:I268),NA())</f>
        <v/>
      </c>
      <c r="D290" s="25">
        <f>IFERROR(B290-C290,NA())</f>
        <v/>
      </c>
      <c r="E290" s="20">
        <f>IFERROR(D290/STDEV.S(D$26:D$295),NA())</f>
        <v/>
      </c>
    </row>
    <row r="291">
      <c r="A291" s="24">
        <f>Data!A269</f>
        <v/>
      </c>
      <c r="B291" s="9">
        <f>Data!B269</f>
        <v/>
      </c>
      <c r="C291" s="9">
        <f>IFERROR(TREND(Data!$B$4:$B$274,Data!$D$4:$I$274,Data!D269:I269),NA())</f>
        <v/>
      </c>
      <c r="D291" s="25">
        <f>IFERROR(B291-C291,NA())</f>
        <v/>
      </c>
      <c r="E291" s="20">
        <f>IFERROR(D291/STDEV.S(D$26:D$295),NA())</f>
        <v/>
      </c>
    </row>
    <row r="292">
      <c r="A292" s="24">
        <f>Data!A270</f>
        <v/>
      </c>
      <c r="B292" s="9">
        <f>Data!B270</f>
        <v/>
      </c>
      <c r="C292" s="9">
        <f>IFERROR(TREND(Data!$B$4:$B$274,Data!$D$4:$I$274,Data!D270:I270),NA())</f>
        <v/>
      </c>
      <c r="D292" s="25">
        <f>IFERROR(B292-C292,NA())</f>
        <v/>
      </c>
      <c r="E292" s="20">
        <f>IFERROR(D292/STDEV.S(D$26:D$295),NA())</f>
        <v/>
      </c>
    </row>
    <row r="293">
      <c r="A293" s="24">
        <f>Data!A271</f>
        <v/>
      </c>
      <c r="B293" s="9">
        <f>Data!B271</f>
        <v/>
      </c>
      <c r="C293" s="9">
        <f>IFERROR(TREND(Data!$B$4:$B$274,Data!$D$4:$I$274,Data!D271:I271),NA())</f>
        <v/>
      </c>
      <c r="D293" s="25">
        <f>IFERROR(B293-C293,NA())</f>
        <v/>
      </c>
      <c r="E293" s="20">
        <f>IFERROR(D293/STDEV.S(D$26:D$295),NA())</f>
        <v/>
      </c>
    </row>
    <row r="294">
      <c r="A294" s="24">
        <f>Data!A272</f>
        <v/>
      </c>
      <c r="B294" s="9">
        <f>Data!B272</f>
        <v/>
      </c>
      <c r="C294" s="9">
        <f>IFERROR(TREND(Data!$B$4:$B$274,Data!$D$4:$I$274,Data!D272:I272),NA())</f>
        <v/>
      </c>
      <c r="D294" s="25">
        <f>IFERROR(B294-C294,NA())</f>
        <v/>
      </c>
      <c r="E294" s="20">
        <f>IFERROR(D294/STDEV.S(D$26:D$295),NA())</f>
        <v/>
      </c>
    </row>
    <row r="295">
      <c r="A295" s="24">
        <f>Data!A273</f>
        <v/>
      </c>
      <c r="B295" s="9">
        <f>Data!B273</f>
        <v/>
      </c>
      <c r="C295" s="9">
        <f>IFERROR(TREND(Data!$B$4:$B$274,Data!$D$4:$I$274,Data!D273:I273),NA())</f>
        <v/>
      </c>
      <c r="D295" s="25">
        <f>IFERROR(B295-C295,NA())</f>
        <v/>
      </c>
      <c r="E295" s="20">
        <f>IFERROR(D295/STDEV.S(D$26:D$295),NA())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8" t="inlineStr">
        <is>
          <t>Forecast — fair value at 3m / 6m / 12m</t>
        </is>
      </c>
    </row>
    <row r="2">
      <c r="A2" s="2" t="inlineStr">
        <is>
          <t>Enter your projection of each driver in 3, 6, and 12 months. Yellow cells = inputs. Default = current value (no change).</t>
        </is>
      </c>
    </row>
    <row r="4">
      <c r="A4" s="6" t="inlineStr">
        <is>
          <t>Variable</t>
        </is>
      </c>
      <c r="B4" s="6" t="inlineStr">
        <is>
          <t>Current</t>
        </is>
      </c>
      <c r="C4" s="6" t="inlineStr">
        <is>
          <t>3m projection</t>
        </is>
      </c>
      <c r="D4" s="6" t="inlineStr">
        <is>
          <t>6m projection</t>
        </is>
      </c>
      <c r="E4" s="6" t="inlineStr">
        <is>
          <t>12m projection</t>
        </is>
      </c>
    </row>
    <row r="5">
      <c r="A5" t="inlineStr">
        <is>
          <t>US HY OAS (bps)</t>
        </is>
      </c>
      <c r="B5" s="26">
        <f>LOOKUP(2,1/(Data!D4:D274&lt;&gt;""),Data!D4:D274)</f>
        <v/>
      </c>
      <c r="C5" s="27">
        <f>B5</f>
        <v/>
      </c>
      <c r="D5" s="27">
        <f>B5</f>
        <v/>
      </c>
      <c r="E5" s="27">
        <f>B5</f>
        <v/>
      </c>
    </row>
    <row r="6">
      <c r="A6" t="inlineStr">
        <is>
          <t>VIX</t>
        </is>
      </c>
      <c r="B6" s="26">
        <f>LOOKUP(2,1/(Data!E4:E274&lt;&gt;""),Data!E4:E274)</f>
        <v/>
      </c>
      <c r="C6" s="27">
        <f>B6</f>
        <v/>
      </c>
      <c r="D6" s="27">
        <f>B6</f>
        <v/>
      </c>
      <c r="E6" s="27">
        <f>B6</f>
        <v/>
      </c>
    </row>
    <row r="7">
      <c r="A7" t="inlineStr">
        <is>
          <t>DXY</t>
        </is>
      </c>
      <c r="B7" s="26">
        <f>LOOKUP(2,1/(Data!F4:F274&lt;&gt;""),Data!F4:F274)</f>
        <v/>
      </c>
      <c r="C7" s="27">
        <f>B7</f>
        <v/>
      </c>
      <c r="D7" s="27">
        <f>B7</f>
        <v/>
      </c>
      <c r="E7" s="27">
        <f>B7</f>
        <v/>
      </c>
    </row>
    <row r="8">
      <c r="A8" t="inlineStr">
        <is>
          <t>WTI oil (USD/bbl)</t>
        </is>
      </c>
      <c r="B8" s="26">
        <f>LOOKUP(2,1/(Data!G4:G274&lt;&gt;""),Data!G4:G274)</f>
        <v/>
      </c>
      <c r="C8" s="27">
        <f>B8</f>
        <v/>
      </c>
      <c r="D8" s="27">
        <f>B8</f>
        <v/>
      </c>
      <c r="E8" s="27">
        <f>B8</f>
        <v/>
      </c>
    </row>
    <row r="9">
      <c r="A9" t="inlineStr">
        <is>
          <t>UST 10Y yield (%)</t>
        </is>
      </c>
      <c r="B9" s="26">
        <f>LOOKUP(2,1/(Data!H4:H274&lt;&gt;""),Data!H4:H274)</f>
        <v/>
      </c>
      <c r="C9" s="27">
        <f>B9</f>
        <v/>
      </c>
      <c r="D9" s="27">
        <f>B9</f>
        <v/>
      </c>
      <c r="E9" s="27">
        <f>B9</f>
        <v/>
      </c>
    </row>
    <row r="10">
      <c r="A10" t="inlineStr">
        <is>
          <t>BCOM commodity index</t>
        </is>
      </c>
      <c r="B10" s="26">
        <f>LOOKUP(2,1/(Data!I4:I274&lt;&gt;""),Data!I4:I274)</f>
        <v/>
      </c>
      <c r="C10" s="27">
        <f>B10</f>
        <v/>
      </c>
      <c r="D10" s="27">
        <f>B10</f>
        <v/>
      </c>
      <c r="E10" s="27">
        <f>B10</f>
        <v/>
      </c>
    </row>
    <row r="13">
      <c r="A13" s="5" t="inlineStr">
        <is>
          <t>Fair value spread (bps)</t>
        </is>
      </c>
    </row>
    <row r="14">
      <c r="A14" t="inlineStr"/>
      <c r="B14" s="6" t="inlineStr">
        <is>
          <t>Current</t>
        </is>
      </c>
      <c r="C14" s="6" t="inlineStr">
        <is>
          <t>3m</t>
        </is>
      </c>
      <c r="D14" s="6" t="inlineStr">
        <is>
          <t>6m</t>
        </is>
      </c>
      <c r="E14" s="6" t="inlineStr">
        <is>
          <t>12m</t>
        </is>
      </c>
    </row>
    <row r="15">
      <c r="A15" t="inlineStr">
        <is>
          <t>Point estimate</t>
        </is>
      </c>
      <c r="B15" s="9">
        <f>TREND(Data!$B$4:$B$274,Data!$D$4:$I$274,TRANSPOSE(B5:B10))</f>
        <v/>
      </c>
      <c r="C15" s="9">
        <f>TREND(Data!$B$4:$B$274,Data!$D$4:$I$274,TRANSPOSE(C5:C10))</f>
        <v/>
      </c>
      <c r="D15" s="9">
        <f>TREND(Data!$B$4:$B$274,Data!$D$4:$I$274,TRANSPOSE(D5:D10))</f>
        <v/>
      </c>
      <c r="E15" s="9">
        <f>TREND(Data!$B$4:$B$274,Data!$D$4:$I$274,TRANSPOSE(E5:E10))</f>
        <v/>
      </c>
    </row>
    <row r="16">
      <c r="A16" s="21" t="inlineStr">
        <is>
          <t>95% lower band</t>
        </is>
      </c>
      <c r="B16" s="9">
        <f>B15-1.96*INDEX(LINEST(Data!$B$4:$B$274,Data!$D$4:$I$274,TRUE,TRUE),3,2)</f>
        <v/>
      </c>
      <c r="C16" s="9">
        <f>C15-1.96*INDEX(LINEST(Data!$B$4:$B$274,Data!$D$4:$I$274,TRUE,TRUE),3,2)</f>
        <v/>
      </c>
      <c r="D16" s="9">
        <f>D15-1.96*INDEX(LINEST(Data!$B$4:$B$274,Data!$D$4:$I$274,TRUE,TRUE),3,2)</f>
        <v/>
      </c>
      <c r="E16" s="9">
        <f>E15-1.96*INDEX(LINEST(Data!$B$4:$B$274,Data!$D$4:$I$274,TRUE,TRUE),3,2)</f>
        <v/>
      </c>
    </row>
    <row r="17">
      <c r="A17" s="21" t="inlineStr">
        <is>
          <t>95% upper band</t>
        </is>
      </c>
      <c r="B17" s="9">
        <f>B15+1.96*INDEX(LINEST(Data!$B$4:$B$274,Data!$D$4:$I$274,TRUE,TRUE),3,2)</f>
        <v/>
      </c>
      <c r="C17" s="9">
        <f>C15+1.96*INDEX(LINEST(Data!$B$4:$B$274,Data!$D$4:$I$274,TRUE,TRUE),3,2)</f>
        <v/>
      </c>
      <c r="D17" s="9">
        <f>D15+1.96*INDEX(LINEST(Data!$B$4:$B$274,Data!$D$4:$I$274,TRUE,TRUE),3,2)</f>
        <v/>
      </c>
      <c r="E17" s="9">
        <f>E15+1.96*INDEX(LINEST(Data!$B$4:$B$274,Data!$D$4:$I$274,TRUE,TRUE),3,2)</f>
        <v/>
      </c>
    </row>
    <row r="20">
      <c r="A20" s="5" t="inlineStr">
        <is>
          <t>Diagnostics vs current spread</t>
        </is>
      </c>
    </row>
    <row r="21">
      <c r="A21" t="inlineStr">
        <is>
          <t>Current EMBI spread (actual)</t>
        </is>
      </c>
      <c r="B21" s="9">
        <f>LOOKUP(2,1/(Data!B4:B274&lt;&gt;""),Data!B4:B274)</f>
        <v/>
      </c>
    </row>
    <row r="22">
      <c r="A22" t="inlineStr">
        <is>
          <t>Implied move at 3m / 6m / 12m (bps)</t>
        </is>
      </c>
      <c r="C22" s="15">
        <f>C15-B21</f>
        <v/>
      </c>
      <c r="D22" s="15">
        <f>D15-B21</f>
        <v/>
      </c>
      <c r="E22" s="15">
        <f>E15-B21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6" customWidth="1" min="4" max="4"/>
    <col width="12" customWidth="1" min="5" max="5"/>
    <col width="14" customWidth="1" min="6" max="6"/>
    <col width="18" customWidth="1" min="7" max="7"/>
    <col width="14" customWidth="1" min="8" max="8"/>
  </cols>
  <sheetData>
    <row r="1">
      <c r="A1" s="18" t="inlineStr">
        <is>
          <t>Bottom-up — country attribution and shock scenarios</t>
        </is>
      </c>
    </row>
    <row r="2">
      <c r="A2" s="2" t="inlineStr">
        <is>
          <t>Edit shock_bps (yellow) per country to see the impact on aggregate EMBI spread. Weights × spreads sum to model EMBI; weights × shocks = ΔEMBI.</t>
        </is>
      </c>
    </row>
    <row r="4">
      <c r="A4" s="6" t="inlineStr">
        <is>
          <t>Country</t>
        </is>
      </c>
      <c r="B4" s="6" t="inlineStr">
        <is>
          <t>Weight (%)</t>
        </is>
      </c>
      <c r="C4" s="6" t="inlineStr">
        <is>
          <t>Current spread (bps)</t>
        </is>
      </c>
      <c r="D4" s="6" t="inlineStr">
        <is>
          <t>Contribution (bps)</t>
        </is>
      </c>
      <c r="E4" s="6" t="inlineStr">
        <is>
          <t>Shock (bps)</t>
        </is>
      </c>
      <c r="F4" s="6" t="inlineStr">
        <is>
          <t>New spread</t>
        </is>
      </c>
      <c r="G4" s="6" t="inlineStr">
        <is>
          <t>New contribution</t>
        </is>
      </c>
      <c r="H4" s="6" t="inlineStr">
        <is>
          <t>Δ contribution</t>
        </is>
      </c>
    </row>
    <row r="5">
      <c r="A5" t="inlineStr">
        <is>
          <t>Saudi Arabia</t>
        </is>
      </c>
      <c r="B5" s="28" t="n">
        <v>5</v>
      </c>
      <c r="C5" s="9">
        <f>LOOKUP(2,1/(Data!L4:L274&lt;&gt;""),Data!L4:L274)</f>
        <v/>
      </c>
      <c r="D5" s="10">
        <f>B5*C5/100</f>
        <v/>
      </c>
      <c r="E5" s="29" t="n">
        <v>0</v>
      </c>
      <c r="F5" s="9">
        <f>C5+E5</f>
        <v/>
      </c>
      <c r="G5" s="10">
        <f>B5*F5/100</f>
        <v/>
      </c>
      <c r="H5" s="30">
        <f>G5-D5</f>
        <v/>
      </c>
    </row>
    <row r="6">
      <c r="A6" t="inlineStr">
        <is>
          <t>Mexico</t>
        </is>
      </c>
      <c r="B6" s="28" t="n">
        <v>4.8</v>
      </c>
      <c r="C6" s="9">
        <f>LOOKUP(2,1/(Data!O4:O274&lt;&gt;""),Data!O4:O274)</f>
        <v/>
      </c>
      <c r="D6" s="10">
        <f>B6*C6/100</f>
        <v/>
      </c>
      <c r="E6" s="29" t="n">
        <v>0</v>
      </c>
      <c r="F6" s="9">
        <f>C6+E6</f>
        <v/>
      </c>
      <c r="G6" s="10">
        <f>B6*F6/100</f>
        <v/>
      </c>
      <c r="H6" s="30">
        <f>G6-D6</f>
        <v/>
      </c>
    </row>
    <row r="7">
      <c r="A7" t="inlineStr">
        <is>
          <t>Indonesia</t>
        </is>
      </c>
      <c r="B7" s="28" t="n">
        <v>4.7</v>
      </c>
      <c r="C7" s="9">
        <f>LOOKUP(2,1/(Data!R4:R274&lt;&gt;""),Data!R4:R274)</f>
        <v/>
      </c>
      <c r="D7" s="10">
        <f>B7*C7/100</f>
        <v/>
      </c>
      <c r="E7" s="29" t="n">
        <v>0</v>
      </c>
      <c r="F7" s="9">
        <f>C7+E7</f>
        <v/>
      </c>
      <c r="G7" s="10">
        <f>B7*F7/100</f>
        <v/>
      </c>
      <c r="H7" s="30">
        <f>G7-D7</f>
        <v/>
      </c>
    </row>
    <row r="8">
      <c r="A8" t="inlineStr">
        <is>
          <t>Turkey</t>
        </is>
      </c>
      <c r="B8" s="28" t="n">
        <v>4.6</v>
      </c>
      <c r="C8" s="9">
        <f>LOOKUP(2,1/(Data!U4:U274&lt;&gt;""),Data!U4:U274)</f>
        <v/>
      </c>
      <c r="D8" s="10">
        <f>B8*C8/100</f>
        <v/>
      </c>
      <c r="E8" s="29" t="n">
        <v>0</v>
      </c>
      <c r="F8" s="9">
        <f>C8+E8</f>
        <v/>
      </c>
      <c r="G8" s="10">
        <f>B8*F8/100</f>
        <v/>
      </c>
      <c r="H8" s="30">
        <f>G8-D8</f>
        <v/>
      </c>
    </row>
    <row r="9">
      <c r="A9" t="inlineStr">
        <is>
          <t>Brazil</t>
        </is>
      </c>
      <c r="B9" s="28" t="n">
        <v>4.5</v>
      </c>
      <c r="C9" s="9">
        <f>LOOKUP(2,1/(Data!X4:X274&lt;&gt;""),Data!X4:X274)</f>
        <v/>
      </c>
      <c r="D9" s="10">
        <f>B9*C9/100</f>
        <v/>
      </c>
      <c r="E9" s="29" t="n">
        <v>0</v>
      </c>
      <c r="F9" s="9">
        <f>C9+E9</f>
        <v/>
      </c>
      <c r="G9" s="10">
        <f>B9*F9/100</f>
        <v/>
      </c>
      <c r="H9" s="30">
        <f>G9-D9</f>
        <v/>
      </c>
    </row>
    <row r="10">
      <c r="A10" t="inlineStr">
        <is>
          <t>China</t>
        </is>
      </c>
      <c r="B10" s="28" t="n">
        <v>4.5</v>
      </c>
      <c r="C10" s="9">
        <f>LOOKUP(2,1/(Data!AA4:AA274&lt;&gt;""),Data!AA4:AA274)</f>
        <v/>
      </c>
      <c r="D10" s="10">
        <f>B10*C10/100</f>
        <v/>
      </c>
      <c r="E10" s="29" t="n">
        <v>0</v>
      </c>
      <c r="F10" s="9">
        <f>C10+E10</f>
        <v/>
      </c>
      <c r="G10" s="10">
        <f>B10*F10/100</f>
        <v/>
      </c>
      <c r="H10" s="30">
        <f>G10-D10</f>
        <v/>
      </c>
    </row>
    <row r="11">
      <c r="A11" t="inlineStr">
        <is>
          <t>UAE</t>
        </is>
      </c>
      <c r="B11" s="28" t="n">
        <v>4</v>
      </c>
      <c r="C11" s="9">
        <f>LOOKUP(2,1/(Data!AD4:AD274&lt;&gt;""),Data!AD4:AD274)</f>
        <v/>
      </c>
      <c r="D11" s="10">
        <f>B11*C11/100</f>
        <v/>
      </c>
      <c r="E11" s="29" t="n">
        <v>0</v>
      </c>
      <c r="F11" s="9">
        <f>C11+E11</f>
        <v/>
      </c>
      <c r="G11" s="10">
        <f>B11*F11/100</f>
        <v/>
      </c>
      <c r="H11" s="30">
        <f>G11-D11</f>
        <v/>
      </c>
    </row>
    <row r="12">
      <c r="A12" t="inlineStr">
        <is>
          <t>Egypt</t>
        </is>
      </c>
      <c r="B12" s="28" t="n">
        <v>3.9</v>
      </c>
      <c r="C12" s="9">
        <f>LOOKUP(2,1/(Data!AG4:AG274&lt;&gt;""),Data!AG4:AG274)</f>
        <v/>
      </c>
      <c r="D12" s="10">
        <f>B12*C12/100</f>
        <v/>
      </c>
      <c r="E12" s="29" t="n">
        <v>0</v>
      </c>
      <c r="F12" s="9">
        <f>C12+E12</f>
        <v/>
      </c>
      <c r="G12" s="10">
        <f>B12*F12/100</f>
        <v/>
      </c>
      <c r="H12" s="30">
        <f>G12-D12</f>
        <v/>
      </c>
    </row>
    <row r="13">
      <c r="A13" t="inlineStr">
        <is>
          <t>Argentina</t>
        </is>
      </c>
      <c r="B13" s="28" t="n">
        <v>3.6</v>
      </c>
      <c r="C13" s="9">
        <f>LOOKUP(2,1/(Data!AJ4:AJ274&lt;&gt;""),Data!AJ4:AJ274)</f>
        <v/>
      </c>
      <c r="D13" s="10">
        <f>B13*C13/100</f>
        <v/>
      </c>
      <c r="E13" s="29" t="n">
        <v>0</v>
      </c>
      <c r="F13" s="9">
        <f>C13+E13</f>
        <v/>
      </c>
      <c r="G13" s="10">
        <f>B13*F13/100</f>
        <v/>
      </c>
      <c r="H13" s="30">
        <f>G13-D13</f>
        <v/>
      </c>
    </row>
    <row r="14">
      <c r="A14" t="inlineStr">
        <is>
          <t>South Africa</t>
        </is>
      </c>
      <c r="B14" s="28" t="n">
        <v>3.4</v>
      </c>
      <c r="C14" s="9">
        <f>LOOKUP(2,1/(Data!AM4:AM274&lt;&gt;""),Data!AM4:AM274)</f>
        <v/>
      </c>
      <c r="D14" s="10">
        <f>B14*C14/100</f>
        <v/>
      </c>
      <c r="E14" s="29" t="n">
        <v>0</v>
      </c>
      <c r="F14" s="9">
        <f>C14+E14</f>
        <v/>
      </c>
      <c r="G14" s="10">
        <f>B14*F14/100</f>
        <v/>
      </c>
      <c r="H14" s="30">
        <f>G14-D14</f>
        <v/>
      </c>
    </row>
    <row r="15">
      <c r="A15" t="inlineStr">
        <is>
          <t>Colombia</t>
        </is>
      </c>
      <c r="B15" s="28" t="n">
        <v>3</v>
      </c>
      <c r="C15" s="9">
        <f>LOOKUP(2,1/(Data!AP4:AP274&lt;&gt;""),Data!AP4:AP274)</f>
        <v/>
      </c>
      <c r="D15" s="10">
        <f>B15*C15/100</f>
        <v/>
      </c>
      <c r="E15" s="29" t="n">
        <v>0</v>
      </c>
      <c r="F15" s="9">
        <f>C15+E15</f>
        <v/>
      </c>
      <c r="G15" s="10">
        <f>B15*F15/100</f>
        <v/>
      </c>
      <c r="H15" s="30">
        <f>G15-D15</f>
        <v/>
      </c>
    </row>
    <row r="16">
      <c r="A16" t="inlineStr">
        <is>
          <t>Philippines</t>
        </is>
      </c>
      <c r="B16" s="28" t="n">
        <v>3</v>
      </c>
      <c r="C16" s="9">
        <f>LOOKUP(2,1/(Data!AS4:AS274&lt;&gt;""),Data!AS4:AS274)</f>
        <v/>
      </c>
      <c r="D16" s="10">
        <f>B16*C16/100</f>
        <v/>
      </c>
      <c r="E16" s="29" t="n">
        <v>0</v>
      </c>
      <c r="F16" s="9">
        <f>C16+E16</f>
        <v/>
      </c>
      <c r="G16" s="10">
        <f>B16*F16/100</f>
        <v/>
      </c>
      <c r="H16" s="30">
        <f>G16-D16</f>
        <v/>
      </c>
    </row>
    <row r="17">
      <c r="A17" t="inlineStr">
        <is>
          <t>Romania</t>
        </is>
      </c>
      <c r="B17" s="28" t="n">
        <v>2.8</v>
      </c>
      <c r="C17" s="9">
        <f>LOOKUP(2,1/(Data!AV4:AV274&lt;&gt;""),Data!AV4:AV274)</f>
        <v/>
      </c>
      <c r="D17" s="10">
        <f>B17*C17/100</f>
        <v/>
      </c>
      <c r="E17" s="29" t="n">
        <v>0</v>
      </c>
      <c r="F17" s="9">
        <f>C17+E17</f>
        <v/>
      </c>
      <c r="G17" s="10">
        <f>B17*F17/100</f>
        <v/>
      </c>
      <c r="H17" s="30">
        <f>G17-D17</f>
        <v/>
      </c>
    </row>
    <row r="18">
      <c r="A18" t="inlineStr">
        <is>
          <t>Chile</t>
        </is>
      </c>
      <c r="B18" s="28" t="n">
        <v>2.5</v>
      </c>
      <c r="C18" s="9">
        <f>LOOKUP(2,1/(Data!AY4:AY274&lt;&gt;""),Data!AY4:AY274)</f>
        <v/>
      </c>
      <c r="D18" s="10">
        <f>B18*C18/100</f>
        <v/>
      </c>
      <c r="E18" s="29" t="n">
        <v>0</v>
      </c>
      <c r="F18" s="9">
        <f>C18+E18</f>
        <v/>
      </c>
      <c r="G18" s="10">
        <f>B18*F18/100</f>
        <v/>
      </c>
      <c r="H18" s="30">
        <f>G18-D18</f>
        <v/>
      </c>
    </row>
    <row r="19">
      <c r="A19" t="inlineStr">
        <is>
          <t>Hungary</t>
        </is>
      </c>
      <c r="B19" s="28" t="n">
        <v>2.3</v>
      </c>
      <c r="C19" s="9">
        <f>LOOKUP(2,1/(Data!BB4:BB274&lt;&gt;""),Data!BB4:BB274)</f>
        <v/>
      </c>
      <c r="D19" s="10">
        <f>B19*C19/100</f>
        <v/>
      </c>
      <c r="E19" s="29" t="n">
        <v>0</v>
      </c>
      <c r="F19" s="9">
        <f>C19+E19</f>
        <v/>
      </c>
      <c r="G19" s="10">
        <f>B19*F19/100</f>
        <v/>
      </c>
      <c r="H19" s="30">
        <f>G19-D19</f>
        <v/>
      </c>
    </row>
    <row r="20">
      <c r="A20" t="inlineStr">
        <is>
          <t>Poland</t>
        </is>
      </c>
      <c r="B20" s="28" t="n">
        <v>2.2</v>
      </c>
      <c r="C20" s="9">
        <f>LOOKUP(2,1/(Data!BE4:BE274&lt;&gt;""),Data!BE4:BE274)</f>
        <v/>
      </c>
      <c r="D20" s="10">
        <f>B20*C20/100</f>
        <v/>
      </c>
      <c r="E20" s="29" t="n">
        <v>0</v>
      </c>
      <c r="F20" s="9">
        <f>C20+E20</f>
        <v/>
      </c>
      <c r="G20" s="10">
        <f>B20*F20/100</f>
        <v/>
      </c>
      <c r="H20" s="30">
        <f>G20-D20</f>
        <v/>
      </c>
    </row>
    <row r="21">
      <c r="A21" t="inlineStr">
        <is>
          <t>Peru</t>
        </is>
      </c>
      <c r="B21" s="28" t="n">
        <v>2</v>
      </c>
      <c r="C21" s="9">
        <f>LOOKUP(2,1/(Data!BH4:BH274&lt;&gt;""),Data!BH4:BH274)</f>
        <v/>
      </c>
      <c r="D21" s="10">
        <f>B21*C21/100</f>
        <v/>
      </c>
      <c r="E21" s="29" t="n">
        <v>0</v>
      </c>
      <c r="F21" s="9">
        <f>C21+E21</f>
        <v/>
      </c>
      <c r="G21" s="10">
        <f>B21*F21/100</f>
        <v/>
      </c>
      <c r="H21" s="30">
        <f>G21-D21</f>
        <v/>
      </c>
    </row>
    <row r="22">
      <c r="A22" t="inlineStr">
        <is>
          <t>Dominican Rep.</t>
        </is>
      </c>
      <c r="B22" s="28" t="n">
        <v>1.8</v>
      </c>
      <c r="C22" s="9">
        <f>LOOKUP(2,1/(Data!BK4:BK274&lt;&gt;""),Data!BK4:BK274)</f>
        <v/>
      </c>
      <c r="D22" s="10">
        <f>B22*C22/100</f>
        <v/>
      </c>
      <c r="E22" s="29" t="n">
        <v>0</v>
      </c>
      <c r="F22" s="9">
        <f>C22+E22</f>
        <v/>
      </c>
      <c r="G22" s="10">
        <f>B22*F22/100</f>
        <v/>
      </c>
      <c r="H22" s="30">
        <f>G22-D22</f>
        <v/>
      </c>
    </row>
    <row r="23">
      <c r="A23" t="inlineStr">
        <is>
          <t>Qatar</t>
        </is>
      </c>
      <c r="B23" s="28" t="n">
        <v>1.8</v>
      </c>
      <c r="C23" s="9">
        <f>LOOKUP(2,1/(Data!BN4:BN274&lt;&gt;""),Data!BN4:BN274)</f>
        <v/>
      </c>
      <c r="D23" s="10">
        <f>B23*C23/100</f>
        <v/>
      </c>
      <c r="E23" s="29" t="n">
        <v>0</v>
      </c>
      <c r="F23" s="9">
        <f>C23+E23</f>
        <v/>
      </c>
      <c r="G23" s="10">
        <f>B23*F23/100</f>
        <v/>
      </c>
      <c r="H23" s="30">
        <f>G23-D23</f>
        <v/>
      </c>
    </row>
    <row r="24">
      <c r="A24" t="inlineStr">
        <is>
          <t>Oman</t>
        </is>
      </c>
      <c r="B24" s="28" t="n">
        <v>1.7</v>
      </c>
      <c r="C24" s="9">
        <f>LOOKUP(2,1/(Data!BQ4:BQ274&lt;&gt;""),Data!BQ4:BQ274)</f>
        <v/>
      </c>
      <c r="D24" s="10">
        <f>B24*C24/100</f>
        <v/>
      </c>
      <c r="E24" s="29" t="n">
        <v>0</v>
      </c>
      <c r="F24" s="9">
        <f>C24+E24</f>
        <v/>
      </c>
      <c r="G24" s="10">
        <f>B24*F24/100</f>
        <v/>
      </c>
      <c r="H24" s="30">
        <f>G24-D24</f>
        <v/>
      </c>
    </row>
    <row r="25">
      <c r="A25" t="inlineStr">
        <is>
          <t>Nigeria</t>
        </is>
      </c>
      <c r="B25" s="28" t="n">
        <v>1.6</v>
      </c>
      <c r="C25" s="9">
        <f>LOOKUP(2,1/(Data!BT4:BT274&lt;&gt;""),Data!BT4:BT274)</f>
        <v/>
      </c>
      <c r="D25" s="10">
        <f>B25*C25/100</f>
        <v/>
      </c>
      <c r="E25" s="29" t="n">
        <v>0</v>
      </c>
      <c r="F25" s="9">
        <f>C25+E25</f>
        <v/>
      </c>
      <c r="G25" s="10">
        <f>B25*F25/100</f>
        <v/>
      </c>
      <c r="H25" s="30">
        <f>G25-D25</f>
        <v/>
      </c>
    </row>
    <row r="26">
      <c r="A26" t="inlineStr">
        <is>
          <t>Panama</t>
        </is>
      </c>
      <c r="B26" s="28" t="n">
        <v>1.5</v>
      </c>
      <c r="C26" s="9">
        <f>LOOKUP(2,1/(Data!BW4:BW274&lt;&gt;""),Data!BW4:BW274)</f>
        <v/>
      </c>
      <c r="D26" s="10">
        <f>B26*C26/100</f>
        <v/>
      </c>
      <c r="E26" s="29" t="n">
        <v>0</v>
      </c>
      <c r="F26" s="9">
        <f>C26+E26</f>
        <v/>
      </c>
      <c r="G26" s="10">
        <f>B26*F26/100</f>
        <v/>
      </c>
      <c r="H26" s="30">
        <f>G26-D26</f>
        <v/>
      </c>
    </row>
    <row r="27">
      <c r="A27" t="inlineStr">
        <is>
          <t>Pakistan</t>
        </is>
      </c>
      <c r="B27" s="28" t="n">
        <v>1.5</v>
      </c>
      <c r="C27" s="9">
        <f>LOOKUP(2,1/(Data!BZ4:BZ274&lt;&gt;""),Data!BZ4:BZ274)</f>
        <v/>
      </c>
      <c r="D27" s="10">
        <f>B27*C27/100</f>
        <v/>
      </c>
      <c r="E27" s="29" t="n">
        <v>0</v>
      </c>
      <c r="F27" s="9">
        <f>C27+E27</f>
        <v/>
      </c>
      <c r="G27" s="10">
        <f>B27*F27/100</f>
        <v/>
      </c>
      <c r="H27" s="30">
        <f>G27-D27</f>
        <v/>
      </c>
    </row>
    <row r="28">
      <c r="A28" t="inlineStr">
        <is>
          <t>Bahrain</t>
        </is>
      </c>
      <c r="B28" s="28" t="n">
        <v>1.4</v>
      </c>
      <c r="C28" s="9">
        <f>LOOKUP(2,1/(Data!CC4:CC274&lt;&gt;""),Data!CC4:CC274)</f>
        <v/>
      </c>
      <c r="D28" s="10">
        <f>B28*C28/100</f>
        <v/>
      </c>
      <c r="E28" s="29" t="n">
        <v>0</v>
      </c>
      <c r="F28" s="9">
        <f>C28+E28</f>
        <v/>
      </c>
      <c r="G28" s="10">
        <f>B28*F28/100</f>
        <v/>
      </c>
      <c r="H28" s="30">
        <f>G28-D28</f>
        <v/>
      </c>
    </row>
    <row r="29">
      <c r="A29" t="inlineStr">
        <is>
          <t>Ukraine</t>
        </is>
      </c>
      <c r="B29" s="28" t="n">
        <v>1</v>
      </c>
      <c r="C29" s="9">
        <f>LOOKUP(2,1/(Data!CF4:CF274&lt;&gt;""),Data!CF4:CF274)</f>
        <v/>
      </c>
      <c r="D29" s="10">
        <f>B29*C29/100</f>
        <v/>
      </c>
      <c r="E29" s="29" t="n">
        <v>0</v>
      </c>
      <c r="F29" s="9">
        <f>C29+E29</f>
        <v/>
      </c>
      <c r="G29" s="10">
        <f>B29*F29/100</f>
        <v/>
      </c>
      <c r="H29" s="30">
        <f>G29-D29</f>
        <v/>
      </c>
    </row>
    <row r="30">
      <c r="A30" t="inlineStr">
        <is>
          <t>Venezuela</t>
        </is>
      </c>
      <c r="B30" s="28" t="n">
        <v>0.5</v>
      </c>
      <c r="C30" s="9">
        <f>LOOKUP(2,1/(Data!CI4:CI274&lt;&gt;""),Data!CI4:CI274)</f>
        <v/>
      </c>
      <c r="D30" s="10">
        <f>B30*C30/100</f>
        <v/>
      </c>
      <c r="E30" s="29" t="n">
        <v>0</v>
      </c>
      <c r="F30" s="9">
        <f>C30+E30</f>
        <v/>
      </c>
      <c r="G30" s="10">
        <f>B30*F30/100</f>
        <v/>
      </c>
      <c r="H30" s="30">
        <f>G30-D30</f>
        <v/>
      </c>
    </row>
    <row r="31">
      <c r="A31" t="inlineStr">
        <is>
          <t>Other (rest)</t>
        </is>
      </c>
      <c r="B31" s="28" t="n">
        <v>25.4</v>
      </c>
      <c r="C31" s="9">
        <f>AVERAGE(C5:C30)</f>
        <v/>
      </c>
      <c r="D31" s="10">
        <f>B31*C31/100</f>
        <v/>
      </c>
      <c r="E31" s="29" t="n">
        <v>0</v>
      </c>
      <c r="F31" s="9">
        <f>C31+E31</f>
        <v/>
      </c>
      <c r="G31" s="10">
        <f>B31*F31/100</f>
        <v/>
      </c>
      <c r="H31" s="30">
        <f>G31-D31</f>
        <v/>
      </c>
    </row>
    <row r="32">
      <c r="A32" s="31" t="inlineStr">
        <is>
          <t>TOTAL / weighted average</t>
        </is>
      </c>
      <c r="B32" s="32">
        <f>SUM(B5:B31)</f>
        <v/>
      </c>
      <c r="C32" s="31" t="inlineStr">
        <is>
          <t>—</t>
        </is>
      </c>
      <c r="D32" s="33">
        <f>SUM(D5:D31)/B32*100</f>
        <v/>
      </c>
      <c r="E32" s="31" t="inlineStr">
        <is>
          <t>—</t>
        </is>
      </c>
      <c r="F32" s="31" t="inlineStr">
        <is>
          <t>—</t>
        </is>
      </c>
      <c r="G32" s="33">
        <f>SUM(G5:G31)/B32*100</f>
        <v/>
      </c>
      <c r="H32" s="34">
        <f>G32-D32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H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" customWidth="1" min="10" max="10"/>
    <col width="14" customWidth="1" min="11" max="11"/>
    <col width="14" customWidth="1" min="12" max="12"/>
    <col width="14" customWidth="1" min="14" max="14"/>
    <col width="14" customWidth="1" min="15" max="15"/>
    <col width="14" customWidth="1" min="17" max="17"/>
    <col width="14" customWidth="1" min="18" max="18"/>
    <col width="14" customWidth="1" min="20" max="20"/>
    <col width="14" customWidth="1" min="21" max="21"/>
    <col width="14" customWidth="1" min="23" max="23"/>
    <col width="14" customWidth="1" min="24" max="24"/>
    <col width="14" customWidth="1" min="26" max="26"/>
    <col width="14" customWidth="1" min="27" max="27"/>
    <col width="14" customWidth="1" min="29" max="29"/>
    <col width="14" customWidth="1" min="30" max="30"/>
    <col width="14" customWidth="1" min="32" max="32"/>
    <col width="14" customWidth="1" min="33" max="33"/>
    <col width="14" customWidth="1" min="35" max="35"/>
    <col width="14" customWidth="1" min="36" max="36"/>
    <col width="14" customWidth="1" min="38" max="38"/>
    <col width="14" customWidth="1" min="39" max="39"/>
    <col width="14" customWidth="1" min="41" max="41"/>
    <col width="14" customWidth="1" min="42" max="42"/>
    <col width="14" customWidth="1" min="44" max="44"/>
    <col width="14" customWidth="1" min="45" max="45"/>
    <col width="14" customWidth="1" min="47" max="47"/>
    <col width="14" customWidth="1" min="48" max="48"/>
    <col width="14" customWidth="1" min="50" max="50"/>
    <col width="14" customWidth="1" min="51" max="51"/>
    <col width="14" customWidth="1" min="53" max="53"/>
    <col width="14" customWidth="1" min="54" max="54"/>
    <col width="14" customWidth="1" min="56" max="56"/>
    <col width="14" customWidth="1" min="57" max="57"/>
    <col width="14" customWidth="1" min="59" max="59"/>
    <col width="14" customWidth="1" min="60" max="60"/>
    <col width="14" customWidth="1" min="62" max="62"/>
    <col width="14" customWidth="1" min="63" max="63"/>
    <col width="14" customWidth="1" min="65" max="65"/>
    <col width="14" customWidth="1" min="66" max="66"/>
    <col width="14" customWidth="1" min="68" max="68"/>
    <col width="14" customWidth="1" min="69" max="69"/>
    <col width="14" customWidth="1" min="71" max="71"/>
    <col width="14" customWidth="1" min="72" max="72"/>
    <col width="14" customWidth="1" min="74" max="74"/>
    <col width="14" customWidth="1" min="75" max="75"/>
    <col width="14" customWidth="1" min="77" max="77"/>
    <col width="14" customWidth="1" min="78" max="78"/>
    <col width="14" customWidth="1" min="80" max="80"/>
    <col width="14" customWidth="1" min="81" max="81"/>
    <col width="14" customWidth="1" min="83" max="83"/>
    <col width="14" customWidth="1" min="84" max="84"/>
    <col width="14" customWidth="1" min="86" max="86"/>
    <col width="14" customWidth="1" min="87" max="87"/>
  </cols>
  <sheetData>
    <row r="1">
      <c r="A1" s="18" t="inlineStr">
        <is>
          <t>Data — Bloomberg BDH formulas</t>
        </is>
      </c>
    </row>
    <row r="2">
      <c r="A2" s="2" t="inlineStr">
        <is>
          <t>Refresh via BLP → Refresh Workbook (or F9). Monthly frequency from 2005.</t>
        </is>
      </c>
    </row>
    <row r="3">
      <c r="A3" s="6" t="inlineStr">
        <is>
          <t>Date</t>
        </is>
      </c>
      <c r="B3" s="6" t="inlineStr">
        <is>
          <t>EMBI Global Diversified spread (bps)</t>
        </is>
      </c>
      <c r="C3" s="6" t="inlineStr">
        <is>
          <t>US HY OAS (bps)</t>
        </is>
      </c>
      <c r="D3" s="6" t="inlineStr">
        <is>
          <t>VIX</t>
        </is>
      </c>
      <c r="E3" s="6" t="inlineStr">
        <is>
          <t>DXY</t>
        </is>
      </c>
      <c r="F3" s="6" t="inlineStr">
        <is>
          <t>WTI oil (USD/bbl)</t>
        </is>
      </c>
      <c r="G3" s="6" t="inlineStr">
        <is>
          <t>UST 10Y yield (%)</t>
        </is>
      </c>
      <c r="H3" s="6" t="inlineStr">
        <is>
          <t>BCOM commodity index</t>
        </is>
      </c>
      <c r="J3" s="35" t="inlineStr"/>
      <c r="K3" s="6" t="inlineStr">
        <is>
          <t>Saudi Arabia spread (bps)</t>
        </is>
      </c>
      <c r="N3" s="6" t="inlineStr">
        <is>
          <t>Mexico spread (bps)</t>
        </is>
      </c>
      <c r="Q3" s="6" t="inlineStr">
        <is>
          <t>Indonesia spread (bps)</t>
        </is>
      </c>
      <c r="T3" s="6" t="inlineStr">
        <is>
          <t>Turkey spread (bps)</t>
        </is>
      </c>
      <c r="W3" s="6" t="inlineStr">
        <is>
          <t>Brazil spread (bps)</t>
        </is>
      </c>
      <c r="Z3" s="6" t="inlineStr">
        <is>
          <t>China spread (bps)</t>
        </is>
      </c>
      <c r="AC3" s="6" t="inlineStr">
        <is>
          <t>UAE spread (bps)</t>
        </is>
      </c>
      <c r="AF3" s="6" t="inlineStr">
        <is>
          <t>Egypt spread (bps)</t>
        </is>
      </c>
      <c r="AI3" s="6" t="inlineStr">
        <is>
          <t>Argentina spread (bps)</t>
        </is>
      </c>
      <c r="AL3" s="6" t="inlineStr">
        <is>
          <t>South Africa spread (bps)</t>
        </is>
      </c>
      <c r="AO3" s="6" t="inlineStr">
        <is>
          <t>Colombia spread (bps)</t>
        </is>
      </c>
      <c r="AR3" s="6" t="inlineStr">
        <is>
          <t>Philippines spread (bps)</t>
        </is>
      </c>
      <c r="AU3" s="6" t="inlineStr">
        <is>
          <t>Romania spread (bps)</t>
        </is>
      </c>
      <c r="AX3" s="6" t="inlineStr">
        <is>
          <t>Chile spread (bps)</t>
        </is>
      </c>
      <c r="BA3" s="6" t="inlineStr">
        <is>
          <t>Hungary spread (bps)</t>
        </is>
      </c>
      <c r="BD3" s="6" t="inlineStr">
        <is>
          <t>Poland spread (bps)</t>
        </is>
      </c>
      <c r="BG3" s="6" t="inlineStr">
        <is>
          <t>Peru spread (bps)</t>
        </is>
      </c>
      <c r="BJ3" s="6" t="inlineStr">
        <is>
          <t>Dominican Rep. spread (bps)</t>
        </is>
      </c>
      <c r="BM3" s="6" t="inlineStr">
        <is>
          <t>Qatar spread (bps)</t>
        </is>
      </c>
      <c r="BP3" s="6" t="inlineStr">
        <is>
          <t>Oman spread (bps)</t>
        </is>
      </c>
      <c r="BS3" s="6" t="inlineStr">
        <is>
          <t>Nigeria spread (bps)</t>
        </is>
      </c>
      <c r="BV3" s="6" t="inlineStr">
        <is>
          <t>Panama spread (bps)</t>
        </is>
      </c>
      <c r="BY3" s="6" t="inlineStr">
        <is>
          <t>Pakistan spread (bps)</t>
        </is>
      </c>
      <c r="CB3" s="6" t="inlineStr">
        <is>
          <t>Bahrain spread (bps)</t>
        </is>
      </c>
      <c r="CE3" s="6" t="inlineStr">
        <is>
          <t>Ukraine spread (bps)</t>
        </is>
      </c>
      <c r="CH3" s="6" t="inlineStr">
        <is>
          <t>Venezuela spread (bps)</t>
        </is>
      </c>
    </row>
    <row r="4">
      <c r="A4">
        <f>BDH("JPEGSOSD Index","PX_LAST","1/1/2005",TODAY(),"Per","M","Days","A","fill","P")</f>
        <v/>
      </c>
      <c r="C4">
        <f>BDH({"LF98OAS Index","VIX Index","DXY Curncy","CL1 Comdty","USGG10YR Index","BCOM Index"},"PX_LAST","1/1/2005",TODAY(),"Per","M","Days","A","fill","P","cols","Date,Ticker")</f>
        <v/>
      </c>
      <c r="K4">
        <f>BDH("JPSSSADI Index","PX_LAST","1/1/2005",TODAY(),"Per","M","Days","A","fill","P")</f>
        <v/>
      </c>
      <c r="N4">
        <f>BDH("JPSSMEXI Index","PX_LAST","1/1/2005",TODAY(),"Per","M","Days","A","fill","P")</f>
        <v/>
      </c>
      <c r="Q4">
        <f>BDH("JPSSINDO Index","PX_LAST","1/1/2005",TODAY(),"Per","M","Days","A","fill","P")</f>
        <v/>
      </c>
      <c r="T4">
        <f>BDH("JPSSTRKY Index","PX_LAST","1/1/2005",TODAY(),"Per","M","Days","A","fill","P")</f>
        <v/>
      </c>
      <c r="W4">
        <f>BDH("JPSSBRZL Index","PX_LAST","1/1/2005",TODAY(),"Per","M","Days","A","fill","P")</f>
        <v/>
      </c>
      <c r="Z4">
        <f>BDH("JPSSCHIN Index","PX_LAST","1/1/2005",TODAY(),"Per","M","Days","A","fill","P")</f>
        <v/>
      </c>
      <c r="AC4">
        <f>BDH("JPSSUAEM Index","PX_LAST","1/1/2005",TODAY(),"Per","M","Days","A","fill","P")</f>
        <v/>
      </c>
      <c r="AF4">
        <f>BDH("JPSSEGYP Index","PX_LAST","1/1/2005",TODAY(),"Per","M","Days","A","fill","P")</f>
        <v/>
      </c>
      <c r="AI4">
        <f>BDH("JPSSARGE Index","PX_LAST","1/1/2005",TODAY(),"Per","M","Days","A","fill","P")</f>
        <v/>
      </c>
      <c r="AL4">
        <f>BDH("JPSSZAFR Index","PX_LAST","1/1/2005",TODAY(),"Per","M","Days","A","fill","P")</f>
        <v/>
      </c>
      <c r="AO4">
        <f>BDH("JPSSCOLO Index","PX_LAST","1/1/2005",TODAY(),"Per","M","Days","A","fill","P")</f>
        <v/>
      </c>
      <c r="AR4">
        <f>BDH("JPSSPHIL Index","PX_LAST","1/1/2005",TODAY(),"Per","M","Days","A","fill","P")</f>
        <v/>
      </c>
      <c r="AU4">
        <f>BDH("JPSSROMA Index","PX_LAST","1/1/2005",TODAY(),"Per","M","Days","A","fill","P")</f>
        <v/>
      </c>
      <c r="AX4">
        <f>BDH("JPSSCHIL Index","PX_LAST","1/1/2005",TODAY(),"Per","M","Days","A","fill","P")</f>
        <v/>
      </c>
      <c r="BA4">
        <f>BDH("JPSSHUNG Index","PX_LAST","1/1/2005",TODAY(),"Per","M","Days","A","fill","P")</f>
        <v/>
      </c>
      <c r="BD4">
        <f>BDH("JPSSPOLA Index","PX_LAST","1/1/2005",TODAY(),"Per","M","Days","A","fill","P")</f>
        <v/>
      </c>
      <c r="BG4">
        <f>BDH("JPSSPERU Index","PX_LAST","1/1/2005",TODAY(),"Per","M","Days","A","fill","P")</f>
        <v/>
      </c>
      <c r="BJ4">
        <f>BDH("JPSSDOMI Index","PX_LAST","1/1/2005",TODAY(),"Per","M","Days","A","fill","P")</f>
        <v/>
      </c>
      <c r="BM4">
        <f>BDH("JPSSQATA Index","PX_LAST","1/1/2005",TODAY(),"Per","M","Days","A","fill","P")</f>
        <v/>
      </c>
      <c r="BP4">
        <f>BDH("JPSSOMAN Index","PX_LAST","1/1/2005",TODAY(),"Per","M","Days","A","fill","P")</f>
        <v/>
      </c>
      <c r="BS4">
        <f>BDH("JPSSNIGE Index","PX_LAST","1/1/2005",TODAY(),"Per","M","Days","A","fill","P")</f>
        <v/>
      </c>
      <c r="BV4">
        <f>BDH("JPSSPANA Index","PX_LAST","1/1/2005",TODAY(),"Per","M","Days","A","fill","P")</f>
        <v/>
      </c>
      <c r="BY4">
        <f>BDH("JPSSPAKI Index","PX_LAST","1/1/2005",TODAY(),"Per","M","Days","A","fill","P")</f>
        <v/>
      </c>
      <c r="CB4">
        <f>BDH("JPSSBAHR Index","PX_LAST","1/1/2005",TODAY(),"Per","M","Days","A","fill","P")</f>
        <v/>
      </c>
      <c r="CE4">
        <f>BDH("JPSSUKRA Index","PX_LAST","1/1/2005",TODAY(),"Per","M","Days","A","fill","P")</f>
        <v/>
      </c>
      <c r="CH4">
        <f>BDH("JPSSVENE Index","PX_LAST","1/1/2005",TODAY(),"Per","M","Days","A","fill","P")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14" customWidth="1" min="4" max="4"/>
    <col width="36" customWidth="1" min="5" max="5"/>
  </cols>
  <sheetData>
    <row r="1">
      <c r="A1" s="6" t="inlineStr">
        <is>
          <t>Role</t>
        </is>
      </c>
      <c r="B1" s="6" t="inlineStr">
        <is>
          <t>Label</t>
        </is>
      </c>
      <c r="C1" s="6" t="inlineStr">
        <is>
          <t>Bloomberg ticker</t>
        </is>
      </c>
      <c r="D1" s="6" t="inlineStr">
        <is>
          <t>Field</t>
        </is>
      </c>
      <c r="E1" s="6" t="inlineStr">
        <is>
          <t>Notes</t>
        </is>
      </c>
    </row>
    <row r="2">
      <c r="A2" t="inlineStr">
        <is>
          <t>Target Y</t>
        </is>
      </c>
      <c r="B2" t="inlineStr">
        <is>
          <t>EMBI Global Diversified spread (bps)</t>
        </is>
      </c>
      <c r="C2" t="inlineStr">
        <is>
          <t>JPEGSOSD Index</t>
        </is>
      </c>
      <c r="D2" t="inlineStr">
        <is>
          <t>PX_LAST</t>
        </is>
      </c>
      <c r="E2" t="inlineStr">
        <is>
          <t>VERIFY: JPM EMBI GD aggregate spread</t>
        </is>
      </c>
    </row>
    <row r="3">
      <c r="A3" t="inlineStr">
        <is>
          <t>Driver X</t>
        </is>
      </c>
      <c r="B3" t="inlineStr">
        <is>
          <t>US HY OAS (bps)</t>
        </is>
      </c>
      <c r="C3" t="inlineStr">
        <is>
          <t>LF98OAS Index</t>
        </is>
      </c>
      <c r="D3" t="inlineStr">
        <is>
          <t>PX_LAST</t>
        </is>
      </c>
      <c r="E3" t="inlineStr"/>
    </row>
    <row r="4">
      <c r="A4" t="inlineStr">
        <is>
          <t>Driver X</t>
        </is>
      </c>
      <c r="B4" t="inlineStr">
        <is>
          <t>VIX</t>
        </is>
      </c>
      <c r="C4" t="inlineStr">
        <is>
          <t>VIX Index</t>
        </is>
      </c>
      <c r="D4" t="inlineStr">
        <is>
          <t>PX_LAST</t>
        </is>
      </c>
      <c r="E4" t="inlineStr"/>
    </row>
    <row r="5">
      <c r="A5" t="inlineStr">
        <is>
          <t>Driver X</t>
        </is>
      </c>
      <c r="B5" t="inlineStr">
        <is>
          <t>DXY</t>
        </is>
      </c>
      <c r="C5" t="inlineStr">
        <is>
          <t>DXY Curncy</t>
        </is>
      </c>
      <c r="D5" t="inlineStr">
        <is>
          <t>PX_LAST</t>
        </is>
      </c>
      <c r="E5" t="inlineStr"/>
    </row>
    <row r="6">
      <c r="A6" t="inlineStr">
        <is>
          <t>Driver X</t>
        </is>
      </c>
      <c r="B6" t="inlineStr">
        <is>
          <t>WTI oil (USD/bbl)</t>
        </is>
      </c>
      <c r="C6" t="inlineStr">
        <is>
          <t>CL1 Comdty</t>
        </is>
      </c>
      <c r="D6" t="inlineStr">
        <is>
          <t>PX_LAST</t>
        </is>
      </c>
      <c r="E6" t="inlineStr"/>
    </row>
    <row r="7">
      <c r="A7" t="inlineStr">
        <is>
          <t>Driver X</t>
        </is>
      </c>
      <c r="B7" t="inlineStr">
        <is>
          <t>UST 10Y yield (%)</t>
        </is>
      </c>
      <c r="C7" t="inlineStr">
        <is>
          <t>USGG10YR Index</t>
        </is>
      </c>
      <c r="D7" t="inlineStr">
        <is>
          <t>PX_LAST</t>
        </is>
      </c>
      <c r="E7" t="inlineStr"/>
    </row>
    <row r="8">
      <c r="A8" t="inlineStr">
        <is>
          <t>Driver X</t>
        </is>
      </c>
      <c r="B8" t="inlineStr">
        <is>
          <t>BCOM commodity index</t>
        </is>
      </c>
      <c r="C8" t="inlineStr">
        <is>
          <t>BCOM Index</t>
        </is>
      </c>
      <c r="D8" t="inlineStr">
        <is>
          <t>PX_LAST</t>
        </is>
      </c>
      <c r="E8" t="inlineStr"/>
    </row>
    <row r="9">
      <c r="A9" t="inlineStr">
        <is>
          <t>Country sub-index</t>
        </is>
      </c>
      <c r="B9" t="inlineStr">
        <is>
          <t>Saudi Arabia (5.0% wt)</t>
        </is>
      </c>
      <c r="C9" t="inlineStr">
        <is>
          <t>JPSSSADI Index</t>
        </is>
      </c>
      <c r="D9" t="inlineStr">
        <is>
          <t>PX_LAST</t>
        </is>
      </c>
      <c r="E9" t="inlineStr">
        <is>
          <t>VERIFY against JPSS series in your terminal</t>
        </is>
      </c>
    </row>
    <row r="10">
      <c r="A10" t="inlineStr">
        <is>
          <t>Country sub-index</t>
        </is>
      </c>
      <c r="B10" t="inlineStr">
        <is>
          <t>Mexico (4.8% wt)</t>
        </is>
      </c>
      <c r="C10" t="inlineStr">
        <is>
          <t>JPSSMEXI Index</t>
        </is>
      </c>
      <c r="D10" t="inlineStr">
        <is>
          <t>PX_LAST</t>
        </is>
      </c>
      <c r="E10" t="inlineStr">
        <is>
          <t>VERIFY against JPSS series in your terminal</t>
        </is>
      </c>
    </row>
    <row r="11">
      <c r="A11" t="inlineStr">
        <is>
          <t>Country sub-index</t>
        </is>
      </c>
      <c r="B11" t="inlineStr">
        <is>
          <t>Indonesia (4.7% wt)</t>
        </is>
      </c>
      <c r="C11" t="inlineStr">
        <is>
          <t>JPSSINDO Index</t>
        </is>
      </c>
      <c r="D11" t="inlineStr">
        <is>
          <t>PX_LAST</t>
        </is>
      </c>
      <c r="E11" t="inlineStr">
        <is>
          <t>VERIFY against JPSS series in your terminal</t>
        </is>
      </c>
    </row>
    <row r="12">
      <c r="A12" t="inlineStr">
        <is>
          <t>Country sub-index</t>
        </is>
      </c>
      <c r="B12" t="inlineStr">
        <is>
          <t>Turkey (4.6% wt)</t>
        </is>
      </c>
      <c r="C12" t="inlineStr">
        <is>
          <t>JPSSTRKY Index</t>
        </is>
      </c>
      <c r="D12" t="inlineStr">
        <is>
          <t>PX_LAST</t>
        </is>
      </c>
      <c r="E12" t="inlineStr">
        <is>
          <t>VERIFY against JPSS series in your terminal</t>
        </is>
      </c>
    </row>
    <row r="13">
      <c r="A13" t="inlineStr">
        <is>
          <t>Country sub-index</t>
        </is>
      </c>
      <c r="B13" t="inlineStr">
        <is>
          <t>Brazil (4.5% wt)</t>
        </is>
      </c>
      <c r="C13" t="inlineStr">
        <is>
          <t>JPSSBRZL Index</t>
        </is>
      </c>
      <c r="D13" t="inlineStr">
        <is>
          <t>PX_LAST</t>
        </is>
      </c>
      <c r="E13" t="inlineStr">
        <is>
          <t>VERIFY against JPSS series in your terminal</t>
        </is>
      </c>
    </row>
    <row r="14">
      <c r="A14" t="inlineStr">
        <is>
          <t>Country sub-index</t>
        </is>
      </c>
      <c r="B14" t="inlineStr">
        <is>
          <t>China (4.5% wt)</t>
        </is>
      </c>
      <c r="C14" t="inlineStr">
        <is>
          <t>JPSSCHIN Index</t>
        </is>
      </c>
      <c r="D14" t="inlineStr">
        <is>
          <t>PX_LAST</t>
        </is>
      </c>
      <c r="E14" t="inlineStr">
        <is>
          <t>VERIFY against JPSS series in your terminal</t>
        </is>
      </c>
    </row>
    <row r="15">
      <c r="A15" t="inlineStr">
        <is>
          <t>Country sub-index</t>
        </is>
      </c>
      <c r="B15" t="inlineStr">
        <is>
          <t>UAE (4.0% wt)</t>
        </is>
      </c>
      <c r="C15" t="inlineStr">
        <is>
          <t>JPSSUAEM Index</t>
        </is>
      </c>
      <c r="D15" t="inlineStr">
        <is>
          <t>PX_LAST</t>
        </is>
      </c>
      <c r="E15" t="inlineStr">
        <is>
          <t>VERIFY against JPSS series in your terminal</t>
        </is>
      </c>
    </row>
    <row r="16">
      <c r="A16" t="inlineStr">
        <is>
          <t>Country sub-index</t>
        </is>
      </c>
      <c r="B16" t="inlineStr">
        <is>
          <t>Egypt (3.9% wt)</t>
        </is>
      </c>
      <c r="C16" t="inlineStr">
        <is>
          <t>JPSSEGYP Index</t>
        </is>
      </c>
      <c r="D16" t="inlineStr">
        <is>
          <t>PX_LAST</t>
        </is>
      </c>
      <c r="E16" t="inlineStr">
        <is>
          <t>VERIFY against JPSS series in your terminal</t>
        </is>
      </c>
    </row>
    <row r="17">
      <c r="A17" t="inlineStr">
        <is>
          <t>Country sub-index</t>
        </is>
      </c>
      <c r="B17" t="inlineStr">
        <is>
          <t>Argentina (3.6% wt)</t>
        </is>
      </c>
      <c r="C17" t="inlineStr">
        <is>
          <t>JPSSARGE Index</t>
        </is>
      </c>
      <c r="D17" t="inlineStr">
        <is>
          <t>PX_LAST</t>
        </is>
      </c>
      <c r="E17" t="inlineStr">
        <is>
          <t>VERIFY against JPSS series in your terminal</t>
        </is>
      </c>
    </row>
    <row r="18">
      <c r="A18" t="inlineStr">
        <is>
          <t>Country sub-index</t>
        </is>
      </c>
      <c r="B18" t="inlineStr">
        <is>
          <t>South Africa (3.4% wt)</t>
        </is>
      </c>
      <c r="C18" t="inlineStr">
        <is>
          <t>JPSSZAFR Index</t>
        </is>
      </c>
      <c r="D18" t="inlineStr">
        <is>
          <t>PX_LAST</t>
        </is>
      </c>
      <c r="E18" t="inlineStr">
        <is>
          <t>VERIFY against JPSS series in your terminal</t>
        </is>
      </c>
    </row>
    <row r="19">
      <c r="A19" t="inlineStr">
        <is>
          <t>Country sub-index</t>
        </is>
      </c>
      <c r="B19" t="inlineStr">
        <is>
          <t>Colombia (3.0% wt)</t>
        </is>
      </c>
      <c r="C19" t="inlineStr">
        <is>
          <t>JPSSCOLO Index</t>
        </is>
      </c>
      <c r="D19" t="inlineStr">
        <is>
          <t>PX_LAST</t>
        </is>
      </c>
      <c r="E19" t="inlineStr">
        <is>
          <t>VERIFY against JPSS series in your terminal</t>
        </is>
      </c>
    </row>
    <row r="20">
      <c r="A20" t="inlineStr">
        <is>
          <t>Country sub-index</t>
        </is>
      </c>
      <c r="B20" t="inlineStr">
        <is>
          <t>Philippines (3.0% wt)</t>
        </is>
      </c>
      <c r="C20" t="inlineStr">
        <is>
          <t>JPSSPHIL Index</t>
        </is>
      </c>
      <c r="D20" t="inlineStr">
        <is>
          <t>PX_LAST</t>
        </is>
      </c>
      <c r="E20" t="inlineStr">
        <is>
          <t>VERIFY against JPSS series in your terminal</t>
        </is>
      </c>
    </row>
    <row r="21">
      <c r="A21" t="inlineStr">
        <is>
          <t>Country sub-index</t>
        </is>
      </c>
      <c r="B21" t="inlineStr">
        <is>
          <t>Romania (2.8% wt)</t>
        </is>
      </c>
      <c r="C21" t="inlineStr">
        <is>
          <t>JPSSROMA Index</t>
        </is>
      </c>
      <c r="D21" t="inlineStr">
        <is>
          <t>PX_LAST</t>
        </is>
      </c>
      <c r="E21" t="inlineStr">
        <is>
          <t>VERIFY against JPSS series in your terminal</t>
        </is>
      </c>
    </row>
    <row r="22">
      <c r="A22" t="inlineStr">
        <is>
          <t>Country sub-index</t>
        </is>
      </c>
      <c r="B22" t="inlineStr">
        <is>
          <t>Chile (2.5% wt)</t>
        </is>
      </c>
      <c r="C22" t="inlineStr">
        <is>
          <t>JPSSCHIL Index</t>
        </is>
      </c>
      <c r="D22" t="inlineStr">
        <is>
          <t>PX_LAST</t>
        </is>
      </c>
      <c r="E22" t="inlineStr">
        <is>
          <t>VERIFY against JPSS series in your terminal</t>
        </is>
      </c>
    </row>
    <row r="23">
      <c r="A23" t="inlineStr">
        <is>
          <t>Country sub-index</t>
        </is>
      </c>
      <c r="B23" t="inlineStr">
        <is>
          <t>Hungary (2.3% wt)</t>
        </is>
      </c>
      <c r="C23" t="inlineStr">
        <is>
          <t>JPSSHUNG Index</t>
        </is>
      </c>
      <c r="D23" t="inlineStr">
        <is>
          <t>PX_LAST</t>
        </is>
      </c>
      <c r="E23" t="inlineStr">
        <is>
          <t>VERIFY against JPSS series in your terminal</t>
        </is>
      </c>
    </row>
    <row r="24">
      <c r="A24" t="inlineStr">
        <is>
          <t>Country sub-index</t>
        </is>
      </c>
      <c r="B24" t="inlineStr">
        <is>
          <t>Poland (2.2% wt)</t>
        </is>
      </c>
      <c r="C24" t="inlineStr">
        <is>
          <t>JPSSPOLA Index</t>
        </is>
      </c>
      <c r="D24" t="inlineStr">
        <is>
          <t>PX_LAST</t>
        </is>
      </c>
      <c r="E24" t="inlineStr">
        <is>
          <t>VERIFY against JPSS series in your terminal</t>
        </is>
      </c>
    </row>
    <row r="25">
      <c r="A25" t="inlineStr">
        <is>
          <t>Country sub-index</t>
        </is>
      </c>
      <c r="B25" t="inlineStr">
        <is>
          <t>Peru (2.0% wt)</t>
        </is>
      </c>
      <c r="C25" t="inlineStr">
        <is>
          <t>JPSSPERU Index</t>
        </is>
      </c>
      <c r="D25" t="inlineStr">
        <is>
          <t>PX_LAST</t>
        </is>
      </c>
      <c r="E25" t="inlineStr">
        <is>
          <t>VERIFY against JPSS series in your terminal</t>
        </is>
      </c>
    </row>
    <row r="26">
      <c r="A26" t="inlineStr">
        <is>
          <t>Country sub-index</t>
        </is>
      </c>
      <c r="B26" t="inlineStr">
        <is>
          <t>Dominican Rep. (1.8% wt)</t>
        </is>
      </c>
      <c r="C26" t="inlineStr">
        <is>
          <t>JPSSDOMI Index</t>
        </is>
      </c>
      <c r="D26" t="inlineStr">
        <is>
          <t>PX_LAST</t>
        </is>
      </c>
      <c r="E26" t="inlineStr">
        <is>
          <t>VERIFY against JPSS series in your terminal</t>
        </is>
      </c>
    </row>
    <row r="27">
      <c r="A27" t="inlineStr">
        <is>
          <t>Country sub-index</t>
        </is>
      </c>
      <c r="B27" t="inlineStr">
        <is>
          <t>Qatar (1.8% wt)</t>
        </is>
      </c>
      <c r="C27" t="inlineStr">
        <is>
          <t>JPSSQATA Index</t>
        </is>
      </c>
      <c r="D27" t="inlineStr">
        <is>
          <t>PX_LAST</t>
        </is>
      </c>
      <c r="E27" t="inlineStr">
        <is>
          <t>VERIFY against JPSS series in your terminal</t>
        </is>
      </c>
    </row>
    <row r="28">
      <c r="A28" t="inlineStr">
        <is>
          <t>Country sub-index</t>
        </is>
      </c>
      <c r="B28" t="inlineStr">
        <is>
          <t>Oman (1.7% wt)</t>
        </is>
      </c>
      <c r="C28" t="inlineStr">
        <is>
          <t>JPSSOMAN Index</t>
        </is>
      </c>
      <c r="D28" t="inlineStr">
        <is>
          <t>PX_LAST</t>
        </is>
      </c>
      <c r="E28" t="inlineStr">
        <is>
          <t>VERIFY against JPSS series in your terminal</t>
        </is>
      </c>
    </row>
    <row r="29">
      <c r="A29" t="inlineStr">
        <is>
          <t>Country sub-index</t>
        </is>
      </c>
      <c r="B29" t="inlineStr">
        <is>
          <t>Nigeria (1.6% wt)</t>
        </is>
      </c>
      <c r="C29" t="inlineStr">
        <is>
          <t>JPSSNIGE Index</t>
        </is>
      </c>
      <c r="D29" t="inlineStr">
        <is>
          <t>PX_LAST</t>
        </is>
      </c>
      <c r="E29" t="inlineStr">
        <is>
          <t>VERIFY against JPSS series in your terminal</t>
        </is>
      </c>
    </row>
    <row r="30">
      <c r="A30" t="inlineStr">
        <is>
          <t>Country sub-index</t>
        </is>
      </c>
      <c r="B30" t="inlineStr">
        <is>
          <t>Panama (1.5% wt)</t>
        </is>
      </c>
      <c r="C30" t="inlineStr">
        <is>
          <t>JPSSPANA Index</t>
        </is>
      </c>
      <c r="D30" t="inlineStr">
        <is>
          <t>PX_LAST</t>
        </is>
      </c>
      <c r="E30" t="inlineStr">
        <is>
          <t>VERIFY against JPSS series in your terminal</t>
        </is>
      </c>
    </row>
    <row r="31">
      <c r="A31" t="inlineStr">
        <is>
          <t>Country sub-index</t>
        </is>
      </c>
      <c r="B31" t="inlineStr">
        <is>
          <t>Pakistan (1.5% wt)</t>
        </is>
      </c>
      <c r="C31" t="inlineStr">
        <is>
          <t>JPSSPAKI Index</t>
        </is>
      </c>
      <c r="D31" t="inlineStr">
        <is>
          <t>PX_LAST</t>
        </is>
      </c>
      <c r="E31" t="inlineStr">
        <is>
          <t>VERIFY against JPSS series in your terminal</t>
        </is>
      </c>
    </row>
    <row r="32">
      <c r="A32" t="inlineStr">
        <is>
          <t>Country sub-index</t>
        </is>
      </c>
      <c r="B32" t="inlineStr">
        <is>
          <t>Bahrain (1.4% wt)</t>
        </is>
      </c>
      <c r="C32" t="inlineStr">
        <is>
          <t>JPSSBAHR Index</t>
        </is>
      </c>
      <c r="D32" t="inlineStr">
        <is>
          <t>PX_LAST</t>
        </is>
      </c>
      <c r="E32" t="inlineStr">
        <is>
          <t>VERIFY against JPSS series in your terminal</t>
        </is>
      </c>
    </row>
    <row r="33">
      <c r="A33" t="inlineStr">
        <is>
          <t>Country sub-index</t>
        </is>
      </c>
      <c r="B33" t="inlineStr">
        <is>
          <t>Ukraine (1.0% wt)</t>
        </is>
      </c>
      <c r="C33" t="inlineStr">
        <is>
          <t>JPSSUKRA Index</t>
        </is>
      </c>
      <c r="D33" t="inlineStr">
        <is>
          <t>PX_LAST</t>
        </is>
      </c>
      <c r="E33" t="inlineStr">
        <is>
          <t>VERIFY against JPSS series in your terminal</t>
        </is>
      </c>
    </row>
    <row r="34">
      <c r="A34" t="inlineStr">
        <is>
          <t>Country sub-index</t>
        </is>
      </c>
      <c r="B34" t="inlineStr">
        <is>
          <t>Venezuela (0.5% wt)</t>
        </is>
      </c>
      <c r="C34" t="inlineStr">
        <is>
          <t>JPSSVENE Index</t>
        </is>
      </c>
      <c r="D34" t="inlineStr">
        <is>
          <t>PX_LAST</t>
        </is>
      </c>
      <c r="E34" t="inlineStr">
        <is>
          <t>VERIFY against JPSS series in your terminal</t>
        </is>
      </c>
    </row>
    <row r="35">
      <c r="A35" t="inlineStr">
        <is>
          <t>Residual</t>
        </is>
      </c>
      <c r="B35" t="inlineStr">
        <is>
          <t>Other (rest) (25.4% wt)</t>
        </is>
      </c>
      <c r="C35" t="inlineStr">
        <is>
          <t>—</t>
        </is>
      </c>
      <c r="D35" t="inlineStr">
        <is>
          <t>—</t>
        </is>
      </c>
      <c r="E35" t="inlineStr">
        <is>
          <t>Aggregates rest-of-index</t>
        </is>
      </c>
    </row>
  </sheetData>
  <autoFilter ref="A1:E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2026-04-26T17:54:16Z</dcterms:created>
  <dcterms:modified xmlns:dcterms="http://purl.org/dc/terms/" xmlns:xsi="http://www.w3.org/2001/XMLSchema-instance" xsi:type="dcterms:W3CDTF">2026-04-26T17:54:16Z</dcterms:modified>
</cp:coreProperties>
</file>