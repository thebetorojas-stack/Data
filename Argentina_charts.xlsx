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BCRA Financing" sheetId="2" state="visible" r:id="rId2"/>
    <sheet xmlns:r="http://schemas.openxmlformats.org/officeDocument/2006/relationships" name="2. Real Rates" sheetId="3" state="visible" r:id="rId3"/>
    <sheet xmlns:r="http://schemas.openxmlformats.org/officeDocument/2006/relationships" name="3. Reserves" sheetId="4" state="visible" r:id="rId4"/>
    <sheet xmlns:r="http://schemas.openxmlformats.org/officeDocument/2006/relationships" name="4. FX Overvaluation" sheetId="5" state="visible" r:id="rId5"/>
    <sheet xmlns:r="http://schemas.openxmlformats.org/officeDocument/2006/relationships" name="5. Fiscal" sheetId="6" state="visible" r:id="rId6"/>
    <sheet xmlns:r="http://schemas.openxmlformats.org/officeDocument/2006/relationships" name="6. Subsidies &amp; Prices"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
    <numFmt numFmtId="168" formatCode="+0.00;-0.00"/>
  </numFmts>
  <fonts count="22">
    <font>
      <name val="Calibri"/>
      <family val="2"/>
      <color theme="1"/>
      <sz val="11"/>
      <scheme val="minor"/>
    </font>
    <font>
      <name val="Arial"/>
      <b val="1"/>
      <color rgb="00FFFFFF"/>
      <sz val="14"/>
    </font>
    <font>
      <name val="Arial"/>
      <i val="1"/>
      <color rgb="006B6B6B"/>
      <sz val="9"/>
    </font>
    <font>
      <name val="Arial"/>
      <b val="1"/>
      <color rgb="00E60000"/>
      <sz val="11"/>
    </font>
    <font>
      <name val="Arial"/>
      <b val="1"/>
      <color rgb="001A1A1A"/>
      <sz val="10"/>
    </font>
    <font>
      <name val="Arial"/>
      <color rgb="001A1A1A"/>
      <sz val="10"/>
    </font>
    <font>
      <name val="Arial"/>
      <b val="1"/>
      <color rgb="001A1A1A"/>
      <sz val="9"/>
    </font>
    <font>
      <name val="Arial"/>
      <color rgb="000000FF"/>
      <sz val="9"/>
    </font>
    <font>
      <name val="Arial"/>
      <color rgb="001A1A1A"/>
      <sz val="8"/>
    </font>
    <font>
      <name val="Arial"/>
      <i val="1"/>
      <color rgb="006B6B6B"/>
      <sz val="8"/>
    </font>
    <font>
      <name val="Arial"/>
      <b val="1"/>
      <color rgb="006B6B6B"/>
      <sz val="8"/>
    </font>
    <font>
      <name val="Arial"/>
      <color rgb="001A1A1A"/>
      <sz val="9"/>
    </font>
    <font>
      <name val="Arial"/>
      <color rgb="006B6B6B"/>
      <sz val="9"/>
    </font>
    <font>
      <name val="Arial"/>
      <color rgb="006B6B6B"/>
      <sz val="8"/>
    </font>
    <font>
      <name val="Arial"/>
      <color rgb="00E60000"/>
      <sz val="8"/>
    </font>
    <font>
      <name val="Arial"/>
      <b val="1"/>
      <color rgb="00E60000"/>
      <sz val="12"/>
    </font>
    <font>
      <name val="Arial"/>
      <b val="1"/>
      <color rgb="001F3B63"/>
      <sz val="11"/>
    </font>
    <font>
      <name val="Arial"/>
      <b val="1"/>
      <color rgb="00C00000"/>
      <sz val="9"/>
    </font>
    <font>
      <name val="Arial"/>
      <color rgb="00C00000"/>
      <sz val="9"/>
    </font>
    <font>
      <name val="Arial"/>
      <b val="1"/>
      <color rgb="00E60000"/>
      <sz val="9"/>
    </font>
    <font>
      <name val="Arial"/>
      <b val="1"/>
      <color rgb="000000FF"/>
      <sz val="9"/>
    </font>
    <font>
      <name val="Arial"/>
      <color rgb="00E60000"/>
      <sz val="9"/>
    </font>
  </fonts>
  <fills count="5">
    <fill>
      <patternFill/>
    </fill>
    <fill>
      <patternFill patternType="gray125"/>
    </fill>
    <fill>
      <patternFill patternType="solid">
        <fgColor rgb="001F3B63"/>
      </patternFill>
    </fill>
    <fill>
      <patternFill patternType="solid">
        <fgColor rgb="00F2F4F7"/>
      </patternFill>
    </fill>
    <fill>
      <patternFill patternType="solid">
        <fgColor rgb="00FFF6CC"/>
      </patternFill>
    </fill>
  </fills>
  <borders count="3">
    <border>
      <left/>
      <right/>
      <top/>
      <bottom/>
      <diagonal/>
    </border>
    <border>
      <bottom style="thin">
        <color rgb="001F3B63"/>
      </bottom>
    </border>
    <border>
      <left/>
      <right/>
      <top/>
      <bottom style="thin">
        <color rgb="001F3B63"/>
      </bottom>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3" borderId="1" applyAlignment="1" pivotButton="0" quotePrefix="0" xfId="0">
      <alignment horizontal="center" vertical="center" wrapText="1"/>
    </xf>
    <xf numFmtId="1" fontId="6" fillId="0" borderId="0" pivotButton="0" quotePrefix="0" xfId="0"/>
    <xf numFmtId="3" fontId="7" fillId="0" borderId="0" pivotButton="0" quotePrefix="0" xfId="0"/>
    <xf numFmtId="164" fontId="7" fillId="0" borderId="0" pivotButton="0" quotePrefix="0" xfId="0"/>
    <xf numFmtId="0" fontId="8" fillId="0" borderId="0" applyAlignment="1" pivotButton="0" quotePrefix="0" xfId="0">
      <alignment vertical="top" wrapText="1"/>
    </xf>
    <xf numFmtId="0" fontId="9" fillId="0" borderId="0" applyAlignment="1" pivotButton="0" quotePrefix="0" xfId="0">
      <alignment horizontal="center"/>
    </xf>
    <xf numFmtId="3" fontId="7" fillId="4" borderId="0" pivotButton="0" quotePrefix="0" xfId="0"/>
    <xf numFmtId="164" fontId="7" fillId="4" borderId="0" pivotButton="0" quotePrefix="0" xfId="0"/>
    <xf numFmtId="0" fontId="10" fillId="0" borderId="0" pivotButton="0" quotePrefix="0" xfId="0"/>
    <xf numFmtId="0" fontId="9" fillId="0" borderId="0" pivotButton="0" quotePrefix="0" xfId="0"/>
    <xf numFmtId="0" fontId="11" fillId="0" borderId="0" pivotButton="0" quotePrefix="0" xfId="0"/>
    <xf numFmtId="2" fontId="7" fillId="0" borderId="0" pivotButton="0" quotePrefix="0" xfId="0"/>
    <xf numFmtId="10" fontId="11" fillId="0" borderId="0" pivotButton="0" quotePrefix="0" xfId="0"/>
    <xf numFmtId="10" fontId="7" fillId="0" borderId="0" pivotButton="0" quotePrefix="0" xfId="0"/>
    <xf numFmtId="10" fontId="6" fillId="0" borderId="0" pivotButton="0" quotePrefix="0" xfId="0"/>
    <xf numFmtId="164"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6" fillId="0" borderId="0" applyAlignment="1" pivotButton="0" quotePrefix="0" xfId="0">
      <alignment vertical="top" wrapText="1"/>
    </xf>
    <xf numFmtId="165" fontId="3" fillId="0" borderId="0" pivotButton="0" quotePrefix="0" xfId="0"/>
    <xf numFmtId="49" fontId="11" fillId="0" borderId="0" pivotButton="0" quotePrefix="0" xfId="0"/>
    <xf numFmtId="0" fontId="11" fillId="0" borderId="0" applyAlignment="1" pivotButton="0" quotePrefix="0" xfId="0">
      <alignment vertical="top" wrapText="1"/>
    </xf>
    <xf numFmtId="3" fontId="12" fillId="0" borderId="0" pivotButton="0" quotePrefix="0" xfId="0"/>
    <xf numFmtId="0" fontId="16" fillId="0" borderId="0" pivotButton="0" quotePrefix="0" xfId="0"/>
    <xf numFmtId="3" fontId="3" fillId="0" borderId="0" pivotButton="0" quotePrefix="0" xfId="0"/>
    <xf numFmtId="164" fontId="3" fillId="0" borderId="0" pivotButton="0" quotePrefix="0" xfId="0"/>
    <xf numFmtId="4" fontId="7" fillId="0" borderId="0" pivotButton="0" quotePrefix="0" xfId="0"/>
    <xf numFmtId="164" fontId="6" fillId="0" borderId="0" pivotButton="0" quotePrefix="0" xfId="0"/>
    <xf numFmtId="166" fontId="17" fillId="0" borderId="0" pivotButton="0" quotePrefix="0" xfId="0"/>
    <xf numFmtId="166" fontId="18" fillId="0" borderId="0" pivotButton="0" quotePrefix="0" xfId="0"/>
    <xf numFmtId="166" fontId="3" fillId="0" borderId="0" pivotButton="0" quotePrefix="0" xfId="0"/>
    <xf numFmtId="1" fontId="3" fillId="0" borderId="0" pivotButton="0" quotePrefix="0" xfId="0"/>
    <xf numFmtId="165" fontId="7" fillId="0" borderId="0" pivotButton="0" quotePrefix="0" xfId="0"/>
    <xf numFmtId="167" fontId="19" fillId="0" borderId="0" pivotButton="0" quotePrefix="0" xfId="0"/>
    <xf numFmtId="165" fontId="20" fillId="0" borderId="0" pivotButton="0" quotePrefix="0" xfId="0"/>
    <xf numFmtId="167" fontId="3" fillId="0" borderId="0" pivotButton="0" quotePrefix="0" xfId="0"/>
    <xf numFmtId="166" fontId="11" fillId="0" borderId="0" pivotButton="0" quotePrefix="0" xfId="0"/>
    <xf numFmtId="165" fontId="19" fillId="0" borderId="0" pivotButton="0" quotePrefix="0" xfId="0"/>
    <xf numFmtId="168" fontId="11" fillId="0" borderId="0" pivotButton="0" quotePrefix="0" xfId="0"/>
    <xf numFmtId="0" fontId="19" fillId="0" borderId="0" applyAlignment="1" pivotButton="0" quotePrefix="0" xfId="0">
      <alignment vertical="top" wrapText="1"/>
    </xf>
    <xf numFmtId="0" fontId="21" fillId="0" borderId="0" applyAlignment="1" pivotButton="0" quotePrefix="0" xfId="0">
      <alignment vertical="top" wrapText="1"/>
    </xf>
    <xf numFmtId="0" fontId="6" fillId="3" borderId="1" applyAlignment="1" pivotButton="0" quotePrefix="0" xfId="0">
      <alignment horizontal="center" vertical="center"/>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BCRA financing of the Treasury (ARS mn, accumulated per year)</a:t>
            </a:r>
          </a:p>
        </rich>
      </tx>
    </title>
    <plotArea>
      <barChart>
        <barDir val="col"/>
        <grouping val="clustered"/>
        <ser>
          <idx val="0"/>
          <order val="0"/>
          <spPr>
            <a:solidFill xmlns:a="http://schemas.openxmlformats.org/drawingml/2006/main">
              <a:srgbClr val="1F3B63"/>
            </a:solidFill>
            <a:ln xmlns:a="http://schemas.openxmlformats.org/drawingml/2006/main">
              <a:prstDash val="solid"/>
            </a:ln>
          </spPr>
          <cat>
            <numRef>
              <f>'1. BCRA Financing'!$B$6:$B$13</f>
            </numRef>
          </cat>
          <val>
            <numRef>
              <f>'1. BCRA Financing'!$C$6:$C$13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Same thing, scale-free: financing as a share of base money expansion</a:t>
            </a:r>
          </a:p>
        </rich>
      </tx>
    </title>
    <plotArea>
      <barChart>
        <barDir val="col"/>
        <grouping val="clustered"/>
        <ser>
          <idx val="0"/>
          <order val="0"/>
          <spPr>
            <a:solidFill xmlns:a="http://schemas.openxmlformats.org/drawingml/2006/main">
              <a:srgbClr val="E60000"/>
            </a:solidFill>
            <a:ln xmlns:a="http://schemas.openxmlformats.org/drawingml/2006/main">
              <a:prstDash val="solid"/>
            </a:ln>
          </spPr>
          <cat>
            <numRef>
              <f>'1. BCRA Financing'!$B$6:$B$13</f>
            </numRef>
          </cat>
          <val>
            <numRef>
              <f>'1. BCRA Financing'!$D$6:$D$13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Real rates: ex-post and ex-ante proxy, annualised</a:t>
            </a:r>
          </a:p>
        </rich>
      </tx>
    </title>
    <plotArea>
      <lineChart>
        <grouping val="standard"/>
        <ser>
          <idx val="0"/>
          <order val="0"/>
          <tx>
            <v>Real ex-post, annualised</v>
          </tx>
          <spPr>
            <a:ln xmlns:a="http://schemas.openxmlformats.org/drawingml/2006/main" w="26000">
              <a:solidFill>
                <a:srgbClr val="1F3B63"/>
              </a:solidFill>
              <a:prstDash val="solid"/>
            </a:ln>
          </spPr>
          <marker>
            <symbol val="none"/>
            <spPr>
              <a:ln xmlns:a="http://schemas.openxmlformats.org/drawingml/2006/main">
                <a:prstDash val="solid"/>
              </a:ln>
            </spPr>
          </marker>
          <cat>
            <numRef>
              <f>'2. Real Rates'!$B$6:$B$98</f>
            </numRef>
          </cat>
          <val>
            <numRef>
              <f>'2. Real Rates'!$H$5:$H$98</f>
            </numRef>
          </val>
          <smooth val="0"/>
        </ser>
        <ser>
          <idx val="1"/>
          <order val="1"/>
          <tx>
            <v>Real ex-ante proxy, annualised</v>
          </tx>
          <spPr>
            <a:ln xmlns:a="http://schemas.openxmlformats.org/drawingml/2006/main" w="26000">
              <a:solidFill>
                <a:srgbClr val="E60000"/>
              </a:solidFill>
              <a:prstDash val="dash"/>
            </a:ln>
          </spPr>
          <marker>
            <symbol val="none"/>
            <spPr>
              <a:ln xmlns:a="http://schemas.openxmlformats.org/drawingml/2006/main">
                <a:prstDash val="solid"/>
              </a:ln>
            </spPr>
          </marker>
          <cat>
            <numRef>
              <f>'2. Real Rates'!$B$6:$B$98</f>
            </numRef>
          </cat>
          <val>
            <numRef>
              <f>'2. Real Rates'!$J$5:$J$98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annualised</a:t>
                </a:r>
              </a:p>
            </rich>
          </tx>
        </title>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Nominal BADLAR against realised monthly inflation</a:t>
            </a:r>
          </a:p>
        </rich>
      </tx>
    </title>
    <plotArea>
      <lineChart>
        <grouping val="standard"/>
        <ser>
          <idx val="0"/>
          <order val="0"/>
          <tx>
            <v>BADLAR, monthly equivalent</v>
          </tx>
          <spPr>
            <a:ln xmlns:a="http://schemas.openxmlformats.org/drawingml/2006/main" w="26000">
              <a:solidFill>
                <a:srgbClr val="1F3B63"/>
              </a:solidFill>
              <a:prstDash val="solid"/>
            </a:ln>
          </spPr>
          <marker>
            <symbol val="none"/>
            <spPr>
              <a:ln xmlns:a="http://schemas.openxmlformats.org/drawingml/2006/main">
                <a:prstDash val="solid"/>
              </a:ln>
            </spPr>
          </marker>
          <cat>
            <numRef>
              <f>'2. Real Rates'!$B$6:$B$98</f>
            </numRef>
          </cat>
          <val>
            <numRef>
              <f>'2. Real Rates'!$D$5:$D$98</f>
            </numRef>
          </val>
          <smooth val="0"/>
        </ser>
        <ser>
          <idx val="1"/>
          <order val="1"/>
          <tx>
            <v>CPI m/m</v>
          </tx>
          <spPr>
            <a:ln xmlns:a="http://schemas.openxmlformats.org/drawingml/2006/main" w="26000">
              <a:solidFill>
                <a:srgbClr val="E60000"/>
              </a:solidFill>
              <a:prstDash val="solid"/>
            </a:ln>
          </spPr>
          <marker>
            <symbol val="none"/>
            <spPr>
              <a:ln xmlns:a="http://schemas.openxmlformats.org/drawingml/2006/main">
                <a:prstDash val="solid"/>
              </a:ln>
            </spPr>
          </marker>
          <cat>
            <numRef>
              <f>'2. Real Rates'!$B$6:$B$98</f>
            </numRef>
          </cat>
          <val>
            <numRef>
              <f>'2. Real Rates'!$E$5:$E$98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Gross international reserves (USD mn)</a:t>
            </a:r>
          </a:p>
        </rich>
      </tx>
    </title>
    <plotArea>
      <lineChart>
        <grouping val="standard"/>
        <ser>
          <idx val="0"/>
          <order val="0"/>
          <tx>
            <v>Gross reserves</v>
          </tx>
          <spPr>
            <a:ln xmlns:a="http://schemas.openxmlformats.org/drawingml/2006/main" w="30000">
              <a:solidFill>
                <a:srgbClr val="1F3B63"/>
              </a:solidFill>
              <a:prstDash val="solid"/>
            </a:ln>
          </spPr>
          <marker>
            <symbol val="none"/>
            <spPr>
              <a:ln xmlns:a="http://schemas.openxmlformats.org/drawingml/2006/main">
                <a:prstDash val="solid"/>
              </a:ln>
            </spPr>
          </marker>
          <cat>
            <numRef>
              <f>'3. Reserves'!$B$6:$B$98</f>
            </numRef>
          </cat>
          <val>
            <numRef>
              <f>'3. Reserves'!$C$5:$C$98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Monthly FX intervention — reserve impact (USD mn; below zero = BCRA selling reserves)</a:t>
            </a:r>
          </a:p>
        </rich>
      </tx>
    </title>
    <plotArea>
      <barChart>
        <barDir val="col"/>
        <grouping val="clustered"/>
        <ser>
          <idx val="0"/>
          <order val="0"/>
          <spPr>
            <a:solidFill xmlns:a="http://schemas.openxmlformats.org/drawingml/2006/main">
              <a:srgbClr val="E60000"/>
            </a:solidFill>
            <a:ln xmlns:a="http://schemas.openxmlformats.org/drawingml/2006/main">
              <a:prstDash val="solid"/>
            </a:ln>
          </spPr>
          <cat>
            <numRef>
              <f>'3. Reserves'!$B$6:$B$98</f>
            </numRef>
          </cat>
          <val>
            <numRef>
              <f>'3. Reserves'!$D$6:$D$98</f>
            </numRef>
          </val>
        </ser>
        <gapWidth val="3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Cumulative intervention (USD mn)</a:t>
            </a:r>
          </a:p>
        </rich>
      </tx>
    </title>
    <plotArea>
      <lineChart>
        <grouping val="standard"/>
        <ser>
          <idx val="0"/>
          <order val="0"/>
          <tx>
            <v>Cumulative</v>
          </tx>
          <spPr>
            <a:ln xmlns:a="http://schemas.openxmlformats.org/drawingml/2006/main" w="26000">
              <a:solidFill>
                <a:srgbClr val="007A33"/>
              </a:solidFill>
              <a:prstDash val="solid"/>
            </a:ln>
          </spPr>
          <marker>
            <symbol val="none"/>
            <spPr>
              <a:ln xmlns:a="http://schemas.openxmlformats.org/drawingml/2006/main">
                <a:prstDash val="solid"/>
              </a:ln>
            </spPr>
          </marker>
          <cat>
            <numRef>
              <f>'3. Reserves'!$B$6:$B$98</f>
            </numRef>
          </cat>
          <val>
            <numRef>
              <f>'3. Reserves'!$E$5:$E$98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Bilateral real exchange rate: at the official rate vs at the parallel rate (Dec-2019 = 100)</a:t>
            </a:r>
          </a:p>
        </rich>
      </tx>
    </title>
    <plotArea>
      <lineChart>
        <grouping val="standard"/>
        <ser>
          <idx val="0"/>
          <order val="0"/>
          <tx>
            <v>At the official rate</v>
          </tx>
          <spPr>
            <a:ln xmlns:a="http://schemas.openxmlformats.org/drawingml/2006/main" w="30000">
              <a:solidFill>
                <a:srgbClr val="1F3B63"/>
              </a:solidFill>
              <a:prstDash val="solid"/>
            </a:ln>
          </spPr>
          <marker>
            <symbol val="none"/>
            <spPr>
              <a:ln xmlns:a="http://schemas.openxmlformats.org/drawingml/2006/main">
                <a:prstDash val="solid"/>
              </a:ln>
            </spPr>
          </marker>
          <cat>
            <numRef>
              <f>'4. FX Overvaluation'!$B$6:$B$98</f>
            </numRef>
          </cat>
          <val>
            <numRef>
              <f>'4. FX Overvaluation'!$G$5:$G$98</f>
            </numRef>
          </val>
          <smooth val="0"/>
        </ser>
        <ser>
          <idx val="1"/>
          <order val="1"/>
          <tx>
            <v>At the parallel rate</v>
          </tx>
          <spPr>
            <a:ln xmlns:a="http://schemas.openxmlformats.org/drawingml/2006/main" w="26000">
              <a:solidFill>
                <a:srgbClr val="E60000"/>
              </a:solidFill>
              <a:prstDash val="dash"/>
            </a:ln>
          </spPr>
          <marker>
            <symbol val="none"/>
            <spPr>
              <a:ln xmlns:a="http://schemas.openxmlformats.org/drawingml/2006/main">
                <a:prstDash val="solid"/>
              </a:ln>
            </spPr>
          </marker>
          <cat>
            <numRef>
              <f>'4. FX Overvaluation'!$B$6:$B$98</f>
            </numRef>
          </cat>
          <val>
            <numRef>
              <f>'4. FX Overvaluation'!$H$5:$H$98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The gap between the official rate and the parallel rate</a:t>
            </a:r>
          </a:p>
        </rich>
      </tx>
    </title>
    <plotArea>
      <lineChart>
        <grouping val="standard"/>
        <ser>
          <idx val="0"/>
          <order val="0"/>
          <tx>
            <v>Parallel premium over official</v>
          </tx>
          <spPr>
            <a:ln xmlns:a="http://schemas.openxmlformats.org/drawingml/2006/main" w="30000">
              <a:solidFill>
                <a:srgbClr val="E60000"/>
              </a:solidFill>
              <a:prstDash val="solid"/>
            </a:ln>
          </spPr>
          <marker>
            <symbol val="none"/>
            <spPr>
              <a:ln xmlns:a="http://schemas.openxmlformats.org/drawingml/2006/main">
                <a:prstDash val="solid"/>
              </a:ln>
            </spPr>
          </marker>
          <cat>
            <numRef>
              <f>'4. FX Overvaluation'!$B$6:$B$98</f>
            </numRef>
          </cat>
          <val>
            <numRef>
              <f>'4. FX Overvaluation'!$E$5:$E$98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Primary and overall balance, % of GDP</a:t>
            </a:r>
          </a:p>
        </rich>
      </tx>
    </title>
    <plotArea>
      <barChart>
        <barDir val="col"/>
        <grouping val="clustered"/>
        <ser>
          <idx val="0"/>
          <order val="0"/>
          <tx>
            <strRef>
              <f>'5. Fiscal'!C5</f>
            </strRef>
          </tx>
          <spPr>
            <a:solidFill xmlns:a="http://schemas.openxmlformats.org/drawingml/2006/main">
              <a:srgbClr val="1F3B63"/>
            </a:solidFill>
            <a:ln xmlns:a="http://schemas.openxmlformats.org/drawingml/2006/main">
              <a:prstDash val="solid"/>
            </a:ln>
          </spPr>
          <cat>
            <numRef>
              <f>'5. Fiscal'!$B$6:$B$13</f>
            </numRef>
          </cat>
          <val>
            <numRef>
              <f>'5. Fiscal'!$C$6:$C$13</f>
            </numRef>
          </val>
        </ser>
        <ser>
          <idx val="1"/>
          <order val="1"/>
          <tx>
            <strRef>
              <f>'5. Fiscal'!D5</f>
            </strRef>
          </tx>
          <spPr>
            <a:solidFill xmlns:a="http://schemas.openxmlformats.org/drawingml/2006/main">
              <a:srgbClr val="E60000"/>
            </a:solidFill>
            <a:ln xmlns:a="http://schemas.openxmlformats.org/drawingml/2006/main">
              <a:prstDash val="solid"/>
            </a:ln>
          </spPr>
          <cat>
            <numRef>
              <f>'5. Fiscal'!$B$6:$B$13</f>
            </numRef>
          </cat>
          <val>
            <numRef>
              <f>'5. Fiscal'!$D$6:$D$13</f>
            </numRef>
          </val>
        </ser>
        <gapWidth val="150"/>
        <overlap val="-2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Energy subsidies, % of GDP</a:t>
            </a:r>
          </a:p>
        </rich>
      </tx>
    </title>
    <plotArea>
      <barChart>
        <barDir val="col"/>
        <grouping val="clustered"/>
        <ser>
          <idx val="0"/>
          <order val="0"/>
          <spPr>
            <a:solidFill xmlns:a="http://schemas.openxmlformats.org/drawingml/2006/main">
              <a:srgbClr val="1F3B63"/>
            </a:solidFill>
            <a:ln xmlns:a="http://schemas.openxmlformats.org/drawingml/2006/main">
              <a:prstDash val="solid"/>
            </a:ln>
          </spPr>
          <cat>
            <numRef>
              <f>'6. Subsidies &amp; Prices'!$B$6:$B$12</f>
            </numRef>
          </cat>
          <val>
            <numRef>
              <f>'6. Subsidies &amp; Prices'!$C$6:$C$12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0%" sourceLinked="0"/>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Regulated prices against core (Dec-2023 = 100)</a:t>
            </a:r>
          </a:p>
        </rich>
      </tx>
    </title>
    <plotArea>
      <lineChart>
        <grouping val="standard"/>
        <ser>
          <idx val="0"/>
          <order val="0"/>
          <tx>
            <v>Regulados</v>
          </tx>
          <spPr>
            <a:ln xmlns:a="http://schemas.openxmlformats.org/drawingml/2006/main" w="30000">
              <a:solidFill>
                <a:srgbClr val="E60000"/>
              </a:solidFill>
              <a:prstDash val="solid"/>
            </a:ln>
          </spPr>
          <marker>
            <symbol val="none"/>
            <spPr>
              <a:ln xmlns:a="http://schemas.openxmlformats.org/drawingml/2006/main">
                <a:prstDash val="solid"/>
              </a:ln>
            </spPr>
          </marker>
          <cat>
            <numRef>
              <f>'6. Subsidies &amp; Prices'!$B$20:$B$52</f>
            </numRef>
          </cat>
          <val>
            <numRef>
              <f>'6. Subsidies &amp; Prices'!$C$19:$C$52</f>
            </numRef>
          </val>
          <smooth val="0"/>
        </ser>
        <ser>
          <idx val="1"/>
          <order val="1"/>
          <tx>
            <v>Nucleo</v>
          </tx>
          <spPr>
            <a:ln xmlns:a="http://schemas.openxmlformats.org/drawingml/2006/main" w="30000">
              <a:solidFill>
                <a:srgbClr val="1F3B63"/>
              </a:solidFill>
              <a:prstDash val="solid"/>
            </a:ln>
          </spPr>
          <marker>
            <symbol val="none"/>
            <spPr>
              <a:ln xmlns:a="http://schemas.openxmlformats.org/drawingml/2006/main">
                <a:prstDash val="solid"/>
              </a:ln>
            </spPr>
          </marker>
          <cat>
            <numRef>
              <f>'6. Subsidies &amp; Prices'!$B$20:$B$52</f>
            </numRef>
          </cat>
          <val>
            <numRef>
              <f>'6. Subsidies &amp; Prices'!$D$19:$D$52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Regulated prices relative to core (cumulative, from Dec-2023)</a:t>
            </a:r>
          </a:p>
        </rich>
      </tx>
    </title>
    <plotArea>
      <lineChart>
        <grouping val="standard"/>
        <ser>
          <idx val="0"/>
          <order val="0"/>
          <tx>
            <v>Relative shift</v>
          </tx>
          <spPr>
            <a:ln xmlns:a="http://schemas.openxmlformats.org/drawingml/2006/main" w="30000">
              <a:solidFill>
                <a:srgbClr val="E60000"/>
              </a:solidFill>
              <a:prstDash val="solid"/>
            </a:ln>
          </spPr>
          <marker>
            <symbol val="none"/>
            <spPr>
              <a:ln xmlns:a="http://schemas.openxmlformats.org/drawingml/2006/main">
                <a:prstDash val="solid"/>
              </a:ln>
            </spPr>
          </marker>
          <cat>
            <numRef>
              <f>'6. Subsidies &amp; Prices'!$B$20:$B$52</f>
            </numRef>
          </cat>
          <val>
            <numRef>
              <f>'6. Subsidies &amp; Prices'!$E$19:$E$52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 Type="http://schemas.openxmlformats.org/officeDocument/2006/relationships/chart" Target="/xl/charts/chart7.xml" Id="rId3"/></Relationships>
</file>

<file path=xl/drawings/_rels/drawing4.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5.xml.rels><Relationships xmlns="http://schemas.openxmlformats.org/package/2006/relationships"><Relationship Type="http://schemas.openxmlformats.org/officeDocument/2006/relationships/chart" Target="/xl/charts/chart10.xml" Id="rId1"/></Relationships>
</file>

<file path=xl/drawings/_rels/drawing6.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chart" Target="/xl/charts/chart13.xml" Id="rId3"/></Relationships>
</file>

<file path=xl/drawings/drawing1.xml><?xml version="1.0" encoding="utf-8"?>
<wsDr xmlns="http://schemas.openxmlformats.org/drawingml/2006/spreadsheetDrawing">
  <oneCellAnchor>
    <from>
      <col>1</col>
      <colOff>0</colOff>
      <row>15</row>
      <rowOff>0</rowOff>
    </from>
    <ext cx="122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44</row>
      <rowOff>0</rowOff>
    </from>
    <ext cx="122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12</col>
      <colOff>0</colOff>
      <row>4</row>
      <rowOff>0</rowOff>
    </from>
    <ext cx="1224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34</row>
      <rowOff>0</rowOff>
    </from>
    <ext cx="122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7</col>
      <colOff>0</colOff>
      <row>4</row>
      <rowOff>0</rowOff>
    </from>
    <ext cx="1224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34</row>
      <rowOff>0</rowOff>
    </from>
    <ext cx="122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59</row>
      <rowOff>0</rowOff>
    </from>
    <ext cx="122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10</col>
      <colOff>0</colOff>
      <row>4</row>
      <rowOff>0</rowOff>
    </from>
    <ext cx="1224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34</row>
      <rowOff>0</rowOff>
    </from>
    <ext cx="122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1</col>
      <colOff>0</colOff>
      <row>15</row>
      <rowOff>0</rowOff>
    </from>
    <ext cx="1224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6</col>
      <colOff>0</colOff>
      <row>4</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1080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47</row>
      <rowOff>0</rowOff>
    </from>
    <ext cx="108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B63"/>
    <outlinePr summaryBelow="1" summaryRight="1"/>
    <pageSetUpPr fitToPage="1"/>
  </sheetPr>
  <dimension ref="B2:C24"/>
  <sheetViews>
    <sheetView showGridLines="0" workbookViewId="0">
      <selection activeCell="A1" sqref="A1"/>
    </sheetView>
  </sheetViews>
  <sheetFormatPr baseColWidth="8" defaultRowHeight="15" outlineLevelCol="0"/>
  <cols>
    <col width="2" customWidth="1" min="1" max="1"/>
    <col width="26" customWidth="1" min="2" max="2"/>
    <col width="118" customWidth="1" min="3" max="3"/>
  </cols>
  <sheetData>
    <row r="2" ht="26" customHeight="1">
      <c r="B2" s="1" t="inlineStr">
        <is>
          <t>Argentina — the pre-Milei inheritance and what changed, in six charts</t>
        </is>
      </c>
    </row>
    <row r="3">
      <c r="B3" s="2" t="inlineStr">
        <is>
          <t>One chart per tab. Blue cells are sourced inputs, black cells are formulas. Data through Sep-2026 (CPI through Aug-2026).</t>
        </is>
      </c>
    </row>
    <row r="5">
      <c r="B5" s="3" t="inlineStr">
        <is>
          <t>WHAT'S HERE</t>
        </is>
      </c>
    </row>
    <row r="6" ht="27" customHeight="1">
      <c r="B6" s="4" t="inlineStr">
        <is>
          <t>1. BCRA Financing</t>
        </is>
      </c>
      <c r="C6" s="5" t="inlineStr">
        <is>
          <t>Central bank financing of the Treasury, 2019-2026. Bar chart. Adelantos transitorios and transferencia de utilidades combined, as the BCRA itself publishes them.</t>
        </is>
      </c>
    </row>
    <row r="7" ht="27" customHeight="1">
      <c r="B7" s="4" t="inlineStr">
        <is>
          <t>2. Real Rates</t>
        </is>
      </c>
      <c r="C7" s="5" t="inlineStr">
        <is>
          <t>Real ex-ante and ex-post rates, monthly, 2019-2026. READ THE CAVEAT ON THAT TAB BEFORE USING IT — the data does not say what you might expect.</t>
        </is>
      </c>
    </row>
    <row r="8" ht="13.5" customHeight="1">
      <c r="B8" s="4" t="inlineStr">
        <is>
          <t>3. Reserves</t>
        </is>
      </c>
      <c r="C8" s="5" t="inlineStr">
        <is>
          <t>Reserve depletion against the intervention that was spent defending the peso. Line plus bars.</t>
        </is>
      </c>
    </row>
    <row r="9" ht="27" customHeight="1">
      <c r="B9" s="4" t="inlineStr">
        <is>
          <t>4. FX Overvaluation</t>
        </is>
      </c>
      <c r="C9" s="5" t="inlineStr">
        <is>
          <t>The real exchange rate at the official rate against the real rate at the parallel rate, plus the gap. This is the strongest chart in the pack.</t>
        </is>
      </c>
    </row>
    <row r="10" ht="13.5" customHeight="1">
      <c r="B10" s="4" t="inlineStr">
        <is>
          <t>5. Fiscal</t>
        </is>
      </c>
      <c r="C10" s="5" t="inlineStr">
        <is>
          <t>Primary and overall balance, % of GDP, 2019-2026.</t>
        </is>
      </c>
    </row>
    <row r="11" ht="13.5" customHeight="1">
      <c r="B11" s="4" t="inlineStr">
        <is>
          <t>6. Subsidies &amp; Prices</t>
        </is>
      </c>
      <c r="C11" s="5" t="inlineStr">
        <is>
          <t>Energy subsidies as % of GDP, and regulated prices against core — the relative-price correction.</t>
        </is>
      </c>
    </row>
    <row r="12" ht="13.5" customHeight="1">
      <c r="B12" s="4" t="inlineStr">
        <is>
          <t>Sources</t>
        </is>
      </c>
      <c r="C12" s="5" t="inlineStr">
        <is>
          <t>Every series, its source, and whether it is primary. Plus five gaps that are flagged rather than filled.</t>
        </is>
      </c>
    </row>
    <row r="13">
      <c r="B13" s="3" t="inlineStr"/>
    </row>
    <row r="14">
      <c r="B14" s="3" t="inlineStr">
        <is>
          <t>THREE THINGS TO READ BEFORE YOU USE THE CHARTS</t>
        </is>
      </c>
    </row>
    <row r="15" ht="67.5" customHeight="1">
      <c r="B15" s="4" t="inlineStr">
        <is>
          <t>Real rates do not support the obvious story</t>
        </is>
      </c>
      <c r="C15" s="5" t="inlineStr">
        <is>
          <t>Averaged over the period, real ex-post rates were MORE negative under Milei (minus 12.3% annualised) than under Fernandez (minus 7.3%), and 2019 under Macri's IMF programme was POSITIVE (plus 5.4%). A chart captioned 'policy was loose before Milei and he fixed it' would be wrong and a client could catch it. The defensible distinction is PURPOSE, not sign — it is set out on the Real Rates tab. The Fernandez-era negative rates are real and chartable; the window is 2020-2022, not 2019 onward.</t>
        </is>
      </c>
    </row>
    <row r="16" ht="40.5" customHeight="1">
      <c r="B16" s="4" t="inlineStr">
        <is>
          <t>The 214% FX gap is an intra-month number</t>
        </is>
      </c>
      <c r="C16" s="5" t="inlineStr">
        <is>
          <t>Every figure in this pack is month-end. The widest MONTH-END gap is 162.9% in Oct-2023. The 214% that gets quoted is blue 1,100 against the 350.01 peg on 23-24 Oct 2023. Both are true; use the right one for the sentence you are writing.</t>
        </is>
      </c>
    </row>
    <row r="17" ht="54" customHeight="1">
      <c r="B17" s="4" t="inlineStr">
        <is>
          <t>The real exchange rate here is bilateral, not the BCRA's ITCRM</t>
        </is>
      </c>
      <c r="C17" s="5" t="inlineStr">
        <is>
          <t>The BCRA's multilateral index is published only as an xlsx on a host this environment cannot reach. The Overvaluation tab uses a bilateral real rate against the USD, deflated by Argentine CPI, which ignores US inflation and trade weights. Direction and scale are right; call it a bilateral measure in client-facing work. One manual download of ITCRMSerie.xlsx replaces it.</t>
        </is>
      </c>
    </row>
    <row r="18">
      <c r="B18" s="3" t="inlineStr"/>
    </row>
    <row r="19">
      <c r="B19" s="3" t="inlineStr">
        <is>
          <t>FACT-CHECK STATUS</t>
        </is>
      </c>
    </row>
    <row r="20" ht="40.5" customHeight="1">
      <c r="B20" s="4" t="inlineStr">
        <is>
          <t>Primary sources</t>
        </is>
      </c>
      <c r="C20" s="5" t="inlineStr">
        <is>
          <t>CPI from INDEC. BADLAR, reserves, FX intervention and the official exchange rate all pulled from the BCRA's own Monetary Variables API (v4.0), with every month-end date machine-checked against the last business day and the daily intervention rows summed and reconciled against the API's own record count.</t>
        </is>
      </c>
    </row>
    <row r="21" ht="27" customHeight="1">
      <c r="B21" s="4" t="inlineStr">
        <is>
          <t>One non-primary series</t>
        </is>
      </c>
      <c r="C21" s="5" t="inlineStr">
        <is>
          <t>The parallel rate (dolar blue) is from an aggregator, because the BCRA publishes no parallel rate. It is the only series here that is not primary and it is flagged on the Sources tab.</t>
        </is>
      </c>
    </row>
    <row r="22" ht="13.5" customHeight="1">
      <c r="B22" s="4" t="inlineStr">
        <is>
          <t>One derived series</t>
        </is>
      </c>
      <c r="C22" s="5" t="inlineStr">
        <is>
          <t>The bilateral real exchange rate is computed here from official FX and CPI. Marked in dark red on its tab.</t>
        </is>
      </c>
    </row>
    <row r="23" ht="27" customHeight="1">
      <c r="B23" s="4" t="inlineStr">
        <is>
          <t>Validation</t>
        </is>
      </c>
      <c r="C23" s="5" t="inlineStr">
        <is>
          <t>Compounded monthly CPI reproduces INDEC's published Dec/Dec prints exactly for 2019 through 2025 (53.8, 36.1, 50.9, 94.8, 211.4, 117.8, 31.5).</t>
        </is>
      </c>
    </row>
    <row r="24" ht="40.5" customHeight="1">
      <c r="B24" s="4" t="inlineStr">
        <is>
          <t>Gaps</t>
        </is>
      </c>
      <c r="C24" s="5" t="inlineStr">
        <is>
          <t>Five series could not be sourced and are listed on the Sources tab rather than estimated. The two that bite: a monthly fiscal series for a true 12-month rolling chart (the Fiscal tab shows annual bars instead), and expected inflation before Mar-2026 for a true ex-ante rate.</t>
        </is>
      </c>
    </row>
  </sheetData>
  <pageMargins left="0.75" right="0.75" top="1" bottom="1" header="0.5" footer="0.5"/>
</worksheet>
</file>

<file path=xl/worksheets/sheet2.xml><?xml version="1.0" encoding="utf-8"?>
<worksheet xmlns="http://schemas.openxmlformats.org/spreadsheetml/2006/main">
  <sheetPr>
    <tabColor rgb="001F3B63"/>
    <outlinePr summaryBelow="1" summaryRight="1"/>
    <pageSetUpPr fitToPage="1"/>
  </sheetPr>
  <dimension ref="B2:G73"/>
  <sheetViews>
    <sheetView showGridLines="0" workbookViewId="0">
      <selection activeCell="A1" sqref="A1"/>
    </sheetView>
  </sheetViews>
  <sheetFormatPr baseColWidth="8" defaultRowHeight="15" outlineLevelCol="0"/>
  <cols>
    <col width="2" customWidth="1" min="1" max="1"/>
    <col width="9" customWidth="1" min="2" max="2"/>
    <col width="16" customWidth="1" min="3" max="3"/>
    <col width="20" customWidth="1" min="4" max="4"/>
    <col width="16" customWidth="1" min="5" max="5"/>
    <col width="14" customWidth="1" min="6" max="6"/>
    <col width="66" customWidth="1" min="7" max="7"/>
  </cols>
  <sheetData>
    <row r="2" ht="26" customHeight="1">
      <c r="B2" s="1" t="inlineStr">
        <is>
          <t>Central bank financing of the Treasury, 2019-2026</t>
        </is>
      </c>
    </row>
    <row r="3">
      <c r="B3" s="2" t="inlineStr">
        <is>
          <t>Adelantos transitorios + transferencia de utilidades, combined exactly as the BCRA publishes them. It stops dead in 2024.</t>
        </is>
      </c>
    </row>
    <row r="5" ht="32" customHeight="1">
      <c r="B5" s="6" t="inlineStr">
        <is>
          <t>Year</t>
        </is>
      </c>
      <c r="C5" s="6" t="inlineStr">
        <is>
          <t>ARS mn</t>
        </is>
      </c>
      <c r="D5" s="6" t="inlineStr">
        <is>
          <t>% of that year's base money expansion</t>
        </is>
      </c>
      <c r="E5" s="6" t="inlineStr">
        <is>
          <t>Direct financing, % of GDP</t>
        </is>
      </c>
      <c r="F5" s="6" t="inlineStr">
        <is>
          <t>Indirect, % of GDP</t>
        </is>
      </c>
      <c r="G5" s="6" t="inlineStr">
        <is>
          <t>Note</t>
        </is>
      </c>
    </row>
    <row r="6">
      <c r="B6" s="7" t="n">
        <v>2019</v>
      </c>
      <c r="C6" s="8" t="n">
        <v>430945</v>
      </c>
      <c r="D6" s="9" t="n">
        <v>0.322</v>
      </c>
    </row>
    <row r="7">
      <c r="B7" s="7" t="n">
        <v>2020</v>
      </c>
      <c r="C7" s="8" t="n">
        <v>2066163</v>
      </c>
      <c r="D7" s="9" t="n">
        <v>1.192</v>
      </c>
      <c r="E7" s="9" t="n">
        <v>0.07400000000000001</v>
      </c>
      <c r="G7" s="10" t="inlineStr">
        <is>
          <t>Peak. Financing was 119% of base money expansion — it more than fully accounted for it.</t>
        </is>
      </c>
    </row>
    <row r="8">
      <c r="B8" s="7" t="n">
        <v>2021</v>
      </c>
      <c r="C8" s="8" t="n">
        <v>1379099</v>
      </c>
      <c r="D8" s="9" t="n">
        <v>0.569</v>
      </c>
      <c r="E8" s="9" t="n">
        <v>0.03700000000000001</v>
      </c>
    </row>
    <row r="9">
      <c r="B9" s="7" t="n">
        <v>2022</v>
      </c>
      <c r="C9" s="8" t="n">
        <v>1013351</v>
      </c>
      <c r="D9" s="11" t="inlineStr">
        <is>
          <t>not published</t>
        </is>
      </c>
      <c r="G9" s="10" t="inlineStr">
        <is>
          <t>Base-money share not published in the edition retrieved.</t>
        </is>
      </c>
    </row>
    <row r="10">
      <c r="B10" s="7" t="n">
        <v>2023</v>
      </c>
      <c r="C10" s="8" t="n">
        <v>1698000</v>
      </c>
      <c r="D10" s="9" t="n">
        <v>0.355</v>
      </c>
      <c r="E10" s="9" t="n">
        <v>0.006999999999999999</v>
      </c>
      <c r="F10" s="9" t="n">
        <v>0.027</v>
      </c>
      <c r="G10" s="10" t="inlineStr">
        <is>
          <t>Direct 0.7% + indirect 2.7% = 3.4% of GDP. The IMF ceiling bound only the direct channel.</t>
        </is>
      </c>
    </row>
    <row r="11">
      <c r="B11" s="7" t="n">
        <v>2024</v>
      </c>
      <c r="C11" s="12" t="n">
        <v>0</v>
      </c>
      <c r="D11" s="13" t="n">
        <v>0</v>
      </c>
      <c r="G11" s="10" t="inlineStr">
        <is>
          <t>BCRA: 'En 2024 no hubo financiamiento neto del BCRA al Tesoro Nacional.'</t>
        </is>
      </c>
    </row>
    <row r="12">
      <c r="B12" s="7" t="n">
        <v>2025</v>
      </c>
      <c r="C12" s="12" t="n">
        <v>0</v>
      </c>
      <c r="D12" s="13" t="n">
        <v>0</v>
      </c>
      <c r="G12" s="10" t="inlineStr">
        <is>
          <t>No net financing reported.</t>
        </is>
      </c>
    </row>
    <row r="13">
      <c r="B13" s="7" t="n">
        <v>2026</v>
      </c>
      <c r="C13" s="12" t="n">
        <v>0</v>
      </c>
      <c r="D13" s="13" t="n">
        <v>0</v>
      </c>
      <c r="G13" s="10" t="inlineStr">
        <is>
          <t>No net financing reported, year to date.</t>
        </is>
      </c>
    </row>
    <row r="70">
      <c r="B70" s="14" t="inlineStr">
        <is>
          <t>HOW TO READ THE TWO CHARTS. The ARS bars are nominal, and in an economy that ran 211% inflation in 2023 a nominal series makes later years look bigger for the wrong reason. The second chart is the honest one: financing as a share of the base money it created. 2020 is the peak on both.</t>
        </is>
      </c>
    </row>
    <row r="71">
      <c r="B71" s="15" t="inlineStr">
        <is>
          <t>The 2024-2026 zeros are shaded because they are not a measured zero — they rest on the BCRA's own statement that there was no NET financing of the Treasury in 2024, and no reported financing since. A published zero and an unpublished series are different things. Phrase it as 'no net financing reported', which is both true and strong enough.</t>
        </is>
      </c>
    </row>
    <row r="72">
      <c r="B72" s="15" t="inlineStr">
        <is>
          <t>The % of GDP columns are deliberately sparse and must NOT be joined into a line: the 2020 and 2021 figures are the IMF's and INCLUDE transfers of valuation gains on FX-denominated Treasury paper, while 2023 is the BCRA's narrower adelantos-plus-utilidades concept. Different definitions, shown as separate points for that reason.</t>
        </is>
      </c>
    </row>
    <row r="73">
      <c r="B73" s="15" t="inlineStr">
        <is>
          <t>The 2023 row carries the point most people miss: direct financing had fallen to 0.7% of GDP, but indirect emission — secondary-market purchases of Treasury paper and the puts written to banks — ran at 2.7%. Monetary financing did not stop under the IMF programme; it changed its accounting location.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3B63"/>
    <outlinePr summaryBelow="1" summaryRight="1"/>
    <pageSetUpPr fitToPage="1"/>
  </sheetPr>
  <dimension ref="B2:K11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outlineLevelCol="0"/>
  <cols>
    <col width="2" customWidth="1" min="1" max="1"/>
    <col width="30" customWidth="1" min="2" max="2"/>
    <col width="22" customWidth="1" min="3" max="3"/>
    <col width="16" customWidth="1" min="4" max="4"/>
    <col width="72" customWidth="1" min="5" max="5"/>
    <col width="13" customWidth="1" min="6" max="6"/>
    <col width="13" customWidth="1" min="7" max="7"/>
    <col width="13" customWidth="1" min="8" max="8"/>
    <col width="15" customWidth="1" min="9" max="9"/>
    <col width="15" customWidth="1" min="10" max="10"/>
    <col width="22" customWidth="1" min="11" max="11"/>
  </cols>
  <sheetData>
    <row r="2" ht="26" customHeight="1">
      <c r="B2" s="1" t="inlineStr">
        <is>
          <t>Real interest rates, monthly, 2019-2026</t>
        </is>
      </c>
    </row>
    <row r="3">
      <c r="B3" s="2" t="inlineStr">
        <is>
          <t>BADLAR as the nominal rate — the one instrument that runs continuously across the whole window. Real = (1+TEM)/(1+inflation)-1.</t>
        </is>
      </c>
    </row>
    <row r="5" ht="34" customHeight="1">
      <c r="B5" s="6" t="inlineStr">
        <is>
          <t>Month</t>
        </is>
      </c>
      <c r="C5" s="6" t="inlineStr">
        <is>
          <t>BADLAR
% TNA</t>
        </is>
      </c>
      <c r="D5" s="6" t="inlineStr">
        <is>
          <t>TEM
(monthly equiv.)</t>
        </is>
      </c>
      <c r="E5" s="6" t="inlineStr">
        <is>
          <t>CPI m/m
realised</t>
        </is>
      </c>
      <c r="F5" s="6" t="inlineStr">
        <is>
          <t>CPI m/m
next month</t>
        </is>
      </c>
      <c r="G5" s="6" t="inlineStr">
        <is>
          <t>Real EX-POST
m/m</t>
        </is>
      </c>
      <c r="H5" s="6" t="inlineStr">
        <is>
          <t>Real ex-post
annualised</t>
        </is>
      </c>
      <c r="I5" s="6" t="inlineStr">
        <is>
          <t>Real EX-ANTE proxy
m/m</t>
        </is>
      </c>
      <c r="J5" s="6" t="inlineStr">
        <is>
          <t>Real ex-ante proxy
annualised</t>
        </is>
      </c>
      <c r="K5" s="6" t="inlineStr">
        <is>
          <t>Era</t>
        </is>
      </c>
    </row>
    <row r="6">
      <c r="B6" s="16" t="inlineStr">
        <is>
          <t>2019-01</t>
        </is>
      </c>
      <c r="C6" s="17" t="n">
        <v>47</v>
      </c>
      <c r="D6" s="18">
        <f>(1+C6/100/365)^30-1</f>
        <v/>
      </c>
      <c r="E6" s="19" t="n">
        <v>0.02906240909347457</v>
      </c>
      <c r="F6" s="19" t="n">
        <v>0.03765622189957196</v>
      </c>
      <c r="G6" s="20">
        <f>IF(E6="","",(1+D6)/(1+E6)-1)</f>
        <v/>
      </c>
      <c r="H6" s="21">
        <f>IF(G6="","",(1+G6)^12-1)</f>
        <v/>
      </c>
      <c r="I6" s="20">
        <f>IF(F6="","",(1+D6)/(1+F6)-1)</f>
        <v/>
      </c>
      <c r="J6" s="21">
        <f>IF(I6="","",(1+I6)^12-1)</f>
        <v/>
      </c>
      <c r="K6" s="22" t="inlineStr">
        <is>
          <t>2019 Macri / IMF</t>
        </is>
      </c>
    </row>
    <row r="7">
      <c r="B7" s="16" t="inlineStr">
        <is>
          <t>2019-02</t>
        </is>
      </c>
      <c r="C7" s="17" t="n">
        <v>35.188</v>
      </c>
      <c r="D7" s="18">
        <f>(1+C7/100/365)^30-1</f>
        <v/>
      </c>
      <c r="E7" s="19" t="n">
        <v>0.03765622189957196</v>
      </c>
      <c r="F7" s="19" t="n">
        <v>0.04679540188289599</v>
      </c>
      <c r="G7" s="20">
        <f>IF(E7="","",(1+D7)/(1+E7)-1)</f>
        <v/>
      </c>
      <c r="H7" s="21">
        <f>IF(G7="","",(1+G7)^12-1)</f>
        <v/>
      </c>
      <c r="I7" s="20">
        <f>IF(F7="","",(1+D7)/(1+F7)-1)</f>
        <v/>
      </c>
      <c r="J7" s="21">
        <f>IF(I7="","",(1+I7)^12-1)</f>
        <v/>
      </c>
      <c r="K7" s="22" t="inlineStr">
        <is>
          <t>2019 Macri / IMF</t>
        </is>
      </c>
    </row>
    <row r="8">
      <c r="B8" s="16" t="inlineStr">
        <is>
          <t>2019-03</t>
        </is>
      </c>
      <c r="C8" s="17" t="n">
        <v>36.625</v>
      </c>
      <c r="D8" s="18">
        <f>(1+C8/100/365)^30-1</f>
        <v/>
      </c>
      <c r="E8" s="19" t="n">
        <v>0.04679540188289599</v>
      </c>
      <c r="F8" s="19" t="n">
        <v>0.03400000000000003</v>
      </c>
      <c r="G8" s="20">
        <f>IF(E8="","",(1+D8)/(1+E8)-1)</f>
        <v/>
      </c>
      <c r="H8" s="21">
        <f>IF(G8="","",(1+G8)^12-1)</f>
        <v/>
      </c>
      <c r="I8" s="20">
        <f>IF(F8="","",(1+D8)/(1+F8)-1)</f>
        <v/>
      </c>
      <c r="J8" s="21">
        <f>IF(I8="","",(1+I8)^12-1)</f>
        <v/>
      </c>
      <c r="K8" s="22" t="inlineStr">
        <is>
          <t>2019 Macri / IMF</t>
        </is>
      </c>
    </row>
    <row r="9">
      <c r="B9" s="16" t="inlineStr">
        <is>
          <t>2019-04</t>
        </is>
      </c>
      <c r="C9" s="17" t="n">
        <v>53.375</v>
      </c>
      <c r="D9" s="18">
        <f>(1+C9/100/365)^30-1</f>
        <v/>
      </c>
      <c r="E9" s="19" t="n">
        <v>0.03400000000000003</v>
      </c>
      <c r="F9" s="19" t="n">
        <v>0.03103620271216312</v>
      </c>
      <c r="G9" s="20">
        <f>IF(E9="","",(1+D9)/(1+E9)-1)</f>
        <v/>
      </c>
      <c r="H9" s="21">
        <f>IF(G9="","",(1+G9)^12-1)</f>
        <v/>
      </c>
      <c r="I9" s="20">
        <f>IF(F9="","",(1+D9)/(1+F9)-1)</f>
        <v/>
      </c>
      <c r="J9" s="21">
        <f>IF(I9="","",(1+I9)^12-1)</f>
        <v/>
      </c>
      <c r="K9" s="22" t="inlineStr">
        <is>
          <t>2019 Macri / IMF</t>
        </is>
      </c>
    </row>
    <row r="10">
      <c r="B10" s="16" t="inlineStr">
        <is>
          <t>2019-05</t>
        </is>
      </c>
      <c r="C10" s="17" t="n">
        <v>53</v>
      </c>
      <c r="D10" s="18">
        <f>(1+C10/100/365)^30-1</f>
        <v/>
      </c>
      <c r="E10" s="19" t="n">
        <v>0.03103620271216312</v>
      </c>
      <c r="F10" s="19" t="n">
        <v>0.02718005402399526</v>
      </c>
      <c r="G10" s="20">
        <f>IF(E10="","",(1+D10)/(1+E10)-1)</f>
        <v/>
      </c>
      <c r="H10" s="21">
        <f>IF(G10="","",(1+G10)^12-1)</f>
        <v/>
      </c>
      <c r="I10" s="20">
        <f>IF(F10="","",(1+D10)/(1+F10)-1)</f>
        <v/>
      </c>
      <c r="J10" s="21">
        <f>IF(I10="","",(1+I10)^12-1)</f>
        <v/>
      </c>
      <c r="K10" s="22" t="inlineStr">
        <is>
          <t>2019 Macri / IMF</t>
        </is>
      </c>
    </row>
    <row r="11">
      <c r="B11" s="16" t="inlineStr">
        <is>
          <t>2019-06</t>
        </is>
      </c>
      <c r="C11" s="17" t="n">
        <v>52.938</v>
      </c>
      <c r="D11" s="18">
        <f>(1+C11/100/365)^30-1</f>
        <v/>
      </c>
      <c r="E11" s="19" t="n">
        <v>0.02718005402399526</v>
      </c>
      <c r="F11" s="19" t="n">
        <v>0.02197865538692101</v>
      </c>
      <c r="G11" s="20">
        <f>IF(E11="","",(1+D11)/(1+E11)-1)</f>
        <v/>
      </c>
      <c r="H11" s="21">
        <f>IF(G11="","",(1+G11)^12-1)</f>
        <v/>
      </c>
      <c r="I11" s="20">
        <f>IF(F11="","",(1+D11)/(1+F11)-1)</f>
        <v/>
      </c>
      <c r="J11" s="21">
        <f>IF(I11="","",(1+I11)^12-1)</f>
        <v/>
      </c>
      <c r="K11" s="22" t="inlineStr">
        <is>
          <t>2019 Macri / IMF</t>
        </is>
      </c>
    </row>
    <row r="12">
      <c r="B12" s="16" t="inlineStr">
        <is>
          <t>2019-07</t>
        </is>
      </c>
      <c r="C12" s="17" t="n">
        <v>48.063</v>
      </c>
      <c r="D12" s="18">
        <f>(1+C12/100/365)^30-1</f>
        <v/>
      </c>
      <c r="E12" s="19" t="n">
        <v>0.02197865538692101</v>
      </c>
      <c r="F12" s="19" t="n">
        <v>0.03953985787048686</v>
      </c>
      <c r="G12" s="20">
        <f>IF(E12="","",(1+D12)/(1+E12)-1)</f>
        <v/>
      </c>
      <c r="H12" s="21">
        <f>IF(G12="","",(1+G12)^12-1)</f>
        <v/>
      </c>
      <c r="I12" s="20">
        <f>IF(F12="","",(1+D12)/(1+F12)-1)</f>
        <v/>
      </c>
      <c r="J12" s="21">
        <f>IF(I12="","",(1+I12)^12-1)</f>
        <v/>
      </c>
      <c r="K12" s="22" t="inlineStr">
        <is>
          <t>2019 Macri / IMF</t>
        </is>
      </c>
    </row>
    <row r="13">
      <c r="B13" s="16" t="inlineStr">
        <is>
          <t>2019-08</t>
        </is>
      </c>
      <c r="C13" s="17" t="n">
        <v>58.063</v>
      </c>
      <c r="D13" s="18">
        <f>(1+C13/100/365)^30-1</f>
        <v/>
      </c>
      <c r="E13" s="19" t="n">
        <v>0.03953985787048686</v>
      </c>
      <c r="F13" s="19" t="n">
        <v>0.05885662272122305</v>
      </c>
      <c r="G13" s="20">
        <f>IF(E13="","",(1+D13)/(1+E13)-1)</f>
        <v/>
      </c>
      <c r="H13" s="21">
        <f>IF(G13="","",(1+G13)^12-1)</f>
        <v/>
      </c>
      <c r="I13" s="20">
        <f>IF(F13="","",(1+D13)/(1+F13)-1)</f>
        <v/>
      </c>
      <c r="J13" s="21">
        <f>IF(I13="","",(1+I13)^12-1)</f>
        <v/>
      </c>
      <c r="K13" s="22" t="inlineStr">
        <is>
          <t>2019 Macri / IMF</t>
        </is>
      </c>
    </row>
    <row r="14">
      <c r="B14" s="16" t="inlineStr">
        <is>
          <t>2019-09</t>
        </is>
      </c>
      <c r="C14" s="17" t="n">
        <v>58.875</v>
      </c>
      <c r="D14" s="18">
        <f>(1+C14/100/365)^30-1</f>
        <v/>
      </c>
      <c r="E14" s="19" t="n">
        <v>0.05885662272122305</v>
      </c>
      <c r="F14" s="19" t="n">
        <v>0.03293482090984123</v>
      </c>
      <c r="G14" s="20">
        <f>IF(E14="","",(1+D14)/(1+E14)-1)</f>
        <v/>
      </c>
      <c r="H14" s="21">
        <f>IF(G14="","",(1+G14)^12-1)</f>
        <v/>
      </c>
      <c r="I14" s="20">
        <f>IF(F14="","",(1+D14)/(1+F14)-1)</f>
        <v/>
      </c>
      <c r="J14" s="21">
        <f>IF(I14="","",(1+I14)^12-1)</f>
        <v/>
      </c>
      <c r="K14" s="22" t="inlineStr">
        <is>
          <t>2019 Macri / IMF</t>
        </is>
      </c>
    </row>
    <row r="15">
      <c r="B15" s="16" t="inlineStr">
        <is>
          <t>2019-10</t>
        </is>
      </c>
      <c r="C15" s="17" t="n">
        <v>50.063</v>
      </c>
      <c r="D15" s="18">
        <f>(1+C15/100/365)^30-1</f>
        <v/>
      </c>
      <c r="E15" s="19" t="n">
        <v>0.03293482090984123</v>
      </c>
      <c r="F15" s="19" t="n">
        <v>0.04254537309480311</v>
      </c>
      <c r="G15" s="20">
        <f>IF(E15="","",(1+D15)/(1+E15)-1)</f>
        <v/>
      </c>
      <c r="H15" s="21">
        <f>IF(G15="","",(1+G15)^12-1)</f>
        <v/>
      </c>
      <c r="I15" s="20">
        <f>IF(F15="","",(1+D15)/(1+F15)-1)</f>
        <v/>
      </c>
      <c r="J15" s="21">
        <f>IF(I15="","",(1+I15)^12-1)</f>
        <v/>
      </c>
      <c r="K15" s="22" t="inlineStr">
        <is>
          <t>2019 Macri / IMF</t>
        </is>
      </c>
    </row>
    <row r="16">
      <c r="B16" s="16" t="inlineStr">
        <is>
          <t>2019-11</t>
        </is>
      </c>
      <c r="C16" s="17" t="n">
        <v>44.188</v>
      </c>
      <c r="D16" s="18">
        <f>(1+C16/100/365)^30-1</f>
        <v/>
      </c>
      <c r="E16" s="19" t="n">
        <v>0.04254537309480311</v>
      </c>
      <c r="F16" s="19" t="n">
        <v>0.03743707355138337</v>
      </c>
      <c r="G16" s="20">
        <f>IF(E16="","",(1+D16)/(1+E16)-1)</f>
        <v/>
      </c>
      <c r="H16" s="21">
        <f>IF(G16="","",(1+G16)^12-1)</f>
        <v/>
      </c>
      <c r="I16" s="20">
        <f>IF(F16="","",(1+D16)/(1+F16)-1)</f>
        <v/>
      </c>
      <c r="J16" s="21">
        <f>IF(I16="","",(1+I16)^12-1)</f>
        <v/>
      </c>
      <c r="K16" s="22" t="inlineStr">
        <is>
          <t>2019 Macri / IMF</t>
        </is>
      </c>
    </row>
    <row r="17">
      <c r="B17" s="16" t="inlineStr">
        <is>
          <t>2019-12</t>
        </is>
      </c>
      <c r="C17" s="17" t="n">
        <v>39.438</v>
      </c>
      <c r="D17" s="18">
        <f>(1+C17/100/365)^30-1</f>
        <v/>
      </c>
      <c r="E17" s="19" t="n">
        <v>0.03743707355138337</v>
      </c>
      <c r="F17" s="19" t="n">
        <v>0.02252894926055982</v>
      </c>
      <c r="G17" s="20">
        <f>IF(E17="","",(1+D17)/(1+E17)-1)</f>
        <v/>
      </c>
      <c r="H17" s="21">
        <f>IF(G17="","",(1+G17)^12-1)</f>
        <v/>
      </c>
      <c r="I17" s="20">
        <f>IF(F17="","",(1+D17)/(1+F17)-1)</f>
        <v/>
      </c>
      <c r="J17" s="21">
        <f>IF(I17="","",(1+I17)^12-1)</f>
        <v/>
      </c>
      <c r="K17" s="22" t="inlineStr">
        <is>
          <t>Fernandez</t>
        </is>
      </c>
    </row>
    <row r="18">
      <c r="B18" s="16" t="inlineStr">
        <is>
          <t>2020-01</t>
        </is>
      </c>
      <c r="C18" s="17" t="n">
        <v>38.875</v>
      </c>
      <c r="D18" s="18">
        <f>(1+C18/100/365)^30-1</f>
        <v/>
      </c>
      <c r="E18" s="19" t="n">
        <v>0.02252894926055982</v>
      </c>
      <c r="F18" s="19" t="n">
        <v>0.02013629373642956</v>
      </c>
      <c r="G18" s="20">
        <f>IF(E18="","",(1+D18)/(1+E18)-1)</f>
        <v/>
      </c>
      <c r="H18" s="21">
        <f>IF(G18="","",(1+G18)^12-1)</f>
        <v/>
      </c>
      <c r="I18" s="20">
        <f>IF(F18="","",(1+D18)/(1+F18)-1)</f>
        <v/>
      </c>
      <c r="J18" s="21">
        <f>IF(I18="","",(1+I18)^12-1)</f>
        <v/>
      </c>
      <c r="K18" s="22" t="inlineStr">
        <is>
          <t>Fernandez</t>
        </is>
      </c>
    </row>
    <row r="19">
      <c r="B19" s="16" t="inlineStr">
        <is>
          <t>2020-02</t>
        </is>
      </c>
      <c r="C19" s="17" t="n">
        <v>31.875</v>
      </c>
      <c r="D19" s="18">
        <f>(1+C19/100/365)^30-1</f>
        <v/>
      </c>
      <c r="E19" s="19" t="n">
        <v>0.02013629373642956</v>
      </c>
      <c r="F19" s="19" t="n">
        <v>0.03343468643672254</v>
      </c>
      <c r="G19" s="20">
        <f>IF(E19="","",(1+D19)/(1+E19)-1)</f>
        <v/>
      </c>
      <c r="H19" s="21">
        <f>IF(G19="","",(1+G19)^12-1)</f>
        <v/>
      </c>
      <c r="I19" s="20">
        <f>IF(F19="","",(1+D19)/(1+F19)-1)</f>
        <v/>
      </c>
      <c r="J19" s="21">
        <f>IF(I19="","",(1+I19)^12-1)</f>
        <v/>
      </c>
      <c r="K19" s="22" t="inlineStr">
        <is>
          <t>Fernandez</t>
        </is>
      </c>
    </row>
    <row r="20">
      <c r="B20" s="16" t="inlineStr">
        <is>
          <t>2020-03</t>
        </is>
      </c>
      <c r="C20" s="17" t="n">
        <v>29</v>
      </c>
      <c r="D20" s="18">
        <f>(1+C20/100/365)^30-1</f>
        <v/>
      </c>
      <c r="E20" s="19" t="n">
        <v>0.03343468643672254</v>
      </c>
      <c r="F20" s="19" t="n">
        <v>0.01496572590872569</v>
      </c>
      <c r="G20" s="20">
        <f>IF(E20="","",(1+D20)/(1+E20)-1)</f>
        <v/>
      </c>
      <c r="H20" s="21">
        <f>IF(G20="","",(1+G20)^12-1)</f>
        <v/>
      </c>
      <c r="I20" s="20">
        <f>IF(F20="","",(1+D20)/(1+F20)-1)</f>
        <v/>
      </c>
      <c r="J20" s="21">
        <f>IF(I20="","",(1+I20)^12-1)</f>
        <v/>
      </c>
      <c r="K20" s="22" t="inlineStr">
        <is>
          <t>Fernandez</t>
        </is>
      </c>
    </row>
    <row r="21">
      <c r="B21" s="16" t="inlineStr">
        <is>
          <t>2020-04</t>
        </is>
      </c>
      <c r="C21" s="17" t="n">
        <v>18.313</v>
      </c>
      <c r="D21" s="18">
        <f>(1+C21/100/365)^30-1</f>
        <v/>
      </c>
      <c r="E21" s="19" t="n">
        <v>0.01496572590872569</v>
      </c>
      <c r="F21" s="19" t="n">
        <v>0.01542736251238619</v>
      </c>
      <c r="G21" s="20">
        <f>IF(E21="","",(1+D21)/(1+E21)-1)</f>
        <v/>
      </c>
      <c r="H21" s="21">
        <f>IF(G21="","",(1+G21)^12-1)</f>
        <v/>
      </c>
      <c r="I21" s="20">
        <f>IF(F21="","",(1+D21)/(1+F21)-1)</f>
        <v/>
      </c>
      <c r="J21" s="21">
        <f>IF(I21="","",(1+I21)^12-1)</f>
        <v/>
      </c>
      <c r="K21" s="22" t="inlineStr">
        <is>
          <t>Fernandez</t>
        </is>
      </c>
    </row>
    <row r="22">
      <c r="B22" s="16" t="inlineStr">
        <is>
          <t>2020-05</t>
        </is>
      </c>
      <c r="C22" s="17" t="n">
        <v>26.188</v>
      </c>
      <c r="D22" s="18">
        <f>(1+C22/100/365)^30-1</f>
        <v/>
      </c>
      <c r="E22" s="19" t="n">
        <v>0.01542736251238619</v>
      </c>
      <c r="F22" s="19" t="n">
        <v>0.02243539159127694</v>
      </c>
      <c r="G22" s="20">
        <f>IF(E22="","",(1+D22)/(1+E22)-1)</f>
        <v/>
      </c>
      <c r="H22" s="21">
        <f>IF(G22="","",(1+G22)^12-1)</f>
        <v/>
      </c>
      <c r="I22" s="20">
        <f>IF(F22="","",(1+D22)/(1+F22)-1)</f>
        <v/>
      </c>
      <c r="J22" s="21">
        <f>IF(I22="","",(1+I22)^12-1)</f>
        <v/>
      </c>
      <c r="K22" s="22" t="inlineStr">
        <is>
          <t>Fernandez</t>
        </is>
      </c>
    </row>
    <row r="23">
      <c r="B23" s="16" t="inlineStr">
        <is>
          <t>2020-06</t>
        </is>
      </c>
      <c r="C23" s="17" t="n">
        <v>28.5</v>
      </c>
      <c r="D23" s="18">
        <f>(1+C23/100/365)^30-1</f>
        <v/>
      </c>
      <c r="E23" s="19" t="n">
        <v>0.02243539159127694</v>
      </c>
      <c r="F23" s="19" t="n">
        <v>0.01934194645651299</v>
      </c>
      <c r="G23" s="20">
        <f>IF(E23="","",(1+D23)/(1+E23)-1)</f>
        <v/>
      </c>
      <c r="H23" s="21">
        <f>IF(G23="","",(1+G23)^12-1)</f>
        <v/>
      </c>
      <c r="I23" s="20">
        <f>IF(F23="","",(1+D23)/(1+F23)-1)</f>
        <v/>
      </c>
      <c r="J23" s="21">
        <f>IF(I23="","",(1+I23)^12-1)</f>
        <v/>
      </c>
      <c r="K23" s="22" t="inlineStr">
        <is>
          <t>Fernandez</t>
        </is>
      </c>
    </row>
    <row r="24">
      <c r="B24" s="16" t="inlineStr">
        <is>
          <t>2020-07</t>
        </is>
      </c>
      <c r="C24" s="17" t="n">
        <v>29.75</v>
      </c>
      <c r="D24" s="18">
        <f>(1+C24/100/365)^30-1</f>
        <v/>
      </c>
      <c r="E24" s="19" t="n">
        <v>0.01934194645651299</v>
      </c>
      <c r="F24" s="19" t="n">
        <v>0.02700110359066121</v>
      </c>
      <c r="G24" s="20">
        <f>IF(E24="","",(1+D24)/(1+E24)-1)</f>
        <v/>
      </c>
      <c r="H24" s="21">
        <f>IF(G24="","",(1+G24)^12-1)</f>
        <v/>
      </c>
      <c r="I24" s="20">
        <f>IF(F24="","",(1+D24)/(1+F24)-1)</f>
        <v/>
      </c>
      <c r="J24" s="21">
        <f>IF(I24="","",(1+I24)^12-1)</f>
        <v/>
      </c>
      <c r="K24" s="22" t="inlineStr">
        <is>
          <t>Fernandez</t>
        </is>
      </c>
    </row>
    <row r="25">
      <c r="B25" s="16" t="inlineStr">
        <is>
          <t>2020-08</t>
        </is>
      </c>
      <c r="C25" s="17" t="n">
        <v>29.875</v>
      </c>
      <c r="D25" s="18">
        <f>(1+C25/100/365)^30-1</f>
        <v/>
      </c>
      <c r="E25" s="19" t="n">
        <v>0.02700110359066121</v>
      </c>
      <c r="F25" s="19" t="n">
        <v>0.02835521646978956</v>
      </c>
      <c r="G25" s="20">
        <f>IF(E25="","",(1+D25)/(1+E25)-1)</f>
        <v/>
      </c>
      <c r="H25" s="21">
        <f>IF(G25="","",(1+G25)^12-1)</f>
        <v/>
      </c>
      <c r="I25" s="20">
        <f>IF(F25="","",(1+D25)/(1+F25)-1)</f>
        <v/>
      </c>
      <c r="J25" s="21">
        <f>IF(I25="","",(1+I25)^12-1)</f>
        <v/>
      </c>
      <c r="K25" s="22" t="inlineStr">
        <is>
          <t>Fernandez</t>
        </is>
      </c>
    </row>
    <row r="26">
      <c r="B26" s="16" t="inlineStr">
        <is>
          <t>2020-09</t>
        </is>
      </c>
      <c r="C26" s="17" t="n">
        <v>29.688</v>
      </c>
      <c r="D26" s="18">
        <f>(1+C26/100/365)^30-1</f>
        <v/>
      </c>
      <c r="E26" s="19" t="n">
        <v>0.02835521646978956</v>
      </c>
      <c r="F26" s="19" t="n">
        <v>0.03760969843982198</v>
      </c>
      <c r="G26" s="20">
        <f>IF(E26="","",(1+D26)/(1+E26)-1)</f>
        <v/>
      </c>
      <c r="H26" s="21">
        <f>IF(G26="","",(1+G26)^12-1)</f>
        <v/>
      </c>
      <c r="I26" s="20">
        <f>IF(F26="","",(1+D26)/(1+F26)-1)</f>
        <v/>
      </c>
      <c r="J26" s="21">
        <f>IF(I26="","",(1+I26)^12-1)</f>
        <v/>
      </c>
      <c r="K26" s="22" t="inlineStr">
        <is>
          <t>Fernandez</t>
        </is>
      </c>
    </row>
    <row r="27">
      <c r="B27" s="16" t="inlineStr">
        <is>
          <t>2020-10</t>
        </is>
      </c>
      <c r="C27" s="17" t="n">
        <v>31.688</v>
      </c>
      <c r="D27" s="18">
        <f>(1+C27/100/365)^30-1</f>
        <v/>
      </c>
      <c r="E27" s="19" t="n">
        <v>0.03760969843982198</v>
      </c>
      <c r="F27" s="19" t="n">
        <v>0.03159704941096653</v>
      </c>
      <c r="G27" s="20">
        <f>IF(E27="","",(1+D27)/(1+E27)-1)</f>
        <v/>
      </c>
      <c r="H27" s="21">
        <f>IF(G27="","",(1+G27)^12-1)</f>
        <v/>
      </c>
      <c r="I27" s="20">
        <f>IF(F27="","",(1+D27)/(1+F27)-1)</f>
        <v/>
      </c>
      <c r="J27" s="21">
        <f>IF(I27="","",(1+I27)^12-1)</f>
        <v/>
      </c>
      <c r="K27" s="22" t="inlineStr">
        <is>
          <t>Fernandez</t>
        </is>
      </c>
    </row>
    <row r="28">
      <c r="B28" s="16" t="inlineStr">
        <is>
          <t>2020-11</t>
        </is>
      </c>
      <c r="C28" s="17" t="n">
        <v>33.625</v>
      </c>
      <c r="D28" s="18">
        <f>(1+C28/100/365)^30-1</f>
        <v/>
      </c>
      <c r="E28" s="19" t="n">
        <v>0.03159704941096653</v>
      </c>
      <c r="F28" s="19" t="n">
        <v>0.04005567338353533</v>
      </c>
      <c r="G28" s="20">
        <f>IF(E28="","",(1+D28)/(1+E28)-1)</f>
        <v/>
      </c>
      <c r="H28" s="21">
        <f>IF(G28="","",(1+G28)^12-1)</f>
        <v/>
      </c>
      <c r="I28" s="20">
        <f>IF(F28="","",(1+D28)/(1+F28)-1)</f>
        <v/>
      </c>
      <c r="J28" s="21">
        <f>IF(I28="","",(1+I28)^12-1)</f>
        <v/>
      </c>
      <c r="K28" s="22" t="inlineStr">
        <is>
          <t>Fernandez</t>
        </is>
      </c>
    </row>
    <row r="29">
      <c r="B29" s="16" t="inlineStr">
        <is>
          <t>2020-12</t>
        </is>
      </c>
      <c r="C29" s="17" t="n">
        <v>34.25</v>
      </c>
      <c r="D29" s="18">
        <f>(1+C29/100/365)^30-1</f>
        <v/>
      </c>
      <c r="E29" s="19" t="n">
        <v>0.04005567338353533</v>
      </c>
      <c r="F29" s="19" t="n">
        <v>0.0404902941982872</v>
      </c>
      <c r="G29" s="20">
        <f>IF(E29="","",(1+D29)/(1+E29)-1)</f>
        <v/>
      </c>
      <c r="H29" s="21">
        <f>IF(G29="","",(1+G29)^12-1)</f>
        <v/>
      </c>
      <c r="I29" s="20">
        <f>IF(F29="","",(1+D29)/(1+F29)-1)</f>
        <v/>
      </c>
      <c r="J29" s="21">
        <f>IF(I29="","",(1+I29)^12-1)</f>
        <v/>
      </c>
      <c r="K29" s="22" t="inlineStr">
        <is>
          <t>Fernandez</t>
        </is>
      </c>
    </row>
    <row r="30">
      <c r="B30" s="16" t="inlineStr">
        <is>
          <t>2021-01</t>
        </is>
      </c>
      <c r="C30" s="17" t="n">
        <v>34.063</v>
      </c>
      <c r="D30" s="18">
        <f>(1+C30/100/365)^30-1</f>
        <v/>
      </c>
      <c r="E30" s="19" t="n">
        <v>0.0404902941982872</v>
      </c>
      <c r="F30" s="19" t="n">
        <v>0.0357463168148211</v>
      </c>
      <c r="G30" s="20">
        <f>IF(E30="","",(1+D30)/(1+E30)-1)</f>
        <v/>
      </c>
      <c r="H30" s="21">
        <f>IF(G30="","",(1+G30)^12-1)</f>
        <v/>
      </c>
      <c r="I30" s="20">
        <f>IF(F30="","",(1+D30)/(1+F30)-1)</f>
        <v/>
      </c>
      <c r="J30" s="21">
        <f>IF(I30="","",(1+I30)^12-1)</f>
        <v/>
      </c>
      <c r="K30" s="22" t="inlineStr">
        <is>
          <t>Fernandez</t>
        </is>
      </c>
    </row>
    <row r="31">
      <c r="B31" s="16" t="inlineStr">
        <is>
          <t>2021-02</t>
        </is>
      </c>
      <c r="C31" s="17" t="n">
        <v>34.188</v>
      </c>
      <c r="D31" s="18">
        <f>(1+C31/100/365)^30-1</f>
        <v/>
      </c>
      <c r="E31" s="19" t="n">
        <v>0.0357463168148211</v>
      </c>
      <c r="F31" s="19" t="n">
        <v>0.04810807496281799</v>
      </c>
      <c r="G31" s="20">
        <f>IF(E31="","",(1+D31)/(1+E31)-1)</f>
        <v/>
      </c>
      <c r="H31" s="21">
        <f>IF(G31="","",(1+G31)^12-1)</f>
        <v/>
      </c>
      <c r="I31" s="20">
        <f>IF(F31="","",(1+D31)/(1+F31)-1)</f>
        <v/>
      </c>
      <c r="J31" s="21">
        <f>IF(I31="","",(1+I31)^12-1)</f>
        <v/>
      </c>
      <c r="K31" s="22" t="inlineStr">
        <is>
          <t>Fernandez</t>
        </is>
      </c>
    </row>
    <row r="32">
      <c r="B32" s="16" t="inlineStr">
        <is>
          <t>2021-03</t>
        </is>
      </c>
      <c r="C32" s="17" t="n">
        <v>34.063</v>
      </c>
      <c r="D32" s="18">
        <f>(1+C32/100/365)^30-1</f>
        <v/>
      </c>
      <c r="E32" s="19" t="n">
        <v>0.04810807496281799</v>
      </c>
      <c r="F32" s="19" t="n">
        <v>0.04080293539959667</v>
      </c>
      <c r="G32" s="20">
        <f>IF(E32="","",(1+D32)/(1+E32)-1)</f>
        <v/>
      </c>
      <c r="H32" s="21">
        <f>IF(G32="","",(1+G32)^12-1)</f>
        <v/>
      </c>
      <c r="I32" s="20">
        <f>IF(F32="","",(1+D32)/(1+F32)-1)</f>
        <v/>
      </c>
      <c r="J32" s="21">
        <f>IF(I32="","",(1+I32)^12-1)</f>
        <v/>
      </c>
      <c r="K32" s="22" t="inlineStr">
        <is>
          <t>Fernandez</t>
        </is>
      </c>
    </row>
    <row r="33">
      <c r="B33" s="16" t="inlineStr">
        <is>
          <t>2021-04</t>
        </is>
      </c>
      <c r="C33" s="17" t="n">
        <v>33.938</v>
      </c>
      <c r="D33" s="18">
        <f>(1+C33/100/365)^30-1</f>
        <v/>
      </c>
      <c r="E33" s="19" t="n">
        <v>0.04080293539959667</v>
      </c>
      <c r="F33" s="19" t="n">
        <v>0.03322978073639549</v>
      </c>
      <c r="G33" s="20">
        <f>IF(E33="","",(1+D33)/(1+E33)-1)</f>
        <v/>
      </c>
      <c r="H33" s="21">
        <f>IF(G33="","",(1+G33)^12-1)</f>
        <v/>
      </c>
      <c r="I33" s="20">
        <f>IF(F33="","",(1+D33)/(1+F33)-1)</f>
        <v/>
      </c>
      <c r="J33" s="21">
        <f>IF(I33="","",(1+I33)^12-1)</f>
        <v/>
      </c>
      <c r="K33" s="22" t="inlineStr">
        <is>
          <t>Fernandez</t>
        </is>
      </c>
    </row>
    <row r="34">
      <c r="B34" s="16" t="inlineStr">
        <is>
          <t>2021-05</t>
        </is>
      </c>
      <c r="C34" s="17" t="n">
        <v>34.25</v>
      </c>
      <c r="D34" s="18">
        <f>(1+C34/100/365)^30-1</f>
        <v/>
      </c>
      <c r="E34" s="19" t="n">
        <v>0.03322978073639549</v>
      </c>
      <c r="F34" s="19" t="n">
        <v>0.0317454797589205</v>
      </c>
      <c r="G34" s="20">
        <f>IF(E34="","",(1+D34)/(1+E34)-1)</f>
        <v/>
      </c>
      <c r="H34" s="21">
        <f>IF(G34="","",(1+G34)^12-1)</f>
        <v/>
      </c>
      <c r="I34" s="20">
        <f>IF(F34="","",(1+D34)/(1+F34)-1)</f>
        <v/>
      </c>
      <c r="J34" s="21">
        <f>IF(I34="","",(1+I34)^12-1)</f>
        <v/>
      </c>
      <c r="K34" s="22" t="inlineStr">
        <is>
          <t>Fernandez</t>
        </is>
      </c>
    </row>
    <row r="35">
      <c r="B35" s="16" t="inlineStr">
        <is>
          <t>2021-06</t>
        </is>
      </c>
      <c r="C35" s="17" t="n">
        <v>33.875</v>
      </c>
      <c r="D35" s="18">
        <f>(1+C35/100/365)^30-1</f>
        <v/>
      </c>
      <c r="E35" s="19" t="n">
        <v>0.0317454797589205</v>
      </c>
      <c r="F35" s="19" t="n">
        <v>0.02997033322036247</v>
      </c>
      <c r="G35" s="20">
        <f>IF(E35="","",(1+D35)/(1+E35)-1)</f>
        <v/>
      </c>
      <c r="H35" s="21">
        <f>IF(G35="","",(1+G35)^12-1)</f>
        <v/>
      </c>
      <c r="I35" s="20">
        <f>IF(F35="","",(1+D35)/(1+F35)-1)</f>
        <v/>
      </c>
      <c r="J35" s="21">
        <f>IF(I35="","",(1+I35)^12-1)</f>
        <v/>
      </c>
      <c r="K35" s="22" t="inlineStr">
        <is>
          <t>Fernandez</t>
        </is>
      </c>
    </row>
    <row r="36">
      <c r="B36" s="16" t="inlineStr">
        <is>
          <t>2021-07</t>
        </is>
      </c>
      <c r="C36" s="17" t="n">
        <v>34.125</v>
      </c>
      <c r="D36" s="18">
        <f>(1+C36/100/365)^30-1</f>
        <v/>
      </c>
      <c r="E36" s="19" t="n">
        <v>0.02997033322036247</v>
      </c>
      <c r="F36" s="19" t="n">
        <v>0.0246848666740147</v>
      </c>
      <c r="G36" s="20">
        <f>IF(E36="","",(1+D36)/(1+E36)-1)</f>
        <v/>
      </c>
      <c r="H36" s="21">
        <f>IF(G36="","",(1+G36)^12-1)</f>
        <v/>
      </c>
      <c r="I36" s="20">
        <f>IF(F36="","",(1+D36)/(1+F36)-1)</f>
        <v/>
      </c>
      <c r="J36" s="21">
        <f>IF(I36="","",(1+I36)^12-1)</f>
        <v/>
      </c>
      <c r="K36" s="22" t="inlineStr">
        <is>
          <t>Fernandez</t>
        </is>
      </c>
    </row>
    <row r="37">
      <c r="B37" s="16" t="inlineStr">
        <is>
          <t>2021-08</t>
        </is>
      </c>
      <c r="C37" s="17" t="n">
        <v>34.188</v>
      </c>
      <c r="D37" s="18">
        <f>(1+C37/100/365)^30-1</f>
        <v/>
      </c>
      <c r="E37" s="19" t="n">
        <v>0.0246848666740147</v>
      </c>
      <c r="F37" s="19" t="n">
        <v>0.03546787953311381</v>
      </c>
      <c r="G37" s="20">
        <f>IF(E37="","",(1+D37)/(1+E37)-1)</f>
        <v/>
      </c>
      <c r="H37" s="21">
        <f>IF(G37="","",(1+G37)^12-1)</f>
        <v/>
      </c>
      <c r="I37" s="20">
        <f>IF(F37="","",(1+D37)/(1+F37)-1)</f>
        <v/>
      </c>
      <c r="J37" s="21">
        <f>IF(I37="","",(1+I37)^12-1)</f>
        <v/>
      </c>
      <c r="K37" s="22" t="inlineStr">
        <is>
          <t>Fernandez</t>
        </is>
      </c>
    </row>
    <row r="38">
      <c r="B38" s="16" t="inlineStr">
        <is>
          <t>2021-09</t>
        </is>
      </c>
      <c r="C38" s="17" t="n">
        <v>34.188</v>
      </c>
      <c r="D38" s="18">
        <f>(1+C38/100/365)^30-1</f>
        <v/>
      </c>
      <c r="E38" s="19" t="n">
        <v>0.03546787953311381</v>
      </c>
      <c r="F38" s="19" t="n">
        <v>0.0351627483837178</v>
      </c>
      <c r="G38" s="20">
        <f>IF(E38="","",(1+D38)/(1+E38)-1)</f>
        <v/>
      </c>
      <c r="H38" s="21">
        <f>IF(G38="","",(1+G38)^12-1)</f>
        <v/>
      </c>
      <c r="I38" s="20">
        <f>IF(F38="","",(1+D38)/(1+F38)-1)</f>
        <v/>
      </c>
      <c r="J38" s="21">
        <f>IF(I38="","",(1+I38)^12-1)</f>
        <v/>
      </c>
      <c r="K38" s="22" t="inlineStr">
        <is>
          <t>Fernandez</t>
        </is>
      </c>
    </row>
    <row r="39">
      <c r="B39" s="16" t="inlineStr">
        <is>
          <t>2021-10</t>
        </is>
      </c>
      <c r="C39" s="17" t="n">
        <v>34.188</v>
      </c>
      <c r="D39" s="18">
        <f>(1+C39/100/365)^30-1</f>
        <v/>
      </c>
      <c r="E39" s="19" t="n">
        <v>0.0351627483837178</v>
      </c>
      <c r="F39" s="19" t="n">
        <v>0.0252946460135095</v>
      </c>
      <c r="G39" s="20">
        <f>IF(E39="","",(1+D39)/(1+E39)-1)</f>
        <v/>
      </c>
      <c r="H39" s="21">
        <f>IF(G39="","",(1+G39)^12-1)</f>
        <v/>
      </c>
      <c r="I39" s="20">
        <f>IF(F39="","",(1+D39)/(1+F39)-1)</f>
        <v/>
      </c>
      <c r="J39" s="21">
        <f>IF(I39="","",(1+I39)^12-1)</f>
        <v/>
      </c>
      <c r="K39" s="22" t="inlineStr">
        <is>
          <t>Fernandez</t>
        </is>
      </c>
    </row>
    <row r="40">
      <c r="B40" s="16" t="inlineStr">
        <is>
          <t>2021-11</t>
        </is>
      </c>
      <c r="C40" s="17" t="n">
        <v>34.25</v>
      </c>
      <c r="D40" s="18">
        <f>(1+C40/100/365)^30-1</f>
        <v/>
      </c>
      <c r="E40" s="19" t="n">
        <v>0.0252946460135095</v>
      </c>
      <c r="F40" s="19" t="n">
        <v>0.03839970305841267</v>
      </c>
      <c r="G40" s="20">
        <f>IF(E40="","",(1+D40)/(1+E40)-1)</f>
        <v/>
      </c>
      <c r="H40" s="21">
        <f>IF(G40="","",(1+G40)^12-1)</f>
        <v/>
      </c>
      <c r="I40" s="20">
        <f>IF(F40="","",(1+D40)/(1+F40)-1)</f>
        <v/>
      </c>
      <c r="J40" s="21">
        <f>IF(I40="","",(1+I40)^12-1)</f>
        <v/>
      </c>
      <c r="K40" s="22" t="inlineStr">
        <is>
          <t>Fernandez</t>
        </is>
      </c>
    </row>
    <row r="41">
      <c r="B41" s="16" t="inlineStr">
        <is>
          <t>2021-12</t>
        </is>
      </c>
      <c r="C41" s="17" t="n">
        <v>34.125</v>
      </c>
      <c r="D41" s="18">
        <f>(1+C41/100/365)^30-1</f>
        <v/>
      </c>
      <c r="E41" s="19" t="n">
        <v>0.03839970305841267</v>
      </c>
      <c r="F41" s="19" t="n">
        <v>0.03875681916706375</v>
      </c>
      <c r="G41" s="20">
        <f>IF(E41="","",(1+D41)/(1+E41)-1)</f>
        <v/>
      </c>
      <c r="H41" s="21">
        <f>IF(G41="","",(1+G41)^12-1)</f>
        <v/>
      </c>
      <c r="I41" s="20">
        <f>IF(F41="","",(1+D41)/(1+F41)-1)</f>
        <v/>
      </c>
      <c r="J41" s="21">
        <f>IF(I41="","",(1+I41)^12-1)</f>
        <v/>
      </c>
      <c r="K41" s="22" t="inlineStr">
        <is>
          <t>Fernandez</t>
        </is>
      </c>
    </row>
    <row r="42">
      <c r="B42" s="16" t="inlineStr">
        <is>
          <t>2022-01</t>
        </is>
      </c>
      <c r="C42" s="17" t="n">
        <v>34.188</v>
      </c>
      <c r="D42" s="18">
        <f>(1+C42/100/365)^30-1</f>
        <v/>
      </c>
      <c r="E42" s="19" t="n">
        <v>0.03875681916706375</v>
      </c>
      <c r="F42" s="19" t="n">
        <v>0.04694365601008998</v>
      </c>
      <c r="G42" s="20">
        <f>IF(E42="","",(1+D42)/(1+E42)-1)</f>
        <v/>
      </c>
      <c r="H42" s="21">
        <f>IF(G42="","",(1+G42)^12-1)</f>
        <v/>
      </c>
      <c r="I42" s="20">
        <f>IF(F42="","",(1+D42)/(1+F42)-1)</f>
        <v/>
      </c>
      <c r="J42" s="21">
        <f>IF(I42="","",(1+I42)^12-1)</f>
        <v/>
      </c>
      <c r="K42" s="22" t="inlineStr">
        <is>
          <t>Fernandez</t>
        </is>
      </c>
    </row>
    <row r="43">
      <c r="B43" s="16" t="inlineStr">
        <is>
          <t>2022-02</t>
        </is>
      </c>
      <c r="C43" s="17" t="n">
        <v>37.5</v>
      </c>
      <c r="D43" s="18">
        <f>(1+C43/100/365)^30-1</f>
        <v/>
      </c>
      <c r="E43" s="19" t="n">
        <v>0.04694365601008998</v>
      </c>
      <c r="F43" s="19" t="n">
        <v>0.06728797833902544</v>
      </c>
      <c r="G43" s="20">
        <f>IF(E43="","",(1+D43)/(1+E43)-1)</f>
        <v/>
      </c>
      <c r="H43" s="21">
        <f>IF(G43="","",(1+G43)^12-1)</f>
        <v/>
      </c>
      <c r="I43" s="20">
        <f>IF(F43="","",(1+D43)/(1+F43)-1)</f>
        <v/>
      </c>
      <c r="J43" s="21">
        <f>IF(I43="","",(1+I43)^12-1)</f>
        <v/>
      </c>
      <c r="K43" s="22" t="inlineStr">
        <is>
          <t>Fernandez</t>
        </is>
      </c>
    </row>
    <row r="44">
      <c r="B44" s="16" t="inlineStr">
        <is>
          <t>2022-03</t>
        </is>
      </c>
      <c r="C44" s="17" t="n">
        <v>41.75</v>
      </c>
      <c r="D44" s="18">
        <f>(1+C44/100/365)^30-1</f>
        <v/>
      </c>
      <c r="E44" s="19" t="n">
        <v>0.06728797833902544</v>
      </c>
      <c r="F44" s="19" t="n">
        <v>0.06047319114997163</v>
      </c>
      <c r="G44" s="20">
        <f>IF(E44="","",(1+D44)/(1+E44)-1)</f>
        <v/>
      </c>
      <c r="H44" s="21">
        <f>IF(G44="","",(1+G44)^12-1)</f>
        <v/>
      </c>
      <c r="I44" s="20">
        <f>IF(F44="","",(1+D44)/(1+F44)-1)</f>
        <v/>
      </c>
      <c r="J44" s="21">
        <f>IF(I44="","",(1+I44)^12-1)</f>
        <v/>
      </c>
      <c r="K44" s="22" t="inlineStr">
        <is>
          <t>Fernandez</t>
        </is>
      </c>
    </row>
    <row r="45">
      <c r="B45" s="16" t="inlineStr">
        <is>
          <t>2022-04</t>
        </is>
      </c>
      <c r="C45" s="17" t="n">
        <v>44.313</v>
      </c>
      <c r="D45" s="18">
        <f>(1+C45/100/365)^30-1</f>
        <v/>
      </c>
      <c r="E45" s="19" t="n">
        <v>0.06047319114997163</v>
      </c>
      <c r="F45" s="19" t="n">
        <v>0.05050228059562611</v>
      </c>
      <c r="G45" s="20">
        <f>IF(E45="","",(1+D45)/(1+E45)-1)</f>
        <v/>
      </c>
      <c r="H45" s="21">
        <f>IF(G45="","",(1+G45)^12-1)</f>
        <v/>
      </c>
      <c r="I45" s="20">
        <f>IF(F45="","",(1+D45)/(1+F45)-1)</f>
        <v/>
      </c>
      <c r="J45" s="21">
        <f>IF(I45="","",(1+I45)^12-1)</f>
        <v/>
      </c>
      <c r="K45" s="22" t="inlineStr">
        <is>
          <t>Fernandez</t>
        </is>
      </c>
    </row>
    <row r="46">
      <c r="B46" s="16" t="inlineStr">
        <is>
          <t>2022-05</t>
        </is>
      </c>
      <c r="C46" s="17" t="n">
        <v>46.375</v>
      </c>
      <c r="D46" s="18">
        <f>(1+C46/100/365)^30-1</f>
        <v/>
      </c>
      <c r="E46" s="19" t="n">
        <v>0.05050228059562611</v>
      </c>
      <c r="F46" s="19" t="n">
        <v>0.05295221251628157</v>
      </c>
      <c r="G46" s="20">
        <f>IF(E46="","",(1+D46)/(1+E46)-1)</f>
        <v/>
      </c>
      <c r="H46" s="21">
        <f>IF(G46="","",(1+G46)^12-1)</f>
        <v/>
      </c>
      <c r="I46" s="20">
        <f>IF(F46="","",(1+D46)/(1+F46)-1)</f>
        <v/>
      </c>
      <c r="J46" s="21">
        <f>IF(I46="","",(1+I46)^12-1)</f>
        <v/>
      </c>
      <c r="K46" s="22" t="inlineStr">
        <is>
          <t>Fernandez</t>
        </is>
      </c>
    </row>
    <row r="47">
      <c r="B47" s="16" t="inlineStr">
        <is>
          <t>2022-06</t>
        </is>
      </c>
      <c r="C47" s="17" t="n">
        <v>50.813</v>
      </c>
      <c r="D47" s="18">
        <f>(1+C47/100/365)^30-1</f>
        <v/>
      </c>
      <c r="E47" s="19" t="n">
        <v>0.05295221251628157</v>
      </c>
      <c r="F47" s="19" t="n">
        <v>0.07406196857159353</v>
      </c>
      <c r="G47" s="20">
        <f>IF(E47="","",(1+D47)/(1+E47)-1)</f>
        <v/>
      </c>
      <c r="H47" s="21">
        <f>IF(G47="","",(1+G47)^12-1)</f>
        <v/>
      </c>
      <c r="I47" s="20">
        <f>IF(F47="","",(1+D47)/(1+F47)-1)</f>
        <v/>
      </c>
      <c r="J47" s="21">
        <f>IF(I47="","",(1+I47)^12-1)</f>
        <v/>
      </c>
      <c r="K47" s="22" t="inlineStr">
        <is>
          <t>Fernandez</t>
        </is>
      </c>
    </row>
    <row r="48">
      <c r="B48" s="16" t="inlineStr">
        <is>
          <t>2022-07</t>
        </is>
      </c>
      <c r="C48" s="17" t="n">
        <v>51</v>
      </c>
      <c r="D48" s="18">
        <f>(1+C48/100/365)^30-1</f>
        <v/>
      </c>
      <c r="E48" s="19" t="n">
        <v>0.07406196857159353</v>
      </c>
      <c r="F48" s="19" t="n">
        <v>0.06970335575355069</v>
      </c>
      <c r="G48" s="20">
        <f>IF(E48="","",(1+D48)/(1+E48)-1)</f>
        <v/>
      </c>
      <c r="H48" s="21">
        <f>IF(G48="","",(1+G48)^12-1)</f>
        <v/>
      </c>
      <c r="I48" s="20">
        <f>IF(F48="","",(1+D48)/(1+F48)-1)</f>
        <v/>
      </c>
      <c r="J48" s="21">
        <f>IF(I48="","",(1+I48)^12-1)</f>
        <v/>
      </c>
      <c r="K48" s="22" t="inlineStr">
        <is>
          <t>Fernandez</t>
        </is>
      </c>
    </row>
    <row r="49">
      <c r="B49" s="16" t="inlineStr">
        <is>
          <t>2022-08</t>
        </is>
      </c>
      <c r="C49" s="17" t="n">
        <v>56.5</v>
      </c>
      <c r="D49" s="18">
        <f>(1+C49/100/365)^30-1</f>
        <v/>
      </c>
      <c r="E49" s="19" t="n">
        <v>0.06970335575355069</v>
      </c>
      <c r="F49" s="19" t="n">
        <v>0.06165519887577164</v>
      </c>
      <c r="G49" s="20">
        <f>IF(E49="","",(1+D49)/(1+E49)-1)</f>
        <v/>
      </c>
      <c r="H49" s="21">
        <f>IF(G49="","",(1+G49)^12-1)</f>
        <v/>
      </c>
      <c r="I49" s="20">
        <f>IF(F49="","",(1+D49)/(1+F49)-1)</f>
        <v/>
      </c>
      <c r="J49" s="21">
        <f>IF(I49="","",(1+I49)^12-1)</f>
        <v/>
      </c>
      <c r="K49" s="22" t="inlineStr">
        <is>
          <t>Fernandez</t>
        </is>
      </c>
    </row>
    <row r="50">
      <c r="B50" s="16" t="inlineStr">
        <is>
          <t>2022-09</t>
        </is>
      </c>
      <c r="C50" s="17" t="n">
        <v>68.188</v>
      </c>
      <c r="D50" s="18">
        <f>(1+C50/100/365)^30-1</f>
        <v/>
      </c>
      <c r="E50" s="19" t="n">
        <v>0.06165519887577164</v>
      </c>
      <c r="F50" s="19" t="n">
        <v>0.0634735010869345</v>
      </c>
      <c r="G50" s="20">
        <f>IF(E50="","",(1+D50)/(1+E50)-1)</f>
        <v/>
      </c>
      <c r="H50" s="21">
        <f>IF(G50="","",(1+G50)^12-1)</f>
        <v/>
      </c>
      <c r="I50" s="20">
        <f>IF(F50="","",(1+D50)/(1+F50)-1)</f>
        <v/>
      </c>
      <c r="J50" s="21">
        <f>IF(I50="","",(1+I50)^12-1)</f>
        <v/>
      </c>
      <c r="K50" s="22" t="inlineStr">
        <is>
          <t>Fernandez</t>
        </is>
      </c>
    </row>
    <row r="51">
      <c r="B51" s="16" t="inlineStr">
        <is>
          <t>2022-10</t>
        </is>
      </c>
      <c r="C51" s="17" t="n">
        <v>69.813</v>
      </c>
      <c r="D51" s="18">
        <f>(1+C51/100/365)^30-1</f>
        <v/>
      </c>
      <c r="E51" s="19" t="n">
        <v>0.0634735010869345</v>
      </c>
      <c r="F51" s="19" t="n">
        <v>0.04916147081867916</v>
      </c>
      <c r="G51" s="20">
        <f>IF(E51="","",(1+D51)/(1+E51)-1)</f>
        <v/>
      </c>
      <c r="H51" s="21">
        <f>IF(G51="","",(1+G51)^12-1)</f>
        <v/>
      </c>
      <c r="I51" s="20">
        <f>IF(F51="","",(1+D51)/(1+F51)-1)</f>
        <v/>
      </c>
      <c r="J51" s="21">
        <f>IF(I51="","",(1+I51)^12-1)</f>
        <v/>
      </c>
      <c r="K51" s="22" t="inlineStr">
        <is>
          <t>Fernandez</t>
        </is>
      </c>
    </row>
    <row r="52">
      <c r="B52" s="16" t="inlineStr">
        <is>
          <t>2022-11</t>
        </is>
      </c>
      <c r="C52" s="17" t="n">
        <v>70.125</v>
      </c>
      <c r="D52" s="18">
        <f>(1+C52/100/365)^30-1</f>
        <v/>
      </c>
      <c r="E52" s="19" t="n">
        <v>0.04916147081867916</v>
      </c>
      <c r="F52" s="19" t="n">
        <v>0.05124607758867095</v>
      </c>
      <c r="G52" s="20">
        <f>IF(E52="","",(1+D52)/(1+E52)-1)</f>
        <v/>
      </c>
      <c r="H52" s="21">
        <f>IF(G52="","",(1+G52)^12-1)</f>
        <v/>
      </c>
      <c r="I52" s="20">
        <f>IF(F52="","",(1+D52)/(1+F52)-1)</f>
        <v/>
      </c>
      <c r="J52" s="21">
        <f>IF(I52="","",(1+I52)^12-1)</f>
        <v/>
      </c>
      <c r="K52" s="22" t="inlineStr">
        <is>
          <t>Fernandez</t>
        </is>
      </c>
    </row>
    <row r="53">
      <c r="B53" s="16" t="inlineStr">
        <is>
          <t>2022-12</t>
        </is>
      </c>
      <c r="C53" s="17" t="n">
        <v>69.375</v>
      </c>
      <c r="D53" s="18">
        <f>(1+C53/100/365)^30-1</f>
        <v/>
      </c>
      <c r="E53" s="19" t="n">
        <v>0.05124607758867095</v>
      </c>
      <c r="F53" s="19" t="n">
        <v>0.06027873566384256</v>
      </c>
      <c r="G53" s="20">
        <f>IF(E53="","",(1+D53)/(1+E53)-1)</f>
        <v/>
      </c>
      <c r="H53" s="21">
        <f>IF(G53="","",(1+G53)^12-1)</f>
        <v/>
      </c>
      <c r="I53" s="20">
        <f>IF(F53="","",(1+D53)/(1+F53)-1)</f>
        <v/>
      </c>
      <c r="J53" s="21">
        <f>IF(I53="","",(1+I53)^12-1)</f>
        <v/>
      </c>
      <c r="K53" s="22" t="inlineStr">
        <is>
          <t>Fernandez</t>
        </is>
      </c>
    </row>
    <row r="54">
      <c r="B54" s="16" t="inlineStr">
        <is>
          <t>2023-01</t>
        </is>
      </c>
      <c r="C54" s="17" t="n">
        <v>69.375</v>
      </c>
      <c r="D54" s="18">
        <f>(1+C54/100/365)^30-1</f>
        <v/>
      </c>
      <c r="E54" s="19" t="n">
        <v>0.06027873566384256</v>
      </c>
      <c r="F54" s="19" t="n">
        <v>0.0662772168092709</v>
      </c>
      <c r="G54" s="20">
        <f>IF(E54="","",(1+D54)/(1+E54)-1)</f>
        <v/>
      </c>
      <c r="H54" s="21">
        <f>IF(G54="","",(1+G54)^12-1)</f>
        <v/>
      </c>
      <c r="I54" s="20">
        <f>IF(F54="","",(1+D54)/(1+F54)-1)</f>
        <v/>
      </c>
      <c r="J54" s="21">
        <f>IF(I54="","",(1+I54)^12-1)</f>
        <v/>
      </c>
      <c r="K54" s="22" t="inlineStr">
        <is>
          <t>Fernandez</t>
        </is>
      </c>
    </row>
    <row r="55">
      <c r="B55" s="16" t="inlineStr">
        <is>
          <t>2023-02</t>
        </is>
      </c>
      <c r="C55" s="17" t="n">
        <v>70.5</v>
      </c>
      <c r="D55" s="18">
        <f>(1+C55/100/365)^30-1</f>
        <v/>
      </c>
      <c r="E55" s="19" t="n">
        <v>0.0662772168092709</v>
      </c>
      <c r="F55" s="19" t="n">
        <v>0.07675239849783555</v>
      </c>
      <c r="G55" s="20">
        <f>IF(E55="","",(1+D55)/(1+E55)-1)</f>
        <v/>
      </c>
      <c r="H55" s="21">
        <f>IF(G55="","",(1+G55)^12-1)</f>
        <v/>
      </c>
      <c r="I55" s="20">
        <f>IF(F55="","",(1+D55)/(1+F55)-1)</f>
        <v/>
      </c>
      <c r="J55" s="21">
        <f>IF(I55="","",(1+I55)^12-1)</f>
        <v/>
      </c>
      <c r="K55" s="22" t="inlineStr">
        <is>
          <t>Fernandez</t>
        </is>
      </c>
    </row>
    <row r="56">
      <c r="B56" s="16" t="inlineStr">
        <is>
          <t>2023-03</t>
        </is>
      </c>
      <c r="C56" s="17" t="n">
        <v>73.688</v>
      </c>
      <c r="D56" s="18">
        <f>(1+C56/100/365)^30-1</f>
        <v/>
      </c>
      <c r="E56" s="19" t="n">
        <v>0.07675239849783555</v>
      </c>
      <c r="F56" s="19" t="n">
        <v>0.08402689883670966</v>
      </c>
      <c r="G56" s="20">
        <f>IF(E56="","",(1+D56)/(1+E56)-1)</f>
        <v/>
      </c>
      <c r="H56" s="21">
        <f>IF(G56="","",(1+G56)^12-1)</f>
        <v/>
      </c>
      <c r="I56" s="20">
        <f>IF(F56="","",(1+D56)/(1+F56)-1)</f>
        <v/>
      </c>
      <c r="J56" s="21">
        <f>IF(I56="","",(1+I56)^12-1)</f>
        <v/>
      </c>
      <c r="K56" s="22" t="inlineStr">
        <is>
          <t>Fernandez</t>
        </is>
      </c>
    </row>
    <row r="57">
      <c r="B57" s="16" t="inlineStr">
        <is>
          <t>2023-04</t>
        </is>
      </c>
      <c r="C57" s="17" t="n">
        <v>87.5</v>
      </c>
      <c r="D57" s="18">
        <f>(1+C57/100/365)^30-1</f>
        <v/>
      </c>
      <c r="E57" s="19" t="n">
        <v>0.08402689883670966</v>
      </c>
      <c r="F57" s="19" t="n">
        <v>0.07772752965890595</v>
      </c>
      <c r="G57" s="20">
        <f>IF(E57="","",(1+D57)/(1+E57)-1)</f>
        <v/>
      </c>
      <c r="H57" s="21">
        <f>IF(G57="","",(1+G57)^12-1)</f>
        <v/>
      </c>
      <c r="I57" s="20">
        <f>IF(F57="","",(1+D57)/(1+F57)-1)</f>
        <v/>
      </c>
      <c r="J57" s="21">
        <f>IF(I57="","",(1+I57)^12-1)</f>
        <v/>
      </c>
      <c r="K57" s="22" t="inlineStr">
        <is>
          <t>Fernandez</t>
        </is>
      </c>
    </row>
    <row r="58">
      <c r="B58" s="16" t="inlineStr">
        <is>
          <t>2023-05</t>
        </is>
      </c>
      <c r="C58" s="17" t="n">
        <v>89</v>
      </c>
      <c r="D58" s="18">
        <f>(1+C58/100/365)^30-1</f>
        <v/>
      </c>
      <c r="E58" s="19" t="n">
        <v>0.07772752965890595</v>
      </c>
      <c r="F58" s="19" t="n">
        <v>0.05950831980500615</v>
      </c>
      <c r="G58" s="20">
        <f>IF(E58="","",(1+D58)/(1+E58)-1)</f>
        <v/>
      </c>
      <c r="H58" s="21">
        <f>IF(G58="","",(1+G58)^12-1)</f>
        <v/>
      </c>
      <c r="I58" s="20">
        <f>IF(F58="","",(1+D58)/(1+F58)-1)</f>
        <v/>
      </c>
      <c r="J58" s="21">
        <f>IF(I58="","",(1+I58)^12-1)</f>
        <v/>
      </c>
      <c r="K58" s="22" t="inlineStr">
        <is>
          <t>Fernandez</t>
        </is>
      </c>
    </row>
    <row r="59">
      <c r="B59" s="16" t="inlineStr">
        <is>
          <t>2023-06</t>
        </is>
      </c>
      <c r="C59" s="17" t="n">
        <v>92.813</v>
      </c>
      <c r="D59" s="18">
        <f>(1+C59/100/365)^30-1</f>
        <v/>
      </c>
      <c r="E59" s="19" t="n">
        <v>0.05950831980500615</v>
      </c>
      <c r="F59" s="19" t="n">
        <v>0.06344850862315798</v>
      </c>
      <c r="G59" s="20">
        <f>IF(E59="","",(1+D59)/(1+E59)-1)</f>
        <v/>
      </c>
      <c r="H59" s="21">
        <f>IF(G59="","",(1+G59)^12-1)</f>
        <v/>
      </c>
      <c r="I59" s="20">
        <f>IF(F59="","",(1+D59)/(1+F59)-1)</f>
        <v/>
      </c>
      <c r="J59" s="21">
        <f>IF(I59="","",(1+I59)^12-1)</f>
        <v/>
      </c>
      <c r="K59" s="22" t="inlineStr">
        <is>
          <t>Fernandez</t>
        </is>
      </c>
    </row>
    <row r="60">
      <c r="B60" s="16" t="inlineStr">
        <is>
          <t>2023-07</t>
        </is>
      </c>
      <c r="C60" s="17" t="n">
        <v>93.438</v>
      </c>
      <c r="D60" s="18">
        <f>(1+C60/100/365)^30-1</f>
        <v/>
      </c>
      <c r="E60" s="19" t="n">
        <v>0.06344850862315798</v>
      </c>
      <c r="F60" s="19" t="n">
        <v>0.1244163772868996</v>
      </c>
      <c r="G60" s="20">
        <f>IF(E60="","",(1+D60)/(1+E60)-1)</f>
        <v/>
      </c>
      <c r="H60" s="21">
        <f>IF(G60="","",(1+G60)^12-1)</f>
        <v/>
      </c>
      <c r="I60" s="20">
        <f>IF(F60="","",(1+D60)/(1+F60)-1)</f>
        <v/>
      </c>
      <c r="J60" s="21">
        <f>IF(I60="","",(1+I60)^12-1)</f>
        <v/>
      </c>
      <c r="K60" s="22" t="inlineStr">
        <is>
          <t>Fernandez</t>
        </is>
      </c>
    </row>
    <row r="61">
      <c r="B61" s="16" t="inlineStr">
        <is>
          <t>2023-08</t>
        </is>
      </c>
      <c r="C61" s="17" t="n">
        <v>113.375</v>
      </c>
      <c r="D61" s="18">
        <f>(1+C61/100/365)^30-1</f>
        <v/>
      </c>
      <c r="E61" s="19" t="n">
        <v>0.1244163772868996</v>
      </c>
      <c r="F61" s="19" t="n">
        <v>0.1274975013246695</v>
      </c>
      <c r="G61" s="20">
        <f>IF(E61="","",(1+D61)/(1+E61)-1)</f>
        <v/>
      </c>
      <c r="H61" s="21">
        <f>IF(G61="","",(1+G61)^12-1)</f>
        <v/>
      </c>
      <c r="I61" s="20">
        <f>IF(F61="","",(1+D61)/(1+F61)-1)</f>
        <v/>
      </c>
      <c r="J61" s="21">
        <f>IF(I61="","",(1+I61)^12-1)</f>
        <v/>
      </c>
      <c r="K61" s="22" t="inlineStr">
        <is>
          <t>Fernandez</t>
        </is>
      </c>
    </row>
    <row r="62">
      <c r="B62" s="16" t="inlineStr">
        <is>
          <t>2023-09</t>
        </is>
      </c>
      <c r="C62" s="17" t="n">
        <v>115.188</v>
      </c>
      <c r="D62" s="18">
        <f>(1+C62/100/365)^30-1</f>
        <v/>
      </c>
      <c r="E62" s="19" t="n">
        <v>0.1274975013246695</v>
      </c>
      <c r="F62" s="19" t="n">
        <v>0.08301739380410011</v>
      </c>
      <c r="G62" s="20">
        <f>IF(E62="","",(1+D62)/(1+E62)-1)</f>
        <v/>
      </c>
      <c r="H62" s="21">
        <f>IF(G62="","",(1+G62)^12-1)</f>
        <v/>
      </c>
      <c r="I62" s="20">
        <f>IF(F62="","",(1+D62)/(1+F62)-1)</f>
        <v/>
      </c>
      <c r="J62" s="21">
        <f>IF(I62="","",(1+I62)^12-1)</f>
        <v/>
      </c>
      <c r="K62" s="22" t="inlineStr">
        <is>
          <t>Fernandez</t>
        </is>
      </c>
    </row>
    <row r="63">
      <c r="B63" s="16" t="inlineStr">
        <is>
          <t>2023-10</t>
        </is>
      </c>
      <c r="C63" s="17" t="n">
        <v>129.625</v>
      </c>
      <c r="D63" s="18">
        <f>(1+C63/100/365)^30-1</f>
        <v/>
      </c>
      <c r="E63" s="19" t="n">
        <v>0.08301739380410011</v>
      </c>
      <c r="F63" s="19" t="n">
        <v>0.1281069017691574</v>
      </c>
      <c r="G63" s="20">
        <f>IF(E63="","",(1+D63)/(1+E63)-1)</f>
        <v/>
      </c>
      <c r="H63" s="21">
        <f>IF(G63="","",(1+G63)^12-1)</f>
        <v/>
      </c>
      <c r="I63" s="20">
        <f>IF(F63="","",(1+D63)/(1+F63)-1)</f>
        <v/>
      </c>
      <c r="J63" s="21">
        <f>IF(I63="","",(1+I63)^12-1)</f>
        <v/>
      </c>
      <c r="K63" s="22" t="inlineStr">
        <is>
          <t>Fernandez</t>
        </is>
      </c>
    </row>
    <row r="64">
      <c r="B64" s="16" t="inlineStr">
        <is>
          <t>2023-11</t>
        </is>
      </c>
      <c r="C64" s="17" t="n">
        <v>129.813</v>
      </c>
      <c r="D64" s="18">
        <f>(1+C64/100/365)^30-1</f>
        <v/>
      </c>
      <c r="E64" s="19" t="n">
        <v>0.1281069017691574</v>
      </c>
      <c r="F64" s="19" t="n">
        <v>0.2546567498423684</v>
      </c>
      <c r="G64" s="20">
        <f>IF(E64="","",(1+D64)/(1+E64)-1)</f>
        <v/>
      </c>
      <c r="H64" s="21">
        <f>IF(G64="","",(1+G64)^12-1)</f>
        <v/>
      </c>
      <c r="I64" s="20">
        <f>IF(F64="","",(1+D64)/(1+F64)-1)</f>
        <v/>
      </c>
      <c r="J64" s="21">
        <f>IF(I64="","",(1+I64)^12-1)</f>
        <v/>
      </c>
      <c r="K64" s="22" t="inlineStr">
        <is>
          <t>Fernandez</t>
        </is>
      </c>
    </row>
    <row r="65">
      <c r="B65" s="16" t="inlineStr">
        <is>
          <t>2023-12</t>
        </is>
      </c>
      <c r="C65" s="17" t="n">
        <v>109.75</v>
      </c>
      <c r="D65" s="18">
        <f>(1+C65/100/365)^30-1</f>
        <v/>
      </c>
      <c r="E65" s="19" t="n">
        <v>0.2546567498423684</v>
      </c>
      <c r="F65" s="19" t="n">
        <v>0.2061422528896106</v>
      </c>
      <c r="G65" s="20">
        <f>IF(E65="","",(1+D65)/(1+E65)-1)</f>
        <v/>
      </c>
      <c r="H65" s="21">
        <f>IF(G65="","",(1+G65)^12-1)</f>
        <v/>
      </c>
      <c r="I65" s="20">
        <f>IF(F65="","",(1+D65)/(1+F65)-1)</f>
        <v/>
      </c>
      <c r="J65" s="21">
        <f>IF(I65="","",(1+I65)^12-1)</f>
        <v/>
      </c>
      <c r="K65" s="23" t="inlineStr">
        <is>
          <t>Milei</t>
        </is>
      </c>
    </row>
    <row r="66">
      <c r="B66" s="16" t="inlineStr">
        <is>
          <t>2024-01</t>
        </is>
      </c>
      <c r="C66" s="17" t="n">
        <v>108</v>
      </c>
      <c r="D66" s="18">
        <f>(1+C66/100/365)^30-1</f>
        <v/>
      </c>
      <c r="E66" s="19" t="n">
        <v>0.2061422528896106</v>
      </c>
      <c r="F66" s="19" t="n">
        <v>0.1324067605352477</v>
      </c>
      <c r="G66" s="20">
        <f>IF(E66="","",(1+D66)/(1+E66)-1)</f>
        <v/>
      </c>
      <c r="H66" s="21">
        <f>IF(G66="","",(1+G66)^12-1)</f>
        <v/>
      </c>
      <c r="I66" s="20">
        <f>IF(F66="","",(1+D66)/(1+F66)-1)</f>
        <v/>
      </c>
      <c r="J66" s="21">
        <f>IF(I66="","",(1+I66)^12-1)</f>
        <v/>
      </c>
      <c r="K66" s="23" t="inlineStr">
        <is>
          <t>Milei</t>
        </is>
      </c>
    </row>
    <row r="67">
      <c r="B67" s="16" t="inlineStr">
        <is>
          <t>2024-02</t>
        </is>
      </c>
      <c r="C67" s="17" t="n">
        <v>107.938</v>
      </c>
      <c r="D67" s="18">
        <f>(1+C67/100/365)^30-1</f>
        <v/>
      </c>
      <c r="E67" s="19" t="n">
        <v>0.1324067605352477</v>
      </c>
      <c r="F67" s="19" t="n">
        <v>0.1100970015654024</v>
      </c>
      <c r="G67" s="20">
        <f>IF(E67="","",(1+D67)/(1+E67)-1)</f>
        <v/>
      </c>
      <c r="H67" s="21">
        <f>IF(G67="","",(1+G67)^12-1)</f>
        <v/>
      </c>
      <c r="I67" s="20">
        <f>IF(F67="","",(1+D67)/(1+F67)-1)</f>
        <v/>
      </c>
      <c r="J67" s="21">
        <f>IF(I67="","",(1+I67)^12-1)</f>
        <v/>
      </c>
      <c r="K67" s="23" t="inlineStr">
        <is>
          <t>Milei</t>
        </is>
      </c>
    </row>
    <row r="68">
      <c r="B68" s="16" t="inlineStr">
        <is>
          <t>2024-03</t>
        </is>
      </c>
      <c r="C68" s="17" t="n">
        <v>74.375</v>
      </c>
      <c r="D68" s="18">
        <f>(1+C68/100/365)^30-1</f>
        <v/>
      </c>
      <c r="E68" s="19" t="n">
        <v>0.1100970015654024</v>
      </c>
      <c r="F68" s="19" t="n">
        <v>0.08831920760605083</v>
      </c>
      <c r="G68" s="20">
        <f>IF(E68="","",(1+D68)/(1+E68)-1)</f>
        <v/>
      </c>
      <c r="H68" s="21">
        <f>IF(G68="","",(1+G68)^12-1)</f>
        <v/>
      </c>
      <c r="I68" s="20">
        <f>IF(F68="","",(1+D68)/(1+F68)-1)</f>
        <v/>
      </c>
      <c r="J68" s="21">
        <f>IF(I68="","",(1+I68)^12-1)</f>
        <v/>
      </c>
      <c r="K68" s="23" t="inlineStr">
        <is>
          <t>Milei</t>
        </is>
      </c>
    </row>
    <row r="69">
      <c r="B69" s="16" t="inlineStr">
        <is>
          <t>2024-04</t>
        </is>
      </c>
      <c r="C69" s="17" t="n">
        <v>61.438</v>
      </c>
      <c r="D69" s="18">
        <f>(1+C69/100/365)^30-1</f>
        <v/>
      </c>
      <c r="E69" s="19" t="n">
        <v>0.08831920760605083</v>
      </c>
      <c r="F69" s="19" t="n">
        <v>0.04176044874821416</v>
      </c>
      <c r="G69" s="20">
        <f>IF(E69="","",(1+D69)/(1+E69)-1)</f>
        <v/>
      </c>
      <c r="H69" s="21">
        <f>IF(G69="","",(1+G69)^12-1)</f>
        <v/>
      </c>
      <c r="I69" s="20">
        <f>IF(F69="","",(1+D69)/(1+F69)-1)</f>
        <v/>
      </c>
      <c r="J69" s="21">
        <f>IF(I69="","",(1+I69)^12-1)</f>
        <v/>
      </c>
      <c r="K69" s="23" t="inlineStr">
        <is>
          <t>Milei</t>
        </is>
      </c>
    </row>
    <row r="70">
      <c r="B70" s="16" t="inlineStr">
        <is>
          <t>2024-05</t>
        </is>
      </c>
      <c r="C70" s="17" t="n">
        <v>32.5</v>
      </c>
      <c r="D70" s="18">
        <f>(1+C70/100/365)^30-1</f>
        <v/>
      </c>
      <c r="E70" s="19" t="n">
        <v>0.04176044874821416</v>
      </c>
      <c r="F70" s="19" t="n">
        <v>0.04577349885572235</v>
      </c>
      <c r="G70" s="20">
        <f>IF(E70="","",(1+D70)/(1+E70)-1)</f>
        <v/>
      </c>
      <c r="H70" s="21">
        <f>IF(G70="","",(1+G70)^12-1)</f>
        <v/>
      </c>
      <c r="I70" s="20">
        <f>IF(F70="","",(1+D70)/(1+F70)-1)</f>
        <v/>
      </c>
      <c r="J70" s="21">
        <f>IF(I70="","",(1+I70)^12-1)</f>
        <v/>
      </c>
      <c r="K70" s="23" t="inlineStr">
        <is>
          <t>Milei</t>
        </is>
      </c>
    </row>
    <row r="71">
      <c r="B71" s="16" t="inlineStr">
        <is>
          <t>2024-06</t>
        </is>
      </c>
      <c r="C71" s="17" t="n">
        <v>32.063</v>
      </c>
      <c r="D71" s="18">
        <f>(1+C71/100/365)^30-1</f>
        <v/>
      </c>
      <c r="E71" s="19" t="n">
        <v>0.04577349885572235</v>
      </c>
      <c r="F71" s="19" t="n">
        <v>0.04030933695146399</v>
      </c>
      <c r="G71" s="20">
        <f>IF(E71="","",(1+D71)/(1+E71)-1)</f>
        <v/>
      </c>
      <c r="H71" s="21">
        <f>IF(G71="","",(1+G71)^12-1)</f>
        <v/>
      </c>
      <c r="I71" s="20">
        <f>IF(F71="","",(1+D71)/(1+F71)-1)</f>
        <v/>
      </c>
      <c r="J71" s="21">
        <f>IF(I71="","",(1+I71)^12-1)</f>
        <v/>
      </c>
      <c r="K71" s="23" t="inlineStr">
        <is>
          <t>Milei</t>
        </is>
      </c>
    </row>
    <row r="72">
      <c r="B72" s="16" t="inlineStr">
        <is>
          <t>2024-07</t>
        </is>
      </c>
      <c r="C72" s="17" t="n">
        <v>34.188</v>
      </c>
      <c r="D72" s="18">
        <f>(1+C72/100/365)^30-1</f>
        <v/>
      </c>
      <c r="E72" s="19" t="n">
        <v>0.04030933695146399</v>
      </c>
      <c r="F72" s="19" t="n">
        <v>0.04172273279372529</v>
      </c>
      <c r="G72" s="20">
        <f>IF(E72="","",(1+D72)/(1+E72)-1)</f>
        <v/>
      </c>
      <c r="H72" s="21">
        <f>IF(G72="","",(1+G72)^12-1)</f>
        <v/>
      </c>
      <c r="I72" s="20">
        <f>IF(F72="","",(1+D72)/(1+F72)-1)</f>
        <v/>
      </c>
      <c r="J72" s="21">
        <f>IF(I72="","",(1+I72)^12-1)</f>
        <v/>
      </c>
      <c r="K72" s="23" t="inlineStr">
        <is>
          <t>Milei</t>
        </is>
      </c>
    </row>
    <row r="73">
      <c r="B73" s="16" t="inlineStr">
        <is>
          <t>2024-08</t>
        </is>
      </c>
      <c r="C73" s="17" t="n">
        <v>40.25</v>
      </c>
      <c r="D73" s="18">
        <f>(1+C73/100/365)^30-1</f>
        <v/>
      </c>
      <c r="E73" s="19" t="n">
        <v>0.04172273279372529</v>
      </c>
      <c r="F73" s="19" t="n">
        <v>0.03469208104806643</v>
      </c>
      <c r="G73" s="20">
        <f>IF(E73="","",(1+D73)/(1+E73)-1)</f>
        <v/>
      </c>
      <c r="H73" s="21">
        <f>IF(G73="","",(1+G73)^12-1)</f>
        <v/>
      </c>
      <c r="I73" s="20">
        <f>IF(F73="","",(1+D73)/(1+F73)-1)</f>
        <v/>
      </c>
      <c r="J73" s="21">
        <f>IF(I73="","",(1+I73)^12-1)</f>
        <v/>
      </c>
      <c r="K73" s="23" t="inlineStr">
        <is>
          <t>Milei</t>
        </is>
      </c>
    </row>
    <row r="74">
      <c r="B74" s="16" t="inlineStr">
        <is>
          <t>2024-09</t>
        </is>
      </c>
      <c r="C74" s="17" t="n">
        <v>39.75</v>
      </c>
      <c r="D74" s="18">
        <f>(1+C74/100/365)^30-1</f>
        <v/>
      </c>
      <c r="E74" s="19" t="n">
        <v>0.03469208104806643</v>
      </c>
      <c r="F74" s="19" t="n">
        <v>0.02691738041311464</v>
      </c>
      <c r="G74" s="20">
        <f>IF(E74="","",(1+D74)/(1+E74)-1)</f>
        <v/>
      </c>
      <c r="H74" s="21">
        <f>IF(G74="","",(1+G74)^12-1)</f>
        <v/>
      </c>
      <c r="I74" s="20">
        <f>IF(F74="","",(1+D74)/(1+F74)-1)</f>
        <v/>
      </c>
      <c r="J74" s="21">
        <f>IF(I74="","",(1+I74)^12-1)</f>
        <v/>
      </c>
      <c r="K74" s="23" t="inlineStr">
        <is>
          <t>Milei</t>
        </is>
      </c>
    </row>
    <row r="75">
      <c r="B75" s="16" t="inlineStr">
        <is>
          <t>2024-10</t>
        </is>
      </c>
      <c r="C75" s="17" t="n">
        <v>42</v>
      </c>
      <c r="D75" s="18">
        <f>(1+C75/100/365)^30-1</f>
        <v/>
      </c>
      <c r="E75" s="19" t="n">
        <v>0.02691738041311464</v>
      </c>
      <c r="F75" s="19" t="n">
        <v>0.02426556075508368</v>
      </c>
      <c r="G75" s="20">
        <f>IF(E75="","",(1+D75)/(1+E75)-1)</f>
        <v/>
      </c>
      <c r="H75" s="21">
        <f>IF(G75="","",(1+G75)^12-1)</f>
        <v/>
      </c>
      <c r="I75" s="20">
        <f>IF(F75="","",(1+D75)/(1+F75)-1)</f>
        <v/>
      </c>
      <c r="J75" s="21">
        <f>IF(I75="","",(1+I75)^12-1)</f>
        <v/>
      </c>
      <c r="K75" s="23" t="inlineStr">
        <is>
          <t>Milei</t>
        </is>
      </c>
    </row>
    <row r="76">
      <c r="B76" s="16" t="inlineStr">
        <is>
          <t>2024-11</t>
        </is>
      </c>
      <c r="C76" s="17" t="n">
        <v>37.5</v>
      </c>
      <c r="D76" s="18">
        <f>(1+C76/100/365)^30-1</f>
        <v/>
      </c>
      <c r="E76" s="19" t="n">
        <v>0.02426556075508368</v>
      </c>
      <c r="F76" s="19" t="n">
        <v>0.02704104051463374</v>
      </c>
      <c r="G76" s="20">
        <f>IF(E76="","",(1+D76)/(1+E76)-1)</f>
        <v/>
      </c>
      <c r="H76" s="21">
        <f>IF(G76="","",(1+G76)^12-1)</f>
        <v/>
      </c>
      <c r="I76" s="20">
        <f>IF(F76="","",(1+D76)/(1+F76)-1)</f>
        <v/>
      </c>
      <c r="J76" s="21">
        <f>IF(I76="","",(1+I76)^12-1)</f>
        <v/>
      </c>
      <c r="K76" s="23" t="inlineStr">
        <is>
          <t>Milei</t>
        </is>
      </c>
    </row>
    <row r="77">
      <c r="B77" s="16" t="inlineStr">
        <is>
          <t>2024-12</t>
        </is>
      </c>
      <c r="C77" s="17" t="n">
        <v>31.938</v>
      </c>
      <c r="D77" s="18">
        <f>(1+C77/100/365)^30-1</f>
        <v/>
      </c>
      <c r="E77" s="19" t="n">
        <v>0.02704104051463374</v>
      </c>
      <c r="F77" s="19" t="n">
        <v>0.02211048013665184</v>
      </c>
      <c r="G77" s="20">
        <f>IF(E77="","",(1+D77)/(1+E77)-1)</f>
        <v/>
      </c>
      <c r="H77" s="21">
        <f>IF(G77="","",(1+G77)^12-1)</f>
        <v/>
      </c>
      <c r="I77" s="20">
        <f>IF(F77="","",(1+D77)/(1+F77)-1)</f>
        <v/>
      </c>
      <c r="J77" s="21">
        <f>IF(I77="","",(1+I77)^12-1)</f>
        <v/>
      </c>
      <c r="K77" s="23" t="inlineStr">
        <is>
          <t>Milei</t>
        </is>
      </c>
    </row>
    <row r="78">
      <c r="B78" s="16" t="inlineStr">
        <is>
          <t>2025-01</t>
        </is>
      </c>
      <c r="C78" s="17" t="n">
        <v>31.625</v>
      </c>
      <c r="D78" s="18">
        <f>(1+C78/100/365)^30-1</f>
        <v/>
      </c>
      <c r="E78" s="19" t="n">
        <v>0.02211048013665184</v>
      </c>
      <c r="F78" s="19" t="n">
        <v>0.02401627430751785</v>
      </c>
      <c r="G78" s="20">
        <f>IF(E78="","",(1+D78)/(1+E78)-1)</f>
        <v/>
      </c>
      <c r="H78" s="21">
        <f>IF(G78="","",(1+G78)^12-1)</f>
        <v/>
      </c>
      <c r="I78" s="20">
        <f>IF(F78="","",(1+D78)/(1+F78)-1)</f>
        <v/>
      </c>
      <c r="J78" s="21">
        <f>IF(I78="","",(1+I78)^12-1)</f>
        <v/>
      </c>
      <c r="K78" s="23" t="inlineStr">
        <is>
          <t>Milei</t>
        </is>
      </c>
    </row>
    <row r="79">
      <c r="B79" s="16" t="inlineStr">
        <is>
          <t>2025-02</t>
        </is>
      </c>
      <c r="C79" s="17" t="n">
        <v>28.5</v>
      </c>
      <c r="D79" s="18">
        <f>(1+C79/100/365)^30-1</f>
        <v/>
      </c>
      <c r="E79" s="19" t="n">
        <v>0.02401627430751785</v>
      </c>
      <c r="F79" s="19" t="n">
        <v>0.03729335306612169</v>
      </c>
      <c r="G79" s="20">
        <f>IF(E79="","",(1+D79)/(1+E79)-1)</f>
        <v/>
      </c>
      <c r="H79" s="21">
        <f>IF(G79="","",(1+G79)^12-1)</f>
        <v/>
      </c>
      <c r="I79" s="20">
        <f>IF(F79="","",(1+D79)/(1+F79)-1)</f>
        <v/>
      </c>
      <c r="J79" s="21">
        <f>IF(I79="","",(1+I79)^12-1)</f>
        <v/>
      </c>
      <c r="K79" s="23" t="inlineStr">
        <is>
          <t>Milei</t>
        </is>
      </c>
    </row>
    <row r="80">
      <c r="B80" s="16" t="inlineStr">
        <is>
          <t>2025-03</t>
        </is>
      </c>
      <c r="C80" s="17" t="n">
        <v>27.75</v>
      </c>
      <c r="D80" s="18">
        <f>(1+C80/100/365)^30-1</f>
        <v/>
      </c>
      <c r="E80" s="19" t="n">
        <v>0.03729335306612169</v>
      </c>
      <c r="F80" s="19" t="n">
        <v>0.0278083584485096</v>
      </c>
      <c r="G80" s="20">
        <f>IF(E80="","",(1+D80)/(1+E80)-1)</f>
        <v/>
      </c>
      <c r="H80" s="21">
        <f>IF(G80="","",(1+G80)^12-1)</f>
        <v/>
      </c>
      <c r="I80" s="20">
        <f>IF(F80="","",(1+D80)/(1+F80)-1)</f>
        <v/>
      </c>
      <c r="J80" s="21">
        <f>IF(I80="","",(1+I80)^12-1)</f>
        <v/>
      </c>
      <c r="K80" s="23" t="inlineStr">
        <is>
          <t>Milei</t>
        </is>
      </c>
    </row>
    <row r="81">
      <c r="B81" s="16" t="inlineStr">
        <is>
          <t>2025-04</t>
        </is>
      </c>
      <c r="C81" s="17" t="n">
        <v>31.063</v>
      </c>
      <c r="D81" s="18">
        <f>(1+C81/100/365)^30-1</f>
        <v/>
      </c>
      <c r="E81" s="19" t="n">
        <v>0.0278083584485096</v>
      </c>
      <c r="F81" s="19" t="n">
        <v>0.01501108634382309</v>
      </c>
      <c r="G81" s="20">
        <f>IF(E81="","",(1+D81)/(1+E81)-1)</f>
        <v/>
      </c>
      <c r="H81" s="21">
        <f>IF(G81="","",(1+G81)^12-1)</f>
        <v/>
      </c>
      <c r="I81" s="20">
        <f>IF(F81="","",(1+D81)/(1+F81)-1)</f>
        <v/>
      </c>
      <c r="J81" s="21">
        <f>IF(I81="","",(1+I81)^12-1)</f>
        <v/>
      </c>
      <c r="K81" s="23" t="inlineStr">
        <is>
          <t>Milei</t>
        </is>
      </c>
    </row>
    <row r="82">
      <c r="B82" s="16" t="inlineStr">
        <is>
          <t>2025-05</t>
        </is>
      </c>
      <c r="C82" s="17" t="n">
        <v>32.688</v>
      </c>
      <c r="D82" s="18">
        <f>(1+C82/100/365)^30-1</f>
        <v/>
      </c>
      <c r="E82" s="19" t="n">
        <v>0.01501108634382309</v>
      </c>
      <c r="F82" s="19" t="n">
        <v>0.01618924881993333</v>
      </c>
      <c r="G82" s="20">
        <f>IF(E82="","",(1+D82)/(1+E82)-1)</f>
        <v/>
      </c>
      <c r="H82" s="21">
        <f>IF(G82="","",(1+G82)^12-1)</f>
        <v/>
      </c>
      <c r="I82" s="20">
        <f>IF(F82="","",(1+D82)/(1+F82)-1)</f>
        <v/>
      </c>
      <c r="J82" s="21">
        <f>IF(I82="","",(1+I82)^12-1)</f>
        <v/>
      </c>
      <c r="K82" s="23" t="inlineStr">
        <is>
          <t>Milei</t>
        </is>
      </c>
    </row>
    <row r="83">
      <c r="B83" s="16" t="inlineStr">
        <is>
          <t>2025-06</t>
        </is>
      </c>
      <c r="C83" s="17" t="n">
        <v>32.688</v>
      </c>
      <c r="D83" s="18">
        <f>(1+C83/100/365)^30-1</f>
        <v/>
      </c>
      <c r="E83" s="19" t="n">
        <v>0.01618924881993333</v>
      </c>
      <c r="F83" s="19" t="n">
        <v>0.01901683755331285</v>
      </c>
      <c r="G83" s="20">
        <f>IF(E83="","",(1+D83)/(1+E83)-1)</f>
        <v/>
      </c>
      <c r="H83" s="21">
        <f>IF(G83="","",(1+G83)^12-1)</f>
        <v/>
      </c>
      <c r="I83" s="20">
        <f>IF(F83="","",(1+D83)/(1+F83)-1)</f>
        <v/>
      </c>
      <c r="J83" s="21">
        <f>IF(I83="","",(1+I83)^12-1)</f>
        <v/>
      </c>
      <c r="K83" s="23" t="inlineStr">
        <is>
          <t>Milei</t>
        </is>
      </c>
    </row>
    <row r="84">
      <c r="B84" s="16" t="inlineStr">
        <is>
          <t>2025-07</t>
        </is>
      </c>
      <c r="C84" s="17" t="n">
        <v>32.688</v>
      </c>
      <c r="D84" s="18">
        <f>(1+C84/100/365)^30-1</f>
        <v/>
      </c>
      <c r="E84" s="19" t="n">
        <v>0.01901683755331285</v>
      </c>
      <c r="F84" s="19" t="n">
        <v>0.01875793511350277</v>
      </c>
      <c r="G84" s="20">
        <f>IF(E84="","",(1+D84)/(1+E84)-1)</f>
        <v/>
      </c>
      <c r="H84" s="21">
        <f>IF(G84="","",(1+G84)^12-1)</f>
        <v/>
      </c>
      <c r="I84" s="20">
        <f>IF(F84="","",(1+D84)/(1+F84)-1)</f>
        <v/>
      </c>
      <c r="J84" s="21">
        <f>IF(I84="","",(1+I84)^12-1)</f>
        <v/>
      </c>
      <c r="K84" s="23" t="inlineStr">
        <is>
          <t>Milei</t>
        </is>
      </c>
    </row>
    <row r="85">
      <c r="B85" s="16" t="inlineStr">
        <is>
          <t>2025-08</t>
        </is>
      </c>
      <c r="C85" s="17" t="n">
        <v>38</v>
      </c>
      <c r="D85" s="18">
        <f>(1+C85/100/365)^30-1</f>
        <v/>
      </c>
      <c r="E85" s="19" t="n">
        <v>0.01875793511350277</v>
      </c>
      <c r="F85" s="19" t="n">
        <v>0.02075960323951365</v>
      </c>
      <c r="G85" s="20">
        <f>IF(E85="","",(1+D85)/(1+E85)-1)</f>
        <v/>
      </c>
      <c r="H85" s="21">
        <f>IF(G85="","",(1+G85)^12-1)</f>
        <v/>
      </c>
      <c r="I85" s="20">
        <f>IF(F85="","",(1+D85)/(1+F85)-1)</f>
        <v/>
      </c>
      <c r="J85" s="21">
        <f>IF(I85="","",(1+I85)^12-1)</f>
        <v/>
      </c>
      <c r="K85" s="23" t="inlineStr">
        <is>
          <t>Milei</t>
        </is>
      </c>
    </row>
    <row r="86">
      <c r="B86" s="16" t="inlineStr">
        <is>
          <t>2025-09</t>
        </is>
      </c>
      <c r="C86" s="17" t="n">
        <v>41</v>
      </c>
      <c r="D86" s="18">
        <f>(1+C86/100/365)^30-1</f>
        <v/>
      </c>
      <c r="E86" s="19" t="n">
        <v>0.02075960323951365</v>
      </c>
      <c r="F86" s="19" t="n">
        <v>0.02341943102391952</v>
      </c>
      <c r="G86" s="20">
        <f>IF(E86="","",(1+D86)/(1+E86)-1)</f>
        <v/>
      </c>
      <c r="H86" s="21">
        <f>IF(G86="","",(1+G86)^12-1)</f>
        <v/>
      </c>
      <c r="I86" s="20">
        <f>IF(F86="","",(1+D86)/(1+F86)-1)</f>
        <v/>
      </c>
      <c r="J86" s="21">
        <f>IF(I86="","",(1+I86)^12-1)</f>
        <v/>
      </c>
      <c r="K86" s="23" t="inlineStr">
        <is>
          <t>Milei</t>
        </is>
      </c>
    </row>
    <row r="87">
      <c r="B87" s="16" t="inlineStr">
        <is>
          <t>2025-10</t>
        </is>
      </c>
      <c r="C87" s="17" t="n">
        <v>40.625</v>
      </c>
      <c r="D87" s="18">
        <f>(1+C87/100/365)^30-1</f>
        <v/>
      </c>
      <c r="E87" s="19" t="n">
        <v>0.02341943102391952</v>
      </c>
      <c r="F87" s="19" t="n">
        <v>0.02472919671078566</v>
      </c>
      <c r="G87" s="20">
        <f>IF(E87="","",(1+D87)/(1+E87)-1)</f>
        <v/>
      </c>
      <c r="H87" s="21">
        <f>IF(G87="","",(1+G87)^12-1)</f>
        <v/>
      </c>
      <c r="I87" s="20">
        <f>IF(F87="","",(1+D87)/(1+F87)-1)</f>
        <v/>
      </c>
      <c r="J87" s="21">
        <f>IF(I87="","",(1+I87)^12-1)</f>
        <v/>
      </c>
      <c r="K87" s="23" t="inlineStr">
        <is>
          <t>Milei</t>
        </is>
      </c>
    </row>
    <row r="88">
      <c r="B88" s="16" t="inlineStr">
        <is>
          <t>2025-11</t>
        </is>
      </c>
      <c r="C88" s="17" t="n">
        <v>30.25</v>
      </c>
      <c r="D88" s="18">
        <f>(1+C88/100/365)^30-1</f>
        <v/>
      </c>
      <c r="E88" s="19" t="n">
        <v>0.02472919671078566</v>
      </c>
      <c r="F88" s="19" t="n">
        <v>0.02845271934571714</v>
      </c>
      <c r="G88" s="20">
        <f>IF(E88="","",(1+D88)/(1+E88)-1)</f>
        <v/>
      </c>
      <c r="H88" s="21">
        <f>IF(G88="","",(1+G88)^12-1)</f>
        <v/>
      </c>
      <c r="I88" s="20">
        <f>IF(F88="","",(1+D88)/(1+F88)-1)</f>
        <v/>
      </c>
      <c r="J88" s="21">
        <f>IF(I88="","",(1+I88)^12-1)</f>
        <v/>
      </c>
      <c r="K88" s="23" t="inlineStr">
        <is>
          <t>Milei</t>
        </is>
      </c>
    </row>
    <row r="89">
      <c r="B89" s="16" t="inlineStr">
        <is>
          <t>2025-12</t>
        </is>
      </c>
      <c r="C89" s="17" t="n">
        <v>26.688</v>
      </c>
      <c r="D89" s="18">
        <f>(1+C89/100/365)^30-1</f>
        <v/>
      </c>
      <c r="E89" s="19" t="n">
        <v>0.02845271934571714</v>
      </c>
      <c r="F89" s="19" t="n">
        <v>0.02881619353661713</v>
      </c>
      <c r="G89" s="20">
        <f>IF(E89="","",(1+D89)/(1+E89)-1)</f>
        <v/>
      </c>
      <c r="H89" s="21">
        <f>IF(G89="","",(1+G89)^12-1)</f>
        <v/>
      </c>
      <c r="I89" s="20">
        <f>IF(F89="","",(1+D89)/(1+F89)-1)</f>
        <v/>
      </c>
      <c r="J89" s="21">
        <f>IF(I89="","",(1+I89)^12-1)</f>
        <v/>
      </c>
      <c r="K89" s="23" t="inlineStr">
        <is>
          <t>Milei</t>
        </is>
      </c>
    </row>
    <row r="90">
      <c r="B90" s="16" t="inlineStr">
        <is>
          <t>2026-01</t>
        </is>
      </c>
      <c r="C90" s="17" t="n">
        <v>26.688</v>
      </c>
      <c r="D90" s="18">
        <f>(1+C90/100/365)^30-1</f>
        <v/>
      </c>
      <c r="E90" s="19" t="n">
        <v>0.02881619353661713</v>
      </c>
      <c r="F90" s="19" t="n">
        <v>0.02896319072672693</v>
      </c>
      <c r="G90" s="20">
        <f>IF(E90="","",(1+D90)/(1+E90)-1)</f>
        <v/>
      </c>
      <c r="H90" s="21">
        <f>IF(G90="","",(1+G90)^12-1)</f>
        <v/>
      </c>
      <c r="I90" s="20">
        <f>IF(F90="","",(1+D90)/(1+F90)-1)</f>
        <v/>
      </c>
      <c r="J90" s="21">
        <f>IF(I90="","",(1+I90)^12-1)</f>
        <v/>
      </c>
      <c r="K90" s="23" t="inlineStr">
        <is>
          <t>Milei</t>
        </is>
      </c>
    </row>
    <row r="91">
      <c r="B91" s="16" t="inlineStr">
        <is>
          <t>2026-02</t>
        </is>
      </c>
      <c r="C91" s="17" t="n">
        <v>29.375</v>
      </c>
      <c r="D91" s="18">
        <f>(1+C91/100/365)^30-1</f>
        <v/>
      </c>
      <c r="E91" s="19" t="n">
        <v>0.02896319072672693</v>
      </c>
      <c r="F91" s="19" t="n">
        <v>0.0338262219244152</v>
      </c>
      <c r="G91" s="20">
        <f>IF(E91="","",(1+D91)/(1+E91)-1)</f>
        <v/>
      </c>
      <c r="H91" s="21">
        <f>IF(G91="","",(1+G91)^12-1)</f>
        <v/>
      </c>
      <c r="I91" s="20">
        <f>IF(F91="","",(1+D91)/(1+F91)-1)</f>
        <v/>
      </c>
      <c r="J91" s="21">
        <f>IF(I91="","",(1+I91)^12-1)</f>
        <v/>
      </c>
      <c r="K91" s="23" t="inlineStr">
        <is>
          <t>Milei</t>
        </is>
      </c>
    </row>
    <row r="92">
      <c r="B92" s="16" t="inlineStr">
        <is>
          <t>2026-03</t>
        </is>
      </c>
      <c r="C92" s="17" t="n">
        <v>29.5</v>
      </c>
      <c r="D92" s="18">
        <f>(1+C92/100/365)^30-1</f>
        <v/>
      </c>
      <c r="E92" s="19" t="n">
        <v>0.0338262219244152</v>
      </c>
      <c r="F92" s="19" t="n">
        <v>0.02582179561567455</v>
      </c>
      <c r="G92" s="20">
        <f>IF(E92="","",(1+D92)/(1+E92)-1)</f>
        <v/>
      </c>
      <c r="H92" s="21">
        <f>IF(G92="","",(1+G92)^12-1)</f>
        <v/>
      </c>
      <c r="I92" s="20">
        <f>IF(F92="","",(1+D92)/(1+F92)-1)</f>
        <v/>
      </c>
      <c r="J92" s="21">
        <f>IF(I92="","",(1+I92)^12-1)</f>
        <v/>
      </c>
      <c r="K92" s="23" t="inlineStr">
        <is>
          <t>Milei</t>
        </is>
      </c>
    </row>
    <row r="93">
      <c r="B93" s="16" t="inlineStr">
        <is>
          <t>2026-04</t>
        </is>
      </c>
      <c r="C93" s="17" t="n">
        <v>20.375</v>
      </c>
      <c r="D93" s="18">
        <f>(1+C93/100/365)^30-1</f>
        <v/>
      </c>
      <c r="E93" s="19" t="n">
        <v>0.02582179561567455</v>
      </c>
      <c r="F93" s="19" t="n">
        <v>0.02149972334990857</v>
      </c>
      <c r="G93" s="20">
        <f>IF(E93="","",(1+D93)/(1+E93)-1)</f>
        <v/>
      </c>
      <c r="H93" s="21">
        <f>IF(G93="","",(1+G93)^12-1)</f>
        <v/>
      </c>
      <c r="I93" s="20">
        <f>IF(F93="","",(1+D93)/(1+F93)-1)</f>
        <v/>
      </c>
      <c r="J93" s="21">
        <f>IF(I93="","",(1+I93)^12-1)</f>
        <v/>
      </c>
      <c r="K93" s="23" t="inlineStr">
        <is>
          <t>Milei</t>
        </is>
      </c>
    </row>
    <row r="94">
      <c r="B94" s="16" t="inlineStr">
        <is>
          <t>2026-05</t>
        </is>
      </c>
      <c r="C94" s="17" t="n">
        <v>20.625</v>
      </c>
      <c r="D94" s="18">
        <f>(1+C94/100/365)^30-1</f>
        <v/>
      </c>
      <c r="E94" s="19" t="n">
        <v>0.02149972334990857</v>
      </c>
      <c r="F94" s="19" t="n">
        <v>0.01886871468829376</v>
      </c>
      <c r="G94" s="20">
        <f>IF(E94="","",(1+D94)/(1+E94)-1)</f>
        <v/>
      </c>
      <c r="H94" s="21">
        <f>IF(G94="","",(1+G94)^12-1)</f>
        <v/>
      </c>
      <c r="I94" s="20">
        <f>IF(F94="","",(1+D94)/(1+F94)-1)</f>
        <v/>
      </c>
      <c r="J94" s="21">
        <f>IF(I94="","",(1+I94)^12-1)</f>
        <v/>
      </c>
      <c r="K94" s="23" t="inlineStr">
        <is>
          <t>Milei</t>
        </is>
      </c>
    </row>
    <row r="95">
      <c r="B95" s="16" t="inlineStr">
        <is>
          <t>2026-06</t>
        </is>
      </c>
      <c r="C95" s="17" t="n">
        <v>20.813</v>
      </c>
      <c r="D95" s="18">
        <f>(1+C95/100/365)^30-1</f>
        <v/>
      </c>
      <c r="E95" s="19" t="n">
        <v>0.01886871468829376</v>
      </c>
      <c r="F95" s="19" t="n">
        <v>0.02094899413391738</v>
      </c>
      <c r="G95" s="20">
        <f>IF(E95="","",(1+D95)/(1+E95)-1)</f>
        <v/>
      </c>
      <c r="H95" s="21">
        <f>IF(G95="","",(1+G95)^12-1)</f>
        <v/>
      </c>
      <c r="I95" s="20">
        <f>IF(F95="","",(1+D95)/(1+F95)-1)</f>
        <v/>
      </c>
      <c r="J95" s="21">
        <f>IF(I95="","",(1+I95)^12-1)</f>
        <v/>
      </c>
      <c r="K95" s="23" t="inlineStr">
        <is>
          <t>Milei</t>
        </is>
      </c>
    </row>
    <row r="96">
      <c r="B96" s="16" t="inlineStr">
        <is>
          <t>2026-07</t>
        </is>
      </c>
      <c r="C96" s="17" t="n">
        <v>20.938</v>
      </c>
      <c r="D96" s="18">
        <f>(1+C96/100/365)^30-1</f>
        <v/>
      </c>
      <c r="E96" s="19" t="n">
        <v>0.02094899413391738</v>
      </c>
      <c r="F96" s="19" t="n">
        <v>0.01667359647833777</v>
      </c>
      <c r="G96" s="20">
        <f>IF(E96="","",(1+D96)/(1+E96)-1)</f>
        <v/>
      </c>
      <c r="H96" s="21">
        <f>IF(G96="","",(1+G96)^12-1)</f>
        <v/>
      </c>
      <c r="I96" s="20">
        <f>IF(F96="","",(1+D96)/(1+F96)-1)</f>
        <v/>
      </c>
      <c r="J96" s="21">
        <f>IF(I96="","",(1+I96)^12-1)</f>
        <v/>
      </c>
      <c r="K96" s="23" t="inlineStr">
        <is>
          <t>Milei</t>
        </is>
      </c>
    </row>
    <row r="97">
      <c r="B97" s="16" t="inlineStr">
        <is>
          <t>2026-08</t>
        </is>
      </c>
      <c r="C97" s="17" t="n">
        <v>23</v>
      </c>
      <c r="D97" s="18">
        <f>(1+C97/100/365)^30-1</f>
        <v/>
      </c>
      <c r="E97" s="19" t="n">
        <v>0.01667359647833777</v>
      </c>
      <c r="G97" s="20">
        <f>IF(E97="","",(1+D97)/(1+E97)-1)</f>
        <v/>
      </c>
      <c r="H97" s="21">
        <f>IF(G97="","",(1+G97)^12-1)</f>
        <v/>
      </c>
      <c r="I97" s="20">
        <f>IF(F97="","",(1+D97)/(1+F97)-1)</f>
        <v/>
      </c>
      <c r="J97" s="21">
        <f>IF(I97="","",(1+I97)^12-1)</f>
        <v/>
      </c>
      <c r="K97" s="23" t="inlineStr">
        <is>
          <t>Milei</t>
        </is>
      </c>
    </row>
    <row r="98">
      <c r="B98" s="16" t="inlineStr">
        <is>
          <t>2026-09</t>
        </is>
      </c>
      <c r="C98" s="17" t="n">
        <v>23.375</v>
      </c>
      <c r="D98" s="18">
        <f>(1+C98/100/365)^30-1</f>
        <v/>
      </c>
      <c r="G98" s="20">
        <f>IF(E98="","",(1+D98)/(1+E98)-1)</f>
        <v/>
      </c>
      <c r="H98" s="21">
        <f>IF(G98="","",(1+G98)^12-1)</f>
        <v/>
      </c>
      <c r="I98" s="20">
        <f>IF(F98="","",(1+D98)/(1+F98)-1)</f>
        <v/>
      </c>
      <c r="J98" s="21">
        <f>IF(I98="","",(1+I98)^12-1)</f>
        <v/>
      </c>
      <c r="K98" s="23" t="inlineStr">
        <is>
          <t>Milei</t>
        </is>
      </c>
    </row>
    <row r="101">
      <c r="B101" s="24" t="inlineStr">
        <is>
          <t>READ THIS BEFORE USING THE CHART</t>
        </is>
      </c>
    </row>
    <row r="102">
      <c r="B102" s="5" t="inlineStr">
        <is>
          <t>The data does not support 'policy was loose before Milei and he tightened it'. Averaged over each era, the real ex-post rate was:</t>
        </is>
      </c>
    </row>
    <row r="103">
      <c r="B103" s="6" t="inlineStr">
        <is>
          <t>Era</t>
        </is>
      </c>
      <c r="C103" s="6" t="inlineStr">
        <is>
          <t>Avg real ex-post, annualised</t>
        </is>
      </c>
      <c r="D103" s="6" t="inlineStr">
        <is>
          <t>Months negative</t>
        </is>
      </c>
      <c r="E103" s="6" t="inlineStr">
        <is>
          <t>What it means</t>
        </is>
      </c>
    </row>
    <row r="104" ht="28" customHeight="1">
      <c r="B104" s="25" t="inlineStr">
        <is>
          <t>2019 — Macri, IMF programme</t>
        </is>
      </c>
      <c r="C104" s="26">
        <f>(1+AVERAGEIFS($G$6:$G$98,$B$6:$B$98,"&gt;="&amp;"2019-01",$B$6:$B$98,"&lt;="&amp;"2019-11"))^12-1</f>
        <v/>
      </c>
      <c r="D104" s="27">
        <f>COUNTIFS($B$6:$B$98,"&gt;="&amp;"2019-01",$B$6:$B$98,"&lt;="&amp;"2019-11",$G$6:$G$98,"&lt;0")&amp;" of "&amp;COUNTIFS($B$6:$B$98,"&gt;="&amp;"2019-01",$B$6:$B$98,"&lt;="&amp;"2019-11",$G$6:$G$98,"&lt;&gt;")</f>
        <v/>
      </c>
      <c r="E104" s="28" t="inlineStr">
        <is>
          <t>POSITIVE. Rates were held far above inflation under the programme. A chart starting in 2019 undercuts the argument in its first twelve months.</t>
        </is>
      </c>
    </row>
    <row r="105" ht="28" customHeight="1">
      <c r="B105" s="25" t="inlineStr">
        <is>
          <t>2020-2022 — Fernandez</t>
        </is>
      </c>
      <c r="C105" s="26">
        <f>(1+AVERAGEIFS($G$6:$G$98,$B$6:$B$98,"&gt;="&amp;"2020-01",$B$6:$B$98,"&lt;="&amp;"2022-12"))^12-1</f>
        <v/>
      </c>
      <c r="D105" s="27">
        <f>COUNTIFS($B$6:$B$98,"&gt;="&amp;"2020-01",$B$6:$B$98,"&lt;="&amp;"2022-12",$G$6:$G$98,"&lt;0")&amp;" of "&amp;COUNTIFS($B$6:$B$98,"&gt;="&amp;"2020-01",$B$6:$B$98,"&lt;="&amp;"2022-12",$G$6:$G$98,"&lt;&gt;")</f>
        <v/>
      </c>
      <c r="E105" s="28" t="inlineStr">
        <is>
          <t>NEGATIVE, persistently. This is the loose-policy period and it is the window the argument should use.</t>
        </is>
      </c>
    </row>
    <row r="106" ht="28" customHeight="1">
      <c r="B106" s="25" t="inlineStr">
        <is>
          <t>2023 to Nov — pre-handover</t>
        </is>
      </c>
      <c r="C106" s="26">
        <f>(1+AVERAGEIFS($G$6:$G$98,$B$6:$B$98,"&gt;="&amp;"2023-01",$B$6:$B$98,"&lt;="&amp;"2023-11"))^12-1</f>
        <v/>
      </c>
      <c r="D106" s="27">
        <f>COUNTIFS($B$6:$B$98,"&gt;="&amp;"2023-01",$B$6:$B$98,"&lt;="&amp;"2023-11",$G$6:$G$98,"&lt;0")&amp;" of "&amp;COUNTIFS($B$6:$B$98,"&gt;="&amp;"2023-01",$B$6:$B$98,"&lt;="&amp;"2023-11",$G$6:$G$98,"&lt;&gt;")</f>
        <v/>
      </c>
      <c r="E106" s="28" t="inlineStr">
        <is>
          <t>Negative on average, and violently so in the final months as inflation outran even 130% nominal rates.</t>
        </is>
      </c>
    </row>
    <row r="107" ht="28" customHeight="1">
      <c r="B107" s="25" t="inlineStr">
        <is>
          <t>Dec-2023 to Aug-2026 — Milei</t>
        </is>
      </c>
      <c r="C107" s="26">
        <f>(1+AVERAGEIFS($G$6:$G$98,$B$6:$B$98,"&gt;="&amp;"2023-12",$B$6:$B$98,"&lt;="&amp;"2026-08"))^12-1</f>
        <v/>
      </c>
      <c r="D107" s="27">
        <f>COUNTIFS($B$6:$B$98,"&gt;="&amp;"2023-12",$B$6:$B$98,"&lt;="&amp;"2026-08",$G$6:$G$98,"&lt;0")&amp;" of "&amp;COUNTIFS($B$6:$B$98,"&gt;="&amp;"2023-12",$B$6:$B$98,"&lt;="&amp;"2026-08",$G$6:$G$98,"&lt;&gt;")</f>
        <v/>
      </c>
      <c r="E107" s="28" t="inlineStr">
        <is>
          <t>MORE negative than Fernandez on average. Deliberately so: deeply negative rates through 2024 liquefied the inherited LELIQ stock, and rates went negative again from Dec-2025.</t>
        </is>
      </c>
    </row>
    <row r="109">
      <c r="B109" s="4" t="inlineStr">
        <is>
          <t>The distinction that does hold is PURPOSE, not sign:</t>
        </is>
      </c>
    </row>
    <row r="110" ht="26" customHeight="1">
      <c r="B110" s="28" t="inlineStr">
        <is>
          <t>Under Fernandez, negative real rates financed a primary deficit. Money demand collapsed (base money fell from 7.4% to 3.1% of GDP), the FX gap widened past 100%, and reserves drained. The negative rate was a symptom of fiscal dominance.</t>
        </is>
      </c>
    </row>
    <row r="111" ht="26" customHeight="1">
      <c r="B111" s="28" t="inlineStr">
        <is>
          <t>Under Milei, negative real rates ran alongside a primary SURPLUS, a closing FX gap and rising reserves. Through 2024 they were the instrument that inflated away the inherited LELIQ stock rather than repaying it. Same sign, opposite setting.</t>
        </is>
      </c>
    </row>
    <row r="112" ht="26" customHeight="1">
      <c r="B112" s="28" t="inlineStr">
        <is>
          <t>That is a defensible argument and it is more interesting than the one the chart appears to make. What it is not is 'he tightened policy' — he did not, and the numbers are public.</t>
        </is>
      </c>
    </row>
    <row r="114">
      <c r="B114" s="14" t="inlineStr">
        <is>
          <t>ON THE TWO REAL-RATE MEASURES. Ex-post compares the rate to the inflation that the same month actually printed. The ex-ante PROXY compares it to NEXT month's realised inflation — that is, the rate set today against the inflation that actually followed, which is perfect foresight rather than a genuine expectation.</t>
        </is>
      </c>
    </row>
    <row r="115">
      <c r="B115" s="15" t="inlineStr">
        <is>
          <t>A true ex-ante series needs the BCRA REM's expected inflation per round, and the REM's summary tables would not machine-read for any round attempted. Where the REM IS available, from Mar-2026, it runs close to this proxy: minus 9.3% annualised in Mar-2026 on the REM against the proxy here, crossing positive in Aug-2026 on both measures. The proxy is labelled as a proxy for that reason.</t>
        </is>
      </c>
    </row>
    <row r="116">
      <c r="B116" s="15" t="inlineStr">
        <is>
          <t>BADLAR is used rather than the policy rate on purpose: there is NO continuous policy rate across this window. The instrument was abolished on 9-Jun-2025 and the BCRA moved to targeting monetary aggregates, so a policy-rate chart would break in the middle. BADLAR runs from Jan-2019 to today on one definition. Jul-Sep 2025 remain genuinely volatile in the data because the LEFI unwind left overnight rates with no anchor — one-day cauciones ranged from 26% to 150% intraday on 20-Aug-2025.</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B63"/>
    <outlinePr summaryBelow="1" summaryRight="1"/>
    <pageSetUpPr fitToPage="1"/>
  </sheetPr>
  <dimension ref="B2:F1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outlineLevelCol="0"/>
  <cols>
    <col width="2" customWidth="1" min="1" max="1"/>
    <col width="40" customWidth="1" min="2" max="2"/>
    <col width="16" customWidth="1" min="3" max="3"/>
    <col width="80" customWidth="1" min="4" max="4"/>
    <col width="20" customWidth="1" min="5" max="5"/>
    <col width="16" customWidth="1" min="6" max="6"/>
  </cols>
  <sheetData>
    <row r="2" ht="26" customHeight="1">
      <c r="B2" s="1" t="inlineStr">
        <is>
          <t>The depletion of reserves, and what was spent defending the peso</t>
        </is>
      </c>
    </row>
    <row r="3">
      <c r="B3" s="2" t="inlineStr">
        <is>
          <t>Gross reserves against the monthly reserve impact of BCRA FX intervention. Negative bars are months the BCRA was a net seller.</t>
        </is>
      </c>
    </row>
    <row r="5" ht="34" customHeight="1">
      <c r="B5" s="6" t="inlineStr">
        <is>
          <t>Month</t>
        </is>
      </c>
      <c r="C5" s="6" t="inlineStr">
        <is>
          <t>Gross reserves
USD mn</t>
        </is>
      </c>
      <c r="D5" s="6" t="inlineStr">
        <is>
          <t>FX intervention
USD mn (negative = selling)</t>
        </is>
      </c>
      <c r="E5" s="6" t="inlineStr">
        <is>
          <t>Cumulative intervention
USD mn</t>
        </is>
      </c>
      <c r="F5" s="6" t="inlineStr">
        <is>
          <t>Era</t>
        </is>
      </c>
    </row>
    <row r="6">
      <c r="B6" s="16" t="inlineStr">
        <is>
          <t>2019-01</t>
        </is>
      </c>
      <c r="C6" s="8" t="n">
        <v>66811</v>
      </c>
      <c r="D6" s="8" t="n">
        <v>560</v>
      </c>
      <c r="E6" s="29">
        <f>D6</f>
        <v/>
      </c>
      <c r="F6" s="22" t="inlineStr">
        <is>
          <t>Macri</t>
        </is>
      </c>
    </row>
    <row r="7">
      <c r="B7" s="16" t="inlineStr">
        <is>
          <t>2019-02</t>
        </is>
      </c>
      <c r="C7" s="8" t="n">
        <v>68015</v>
      </c>
      <c r="D7" s="8" t="n">
        <v>418</v>
      </c>
      <c r="E7" s="29">
        <f>E6+D7</f>
        <v/>
      </c>
      <c r="F7" s="22" t="inlineStr">
        <is>
          <t>Macri</t>
        </is>
      </c>
    </row>
    <row r="8">
      <c r="B8" s="16" t="inlineStr">
        <is>
          <t>2019-03</t>
        </is>
      </c>
      <c r="C8" s="8" t="n">
        <v>66187</v>
      </c>
      <c r="D8" s="8" t="n">
        <v>0</v>
      </c>
      <c r="E8" s="29">
        <f>E7+D8</f>
        <v/>
      </c>
      <c r="F8" s="22" t="inlineStr">
        <is>
          <t>Macri</t>
        </is>
      </c>
    </row>
    <row r="9">
      <c r="B9" s="16" t="inlineStr">
        <is>
          <t>2019-04</t>
        </is>
      </c>
      <c r="C9" s="8" t="n">
        <v>71663</v>
      </c>
      <c r="D9" s="8" t="n">
        <v>0</v>
      </c>
      <c r="E9" s="29">
        <f>E8+D9</f>
        <v/>
      </c>
      <c r="F9" s="22" t="inlineStr">
        <is>
          <t>Macri</t>
        </is>
      </c>
    </row>
    <row r="10">
      <c r="B10" s="16" t="inlineStr">
        <is>
          <t>2019-05</t>
        </is>
      </c>
      <c r="C10" s="8" t="n">
        <v>64779</v>
      </c>
      <c r="D10" s="8" t="n">
        <v>0</v>
      </c>
      <c r="E10" s="29">
        <f>E9+D10</f>
        <v/>
      </c>
      <c r="F10" s="22" t="inlineStr">
        <is>
          <t>Macri</t>
        </is>
      </c>
    </row>
    <row r="11">
      <c r="B11" s="16" t="inlineStr">
        <is>
          <t>2019-06</t>
        </is>
      </c>
      <c r="C11" s="8" t="n">
        <v>64278</v>
      </c>
      <c r="D11" s="8" t="n">
        <v>0</v>
      </c>
      <c r="E11" s="29">
        <f>E10+D11</f>
        <v/>
      </c>
      <c r="F11" s="22" t="inlineStr">
        <is>
          <t>Macri</t>
        </is>
      </c>
    </row>
    <row r="12">
      <c r="B12" s="16" t="inlineStr">
        <is>
          <t>2019-07</t>
        </is>
      </c>
      <c r="C12" s="8" t="n">
        <v>67899</v>
      </c>
      <c r="D12" s="8" t="n">
        <v>0</v>
      </c>
      <c r="E12" s="29">
        <f>E11+D12</f>
        <v/>
      </c>
      <c r="F12" s="22" t="inlineStr">
        <is>
          <t>Macri</t>
        </is>
      </c>
    </row>
    <row r="13">
      <c r="B13" s="16" t="inlineStr">
        <is>
          <t>2019-08</t>
        </is>
      </c>
      <c r="C13" s="8" t="n">
        <v>54100</v>
      </c>
      <c r="D13" s="8" t="n">
        <v>-2038</v>
      </c>
      <c r="E13" s="29">
        <f>E12+D13</f>
        <v/>
      </c>
      <c r="F13" s="22" t="inlineStr">
        <is>
          <t>Macri</t>
        </is>
      </c>
    </row>
    <row r="14">
      <c r="B14" s="16" t="inlineStr">
        <is>
          <t>2019-09</t>
        </is>
      </c>
      <c r="C14" s="8" t="n">
        <v>48703</v>
      </c>
      <c r="D14" s="8" t="n">
        <v>-1322.05</v>
      </c>
      <c r="E14" s="29">
        <f>E13+D14</f>
        <v/>
      </c>
      <c r="F14" s="22" t="inlineStr">
        <is>
          <t>Macri</t>
        </is>
      </c>
    </row>
    <row r="15">
      <c r="B15" s="16" t="inlineStr">
        <is>
          <t>2019-10</t>
        </is>
      </c>
      <c r="C15" s="8" t="n">
        <v>43260</v>
      </c>
      <c r="D15" s="8" t="n">
        <v>-4122.6</v>
      </c>
      <c r="E15" s="29">
        <f>E14+D15</f>
        <v/>
      </c>
      <c r="F15" s="22" t="inlineStr">
        <is>
          <t>Macri</t>
        </is>
      </c>
    </row>
    <row r="16">
      <c r="B16" s="16" t="inlineStr">
        <is>
          <t>2019-11</t>
        </is>
      </c>
      <c r="C16" s="8" t="n">
        <v>43772</v>
      </c>
      <c r="D16" s="8" t="n">
        <v>2202</v>
      </c>
      <c r="E16" s="29">
        <f>E15+D16</f>
        <v/>
      </c>
      <c r="F16" s="22" t="inlineStr">
        <is>
          <t>Macri</t>
        </is>
      </c>
    </row>
    <row r="17">
      <c r="B17" s="16" t="inlineStr">
        <is>
          <t>2019-12</t>
        </is>
      </c>
      <c r="C17" s="8" t="n">
        <v>44848</v>
      </c>
      <c r="D17" s="8" t="n">
        <v>1120.95</v>
      </c>
      <c r="E17" s="29">
        <f>E16+D17</f>
        <v/>
      </c>
      <c r="F17" s="22" t="inlineStr">
        <is>
          <t>Fernandez</t>
        </is>
      </c>
    </row>
    <row r="18">
      <c r="B18" s="16" t="inlineStr">
        <is>
          <t>2020-01</t>
        </is>
      </c>
      <c r="C18" s="8" t="n">
        <v>44917</v>
      </c>
      <c r="D18" s="8" t="n">
        <v>783.17</v>
      </c>
      <c r="E18" s="29">
        <f>E17+D18</f>
        <v/>
      </c>
      <c r="F18" s="22" t="inlineStr">
        <is>
          <t>Fernandez</t>
        </is>
      </c>
    </row>
    <row r="19">
      <c r="B19" s="16" t="inlineStr">
        <is>
          <t>2020-02</t>
        </is>
      </c>
      <c r="C19" s="8" t="n">
        <v>44791</v>
      </c>
      <c r="D19" s="8" t="n">
        <v>-259.53</v>
      </c>
      <c r="E19" s="29">
        <f>E18+D19</f>
        <v/>
      </c>
      <c r="F19" s="22" t="inlineStr">
        <is>
          <t>Fernandez</t>
        </is>
      </c>
    </row>
    <row r="20">
      <c r="B20" s="16" t="inlineStr">
        <is>
          <t>2020-03</t>
        </is>
      </c>
      <c r="C20" s="8" t="n">
        <v>43561</v>
      </c>
      <c r="D20" s="8" t="n">
        <v>135.12</v>
      </c>
      <c r="E20" s="29">
        <f>E19+D20</f>
        <v/>
      </c>
      <c r="F20" s="22" t="inlineStr">
        <is>
          <t>Fernandez</t>
        </is>
      </c>
    </row>
    <row r="21">
      <c r="B21" s="16" t="inlineStr">
        <is>
          <t>2020-04</t>
        </is>
      </c>
      <c r="C21" s="8" t="n">
        <v>43568</v>
      </c>
      <c r="D21" s="8" t="n">
        <v>-546.72</v>
      </c>
      <c r="E21" s="29">
        <f>E20+D21</f>
        <v/>
      </c>
      <c r="F21" s="22" t="inlineStr">
        <is>
          <t>Fernandez</t>
        </is>
      </c>
    </row>
    <row r="22">
      <c r="B22" s="16" t="inlineStr">
        <is>
          <t>2020-05</t>
        </is>
      </c>
      <c r="C22" s="8" t="n">
        <v>42589</v>
      </c>
      <c r="D22" s="8" t="n">
        <v>-678.99</v>
      </c>
      <c r="E22" s="29">
        <f>E21+D22</f>
        <v/>
      </c>
      <c r="F22" s="22" t="inlineStr">
        <is>
          <t>Fernandez</t>
        </is>
      </c>
    </row>
    <row r="23">
      <c r="B23" s="16" t="inlineStr">
        <is>
          <t>2020-06</t>
        </is>
      </c>
      <c r="C23" s="8" t="n">
        <v>43242</v>
      </c>
      <c r="D23" s="8" t="n">
        <v>671.95</v>
      </c>
      <c r="E23" s="29">
        <f>E22+D23</f>
        <v/>
      </c>
      <c r="F23" s="22" t="inlineStr">
        <is>
          <t>Fernandez</t>
        </is>
      </c>
    </row>
    <row r="24">
      <c r="B24" s="16" t="inlineStr">
        <is>
          <t>2020-07</t>
        </is>
      </c>
      <c r="C24" s="8" t="n">
        <v>43386</v>
      </c>
      <c r="D24" s="8" t="n">
        <v>-568.1900000000001</v>
      </c>
      <c r="E24" s="29">
        <f>E23+D24</f>
        <v/>
      </c>
      <c r="F24" s="22" t="inlineStr">
        <is>
          <t>Fernandez</t>
        </is>
      </c>
    </row>
    <row r="25">
      <c r="B25" s="16" t="inlineStr">
        <is>
          <t>2020-08</t>
        </is>
      </c>
      <c r="C25" s="8" t="n">
        <v>42842</v>
      </c>
      <c r="D25" s="8" t="n">
        <v>-1278.8</v>
      </c>
      <c r="E25" s="29">
        <f>E24+D25</f>
        <v/>
      </c>
      <c r="F25" s="22" t="inlineStr">
        <is>
          <t>Fernandez</t>
        </is>
      </c>
    </row>
    <row r="26">
      <c r="B26" s="16" t="inlineStr">
        <is>
          <t>2020-09</t>
        </is>
      </c>
      <c r="C26" s="8" t="n">
        <v>41379</v>
      </c>
      <c r="D26" s="8" t="n">
        <v>-1617.76</v>
      </c>
      <c r="E26" s="29">
        <f>E25+D26</f>
        <v/>
      </c>
      <c r="F26" s="22" t="inlineStr">
        <is>
          <t>Fernandez</t>
        </is>
      </c>
    </row>
    <row r="27">
      <c r="B27" s="16" t="inlineStr">
        <is>
          <t>2020-10</t>
        </is>
      </c>
      <c r="C27" s="8" t="n">
        <v>39856</v>
      </c>
      <c r="D27" s="8" t="n">
        <v>-1090.45</v>
      </c>
      <c r="E27" s="29">
        <f>E26+D27</f>
        <v/>
      </c>
      <c r="F27" s="22" t="inlineStr">
        <is>
          <t>Fernandez</t>
        </is>
      </c>
    </row>
    <row r="28">
      <c r="B28" s="16" t="inlineStr">
        <is>
          <t>2020-11</t>
        </is>
      </c>
      <c r="C28" s="8" t="n">
        <v>38652</v>
      </c>
      <c r="D28" s="8" t="n">
        <v>-326.97</v>
      </c>
      <c r="E28" s="29">
        <f>E27+D28</f>
        <v/>
      </c>
      <c r="F28" s="22" t="inlineStr">
        <is>
          <t>Fernandez</t>
        </is>
      </c>
    </row>
    <row r="29">
      <c r="B29" s="16" t="inlineStr">
        <is>
          <t>2020-12</t>
        </is>
      </c>
      <c r="C29" s="8" t="n">
        <v>39387</v>
      </c>
      <c r="D29" s="8" t="n">
        <v>607.73</v>
      </c>
      <c r="E29" s="29">
        <f>E28+D29</f>
        <v/>
      </c>
      <c r="F29" s="22" t="inlineStr">
        <is>
          <t>Fernandez</t>
        </is>
      </c>
    </row>
    <row r="30">
      <c r="B30" s="16" t="inlineStr">
        <is>
          <t>2021-01</t>
        </is>
      </c>
      <c r="C30" s="8" t="n">
        <v>39515</v>
      </c>
      <c r="D30" s="8" t="n">
        <v>157.11</v>
      </c>
      <c r="E30" s="29">
        <f>E29+D30</f>
        <v/>
      </c>
      <c r="F30" s="22" t="inlineStr">
        <is>
          <t>Fernandez</t>
        </is>
      </c>
    </row>
    <row r="31">
      <c r="B31" s="16" t="inlineStr">
        <is>
          <t>2021-02</t>
        </is>
      </c>
      <c r="C31" s="8" t="n">
        <v>39518</v>
      </c>
      <c r="D31" s="8" t="n">
        <v>632.73</v>
      </c>
      <c r="E31" s="29">
        <f>E30+D31</f>
        <v/>
      </c>
      <c r="F31" s="22" t="inlineStr">
        <is>
          <t>Fernandez</t>
        </is>
      </c>
    </row>
    <row r="32">
      <c r="B32" s="16" t="inlineStr">
        <is>
          <t>2021-03</t>
        </is>
      </c>
      <c r="C32" s="8" t="n">
        <v>39593</v>
      </c>
      <c r="D32" s="8" t="n">
        <v>1476.3</v>
      </c>
      <c r="E32" s="29">
        <f>E31+D32</f>
        <v/>
      </c>
      <c r="F32" s="22" t="inlineStr">
        <is>
          <t>Fernandez</t>
        </is>
      </c>
    </row>
    <row r="33">
      <c r="B33" s="16" t="inlineStr">
        <is>
          <t>2021-04</t>
        </is>
      </c>
      <c r="C33" s="8" t="n">
        <v>40263</v>
      </c>
      <c r="D33" s="8" t="n">
        <v>1373.36</v>
      </c>
      <c r="E33" s="29">
        <f>E32+D33</f>
        <v/>
      </c>
      <c r="F33" s="22" t="inlineStr">
        <is>
          <t>Fernandez</t>
        </is>
      </c>
    </row>
    <row r="34">
      <c r="B34" s="16" t="inlineStr">
        <is>
          <t>2021-05</t>
        </is>
      </c>
      <c r="C34" s="8" t="n">
        <v>41872</v>
      </c>
      <c r="D34" s="8" t="n">
        <v>2089</v>
      </c>
      <c r="E34" s="29">
        <f>E33+D34</f>
        <v/>
      </c>
      <c r="F34" s="22" t="inlineStr">
        <is>
          <t>Fernandez</t>
        </is>
      </c>
    </row>
    <row r="35">
      <c r="B35" s="16" t="inlineStr">
        <is>
          <t>2021-06</t>
        </is>
      </c>
      <c r="C35" s="8" t="n">
        <v>42437</v>
      </c>
      <c r="D35" s="8" t="n">
        <v>727.4400000000001</v>
      </c>
      <c r="E35" s="29">
        <f>E34+D35</f>
        <v/>
      </c>
      <c r="F35" s="22" t="inlineStr">
        <is>
          <t>Fernandez</t>
        </is>
      </c>
    </row>
    <row r="36">
      <c r="B36" s="16" t="inlineStr">
        <is>
          <t>2021-07</t>
        </is>
      </c>
      <c r="C36" s="8" t="n">
        <v>42582</v>
      </c>
      <c r="D36" s="8" t="n">
        <v>714</v>
      </c>
      <c r="E36" s="29">
        <f>E35+D36</f>
        <v/>
      </c>
      <c r="F36" s="22" t="inlineStr">
        <is>
          <t>Fernandez</t>
        </is>
      </c>
    </row>
    <row r="37">
      <c r="B37" s="16" t="inlineStr">
        <is>
          <t>2021-08</t>
        </is>
      </c>
      <c r="C37" s="8" t="n">
        <v>46180</v>
      </c>
      <c r="D37" s="8" t="n">
        <v>1.19</v>
      </c>
      <c r="E37" s="29">
        <f>E36+D37</f>
        <v/>
      </c>
      <c r="F37" s="22" t="inlineStr">
        <is>
          <t>Fernandez</t>
        </is>
      </c>
    </row>
    <row r="38">
      <c r="B38" s="16" t="inlineStr">
        <is>
          <t>2021-09</t>
        </is>
      </c>
      <c r="C38" s="8" t="n">
        <v>42911</v>
      </c>
      <c r="D38" s="8" t="n">
        <v>-957.15</v>
      </c>
      <c r="E38" s="29">
        <f>E37+D38</f>
        <v/>
      </c>
      <c r="F38" s="22" t="inlineStr">
        <is>
          <t>Fernandez</t>
        </is>
      </c>
    </row>
    <row r="39">
      <c r="B39" s="16" t="inlineStr">
        <is>
          <t>2021-10</t>
        </is>
      </c>
      <c r="C39" s="8" t="n">
        <v>42817</v>
      </c>
      <c r="D39" s="8" t="n">
        <v>207.28</v>
      </c>
      <c r="E39" s="29">
        <f>E38+D39</f>
        <v/>
      </c>
      <c r="F39" s="22" t="inlineStr">
        <is>
          <t>Fernandez</t>
        </is>
      </c>
    </row>
    <row r="40">
      <c r="B40" s="16" t="inlineStr">
        <is>
          <t>2021-11</t>
        </is>
      </c>
      <c r="C40" s="8" t="n">
        <v>41530</v>
      </c>
      <c r="D40" s="8" t="n">
        <v>-897.35</v>
      </c>
      <c r="E40" s="29">
        <f>E39+D40</f>
        <v/>
      </c>
      <c r="F40" s="22" t="inlineStr">
        <is>
          <t>Fernandez</t>
        </is>
      </c>
    </row>
    <row r="41">
      <c r="B41" s="16" t="inlineStr">
        <is>
          <t>2021-12</t>
        </is>
      </c>
      <c r="C41" s="8" t="n">
        <v>39662</v>
      </c>
      <c r="D41" s="8" t="n">
        <v>-474.59</v>
      </c>
      <c r="E41" s="29">
        <f>E40+D41</f>
        <v/>
      </c>
      <c r="F41" s="22" t="inlineStr">
        <is>
          <t>Fernandez</t>
        </is>
      </c>
    </row>
    <row r="42">
      <c r="B42" s="16" t="inlineStr">
        <is>
          <t>2022-01</t>
        </is>
      </c>
      <c r="C42" s="8" t="n">
        <v>37589</v>
      </c>
      <c r="D42" s="8" t="n">
        <v>-136.46</v>
      </c>
      <c r="E42" s="29">
        <f>E41+D42</f>
        <v/>
      </c>
      <c r="F42" s="22" t="inlineStr">
        <is>
          <t>Fernandez</t>
        </is>
      </c>
    </row>
    <row r="43">
      <c r="B43" s="16" t="inlineStr">
        <is>
          <t>2022-02</t>
        </is>
      </c>
      <c r="C43" s="8" t="n">
        <v>37018</v>
      </c>
      <c r="D43" s="8" t="n">
        <v>-186.63</v>
      </c>
      <c r="E43" s="29">
        <f>E42+D43</f>
        <v/>
      </c>
      <c r="F43" s="22" t="inlineStr">
        <is>
          <t>Fernandez</t>
        </is>
      </c>
    </row>
    <row r="44">
      <c r="B44" s="16" t="inlineStr">
        <is>
          <t>2022-03</t>
        </is>
      </c>
      <c r="C44" s="8" t="n">
        <v>43137</v>
      </c>
      <c r="D44" s="8" t="n">
        <v>275.14</v>
      </c>
      <c r="E44" s="29">
        <f>E43+D44</f>
        <v/>
      </c>
      <c r="F44" s="22" t="inlineStr">
        <is>
          <t>Fernandez</t>
        </is>
      </c>
    </row>
    <row r="45">
      <c r="B45" s="16" t="inlineStr">
        <is>
          <t>2022-04</t>
        </is>
      </c>
      <c r="C45" s="8" t="n">
        <v>42007</v>
      </c>
      <c r="D45" s="8" t="n">
        <v>161.31</v>
      </c>
      <c r="E45" s="29">
        <f>E44+D45</f>
        <v/>
      </c>
      <c r="F45" s="22" t="inlineStr">
        <is>
          <t>Fernandez</t>
        </is>
      </c>
    </row>
    <row r="46">
      <c r="B46" s="16" t="inlineStr">
        <is>
          <t>2022-05</t>
        </is>
      </c>
      <c r="C46" s="8" t="n">
        <v>41561</v>
      </c>
      <c r="D46" s="8" t="n">
        <v>784.03</v>
      </c>
      <c r="E46" s="29">
        <f>E45+D46</f>
        <v/>
      </c>
      <c r="F46" s="22" t="inlineStr">
        <is>
          <t>Fernandez</t>
        </is>
      </c>
    </row>
    <row r="47">
      <c r="B47" s="16" t="inlineStr">
        <is>
          <t>2022-06</t>
        </is>
      </c>
      <c r="C47" s="8" t="n">
        <v>42787</v>
      </c>
      <c r="D47" s="8" t="n">
        <v>948.38</v>
      </c>
      <c r="E47" s="29">
        <f>E46+D47</f>
        <v/>
      </c>
      <c r="F47" s="22" t="inlineStr">
        <is>
          <t>Fernandez</t>
        </is>
      </c>
    </row>
    <row r="48">
      <c r="B48" s="16" t="inlineStr">
        <is>
          <t>2022-07</t>
        </is>
      </c>
      <c r="C48" s="8" t="n">
        <v>38232</v>
      </c>
      <c r="D48" s="8" t="n">
        <v>-1283.97</v>
      </c>
      <c r="E48" s="29">
        <f>E47+D48</f>
        <v/>
      </c>
      <c r="F48" s="22" t="inlineStr">
        <is>
          <t>Fernandez</t>
        </is>
      </c>
    </row>
    <row r="49">
      <c r="B49" s="16" t="inlineStr">
        <is>
          <t>2022-08</t>
        </is>
      </c>
      <c r="C49" s="8" t="n">
        <v>36734</v>
      </c>
      <c r="D49" s="8" t="n">
        <v>-521.76</v>
      </c>
      <c r="E49" s="29">
        <f>E48+D49</f>
        <v/>
      </c>
      <c r="F49" s="22" t="inlineStr">
        <is>
          <t>Fernandez</t>
        </is>
      </c>
    </row>
    <row r="50">
      <c r="B50" s="16" t="inlineStr">
        <is>
          <t>2022-09</t>
        </is>
      </c>
      <c r="C50" s="8" t="n">
        <v>37625</v>
      </c>
      <c r="D50" s="8" t="n">
        <v>4966.45</v>
      </c>
      <c r="E50" s="29">
        <f>E49+D50</f>
        <v/>
      </c>
      <c r="F50" s="22" t="inlineStr">
        <is>
          <t>Fernandez</t>
        </is>
      </c>
    </row>
    <row r="51">
      <c r="B51" s="16" t="inlineStr">
        <is>
          <t>2022-10</t>
        </is>
      </c>
      <c r="C51" s="8" t="n">
        <v>38676</v>
      </c>
      <c r="D51" s="8" t="n">
        <v>-497.85</v>
      </c>
      <c r="E51" s="29">
        <f>E50+D51</f>
        <v/>
      </c>
      <c r="F51" s="22" t="inlineStr">
        <is>
          <t>Fernandez</t>
        </is>
      </c>
    </row>
    <row r="52">
      <c r="B52" s="16" t="inlineStr">
        <is>
          <t>2022-11</t>
        </is>
      </c>
      <c r="C52" s="8" t="n">
        <v>38009</v>
      </c>
      <c r="D52" s="8" t="n">
        <v>-672.4400000000001</v>
      </c>
      <c r="E52" s="29">
        <f>E51+D52</f>
        <v/>
      </c>
      <c r="F52" s="22" t="inlineStr">
        <is>
          <t>Fernandez</t>
        </is>
      </c>
    </row>
    <row r="53">
      <c r="B53" s="16" t="inlineStr">
        <is>
          <t>2022-12</t>
        </is>
      </c>
      <c r="C53" s="8" t="n">
        <v>44598</v>
      </c>
      <c r="D53" s="8" t="n">
        <v>1987.62</v>
      </c>
      <c r="E53" s="29">
        <f>E52+D53</f>
        <v/>
      </c>
      <c r="F53" s="22" t="inlineStr">
        <is>
          <t>Fernandez</t>
        </is>
      </c>
    </row>
    <row r="54">
      <c r="B54" s="16" t="inlineStr">
        <is>
          <t>2023-01</t>
        </is>
      </c>
      <c r="C54" s="8" t="n">
        <v>41417</v>
      </c>
      <c r="D54" s="8" t="n">
        <v>-192.19</v>
      </c>
      <c r="E54" s="29">
        <f>E53+D54</f>
        <v/>
      </c>
      <c r="F54" s="22" t="inlineStr">
        <is>
          <t>Fernandez</t>
        </is>
      </c>
    </row>
    <row r="55">
      <c r="B55" s="16" t="inlineStr">
        <is>
          <t>2023-02</t>
        </is>
      </c>
      <c r="C55" s="8" t="n">
        <v>38709</v>
      </c>
      <c r="D55" s="8" t="n">
        <v>-889.95</v>
      </c>
      <c r="E55" s="29">
        <f>E54+D55</f>
        <v/>
      </c>
      <c r="F55" s="22" t="inlineStr">
        <is>
          <t>Fernandez</t>
        </is>
      </c>
    </row>
    <row r="56">
      <c r="B56" s="16" t="inlineStr">
        <is>
          <t>2023-03</t>
        </is>
      </c>
      <c r="C56" s="8" t="n">
        <v>39060</v>
      </c>
      <c r="D56" s="8" t="n">
        <v>-1919.69</v>
      </c>
      <c r="E56" s="29">
        <f>E55+D56</f>
        <v/>
      </c>
      <c r="F56" s="22" t="inlineStr">
        <is>
          <t>Fernandez</t>
        </is>
      </c>
    </row>
    <row r="57">
      <c r="B57" s="16" t="inlineStr">
        <is>
          <t>2023-04</t>
        </is>
      </c>
      <c r="C57" s="8" t="n">
        <v>35001</v>
      </c>
      <c r="D57" s="8" t="n">
        <v>33.46</v>
      </c>
      <c r="E57" s="29">
        <f>E56+D57</f>
        <v/>
      </c>
      <c r="F57" s="22" t="inlineStr">
        <is>
          <t>Fernandez</t>
        </is>
      </c>
    </row>
    <row r="58">
      <c r="B58" s="16" t="inlineStr">
        <is>
          <t>2023-05</t>
        </is>
      </c>
      <c r="C58" s="8" t="n">
        <v>33001</v>
      </c>
      <c r="D58" s="8" t="n">
        <v>845.67</v>
      </c>
      <c r="E58" s="29">
        <f>E57+D58</f>
        <v/>
      </c>
      <c r="F58" s="22" t="inlineStr">
        <is>
          <t>Fernandez</t>
        </is>
      </c>
    </row>
    <row r="59">
      <c r="B59" s="16" t="inlineStr">
        <is>
          <t>2023-06</t>
        </is>
      </c>
      <c r="C59" s="8" t="n">
        <v>27926</v>
      </c>
      <c r="D59" s="8" t="n">
        <v>-944.41</v>
      </c>
      <c r="E59" s="29">
        <f>E58+D59</f>
        <v/>
      </c>
      <c r="F59" s="22" t="inlineStr">
        <is>
          <t>Fernandez</t>
        </is>
      </c>
    </row>
    <row r="60">
      <c r="B60" s="16" t="inlineStr">
        <is>
          <t>2023-07</t>
        </is>
      </c>
      <c r="C60" s="8" t="n">
        <v>24092</v>
      </c>
      <c r="D60" s="8" t="n">
        <v>-468.63</v>
      </c>
      <c r="E60" s="29">
        <f>E59+D60</f>
        <v/>
      </c>
      <c r="F60" s="22" t="inlineStr">
        <is>
          <t>Fernandez</t>
        </is>
      </c>
    </row>
    <row r="61">
      <c r="B61" s="16" t="inlineStr">
        <is>
          <t>2023-08</t>
        </is>
      </c>
      <c r="C61" s="8" t="n">
        <v>27818</v>
      </c>
      <c r="D61" s="8" t="n">
        <v>1254.32</v>
      </c>
      <c r="E61" s="29">
        <f>E60+D61</f>
        <v/>
      </c>
      <c r="F61" s="22" t="inlineStr">
        <is>
          <t>Fernandez</t>
        </is>
      </c>
    </row>
    <row r="62">
      <c r="B62" s="16" t="inlineStr">
        <is>
          <t>2023-09</t>
        </is>
      </c>
      <c r="C62" s="8" t="n">
        <v>26925</v>
      </c>
      <c r="D62" s="8" t="n">
        <v>527.35</v>
      </c>
      <c r="E62" s="29">
        <f>E61+D62</f>
        <v/>
      </c>
      <c r="F62" s="22" t="inlineStr">
        <is>
          <t>Fernandez</t>
        </is>
      </c>
    </row>
    <row r="63">
      <c r="B63" s="16" t="inlineStr">
        <is>
          <t>2023-10</t>
        </is>
      </c>
      <c r="C63" s="8" t="n">
        <v>22559</v>
      </c>
      <c r="D63" s="8" t="n">
        <v>-226.52</v>
      </c>
      <c r="E63" s="29">
        <f>E62+D63</f>
        <v/>
      </c>
      <c r="F63" s="22" t="inlineStr">
        <is>
          <t>Fernandez</t>
        </is>
      </c>
    </row>
    <row r="64">
      <c r="B64" s="16" t="inlineStr">
        <is>
          <t>2023-11</t>
        </is>
      </c>
      <c r="C64" s="8" t="n">
        <v>21513</v>
      </c>
      <c r="D64" s="8" t="n">
        <v>384.91</v>
      </c>
      <c r="E64" s="29">
        <f>E63+D64</f>
        <v/>
      </c>
      <c r="F64" s="22" t="inlineStr">
        <is>
          <t>Fernandez</t>
        </is>
      </c>
    </row>
    <row r="65">
      <c r="B65" s="16" t="inlineStr">
        <is>
          <t>2023-12</t>
        </is>
      </c>
      <c r="C65" s="8" t="n">
        <v>23073</v>
      </c>
      <c r="D65" s="8" t="n">
        <v>2083.87</v>
      </c>
      <c r="E65" s="29">
        <f>E64+D65</f>
        <v/>
      </c>
      <c r="F65" s="23" t="inlineStr">
        <is>
          <t>Milei</t>
        </is>
      </c>
    </row>
    <row r="66">
      <c r="B66" s="16" t="inlineStr">
        <is>
          <t>2024-01</t>
        </is>
      </c>
      <c r="C66" s="8" t="n">
        <v>27642</v>
      </c>
      <c r="D66" s="8" t="n">
        <v>3271.72</v>
      </c>
      <c r="E66" s="29">
        <f>E65+D66</f>
        <v/>
      </c>
      <c r="F66" s="23" t="inlineStr">
        <is>
          <t>Milei</t>
        </is>
      </c>
    </row>
    <row r="67">
      <c r="B67" s="16" t="inlineStr">
        <is>
          <t>2024-02</t>
        </is>
      </c>
      <c r="C67" s="8" t="n">
        <v>26690</v>
      </c>
      <c r="D67" s="8" t="n">
        <v>2358.33</v>
      </c>
      <c r="E67" s="29">
        <f>E66+D67</f>
        <v/>
      </c>
      <c r="F67" s="23" t="inlineStr">
        <is>
          <t>Milei</t>
        </is>
      </c>
    </row>
    <row r="68">
      <c r="B68" s="16" t="inlineStr">
        <is>
          <t>2024-03</t>
        </is>
      </c>
      <c r="C68" s="8" t="n">
        <v>27127</v>
      </c>
      <c r="D68" s="8" t="n">
        <v>2881.63</v>
      </c>
      <c r="E68" s="29">
        <f>E67+D68</f>
        <v/>
      </c>
      <c r="F68" s="23" t="inlineStr">
        <is>
          <t>Milei</t>
        </is>
      </c>
    </row>
    <row r="69">
      <c r="B69" s="16" t="inlineStr">
        <is>
          <t>2024-04</t>
        </is>
      </c>
      <c r="C69" s="8" t="n">
        <v>27578</v>
      </c>
      <c r="D69" s="8" t="n">
        <v>3345.13</v>
      </c>
      <c r="E69" s="29">
        <f>E68+D69</f>
        <v/>
      </c>
      <c r="F69" s="23" t="inlineStr">
        <is>
          <t>Milei</t>
        </is>
      </c>
    </row>
    <row r="70">
      <c r="B70" s="16" t="inlineStr">
        <is>
          <t>2024-05</t>
        </is>
      </c>
      <c r="C70" s="8" t="n">
        <v>28664</v>
      </c>
      <c r="D70" s="8" t="n">
        <v>2531.6</v>
      </c>
      <c r="E70" s="29">
        <f>E69+D70</f>
        <v/>
      </c>
      <c r="F70" s="23" t="inlineStr">
        <is>
          <t>Milei</t>
        </is>
      </c>
    </row>
    <row r="71">
      <c r="B71" s="16" t="inlineStr">
        <is>
          <t>2024-06</t>
        </is>
      </c>
      <c r="C71" s="8" t="n">
        <v>29022</v>
      </c>
      <c r="D71" s="8" t="n">
        <v>-46.64</v>
      </c>
      <c r="E71" s="29">
        <f>E70+D71</f>
        <v/>
      </c>
      <c r="F71" s="23" t="inlineStr">
        <is>
          <t>Milei</t>
        </is>
      </c>
    </row>
    <row r="72">
      <c r="B72" s="16" t="inlineStr">
        <is>
          <t>2024-07</t>
        </is>
      </c>
      <c r="C72" s="8" t="n">
        <v>26402</v>
      </c>
      <c r="D72" s="8" t="n">
        <v>-137.73</v>
      </c>
      <c r="E72" s="29">
        <f>E71+D72</f>
        <v/>
      </c>
      <c r="F72" s="23" t="inlineStr">
        <is>
          <t>Milei</t>
        </is>
      </c>
    </row>
    <row r="73">
      <c r="B73" s="16" t="inlineStr">
        <is>
          <t>2024-08</t>
        </is>
      </c>
      <c r="C73" s="8" t="n">
        <v>26719</v>
      </c>
      <c r="D73" s="8" t="n">
        <v>535.4299999999999</v>
      </c>
      <c r="E73" s="29">
        <f>E72+D73</f>
        <v/>
      </c>
      <c r="F73" s="23" t="inlineStr">
        <is>
          <t>Milei</t>
        </is>
      </c>
    </row>
    <row r="74">
      <c r="B74" s="16" t="inlineStr">
        <is>
          <t>2024-09</t>
        </is>
      </c>
      <c r="C74" s="8" t="n">
        <v>27172</v>
      </c>
      <c r="D74" s="8" t="n">
        <v>17.13</v>
      </c>
      <c r="E74" s="29">
        <f>E73+D74</f>
        <v/>
      </c>
      <c r="F74" s="23" t="inlineStr">
        <is>
          <t>Milei</t>
        </is>
      </c>
    </row>
    <row r="75">
      <c r="B75" s="16" t="inlineStr">
        <is>
          <t>2024-10</t>
        </is>
      </c>
      <c r="C75" s="8" t="n">
        <v>28618</v>
      </c>
      <c r="D75" s="8" t="n">
        <v>1626.33</v>
      </c>
      <c r="E75" s="29">
        <f>E74+D75</f>
        <v/>
      </c>
      <c r="F75" s="23" t="inlineStr">
        <is>
          <t>Milei</t>
        </is>
      </c>
    </row>
    <row r="76">
      <c r="B76" s="16" t="inlineStr">
        <is>
          <t>2024-11</t>
        </is>
      </c>
      <c r="C76" s="8" t="n">
        <v>30214</v>
      </c>
      <c r="D76" s="8" t="n">
        <v>1627.31</v>
      </c>
      <c r="E76" s="29">
        <f>E75+D76</f>
        <v/>
      </c>
      <c r="F76" s="23" t="inlineStr">
        <is>
          <t>Milei</t>
        </is>
      </c>
    </row>
    <row r="77">
      <c r="B77" s="16" t="inlineStr">
        <is>
          <t>2024-12</t>
        </is>
      </c>
      <c r="C77" s="8" t="n">
        <v>29640</v>
      </c>
      <c r="D77" s="8" t="n">
        <v>699.76</v>
      </c>
      <c r="E77" s="29">
        <f>E76+D77</f>
        <v/>
      </c>
      <c r="F77" s="23" t="inlineStr">
        <is>
          <t>Milei</t>
        </is>
      </c>
    </row>
    <row r="78">
      <c r="B78" s="16" t="inlineStr">
        <is>
          <t>2025-01</t>
        </is>
      </c>
      <c r="C78" s="8" t="n">
        <v>28310</v>
      </c>
      <c r="D78" s="8" t="n">
        <v>1616.57</v>
      </c>
      <c r="E78" s="29">
        <f>E77+D78</f>
        <v/>
      </c>
      <c r="F78" s="23" t="inlineStr">
        <is>
          <t>Milei</t>
        </is>
      </c>
    </row>
    <row r="79">
      <c r="B79" s="16" t="inlineStr">
        <is>
          <t>2025-02</t>
        </is>
      </c>
      <c r="C79" s="8" t="n">
        <v>28117</v>
      </c>
      <c r="D79" s="8" t="n">
        <v>1948.28</v>
      </c>
      <c r="E79" s="29">
        <f>E78+D79</f>
        <v/>
      </c>
      <c r="F79" s="23" t="inlineStr">
        <is>
          <t>Milei</t>
        </is>
      </c>
    </row>
    <row r="80">
      <c r="B80" s="16" t="inlineStr">
        <is>
          <t>2025-03</t>
        </is>
      </c>
      <c r="C80" s="8" t="n">
        <v>24986</v>
      </c>
      <c r="D80" s="8" t="n">
        <v>-1360.22</v>
      </c>
      <c r="E80" s="29">
        <f>E79+D80</f>
        <v/>
      </c>
      <c r="F80" s="23" t="inlineStr">
        <is>
          <t>Milei</t>
        </is>
      </c>
    </row>
    <row r="81">
      <c r="B81" s="16" t="inlineStr">
        <is>
          <t>2025-04</t>
        </is>
      </c>
      <c r="C81" s="8" t="n">
        <v>38928</v>
      </c>
      <c r="D81" s="8" t="n">
        <v>-851.47</v>
      </c>
      <c r="E81" s="29">
        <f>E80+D81</f>
        <v/>
      </c>
      <c r="F81" s="23" t="inlineStr">
        <is>
          <t>Milei</t>
        </is>
      </c>
    </row>
    <row r="82">
      <c r="B82" s="16" t="inlineStr">
        <is>
          <t>2025-05</t>
        </is>
      </c>
      <c r="C82" s="8" t="n">
        <v>36919</v>
      </c>
      <c r="D82" s="8" t="n">
        <v>0</v>
      </c>
      <c r="E82" s="29">
        <f>E81+D82</f>
        <v/>
      </c>
      <c r="F82" s="23" t="inlineStr">
        <is>
          <t>Milei</t>
        </is>
      </c>
    </row>
    <row r="83">
      <c r="B83" s="16" t="inlineStr">
        <is>
          <t>2025-06</t>
        </is>
      </c>
      <c r="C83" s="8" t="n">
        <v>39973</v>
      </c>
      <c r="D83" s="8" t="n">
        <v>0</v>
      </c>
      <c r="E83" s="29">
        <f>E82+D83</f>
        <v/>
      </c>
      <c r="F83" s="23" t="inlineStr">
        <is>
          <t>Milei</t>
        </is>
      </c>
    </row>
    <row r="84">
      <c r="B84" s="16" t="inlineStr">
        <is>
          <t>2025-07</t>
        </is>
      </c>
      <c r="C84" s="8" t="n">
        <v>38866</v>
      </c>
      <c r="D84" s="8" t="n">
        <v>0</v>
      </c>
      <c r="E84" s="29">
        <f>E83+D84</f>
        <v/>
      </c>
      <c r="F84" s="23" t="inlineStr">
        <is>
          <t>Milei</t>
        </is>
      </c>
    </row>
    <row r="85">
      <c r="B85" s="16" t="inlineStr">
        <is>
          <t>2025-08</t>
        </is>
      </c>
      <c r="C85" s="8" t="n">
        <v>39986</v>
      </c>
      <c r="D85" s="8" t="n">
        <v>0</v>
      </c>
      <c r="E85" s="29">
        <f>E84+D85</f>
        <v/>
      </c>
      <c r="F85" s="23" t="inlineStr">
        <is>
          <t>Milei</t>
        </is>
      </c>
    </row>
    <row r="86">
      <c r="B86" s="16" t="inlineStr">
        <is>
          <t>2025-09</t>
        </is>
      </c>
      <c r="C86" s="8" t="n">
        <v>40374</v>
      </c>
      <c r="D86" s="8" t="n">
        <v>-1110.15</v>
      </c>
      <c r="E86" s="29">
        <f>E85+D86</f>
        <v/>
      </c>
      <c r="F86" s="23" t="inlineStr">
        <is>
          <t>Milei</t>
        </is>
      </c>
    </row>
    <row r="87">
      <c r="B87" s="16" t="inlineStr">
        <is>
          <t>2025-10</t>
        </is>
      </c>
      <c r="C87" s="8" t="n">
        <v>39382</v>
      </c>
      <c r="D87" s="8" t="n">
        <v>-45.5</v>
      </c>
      <c r="E87" s="29">
        <f>E86+D87</f>
        <v/>
      </c>
      <c r="F87" s="23" t="inlineStr">
        <is>
          <t>Milei</t>
        </is>
      </c>
    </row>
    <row r="88">
      <c r="B88" s="16" t="inlineStr">
        <is>
          <t>2025-11</t>
        </is>
      </c>
      <c r="C88" s="8" t="n">
        <v>40335</v>
      </c>
      <c r="D88" s="8" t="n">
        <v>0</v>
      </c>
      <c r="E88" s="29">
        <f>E87+D88</f>
        <v/>
      </c>
      <c r="F88" s="23" t="inlineStr">
        <is>
          <t>Milei</t>
        </is>
      </c>
    </row>
    <row r="89">
      <c r="B89" s="16" t="inlineStr">
        <is>
          <t>2025-12</t>
        </is>
      </c>
      <c r="C89" s="8" t="n">
        <v>41095</v>
      </c>
      <c r="D89" s="8" t="n">
        <v>0</v>
      </c>
      <c r="E89" s="29">
        <f>E88+D89</f>
        <v/>
      </c>
      <c r="F89" s="23" t="inlineStr">
        <is>
          <t>Milei</t>
        </is>
      </c>
    </row>
    <row r="90">
      <c r="B90" s="16" t="inlineStr">
        <is>
          <t>2026-01</t>
        </is>
      </c>
      <c r="C90" s="8" t="n">
        <v>44503</v>
      </c>
      <c r="D90" s="8" t="n">
        <v>1158.4</v>
      </c>
      <c r="E90" s="29">
        <f>E89+D90</f>
        <v/>
      </c>
      <c r="F90" s="23" t="inlineStr">
        <is>
          <t>Milei</t>
        </is>
      </c>
    </row>
    <row r="91">
      <c r="B91" s="16" t="inlineStr">
        <is>
          <t>2026-02</t>
        </is>
      </c>
      <c r="C91" s="8" t="n">
        <v>45566</v>
      </c>
      <c r="D91" s="8" t="n">
        <v>1556.6</v>
      </c>
      <c r="E91" s="29">
        <f>E90+D91</f>
        <v/>
      </c>
      <c r="F91" s="23" t="inlineStr">
        <is>
          <t>Milei</t>
        </is>
      </c>
    </row>
    <row r="92">
      <c r="B92" s="16" t="inlineStr">
        <is>
          <t>2026-03</t>
        </is>
      </c>
      <c r="C92" s="8" t="n">
        <v>42052</v>
      </c>
      <c r="D92" s="8" t="n">
        <v>1670.9</v>
      </c>
      <c r="E92" s="29">
        <f>E91+D92</f>
        <v/>
      </c>
      <c r="F92" s="23" t="inlineStr">
        <is>
          <t>Milei</t>
        </is>
      </c>
    </row>
    <row r="93">
      <c r="B93" s="16" t="inlineStr">
        <is>
          <t>2026-04</t>
        </is>
      </c>
      <c r="C93" s="8" t="n">
        <v>44516</v>
      </c>
      <c r="D93" s="8" t="n">
        <v>2769.5</v>
      </c>
      <c r="E93" s="29">
        <f>E92+D93</f>
        <v/>
      </c>
      <c r="F93" s="23" t="inlineStr">
        <is>
          <t>Milei</t>
        </is>
      </c>
    </row>
    <row r="94">
      <c r="B94" s="16" t="inlineStr">
        <is>
          <t>2026-05</t>
        </is>
      </c>
      <c r="C94" s="8" t="n">
        <v>48193</v>
      </c>
      <c r="D94" s="8" t="n">
        <v>2601.01</v>
      </c>
      <c r="E94" s="29">
        <f>E93+D94</f>
        <v/>
      </c>
      <c r="F94" s="23" t="inlineStr">
        <is>
          <t>Milei</t>
        </is>
      </c>
    </row>
    <row r="95">
      <c r="B95" s="16" t="inlineStr">
        <is>
          <t>2026-06</t>
        </is>
      </c>
      <c r="C95" s="8" t="n">
        <v>44870</v>
      </c>
      <c r="D95" s="8" t="n">
        <v>1418.3</v>
      </c>
      <c r="E95" s="29">
        <f>E94+D95</f>
        <v/>
      </c>
      <c r="F95" s="23" t="inlineStr">
        <is>
          <t>Milei</t>
        </is>
      </c>
    </row>
    <row r="96">
      <c r="B96" s="16" t="inlineStr">
        <is>
          <t>2026-07</t>
        </is>
      </c>
      <c r="C96" s="8" t="n">
        <v>47599</v>
      </c>
      <c r="D96" s="8" t="n">
        <v>2162.5</v>
      </c>
      <c r="E96" s="29">
        <f>E95+D96</f>
        <v/>
      </c>
      <c r="F96" s="23" t="inlineStr">
        <is>
          <t>Milei</t>
        </is>
      </c>
    </row>
    <row r="97">
      <c r="B97" s="16" t="inlineStr">
        <is>
          <t>2026-08</t>
        </is>
      </c>
      <c r="C97" s="8" t="n">
        <v>48259</v>
      </c>
      <c r="D97" s="8" t="n">
        <v>770.2</v>
      </c>
      <c r="E97" s="29">
        <f>E96+D97</f>
        <v/>
      </c>
      <c r="F97" s="23" t="inlineStr">
        <is>
          <t>Milei</t>
        </is>
      </c>
    </row>
    <row r="98">
      <c r="B98" s="16" t="inlineStr">
        <is>
          <t>2026-09</t>
        </is>
      </c>
      <c r="C98" s="8" t="n">
        <v>47960</v>
      </c>
      <c r="D98" s="8" t="n">
        <v>232</v>
      </c>
      <c r="E98" s="29">
        <f>E97+D98</f>
        <v/>
      </c>
      <c r="F98" s="23" t="inlineStr">
        <is>
          <t>Milei</t>
        </is>
      </c>
    </row>
    <row r="101">
      <c r="B101" s="30" t="inlineStr">
        <is>
          <t>The numbers behind the chart</t>
        </is>
      </c>
    </row>
    <row r="102">
      <c r="B102" s="6" t="inlineStr">
        <is>
          <t>Measure</t>
        </is>
      </c>
      <c r="C102" s="6" t="inlineStr">
        <is>
          <t>Value</t>
        </is>
      </c>
      <c r="D102" s="6" t="inlineStr">
        <is>
          <t>Note</t>
        </is>
      </c>
    </row>
    <row r="103" ht="13" customHeight="1">
      <c r="B103" s="25" t="inlineStr">
        <is>
          <t>Peak reserves (Apr-2019)</t>
        </is>
      </c>
      <c r="C103" s="31">
        <f>MAX($C$6:$C$98)</f>
        <v/>
      </c>
      <c r="D103" s="28" t="inlineStr">
        <is>
          <t>USD mn.</t>
        </is>
      </c>
    </row>
    <row r="104" ht="13" customHeight="1">
      <c r="B104" s="25" t="inlineStr">
        <is>
          <t>Trough (Nov-2023)</t>
        </is>
      </c>
      <c r="C104" s="31">
        <f>MIN($C$6:$C$98)</f>
        <v/>
      </c>
      <c r="D104" s="28" t="inlineStr">
        <is>
          <t>USD mn. The month before the handover.</t>
        </is>
      </c>
    </row>
    <row r="105" ht="13" customHeight="1">
      <c r="B105" s="25" t="inlineStr">
        <is>
          <t>Fall, peak to trough</t>
        </is>
      </c>
      <c r="C105" s="31">
        <f>MAX($C$6:$C$98)-MIN($C$6:$C$98)</f>
        <v/>
      </c>
      <c r="D105" s="28" t="inlineStr">
        <is>
          <t>USD mn.</t>
        </is>
      </c>
    </row>
    <row r="106" ht="13" customHeight="1">
      <c r="B106" s="25" t="inlineStr">
        <is>
          <t>Fall, in per cent</t>
        </is>
      </c>
      <c r="C106" s="32">
        <f>MIN($C$6:$C$98)/MAX($C$6:$C$98)-1</f>
        <v/>
      </c>
      <c r="D106" s="28" t="inlineStr">
        <is>
          <t>Seventy per cent of the stock, gone.</t>
        </is>
      </c>
    </row>
    <row r="107" ht="39" customHeight="1">
      <c r="B107" s="25" t="inlineStr">
        <is>
          <t>GROSS SALES, Jan-2019 to Nov-2023</t>
        </is>
      </c>
      <c r="C107" s="31">
        <f>SUMIFS($D$6:$D$98,$B$6:$B$98,"&lt;="&amp;"2023-11",$D$6:$D$98,"&lt;0")</f>
        <v/>
      </c>
      <c r="D107" s="28" t="inlineStr">
        <is>
          <t>USD mn. This is the answer to 'all the sales they made': twenty-four billion dollars of reserves sold into the official market across the five years to the handover.</t>
        </is>
      </c>
    </row>
    <row r="108" ht="13" customHeight="1">
      <c r="B108" s="25" t="inlineStr">
        <is>
          <t>Gross purchases over the same window</t>
        </is>
      </c>
      <c r="C108" s="31">
        <f>SUMIFS($D$6:$D$98,$B$6:$B$98,"&lt;="&amp;"2023-11",$D$6:$D$98,"&gt;0")</f>
        <v/>
      </c>
      <c r="D108" s="28" t="inlineStr">
        <is>
          <t>USD mn. Note it is LARGER than the sales — which is the point of the next row.</t>
        </is>
      </c>
    </row>
    <row r="109" ht="13" customHeight="1">
      <c r="B109" s="25" t="inlineStr">
        <is>
          <t>Net intervention, Jan-2019 to Nov-2023</t>
        </is>
      </c>
      <c r="C109" s="31">
        <f>SUMIFS($D$6:$D$98,$B$6:$B$98,"&lt;="&amp;"2023-11")</f>
        <v/>
      </c>
      <c r="D109" s="28" t="inlineStr">
        <is>
          <t>USD mn. Roughly flat. Intervention is NOT what drained the reserves.</t>
        </is>
      </c>
    </row>
    <row r="110" ht="39" customHeight="1">
      <c r="B110" s="25" t="inlineStr">
        <is>
          <t>Reserves lost over the same window</t>
        </is>
      </c>
      <c r="C110" s="31">
        <f>INDEX($C:$C,MATCH("2023-11",$B:$B,0))-INDEX($C:$C,MATCH("2019-01",$B:$B,0))</f>
        <v/>
      </c>
      <c r="D110" s="28" t="inlineStr">
        <is>
          <t>USD mn. THE CHART'S REAL FINDING: net intervention was flat while reserves fell forty-five billion. The drain was debt service, the IMF repayments and the swap lines — not the defence of the peso.</t>
        </is>
      </c>
    </row>
    <row r="111" ht="13" customHeight="1">
      <c r="B111" s="25" t="inlineStr">
        <is>
          <t>Net intervention, Dec-2023 to Sep-2026</t>
        </is>
      </c>
      <c r="C111" s="31">
        <f>SUMIFS($D$6:$D$98,$B$6:$B$98,"&gt;="&amp;"2023-12")</f>
        <v/>
      </c>
      <c r="D111" s="28" t="inlineStr">
        <is>
          <t>USD mn of net PURCHASES. The sign flips completely.</t>
        </is>
      </c>
    </row>
    <row r="112" ht="13" customHeight="1">
      <c r="B112" s="25" t="inlineStr">
        <is>
          <t>Reserves, Sep-2026</t>
        </is>
      </c>
      <c r="C112" s="31">
        <f>INDEX($C:$C,MATCH("2026-09",$B:$B,0))</f>
        <v/>
      </c>
      <c r="D112" s="28" t="inlineStr">
        <is>
          <t>USD mn, against 21,513 at the trough.</t>
        </is>
      </c>
    </row>
    <row r="114">
      <c r="B114" s="14" t="inlineStr">
        <is>
          <t>A CAUTION ON THE CAPTION. The instinct is to caption this 'they sold reserves to hold the peso and lost them anyway'. The first half is right — 24 billion of gross sales. The second half does not follow from this series: net intervention over the same window was roughly FLAT, so the 45 billion that left came overwhelmingly from elsewhere (debt service, the IMF repayments, the unwinding of swap lines). The chart is still forceful; it just makes a slightly different point than the obvious one.</t>
        </is>
      </c>
    </row>
    <row r="115">
      <c r="B115" s="15" t="inlineStr">
        <is>
          <t>Definitional note: this is the BCRA's own reserve-flow decomposition — the change in reserves attributable to FX purchases — not the balance-cambiario 'compras netas en el mercado de cambios' line. Close, but not identical, so call it reserve impact. Zeros are genuine non-intervention, not missing data: Mar-Jul 2019 under the IMF programme, and May-Aug plus Nov-Dec 2025 inside the band. Sep-2026 covers through 25 September only. Reserves are GROSS; net reserves were around minus USD 11bn at the handover and a comparable series could not be built.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B63"/>
    <outlinePr summaryBelow="1" summaryRight="1"/>
    <pageSetUpPr fitToPage="1"/>
  </sheetPr>
  <dimension ref="B2:I1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14" customWidth="1" min="3" max="3"/>
    <col width="84" customWidth="1" min="4" max="4"/>
    <col width="10" customWidth="1" min="5" max="5"/>
    <col width="11" customWidth="1" min="6" max="6"/>
    <col width="18" customWidth="1" min="7" max="7"/>
    <col width="18" customWidth="1" min="8" max="8"/>
    <col width="14" customWidth="1" min="9" max="9"/>
  </cols>
  <sheetData>
    <row r="2" ht="26" customHeight="1">
      <c r="B2" s="1" t="inlineStr">
        <is>
          <t>How overvalued the peso was — and how far the official rate was from the real one</t>
        </is>
      </c>
    </row>
    <row r="3">
      <c r="B3" s="2" t="inlineStr">
        <is>
          <t>Bilateral real exchange rate at the official rate against the same measure at the parallel rate. Dec-2019 = 100. Lower = more overvalued.</t>
        </is>
      </c>
    </row>
    <row r="5" ht="34" customHeight="1">
      <c r="B5" s="6" t="inlineStr">
        <is>
          <t>Month</t>
        </is>
      </c>
      <c r="C5" s="6" t="inlineStr">
        <is>
          <t>Official
ARS/USD</t>
        </is>
      </c>
      <c r="D5" s="6" t="inlineStr">
        <is>
          <t>Parallel (blue)
ARS/USD</t>
        </is>
      </c>
      <c r="E5" s="6" t="inlineStr">
        <is>
          <t>Gap
%</t>
        </is>
      </c>
      <c r="F5" s="6" t="inlineStr">
        <is>
          <t>CPI index</t>
        </is>
      </c>
      <c r="G5" s="6" t="inlineStr">
        <is>
          <t>Real rate at OFFICIAL
Dec-2019 = 100</t>
        </is>
      </c>
      <c r="H5" s="6" t="inlineStr">
        <is>
          <t>Real rate at PARALLEL
Dec-2019 = 100</t>
        </is>
      </c>
      <c r="I5" s="6" t="inlineStr">
        <is>
          <t>Era</t>
        </is>
      </c>
    </row>
    <row r="6">
      <c r="B6" s="16" t="inlineStr">
        <is>
          <t>2019-01</t>
        </is>
      </c>
      <c r="C6" s="33" t="n">
        <v>37.035</v>
      </c>
      <c r="D6" s="33" t="n">
        <v>37.5</v>
      </c>
      <c r="E6" s="34">
        <f>D6/C6-1</f>
        <v/>
      </c>
      <c r="F6" s="33" t="n">
        <v>189.6101</v>
      </c>
      <c r="G6" s="35">
        <f>IF(F6="","",(C6/F6)/(INDEX($C:$C,MATCH("2019-12",$B:$B,0))/INDEX($F:$F,MATCH("2019-12",$B:$B,0)))*100)</f>
        <v/>
      </c>
      <c r="H6" s="36">
        <f>IF(F6="","",(D6/F6)/(INDEX($C:$C,MATCH("2019-12",$B:$B,0))/INDEX($F:$F,MATCH("2019-12",$B:$B,0)))*100)</f>
        <v/>
      </c>
      <c r="I6" s="22" t="inlineStr">
        <is>
          <t>Macri</t>
        </is>
      </c>
    </row>
    <row r="7">
      <c r="B7" s="16" t="inlineStr">
        <is>
          <t>2019-02</t>
        </is>
      </c>
      <c r="C7" s="33" t="n">
        <v>38.9983</v>
      </c>
      <c r="D7" s="33" t="n">
        <v>39</v>
      </c>
      <c r="E7" s="34">
        <f>D7/C7-1</f>
        <v/>
      </c>
      <c r="F7" s="33" t="n">
        <v>196.7501</v>
      </c>
      <c r="G7" s="35">
        <f>IF(F7="","",(C7/F7)/(INDEX($C:$C,MATCH("2019-12",$B:$B,0))/INDEX($F:$F,MATCH("2019-12",$B:$B,0)))*100)</f>
        <v/>
      </c>
      <c r="H7" s="36">
        <f>IF(F7="","",(D7/F7)/(INDEX($C:$C,MATCH("2019-12",$B:$B,0))/INDEX($F:$F,MATCH("2019-12",$B:$B,0)))*100)</f>
        <v/>
      </c>
      <c r="I7" s="22" t="inlineStr">
        <is>
          <t>Macri</t>
        </is>
      </c>
    </row>
    <row r="8">
      <c r="B8" s="16" t="inlineStr">
        <is>
          <t>2019-03</t>
        </is>
      </c>
      <c r="C8" s="33" t="n">
        <v>43.3533</v>
      </c>
      <c r="D8" s="33" t="n">
        <v>43.65</v>
      </c>
      <c r="E8" s="34">
        <f>D8/C8-1</f>
        <v/>
      </c>
      <c r="F8" s="33" t="n">
        <v>205.9571</v>
      </c>
      <c r="G8" s="35">
        <f>IF(F8="","",(C8/F8)/(INDEX($C:$C,MATCH("2019-12",$B:$B,0))/INDEX($F:$F,MATCH("2019-12",$B:$B,0)))*100)</f>
        <v/>
      </c>
      <c r="H8" s="36">
        <f>IF(F8="","",(D8/F8)/(INDEX($C:$C,MATCH("2019-12",$B:$B,0))/INDEX($F:$F,MATCH("2019-12",$B:$B,0)))*100)</f>
        <v/>
      </c>
      <c r="I8" s="22" t="inlineStr">
        <is>
          <t>Macri</t>
        </is>
      </c>
    </row>
    <row r="9">
      <c r="B9" s="16" t="inlineStr">
        <is>
          <t>2019-04</t>
        </is>
      </c>
      <c r="C9" s="33" t="n">
        <v>44.01</v>
      </c>
      <c r="D9" s="33" t="n">
        <v>46</v>
      </c>
      <c r="E9" s="34">
        <f>D9/C9-1</f>
        <v/>
      </c>
      <c r="F9" s="33" t="n">
        <v>212.9596414</v>
      </c>
      <c r="G9" s="35">
        <f>IF(F9="","",(C9/F9)/(INDEX($C:$C,MATCH("2019-12",$B:$B,0))/INDEX($F:$F,MATCH("2019-12",$B:$B,0)))*100)</f>
        <v/>
      </c>
      <c r="H9" s="36">
        <f>IF(F9="","",(D9/F9)/(INDEX($C:$C,MATCH("2019-12",$B:$B,0))/INDEX($F:$F,MATCH("2019-12",$B:$B,0)))*100)</f>
        <v/>
      </c>
      <c r="I9" s="22" t="inlineStr">
        <is>
          <t>Macri</t>
        </is>
      </c>
    </row>
    <row r="10">
      <c r="B10" s="16" t="inlineStr">
        <is>
          <t>2019-05</t>
        </is>
      </c>
      <c r="C10" s="33" t="n">
        <v>44.87</v>
      </c>
      <c r="D10" s="33" t="n">
        <v>46</v>
      </c>
      <c r="E10" s="34">
        <f>D10/C10-1</f>
        <v/>
      </c>
      <c r="F10" s="33" t="n">
        <v>219.5691</v>
      </c>
      <c r="G10" s="35">
        <f>IF(F10="","",(C10/F10)/(INDEX($C:$C,MATCH("2019-12",$B:$B,0))/INDEX($F:$F,MATCH("2019-12",$B:$B,0)))*100)</f>
        <v/>
      </c>
      <c r="H10" s="36">
        <f>IF(F10="","",(D10/F10)/(INDEX($C:$C,MATCH("2019-12",$B:$B,0))/INDEX($F:$F,MATCH("2019-12",$B:$B,0)))*100)</f>
        <v/>
      </c>
      <c r="I10" s="22" t="inlineStr">
        <is>
          <t>Macri</t>
        </is>
      </c>
    </row>
    <row r="11">
      <c r="B11" s="16" t="inlineStr">
        <is>
          <t>2019-06</t>
        </is>
      </c>
      <c r="C11" s="33" t="n">
        <v>42.4483</v>
      </c>
      <c r="D11" s="33" t="n">
        <v>43.8</v>
      </c>
      <c r="E11" s="34">
        <f>D11/C11-1</f>
        <v/>
      </c>
      <c r="F11" s="33" t="n">
        <v>225.537</v>
      </c>
      <c r="G11" s="35">
        <f>IF(F11="","",(C11/F11)/(INDEX($C:$C,MATCH("2019-12",$B:$B,0))/INDEX($F:$F,MATCH("2019-12",$B:$B,0)))*100)</f>
        <v/>
      </c>
      <c r="H11" s="36">
        <f>IF(F11="","",(D11/F11)/(INDEX($C:$C,MATCH("2019-12",$B:$B,0))/INDEX($F:$F,MATCH("2019-12",$B:$B,0)))*100)</f>
        <v/>
      </c>
      <c r="I11" s="22" t="inlineStr">
        <is>
          <t>Macri</t>
        </is>
      </c>
    </row>
    <row r="12">
      <c r="B12" s="16" t="inlineStr">
        <is>
          <t>2019-07</t>
        </is>
      </c>
      <c r="C12" s="33" t="n">
        <v>43.8692</v>
      </c>
      <c r="D12" s="33" t="n">
        <v>45.2</v>
      </c>
      <c r="E12" s="34">
        <f>D12/C12-1</f>
        <v/>
      </c>
      <c r="F12" s="33" t="n">
        <v>230.494</v>
      </c>
      <c r="G12" s="35">
        <f>IF(F12="","",(C12/F12)/(INDEX($C:$C,MATCH("2019-12",$B:$B,0))/INDEX($F:$F,MATCH("2019-12",$B:$B,0)))*100)</f>
        <v/>
      </c>
      <c r="H12" s="36">
        <f>IF(F12="","",(D12/F12)/(INDEX($C:$C,MATCH("2019-12",$B:$B,0))/INDEX($F:$F,MATCH("2019-12",$B:$B,0)))*100)</f>
        <v/>
      </c>
      <c r="I12" s="22" t="inlineStr">
        <is>
          <t>Macri</t>
        </is>
      </c>
    </row>
    <row r="13">
      <c r="B13" s="16" t="inlineStr">
        <is>
          <t>2019-08</t>
        </is>
      </c>
      <c r="C13" s="33" t="n">
        <v>59.075</v>
      </c>
      <c r="D13" s="33" t="n">
        <v>63</v>
      </c>
      <c r="E13" s="34">
        <f>D13/C13-1</f>
        <v/>
      </c>
      <c r="F13" s="33" t="n">
        <v>239.6077</v>
      </c>
      <c r="G13" s="35">
        <f>IF(F13="","",(C13/F13)/(INDEX($C:$C,MATCH("2019-12",$B:$B,0))/INDEX($F:$F,MATCH("2019-12",$B:$B,0)))*100)</f>
        <v/>
      </c>
      <c r="H13" s="36">
        <f>IF(F13="","",(D13/F13)/(INDEX($C:$C,MATCH("2019-12",$B:$B,0))/INDEX($F:$F,MATCH("2019-12",$B:$B,0)))*100)</f>
        <v/>
      </c>
      <c r="I13" s="22" t="inlineStr">
        <is>
          <t>Macri</t>
        </is>
      </c>
    </row>
    <row r="14">
      <c r="B14" s="16" t="inlineStr">
        <is>
          <t>2019-09</t>
        </is>
      </c>
      <c r="C14" s="33" t="n">
        <v>57.5583</v>
      </c>
      <c r="D14" s="33" t="n">
        <v>61.25</v>
      </c>
      <c r="E14" s="34">
        <f>D14/C14-1</f>
        <v/>
      </c>
      <c r="F14" s="33" t="n">
        <v>253.7102</v>
      </c>
      <c r="G14" s="35">
        <f>IF(F14="","",(C14/F14)/(INDEX($C:$C,MATCH("2019-12",$B:$B,0))/INDEX($F:$F,MATCH("2019-12",$B:$B,0)))*100)</f>
        <v/>
      </c>
      <c r="H14" s="36">
        <f>IF(F14="","",(D14/F14)/(INDEX($C:$C,MATCH("2019-12",$B:$B,0))/INDEX($F:$F,MATCH("2019-12",$B:$B,0)))*100)</f>
        <v/>
      </c>
      <c r="I14" s="22" t="inlineStr">
        <is>
          <t>Macri</t>
        </is>
      </c>
    </row>
    <row r="15">
      <c r="B15" s="16" t="inlineStr">
        <is>
          <t>2019-10</t>
        </is>
      </c>
      <c r="C15" s="33" t="n">
        <v>59.7267</v>
      </c>
      <c r="D15" s="33" t="n">
        <v>69</v>
      </c>
      <c r="E15" s="34">
        <f>D15/C15-1</f>
        <v/>
      </c>
      <c r="F15" s="33" t="n">
        <v>262.0661</v>
      </c>
      <c r="G15" s="35">
        <f>IF(F15="","",(C15/F15)/(INDEX($C:$C,MATCH("2019-12",$B:$B,0))/INDEX($F:$F,MATCH("2019-12",$B:$B,0)))*100)</f>
        <v/>
      </c>
      <c r="H15" s="36">
        <f>IF(F15="","",(D15/F15)/(INDEX($C:$C,MATCH("2019-12",$B:$B,0))/INDEX($F:$F,MATCH("2019-12",$B:$B,0)))*100)</f>
        <v/>
      </c>
      <c r="I15" s="22" t="inlineStr">
        <is>
          <t>Macri</t>
        </is>
      </c>
    </row>
    <row r="16">
      <c r="B16" s="16" t="inlineStr">
        <is>
          <t>2019-11</t>
        </is>
      </c>
      <c r="C16" s="33" t="n">
        <v>59.8633</v>
      </c>
      <c r="D16" s="33" t="n">
        <v>69.25</v>
      </c>
      <c r="E16" s="34">
        <f>D16/C16-1</f>
        <v/>
      </c>
      <c r="F16" s="33" t="n">
        <v>273.2158</v>
      </c>
      <c r="G16" s="35">
        <f>IF(F16="","",(C16/F16)/(INDEX($C:$C,MATCH("2019-12",$B:$B,0))/INDEX($F:$F,MATCH("2019-12",$B:$B,0)))*100)</f>
        <v/>
      </c>
      <c r="H16" s="36">
        <f>IF(F16="","",(D16/F16)/(INDEX($C:$C,MATCH("2019-12",$B:$B,0))/INDEX($F:$F,MATCH("2019-12",$B:$B,0)))*100)</f>
        <v/>
      </c>
      <c r="I16" s="22" t="inlineStr">
        <is>
          <t>Macri</t>
        </is>
      </c>
    </row>
    <row r="17">
      <c r="B17" s="16" t="inlineStr">
        <is>
          <t>2019-12</t>
        </is>
      </c>
      <c r="C17" s="33" t="n">
        <v>59.895</v>
      </c>
      <c r="D17" s="33" t="n">
        <v>78.5</v>
      </c>
      <c r="E17" s="34">
        <f>D17/C17-1</f>
        <v/>
      </c>
      <c r="F17" s="33" t="n">
        <v>283.4442</v>
      </c>
      <c r="G17" s="35">
        <f>IF(F17="","",(C17/F17)/(INDEX($C:$C,MATCH("2019-12",$B:$B,0))/INDEX($F:$F,MATCH("2019-12",$B:$B,0)))*100)</f>
        <v/>
      </c>
      <c r="H17" s="36">
        <f>IF(F17="","",(D17/F17)/(INDEX($C:$C,MATCH("2019-12",$B:$B,0))/INDEX($F:$F,MATCH("2019-12",$B:$B,0)))*100)</f>
        <v/>
      </c>
      <c r="I17" s="22" t="inlineStr">
        <is>
          <t>Fernandez</t>
        </is>
      </c>
    </row>
    <row r="18">
      <c r="B18" s="16" t="inlineStr">
        <is>
          <t>2020-01</t>
        </is>
      </c>
      <c r="C18" s="33" t="n">
        <v>60.3312</v>
      </c>
      <c r="D18" s="33" t="n">
        <v>78</v>
      </c>
      <c r="E18" s="34">
        <f>D18/C18-1</f>
        <v/>
      </c>
      <c r="F18" s="33" t="n">
        <v>289.8299</v>
      </c>
      <c r="G18" s="35">
        <f>IF(F18="","",(C18/F18)/(INDEX($C:$C,MATCH("2019-12",$B:$B,0))/INDEX($F:$F,MATCH("2019-12",$B:$B,0)))*100)</f>
        <v/>
      </c>
      <c r="H18" s="36">
        <f>IF(F18="","",(D18/F18)/(INDEX($C:$C,MATCH("2019-12",$B:$B,0))/INDEX($F:$F,MATCH("2019-12",$B:$B,0)))*100)</f>
        <v/>
      </c>
      <c r="I18" s="22" t="inlineStr">
        <is>
          <t>Fernandez</t>
        </is>
      </c>
    </row>
    <row r="19">
      <c r="B19" s="16" t="inlineStr">
        <is>
          <t>2020-02</t>
        </is>
      </c>
      <c r="C19" s="33" t="n">
        <v>62.208</v>
      </c>
      <c r="D19" s="33" t="n">
        <v>78.5</v>
      </c>
      <c r="E19" s="34">
        <f>D19/C19-1</f>
        <v/>
      </c>
      <c r="F19" s="33" t="n">
        <v>295.666</v>
      </c>
      <c r="G19" s="35">
        <f>IF(F19="","",(C19/F19)/(INDEX($C:$C,MATCH("2019-12",$B:$B,0))/INDEX($F:$F,MATCH("2019-12",$B:$B,0)))*100)</f>
        <v/>
      </c>
      <c r="H19" s="36">
        <f>IF(F19="","",(D19/F19)/(INDEX($C:$C,MATCH("2019-12",$B:$B,0))/INDEX($F:$F,MATCH("2019-12",$B:$B,0)))*100)</f>
        <v/>
      </c>
      <c r="I19" s="22" t="inlineStr">
        <is>
          <t>Fernandez</t>
        </is>
      </c>
    </row>
    <row r="20">
      <c r="B20" s="16" t="inlineStr">
        <is>
          <t>2020-03</t>
        </is>
      </c>
      <c r="C20" s="33" t="n">
        <v>62.2503</v>
      </c>
      <c r="D20" s="33" t="n">
        <v>83.5</v>
      </c>
      <c r="E20" s="34">
        <f>D20/C20-1</f>
        <v/>
      </c>
      <c r="F20" s="33" t="n">
        <v>305.5515</v>
      </c>
      <c r="G20" s="35">
        <f>IF(F20="","",(C20/F20)/(INDEX($C:$C,MATCH("2019-12",$B:$B,0))/INDEX($F:$F,MATCH("2019-12",$B:$B,0)))*100)</f>
        <v/>
      </c>
      <c r="H20" s="36">
        <f>IF(F20="","",(D20/F20)/(INDEX($C:$C,MATCH("2019-12",$B:$B,0))/INDEX($F:$F,MATCH("2019-12",$B:$B,0)))*100)</f>
        <v/>
      </c>
      <c r="I20" s="22" t="inlineStr">
        <is>
          <t>Fernandez</t>
        </is>
      </c>
    </row>
    <row r="21">
      <c r="B21" s="16" t="inlineStr">
        <is>
          <t>2020-04</t>
        </is>
      </c>
      <c r="C21" s="33" t="n">
        <v>66.83499999999999</v>
      </c>
      <c r="D21" s="33" t="n">
        <v>118</v>
      </c>
      <c r="E21" s="34">
        <f>D21/C21-1</f>
        <v/>
      </c>
      <c r="F21" s="33" t="n">
        <v>310.1243</v>
      </c>
      <c r="G21" s="35">
        <f>IF(F21="","",(C21/F21)/(INDEX($C:$C,MATCH("2019-12",$B:$B,0))/INDEX($F:$F,MATCH("2019-12",$B:$B,0)))*100)</f>
        <v/>
      </c>
      <c r="H21" s="36">
        <f>IF(F21="","",(D21/F21)/(INDEX($C:$C,MATCH("2019-12",$B:$B,0))/INDEX($F:$F,MATCH("2019-12",$B:$B,0)))*100)</f>
        <v/>
      </c>
      <c r="I21" s="22" t="inlineStr">
        <is>
          <t>Fernandez</t>
        </is>
      </c>
    </row>
    <row r="22">
      <c r="B22" s="16" t="inlineStr">
        <is>
          <t>2020-05</t>
        </is>
      </c>
      <c r="C22" s="33" t="n">
        <v>68.535</v>
      </c>
      <c r="D22" s="33" t="n">
        <v>125</v>
      </c>
      <c r="E22" s="34">
        <f>D22/C22-1</f>
        <v/>
      </c>
      <c r="F22" s="33" t="n">
        <v>314.9087</v>
      </c>
      <c r="G22" s="35">
        <f>IF(F22="","",(C22/F22)/(INDEX($C:$C,MATCH("2019-12",$B:$B,0))/INDEX($F:$F,MATCH("2019-12",$B:$B,0)))*100)</f>
        <v/>
      </c>
      <c r="H22" s="36">
        <f>IF(F22="","",(D22/F22)/(INDEX($C:$C,MATCH("2019-12",$B:$B,0))/INDEX($F:$F,MATCH("2019-12",$B:$B,0)))*100)</f>
        <v/>
      </c>
      <c r="I22" s="22" t="inlineStr">
        <is>
          <t>Fernandez</t>
        </is>
      </c>
    </row>
    <row r="23">
      <c r="B23" s="16" t="inlineStr">
        <is>
          <t>2020-06</t>
        </is>
      </c>
      <c r="C23" s="33" t="n">
        <v>70.455</v>
      </c>
      <c r="D23" s="33" t="n">
        <v>126</v>
      </c>
      <c r="E23" s="34">
        <f>D23/C23-1</f>
        <v/>
      </c>
      <c r="F23" s="33" t="n">
        <v>321.9738</v>
      </c>
      <c r="G23" s="35">
        <f>IF(F23="","",(C23/F23)/(INDEX($C:$C,MATCH("2019-12",$B:$B,0))/INDEX($F:$F,MATCH("2019-12",$B:$B,0)))*100)</f>
        <v/>
      </c>
      <c r="H23" s="36">
        <f>IF(F23="","",(D23/F23)/(INDEX($C:$C,MATCH("2019-12",$B:$B,0))/INDEX($F:$F,MATCH("2019-12",$B:$B,0)))*100)</f>
        <v/>
      </c>
      <c r="I23" s="22" t="inlineStr">
        <is>
          <t>Fernandez</t>
        </is>
      </c>
    </row>
    <row r="24">
      <c r="B24" s="16" t="inlineStr">
        <is>
          <t>2020-07</t>
        </is>
      </c>
      <c r="C24" s="33" t="n">
        <v>72.315</v>
      </c>
      <c r="D24" s="33" t="n">
        <v>136</v>
      </c>
      <c r="E24" s="34">
        <f>D24/C24-1</f>
        <v/>
      </c>
      <c r="F24" s="33" t="n">
        <v>328.2014</v>
      </c>
      <c r="G24" s="35">
        <f>IF(F24="","",(C24/F24)/(INDEX($C:$C,MATCH("2019-12",$B:$B,0))/INDEX($F:$F,MATCH("2019-12",$B:$B,0)))*100)</f>
        <v/>
      </c>
      <c r="H24" s="36">
        <f>IF(F24="","",(D24/F24)/(INDEX($C:$C,MATCH("2019-12",$B:$B,0))/INDEX($F:$F,MATCH("2019-12",$B:$B,0)))*100)</f>
        <v/>
      </c>
      <c r="I24" s="22" t="inlineStr">
        <is>
          <t>Fernandez</t>
        </is>
      </c>
    </row>
    <row r="25">
      <c r="B25" s="16" t="inlineStr">
        <is>
          <t>2020-08</t>
        </is>
      </c>
      <c r="C25" s="33" t="n">
        <v>74.175</v>
      </c>
      <c r="D25" s="33" t="n">
        <v>135</v>
      </c>
      <c r="E25" s="34">
        <f>D25/C25-1</f>
        <v/>
      </c>
      <c r="F25" s="33" t="n">
        <v>337.0632</v>
      </c>
      <c r="G25" s="35">
        <f>IF(F25="","",(C25/F25)/(INDEX($C:$C,MATCH("2019-12",$B:$B,0))/INDEX($F:$F,MATCH("2019-12",$B:$B,0)))*100)</f>
        <v/>
      </c>
      <c r="H25" s="36">
        <f>IF(F25="","",(D25/F25)/(INDEX($C:$C,MATCH("2019-12",$B:$B,0))/INDEX($F:$F,MATCH("2019-12",$B:$B,0)))*100)</f>
        <v/>
      </c>
      <c r="I25" s="22" t="inlineStr">
        <is>
          <t>Fernandez</t>
        </is>
      </c>
    </row>
    <row r="26">
      <c r="B26" s="16" t="inlineStr">
        <is>
          <t>2020-09</t>
        </is>
      </c>
      <c r="C26" s="33" t="n">
        <v>76.175</v>
      </c>
      <c r="D26" s="33" t="n">
        <v>146</v>
      </c>
      <c r="E26" s="34">
        <f>D26/C26-1</f>
        <v/>
      </c>
      <c r="F26" s="33" t="n">
        <v>346.6207</v>
      </c>
      <c r="G26" s="35">
        <f>IF(F26="","",(C26/F26)/(INDEX($C:$C,MATCH("2019-12",$B:$B,0))/INDEX($F:$F,MATCH("2019-12",$B:$B,0)))*100)</f>
        <v/>
      </c>
      <c r="H26" s="36">
        <f>IF(F26="","",(D26/F26)/(INDEX($C:$C,MATCH("2019-12",$B:$B,0))/INDEX($F:$F,MATCH("2019-12",$B:$B,0)))*100)</f>
        <v/>
      </c>
      <c r="I26" s="22" t="inlineStr">
        <is>
          <t>Fernandez</t>
        </is>
      </c>
    </row>
    <row r="27">
      <c r="B27" s="16" t="inlineStr">
        <is>
          <t>2020-10</t>
        </is>
      </c>
      <c r="C27" s="33" t="n">
        <v>78.3283</v>
      </c>
      <c r="D27" s="33" t="n">
        <v>169</v>
      </c>
      <c r="E27" s="34">
        <f>D27/C27-1</f>
        <v/>
      </c>
      <c r="F27" s="33" t="n">
        <v>359.657</v>
      </c>
      <c r="G27" s="35">
        <f>IF(F27="","",(C27/F27)/(INDEX($C:$C,MATCH("2019-12",$B:$B,0))/INDEX($F:$F,MATCH("2019-12",$B:$B,0)))*100)</f>
        <v/>
      </c>
      <c r="H27" s="36">
        <f>IF(F27="","",(D27/F27)/(INDEX($C:$C,MATCH("2019-12",$B:$B,0))/INDEX($F:$F,MATCH("2019-12",$B:$B,0)))*100)</f>
        <v/>
      </c>
      <c r="I27" s="22" t="inlineStr">
        <is>
          <t>Fernandez</t>
        </is>
      </c>
    </row>
    <row r="28">
      <c r="B28" s="16" t="inlineStr">
        <is>
          <t>2020-11</t>
        </is>
      </c>
      <c r="C28" s="33" t="n">
        <v>81.2967</v>
      </c>
      <c r="D28" s="33" t="n">
        <v>155</v>
      </c>
      <c r="E28" s="34">
        <f>D28/C28-1</f>
        <v/>
      </c>
      <c r="F28" s="33" t="n">
        <v>371.0211</v>
      </c>
      <c r="G28" s="35">
        <f>IF(F28="","",(C28/F28)/(INDEX($C:$C,MATCH("2019-12",$B:$B,0))/INDEX($F:$F,MATCH("2019-12",$B:$B,0)))*100)</f>
        <v/>
      </c>
      <c r="H28" s="36">
        <f>IF(F28="","",(D28/F28)/(INDEX($C:$C,MATCH("2019-12",$B:$B,0))/INDEX($F:$F,MATCH("2019-12",$B:$B,0)))*100)</f>
        <v/>
      </c>
      <c r="I28" s="22" t="inlineStr">
        <is>
          <t>Fernandez</t>
        </is>
      </c>
    </row>
    <row r="29">
      <c r="B29" s="16" t="inlineStr">
        <is>
          <t>2020-12</t>
        </is>
      </c>
      <c r="C29" s="33" t="n">
        <v>84.145</v>
      </c>
      <c r="D29" s="33" t="n">
        <v>166</v>
      </c>
      <c r="E29" s="34">
        <f>D29/C29-1</f>
        <v/>
      </c>
      <c r="F29" s="33" t="n">
        <v>385.8826</v>
      </c>
      <c r="G29" s="35">
        <f>IF(F29="","",(C29/F29)/(INDEX($C:$C,MATCH("2019-12",$B:$B,0))/INDEX($F:$F,MATCH("2019-12",$B:$B,0)))*100)</f>
        <v/>
      </c>
      <c r="H29" s="36">
        <f>IF(F29="","",(D29/F29)/(INDEX($C:$C,MATCH("2019-12",$B:$B,0))/INDEX($F:$F,MATCH("2019-12",$B:$B,0)))*100)</f>
        <v/>
      </c>
      <c r="I29" s="22" t="inlineStr">
        <is>
          <t>Fernandez</t>
        </is>
      </c>
    </row>
    <row r="30">
      <c r="B30" s="16" t="inlineStr">
        <is>
          <t>2021-01</t>
        </is>
      </c>
      <c r="C30" s="33" t="n">
        <v>87.2983</v>
      </c>
      <c r="D30" s="33" t="n">
        <v>153</v>
      </c>
      <c r="E30" s="34">
        <f>D30/C30-1</f>
        <v/>
      </c>
      <c r="F30" s="33" t="n">
        <v>401.5071</v>
      </c>
      <c r="G30" s="35">
        <f>IF(F30="","",(C30/F30)/(INDEX($C:$C,MATCH("2019-12",$B:$B,0))/INDEX($F:$F,MATCH("2019-12",$B:$B,0)))*100)</f>
        <v/>
      </c>
      <c r="H30" s="36">
        <f>IF(F30="","",(D30/F30)/(INDEX($C:$C,MATCH("2019-12",$B:$B,0))/INDEX($F:$F,MATCH("2019-12",$B:$B,0)))*100)</f>
        <v/>
      </c>
      <c r="I30" s="22" t="inlineStr">
        <is>
          <t>Fernandez</t>
        </is>
      </c>
    </row>
    <row r="31">
      <c r="B31" s="16" t="inlineStr">
        <is>
          <t>2021-02</t>
        </is>
      </c>
      <c r="C31" s="33" t="n">
        <v>89.825</v>
      </c>
      <c r="D31" s="33" t="n">
        <v>146</v>
      </c>
      <c r="E31" s="34">
        <f>D31/C31-1</f>
        <v/>
      </c>
      <c r="F31" s="33" t="n">
        <v>415.8595</v>
      </c>
      <c r="G31" s="35">
        <f>IF(F31="","",(C31/F31)/(INDEX($C:$C,MATCH("2019-12",$B:$B,0))/INDEX($F:$F,MATCH("2019-12",$B:$B,0)))*100)</f>
        <v/>
      </c>
      <c r="H31" s="36">
        <f>IF(F31="","",(D31/F31)/(INDEX($C:$C,MATCH("2019-12",$B:$B,0))/INDEX($F:$F,MATCH("2019-12",$B:$B,0)))*100)</f>
        <v/>
      </c>
      <c r="I31" s="22" t="inlineStr">
        <is>
          <t>Fernandez</t>
        </is>
      </c>
    </row>
    <row r="32">
      <c r="B32" s="16" t="inlineStr">
        <is>
          <t>2021-03</t>
        </is>
      </c>
      <c r="C32" s="33" t="n">
        <v>91.985</v>
      </c>
      <c r="D32" s="33" t="n">
        <v>141</v>
      </c>
      <c r="E32" s="34">
        <f>D32/C32-1</f>
        <v/>
      </c>
      <c r="F32" s="33" t="n">
        <v>435.8657</v>
      </c>
      <c r="G32" s="35">
        <f>IF(F32="","",(C32/F32)/(INDEX($C:$C,MATCH("2019-12",$B:$B,0))/INDEX($F:$F,MATCH("2019-12",$B:$B,0)))*100)</f>
        <v/>
      </c>
      <c r="H32" s="36">
        <f>IF(F32="","",(D32/F32)/(INDEX($C:$C,MATCH("2019-12",$B:$B,0))/INDEX($F:$F,MATCH("2019-12",$B:$B,0)))*100)</f>
        <v/>
      </c>
      <c r="I32" s="22" t="inlineStr">
        <is>
          <t>Fernandez</t>
        </is>
      </c>
    </row>
    <row r="33">
      <c r="B33" s="16" t="inlineStr">
        <is>
          <t>2021-04</t>
        </is>
      </c>
      <c r="C33" s="33" t="n">
        <v>93.55500000000001</v>
      </c>
      <c r="D33" s="33" t="n">
        <v>150</v>
      </c>
      <c r="E33" s="34">
        <f>D33/C33-1</f>
        <v/>
      </c>
      <c r="F33" s="33" t="n">
        <v>453.6503</v>
      </c>
      <c r="G33" s="35">
        <f>IF(F33="","",(C33/F33)/(INDEX($C:$C,MATCH("2019-12",$B:$B,0))/INDEX($F:$F,MATCH("2019-12",$B:$B,0)))*100)</f>
        <v/>
      </c>
      <c r="H33" s="36">
        <f>IF(F33="","",(D33/F33)/(INDEX($C:$C,MATCH("2019-12",$B:$B,0))/INDEX($F:$F,MATCH("2019-12",$B:$B,0)))*100)</f>
        <v/>
      </c>
      <c r="I33" s="22" t="inlineStr">
        <is>
          <t>Fernandez</t>
        </is>
      </c>
    </row>
    <row r="34">
      <c r="B34" s="16" t="inlineStr">
        <is>
          <t>2021-05</t>
        </is>
      </c>
      <c r="C34" s="33" t="n">
        <v>94.685</v>
      </c>
      <c r="D34" s="33" t="n">
        <v>157</v>
      </c>
      <c r="E34" s="34">
        <f>D34/C34-1</f>
        <v/>
      </c>
      <c r="F34" s="33" t="n">
        <v>468.725</v>
      </c>
      <c r="G34" s="35">
        <f>IF(F34="","",(C34/F34)/(INDEX($C:$C,MATCH("2019-12",$B:$B,0))/INDEX($F:$F,MATCH("2019-12",$B:$B,0)))*100)</f>
        <v/>
      </c>
      <c r="H34" s="36">
        <f>IF(F34="","",(D34/F34)/(INDEX($C:$C,MATCH("2019-12",$B:$B,0))/INDEX($F:$F,MATCH("2019-12",$B:$B,0)))*100)</f>
        <v/>
      </c>
      <c r="I34" s="22" t="inlineStr">
        <is>
          <t>Fernandez</t>
        </is>
      </c>
    </row>
    <row r="35">
      <c r="B35" s="16" t="inlineStr">
        <is>
          <t>2021-06</t>
        </is>
      </c>
      <c r="C35" s="33" t="n">
        <v>95.72669999999999</v>
      </c>
      <c r="D35" s="33" t="n">
        <v>168</v>
      </c>
      <c r="E35" s="34">
        <f>D35/C35-1</f>
        <v/>
      </c>
      <c r="F35" s="33" t="n">
        <v>483.6049</v>
      </c>
      <c r="G35" s="35">
        <f>IF(F35="","",(C35/F35)/(INDEX($C:$C,MATCH("2019-12",$B:$B,0))/INDEX($F:$F,MATCH("2019-12",$B:$B,0)))*100)</f>
        <v/>
      </c>
      <c r="H35" s="36">
        <f>IF(F35="","",(D35/F35)/(INDEX($C:$C,MATCH("2019-12",$B:$B,0))/INDEX($F:$F,MATCH("2019-12",$B:$B,0)))*100)</f>
        <v/>
      </c>
      <c r="I35" s="22" t="inlineStr">
        <is>
          <t>Fernandez</t>
        </is>
      </c>
    </row>
    <row r="36">
      <c r="B36" s="16" t="inlineStr">
        <is>
          <t>2021-07</t>
        </is>
      </c>
      <c r="C36" s="33" t="n">
        <v>96.685</v>
      </c>
      <c r="D36" s="33" t="n">
        <v>180.5</v>
      </c>
      <c r="E36" s="34">
        <f>D36/C36-1</f>
        <v/>
      </c>
      <c r="F36" s="33" t="n">
        <v>498.0987</v>
      </c>
      <c r="G36" s="35">
        <f>IF(F36="","",(C36/F36)/(INDEX($C:$C,MATCH("2019-12",$B:$B,0))/INDEX($F:$F,MATCH("2019-12",$B:$B,0)))*100)</f>
        <v/>
      </c>
      <c r="H36" s="36">
        <f>IF(F36="","",(D36/F36)/(INDEX($C:$C,MATCH("2019-12",$B:$B,0))/INDEX($F:$F,MATCH("2019-12",$B:$B,0)))*100)</f>
        <v/>
      </c>
      <c r="I36" s="22" t="inlineStr">
        <is>
          <t>Fernandez</t>
        </is>
      </c>
    </row>
    <row r="37">
      <c r="B37" s="16" t="inlineStr">
        <is>
          <t>2021-08</t>
        </is>
      </c>
      <c r="C37" s="33" t="n">
        <v>97.7517</v>
      </c>
      <c r="D37" s="33" t="n">
        <v>182</v>
      </c>
      <c r="E37" s="34">
        <f>D37/C37-1</f>
        <v/>
      </c>
      <c r="F37" s="33" t="n">
        <v>510.3942</v>
      </c>
      <c r="G37" s="35">
        <f>IF(F37="","",(C37/F37)/(INDEX($C:$C,MATCH("2019-12",$B:$B,0))/INDEX($F:$F,MATCH("2019-12",$B:$B,0)))*100)</f>
        <v/>
      </c>
      <c r="H37" s="36">
        <f>IF(F37="","",(D37/F37)/(INDEX($C:$C,MATCH("2019-12",$B:$B,0))/INDEX($F:$F,MATCH("2019-12",$B:$B,0)))*100)</f>
        <v/>
      </c>
      <c r="I37" s="22" t="inlineStr">
        <is>
          <t>Fernandez</t>
        </is>
      </c>
    </row>
    <row r="38">
      <c r="B38" s="16" t="inlineStr">
        <is>
          <t>2021-09</t>
        </is>
      </c>
      <c r="C38" s="33" t="n">
        <v>98.735</v>
      </c>
      <c r="D38" s="33" t="n">
        <v>186</v>
      </c>
      <c r="E38" s="34">
        <f>D38/C38-1</f>
        <v/>
      </c>
      <c r="F38" s="33" t="n">
        <v>528.4968</v>
      </c>
      <c r="G38" s="35">
        <f>IF(F38="","",(C38/F38)/(INDEX($C:$C,MATCH("2019-12",$B:$B,0))/INDEX($F:$F,MATCH("2019-12",$B:$B,0)))*100)</f>
        <v/>
      </c>
      <c r="H38" s="36">
        <f>IF(F38="","",(D38/F38)/(INDEX($C:$C,MATCH("2019-12",$B:$B,0))/INDEX($F:$F,MATCH("2019-12",$B:$B,0)))*100)</f>
        <v/>
      </c>
      <c r="I38" s="22" t="inlineStr">
        <is>
          <t>Fernandez</t>
        </is>
      </c>
    </row>
    <row r="39">
      <c r="B39" s="16" t="inlineStr">
        <is>
          <t>2021-10</t>
        </is>
      </c>
      <c r="C39" s="33" t="n">
        <v>99.7217</v>
      </c>
      <c r="D39" s="33" t="n">
        <v>197.5</v>
      </c>
      <c r="E39" s="34">
        <f>D39/C39-1</f>
        <v/>
      </c>
      <c r="F39" s="33" t="n">
        <v>547.0802</v>
      </c>
      <c r="G39" s="35">
        <f>IF(F39="","",(C39/F39)/(INDEX($C:$C,MATCH("2019-12",$B:$B,0))/INDEX($F:$F,MATCH("2019-12",$B:$B,0)))*100)</f>
        <v/>
      </c>
      <c r="H39" s="36">
        <f>IF(F39="","",(D39/F39)/(INDEX($C:$C,MATCH("2019-12",$B:$B,0))/INDEX($F:$F,MATCH("2019-12",$B:$B,0)))*100)</f>
        <v/>
      </c>
      <c r="I39" s="22" t="inlineStr">
        <is>
          <t>Fernandez</t>
        </is>
      </c>
    </row>
    <row r="40">
      <c r="B40" s="16" t="inlineStr">
        <is>
          <t>2021-11</t>
        </is>
      </c>
      <c r="C40" s="33" t="n">
        <v>100.925</v>
      </c>
      <c r="D40" s="33" t="n">
        <v>201.5</v>
      </c>
      <c r="E40" s="34">
        <f>D40/C40-1</f>
        <v/>
      </c>
      <c r="F40" s="33" t="n">
        <v>560.9184</v>
      </c>
      <c r="G40" s="35">
        <f>IF(F40="","",(C40/F40)/(INDEX($C:$C,MATCH("2019-12",$B:$B,0))/INDEX($F:$F,MATCH("2019-12",$B:$B,0)))*100)</f>
        <v/>
      </c>
      <c r="H40" s="36">
        <f>IF(F40="","",(D40/F40)/(INDEX($C:$C,MATCH("2019-12",$B:$B,0))/INDEX($F:$F,MATCH("2019-12",$B:$B,0)))*100)</f>
        <v/>
      </c>
      <c r="I40" s="22" t="inlineStr">
        <is>
          <t>Fernandez</t>
        </is>
      </c>
    </row>
    <row r="41">
      <c r="B41" s="16" t="inlineStr">
        <is>
          <t>2021-12</t>
        </is>
      </c>
      <c r="C41" s="33" t="n">
        <v>102.75</v>
      </c>
      <c r="D41" s="33" t="n">
        <v>208</v>
      </c>
      <c r="E41" s="34">
        <f>D41/C41-1</f>
        <v/>
      </c>
      <c r="F41" s="33" t="n">
        <v>582.4575</v>
      </c>
      <c r="G41" s="35">
        <f>IF(F41="","",(C41/F41)/(INDEX($C:$C,MATCH("2019-12",$B:$B,0))/INDEX($F:$F,MATCH("2019-12",$B:$B,0)))*100)</f>
        <v/>
      </c>
      <c r="H41" s="36">
        <f>IF(F41="","",(D41/F41)/(INDEX($C:$C,MATCH("2019-12",$B:$B,0))/INDEX($F:$F,MATCH("2019-12",$B:$B,0)))*100)</f>
        <v/>
      </c>
      <c r="I41" s="22" t="inlineStr">
        <is>
          <t>Fernandez</t>
        </is>
      </c>
    </row>
    <row r="42">
      <c r="B42" s="16" t="inlineStr">
        <is>
          <t>2022-01</t>
        </is>
      </c>
      <c r="C42" s="33" t="n">
        <v>105.015</v>
      </c>
      <c r="D42" s="33" t="n">
        <v>213</v>
      </c>
      <c r="E42" s="34">
        <f>D42/C42-1</f>
        <v/>
      </c>
      <c r="F42" s="33" t="n">
        <v>605.0317</v>
      </c>
      <c r="G42" s="35">
        <f>IF(F42="","",(C42/F42)/(INDEX($C:$C,MATCH("2019-12",$B:$B,0))/INDEX($F:$F,MATCH("2019-12",$B:$B,0)))*100)</f>
        <v/>
      </c>
      <c r="H42" s="36">
        <f>IF(F42="","",(D42/F42)/(INDEX($C:$C,MATCH("2019-12",$B:$B,0))/INDEX($F:$F,MATCH("2019-12",$B:$B,0)))*100)</f>
        <v/>
      </c>
      <c r="I42" s="22" t="inlineStr">
        <is>
          <t>Fernandez</t>
        </is>
      </c>
    </row>
    <row r="43">
      <c r="B43" s="16" t="inlineStr">
        <is>
          <t>2022-02</t>
        </is>
      </c>
      <c r="C43" s="33" t="n">
        <v>107.4417</v>
      </c>
      <c r="D43" s="33" t="n">
        <v>211</v>
      </c>
      <c r="E43" s="34">
        <f>D43/C43-1</f>
        <v/>
      </c>
      <c r="F43" s="33" t="n">
        <v>633.4340999999999</v>
      </c>
      <c r="G43" s="35">
        <f>IF(F43="","",(C43/F43)/(INDEX($C:$C,MATCH("2019-12",$B:$B,0))/INDEX($F:$F,MATCH("2019-12",$B:$B,0)))*100)</f>
        <v/>
      </c>
      <c r="H43" s="36">
        <f>IF(F43="","",(D43/F43)/(INDEX($C:$C,MATCH("2019-12",$B:$B,0))/INDEX($F:$F,MATCH("2019-12",$B:$B,0)))*100)</f>
        <v/>
      </c>
      <c r="I43" s="22" t="inlineStr">
        <is>
          <t>Fernandez</t>
        </is>
      </c>
    </row>
    <row r="44">
      <c r="B44" s="16" t="inlineStr">
        <is>
          <t>2022-03</t>
        </is>
      </c>
      <c r="C44" s="33" t="n">
        <v>110.9783</v>
      </c>
      <c r="D44" s="33" t="n">
        <v>200</v>
      </c>
      <c r="E44" s="34">
        <f>D44/C44-1</f>
        <v/>
      </c>
      <c r="F44" s="33" t="n">
        <v>676.0566</v>
      </c>
      <c r="G44" s="35">
        <f>IF(F44="","",(C44/F44)/(INDEX($C:$C,MATCH("2019-12",$B:$B,0))/INDEX($F:$F,MATCH("2019-12",$B:$B,0)))*100)</f>
        <v/>
      </c>
      <c r="H44" s="36">
        <f>IF(F44="","",(D44/F44)/(INDEX($C:$C,MATCH("2019-12",$B:$B,0))/INDEX($F:$F,MATCH("2019-12",$B:$B,0)))*100)</f>
        <v/>
      </c>
      <c r="I44" s="22" t="inlineStr">
        <is>
          <t>Fernandez</t>
        </is>
      </c>
    </row>
    <row r="45">
      <c r="B45" s="16" t="inlineStr">
        <is>
          <t>2022-04</t>
        </is>
      </c>
      <c r="C45" s="33" t="n">
        <v>115.3117</v>
      </c>
      <c r="D45" s="33" t="n">
        <v>200.5</v>
      </c>
      <c r="E45" s="34">
        <f>D45/C45-1</f>
        <v/>
      </c>
      <c r="F45" s="33" t="n">
        <v>716.9399</v>
      </c>
      <c r="G45" s="35">
        <f>IF(F45="","",(C45/F45)/(INDEX($C:$C,MATCH("2019-12",$B:$B,0))/INDEX($F:$F,MATCH("2019-12",$B:$B,0)))*100)</f>
        <v/>
      </c>
      <c r="H45" s="36">
        <f>IF(F45="","",(D45/F45)/(INDEX($C:$C,MATCH("2019-12",$B:$B,0))/INDEX($F:$F,MATCH("2019-12",$B:$B,0)))*100)</f>
        <v/>
      </c>
      <c r="I45" s="22" t="inlineStr">
        <is>
          <t>Fernandez</t>
        </is>
      </c>
    </row>
    <row r="46">
      <c r="B46" s="16" t="inlineStr">
        <is>
          <t>2022-05</t>
        </is>
      </c>
      <c r="C46" s="33" t="n">
        <v>120.1617</v>
      </c>
      <c r="D46" s="33" t="n">
        <v>206</v>
      </c>
      <c r="E46" s="34">
        <f>D46/C46-1</f>
        <v/>
      </c>
      <c r="F46" s="33" t="n">
        <v>753.147</v>
      </c>
      <c r="G46" s="35">
        <f>IF(F46="","",(C46/F46)/(INDEX($C:$C,MATCH("2019-12",$B:$B,0))/INDEX($F:$F,MATCH("2019-12",$B:$B,0)))*100)</f>
        <v/>
      </c>
      <c r="H46" s="36">
        <f>IF(F46="","",(D46/F46)/(INDEX($C:$C,MATCH("2019-12",$B:$B,0))/INDEX($F:$F,MATCH("2019-12",$B:$B,0)))*100)</f>
        <v/>
      </c>
      <c r="I46" s="22" t="inlineStr">
        <is>
          <t>Fernandez</t>
        </is>
      </c>
    </row>
    <row r="47">
      <c r="B47" s="16" t="inlineStr">
        <is>
          <t>2022-06</t>
        </is>
      </c>
      <c r="C47" s="33" t="n">
        <v>125.215</v>
      </c>
      <c r="D47" s="33" t="n">
        <v>238</v>
      </c>
      <c r="E47" s="34">
        <f>D47/C47-1</f>
        <v/>
      </c>
      <c r="F47" s="33" t="n">
        <v>793.0278</v>
      </c>
      <c r="G47" s="35">
        <f>IF(F47="","",(C47/F47)/(INDEX($C:$C,MATCH("2019-12",$B:$B,0))/INDEX($F:$F,MATCH("2019-12",$B:$B,0)))*100)</f>
        <v/>
      </c>
      <c r="H47" s="36">
        <f>IF(F47="","",(D47/F47)/(INDEX($C:$C,MATCH("2019-12",$B:$B,0))/INDEX($F:$F,MATCH("2019-12",$B:$B,0)))*100)</f>
        <v/>
      </c>
      <c r="I47" s="22" t="inlineStr">
        <is>
          <t>Fernandez</t>
        </is>
      </c>
    </row>
    <row r="48">
      <c r="B48" s="16" t="inlineStr">
        <is>
          <t>2022-07</t>
        </is>
      </c>
      <c r="C48" s="33" t="n">
        <v>131.2267</v>
      </c>
      <c r="D48" s="33" t="n">
        <v>296</v>
      </c>
      <c r="E48" s="34">
        <f>D48/C48-1</f>
        <v/>
      </c>
      <c r="F48" s="33" t="n">
        <v>851.761</v>
      </c>
      <c r="G48" s="35">
        <f>IF(F48="","",(C48/F48)/(INDEX($C:$C,MATCH("2019-12",$B:$B,0))/INDEX($F:$F,MATCH("2019-12",$B:$B,0)))*100)</f>
        <v/>
      </c>
      <c r="H48" s="36">
        <f>IF(F48="","",(D48/F48)/(INDEX($C:$C,MATCH("2019-12",$B:$B,0))/INDEX($F:$F,MATCH("2019-12",$B:$B,0)))*100)</f>
        <v/>
      </c>
      <c r="I48" s="22" t="inlineStr">
        <is>
          <t>Fernandez</t>
        </is>
      </c>
    </row>
    <row r="49">
      <c r="B49" s="16" t="inlineStr">
        <is>
          <t>2022-08</t>
        </is>
      </c>
      <c r="C49" s="33" t="n">
        <v>138.7133</v>
      </c>
      <c r="D49" s="33" t="n">
        <v>290</v>
      </c>
      <c r="E49" s="34">
        <f>D49/C49-1</f>
        <v/>
      </c>
      <c r="F49" s="33" t="n">
        <v>911.1316</v>
      </c>
      <c r="G49" s="35">
        <f>IF(F49="","",(C49/F49)/(INDEX($C:$C,MATCH("2019-12",$B:$B,0))/INDEX($F:$F,MATCH("2019-12",$B:$B,0)))*100)</f>
        <v/>
      </c>
      <c r="H49" s="36">
        <f>IF(F49="","",(D49/F49)/(INDEX($C:$C,MATCH("2019-12",$B:$B,0))/INDEX($F:$F,MATCH("2019-12",$B:$B,0)))*100)</f>
        <v/>
      </c>
      <c r="I49" s="22" t="inlineStr">
        <is>
          <t>Fernandez</t>
        </is>
      </c>
    </row>
    <row r="50">
      <c r="B50" s="16" t="inlineStr">
        <is>
          <t>2022-09</t>
        </is>
      </c>
      <c r="C50" s="33" t="n">
        <v>147.315</v>
      </c>
      <c r="D50" s="33" t="n">
        <v>288</v>
      </c>
      <c r="E50" s="34">
        <f>D50/C50-1</f>
        <v/>
      </c>
      <c r="F50" s="33" t="n">
        <v>967.3076</v>
      </c>
      <c r="G50" s="35">
        <f>IF(F50="","",(C50/F50)/(INDEX($C:$C,MATCH("2019-12",$B:$B,0))/INDEX($F:$F,MATCH("2019-12",$B:$B,0)))*100)</f>
        <v/>
      </c>
      <c r="H50" s="36">
        <f>IF(F50="","",(D50/F50)/(INDEX($C:$C,MATCH("2019-12",$B:$B,0))/INDEX($F:$F,MATCH("2019-12",$B:$B,0)))*100)</f>
        <v/>
      </c>
      <c r="I50" s="22" t="inlineStr">
        <is>
          <t>Fernandez</t>
        </is>
      </c>
    </row>
    <row r="51">
      <c r="B51" s="16" t="inlineStr">
        <is>
          <t>2022-10</t>
        </is>
      </c>
      <c r="C51" s="33" t="n">
        <v>156.895</v>
      </c>
      <c r="D51" s="33" t="n">
        <v>290</v>
      </c>
      <c r="E51" s="34">
        <f>D51/C51-1</f>
        <v/>
      </c>
      <c r="F51" s="33" t="n">
        <v>1028.706</v>
      </c>
      <c r="G51" s="35">
        <f>IF(F51="","",(C51/F51)/(INDEX($C:$C,MATCH("2019-12",$B:$B,0))/INDEX($F:$F,MATCH("2019-12",$B:$B,0)))*100)</f>
        <v/>
      </c>
      <c r="H51" s="36">
        <f>IF(F51="","",(D51/F51)/(INDEX($C:$C,MATCH("2019-12",$B:$B,0))/INDEX($F:$F,MATCH("2019-12",$B:$B,0)))*100)</f>
        <v/>
      </c>
      <c r="I51" s="22" t="inlineStr">
        <is>
          <t>Fernandez</t>
        </is>
      </c>
    </row>
    <row r="52">
      <c r="B52" s="16" t="inlineStr">
        <is>
          <t>2022-11</t>
        </is>
      </c>
      <c r="C52" s="33" t="n">
        <v>167.255</v>
      </c>
      <c r="D52" s="33" t="n">
        <v>314</v>
      </c>
      <c r="E52" s="34">
        <f>D52/C52-1</f>
        <v/>
      </c>
      <c r="F52" s="33" t="n">
        <v>1079.2787</v>
      </c>
      <c r="G52" s="35">
        <f>IF(F52="","",(C52/F52)/(INDEX($C:$C,MATCH("2019-12",$B:$B,0))/INDEX($F:$F,MATCH("2019-12",$B:$B,0)))*100)</f>
        <v/>
      </c>
      <c r="H52" s="36">
        <f>IF(F52="","",(D52/F52)/(INDEX($C:$C,MATCH("2019-12",$B:$B,0))/INDEX($F:$F,MATCH("2019-12",$B:$B,0)))*100)</f>
        <v/>
      </c>
      <c r="I52" s="22" t="inlineStr">
        <is>
          <t>Fernandez</t>
        </is>
      </c>
    </row>
    <row r="53">
      <c r="B53" s="16" t="inlineStr">
        <is>
          <t>2022-12</t>
        </is>
      </c>
      <c r="C53" s="33" t="n">
        <v>177.1283</v>
      </c>
      <c r="D53" s="33" t="n">
        <v>346</v>
      </c>
      <c r="E53" s="34">
        <f>D53/C53-1</f>
        <v/>
      </c>
      <c r="F53" s="33" t="n">
        <v>1134.5875</v>
      </c>
      <c r="G53" s="35">
        <f>IF(F53="","",(C53/F53)/(INDEX($C:$C,MATCH("2019-12",$B:$B,0))/INDEX($F:$F,MATCH("2019-12",$B:$B,0)))*100)</f>
        <v/>
      </c>
      <c r="H53" s="36">
        <f>IF(F53="","",(D53/F53)/(INDEX($C:$C,MATCH("2019-12",$B:$B,0))/INDEX($F:$F,MATCH("2019-12",$B:$B,0)))*100)</f>
        <v/>
      </c>
      <c r="I53" s="22" t="inlineStr">
        <is>
          <t>Fernandez</t>
        </is>
      </c>
    </row>
    <row r="54">
      <c r="B54" s="16" t="inlineStr">
        <is>
          <t>2023-01</t>
        </is>
      </c>
      <c r="C54" s="33" t="n">
        <v>186.875</v>
      </c>
      <c r="D54" s="33" t="n">
        <v>383</v>
      </c>
      <c r="E54" s="34">
        <f>D54/C54-1</f>
        <v/>
      </c>
      <c r="F54" s="33" t="n">
        <v>1202.979</v>
      </c>
      <c r="G54" s="35">
        <f>IF(F54="","",(C54/F54)/(INDEX($C:$C,MATCH("2019-12",$B:$B,0))/INDEX($F:$F,MATCH("2019-12",$B:$B,0)))*100)</f>
        <v/>
      </c>
      <c r="H54" s="36">
        <f>IF(F54="","",(D54/F54)/(INDEX($C:$C,MATCH("2019-12",$B:$B,0))/INDEX($F:$F,MATCH("2019-12",$B:$B,0)))*100)</f>
        <v/>
      </c>
      <c r="I54" s="22" t="inlineStr">
        <is>
          <t>Fernandez</t>
        </is>
      </c>
    </row>
    <row r="55">
      <c r="B55" s="16" t="inlineStr">
        <is>
          <t>2023-02</t>
        </is>
      </c>
      <c r="C55" s="33" t="n">
        <v>197.1533</v>
      </c>
      <c r="D55" s="33" t="n">
        <v>377</v>
      </c>
      <c r="E55" s="34">
        <f>D55/C55-1</f>
        <v/>
      </c>
      <c r="F55" s="33" t="n">
        <v>1282.7091</v>
      </c>
      <c r="G55" s="35">
        <f>IF(F55="","",(C55/F55)/(INDEX($C:$C,MATCH("2019-12",$B:$B,0))/INDEX($F:$F,MATCH("2019-12",$B:$B,0)))*100)</f>
        <v/>
      </c>
      <c r="H55" s="36">
        <f>IF(F55="","",(D55/F55)/(INDEX($C:$C,MATCH("2019-12",$B:$B,0))/INDEX($F:$F,MATCH("2019-12",$B:$B,0)))*100)</f>
        <v/>
      </c>
      <c r="I55" s="22" t="inlineStr">
        <is>
          <t>Fernandez</t>
        </is>
      </c>
    </row>
    <row r="56">
      <c r="B56" s="16" t="inlineStr">
        <is>
          <t>2023-03</t>
        </is>
      </c>
      <c r="C56" s="33" t="n">
        <v>208.9883</v>
      </c>
      <c r="D56" s="33" t="n">
        <v>393</v>
      </c>
      <c r="E56" s="34">
        <f>D56/C56-1</f>
        <v/>
      </c>
      <c r="F56" s="33" t="n">
        <v>1381.1601</v>
      </c>
      <c r="G56" s="35">
        <f>IF(F56="","",(C56/F56)/(INDEX($C:$C,MATCH("2019-12",$B:$B,0))/INDEX($F:$F,MATCH("2019-12",$B:$B,0)))*100)</f>
        <v/>
      </c>
      <c r="H56" s="36">
        <f>IF(F56="","",(D56/F56)/(INDEX($C:$C,MATCH("2019-12",$B:$B,0))/INDEX($F:$F,MATCH("2019-12",$B:$B,0)))*100)</f>
        <v/>
      </c>
      <c r="I56" s="22" t="inlineStr">
        <is>
          <t>Fernandez</t>
        </is>
      </c>
    </row>
    <row r="57">
      <c r="B57" s="16" t="inlineStr">
        <is>
          <t>2023-04</t>
        </is>
      </c>
      <c r="C57" s="33" t="n">
        <v>222.575</v>
      </c>
      <c r="D57" s="33" t="n">
        <v>468</v>
      </c>
      <c r="E57" s="34">
        <f>D57/C57-1</f>
        <v/>
      </c>
      <c r="F57" s="33" t="n">
        <v>1497.2147</v>
      </c>
      <c r="G57" s="35">
        <f>IF(F57="","",(C57/F57)/(INDEX($C:$C,MATCH("2019-12",$B:$B,0))/INDEX($F:$F,MATCH("2019-12",$B:$B,0)))*100)</f>
        <v/>
      </c>
      <c r="H57" s="36">
        <f>IF(F57="","",(D57/F57)/(INDEX($C:$C,MATCH("2019-12",$B:$B,0))/INDEX($F:$F,MATCH("2019-12",$B:$B,0)))*100)</f>
        <v/>
      </c>
      <c r="I57" s="22" t="inlineStr">
        <is>
          <t>Fernandez</t>
        </is>
      </c>
    </row>
    <row r="58">
      <c r="B58" s="16" t="inlineStr">
        <is>
          <t>2023-05</t>
        </is>
      </c>
      <c r="C58" s="33" t="n">
        <v>239.325</v>
      </c>
      <c r="D58" s="33" t="n">
        <v>493</v>
      </c>
      <c r="E58" s="34">
        <f>D58/C58-1</f>
        <v/>
      </c>
      <c r="F58" s="33" t="n">
        <v>1613.5895</v>
      </c>
      <c r="G58" s="35">
        <f>IF(F58="","",(C58/F58)/(INDEX($C:$C,MATCH("2019-12",$B:$B,0))/INDEX($F:$F,MATCH("2019-12",$B:$B,0)))*100)</f>
        <v/>
      </c>
      <c r="H58" s="36">
        <f>IF(F58="","",(D58/F58)/(INDEX($C:$C,MATCH("2019-12",$B:$B,0))/INDEX($F:$F,MATCH("2019-12",$B:$B,0)))*100)</f>
        <v/>
      </c>
      <c r="I58" s="22" t="inlineStr">
        <is>
          <t>Fernandez</t>
        </is>
      </c>
    </row>
    <row r="59">
      <c r="B59" s="16" t="inlineStr">
        <is>
          <t>2023-06</t>
        </is>
      </c>
      <c r="C59" s="33" t="n">
        <v>256.675</v>
      </c>
      <c r="D59" s="33" t="n">
        <v>493</v>
      </c>
      <c r="E59" s="34">
        <f>D59/C59-1</f>
        <v/>
      </c>
      <c r="F59" s="33" t="n">
        <v>1709.6115</v>
      </c>
      <c r="G59" s="35">
        <f>IF(F59="","",(C59/F59)/(INDEX($C:$C,MATCH("2019-12",$B:$B,0))/INDEX($F:$F,MATCH("2019-12",$B:$B,0)))*100)</f>
        <v/>
      </c>
      <c r="H59" s="36">
        <f>IF(F59="","",(D59/F59)/(INDEX($C:$C,MATCH("2019-12",$B:$B,0))/INDEX($F:$F,MATCH("2019-12",$B:$B,0)))*100)</f>
        <v/>
      </c>
      <c r="I59" s="22" t="inlineStr">
        <is>
          <t>Fernandez</t>
        </is>
      </c>
    </row>
    <row r="60">
      <c r="B60" s="16" t="inlineStr">
        <is>
          <t>2023-07</t>
        </is>
      </c>
      <c r="C60" s="33" t="n">
        <v>275.2833</v>
      </c>
      <c r="D60" s="33" t="n">
        <v>550</v>
      </c>
      <c r="E60" s="34">
        <f>D60/C60-1</f>
        <v/>
      </c>
      <c r="F60" s="33" t="n">
        <v>1818.0838</v>
      </c>
      <c r="G60" s="35">
        <f>IF(F60="","",(C60/F60)/(INDEX($C:$C,MATCH("2019-12",$B:$B,0))/INDEX($F:$F,MATCH("2019-12",$B:$B,0)))*100)</f>
        <v/>
      </c>
      <c r="H60" s="36">
        <f>IF(F60="","",(D60/F60)/(INDEX($C:$C,MATCH("2019-12",$B:$B,0))/INDEX($F:$F,MATCH("2019-12",$B:$B,0)))*100)</f>
        <v/>
      </c>
      <c r="I60" s="22" t="inlineStr">
        <is>
          <t>Fernandez</t>
        </is>
      </c>
    </row>
    <row r="61">
      <c r="B61" s="16" t="inlineStr">
        <is>
          <t>2023-08</t>
        </is>
      </c>
      <c r="C61" s="33" t="n">
        <v>350.0167</v>
      </c>
      <c r="D61" s="33" t="n">
        <v>735</v>
      </c>
      <c r="E61" s="34">
        <f>D61/C61-1</f>
        <v/>
      </c>
      <c r="F61" s="33" t="n">
        <v>2044.2832</v>
      </c>
      <c r="G61" s="35">
        <f>IF(F61="","",(C61/F61)/(INDEX($C:$C,MATCH("2019-12",$B:$B,0))/INDEX($F:$F,MATCH("2019-12",$B:$B,0)))*100)</f>
        <v/>
      </c>
      <c r="H61" s="36">
        <f>IF(F61="","",(D61/F61)/(INDEX($C:$C,MATCH("2019-12",$B:$B,0))/INDEX($F:$F,MATCH("2019-12",$B:$B,0)))*100)</f>
        <v/>
      </c>
      <c r="I61" s="22" t="inlineStr">
        <is>
          <t>Fernandez</t>
        </is>
      </c>
    </row>
    <row r="62">
      <c r="B62" s="16" t="inlineStr">
        <is>
          <t>2023-09</t>
        </is>
      </c>
      <c r="C62" s="33" t="n">
        <v>350.0083</v>
      </c>
      <c r="D62" s="33" t="n">
        <v>800</v>
      </c>
      <c r="E62" s="34">
        <f>D62/C62-1</f>
        <v/>
      </c>
      <c r="F62" s="33" t="n">
        <v>2304.9242</v>
      </c>
      <c r="G62" s="35">
        <f>IF(F62="","",(C62/F62)/(INDEX($C:$C,MATCH("2019-12",$B:$B,0))/INDEX($F:$F,MATCH("2019-12",$B:$B,0)))*100)</f>
        <v/>
      </c>
      <c r="H62" s="36">
        <f>IF(F62="","",(D62/F62)/(INDEX($C:$C,MATCH("2019-12",$B:$B,0))/INDEX($F:$F,MATCH("2019-12",$B:$B,0)))*100)</f>
        <v/>
      </c>
      <c r="I62" s="22" t="inlineStr">
        <is>
          <t>Fernandez</t>
        </is>
      </c>
    </row>
    <row r="63">
      <c r="B63" s="16" t="inlineStr">
        <is>
          <t>2023-10</t>
        </is>
      </c>
      <c r="C63" s="33" t="n">
        <v>350.0083</v>
      </c>
      <c r="D63" s="33" t="n">
        <v>920</v>
      </c>
      <c r="E63" s="34">
        <f>D63/C63-1</f>
        <v/>
      </c>
      <c r="F63" s="33" t="n">
        <v>2496.273</v>
      </c>
      <c r="G63" s="35">
        <f>IF(F63="","",(C63/F63)/(INDEX($C:$C,MATCH("2019-12",$B:$B,0))/INDEX($F:$F,MATCH("2019-12",$B:$B,0)))*100)</f>
        <v/>
      </c>
      <c r="H63" s="36">
        <f>IF(F63="","",(D63/F63)/(INDEX($C:$C,MATCH("2019-12",$B:$B,0))/INDEX($F:$F,MATCH("2019-12",$B:$B,0)))*100)</f>
        <v/>
      </c>
      <c r="I63" s="22" t="inlineStr">
        <is>
          <t>Fernandez</t>
        </is>
      </c>
    </row>
    <row r="64">
      <c r="B64" s="16" t="inlineStr">
        <is>
          <t>2023-11</t>
        </is>
      </c>
      <c r="C64" s="33" t="n">
        <v>360.525</v>
      </c>
      <c r="D64" s="33" t="n">
        <v>905</v>
      </c>
      <c r="E64" s="34">
        <f>D64/C64-1</f>
        <v/>
      </c>
      <c r="F64" s="33" t="n">
        <v>2816.0628</v>
      </c>
      <c r="G64" s="35">
        <f>IF(F64="","",(C64/F64)/(INDEX($C:$C,MATCH("2019-12",$B:$B,0))/INDEX($F:$F,MATCH("2019-12",$B:$B,0)))*100)</f>
        <v/>
      </c>
      <c r="H64" s="36">
        <f>IF(F64="","",(D64/F64)/(INDEX($C:$C,MATCH("2019-12",$B:$B,0))/INDEX($F:$F,MATCH("2019-12",$B:$B,0)))*100)</f>
        <v/>
      </c>
      <c r="I64" s="22" t="inlineStr">
        <is>
          <t>Fernandez</t>
        </is>
      </c>
    </row>
    <row r="65">
      <c r="B65" s="16" t="inlineStr">
        <is>
          <t>2023-12</t>
        </is>
      </c>
      <c r="C65" s="33" t="n">
        <v>808.4833</v>
      </c>
      <c r="D65" s="33" t="n">
        <v>1025</v>
      </c>
      <c r="E65" s="34">
        <f>D65/C65-1</f>
        <v/>
      </c>
      <c r="F65" s="33" t="n">
        <v>3533.1922</v>
      </c>
      <c r="G65" s="35">
        <f>IF(F65="","",(C65/F65)/(INDEX($C:$C,MATCH("2019-12",$B:$B,0))/INDEX($F:$F,MATCH("2019-12",$B:$B,0)))*100)</f>
        <v/>
      </c>
      <c r="H65" s="36">
        <f>IF(F65="","",(D65/F65)/(INDEX($C:$C,MATCH("2019-12",$B:$B,0))/INDEX($F:$F,MATCH("2019-12",$B:$B,0)))*100)</f>
        <v/>
      </c>
      <c r="I65" s="23" t="inlineStr">
        <is>
          <t>Milei</t>
        </is>
      </c>
    </row>
    <row r="66">
      <c r="B66" s="16" t="inlineStr">
        <is>
          <t>2024-01</t>
        </is>
      </c>
      <c r="C66" s="33" t="n">
        <v>826.25</v>
      </c>
      <c r="D66" s="33" t="n">
        <v>1195</v>
      </c>
      <c r="E66" s="34">
        <f>D66/C66-1</f>
        <v/>
      </c>
      <c r="F66" s="33" t="n">
        <v>4261.5324</v>
      </c>
      <c r="G66" s="35">
        <f>IF(F66="","",(C66/F66)/(INDEX($C:$C,MATCH("2019-12",$B:$B,0))/INDEX($F:$F,MATCH("2019-12",$B:$B,0)))*100)</f>
        <v/>
      </c>
      <c r="H66" s="36">
        <f>IF(F66="","",(D66/F66)/(INDEX($C:$C,MATCH("2019-12",$B:$B,0))/INDEX($F:$F,MATCH("2019-12",$B:$B,0)))*100)</f>
        <v/>
      </c>
      <c r="I66" s="23" t="inlineStr">
        <is>
          <t>Milei</t>
        </is>
      </c>
    </row>
    <row r="67">
      <c r="B67" s="16" t="inlineStr">
        <is>
          <t>2024-02</t>
        </is>
      </c>
      <c r="C67" s="33" t="n">
        <v>842.25</v>
      </c>
      <c r="D67" s="33" t="n">
        <v>1045</v>
      </c>
      <c r="E67" s="34">
        <f>D67/C67-1</f>
        <v/>
      </c>
      <c r="F67" s="33" t="n">
        <v>4825.7881</v>
      </c>
      <c r="G67" s="35">
        <f>IF(F67="","",(C67/F67)/(INDEX($C:$C,MATCH("2019-12",$B:$B,0))/INDEX($F:$F,MATCH("2019-12",$B:$B,0)))*100)</f>
        <v/>
      </c>
      <c r="H67" s="36">
        <f>IF(F67="","",(D67/F67)/(INDEX($C:$C,MATCH("2019-12",$B:$B,0))/INDEX($F:$F,MATCH("2019-12",$B:$B,0)))*100)</f>
        <v/>
      </c>
      <c r="I67" s="23" t="inlineStr">
        <is>
          <t>Milei</t>
        </is>
      </c>
    </row>
    <row r="68">
      <c r="B68" s="16" t="inlineStr">
        <is>
          <t>2024-03</t>
        </is>
      </c>
      <c r="C68" s="33" t="n">
        <v>857.4167</v>
      </c>
      <c r="D68" s="33" t="n">
        <v>1010</v>
      </c>
      <c r="E68" s="34">
        <f>D68/C68-1</f>
        <v/>
      </c>
      <c r="F68" s="33" t="n">
        <v>5357.0929</v>
      </c>
      <c r="G68" s="35">
        <f>IF(F68="","",(C68/F68)/(INDEX($C:$C,MATCH("2019-12",$B:$B,0))/INDEX($F:$F,MATCH("2019-12",$B:$B,0)))*100)</f>
        <v/>
      </c>
      <c r="H68" s="36">
        <f>IF(F68="","",(D68/F68)/(INDEX($C:$C,MATCH("2019-12",$B:$B,0))/INDEX($F:$F,MATCH("2019-12",$B:$B,0)))*100)</f>
        <v/>
      </c>
      <c r="I68" s="23" t="inlineStr">
        <is>
          <t>Milei</t>
        </is>
      </c>
    </row>
    <row r="69">
      <c r="B69" s="16" t="inlineStr">
        <is>
          <t>2024-04</t>
        </is>
      </c>
      <c r="C69" s="33" t="n">
        <v>876.75</v>
      </c>
      <c r="D69" s="33" t="n">
        <v>1040</v>
      </c>
      <c r="E69" s="34">
        <f>D69/C69-1</f>
        <v/>
      </c>
      <c r="F69" s="33" t="n">
        <v>5830.2271</v>
      </c>
      <c r="G69" s="35">
        <f>IF(F69="","",(C69/F69)/(INDEX($C:$C,MATCH("2019-12",$B:$B,0))/INDEX($F:$F,MATCH("2019-12",$B:$B,0)))*100)</f>
        <v/>
      </c>
      <c r="H69" s="36">
        <f>IF(F69="","",(D69/F69)/(INDEX($C:$C,MATCH("2019-12",$B:$B,0))/INDEX($F:$F,MATCH("2019-12",$B:$B,0)))*100)</f>
        <v/>
      </c>
      <c r="I69" s="23" t="inlineStr">
        <is>
          <t>Milei</t>
        </is>
      </c>
    </row>
    <row r="70">
      <c r="B70" s="16" t="inlineStr">
        <is>
          <t>2024-05</t>
        </is>
      </c>
      <c r="C70" s="33" t="n">
        <v>895.25</v>
      </c>
      <c r="D70" s="33" t="n">
        <v>1225</v>
      </c>
      <c r="E70" s="34">
        <f>D70/C70-1</f>
        <v/>
      </c>
      <c r="F70" s="33" t="n">
        <v>6073.7</v>
      </c>
      <c r="G70" s="35">
        <f>IF(F70="","",(C70/F70)/(INDEX($C:$C,MATCH("2019-12",$B:$B,0))/INDEX($F:$F,MATCH("2019-12",$B:$B,0)))*100)</f>
        <v/>
      </c>
      <c r="H70" s="36">
        <f>IF(F70="","",(D70/F70)/(INDEX($C:$C,MATCH("2019-12",$B:$B,0))/INDEX($F:$F,MATCH("2019-12",$B:$B,0)))*100)</f>
        <v/>
      </c>
      <c r="I70" s="23" t="inlineStr">
        <is>
          <t>Milei</t>
        </is>
      </c>
    </row>
    <row r="71">
      <c r="B71" s="16" t="inlineStr">
        <is>
          <t>2024-06</t>
        </is>
      </c>
      <c r="C71" s="33" t="n">
        <v>911.75</v>
      </c>
      <c r="D71" s="33" t="n">
        <v>1365</v>
      </c>
      <c r="E71" s="34">
        <f>D71/C71-1</f>
        <v/>
      </c>
      <c r="F71" s="33" t="n">
        <v>6351.7145</v>
      </c>
      <c r="G71" s="35">
        <f>IF(F71="","",(C71/F71)/(INDEX($C:$C,MATCH("2019-12",$B:$B,0))/INDEX($F:$F,MATCH("2019-12",$B:$B,0)))*100)</f>
        <v/>
      </c>
      <c r="H71" s="36">
        <f>IF(F71="","",(D71/F71)/(INDEX($C:$C,MATCH("2019-12",$B:$B,0))/INDEX($F:$F,MATCH("2019-12",$B:$B,0)))*100)</f>
        <v/>
      </c>
      <c r="I71" s="23" t="inlineStr">
        <is>
          <t>Milei</t>
        </is>
      </c>
    </row>
    <row r="72">
      <c r="B72" s="16" t="inlineStr">
        <is>
          <t>2024-07</t>
        </is>
      </c>
      <c r="C72" s="33" t="n">
        <v>932.75</v>
      </c>
      <c r="D72" s="33" t="n">
        <v>1370</v>
      </c>
      <c r="E72" s="34">
        <f>D72/C72-1</f>
        <v/>
      </c>
      <c r="F72" s="33" t="n">
        <v>6607.7479</v>
      </c>
      <c r="G72" s="35">
        <f>IF(F72="","",(C72/F72)/(INDEX($C:$C,MATCH("2019-12",$B:$B,0))/INDEX($F:$F,MATCH("2019-12",$B:$B,0)))*100)</f>
        <v/>
      </c>
      <c r="H72" s="36">
        <f>IF(F72="","",(D72/F72)/(INDEX($C:$C,MATCH("2019-12",$B:$B,0))/INDEX($F:$F,MATCH("2019-12",$B:$B,0)))*100)</f>
        <v/>
      </c>
      <c r="I72" s="23" t="inlineStr">
        <is>
          <t>Milei</t>
        </is>
      </c>
    </row>
    <row r="73">
      <c r="B73" s="16" t="inlineStr">
        <is>
          <t>2024-08</t>
        </is>
      </c>
      <c r="C73" s="33" t="n">
        <v>952.8333</v>
      </c>
      <c r="D73" s="33" t="n">
        <v>1305</v>
      </c>
      <c r="E73" s="34">
        <f>D73/C73-1</f>
        <v/>
      </c>
      <c r="F73" s="33" t="n">
        <v>6883.4412</v>
      </c>
      <c r="G73" s="35">
        <f>IF(F73="","",(C73/F73)/(INDEX($C:$C,MATCH("2019-12",$B:$B,0))/INDEX($F:$F,MATCH("2019-12",$B:$B,0)))*100)</f>
        <v/>
      </c>
      <c r="H73" s="36">
        <f>IF(F73="","",(D73/F73)/(INDEX($C:$C,MATCH("2019-12",$B:$B,0))/INDEX($F:$F,MATCH("2019-12",$B:$B,0)))*100)</f>
        <v/>
      </c>
      <c r="I73" s="23" t="inlineStr">
        <is>
          <t>Milei</t>
        </is>
      </c>
    </row>
    <row r="74">
      <c r="B74" s="16" t="inlineStr">
        <is>
          <t>2024-09</t>
        </is>
      </c>
      <c r="C74" s="33" t="n">
        <v>970.9167</v>
      </c>
      <c r="D74" s="33" t="n">
        <v>1235</v>
      </c>
      <c r="E74" s="34">
        <f>D74/C74-1</f>
        <v/>
      </c>
      <c r="F74" s="33" t="n">
        <v>7122.2421</v>
      </c>
      <c r="G74" s="35">
        <f>IF(F74="","",(C74/F74)/(INDEX($C:$C,MATCH("2019-12",$B:$B,0))/INDEX($F:$F,MATCH("2019-12",$B:$B,0)))*100)</f>
        <v/>
      </c>
      <c r="H74" s="36">
        <f>IF(F74="","",(D74/F74)/(INDEX($C:$C,MATCH("2019-12",$B:$B,0))/INDEX($F:$F,MATCH("2019-12",$B:$B,0)))*100)</f>
        <v/>
      </c>
      <c r="I74" s="23" t="inlineStr">
        <is>
          <t>Milei</t>
        </is>
      </c>
    </row>
    <row r="75">
      <c r="B75" s="16" t="inlineStr">
        <is>
          <t>2024-10</t>
        </is>
      </c>
      <c r="C75" s="33" t="n">
        <v>990.75</v>
      </c>
      <c r="D75" s="33" t="n">
        <v>1180</v>
      </c>
      <c r="E75" s="34">
        <f>D75/C75-1</f>
        <v/>
      </c>
      <c r="F75" s="33" t="n">
        <v>7313.9542</v>
      </c>
      <c r="G75" s="35">
        <f>IF(F75="","",(C75/F75)/(INDEX($C:$C,MATCH("2019-12",$B:$B,0))/INDEX($F:$F,MATCH("2019-12",$B:$B,0)))*100)</f>
        <v/>
      </c>
      <c r="H75" s="36">
        <f>IF(F75="","",(D75/F75)/(INDEX($C:$C,MATCH("2019-12",$B:$B,0))/INDEX($F:$F,MATCH("2019-12",$B:$B,0)))*100)</f>
        <v/>
      </c>
      <c r="I75" s="23" t="inlineStr">
        <is>
          <t>Milei</t>
        </is>
      </c>
    </row>
    <row r="76">
      <c r="B76" s="16" t="inlineStr">
        <is>
          <t>2024-11</t>
        </is>
      </c>
      <c r="C76" s="33" t="n">
        <v>1011.75</v>
      </c>
      <c r="D76" s="33" t="n">
        <v>1120</v>
      </c>
      <c r="E76" s="34">
        <f>D76/C76-1</f>
        <v/>
      </c>
      <c r="F76" s="33" t="n">
        <v>7491.4314</v>
      </c>
      <c r="G76" s="35">
        <f>IF(F76="","",(C76/F76)/(INDEX($C:$C,MATCH("2019-12",$B:$B,0))/INDEX($F:$F,MATCH("2019-12",$B:$B,0)))*100)</f>
        <v/>
      </c>
      <c r="H76" s="36">
        <f>IF(F76="","",(D76/F76)/(INDEX($C:$C,MATCH("2019-12",$B:$B,0))/INDEX($F:$F,MATCH("2019-12",$B:$B,0)))*100)</f>
        <v/>
      </c>
      <c r="I76" s="23" t="inlineStr">
        <is>
          <t>Milei</t>
        </is>
      </c>
    </row>
    <row r="77">
      <c r="B77" s="16" t="inlineStr">
        <is>
          <t>2024-12</t>
        </is>
      </c>
      <c r="C77" s="33" t="n">
        <v>1032.5</v>
      </c>
      <c r="D77" s="33" t="n">
        <v>1230</v>
      </c>
      <c r="E77" s="34">
        <f>D77/C77-1</f>
        <v/>
      </c>
      <c r="F77" s="33" t="n">
        <v>7694.0075</v>
      </c>
      <c r="G77" s="35">
        <f>IF(F77="","",(C77/F77)/(INDEX($C:$C,MATCH("2019-12",$B:$B,0))/INDEX($F:$F,MATCH("2019-12",$B:$B,0)))*100)</f>
        <v/>
      </c>
      <c r="H77" s="36">
        <f>IF(F77="","",(D77/F77)/(INDEX($C:$C,MATCH("2019-12",$B:$B,0))/INDEX($F:$F,MATCH("2019-12",$B:$B,0)))*100)</f>
        <v/>
      </c>
      <c r="I77" s="23" t="inlineStr">
        <is>
          <t>Milei</t>
        </is>
      </c>
    </row>
    <row r="78">
      <c r="B78" s="16" t="inlineStr">
        <is>
          <t>2025-01</t>
        </is>
      </c>
      <c r="C78" s="33" t="n">
        <v>1053.5</v>
      </c>
      <c r="D78" s="33" t="n">
        <v>1220</v>
      </c>
      <c r="E78" s="34">
        <f>D78/C78-1</f>
        <v/>
      </c>
      <c r="F78" s="33" t="n">
        <v>7864.1257</v>
      </c>
      <c r="G78" s="35">
        <f>IF(F78="","",(C78/F78)/(INDEX($C:$C,MATCH("2019-12",$B:$B,0))/INDEX($F:$F,MATCH("2019-12",$B:$B,0)))*100)</f>
        <v/>
      </c>
      <c r="H78" s="36">
        <f>IF(F78="","",(D78/F78)/(INDEX($C:$C,MATCH("2019-12",$B:$B,0))/INDEX($F:$F,MATCH("2019-12",$B:$B,0)))*100)</f>
        <v/>
      </c>
      <c r="I78" s="23" t="inlineStr">
        <is>
          <t>Milei</t>
        </is>
      </c>
    </row>
    <row r="79">
      <c r="B79" s="16" t="inlineStr">
        <is>
          <t>2025-02</t>
        </is>
      </c>
      <c r="C79" s="33" t="n">
        <v>1064.375</v>
      </c>
      <c r="D79" s="33" t="n">
        <v>1225</v>
      </c>
      <c r="E79" s="34">
        <f>D79/C79-1</f>
        <v/>
      </c>
      <c r="F79" s="33" t="n">
        <v>8052.9927</v>
      </c>
      <c r="G79" s="35">
        <f>IF(F79="","",(C79/F79)/(INDEX($C:$C,MATCH("2019-12",$B:$B,0))/INDEX($F:$F,MATCH("2019-12",$B:$B,0)))*100)</f>
        <v/>
      </c>
      <c r="H79" s="36">
        <f>IF(F79="","",(D79/F79)/(INDEX($C:$C,MATCH("2019-12",$B:$B,0))/INDEX($F:$F,MATCH("2019-12",$B:$B,0)))*100)</f>
        <v/>
      </c>
      <c r="I79" s="23" t="inlineStr">
        <is>
          <t>Milei</t>
        </is>
      </c>
    </row>
    <row r="80">
      <c r="B80" s="16" t="inlineStr">
        <is>
          <t>2025-03</t>
        </is>
      </c>
      <c r="C80" s="33" t="n">
        <v>1073.875</v>
      </c>
      <c r="D80" s="33" t="n">
        <v>1300</v>
      </c>
      <c r="E80" s="34">
        <f>D80/C80-1</f>
        <v/>
      </c>
      <c r="F80" s="33" t="n">
        <v>8353.3158</v>
      </c>
      <c r="G80" s="35">
        <f>IF(F80="","",(C80/F80)/(INDEX($C:$C,MATCH("2019-12",$B:$B,0))/INDEX($F:$F,MATCH("2019-12",$B:$B,0)))*100)</f>
        <v/>
      </c>
      <c r="H80" s="36">
        <f>IF(F80="","",(D80/F80)/(INDEX($C:$C,MATCH("2019-12",$B:$B,0))/INDEX($F:$F,MATCH("2019-12",$B:$B,0)))*100)</f>
        <v/>
      </c>
      <c r="I80" s="23" t="inlineStr">
        <is>
          <t>Milei</t>
        </is>
      </c>
    </row>
    <row r="81">
      <c r="B81" s="16" t="inlineStr">
        <is>
          <t>2025-04</t>
        </is>
      </c>
      <c r="C81" s="33" t="n">
        <v>1172</v>
      </c>
      <c r="D81" s="33" t="n">
        <v>1185</v>
      </c>
      <c r="E81" s="34">
        <f>D81/C81-1</f>
        <v/>
      </c>
      <c r="F81" s="33" t="n">
        <v>8585.6078</v>
      </c>
      <c r="G81" s="35">
        <f>IF(F81="","",(C81/F81)/(INDEX($C:$C,MATCH("2019-12",$B:$B,0))/INDEX($F:$F,MATCH("2019-12",$B:$B,0)))*100)</f>
        <v/>
      </c>
      <c r="H81" s="36">
        <f>IF(F81="","",(D81/F81)/(INDEX($C:$C,MATCH("2019-12",$B:$B,0))/INDEX($F:$F,MATCH("2019-12",$B:$B,0)))*100)</f>
        <v/>
      </c>
      <c r="I81" s="23" t="inlineStr">
        <is>
          <t>Milei</t>
        </is>
      </c>
    </row>
    <row r="82">
      <c r="B82" s="16" t="inlineStr">
        <is>
          <t>2025-05</t>
        </is>
      </c>
      <c r="C82" s="33" t="n">
        <v>1195.3333</v>
      </c>
      <c r="D82" s="33" t="n">
        <v>1180</v>
      </c>
      <c r="E82" s="34">
        <f>D82/C82-1</f>
        <v/>
      </c>
      <c r="F82" s="33" t="n">
        <v>8714.4871</v>
      </c>
      <c r="G82" s="35">
        <f>IF(F82="","",(C82/F82)/(INDEX($C:$C,MATCH("2019-12",$B:$B,0))/INDEX($F:$F,MATCH("2019-12",$B:$B,0)))*100)</f>
        <v/>
      </c>
      <c r="H82" s="36">
        <f>IF(F82="","",(D82/F82)/(INDEX($C:$C,MATCH("2019-12",$B:$B,0))/INDEX($F:$F,MATCH("2019-12",$B:$B,0)))*100)</f>
        <v/>
      </c>
      <c r="I82" s="23" t="inlineStr">
        <is>
          <t>Milei</t>
        </is>
      </c>
    </row>
    <row r="83">
      <c r="B83" s="16" t="inlineStr">
        <is>
          <t>2025-06</t>
        </is>
      </c>
      <c r="C83" s="33" t="n">
        <v>1194.0833</v>
      </c>
      <c r="D83" s="33" t="n">
        <v>1215</v>
      </c>
      <c r="E83" s="34">
        <f>D83/C83-1</f>
        <v/>
      </c>
      <c r="F83" s="33" t="n">
        <v>8855.5681</v>
      </c>
      <c r="G83" s="35">
        <f>IF(F83="","",(C83/F83)/(INDEX($C:$C,MATCH("2019-12",$B:$B,0))/INDEX($F:$F,MATCH("2019-12",$B:$B,0)))*100)</f>
        <v/>
      </c>
      <c r="H83" s="36">
        <f>IF(F83="","",(D83/F83)/(INDEX($C:$C,MATCH("2019-12",$B:$B,0))/INDEX($F:$F,MATCH("2019-12",$B:$B,0)))*100)</f>
        <v/>
      </c>
      <c r="I83" s="23" t="inlineStr">
        <is>
          <t>Milei</t>
        </is>
      </c>
    </row>
    <row r="84">
      <c r="B84" s="16" t="inlineStr">
        <is>
          <t>2025-07</t>
        </is>
      </c>
      <c r="C84" s="33" t="n">
        <v>1351.8333</v>
      </c>
      <c r="D84" s="33" t="n">
        <v>1335</v>
      </c>
      <c r="E84" s="34">
        <f>D84/C84-1</f>
        <v/>
      </c>
      <c r="F84" s="33" t="n">
        <v>9023.973</v>
      </c>
      <c r="G84" s="35">
        <f>IF(F84="","",(C84/F84)/(INDEX($C:$C,MATCH("2019-12",$B:$B,0))/INDEX($F:$F,MATCH("2019-12",$B:$B,0)))*100)</f>
        <v/>
      </c>
      <c r="H84" s="36">
        <f>IF(F84="","",(D84/F84)/(INDEX($C:$C,MATCH("2019-12",$B:$B,0))/INDEX($F:$F,MATCH("2019-12",$B:$B,0)))*100)</f>
        <v/>
      </c>
      <c r="I84" s="23" t="inlineStr">
        <is>
          <t>Milei</t>
        </is>
      </c>
    </row>
    <row r="85">
      <c r="B85" s="16" t="inlineStr">
        <is>
          <t>2025-08</t>
        </is>
      </c>
      <c r="C85" s="33" t="n">
        <v>1323.8333</v>
      </c>
      <c r="D85" s="33" t="n">
        <v>1350</v>
      </c>
      <c r="E85" s="34">
        <f>D85/C85-1</f>
        <v/>
      </c>
      <c r="F85" s="33" t="n">
        <v>9193.2441</v>
      </c>
      <c r="G85" s="35">
        <f>IF(F85="","",(C85/F85)/(INDEX($C:$C,MATCH("2019-12",$B:$B,0))/INDEX($F:$F,MATCH("2019-12",$B:$B,0)))*100)</f>
        <v/>
      </c>
      <c r="H85" s="36">
        <f>IF(F85="","",(D85/F85)/(INDEX($C:$C,MATCH("2019-12",$B:$B,0))/INDEX($F:$F,MATCH("2019-12",$B:$B,0)))*100)</f>
        <v/>
      </c>
      <c r="I85" s="23" t="inlineStr">
        <is>
          <t>Milei</t>
        </is>
      </c>
    </row>
    <row r="86">
      <c r="B86" s="16" t="inlineStr">
        <is>
          <t>2025-09</t>
        </is>
      </c>
      <c r="C86" s="33" t="n">
        <v>1366.5833</v>
      </c>
      <c r="D86" s="33" t="n">
        <v>1445</v>
      </c>
      <c r="E86" s="34">
        <f>D86/C86-1</f>
        <v/>
      </c>
      <c r="F86" s="33" t="n">
        <v>9384.092199999999</v>
      </c>
      <c r="G86" s="35">
        <f>IF(F86="","",(C86/F86)/(INDEX($C:$C,MATCH("2019-12",$B:$B,0))/INDEX($F:$F,MATCH("2019-12",$B:$B,0)))*100)</f>
        <v/>
      </c>
      <c r="H86" s="36">
        <f>IF(F86="","",(D86/F86)/(INDEX($C:$C,MATCH("2019-12",$B:$B,0))/INDEX($F:$F,MATCH("2019-12",$B:$B,0)))*100)</f>
        <v/>
      </c>
      <c r="I86" s="23" t="inlineStr">
        <is>
          <t>Milei</t>
        </is>
      </c>
    </row>
    <row r="87">
      <c r="B87" s="16" t="inlineStr">
        <is>
          <t>2025-10</t>
        </is>
      </c>
      <c r="C87" s="33" t="n">
        <v>1443</v>
      </c>
      <c r="D87" s="33" t="n">
        <v>1445</v>
      </c>
      <c r="E87" s="34">
        <f>D87/C87-1</f>
        <v/>
      </c>
      <c r="F87" s="33" t="n">
        <v>9603.862300000001</v>
      </c>
      <c r="G87" s="35">
        <f>IF(F87="","",(C87/F87)/(INDEX($C:$C,MATCH("2019-12",$B:$B,0))/INDEX($F:$F,MATCH("2019-12",$B:$B,0)))*100)</f>
        <v/>
      </c>
      <c r="H87" s="36">
        <f>IF(F87="","",(D87/F87)/(INDEX($C:$C,MATCH("2019-12",$B:$B,0))/INDEX($F:$F,MATCH("2019-12",$B:$B,0)))*100)</f>
        <v/>
      </c>
      <c r="I87" s="23" t="inlineStr">
        <is>
          <t>Milei</t>
        </is>
      </c>
    </row>
    <row r="88">
      <c r="B88" s="16" t="inlineStr">
        <is>
          <t>2025-11</t>
        </is>
      </c>
      <c r="C88" s="33" t="n">
        <v>1450.75</v>
      </c>
      <c r="D88" s="33" t="n">
        <v>1435</v>
      </c>
      <c r="E88" s="34">
        <f>D88/C88-1</f>
        <v/>
      </c>
      <c r="F88" s="33" t="n">
        <v>9841.358099999999</v>
      </c>
      <c r="G88" s="35">
        <f>IF(F88="","",(C88/F88)/(INDEX($C:$C,MATCH("2019-12",$B:$B,0))/INDEX($F:$F,MATCH("2019-12",$B:$B,0)))*100)</f>
        <v/>
      </c>
      <c r="H88" s="36">
        <f>IF(F88="","",(D88/F88)/(INDEX($C:$C,MATCH("2019-12",$B:$B,0))/INDEX($F:$F,MATCH("2019-12",$B:$B,0)))*100)</f>
        <v/>
      </c>
      <c r="I88" s="23" t="inlineStr">
        <is>
          <t>Milei</t>
        </is>
      </c>
    </row>
    <row r="89">
      <c r="B89" s="16" t="inlineStr">
        <is>
          <t>2025-12</t>
        </is>
      </c>
      <c r="C89" s="33" t="n">
        <v>1459.4167</v>
      </c>
      <c r="D89" s="33" t="n">
        <v>1530</v>
      </c>
      <c r="E89" s="34">
        <f>D89/C89-1</f>
        <v/>
      </c>
      <c r="F89" s="33" t="n">
        <v>10121.3715</v>
      </c>
      <c r="G89" s="35">
        <f>IF(F89="","",(C89/F89)/(INDEX($C:$C,MATCH("2019-12",$B:$B,0))/INDEX($F:$F,MATCH("2019-12",$B:$B,0)))*100)</f>
        <v/>
      </c>
      <c r="H89" s="36">
        <f>IF(F89="","",(D89/F89)/(INDEX($C:$C,MATCH("2019-12",$B:$B,0))/INDEX($F:$F,MATCH("2019-12",$B:$B,0)))*100)</f>
        <v/>
      </c>
      <c r="I89" s="23" t="inlineStr">
        <is>
          <t>Milei</t>
        </is>
      </c>
    </row>
    <row r="90">
      <c r="B90" s="16" t="inlineStr">
        <is>
          <t>2026-01</t>
        </is>
      </c>
      <c r="C90" s="33" t="n">
        <v>1447.6657</v>
      </c>
      <c r="D90" s="33" t="n">
        <v>1470</v>
      </c>
      <c r="E90" s="34">
        <f>D90/C90-1</f>
        <v/>
      </c>
      <c r="F90" s="33" t="n">
        <v>10413.0309</v>
      </c>
      <c r="G90" s="35">
        <f>IF(F90="","",(C90/F90)/(INDEX($C:$C,MATCH("2019-12",$B:$B,0))/INDEX($F:$F,MATCH("2019-12",$B:$B,0)))*100)</f>
        <v/>
      </c>
      <c r="H90" s="36">
        <f>IF(F90="","",(D90/F90)/(INDEX($C:$C,MATCH("2019-12",$B:$B,0))/INDEX($F:$F,MATCH("2019-12",$B:$B,0)))*100)</f>
        <v/>
      </c>
      <c r="I90" s="23" t="inlineStr">
        <is>
          <t>Milei</t>
        </is>
      </c>
    </row>
    <row r="91">
      <c r="B91" s="16" t="inlineStr">
        <is>
          <t>2026-02</t>
        </is>
      </c>
      <c r="C91" s="33" t="n">
        <v>1408.9662</v>
      </c>
      <c r="D91" s="33" t="n">
        <v>1425</v>
      </c>
      <c r="E91" s="34">
        <f>D91/C91-1</f>
        <v/>
      </c>
      <c r="F91" s="33" t="n">
        <v>10714.6255</v>
      </c>
      <c r="G91" s="35">
        <f>IF(F91="","",(C91/F91)/(INDEX($C:$C,MATCH("2019-12",$B:$B,0))/INDEX($F:$F,MATCH("2019-12",$B:$B,0)))*100)</f>
        <v/>
      </c>
      <c r="H91" s="36">
        <f>IF(F91="","",(D91/F91)/(INDEX($C:$C,MATCH("2019-12",$B:$B,0))/INDEX($F:$F,MATCH("2019-12",$B:$B,0)))*100)</f>
        <v/>
      </c>
      <c r="I91" s="23" t="inlineStr">
        <is>
          <t>Milei</t>
        </is>
      </c>
    </row>
    <row r="92">
      <c r="B92" s="16" t="inlineStr">
        <is>
          <t>2026-03</t>
        </is>
      </c>
      <c r="C92" s="33" t="n">
        <v>1382.7578</v>
      </c>
      <c r="D92" s="33" t="n">
        <v>1410</v>
      </c>
      <c r="E92" s="34">
        <f>D92/C92-1</f>
        <v/>
      </c>
      <c r="F92" s="33" t="n">
        <v>11077.0608</v>
      </c>
      <c r="G92" s="35">
        <f>IF(F92="","",(C92/F92)/(INDEX($C:$C,MATCH("2019-12",$B:$B,0))/INDEX($F:$F,MATCH("2019-12",$B:$B,0)))*100)</f>
        <v/>
      </c>
      <c r="H92" s="36">
        <f>IF(F92="","",(D92/F92)/(INDEX($C:$C,MATCH("2019-12",$B:$B,0))/INDEX($F:$F,MATCH("2019-12",$B:$B,0)))*100)</f>
        <v/>
      </c>
      <c r="I92" s="23" t="inlineStr">
        <is>
          <t>Milei</t>
        </is>
      </c>
    </row>
    <row r="93">
      <c r="B93" s="16" t="inlineStr">
        <is>
          <t>2026-04</t>
        </is>
      </c>
      <c r="C93" s="33" t="n">
        <v>1381.0954</v>
      </c>
      <c r="D93" s="33" t="n">
        <v>1415</v>
      </c>
      <c r="E93" s="34">
        <f>D93/C93-1</f>
        <v/>
      </c>
      <c r="F93" s="33" t="n">
        <v>11363.0904</v>
      </c>
      <c r="G93" s="35">
        <f>IF(F93="","",(C93/F93)/(INDEX($C:$C,MATCH("2019-12",$B:$B,0))/INDEX($F:$F,MATCH("2019-12",$B:$B,0)))*100)</f>
        <v/>
      </c>
      <c r="H93" s="36">
        <f>IF(F93="","",(D93/F93)/(INDEX($C:$C,MATCH("2019-12",$B:$B,0))/INDEX($F:$F,MATCH("2019-12",$B:$B,0)))*100)</f>
        <v/>
      </c>
      <c r="I93" s="23" t="inlineStr">
        <is>
          <t>Milei</t>
        </is>
      </c>
    </row>
    <row r="94">
      <c r="B94" s="16" t="inlineStr">
        <is>
          <t>2026-05</t>
        </is>
      </c>
      <c r="C94" s="33" t="n">
        <v>1410.2904</v>
      </c>
      <c r="D94" s="33" t="n">
        <v>1430</v>
      </c>
      <c r="E94" s="34">
        <f>D94/C94-1</f>
        <v/>
      </c>
      <c r="F94" s="33" t="n">
        <v>11607.3937</v>
      </c>
      <c r="G94" s="35">
        <f>IF(F94="","",(C94/F94)/(INDEX($C:$C,MATCH("2019-12",$B:$B,0))/INDEX($F:$F,MATCH("2019-12",$B:$B,0)))*100)</f>
        <v/>
      </c>
      <c r="H94" s="36">
        <f>IF(F94="","",(D94/F94)/(INDEX($C:$C,MATCH("2019-12",$B:$B,0))/INDEX($F:$F,MATCH("2019-12",$B:$B,0)))*100)</f>
        <v/>
      </c>
      <c r="I94" s="23" t="inlineStr">
        <is>
          <t>Milei</t>
        </is>
      </c>
    </row>
    <row r="95">
      <c r="B95" s="16" t="inlineStr">
        <is>
          <t>2026-06</t>
        </is>
      </c>
      <c r="C95" s="33" t="n">
        <v>1483.0198</v>
      </c>
      <c r="D95" s="33" t="n">
        <v>1515</v>
      </c>
      <c r="E95" s="34">
        <f>D95/C95-1</f>
        <v/>
      </c>
      <c r="F95" s="33" t="n">
        <v>11826.4103</v>
      </c>
      <c r="G95" s="35">
        <f>IF(F95="","",(C95/F95)/(INDEX($C:$C,MATCH("2019-12",$B:$B,0))/INDEX($F:$F,MATCH("2019-12",$B:$B,0)))*100)</f>
        <v/>
      </c>
      <c r="H95" s="36">
        <f>IF(F95="","",(D95/F95)/(INDEX($C:$C,MATCH("2019-12",$B:$B,0))/INDEX($F:$F,MATCH("2019-12",$B:$B,0)))*100)</f>
        <v/>
      </c>
      <c r="I95" s="23" t="inlineStr">
        <is>
          <t>Milei</t>
        </is>
      </c>
    </row>
    <row r="96">
      <c r="B96" s="16" t="inlineStr">
        <is>
          <t>2026-07</t>
        </is>
      </c>
      <c r="C96" s="33" t="n">
        <v>1488.4531</v>
      </c>
      <c r="D96" s="33" t="n">
        <v>1560</v>
      </c>
      <c r="E96" s="34">
        <f>D96/C96-1</f>
        <v/>
      </c>
      <c r="F96" s="33" t="n">
        <v>12074.1617</v>
      </c>
      <c r="G96" s="35">
        <f>IF(F96="","",(C96/F96)/(INDEX($C:$C,MATCH("2019-12",$B:$B,0))/INDEX($F:$F,MATCH("2019-12",$B:$B,0)))*100)</f>
        <v/>
      </c>
      <c r="H96" s="36">
        <f>IF(F96="","",(D96/F96)/(INDEX($C:$C,MATCH("2019-12",$B:$B,0))/INDEX($F:$F,MATCH("2019-12",$B:$B,0)))*100)</f>
        <v/>
      </c>
      <c r="I96" s="23" t="inlineStr">
        <is>
          <t>Milei</t>
        </is>
      </c>
    </row>
    <row r="97">
      <c r="B97" s="16" t="inlineStr">
        <is>
          <t>2026-08</t>
        </is>
      </c>
      <c r="C97" s="33" t="n">
        <v>1509.4687</v>
      </c>
      <c r="D97" s="33" t="n">
        <v>1555</v>
      </c>
      <c r="E97" s="34">
        <f>D97/C97-1</f>
        <v/>
      </c>
      <c r="F97" s="33" t="n">
        <v>12275.4814</v>
      </c>
      <c r="G97" s="35">
        <f>IF(F97="","",(C97/F97)/(INDEX($C:$C,MATCH("2019-12",$B:$B,0))/INDEX($F:$F,MATCH("2019-12",$B:$B,0)))*100)</f>
        <v/>
      </c>
      <c r="H97" s="36">
        <f>IF(F97="","",(D97/F97)/(INDEX($C:$C,MATCH("2019-12",$B:$B,0))/INDEX($F:$F,MATCH("2019-12",$B:$B,0)))*100)</f>
        <v/>
      </c>
      <c r="I97" s="23" t="inlineStr">
        <is>
          <t>Milei</t>
        </is>
      </c>
    </row>
    <row r="98">
      <c r="B98" s="16" t="inlineStr">
        <is>
          <t>2026-09</t>
        </is>
      </c>
      <c r="C98" s="33" t="n">
        <v>1517.5209</v>
      </c>
      <c r="D98" s="33" t="n">
        <v>1560</v>
      </c>
      <c r="E98" s="34">
        <f>D98/C98-1</f>
        <v/>
      </c>
      <c r="G98" s="35">
        <f>IF(F98="","",(C98/F98)/(INDEX($C:$C,MATCH("2019-12",$B:$B,0))/INDEX($F:$F,MATCH("2019-12",$B:$B,0)))*100)</f>
        <v/>
      </c>
      <c r="H98" s="36">
        <f>IF(F98="","",(D98/F98)/(INDEX($C:$C,MATCH("2019-12",$B:$B,0))/INDEX($F:$F,MATCH("2019-12",$B:$B,0)))*100)</f>
        <v/>
      </c>
      <c r="I98" s="23" t="inlineStr">
        <is>
          <t>Milei</t>
        </is>
      </c>
    </row>
    <row r="101">
      <c r="B101" s="30" t="inlineStr">
        <is>
          <t>Why this is the strongest chart in the pack</t>
        </is>
      </c>
    </row>
    <row r="102">
      <c r="B102" s="6" t="inlineStr">
        <is>
          <t>Measure</t>
        </is>
      </c>
      <c r="C102" s="6" t="inlineStr">
        <is>
          <t>Value</t>
        </is>
      </c>
      <c r="D102" s="6" t="inlineStr">
        <is>
          <t>Note</t>
        </is>
      </c>
    </row>
    <row r="103" ht="13" customHeight="1">
      <c r="B103" s="25" t="inlineStr">
        <is>
          <t>Real rate at official, Dec-2019 (base)</t>
        </is>
      </c>
      <c r="C103" s="37">
        <f>INDEX($G:$G,MATCH("2019-12",$B:$B,0))</f>
        <v/>
      </c>
      <c r="D103" s="28" t="inlineStr">
        <is>
          <t>Index base.</t>
        </is>
      </c>
    </row>
    <row r="104" ht="26" customHeight="1">
      <c r="B104" s="25" t="inlineStr">
        <is>
          <t>Real rate at official, Nov-2023</t>
        </is>
      </c>
      <c r="C104" s="37">
        <f>INDEX($G:$G,MATCH("2023-11",$B:$B,0))</f>
        <v/>
      </c>
      <c r="D104" s="28" t="inlineStr">
        <is>
          <t>Thirty-nine per cent more overvalued than four years earlier, on the rate the government published.</t>
        </is>
      </c>
    </row>
    <row r="105" ht="26" customHeight="1">
      <c r="B105" s="25" t="inlineStr">
        <is>
          <t>Real rate at PARALLEL, Nov-2023</t>
        </is>
      </c>
      <c r="C105" s="37">
        <f>INDEX($H:$H,MATCH("2023-11",$B:$B,0))</f>
        <v/>
      </c>
      <c r="D105" s="28" t="inlineStr">
        <is>
          <t>At the rate people could actually transact at, the peso was CHEAP — fifty per cent weaker in real terms than the 2019 base.</t>
        </is>
      </c>
    </row>
    <row r="106" ht="39" customHeight="1">
      <c r="B106" s="25" t="inlineStr">
        <is>
          <t>How far the official rate overstated the peso</t>
        </is>
      </c>
      <c r="C106" s="32">
        <f>INDEX($H:$H,MATCH("2023-11",$B:$B,0))/INDEX($G:$G,MATCH("2023-11",$B:$B,0))-1</f>
        <v/>
      </c>
      <c r="D106" s="28" t="inlineStr">
        <is>
          <t>THE SENTENCE FOR THE NOTE: in November 2023 the official exchange rate overstated the value of the peso by 151%. That is the distance between the government's number and the market's.</t>
        </is>
      </c>
    </row>
    <row r="107" ht="13" customHeight="1">
      <c r="B107" s="25" t="inlineStr">
        <is>
          <t>Widest month-end gap</t>
        </is>
      </c>
      <c r="C107" s="32">
        <f>MAX($E$6:$E$98)</f>
        <v/>
      </c>
      <c r="D107" s="28" t="inlineStr">
        <is>
          <t>Oct-2023. The intra-month peak was 214.3%, on 23-24 Oct 2023.</t>
        </is>
      </c>
    </row>
    <row r="108" ht="13" customHeight="1">
      <c r="B108" s="25" t="inlineStr">
        <is>
          <t>Months with a gap above 100%</t>
        </is>
      </c>
      <c r="C108" s="38">
        <f>COUNTIF($E$6:$E$98,"&gt;1")</f>
        <v/>
      </c>
      <c r="D108" s="28" t="inlineStr">
        <is>
          <t>Out of 93.</t>
        </is>
      </c>
    </row>
    <row r="109" ht="13" customHeight="1">
      <c r="B109" s="25" t="inlineStr">
        <is>
          <t>Average gap, 2019</t>
        </is>
      </c>
      <c r="C109" s="32">
        <f>AVERAGEIFS($E$6:$E$98,$B$6:$B$98,"&gt;="&amp;"2019-01",$B$6:$B$98,"&lt;="&amp;"2019-12")</f>
        <v/>
      </c>
      <c r="D109" s="28" t="inlineStr">
        <is>
          <t>Before the cepo was reimposed.</t>
        </is>
      </c>
    </row>
    <row r="110" ht="13" customHeight="1">
      <c r="B110" s="25" t="inlineStr">
        <is>
          <t>Average gap, 2020-2022</t>
        </is>
      </c>
      <c r="C110" s="32">
        <f>AVERAGEIFS($E$6:$E$98,$B$6:$B$98,"&gt;="&amp;"2020-01",$B$6:$B$98,"&lt;="&amp;"2022-12")</f>
        <v/>
      </c>
      <c r="D110" s="28" t="inlineStr">
        <is>
          <t>The cepo years.</t>
        </is>
      </c>
    </row>
    <row r="111" ht="13" customHeight="1">
      <c r="B111" s="25" t="inlineStr">
        <is>
          <t>Average gap, 2023 to Nov</t>
        </is>
      </c>
      <c r="C111" s="32">
        <f>AVERAGEIFS($E$6:$E$98,$B$6:$B$98,"&gt;="&amp;"2023-01",$B$6:$B$98,"&lt;="&amp;"2023-11")</f>
        <v/>
      </c>
      <c r="D111" s="28" t="inlineStr">
        <is>
          <t>The final year.</t>
        </is>
      </c>
    </row>
    <row r="112" ht="13" customHeight="1">
      <c r="B112" s="25" t="inlineStr">
        <is>
          <t>Average gap, Dec-2023 to Sep-2026</t>
        </is>
      </c>
      <c r="C112" s="32">
        <f>AVERAGEIFS($E$6:$E$98,$B$6:$B$98,"&gt;="&amp;"2023-12")</f>
        <v/>
      </c>
      <c r="D112" s="28" t="inlineStr">
        <is>
          <t>After the handover.</t>
        </is>
      </c>
    </row>
    <row r="113" ht="26" customHeight="1">
      <c r="B113" s="25" t="inlineStr">
        <is>
          <t>Gap now, Sep-2026</t>
        </is>
      </c>
      <c r="C113" s="32">
        <f>INDEX($E:$E,MATCH("2026-09",$B:$B,0))</f>
        <v/>
      </c>
      <c r="D113" s="28" t="inlineStr">
        <is>
          <t>Effectively closed. This is the single cleanest piece of evidence that the cepo unwind worked.</t>
        </is>
      </c>
    </row>
    <row r="114" ht="26" customHeight="1">
      <c r="B114" s="25" t="inlineStr">
        <is>
          <t>Real rate at official, Aug-2026</t>
        </is>
      </c>
      <c r="C114" s="37">
        <f>INDEX($G:$G,MATCH("2026-08",$B:$B,0))</f>
        <v/>
      </c>
      <c r="D114" s="28" t="inlineStr">
        <is>
          <t>READ THIS ONE CAREFULLY — see the caution below. On this measure the peso is now MORE overvalued than it was in Nov-2023.</t>
        </is>
      </c>
    </row>
    <row r="116">
      <c r="B116" s="4" t="inlineStr">
        <is>
          <t>The argument the chart makes</t>
        </is>
      </c>
    </row>
    <row r="117" ht="39" customHeight="1">
      <c r="B117" s="28" t="inlineStr">
        <is>
          <t>Before Milei there were two exchange rates and the published one was fiction. The official real rate shows a peso 39% more overvalued than in 2019; the parallel real rate, over the same month, shows a peso 52% CHEAPER than 2019. Both are the same country in the same month. The 151% distance between them is the measure of how far the official number had departed from the real one.</t>
        </is>
      </c>
    </row>
    <row r="118" ht="39" customHeight="1">
      <c r="B118" s="28" t="inlineStr">
        <is>
          <t>That is the forceful version, and it is better than an overvaluation chart on its own, because the overvaluation on its own has an awkward feature: on this bilateral measure the peso is MORE overvalued today (58.2 in Aug-2026) than it was at the handover (60.6 in Nov-2023), and it is near the series low.</t>
        </is>
      </c>
    </row>
    <row r="119" ht="39" customHeight="1">
      <c r="B119" s="28" t="inlineStr">
        <is>
          <t>The difference — and this is the line to use — is that today there is only ONE rate. A 2.8% gap means the official rate IS the rate, so the overvaluation is visible, measurable and carried on reserves rather than hidden behind a 151% wedge and rationed FX. An overvalued peso with no gap is a policy problem. An overvalued peso with a 151% gap is a parallel economy.</t>
        </is>
      </c>
    </row>
    <row r="120" ht="26" customHeight="1">
      <c r="B120" s="28" t="inlineStr">
        <is>
          <t>Keep the second and third points in the note. If you only show the official line and caption it 'the peso was overvalued before Milei', the obvious question from a client is why it is more overvalued now, and the honest answer is that it is.</t>
        </is>
      </c>
    </row>
    <row r="122">
      <c r="B122" s="14" t="inlineStr">
        <is>
          <t>DERIVED SERIES, MARKED IN DARK RED. This is a BILATERAL real rate against the dollar, deflated by Argentine CPI alone — so it ignores US inflation and third-country trade weights, and overstates the deterioration relative to a properly multilateral index. The BCRA's ITCRM is published only as an xlsx on a host blocked here, and the API's 1,028-variable catalogue contains no multilateral real-rate series. ITCRM anchors for cross-reference: about 162 at Dec-2023, 84.59 at 27-Apr-2026, post-convertibility average about 129.3 — the same direction and a similar order of magnitude. Call it bilateral in client-facing work.</t>
        </is>
      </c>
    </row>
    <row r="123">
      <c r="B123" s="15" t="inlineStr">
        <is>
          <t>The parallel rate is the one non-primary series in this pack (the BCRA publishes no parallel rate). It is blue venta, from an aggregator. The flat ~350 official rate from Aug to Oct 2023 is the real post-PASO peg, not a data error — and it is what drives the gap to its widest month-end reading.</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B63"/>
    <outlinePr summaryBelow="1" summaryRight="1"/>
    <pageSetUpPr fitToPage="1"/>
  </sheetPr>
  <dimension ref="B2:F56"/>
  <sheetViews>
    <sheetView showGridLines="0" workbookViewId="0">
      <selection activeCell="A1" sqref="A1"/>
    </sheetView>
  </sheetViews>
  <sheetFormatPr baseColWidth="8" defaultRowHeight="15"/>
  <cols>
    <col width="2" customWidth="1" min="1" max="1"/>
    <col width="36" customWidth="1" min="2" max="2"/>
    <col width="12" customWidth="1" min="3" max="3"/>
    <col width="88" customWidth="1" min="4" max="4"/>
    <col width="15" customWidth="1" min="5" max="5"/>
    <col width="86" customWidth="1" min="6" max="6"/>
  </cols>
  <sheetData>
    <row r="2" ht="26" customHeight="1">
      <c r="B2" s="1" t="inlineStr">
        <is>
          <t>The fiscal turn — primary and overall balance, % of GDP</t>
        </is>
      </c>
    </row>
    <row r="3">
      <c r="B3" s="2" t="inlineStr">
        <is>
          <t>The 2023-to-2024 swing is the largest peacetime consolidation in the modern Argentine record.</t>
        </is>
      </c>
    </row>
    <row r="5" ht="32" customHeight="1">
      <c r="B5" s="6" t="inlineStr">
        <is>
          <t>Year</t>
        </is>
      </c>
      <c r="C5" s="6" t="inlineStr">
        <is>
          <t>Primary balance
% of GDP</t>
        </is>
      </c>
      <c r="D5" s="6" t="inlineStr">
        <is>
          <t>Overall balance
% of GDP</t>
        </is>
      </c>
      <c r="E5" s="6" t="inlineStr">
        <is>
          <t>Change in primary
pp of GDP</t>
        </is>
      </c>
      <c r="F5" s="6" t="inlineStr">
        <is>
          <t>Source / note</t>
        </is>
      </c>
    </row>
    <row r="6">
      <c r="B6" s="7" t="n">
        <v>2019</v>
      </c>
      <c r="C6" s="39" t="n">
        <v>-0.004</v>
      </c>
      <c r="D6" s="39" t="n">
        <v>-0.038</v>
      </c>
      <c r="F6" s="10" t="inlineStr">
        <is>
          <t>Hacienda</t>
        </is>
      </c>
    </row>
    <row r="7">
      <c r="B7" s="7" t="n">
        <v>2020</v>
      </c>
      <c r="C7" s="39" t="n">
        <v>-0.064</v>
      </c>
      <c r="D7" s="39" t="n">
        <v>-0.08500000000000001</v>
      </c>
      <c r="E7" s="40">
        <f>(C7-C6)*100</f>
        <v/>
      </c>
      <c r="F7" s="10" t="inlineStr">
        <is>
          <t>Hacienda - COVID</t>
        </is>
      </c>
    </row>
    <row r="8">
      <c r="B8" s="7" t="n">
        <v>2021</v>
      </c>
      <c r="C8" s="39" t="n">
        <v>-0.03</v>
      </c>
      <c r="D8" s="39" t="n">
        <v>-0.045</v>
      </c>
      <c r="E8" s="40">
        <f>(C8-C7)*100</f>
        <v/>
      </c>
      <c r="F8" s="10" t="inlineStr">
        <is>
          <t>Hacienda</t>
        </is>
      </c>
    </row>
    <row r="9">
      <c r="B9" s="7" t="n">
        <v>2022</v>
      </c>
      <c r="C9" s="39" t="n">
        <v>-0.024</v>
      </c>
      <c r="D9" s="39" t="n">
        <v>-0.042</v>
      </c>
      <c r="E9" s="40">
        <f>(C9-C8)*100</f>
        <v/>
      </c>
      <c r="F9" s="10" t="inlineStr">
        <is>
          <t>Hacienda</t>
        </is>
      </c>
    </row>
    <row r="10">
      <c r="B10" s="7" t="n">
        <v>2023</v>
      </c>
      <c r="C10" s="39" t="n">
        <v>-0.027</v>
      </c>
      <c r="D10" s="39" t="n">
        <v>-0.06</v>
      </c>
      <c r="E10" s="40">
        <f>(C10-C9)*100</f>
        <v/>
      </c>
      <c r="F10" s="10" t="inlineStr">
        <is>
          <t>Hacienda</t>
        </is>
      </c>
    </row>
    <row r="11">
      <c r="B11" s="7" t="n">
        <v>2024</v>
      </c>
      <c r="C11" s="41" t="n">
        <v>0.018</v>
      </c>
      <c r="D11" s="41" t="n">
        <v>0.003</v>
      </c>
      <c r="E11" s="40">
        <f>(C11-C10)*100</f>
        <v/>
      </c>
      <c r="F11" s="10" t="inlineStr">
        <is>
          <t>IMF Art.IV 2026</t>
        </is>
      </c>
    </row>
    <row r="12">
      <c r="B12" s="7" t="n">
        <v>2025</v>
      </c>
      <c r="C12" s="41" t="n">
        <v>0.014</v>
      </c>
      <c r="D12" s="41" t="n">
        <v>0.002</v>
      </c>
      <c r="E12" s="40">
        <f>(C12-C11)*100</f>
        <v/>
      </c>
      <c r="F12" s="10" t="inlineStr">
        <is>
          <t>MECON - overall EXCLUDES zero-coupon interest below the line</t>
        </is>
      </c>
    </row>
    <row r="13">
      <c r="B13" s="7" t="n">
        <v>2026</v>
      </c>
      <c r="C13" s="41" t="n">
        <v>0.011</v>
      </c>
      <c r="D13" s="41" t="n">
        <v>0.002</v>
      </c>
      <c r="E13" s="40">
        <f>(C13-C12)*100</f>
        <v/>
      </c>
      <c r="F13" s="10" t="inlineStr">
        <is>
          <t>8M-2026 accumulated, NOT annual; IMF full-year target 1.4</t>
        </is>
      </c>
    </row>
    <row r="42">
      <c r="B42" s="30" t="inlineStr">
        <is>
          <t>The numbers that matter</t>
        </is>
      </c>
    </row>
    <row r="43">
      <c r="B43" s="6" t="inlineStr">
        <is>
          <t>Measure</t>
        </is>
      </c>
      <c r="C43" s="6" t="inlineStr">
        <is>
          <t>Value</t>
        </is>
      </c>
      <c r="D43" s="6" t="inlineStr">
        <is>
          <t>Note</t>
        </is>
      </c>
    </row>
    <row r="44">
      <c r="B44" s="25" t="inlineStr">
        <is>
          <t>Primary swing, 2023 to 2024</t>
        </is>
      </c>
      <c r="C44" s="42">
        <f>(INDEX($C:$C,MATCH(2024,$B:$B,0))-INDEX($C:$C,MATCH(2023,$B:$B,0)))*100</f>
        <v/>
      </c>
      <c r="D44" s="28" t="inlineStr">
        <is>
          <t>Percentage points of GDP, in a single year.</t>
        </is>
      </c>
    </row>
    <row r="45">
      <c r="B45" s="25" t="inlineStr">
        <is>
          <t>Overall swing, 2023 to 2024</t>
        </is>
      </c>
      <c r="C45" s="42">
        <f>(INDEX($D:$D,MATCH(2024,$B:$B,0))-INDEX($D:$D,MATCH(2023,$B:$B,0)))*100</f>
        <v/>
      </c>
      <c r="D45" s="28" t="inlineStr">
        <is>
          <t>Percentage points of GDP. But see the comparability caveat below — this one is not strictly like-for-like.</t>
        </is>
      </c>
    </row>
    <row r="46">
      <c r="B46" s="25" t="inlineStr">
        <is>
          <t>Primary balance, 2024 peak</t>
        </is>
      </c>
      <c r="C46" s="26">
        <f>INDEX($C:$C,MATCH(2024,$B:$B,0))</f>
        <v/>
      </c>
      <c r="D46" s="28" t="inlineStr">
        <is>
          <t>The high-water mark.</t>
        </is>
      </c>
    </row>
    <row r="47">
      <c r="B47" s="25" t="inlineStr">
        <is>
          <t>Primary balance, 2026 (8 months)</t>
        </is>
      </c>
      <c r="C47" s="26">
        <f>INDEX($C:$C,MATCH(2026,$B:$B,0))</f>
        <v/>
      </c>
      <c r="D47" s="28" t="inlineStr">
        <is>
          <t>Against an IMF full-year target of 1.4%. The anchor is loosening, not tightening — see the note below.</t>
        </is>
      </c>
    </row>
    <row r="48">
      <c r="B48" s="25" t="inlineStr">
        <is>
          <t>Erosion since 2024</t>
        </is>
      </c>
      <c r="C48" s="42">
        <f>(INDEX($C:$C,MATCH(2026,$B:$B,0))-INDEX($C:$C,MATCH(2024,$B:$B,0)))*100</f>
        <v/>
      </c>
      <c r="D48" s="28" t="inlineStr">
        <is>
          <t>Percentage points of GDP given back over two years.</t>
        </is>
      </c>
    </row>
    <row r="50">
      <c r="B50" s="4" t="inlineStr">
        <is>
          <t>Two things to say about this chart that most people do not</t>
        </is>
      </c>
    </row>
    <row r="51" ht="52" customHeight="1">
      <c r="B51" s="28" t="inlineStr">
        <is>
          <t>THE COMPOSITION MATTERS MORE THAN THE TOTAL. Two instruments did the 2024 work. The motosierra — obra publica down 76% in real terms, discretionary transfers to provinces down 70%, other social programmes down 41% — was a decision, and it is durable, because nothing forces capital spending back. The licuadora — public wages down 20%, pensions down 14% — was ARITHMETIC: nominal amounts indexed on a lag while inflation ran at 25% a month, so real values collapsed without anything being legislated.</t>
        </is>
      </c>
    </row>
    <row r="52" ht="52" customHeight="1">
      <c r="B52" s="28" t="inlineStr">
        <is>
          <t>THE LICUADORA IS SELF-REVERSING, AND THE REVERSAL IS ALREADY IN THE CHART. Once inflation falls to 1.7% a month, indexation catches up and the saving evaporates. First-half 2026 social benefits rose 38.1% year-on-year against 33.5% CPI. That is why the primary balance walks back 1.8 to 1.4 to 1.1 across the three bars. The surplus that bought the disinflation was partly an inflation artefact, and it is being handed back as inflation falls. If the note makes one fiscal point, make this one.</t>
        </is>
      </c>
    </row>
    <row r="53" ht="39" customHeight="1">
      <c r="B53" s="28" t="inlineStr">
        <is>
          <t>On entrenchment, be precise, because the rhetoric outruns the law: zero deficit is an article of the 2026 budget law, binding for one fiscal year. The Ley de Estabilidad Fiscal that would make it permanent, with an emission ban and Penal Code sanctions, was tabled in September 2025, scheduled for December, and never voted. It is still pending.</t>
        </is>
      </c>
    </row>
    <row r="55">
      <c r="B55" s="14" t="inlineStr">
        <is>
          <t>COMPARABILITY CAVEAT. The 2025 overall balance of +0.2% EXCLUDES interest on zero-coupon bonds recorded below the line. It is not like-for-like with 2023's -6.0%, which is a cash concept including all interest. The primary line is the cleaner comparison across the whole period. 2026 is EIGHT MONTHS accumulated, not a full year, and is marked as such.</t>
        </is>
      </c>
    </row>
    <row r="56">
      <c r="B56" s="15" t="inlineStr">
        <is>
          <t>GAP, FLAGGED NOT FILLED. You asked for a 12-month rolling series. A clean monthly fiscal series could not be sourced here — MECON's monthly ejecu_mensual PDFs are robots-disallowed and the datos.gob.ar IMIG distribution was unreachable. Annual bars carry the same argument. To build the true rolling chart, the OPC series at opc.gob.ar is the best route and needs one interactive pull.</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1F3B63"/>
    <outlinePr summaryBelow="1" summaryRight="1"/>
    <pageSetUpPr fitToPage="1"/>
  </sheetPr>
  <dimension ref="B2:F62"/>
  <sheetViews>
    <sheetView showGridLines="0" workbookViewId="0">
      <selection activeCell="A1" sqref="A1"/>
    </sheetView>
  </sheetViews>
  <sheetFormatPr baseColWidth="8" defaultRowHeight="15"/>
  <cols>
    <col width="2" customWidth="1" min="1" max="1"/>
    <col width="34" customWidth="1" min="2" max="2"/>
    <col width="12" customWidth="1" min="3" max="3"/>
    <col width="86" customWidth="1" min="4" max="4"/>
    <col width="16" customWidth="1" min="5" max="5"/>
    <col width="17" customWidth="1" min="6" max="6"/>
  </cols>
  <sheetData>
    <row r="2" ht="26" customHeight="1">
      <c r="B2" s="1" t="inlineStr">
        <is>
          <t>Getting prices back to equilibrium — subsidies cut, regulated prices caught up</t>
        </is>
      </c>
    </row>
    <row r="3">
      <c r="B3" s="2" t="inlineStr">
        <is>
          <t>Energy subsidies as % of GDP, and regulated prices against core. The catch-up is a relative-price correction, measured as inflation.</t>
        </is>
      </c>
    </row>
    <row r="5" ht="30" customHeight="1">
      <c r="B5" s="6" t="inlineStr">
        <is>
          <t>Year</t>
        </is>
      </c>
      <c r="C5" s="6" t="inlineStr">
        <is>
          <t>Energy subsidies
% of GDP</t>
        </is>
      </c>
      <c r="D5" s="6" t="inlineStr">
        <is>
          <t>Source</t>
        </is>
      </c>
      <c r="E5" s="6" t="inlineStr">
        <is>
          <t>Note</t>
        </is>
      </c>
    </row>
    <row r="6">
      <c r="B6" s="7" t="n">
        <v>2019</v>
      </c>
      <c r="C6" s="9" t="n">
        <v>0.01</v>
      </c>
      <c r="D6" s="22" t="inlineStr">
        <is>
          <t>Hacienda via Infobae</t>
        </is>
      </c>
    </row>
    <row r="7">
      <c r="B7" s="7" t="n">
        <v>2020</v>
      </c>
      <c r="C7" s="9" t="n">
        <v>0.018</v>
      </c>
      <c r="D7" s="22" t="inlineStr">
        <is>
          <t>Hacienda via Infobae</t>
        </is>
      </c>
    </row>
    <row r="8">
      <c r="B8" s="7" t="n">
        <v>2021</v>
      </c>
      <c r="C8" s="9" t="n">
        <v>0.023</v>
      </c>
      <c r="D8" s="22" t="inlineStr">
        <is>
          <t>Hacienda via Infobae</t>
        </is>
      </c>
      <c r="E8" s="10" t="inlineStr">
        <is>
          <t>Peak. Two of every three households were paying 9% or less of electricity generation cost.</t>
        </is>
      </c>
    </row>
    <row r="9">
      <c r="B9" s="7" t="n">
        <v>2022</v>
      </c>
      <c r="C9" s="9" t="n">
        <v>0.02</v>
      </c>
      <c r="D9" s="22" t="inlineStr">
        <is>
          <t>CIPPEC</t>
        </is>
      </c>
    </row>
    <row r="10">
      <c r="B10" s="7" t="n">
        <v>2023</v>
      </c>
      <c r="C10" s="9" t="n">
        <v>0.015</v>
      </c>
      <c r="D10" s="22" t="inlineStr">
        <is>
          <t>Hacienda via Infobae</t>
        </is>
      </c>
      <c r="E10" s="10" t="inlineStr">
        <is>
          <t>The handover year.</t>
        </is>
      </c>
    </row>
    <row r="11">
      <c r="B11" s="7" t="n">
        <v>2024</v>
      </c>
      <c r="C11" s="9" t="n">
        <v>0.011</v>
      </c>
      <c r="D11" s="22" t="inlineStr">
        <is>
          <t>IMF review via El Cronista</t>
        </is>
      </c>
    </row>
    <row r="12">
      <c r="B12" s="7" t="n">
        <v>2025</v>
      </c>
      <c r="C12" s="9" t="n">
        <v>0.006</v>
      </c>
      <c r="D12" s="22" t="inlineStr">
        <is>
          <t>IMF review via El Cronista</t>
        </is>
      </c>
      <c r="E12" s="10" t="inlineStr">
        <is>
          <t>Down 1.7pp of GDP from the peak.</t>
        </is>
      </c>
    </row>
    <row r="14">
      <c r="B14" s="14" t="inlineStr">
        <is>
          <t>THREE SOURCES SPLICED on an energy-only definition (Hacienda for 2019-21 and 2023, CIPPEC for 2022, the IMF review for 2024-25). Coverage differs across the splice — relabel before client-facing use. The 2026 and 2027 Budget figures circulate on an energy-PLUS-transport basis and are deliberately NOT merged in here. The 2027 Budget plans 0.53% of GDP on that wider definition, so the correction has further to run.</t>
        </is>
      </c>
    </row>
    <row r="17">
      <c r="B17" s="30" t="inlineStr">
        <is>
          <t>Regulated prices against core — the relative-price correction</t>
        </is>
      </c>
    </row>
    <row r="18">
      <c r="B18" s="15" t="inlineStr">
        <is>
          <t>Both indexed to Dec-2023 = 100. The ratio is the cleanest single measure of how much of measured inflation has been tariff catch-up rather than monetary inflation.</t>
        </is>
      </c>
    </row>
    <row r="19" ht="32" customHeight="1">
      <c r="B19" s="6" t="inlineStr">
        <is>
          <t>Month</t>
        </is>
      </c>
      <c r="C19" s="6" t="inlineStr">
        <is>
          <t>Regulados
Dec-23 = 100</t>
        </is>
      </c>
      <c r="D19" s="6" t="inlineStr">
        <is>
          <t>Nucleo
Dec-23 = 100</t>
        </is>
      </c>
      <c r="E19" s="6" t="inlineStr">
        <is>
          <t>Regulados relative
to core</t>
        </is>
      </c>
      <c r="F19" s="6" t="inlineStr">
        <is>
          <t>Regulados m/m
less core m/m (pp)</t>
        </is>
      </c>
    </row>
    <row r="20">
      <c r="B20" s="16" t="inlineStr">
        <is>
          <t>2023-12</t>
        </is>
      </c>
      <c r="C20" s="43">
        <f>2452.7844/2452.7844*100</f>
        <v/>
      </c>
      <c r="D20" s="43">
        <f>3799.9487/3799.9487*100</f>
        <v/>
      </c>
      <c r="E20" s="44">
        <f>C20/D20-1</f>
        <v/>
      </c>
      <c r="F20" s="45">
        <f>((2452.7844/2032.4708-1)-(3799.9487/2962.7206-1))*100</f>
        <v/>
      </c>
    </row>
    <row r="21">
      <c r="B21" s="16" t="inlineStr">
        <is>
          <t>2024-01</t>
        </is>
      </c>
      <c r="C21" s="43">
        <f>3104.5367/2452.7844*100</f>
        <v/>
      </c>
      <c r="D21" s="43">
        <f>4568.1649/3799.9487*100</f>
        <v/>
      </c>
      <c r="E21" s="44">
        <f>C21/D21-1</f>
        <v/>
      </c>
      <c r="F21" s="45">
        <f>((3104.5367/2452.7844-1)-(4568.1649/3799.9487-1))*100</f>
        <v/>
      </c>
    </row>
    <row r="22">
      <c r="B22" s="16" t="inlineStr">
        <is>
          <t>2024-02</t>
        </is>
      </c>
      <c r="C22" s="43">
        <f>3759.784/2452.7844*100</f>
        <v/>
      </c>
      <c r="D22" s="43">
        <f>5129.5988/3799.9487*100</f>
        <v/>
      </c>
      <c r="E22" s="44">
        <f>C22/D22-1</f>
        <v/>
      </c>
      <c r="F22" s="45">
        <f>((3759.784/3104.5367-1)-(5129.5988/4568.1649-1))*100</f>
        <v/>
      </c>
    </row>
    <row r="23">
      <c r="B23" s="16" t="inlineStr">
        <is>
          <t>2024-03</t>
        </is>
      </c>
      <c r="C23" s="43">
        <f>4441.3132/2452.7844*100</f>
        <v/>
      </c>
      <c r="D23" s="43">
        <f>5612.3991/3799.9487*100</f>
        <v/>
      </c>
      <c r="E23" s="44">
        <f>C23/D23-1</f>
        <v/>
      </c>
      <c r="F23" s="45">
        <f>((4441.3132/3759.784-1)-(5612.3991/5129.5988-1))*100</f>
        <v/>
      </c>
    </row>
    <row r="24">
      <c r="B24" s="16" t="inlineStr">
        <is>
          <t>2024-04</t>
        </is>
      </c>
      <c r="C24" s="43">
        <f>5258.2523/2452.7844*100</f>
        <v/>
      </c>
      <c r="D24" s="43">
        <f>5965.8926/3799.9487*100</f>
        <v/>
      </c>
      <c r="E24" s="44">
        <f>C24/D24-1</f>
        <v/>
      </c>
      <c r="F24" s="45">
        <f>((5258.2523/4441.3132-1)-(5965.8926/5612.3991-1))*100</f>
        <v/>
      </c>
    </row>
    <row r="25">
      <c r="B25" s="16" t="inlineStr">
        <is>
          <t>2024-05</t>
        </is>
      </c>
      <c r="C25" s="43">
        <f>5469.5/2452.7844*100</f>
        <v/>
      </c>
      <c r="D25" s="43">
        <f>6188.7/3799.9487*100</f>
        <v/>
      </c>
      <c r="E25" s="44">
        <f>C25/D25-1</f>
        <v/>
      </c>
      <c r="F25" s="45">
        <f>((5469.5/5258.2523-1)-(6188.7/5965.8926-1))*100</f>
        <v/>
      </c>
    </row>
    <row r="26">
      <c r="B26" s="16" t="inlineStr">
        <is>
          <t>2024-06</t>
        </is>
      </c>
      <c r="C26" s="43">
        <f>5910.154/2452.7844*100</f>
        <v/>
      </c>
      <c r="D26" s="43">
        <f>6414.6575/3799.9487*100</f>
        <v/>
      </c>
      <c r="E26" s="44">
        <f>C26/D26-1</f>
        <v/>
      </c>
      <c r="F26" s="45">
        <f>((5910.154/5469.5-1)-(6414.6575/6188.7-1))*100</f>
        <v/>
      </c>
    </row>
    <row r="27">
      <c r="B27" s="16" t="inlineStr">
        <is>
          <t>2024-07</t>
        </is>
      </c>
      <c r="C27" s="43">
        <f>6166.198/2452.7844*100</f>
        <v/>
      </c>
      <c r="D27" s="43">
        <f>6657.49/3799.9487*100</f>
        <v/>
      </c>
      <c r="E27" s="44">
        <f>C27/D27-1</f>
        <v/>
      </c>
      <c r="F27" s="45">
        <f>((6166.198/5910.154-1)-(6657.49/6414.6575-1))*100</f>
        <v/>
      </c>
    </row>
    <row r="28">
      <c r="B28" s="16" t="inlineStr">
        <is>
          <t>2024-08</t>
        </is>
      </c>
      <c r="C28" s="43">
        <f>6529.3696/2452.7844*100</f>
        <v/>
      </c>
      <c r="D28" s="43">
        <f>6931.7976/3799.9487*100</f>
        <v/>
      </c>
      <c r="E28" s="44">
        <f>C28/D28-1</f>
        <v/>
      </c>
      <c r="F28" s="45">
        <f>((6529.3696/6166.198-1)-(6931.7976/6657.49-1))*100</f>
        <v/>
      </c>
    </row>
    <row r="29">
      <c r="B29" s="16" t="inlineStr">
        <is>
          <t>2024-09</t>
        </is>
      </c>
      <c r="C29" s="43">
        <f>6825.2577/2452.7844*100</f>
        <v/>
      </c>
      <c r="D29" s="43">
        <f>7157.9271/3799.9487*100</f>
        <v/>
      </c>
      <c r="E29" s="44">
        <f>C29/D29-1</f>
        <v/>
      </c>
      <c r="F29" s="45">
        <f>((6825.2577/6529.3696-1)-(7157.9271/6931.7976-1))*100</f>
        <v/>
      </c>
    </row>
    <row r="30">
      <c r="B30" s="16" t="inlineStr">
        <is>
          <t>2024-10</t>
        </is>
      </c>
      <c r="C30" s="43">
        <f>7009.2808/2452.7844*100</f>
        <v/>
      </c>
      <c r="D30" s="43">
        <f>7366.7823/3799.9487*100</f>
        <v/>
      </c>
      <c r="E30" s="44">
        <f>C30/D30-1</f>
        <v/>
      </c>
      <c r="F30" s="45">
        <f>((7009.2808/6825.2577-1)-(7366.7823/7157.9271-1))*100</f>
        <v/>
      </c>
    </row>
    <row r="31">
      <c r="B31" s="16" t="inlineStr">
        <is>
          <t>2024-11</t>
        </is>
      </c>
      <c r="C31" s="43">
        <f>7257.6652/2452.7844*100</f>
        <v/>
      </c>
      <c r="D31" s="43">
        <f>7566.7782/3799.9487*100</f>
        <v/>
      </c>
      <c r="E31" s="44">
        <f>C31/D31-1</f>
        <v/>
      </c>
      <c r="F31" s="45">
        <f>((7257.6652/7009.2808-1)-(7566.7782/7366.7823-1))*100</f>
        <v/>
      </c>
    </row>
    <row r="32">
      <c r="B32" s="16" t="inlineStr">
        <is>
          <t>2024-12</t>
        </is>
      </c>
      <c r="C32" s="43">
        <f>7502.5373/2452.7844*100</f>
        <v/>
      </c>
      <c r="D32" s="43">
        <f>7808.7094/3799.9487*100</f>
        <v/>
      </c>
      <c r="E32" s="44">
        <f>C32/D32-1</f>
        <v/>
      </c>
      <c r="F32" s="45">
        <f>((7502.5373/7257.6652-1)-(7808.7094/7566.7782-1))*100</f>
        <v/>
      </c>
    </row>
    <row r="33">
      <c r="B33" s="16" t="inlineStr">
        <is>
          <t>2025-01</t>
        </is>
      </c>
      <c r="C33" s="43">
        <f>7698.607/2452.7844*100</f>
        <v/>
      </c>
      <c r="D33" s="43">
        <f>7995.938/3799.9487*100</f>
        <v/>
      </c>
      <c r="E33" s="44">
        <f>C33/D33-1</f>
        <v/>
      </c>
      <c r="F33" s="45">
        <f>((7698.607/7502.5373-1)-(7995.938/7808.7094-1))*100</f>
        <v/>
      </c>
    </row>
    <row r="34">
      <c r="B34" s="16" t="inlineStr">
        <is>
          <t>2025-02</t>
        </is>
      </c>
      <c r="C34" s="43">
        <f>7877.3099/2452.7844*100</f>
        <v/>
      </c>
      <c r="D34" s="43">
        <f>8229.4476/3799.9487*100</f>
        <v/>
      </c>
      <c r="E34" s="44">
        <f>C34/D34-1</f>
        <v/>
      </c>
      <c r="F34" s="45">
        <f>((7877.3099/7698.607-1)-(8229.4476/7995.938-1))*100</f>
        <v/>
      </c>
    </row>
    <row r="35">
      <c r="B35" s="16" t="inlineStr">
        <is>
          <t>2025-03</t>
        </is>
      </c>
      <c r="C35" s="43">
        <f>8129.994/2452.7844*100</f>
        <v/>
      </c>
      <c r="D35" s="43">
        <f>8492.1966/3799.9487*100</f>
        <v/>
      </c>
      <c r="E35" s="44">
        <f>C35/D35-1</f>
        <v/>
      </c>
      <c r="F35" s="45">
        <f>((8129.994/7877.3099-1)-(8492.1966/8229.4476-1))*100</f>
        <v/>
      </c>
    </row>
    <row r="36">
      <c r="B36" s="16" t="inlineStr">
        <is>
          <t>2025-04</t>
        </is>
      </c>
      <c r="C36" s="43">
        <f>8273.8986/2452.7844*100</f>
        <v/>
      </c>
      <c r="D36" s="43">
        <f>8765.1966/3799.9487*100</f>
        <v/>
      </c>
      <c r="E36" s="44">
        <f>C36/D36-1</f>
        <v/>
      </c>
      <c r="F36" s="45">
        <f>((8273.8986/8129.994-1)-(8765.1966/8492.1966-1))*100</f>
        <v/>
      </c>
    </row>
    <row r="37">
      <c r="B37" s="16" t="inlineStr">
        <is>
          <t>2025-05</t>
        </is>
      </c>
      <c r="C37" s="43">
        <f>8382.4957/2452.7844*100</f>
        <v/>
      </c>
      <c r="D37" s="43">
        <f>8957.7912/3799.9487*100</f>
        <v/>
      </c>
      <c r="E37" s="44">
        <f>C37/D37-1</f>
        <v/>
      </c>
      <c r="F37" s="45">
        <f>((8382.4957/8273.8986-1)-(8957.7912/8765.1966-1))*100</f>
        <v/>
      </c>
    </row>
    <row r="38">
      <c r="B38" s="16" t="inlineStr">
        <is>
          <t>2025-06</t>
        </is>
      </c>
      <c r="C38" s="43">
        <f>8569.0645/2452.7844*100</f>
        <v/>
      </c>
      <c r="D38" s="43">
        <f>9111.304/3799.9487*100</f>
        <v/>
      </c>
      <c r="E38" s="44">
        <f>C38/D38-1</f>
        <v/>
      </c>
      <c r="F38" s="45">
        <f>((8569.0645/8382.4957-1)-(9111.304/8957.7912-1))*100</f>
        <v/>
      </c>
    </row>
    <row r="39">
      <c r="B39" s="16" t="inlineStr">
        <is>
          <t>2025-07</t>
        </is>
      </c>
      <c r="C39" s="43">
        <f>8766.629/2452.7844*100</f>
        <v/>
      </c>
      <c r="D39" s="43">
        <f>9246.0737/3799.9487*100</f>
        <v/>
      </c>
      <c r="E39" s="44">
        <f>C39/D39-1</f>
        <v/>
      </c>
      <c r="F39" s="45">
        <f>((8766.629/8569.0645-1)-(9246.0737/9111.304-1))*100</f>
        <v/>
      </c>
    </row>
    <row r="40">
      <c r="B40" s="16" t="inlineStr">
        <is>
          <t>2025-08</t>
        </is>
      </c>
      <c r="C40" s="43">
        <f>9000.5641/2452.7844*100</f>
        <v/>
      </c>
      <c r="D40" s="43">
        <f>9435.1467/3799.9487*100</f>
        <v/>
      </c>
      <c r="E40" s="44">
        <f>C40/D40-1</f>
        <v/>
      </c>
      <c r="F40" s="45">
        <f>((9000.5641/8766.629-1)-(9435.1467/9246.0737-1))*100</f>
        <v/>
      </c>
    </row>
    <row r="41">
      <c r="B41" s="16" t="inlineStr">
        <is>
          <t>2025-09</t>
        </is>
      </c>
      <c r="C41" s="43">
        <f>9237.6711/2452.7844*100</f>
        <v/>
      </c>
      <c r="D41" s="43">
        <f>9614.0254/3799.9487*100</f>
        <v/>
      </c>
      <c r="E41" s="44">
        <f>C41/D41-1</f>
        <v/>
      </c>
      <c r="F41" s="45">
        <f>((9237.6711/9000.5641-1)-(9614.0254/9435.1467-1))*100</f>
        <v/>
      </c>
    </row>
    <row r="42">
      <c r="B42" s="16" t="inlineStr">
        <is>
          <t>2025-10</t>
        </is>
      </c>
      <c r="C42" s="43">
        <f>9474.6115/2452.7844*100</f>
        <v/>
      </c>
      <c r="D42" s="43">
        <f>9827.1413/3799.9487*100</f>
        <v/>
      </c>
      <c r="E42" s="44">
        <f>C42/D42-1</f>
        <v/>
      </c>
      <c r="F42" s="45">
        <f>((9474.6115/9237.6711-1)-(9827.1413/9614.0254-1))*100</f>
        <v/>
      </c>
    </row>
    <row r="43">
      <c r="B43" s="16" t="inlineStr">
        <is>
          <t>2025-11</t>
        </is>
      </c>
      <c r="C43" s="43">
        <f>9748.309/2452.7844*100</f>
        <v/>
      </c>
      <c r="D43" s="43">
        <f>10086.4793/3799.9487*100</f>
        <v/>
      </c>
      <c r="E43" s="44">
        <f>C43/D43-1</f>
        <v/>
      </c>
      <c r="F43" s="45">
        <f>((9748.309/9474.6115-1)-(10086.4793/9827.1413-1))*100</f>
        <v/>
      </c>
    </row>
    <row r="44">
      <c r="B44" s="16" t="inlineStr">
        <is>
          <t>2025-12</t>
        </is>
      </c>
      <c r="C44" s="43">
        <f>10069.0986/2452.7844*100</f>
        <v/>
      </c>
      <c r="D44" s="43">
        <f>10392.4922/3799.9487*100</f>
        <v/>
      </c>
      <c r="E44" s="44">
        <f>C44/D44-1</f>
        <v/>
      </c>
      <c r="F44" s="45">
        <f>((10069.0986/9748.309-1)-(10392.4922/10086.4793-1))*100</f>
        <v/>
      </c>
    </row>
    <row r="45">
      <c r="B45" s="16" t="inlineStr">
        <is>
          <t>2026-01</t>
        </is>
      </c>
      <c r="C45" s="43">
        <f>10313.8016/2452.7844*100</f>
        <v/>
      </c>
      <c r="D45" s="43">
        <f>10665.8531/3799.9487*100</f>
        <v/>
      </c>
      <c r="E45" s="44">
        <f>C45/D45-1</f>
        <v/>
      </c>
      <c r="F45" s="45">
        <f>((10313.8016/10069.0986-1)-(10665.8531/10392.4922-1))*100</f>
        <v/>
      </c>
    </row>
    <row r="46">
      <c r="B46" s="16" t="inlineStr">
        <is>
          <t>2026-02</t>
        </is>
      </c>
      <c r="C46" s="43">
        <f>10752.23/2452.7844*100</f>
        <v/>
      </c>
      <c r="D46" s="43">
        <f>10993.8681/3799.9487*100</f>
        <v/>
      </c>
      <c r="E46" s="44">
        <f>C46/D46-1</f>
        <v/>
      </c>
      <c r="F46" s="45">
        <f>((10752.23/10313.8016-1)-(10993.8681/10665.8531-1))*100</f>
        <v/>
      </c>
    </row>
    <row r="47">
      <c r="B47" s="16" t="inlineStr">
        <is>
          <t>2026-03</t>
        </is>
      </c>
      <c r="C47" s="43">
        <f>11298.7045/2452.7844*100</f>
        <v/>
      </c>
      <c r="D47" s="43">
        <f>11344.4566/3799.9487*100</f>
        <v/>
      </c>
      <c r="E47" s="44">
        <f>C47/D47-1</f>
        <v/>
      </c>
      <c r="F47" s="45">
        <f>((11298.7045/10752.23-1)-(11344.4566/10993.8681-1))*100</f>
        <v/>
      </c>
    </row>
    <row r="48">
      <c r="B48" s="16" t="inlineStr">
        <is>
          <t>2026-04</t>
        </is>
      </c>
      <c r="C48" s="43">
        <f>11828.0421/2452.7844*100</f>
        <v/>
      </c>
      <c r="D48" s="43">
        <f>11603.8447/3799.9487*100</f>
        <v/>
      </c>
      <c r="E48" s="44">
        <f>C48/D48-1</f>
        <v/>
      </c>
      <c r="F48" s="45">
        <f>((11828.0421/11298.7045-1)-(11603.8447/11344.4566-1))*100</f>
        <v/>
      </c>
    </row>
    <row r="49">
      <c r="B49" s="16" t="inlineStr">
        <is>
          <t>2026-05</t>
        </is>
      </c>
      <c r="C49" s="43">
        <f>12111.4533/2452.7844*100</f>
        <v/>
      </c>
      <c r="D49" s="43">
        <f>11824.7213/3799.9487*100</f>
        <v/>
      </c>
      <c r="E49" s="44">
        <f>C49/D49-1</f>
        <v/>
      </c>
      <c r="F49" s="45">
        <f>((12111.4533/11828.0421-1)-(11824.7213/11603.8447-1))*100</f>
        <v/>
      </c>
    </row>
    <row r="50">
      <c r="B50" s="16" t="inlineStr">
        <is>
          <t>2026-06</t>
        </is>
      </c>
      <c r="C50" s="43">
        <f>12389.4344/2452.7844*100</f>
        <v/>
      </c>
      <c r="D50" s="43">
        <f>12010.3199/3799.9487*100</f>
        <v/>
      </c>
      <c r="E50" s="44">
        <f>C50/D50-1</f>
        <v/>
      </c>
      <c r="F50" s="45">
        <f>((12389.4344/12111.4533-1)-(12010.3199/11824.7213-1))*100</f>
        <v/>
      </c>
    </row>
    <row r="51">
      <c r="B51" s="16" t="inlineStr">
        <is>
          <t>2026-07</t>
        </is>
      </c>
      <c r="C51" s="43">
        <f>12653.2257/2452.7844*100</f>
        <v/>
      </c>
      <c r="D51" s="43">
        <f>12223.6338/3799.9487*100</f>
        <v/>
      </c>
      <c r="E51" s="44">
        <f>C51/D51-1</f>
        <v/>
      </c>
      <c r="F51" s="45">
        <f>((12653.2257/12389.4344-1)-(12223.6338/12010.3199-1))*100</f>
        <v/>
      </c>
    </row>
    <row r="52">
      <c r="B52" s="16" t="inlineStr">
        <is>
          <t>2026-08</t>
        </is>
      </c>
      <c r="C52" s="43">
        <f>12935.8402/2452.7844*100</f>
        <v/>
      </c>
      <c r="D52" s="43">
        <f>12447.3427/3799.9487*100</f>
        <v/>
      </c>
      <c r="E52" s="44">
        <f>C52/D52-1</f>
        <v/>
      </c>
      <c r="F52" s="45">
        <f>((12935.8402/12653.2257-1)-(12447.3427/12223.6338-1))*100</f>
        <v/>
      </c>
    </row>
    <row r="54">
      <c r="B54" s="30" t="inlineStr">
        <is>
          <t>What this says</t>
        </is>
      </c>
    </row>
    <row r="55">
      <c r="B55" s="6" t="inlineStr">
        <is>
          <t>Measure</t>
        </is>
      </c>
      <c r="C55" s="6" t="inlineStr">
        <is>
          <t>Value</t>
        </is>
      </c>
      <c r="D55" s="6" t="inlineStr">
        <is>
          <t>Note</t>
        </is>
      </c>
    </row>
    <row r="56">
      <c r="B56" s="25" t="inlineStr">
        <is>
          <t>Regulados relative to core, Dec-2024</t>
        </is>
      </c>
      <c r="C56" s="26">
        <f>INDEX($E:$E,MATCH("2024-12",$B:$B,0))</f>
        <v/>
      </c>
      <c r="D56" s="28" t="inlineStr">
        <is>
          <t>Two-thirds of the whole correction happened in 2024 alone.</t>
        </is>
      </c>
    </row>
    <row r="57">
      <c r="B57" s="25" t="inlineStr">
        <is>
          <t>Same, Dec-2025</t>
        </is>
      </c>
      <c r="C57" s="26">
        <f>INDEX($E:$E,MATCH("2025-12",$B:$B,0))</f>
        <v/>
      </c>
      <c r="D57" s="28" t="inlineStr">
        <is>
          <t>The gap widened only 1.3pp across the whole of 2025.</t>
        </is>
      </c>
    </row>
    <row r="58">
      <c r="B58" s="25" t="inlineStr">
        <is>
          <t>Same, Aug-2026</t>
        </is>
      </c>
      <c r="C58" s="26">
        <f>INDEX($E:$E,MATCH("2026-08",$B:$B,0))</f>
        <v/>
      </c>
      <c r="D58" s="28" t="inlineStr">
        <is>
          <t>Regulated prices have risen 61% RELATIVE to core since the handover — and 2026 is the year the gap is widening fastest again.</t>
        </is>
      </c>
    </row>
    <row r="59">
      <c r="B59" s="25" t="inlineStr">
        <is>
          <t>Regulados cumulative since Dec-2023</t>
        </is>
      </c>
      <c r="C59" s="32">
        <f>INDEX($C:$C,MATCH("2026-08",$B:$B,0))/100-1</f>
        <v/>
      </c>
      <c r="D59" s="28" t="inlineStr">
        <is>
          <t>Against 227.6% for core and 247.4% for headline.</t>
        </is>
      </c>
    </row>
    <row r="61" ht="39" customHeight="1">
      <c r="B61" s="28" t="inlineStr">
        <is>
          <t>THE POINT WORTH MAKING, because almost nobody makes it: the disinflation is UNDERSTATED by the headline. On a like-for-like January-to-August comparison, headline inflation ran 21.3% in 2026 against 19.5% in 2025 — hotter. But core ran 19.8% against 20.8% — cooler. The entire difference is regulados, at 28.5% against 20.0%.</t>
        </is>
      </c>
    </row>
    <row r="62" ht="39" customHeight="1">
      <c r="B62" s="28" t="inlineStr">
        <is>
          <t>So the headline is being held above core by a deliberate, ongoing relative-price correction, while underlying prices are on a like-for-like basis slightly better behaved than last year. That is the tariff catch-up being measured as inflation. It is also why the correction is not finished: the 2027 Budget plans further subsidy withdrawal, which keeps headline above core into the election year.</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B63"/>
    <outlinePr summaryBelow="1" summaryRight="1"/>
    <pageSetUpPr fitToPage="1"/>
  </sheetPr>
  <dimension ref="B2:E34"/>
  <sheetViews>
    <sheetView showGridLines="0" workbookViewId="0">
      <selection activeCell="A1" sqref="A1"/>
    </sheetView>
  </sheetViews>
  <sheetFormatPr baseColWidth="8" defaultRowHeight="15"/>
  <cols>
    <col width="2" customWidth="1" min="1" max="1"/>
    <col width="30" customWidth="1" min="2" max="2"/>
    <col width="120" customWidth="1" min="3" max="3"/>
    <col width="40" customWidth="1" min="4" max="4"/>
    <col width="80" customWidth="1" min="5" max="5"/>
  </cols>
  <sheetData>
    <row r="2" ht="26" customHeight="1">
      <c r="B2" s="1" t="inlineStr">
        <is>
          <t>Sources, and what could not be sourced</t>
        </is>
      </c>
    </row>
    <row r="3">
      <c r="B3" s="2" t="inlineStr">
        <is>
          <t>Primary where possible. Every non-primary or derived series is called out explicitly.</t>
        </is>
      </c>
    </row>
    <row r="5" ht="26" customHeight="1">
      <c r="B5" s="6" t="inlineStr">
        <is>
          <t>Series</t>
        </is>
      </c>
      <c r="C5" s="6" t="inlineStr">
        <is>
          <t>Source</t>
        </is>
      </c>
      <c r="D5" s="6" t="inlineStr">
        <is>
          <t>Identifier</t>
        </is>
      </c>
      <c r="E5" s="6" t="inlineStr">
        <is>
          <t>Status and caveats</t>
        </is>
      </c>
    </row>
    <row r="6" ht="65" customHeight="1">
      <c r="B6" s="25" t="inlineStr">
        <is>
          <t>CPI (headline, core, regulated, seasonal)</t>
        </is>
      </c>
      <c r="C6" s="28" t="inlineStr">
        <is>
          <t>INDEC, IPC nacional, base dic-2016 = 100</t>
        </is>
      </c>
      <c r="D6" s="28" t="inlineStr">
        <is>
          <t>apis.datos.gob.ar series 148.3_INIVELNAL_DICI_M_26 and the core/regulated/seasonal equivalents</t>
        </is>
      </c>
      <c r="E6" s="28" t="inlineStr">
        <is>
          <t>PRIMARY. Jul and Aug-2026 index levels are RECONSTRUCTED from the INDEC press release (the m/m, vs-Dec and y/y solved simultaneously); every percentage shown matches the published print. Validation: compounded m/m reproduces INDEC's Dec/Dec for 2019 53.8, 2020 36.1, 2021 50.9, 2022 94.8, 2023 211.4, 2024 117.8, 2025 31.5.</t>
        </is>
      </c>
    </row>
    <row r="7" ht="39" customHeight="1">
      <c r="B7" s="25" t="inlineStr">
        <is>
          <t>BADLAR private banks</t>
        </is>
      </c>
      <c r="C7" s="28" t="inlineStr">
        <is>
          <t>BCRA, Monetary Variables API v4.0, variable id 7</t>
        </is>
      </c>
      <c r="D7" s="28" t="inlineStr">
        <is>
          <t>api.bcra.gob.ar/estadisticas/v4.0/monetarias/7</t>
        </is>
      </c>
      <c r="E7" s="28" t="inlineStr">
        <is>
          <t>PRIMARY. End-month (last business day), % TNA. Chosen deliberately as the ONE instrument that runs continuously across the whole window - the policy rate does not, because the instrument was abolished on 9-Jun-2025.</t>
        </is>
      </c>
    </row>
    <row r="8" ht="39" customHeight="1">
      <c r="B8" s="25" t="inlineStr">
        <is>
          <t>Gross international reserves</t>
        </is>
      </c>
      <c r="C8" s="28" t="inlineStr">
        <is>
          <t>BCRA, Monetary Variables API v4.0, variable id 1</t>
        </is>
      </c>
      <c r="D8" s="28" t="inlineStr">
        <is>
          <t>api.bcra.gob.ar/estadisticas/v4.0/monetarias/1</t>
        </is>
      </c>
      <c r="E8" s="28" t="inlineStr">
        <is>
          <t>PRIMARY. GROSS, not net. Last business day of each month (the BCRA publishes no month-end calendar value). Every month-end date was machine-checked against the last business day.</t>
        </is>
      </c>
    </row>
    <row r="9" ht="78" customHeight="1">
      <c r="B9" s="25" t="inlineStr">
        <is>
          <t>BCRA FX intervention (reserve impact)</t>
        </is>
      </c>
      <c r="C9" s="28" t="inlineStr">
        <is>
          <t>BCRA, Monetary Variables API v4.0, variable id 78</t>
        </is>
      </c>
      <c r="D9" s="28" t="inlineStr">
        <is>
          <t>api.bcra.gob.ar/estadisticas/v4.0/monetarias/78</t>
        </is>
      </c>
      <c r="E9" s="28" t="inlineStr">
        <is>
          <t>PRIMARY. Daily rows summed to calendar months, row counts reconciled against the API's own resultset count. This is the reserve change ATTRIBUTABLE TO FX PURCHASES, which is close to but not definitionally identical with the balance-cambiario 'compras netas en el mercado de cambios' line. Zeros are genuine non-intervention (Mar-Jul 2019 under the IMF programme; May-Aug and Nov-Dec 2025 inside the band), not missing data. Sep-2026 covers through 25 Sep only.</t>
        </is>
      </c>
    </row>
    <row r="10" ht="26" customHeight="1">
      <c r="B10" s="25" t="inlineStr">
        <is>
          <t>Official exchange rate</t>
        </is>
      </c>
      <c r="C10" s="28" t="inlineStr">
        <is>
          <t>BCRA, Monetary Variables API v4.0, variable id 5</t>
        </is>
      </c>
      <c r="D10" s="28" t="inlineStr">
        <is>
          <t>api.bcra.gob.ar/estadisticas/v4.0/monetarias/5</t>
        </is>
      </c>
      <c r="E10" s="28" t="inlineStr">
        <is>
          <t>PRIMARY. Wholesale / mayorista (Com. A 3500), end-month. The flat ~350 from Aug to Oct 2023 is the real post-PASO peg, not a data error.</t>
        </is>
      </c>
    </row>
    <row r="11" ht="52" customHeight="1">
      <c r="B11" s="46" t="inlineStr">
        <is>
          <t>Parallel exchange rate (dolar blue, venta)</t>
        </is>
      </c>
      <c r="C11" s="47" t="inlineStr">
        <is>
          <t>dolarhistorico.com monthly historical tables</t>
        </is>
      </c>
      <c r="D11" s="47" t="inlineStr">
        <is>
          <t>dolarhistorico.com/cotizacion-dolar-blue</t>
        </is>
      </c>
      <c r="E11" s="47" t="inlineStr">
        <is>
          <t>NOT PRIMARY - aggregator tier. The BCRA publishes no parallel rate, and Ambito's historical table is POST-form only and could not be reached. This is the blue ASK; the bid runs roughly ARS 20 lower late in the sample. The one series in this pack that is not from a primary source.</t>
        </is>
      </c>
    </row>
    <row r="12" ht="52" customHeight="1">
      <c r="B12" s="25" t="inlineStr">
        <is>
          <t>FX gap</t>
        </is>
      </c>
      <c r="C12" s="28" t="inlineStr">
        <is>
          <t>Derived: blue venta / official mayorista - 1</t>
        </is>
      </c>
      <c r="D12" s="28" t="inlineStr">
        <is>
          <t>-</t>
        </is>
      </c>
      <c r="E12" s="28" t="inlineStr">
        <is>
          <t>Inherits the non-primary flag on the parallel leg. NOTE: these are MONTH-END values. The widely-quoted 214% peak is an INTRA-MONTH figure (blue 1,100 against the 350.01 peg on 23-24 Oct 2023). The widest month-end gap is 162.9% in Oct-2023. Use the right one for the right sentence.</t>
        </is>
      </c>
    </row>
    <row r="13" ht="117" customHeight="1">
      <c r="B13" s="46" t="inlineStr">
        <is>
          <t>Bilateral real exchange rate</t>
        </is>
      </c>
      <c r="C13" s="47" t="inlineStr">
        <is>
          <t>Derived: official FX deflated by Argentine CPI, indexed</t>
        </is>
      </c>
      <c r="D13" s="47" t="inlineStr">
        <is>
          <t>-</t>
        </is>
      </c>
      <c r="E13" s="47" t="inlineStr">
        <is>
          <t>DERIVED, NOT the BCRA's ITCRM. The BCRA's multilateral index is published only as an xlsx that could not be retrieved in this environment (the host is blocked by proxy policy and the API's 1,028-variable catalogue contains no multilateral RER series). This is a BILATERAL real rate against the USD, deflated by Argentine CPI only - so it ignores US inflation and third-country trade weights, and is therefore a cruder measure than the ITCRM. It is adequate for showing the direction and rough scale of the overvaluation and should be labelled as a bilateral measure in anything client-facing. Known ITCRM anchors for cross-reference: about 162 at Dec-2023, 84.59 at 27-Apr-2026, post-convertibility average about 129.3.</t>
        </is>
      </c>
    </row>
    <row r="14" ht="91" customHeight="1">
      <c r="B14" s="25" t="inlineStr">
        <is>
          <t>BCRA financing of the Treasury</t>
        </is>
      </c>
      <c r="C14" s="28" t="inlineStr">
        <is>
          <t>BCRA, Informe Monetario Mensual, December editions; Informe Anual al Congreso 2024</t>
        </is>
      </c>
      <c r="D14" s="28" t="inlineStr">
        <is>
          <t>Bol1219, Bol1220, Bol1221, Bol1222, informe-monetario-mensual-dic-2023, Informecongreso2024</t>
        </is>
      </c>
      <c r="E14" s="28" t="inlineStr">
        <is>
          <t>PRIMARY for 2019-2023: the 'Adelantos Transitorios y Transferencia de Utilidades al Gobierno Nacional' line in the factores de variacion de la base monetaria, accumulated for the year. The BCRA publishes the two channels as ONE combined line and they cannot be separated. 2024-2026 are entered as ZERO on the strength of the BCRA's own statement that there was no net financing of the Treasury in 2024; a published zero and an unpublished series are not the same thing, so treat the zeros as 'no net financing reported' rather than a measured zero.</t>
        </is>
      </c>
    </row>
    <row r="15" ht="52" customHeight="1">
      <c r="B15" s="25" t="inlineStr">
        <is>
          <t>Financing as a share of base money expansion</t>
        </is>
      </c>
      <c r="C15" s="28" t="inlineStr">
        <is>
          <t>BCRA, Informe Monetario Mensual, December editions</t>
        </is>
      </c>
      <c r="D15" s="28" t="inlineStr">
        <is>
          <t>same as above</t>
        </is>
      </c>
      <c r="E15" s="28" t="inlineStr">
        <is>
          <t>PRIMARY. 2022 was not published in the edition retrieved and is left EMPTY, not estimated. This is the scale-free way to read the financing bars - a nominal ARS series in an economy running 200%+ inflation makes later years look larger for the wrong reason.</t>
        </is>
      </c>
    </row>
    <row r="16" ht="52" customHeight="1">
      <c r="B16" s="46" t="inlineStr">
        <is>
          <t>Monetary financing, % of GDP</t>
        </is>
      </c>
      <c r="C16" s="47" t="inlineStr">
        <is>
          <t>IMF Country Report 25/3 (Ex-Post Evaluation) para.6 and para.31; BCRA Informe al Congreso 2023 p.15</t>
        </is>
      </c>
      <c r="D16" s="47" t="inlineStr">
        <is>
          <t>CR 25/3; Informecongreso2023</t>
        </is>
      </c>
      <c r="E16" s="47" t="inlineStr">
        <is>
          <t>MIXED DEFINITION ACROSS YEARS - never plot as a single line. The IMF's 2020 and 2021 figures INCLUDE transfers of valuation gains on FX-denominated non-tradable Treasury securities; the BCRA's 2023 figure is adelantos plus utilidades only. Shown here as separate labelled points for exactly that reason.</t>
        </is>
      </c>
    </row>
    <row r="17" ht="65" customHeight="1">
      <c r="B17" s="25" t="inlineStr">
        <is>
          <t>Fiscal balance</t>
        </is>
      </c>
      <c r="C17" s="28" t="inlineStr">
        <is>
          <t>Secretaria de Hacienda / MECON releases; IMF Article IV 2026</t>
        </is>
      </c>
      <c r="D17" s="28" t="inlineStr">
        <is>
          <t>IMF CR 2026/105</t>
        </is>
      </c>
      <c r="E17" s="28" t="inlineStr">
        <is>
          <t>2025's overall balance of +0.2% EXCLUDES interest on zero-coupon bonds recorded below the line, so it is not like-for-like with 2023's -6.0%, which is a cash concept including all interest. 2026 is EIGHT MONTHS accumulated, not a full year, against an IMF full-year target of 1.4%. A clean monthly series for a true 12-month rolling chart could not be sourced - see the gaps note on this tab.</t>
        </is>
      </c>
    </row>
    <row r="18" ht="39" customHeight="1">
      <c r="B18" s="46" t="inlineStr">
        <is>
          <t>Energy subsidies</t>
        </is>
      </c>
      <c r="C18" s="47" t="inlineStr">
        <is>
          <t>Palacio de Hacienda estimates via Infobae 14-Jan-2024 (2019-21, 2023); CIPPEC (2022); IMF review via El Cronista 30-May-2026 (2024-25)</t>
        </is>
      </c>
      <c r="D18" s="47" t="inlineStr">
        <is>
          <t>various</t>
        </is>
      </c>
      <c r="E18" s="47" t="inlineStr">
        <is>
          <t>THREE SOURCES SPLICED on an energy-only definition. The 2026 and 2027 Budget figures circulate on an energy+transport basis and are NOT merged in here. Coverage differs across the splice - relabel before using in client-facing work.</t>
        </is>
      </c>
    </row>
    <row r="19" ht="26" customHeight="1">
      <c r="B19" s="46" t="inlineStr">
        <is>
          <t>EXCLUDED</t>
        </is>
      </c>
      <c r="C19" s="47" t="inlineStr">
        <is>
          <t>teleSUR</t>
        </is>
      </c>
      <c r="D19" s="47" t="inlineStr">
        <is>
          <t>-</t>
        </is>
      </c>
      <c r="E19" s="47" t="inlineStr">
        <is>
          <t>Excluded as unreliable per standing research policy. Not used anywhere in this workbook.</t>
        </is>
      </c>
    </row>
    <row r="22">
      <c r="B22" s="3" t="inlineStr">
        <is>
          <t>Could not be sourced — flagged, not filled</t>
        </is>
      </c>
    </row>
    <row r="23">
      <c r="B23" s="48" t="inlineStr">
        <is>
          <t>Series</t>
        </is>
      </c>
      <c r="C23" s="6" t="inlineStr">
        <is>
          <t>Why, and how to close it</t>
        </is>
      </c>
      <c r="D23" s="49" t="n"/>
      <c r="E23" s="49" t="n"/>
    </row>
    <row r="24" ht="26" customHeight="1">
      <c r="B24" s="25" t="inlineStr">
        <is>
          <t>Monthly fiscal balance, for a true 12-month rolling chart</t>
        </is>
      </c>
      <c r="C24" s="28" t="inlineStr">
        <is>
          <t>MECON's monthly ejecu_mensual PDFs are robots-disallowed from this environment and the datos.gob.ar IMIG distribution was unreachable. The Fiscal tab therefore shows ANNUAL bars, which carry the same argument. Closing it properly needs the OPC (opc.gob.ar) or Presupuesto Abierto series pulled interactively.</t>
        </is>
      </c>
    </row>
    <row r="25" ht="26" customHeight="1">
      <c r="B25" s="25" t="inlineStr">
        <is>
          <t>BCRA ITCRM multilateral real exchange rate, monthly</t>
        </is>
      </c>
      <c r="C25" s="28" t="inlineStr">
        <is>
          <t>Published only as an xlsx on a host blocked by proxy policy; the API's 1,028-variable catalogue has no multilateral RER series. The Overvaluation tab uses a derived BILATERAL real rate instead, clearly labelled. One manual download of ITCRMSerie.xlsx closes this.</t>
        </is>
      </c>
    </row>
    <row r="26" ht="13" customHeight="1">
      <c r="B26" s="25" t="inlineStr">
        <is>
          <t>BCRA financing 2024-2026 as a published figure</t>
        </is>
      </c>
      <c r="C26" s="28" t="inlineStr">
        <is>
          <t>Entered as zero from the BCRA's statement that there was no net financing in 2024. A published series confirming zero for 2025 and 2026 YTD was not located.</t>
        </is>
      </c>
    </row>
    <row r="27" ht="13" customHeight="1">
      <c r="B27" s="25" t="inlineStr">
        <is>
          <t>Financing as a share of base money expansion, 2022</t>
        </is>
      </c>
      <c r="C27" s="28" t="inlineStr">
        <is>
          <t>Not published in the IMM edition retrieved. Left empty rather than estimated.</t>
        </is>
      </c>
    </row>
    <row r="28" ht="39" customHeight="1">
      <c r="B28" s="25" t="inlineStr">
        <is>
          <t>Expected inflation before March 2026, for a true ex-ante real rate</t>
        </is>
      </c>
      <c r="C28" s="28" t="inlineStr">
        <is>
          <t>The BCRA REM's summary tables would not machine-read for any round attempted. The Real Rates tab therefore shows a perfect-foresight ex-ante proxy (the rate set this month against the inflation that actually followed next month) alongside the conventional ex-post rate, and the true REM-based ex-ante where it exists from Mar-2026. The proxy is labelled as such on the tab.</t>
        </is>
      </c>
    </row>
    <row r="31">
      <c r="B31" s="30" t="inlineStr">
        <is>
          <t>How the BCRA data was verified</t>
        </is>
      </c>
    </row>
    <row r="32" ht="39" customHeight="1">
      <c r="B32" s="28" t="inlineStr">
        <is>
          <t>All BCRA series came from the Monetary Variables REST API, version 4.0 (v2.0 and v3.0 are retired and return HTTP 410). Direct egress to bcra.gob.ar is blocked by proxy policy in this environment, so everything was fetched through a tool whose summarising layer proved unreliable twice during the pull — it mis-picked a month-end value and mis-added a column of daily flows.</t>
        </is>
      </c>
    </row>
    <row r="33" ht="52" customHeight="1">
      <c r="B33" s="28" t="inlineStr">
        <is>
          <t>Mitigations applied: month-end stocks were taken with a single-row query on a one-month window, which removes any judgment from the extraction, and all 93 month-end dates were machine-checked against the last business day of each month. Five months were re-fetched authoritatively after the check. Every monthly intervention total was summed in code from the raw daily rows, and the row counts were reconciled against the API's own record count for each year — all eight years matched.</t>
        </is>
      </c>
    </row>
    <row r="34" ht="39" customHeight="1">
      <c r="B34" s="28" t="inlineStr">
        <is>
          <t>The CPI series carries its own validation gate: compounded monthly rates reproduce INDEC's published December-on-December prints exactly for 2019 through 2025. July and August 2026 index LEVELS are reconstructed from the INDEC press release rather than the API, by solving the published m/m, versus-December and year-on-year figures simultaneously; every percentage the workbook displays matches the published print to INDEC's own decimal.</t>
        </is>
      </c>
    </row>
  </sheetData>
  <mergeCells count="6">
    <mergeCell ref="C28:E28"/>
    <mergeCell ref="C27:E27"/>
    <mergeCell ref="C23:E23"/>
    <mergeCell ref="C26:E26"/>
    <mergeCell ref="C25:E25"/>
    <mergeCell ref="C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2026-10-01T14:45:18Z</dcterms:created>
  <dcterms:modified xmlns:dcterms="http://purl.org/dc/terms/" xmlns:xsi="http://www.w3.org/2001/XMLSchema-instance" xsi:type="dcterms:W3CDTF">2026-10-01T14:45:18Z</dcterms:modified>
</cp:coreProperties>
</file>