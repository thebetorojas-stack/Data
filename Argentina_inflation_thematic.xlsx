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6.xml" ContentType="application/vnd.openxmlformats-officedocument.drawing+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drawings/drawing7.xml" ContentType="application/vnd.openxmlformats-officedocument.drawing+xml"/>
  <Override PartName="/xl/worksheets/sheet14.xml" ContentType="application/vnd.openxmlformats-officedocument.spreadsheetml.worksheet+xml"/>
  <Override PartName="/xl/drawings/drawing8.xml" ContentType="application/vnd.openxmlformats-officedocument.drawing+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drawings/drawing9.xml" ContentType="application/vnd.openxmlformats-officedocument.drawing+xml"/>
  <Override PartName="/xl/worksheets/sheet17.xml" ContentType="application/vnd.openxmlformats-officedocument.spreadsheetml.worksheet+xml"/>
  <Override PartName="/xl/drawings/drawing10.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ources" sheetId="2" state="visible" r:id="rId2"/>
    <sheet xmlns:r="http://schemas.openxmlformats.org/officeDocument/2006/relationships" name="CPI Data" sheetId="3" state="visible" r:id="rId3"/>
    <sheet xmlns:r="http://schemas.openxmlformats.org/officeDocument/2006/relationships" name="Seasonality Headline" sheetId="4" state="visible" r:id="rId4"/>
    <sheet xmlns:r="http://schemas.openxmlformats.org/officeDocument/2006/relationships" name="Seasonality Core" sheetId="5" state="visible" r:id="rId5"/>
    <sheet xmlns:r="http://schemas.openxmlformats.org/officeDocument/2006/relationships" name="Seasonal Factors" sheetId="6" state="visible" r:id="rId6"/>
    <sheet xmlns:r="http://schemas.openxmlformats.org/officeDocument/2006/relationships" name="Momentum" sheetId="7" state="visible" r:id="rId7"/>
    <sheet xmlns:r="http://schemas.openxmlformats.org/officeDocument/2006/relationships" name="Components" sheetId="8" state="visible" r:id="rId8"/>
    <sheet xmlns:r="http://schemas.openxmlformats.org/officeDocument/2006/relationships" name="Inheritance" sheetId="9" state="visible" r:id="rId9"/>
    <sheet xmlns:r="http://schemas.openxmlformats.org/officeDocument/2006/relationships" name="Hyperinflation" sheetId="10" state="visible" r:id="rId10"/>
    <sheet xmlns:r="http://schemas.openxmlformats.org/officeDocument/2006/relationships" name="Real Rates" sheetId="11" state="visible" r:id="rId11"/>
    <sheet xmlns:r="http://schemas.openxmlformats.org/officeDocument/2006/relationships" name="Expectations" sheetId="12" state="visible" r:id="rId12"/>
    <sheet xmlns:r="http://schemas.openxmlformats.org/officeDocument/2006/relationships" name="Forecast" sheetId="13" state="visible" r:id="rId13"/>
    <sheet xmlns:r="http://schemas.openxmlformats.org/officeDocument/2006/relationships" name="Models" sheetId="14" state="visible" r:id="rId14"/>
    <sheet xmlns:r="http://schemas.openxmlformats.org/officeDocument/2006/relationships" name="Approval Model" sheetId="15" state="visible" r:id="rId15"/>
    <sheet xmlns:r="http://schemas.openxmlformats.org/officeDocument/2006/relationships" name="Regime Map" sheetId="16" state="visible" r:id="rId16"/>
    <sheet xmlns:r="http://schemas.openxmlformats.org/officeDocument/2006/relationships" name="Elections" sheetId="17" state="visible" r:id="rId17"/>
  </sheets>
  <definedNames>
    <definedName name="Forecast_Base27">Forecast!$D$46</definedName>
  </definedNames>
  <calcPr calcId="124519" fullCalcOnLoad="1"/>
</workbook>
</file>

<file path=xl/styles.xml><?xml version="1.0" encoding="utf-8"?>
<styleSheet xmlns="http://schemas.openxmlformats.org/spreadsheetml/2006/main">
  <numFmts count="19">
    <numFmt numFmtId="164" formatCode="0.0%"/>
    <numFmt numFmtId="165" formatCode="+0.00;-0.00;0.00"/>
    <numFmt numFmtId="166" formatCode="0.0"/>
    <numFmt numFmtId="167" formatCode="0.00x"/>
    <numFmt numFmtId="168" formatCode="+0.0%"/>
    <numFmt numFmtId="169" formatCode="0.00&quot;x&quot;"/>
    <numFmt numFmtId="170" formatCode="#,##0.0"/>
    <numFmt numFmtId="171" formatCode="0.0&quot;% per month&quot;"/>
    <numFmt numFmtId="172" formatCode="#,##0.0%"/>
    <numFmt numFmtId="173" formatCode="#,##0%"/>
    <numFmt numFmtId="174" formatCode="0.0&quot;%&quot;"/>
    <numFmt numFmtId="175" formatCode="0.0&quot;% of GDP&quot;"/>
    <numFmt numFmtId="176" formatCode="#,##0&quot; USD mn&quot;"/>
    <numFmt numFmtId="177" formatCode="0.0&quot;x&quot;"/>
    <numFmt numFmtId="178" formatCode="0.0000"/>
    <numFmt numFmtId="179" formatCode="0.000%"/>
    <numFmt numFmtId="180" formatCode="0.000"/>
    <numFmt numFmtId="181" formatCode="+0;-0;0"/>
    <numFmt numFmtId="182" formatCode="+0.0;-0.0;0.0"/>
  </numFmts>
  <fonts count="28">
    <font>
      <name val="Calibri"/>
      <family val="2"/>
      <color theme="1"/>
      <sz val="11"/>
      <scheme val="minor"/>
    </font>
    <font>
      <name val="Arial"/>
      <b val="1"/>
      <color rgb="00FFFFFF"/>
      <sz val="14"/>
    </font>
    <font>
      <name val="Arial"/>
      <i val="1"/>
      <color rgb="006B6B6B"/>
      <sz val="9"/>
    </font>
    <font>
      <name val="Arial"/>
      <b val="1"/>
      <color rgb="00E60000"/>
      <sz val="11"/>
    </font>
    <font>
      <name val="Arial"/>
      <b val="1"/>
      <color rgb="001A1A1A"/>
      <sz val="10"/>
    </font>
    <font>
      <name val="Arial"/>
      <color rgb="001A1A1A"/>
      <sz val="10"/>
    </font>
    <font>
      <name val="Arial"/>
      <b val="1"/>
      <color rgb="001A1A1A"/>
      <sz val="9"/>
    </font>
    <font>
      <name val="Arial"/>
      <color rgb="001A1A1A"/>
      <sz val="9"/>
    </font>
    <font>
      <name val="Arial"/>
      <b val="1"/>
      <color rgb="00E60000"/>
      <sz val="9"/>
    </font>
    <font>
      <name val="Arial"/>
      <color rgb="00E60000"/>
      <sz val="9"/>
    </font>
    <font>
      <name val="Arial"/>
      <b val="1"/>
      <color rgb="001F3B63"/>
      <sz val="11"/>
    </font>
    <font>
      <name val="Arial"/>
      <color rgb="006B6B6B"/>
      <sz val="9"/>
    </font>
    <font>
      <name val="Arial"/>
      <color rgb="000000FF"/>
      <sz val="9"/>
    </font>
    <font>
      <name val="Arial"/>
      <i val="1"/>
      <color rgb="006B6B6B"/>
      <sz val="8"/>
    </font>
    <font>
      <name val="Arial"/>
      <color rgb="001A1A1A"/>
      <sz val="8"/>
    </font>
    <font>
      <name val="Arial"/>
      <color rgb="006B6B6B"/>
      <sz val="8"/>
    </font>
    <font>
      <name val="Arial"/>
      <b val="1"/>
      <color rgb="001A1A1A"/>
      <sz val="8"/>
    </font>
    <font>
      <name val="Arial"/>
      <color rgb="006B6B6B"/>
      <sz val="7"/>
    </font>
    <font>
      <name val="Arial"/>
      <color rgb="00E60000"/>
      <sz val="8"/>
    </font>
    <font>
      <name val="Arial"/>
      <color rgb="00007A33"/>
      <sz val="9"/>
    </font>
    <font>
      <name val="Arial"/>
      <b val="1"/>
      <color rgb="001F3B63"/>
      <sz val="9"/>
    </font>
    <font>
      <name val="Arial"/>
      <b val="1"/>
      <color rgb="00C00000"/>
      <sz val="9"/>
    </font>
    <font>
      <name val="Arial"/>
      <b val="1"/>
      <color rgb="001F3B63"/>
      <sz val="10"/>
    </font>
    <font>
      <name val="Arial"/>
      <b val="1"/>
      <color rgb="00E60000"/>
      <sz val="13"/>
    </font>
    <font>
      <name val="Arial"/>
      <b val="1"/>
      <color rgb="00007A33"/>
      <sz val="9"/>
    </font>
    <font>
      <name val="Arial"/>
      <color rgb="000000FF"/>
      <sz val="8"/>
    </font>
    <font>
      <name val="Arial"/>
      <b val="1"/>
      <color rgb="006B6B6B"/>
      <sz val="9"/>
    </font>
    <font>
      <name val="Arial"/>
      <color rgb="00007A33"/>
      <sz val="8"/>
    </font>
  </fonts>
  <fills count="7">
    <fill>
      <patternFill/>
    </fill>
    <fill>
      <patternFill patternType="gray125"/>
    </fill>
    <fill>
      <patternFill patternType="solid">
        <fgColor rgb="001F3B63"/>
      </patternFill>
    </fill>
    <fill>
      <patternFill patternType="solid">
        <fgColor rgb="00F2F4F7"/>
      </patternFill>
    </fill>
    <fill>
      <patternFill patternType="solid">
        <fgColor rgb="00FFF6CC"/>
      </patternFill>
    </fill>
    <fill>
      <patternFill patternType="solid">
        <fgColor rgb="00FFE9E9"/>
      </patternFill>
    </fill>
    <fill>
      <patternFill patternType="solid">
        <fgColor rgb="00F7F7F7"/>
      </patternFill>
    </fill>
  </fills>
  <borders count="3">
    <border>
      <left/>
      <right/>
      <top/>
      <bottom/>
      <diagonal/>
    </border>
    <border>
      <bottom style="thin">
        <color rgb="001F3B63"/>
      </bottom>
    </border>
    <border>
      <left/>
      <right/>
      <top/>
      <bottom style="thin">
        <color rgb="001F3B63"/>
      </bottom>
      <diagonal/>
    </border>
  </borders>
  <cellStyleXfs count="1">
    <xf numFmtId="0" fontId="0" fillId="0" borderId="0"/>
  </cellStyleXfs>
  <cellXfs count="100">
    <xf numFmtId="0" fontId="0" fillId="0" borderId="0" pivotButton="0" quotePrefix="0" xfId="0"/>
    <xf numFmtId="0" fontId="1" fillId="2" borderId="0" applyAlignment="1" pivotButton="0" quotePrefix="0" xfId="0">
      <alignment vertical="center"/>
    </xf>
    <xf numFmtId="0" fontId="2" fillId="0" borderId="0" pivotButton="0" quotePrefix="0" xfId="0"/>
    <xf numFmtId="0" fontId="3" fillId="0" borderId="0" pivotButton="0" quotePrefix="0" xfId="0"/>
    <xf numFmtId="0" fontId="4" fillId="0" borderId="0" pivotButton="0" quotePrefix="0" xfId="0"/>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0" borderId="0" pivotButton="0" quotePrefix="0" xfId="0"/>
    <xf numFmtId="0" fontId="0" fillId="0" borderId="2" pivotButton="0" quotePrefix="0" xfId="0"/>
    <xf numFmtId="0" fontId="7" fillId="0" borderId="0" pivotButton="0" quotePrefix="0" xfId="0"/>
    <xf numFmtId="1" fontId="11" fillId="0" borderId="0" pivotButton="0" quotePrefix="0" xfId="0"/>
    <xf numFmtId="4" fontId="12" fillId="0" borderId="0" pivotButton="0" quotePrefix="0" xfId="0"/>
    <xf numFmtId="4" fontId="12" fillId="4" borderId="0" pivotButton="0" quotePrefix="0" xfId="0"/>
    <xf numFmtId="10" fontId="7" fillId="0" borderId="0" pivotButton="0" quotePrefix="0" xfId="0"/>
    <xf numFmtId="164" fontId="7" fillId="0" borderId="0" pivotButton="0" quotePrefix="0" xfId="0"/>
    <xf numFmtId="165" fontId="7" fillId="0" borderId="0" pivotButton="0" quotePrefix="0" xfId="0"/>
    <xf numFmtId="166" fontId="7" fillId="0" borderId="0" pivotButton="0" quotePrefix="0" xfId="0"/>
    <xf numFmtId="4" fontId="12" fillId="5" borderId="0" pivotButton="0" quotePrefix="0" xfId="0"/>
    <xf numFmtId="0" fontId="6" fillId="3" borderId="1" applyAlignment="1" pivotButton="0" quotePrefix="0" xfId="0">
      <alignment horizontal="center" vertical="center"/>
    </xf>
    <xf numFmtId="1" fontId="6" fillId="3" borderId="1" applyAlignment="1" pivotButton="0" quotePrefix="0" xfId="0">
      <alignment horizontal="center" vertical="center"/>
    </xf>
    <xf numFmtId="0" fontId="6" fillId="0" borderId="0" pivotButton="0" quotePrefix="0" xfId="0"/>
    <xf numFmtId="0" fontId="8" fillId="0" borderId="0" pivotButton="0" quotePrefix="0" xfId="0"/>
    <xf numFmtId="164" fontId="8" fillId="0" borderId="0" pivotButton="0" quotePrefix="0" xfId="0"/>
    <xf numFmtId="10" fontId="11" fillId="0" borderId="0" pivotButton="0" quotePrefix="0" xfId="0"/>
    <xf numFmtId="0" fontId="13" fillId="0" borderId="0" applyAlignment="1" pivotButton="0" quotePrefix="0" xfId="0">
      <alignment vertical="top"/>
    </xf>
    <xf numFmtId="167" fontId="7" fillId="0" borderId="0" pivotButton="0" quotePrefix="0" xfId="0"/>
    <xf numFmtId="167" fontId="8" fillId="0" borderId="0" pivotButton="0" quotePrefix="0" xfId="0"/>
    <xf numFmtId="10" fontId="8" fillId="0" borderId="0" pivotButton="0" quotePrefix="0" xfId="0"/>
    <xf numFmtId="164" fontId="11" fillId="0" borderId="0" pivotButton="0" quotePrefix="0" xfId="0"/>
    <xf numFmtId="168" fontId="8" fillId="0" borderId="0" pivotButton="0" quotePrefix="0" xfId="0"/>
    <xf numFmtId="3" fontId="12" fillId="0" borderId="0" pivotButton="0" quotePrefix="0" xfId="0"/>
    <xf numFmtId="0" fontId="14" fillId="0" borderId="0" applyAlignment="1" pivotButton="0" quotePrefix="0" xfId="0">
      <alignment vertical="top" wrapText="1"/>
    </xf>
    <xf numFmtId="0" fontId="13" fillId="0" borderId="0" applyAlignment="1" pivotButton="0" quotePrefix="0" xfId="0">
      <alignment horizontal="center"/>
    </xf>
    <xf numFmtId="166" fontId="12" fillId="0" borderId="0" pivotButton="0" quotePrefix="0" xfId="0"/>
    <xf numFmtId="3" fontId="7" fillId="0" borderId="0" pivotButton="0" quotePrefix="0" xfId="0"/>
    <xf numFmtId="169" fontId="7" fillId="0" borderId="0" pivotButton="0" quotePrefix="0" xfId="0"/>
    <xf numFmtId="170" fontId="12" fillId="0" borderId="0" pivotButton="0" quotePrefix="0" xfId="0"/>
    <xf numFmtId="0" fontId="15" fillId="0" borderId="0" pivotButton="0" quotePrefix="0" xfId="0"/>
    <xf numFmtId="169" fontId="8" fillId="0" borderId="0" pivotButton="0" quotePrefix="0" xfId="0"/>
    <xf numFmtId="0" fontId="16" fillId="0" borderId="0" pivotButton="0" quotePrefix="0" xfId="0"/>
    <xf numFmtId="0" fontId="17" fillId="0" borderId="0" applyAlignment="1" pivotButton="0" quotePrefix="0" xfId="0">
      <alignment vertical="top" wrapText="1"/>
    </xf>
    <xf numFmtId="171" fontId="12" fillId="0" borderId="0" pivotButton="0" quotePrefix="0" xfId="0"/>
    <xf numFmtId="172" fontId="7" fillId="0" borderId="0" pivotButton="0" quotePrefix="0" xfId="0"/>
    <xf numFmtId="2" fontId="7" fillId="0" borderId="0" pivotButton="0" quotePrefix="0" xfId="0"/>
    <xf numFmtId="164" fontId="12" fillId="0" borderId="0" pivotButton="0" quotePrefix="0" xfId="0"/>
    <xf numFmtId="173" fontId="7" fillId="0" borderId="0" pivotButton="0" quotePrefix="0" xfId="0"/>
    <xf numFmtId="174" fontId="8" fillId="0" borderId="0" pivotButton="0" quotePrefix="0" xfId="0"/>
    <xf numFmtId="175" fontId="8" fillId="0" borderId="0" pivotButton="0" quotePrefix="0" xfId="0"/>
    <xf numFmtId="176" fontId="8" fillId="0" borderId="0" pivotButton="0" quotePrefix="0" xfId="0"/>
    <xf numFmtId="177" fontId="8" fillId="0" borderId="0" pivotButton="0" quotePrefix="0" xfId="0"/>
    <xf numFmtId="2" fontId="12" fillId="0" borderId="0" pivotButton="0" quotePrefix="0" xfId="0"/>
    <xf numFmtId="10" fontId="6" fillId="0" borderId="0" pivotButton="0" quotePrefix="0" xfId="0"/>
    <xf numFmtId="165" fontId="11" fillId="0" borderId="0" pivotButton="0" quotePrefix="0" xfId="0"/>
    <xf numFmtId="0" fontId="18" fillId="0" borderId="0" pivotButton="0" quotePrefix="0" xfId="0"/>
    <xf numFmtId="0" fontId="0" fillId="6" borderId="0" pivotButton="0" quotePrefix="0" xfId="0"/>
    <xf numFmtId="10" fontId="7" fillId="6" borderId="0" pivotButton="0" quotePrefix="0" xfId="0"/>
    <xf numFmtId="10" fontId="6" fillId="6" borderId="0" pivotButton="0" quotePrefix="0" xfId="0"/>
    <xf numFmtId="164" fontId="11" fillId="6" borderId="0" pivotButton="0" quotePrefix="0" xfId="0"/>
    <xf numFmtId="10" fontId="12" fillId="0" borderId="0" pivotButton="0" quotePrefix="0" xfId="0"/>
    <xf numFmtId="1" fontId="12" fillId="0" borderId="0" pivotButton="0" quotePrefix="0" xfId="0"/>
    <xf numFmtId="178" fontId="12" fillId="0" borderId="0" pivotButton="0" quotePrefix="0" xfId="0"/>
    <xf numFmtId="1" fontId="7" fillId="0" borderId="0" pivotButton="0" quotePrefix="0" xfId="0"/>
    <xf numFmtId="9" fontId="12" fillId="0" borderId="0" pivotButton="0" quotePrefix="0" xfId="0"/>
    <xf numFmtId="164" fontId="19" fillId="0" borderId="0" pivotButton="0" quotePrefix="0" xfId="0"/>
    <xf numFmtId="164" fontId="0" fillId="0" borderId="0" pivotButton="0" quotePrefix="0" xfId="0"/>
    <xf numFmtId="3" fontId="15" fillId="0" borderId="0" pivotButton="0" quotePrefix="0" xfId="0"/>
    <xf numFmtId="9" fontId="8" fillId="0" borderId="0" pivotButton="0" quotePrefix="0" xfId="0"/>
    <xf numFmtId="164" fontId="10" fillId="0" borderId="0" pivotButton="0" quotePrefix="0" xfId="0"/>
    <xf numFmtId="164" fontId="3" fillId="0" borderId="0" pivotButton="0" quotePrefix="0" xfId="0"/>
    <xf numFmtId="49" fontId="12" fillId="0" borderId="0" applyAlignment="1" pivotButton="0" quotePrefix="0" xfId="0">
      <alignment horizontal="left"/>
    </xf>
    <xf numFmtId="0" fontId="15" fillId="0" borderId="0" applyAlignment="1" pivotButton="0" quotePrefix="0" xfId="0">
      <alignment vertical="top" wrapText="1"/>
    </xf>
    <xf numFmtId="0" fontId="20" fillId="0" borderId="0" pivotButton="0" quotePrefix="0" xfId="0"/>
    <xf numFmtId="178" fontId="21" fillId="0" borderId="0" pivotButton="0" quotePrefix="0" xfId="0"/>
    <xf numFmtId="179" fontId="21" fillId="0" borderId="0" pivotButton="0" quotePrefix="0" xfId="0"/>
    <xf numFmtId="179" fontId="7" fillId="0" borderId="0" pivotButton="0" quotePrefix="0" xfId="0"/>
    <xf numFmtId="179" fontId="12" fillId="0" borderId="0" pivotButton="0" quotePrefix="0" xfId="0"/>
    <xf numFmtId="10" fontId="19" fillId="0" borderId="0" pivotButton="0" quotePrefix="0" xfId="0"/>
    <xf numFmtId="167" fontId="11" fillId="0" borderId="0" pivotButton="0" quotePrefix="0" xfId="0"/>
    <xf numFmtId="164" fontId="20" fillId="0" borderId="0" pivotButton="0" quotePrefix="0" xfId="0"/>
    <xf numFmtId="10" fontId="3" fillId="0" borderId="0" pivotButton="0" quotePrefix="0" xfId="0"/>
    <xf numFmtId="0" fontId="22" fillId="0" borderId="0" pivotButton="0" quotePrefix="0" xfId="0"/>
    <xf numFmtId="180" fontId="6" fillId="0" borderId="0" pivotButton="0" quotePrefix="0" xfId="0"/>
    <xf numFmtId="164" fontId="23" fillId="0" borderId="0" pivotButton="0" quotePrefix="0" xfId="0"/>
    <xf numFmtId="181" fontId="12" fillId="0" borderId="0" pivotButton="0" quotePrefix="0" xfId="0"/>
    <xf numFmtId="49" fontId="24" fillId="0" borderId="0" pivotButton="0" quotePrefix="0" xfId="0"/>
    <xf numFmtId="49" fontId="8" fillId="0" borderId="0" pivotButton="0" quotePrefix="0" xfId="0"/>
    <xf numFmtId="0" fontId="18" fillId="0" borderId="0" applyAlignment="1" pivotButton="0" quotePrefix="0" xfId="0">
      <alignment vertical="top" wrapText="1"/>
    </xf>
    <xf numFmtId="181" fontId="25" fillId="0" borderId="0" applyAlignment="1" pivotButton="0" quotePrefix="0" xfId="0">
      <alignment horizontal="center"/>
    </xf>
    <xf numFmtId="164" fontId="6" fillId="0" borderId="0" pivotButton="0" quotePrefix="0" xfId="0"/>
    <xf numFmtId="49" fontId="20" fillId="0" borderId="0" pivotButton="0" quotePrefix="0" xfId="0"/>
    <xf numFmtId="0" fontId="26" fillId="0" borderId="0" pivotButton="0" quotePrefix="0" xfId="0"/>
    <xf numFmtId="0" fontId="8" fillId="0" borderId="0" applyAlignment="1" pivotButton="0" quotePrefix="0" xfId="0">
      <alignment horizontal="center"/>
    </xf>
    <xf numFmtId="0" fontId="27" fillId="0" borderId="0" pivotButton="0" quotePrefix="0" xfId="0"/>
    <xf numFmtId="0" fontId="24" fillId="0" borderId="0" applyAlignment="1" pivotButton="0" quotePrefix="0" xfId="0">
      <alignment horizontal="center"/>
    </xf>
    <xf numFmtId="0" fontId="14" fillId="0" borderId="0" pivotButton="0" quotePrefix="0" xfId="0"/>
    <xf numFmtId="182"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IPC Nivel General (headline) — monthly inflation by year</a:t>
            </a:r>
          </a:p>
        </rich>
      </tx>
    </title>
    <plotArea>
      <lineChart>
        <grouping val="standard"/>
        <ser>
          <idx val="0"/>
          <order val="0"/>
          <tx>
            <strRef>
              <f>'Seasonality Headline'!C5</f>
            </strRef>
          </tx>
          <spPr>
            <a:ln xmlns:a="http://schemas.openxmlformats.org/drawingml/2006/main" w="17000">
              <a:solidFill>
                <a:srgbClr val="D6D6D6"/>
              </a:solidFill>
              <a:prstDash val="solid"/>
            </a:ln>
          </spPr>
          <marker>
            <symbol val="none"/>
            <spPr>
              <a:ln xmlns:a="http://schemas.openxmlformats.org/drawingml/2006/main">
                <a:prstDash val="solid"/>
              </a:ln>
            </spPr>
          </marker>
          <cat>
            <numRef>
              <f>'Seasonality Headline'!$B$6:$B$17</f>
            </numRef>
          </cat>
          <val>
            <numRef>
              <f>'Seasonality Headline'!$C$6:$C$17</f>
            </numRef>
          </val>
          <smooth val="0"/>
        </ser>
        <ser>
          <idx val="1"/>
          <order val="1"/>
          <tx>
            <strRef>
              <f>'Seasonality Headline'!D5</f>
            </strRef>
          </tx>
          <spPr>
            <a:ln xmlns:a="http://schemas.openxmlformats.org/drawingml/2006/main" w="17000">
              <a:solidFill>
                <a:srgbClr val="BFC9D4"/>
              </a:solidFill>
              <a:prstDash val="solid"/>
            </a:ln>
          </spPr>
          <marker>
            <symbol val="none"/>
            <spPr>
              <a:ln xmlns:a="http://schemas.openxmlformats.org/drawingml/2006/main">
                <a:prstDash val="solid"/>
              </a:ln>
            </spPr>
          </marker>
          <cat>
            <numRef>
              <f>'Seasonality Headline'!$B$6:$B$17</f>
            </numRef>
          </cat>
          <val>
            <numRef>
              <f>'Seasonality Headline'!$D$6:$D$17</f>
            </numRef>
          </val>
          <smooth val="0"/>
        </ser>
        <ser>
          <idx val="2"/>
          <order val="2"/>
          <tx>
            <strRef>
              <f>'Seasonality Headline'!E5</f>
            </strRef>
          </tx>
          <spPr>
            <a:ln xmlns:a="http://schemas.openxmlformats.org/drawingml/2006/main" w="17000">
              <a:solidFill>
                <a:srgbClr val="A3B3C6"/>
              </a:solidFill>
              <a:prstDash val="solid"/>
            </a:ln>
          </spPr>
          <marker>
            <symbol val="none"/>
            <spPr>
              <a:ln xmlns:a="http://schemas.openxmlformats.org/drawingml/2006/main">
                <a:prstDash val="solid"/>
              </a:ln>
            </spPr>
          </marker>
          <cat>
            <numRef>
              <f>'Seasonality Headline'!$B$6:$B$17</f>
            </numRef>
          </cat>
          <val>
            <numRef>
              <f>'Seasonality Headline'!$E$6:$E$17</f>
            </numRef>
          </val>
          <smooth val="0"/>
        </ser>
        <ser>
          <idx val="3"/>
          <order val="3"/>
          <tx>
            <strRef>
              <f>'Seasonality Headline'!F5</f>
            </strRef>
          </tx>
          <spPr>
            <a:ln xmlns:a="http://schemas.openxmlformats.org/drawingml/2006/main" w="17000">
              <a:solidFill>
                <a:srgbClr val="879DB8"/>
              </a:solidFill>
              <a:prstDash val="solid"/>
            </a:ln>
          </spPr>
          <marker>
            <symbol val="none"/>
            <spPr>
              <a:ln xmlns:a="http://schemas.openxmlformats.org/drawingml/2006/main">
                <a:prstDash val="solid"/>
              </a:ln>
            </spPr>
          </marker>
          <cat>
            <numRef>
              <f>'Seasonality Headline'!$B$6:$B$17</f>
            </numRef>
          </cat>
          <val>
            <numRef>
              <f>'Seasonality Headline'!$F$6:$F$17</f>
            </numRef>
          </val>
          <smooth val="0"/>
        </ser>
        <ser>
          <idx val="4"/>
          <order val="4"/>
          <tx>
            <strRef>
              <f>'Seasonality Headline'!G5</f>
            </strRef>
          </tx>
          <spPr>
            <a:ln xmlns:a="http://schemas.openxmlformats.org/drawingml/2006/main" w="17000">
              <a:solidFill>
                <a:srgbClr val="6B87A9"/>
              </a:solidFill>
              <a:prstDash val="solid"/>
            </a:ln>
          </spPr>
          <marker>
            <symbol val="none"/>
            <spPr>
              <a:ln xmlns:a="http://schemas.openxmlformats.org/drawingml/2006/main">
                <a:prstDash val="solid"/>
              </a:ln>
            </spPr>
          </marker>
          <cat>
            <numRef>
              <f>'Seasonality Headline'!$B$6:$B$17</f>
            </numRef>
          </cat>
          <val>
            <numRef>
              <f>'Seasonality Headline'!$G$6:$G$17</f>
            </numRef>
          </val>
          <smooth val="0"/>
        </ser>
        <ser>
          <idx val="5"/>
          <order val="5"/>
          <tx>
            <strRef>
              <f>'Seasonality Headline'!H5</f>
            </strRef>
          </tx>
          <spPr>
            <a:ln xmlns:a="http://schemas.openxmlformats.org/drawingml/2006/main" w="17000">
              <a:solidFill>
                <a:srgbClr val="4F719B"/>
              </a:solidFill>
              <a:prstDash val="solid"/>
            </a:ln>
          </spPr>
          <marker>
            <symbol val="none"/>
            <spPr>
              <a:ln xmlns:a="http://schemas.openxmlformats.org/drawingml/2006/main">
                <a:prstDash val="solid"/>
              </a:ln>
            </spPr>
          </marker>
          <cat>
            <numRef>
              <f>'Seasonality Headline'!$B$6:$B$17</f>
            </numRef>
          </cat>
          <val>
            <numRef>
              <f>'Seasonality Headline'!$H$6:$H$17</f>
            </numRef>
          </val>
          <smooth val="0"/>
        </ser>
        <ser>
          <idx val="6"/>
          <order val="6"/>
          <tx>
            <strRef>
              <f>'Seasonality Headline'!I5</f>
            </strRef>
          </tx>
          <spPr>
            <a:ln xmlns:a="http://schemas.openxmlformats.org/drawingml/2006/main" w="32000">
              <a:solidFill>
                <a:srgbClr val="2F5C8F"/>
              </a:solidFill>
              <a:prstDash val="solid"/>
            </a:ln>
          </spPr>
          <marker>
            <symbol val="none"/>
            <spPr>
              <a:ln xmlns:a="http://schemas.openxmlformats.org/drawingml/2006/main">
                <a:prstDash val="solid"/>
              </a:ln>
            </spPr>
          </marker>
          <cat>
            <numRef>
              <f>'Seasonality Headline'!$B$6:$B$17</f>
            </numRef>
          </cat>
          <val>
            <numRef>
              <f>'Seasonality Headline'!$I$6:$I$17</f>
            </numRef>
          </val>
          <smooth val="0"/>
        </ser>
        <ser>
          <idx val="7"/>
          <order val="7"/>
          <tx>
            <strRef>
              <f>'Seasonality Headline'!J5</f>
            </strRef>
          </tx>
          <spPr>
            <a:ln xmlns:a="http://schemas.openxmlformats.org/drawingml/2006/main" w="32000">
              <a:solidFill>
                <a:srgbClr val="E60000"/>
              </a:solidFill>
              <a:prstDash val="solid"/>
            </a:ln>
          </spPr>
          <marker>
            <symbol val="none"/>
            <spPr>
              <a:ln xmlns:a="http://schemas.openxmlformats.org/drawingml/2006/main">
                <a:prstDash val="solid"/>
              </a:ln>
            </spPr>
          </marker>
          <cat>
            <numRef>
              <f>'Seasonality Headline'!$B$6:$B$17</f>
            </numRef>
          </cat>
          <val>
            <numRef>
              <f>'Seasonality Headline'!$J$6:$J$13</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month-on-month</a:t>
                </a:r>
              </a:p>
            </rich>
          </tx>
        </title>
        <numFmt formatCode="0.0%" sourceLinked="0"/>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IPC Nivel General (headline) — monthly inflation by year (y-axis capped at 8%)</a:t>
            </a:r>
          </a:p>
        </rich>
      </tx>
    </title>
    <plotArea>
      <lineChart>
        <grouping val="standard"/>
        <ser>
          <idx val="0"/>
          <order val="0"/>
          <tx>
            <strRef>
              <f>'Seasonality Headline'!C5</f>
            </strRef>
          </tx>
          <spPr>
            <a:ln xmlns:a="http://schemas.openxmlformats.org/drawingml/2006/main" w="17000">
              <a:solidFill>
                <a:srgbClr val="D6D6D6"/>
              </a:solidFill>
              <a:prstDash val="solid"/>
            </a:ln>
          </spPr>
          <marker>
            <symbol val="none"/>
            <spPr>
              <a:ln xmlns:a="http://schemas.openxmlformats.org/drawingml/2006/main">
                <a:prstDash val="solid"/>
              </a:ln>
            </spPr>
          </marker>
          <cat>
            <numRef>
              <f>'Seasonality Headline'!$B$6:$B$17</f>
            </numRef>
          </cat>
          <val>
            <numRef>
              <f>'Seasonality Headline'!$C$6:$C$17</f>
            </numRef>
          </val>
          <smooth val="0"/>
        </ser>
        <ser>
          <idx val="1"/>
          <order val="1"/>
          <tx>
            <strRef>
              <f>'Seasonality Headline'!D5</f>
            </strRef>
          </tx>
          <spPr>
            <a:ln xmlns:a="http://schemas.openxmlformats.org/drawingml/2006/main" w="17000">
              <a:solidFill>
                <a:srgbClr val="BFC9D4"/>
              </a:solidFill>
              <a:prstDash val="solid"/>
            </a:ln>
          </spPr>
          <marker>
            <symbol val="none"/>
            <spPr>
              <a:ln xmlns:a="http://schemas.openxmlformats.org/drawingml/2006/main">
                <a:prstDash val="solid"/>
              </a:ln>
            </spPr>
          </marker>
          <cat>
            <numRef>
              <f>'Seasonality Headline'!$B$6:$B$17</f>
            </numRef>
          </cat>
          <val>
            <numRef>
              <f>'Seasonality Headline'!$D$6:$D$17</f>
            </numRef>
          </val>
          <smooth val="0"/>
        </ser>
        <ser>
          <idx val="2"/>
          <order val="2"/>
          <tx>
            <strRef>
              <f>'Seasonality Headline'!E5</f>
            </strRef>
          </tx>
          <spPr>
            <a:ln xmlns:a="http://schemas.openxmlformats.org/drawingml/2006/main" w="17000">
              <a:solidFill>
                <a:srgbClr val="A3B3C6"/>
              </a:solidFill>
              <a:prstDash val="solid"/>
            </a:ln>
          </spPr>
          <marker>
            <symbol val="none"/>
            <spPr>
              <a:ln xmlns:a="http://schemas.openxmlformats.org/drawingml/2006/main">
                <a:prstDash val="solid"/>
              </a:ln>
            </spPr>
          </marker>
          <cat>
            <numRef>
              <f>'Seasonality Headline'!$B$6:$B$17</f>
            </numRef>
          </cat>
          <val>
            <numRef>
              <f>'Seasonality Headline'!$E$6:$E$17</f>
            </numRef>
          </val>
          <smooth val="0"/>
        </ser>
        <ser>
          <idx val="3"/>
          <order val="3"/>
          <tx>
            <strRef>
              <f>'Seasonality Headline'!F5</f>
            </strRef>
          </tx>
          <spPr>
            <a:ln xmlns:a="http://schemas.openxmlformats.org/drawingml/2006/main" w="17000">
              <a:solidFill>
                <a:srgbClr val="879DB8"/>
              </a:solidFill>
              <a:prstDash val="solid"/>
            </a:ln>
          </spPr>
          <marker>
            <symbol val="none"/>
            <spPr>
              <a:ln xmlns:a="http://schemas.openxmlformats.org/drawingml/2006/main">
                <a:prstDash val="solid"/>
              </a:ln>
            </spPr>
          </marker>
          <cat>
            <numRef>
              <f>'Seasonality Headline'!$B$6:$B$17</f>
            </numRef>
          </cat>
          <val>
            <numRef>
              <f>'Seasonality Headline'!$F$6:$F$17</f>
            </numRef>
          </val>
          <smooth val="0"/>
        </ser>
        <ser>
          <idx val="4"/>
          <order val="4"/>
          <tx>
            <strRef>
              <f>'Seasonality Headline'!G5</f>
            </strRef>
          </tx>
          <spPr>
            <a:ln xmlns:a="http://schemas.openxmlformats.org/drawingml/2006/main" w="17000">
              <a:solidFill>
                <a:srgbClr val="6B87A9"/>
              </a:solidFill>
              <a:prstDash val="solid"/>
            </a:ln>
          </spPr>
          <marker>
            <symbol val="none"/>
            <spPr>
              <a:ln xmlns:a="http://schemas.openxmlformats.org/drawingml/2006/main">
                <a:prstDash val="solid"/>
              </a:ln>
            </spPr>
          </marker>
          <cat>
            <numRef>
              <f>'Seasonality Headline'!$B$6:$B$17</f>
            </numRef>
          </cat>
          <val>
            <numRef>
              <f>'Seasonality Headline'!$G$6:$G$17</f>
            </numRef>
          </val>
          <smooth val="0"/>
        </ser>
        <ser>
          <idx val="5"/>
          <order val="5"/>
          <tx>
            <strRef>
              <f>'Seasonality Headline'!H5</f>
            </strRef>
          </tx>
          <spPr>
            <a:ln xmlns:a="http://schemas.openxmlformats.org/drawingml/2006/main" w="17000">
              <a:solidFill>
                <a:srgbClr val="4F719B"/>
              </a:solidFill>
              <a:prstDash val="solid"/>
            </a:ln>
          </spPr>
          <marker>
            <symbol val="none"/>
            <spPr>
              <a:ln xmlns:a="http://schemas.openxmlformats.org/drawingml/2006/main">
                <a:prstDash val="solid"/>
              </a:ln>
            </spPr>
          </marker>
          <cat>
            <numRef>
              <f>'Seasonality Headline'!$B$6:$B$17</f>
            </numRef>
          </cat>
          <val>
            <numRef>
              <f>'Seasonality Headline'!$H$6:$H$17</f>
            </numRef>
          </val>
          <smooth val="0"/>
        </ser>
        <ser>
          <idx val="6"/>
          <order val="6"/>
          <tx>
            <strRef>
              <f>'Seasonality Headline'!I5</f>
            </strRef>
          </tx>
          <spPr>
            <a:ln xmlns:a="http://schemas.openxmlformats.org/drawingml/2006/main" w="32000">
              <a:solidFill>
                <a:srgbClr val="2F5C8F"/>
              </a:solidFill>
              <a:prstDash val="solid"/>
            </a:ln>
          </spPr>
          <marker>
            <symbol val="none"/>
            <spPr>
              <a:ln xmlns:a="http://schemas.openxmlformats.org/drawingml/2006/main">
                <a:prstDash val="solid"/>
              </a:ln>
            </spPr>
          </marker>
          <cat>
            <numRef>
              <f>'Seasonality Headline'!$B$6:$B$17</f>
            </numRef>
          </cat>
          <val>
            <numRef>
              <f>'Seasonality Headline'!$I$6:$I$17</f>
            </numRef>
          </val>
          <smooth val="0"/>
        </ser>
        <ser>
          <idx val="7"/>
          <order val="7"/>
          <tx>
            <strRef>
              <f>'Seasonality Headline'!J5</f>
            </strRef>
          </tx>
          <spPr>
            <a:ln xmlns:a="http://schemas.openxmlformats.org/drawingml/2006/main" w="32000">
              <a:solidFill>
                <a:srgbClr val="E60000"/>
              </a:solidFill>
              <a:prstDash val="solid"/>
            </a:ln>
          </spPr>
          <marker>
            <symbol val="none"/>
            <spPr>
              <a:ln xmlns:a="http://schemas.openxmlformats.org/drawingml/2006/main">
                <a:prstDash val="solid"/>
              </a:ln>
            </spPr>
          </marker>
          <cat>
            <numRef>
              <f>'Seasonality Headline'!$B$6:$B$17</f>
            </numRef>
          </cat>
          <val>
            <numRef>
              <f>'Seasonality Headline'!$J$6:$J$13</f>
            </numRef>
          </val>
          <smooth val="0"/>
        </ser>
        <axId val="10"/>
        <axId val="100"/>
      </lineChart>
      <catAx>
        <axId val="10"/>
        <scaling>
          <orientation val="minMax"/>
        </scaling>
        <axPos val="l"/>
        <majorTickMark val="none"/>
        <minorTickMark val="none"/>
        <crossAx val="100"/>
        <lblOffset val="100"/>
      </catAx>
      <valAx>
        <axId val="100"/>
        <scaling>
          <orientation val="minMax"/>
          <max val="0.08"/>
          <min val="0"/>
        </scaling>
        <axPos val="l"/>
        <majorGridlines/>
        <numFmt formatCode="0.0%" sourceLinked="0"/>
        <majorTickMark val="none"/>
        <minorTickMark val="none"/>
        <crossAx val="10"/>
      </valAx>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IPC Nucleo (core) — monthly inflation by year</a:t>
            </a:r>
          </a:p>
        </rich>
      </tx>
    </title>
    <plotArea>
      <lineChart>
        <grouping val="standard"/>
        <ser>
          <idx val="0"/>
          <order val="0"/>
          <tx>
            <strRef>
              <f>'Seasonality Core'!C5</f>
            </strRef>
          </tx>
          <spPr>
            <a:ln xmlns:a="http://schemas.openxmlformats.org/drawingml/2006/main" w="17000">
              <a:solidFill>
                <a:srgbClr val="D6D6D6"/>
              </a:solidFill>
              <a:prstDash val="solid"/>
            </a:ln>
          </spPr>
          <marker>
            <symbol val="none"/>
            <spPr>
              <a:ln xmlns:a="http://schemas.openxmlformats.org/drawingml/2006/main">
                <a:prstDash val="solid"/>
              </a:ln>
            </spPr>
          </marker>
          <cat>
            <numRef>
              <f>'Seasonality Core'!$B$6:$B$17</f>
            </numRef>
          </cat>
          <val>
            <numRef>
              <f>'Seasonality Core'!$C$6:$C$17</f>
            </numRef>
          </val>
          <smooth val="0"/>
        </ser>
        <ser>
          <idx val="1"/>
          <order val="1"/>
          <tx>
            <strRef>
              <f>'Seasonality Core'!D5</f>
            </strRef>
          </tx>
          <spPr>
            <a:ln xmlns:a="http://schemas.openxmlformats.org/drawingml/2006/main" w="17000">
              <a:solidFill>
                <a:srgbClr val="BFC9D4"/>
              </a:solidFill>
              <a:prstDash val="solid"/>
            </a:ln>
          </spPr>
          <marker>
            <symbol val="none"/>
            <spPr>
              <a:ln xmlns:a="http://schemas.openxmlformats.org/drawingml/2006/main">
                <a:prstDash val="solid"/>
              </a:ln>
            </spPr>
          </marker>
          <cat>
            <numRef>
              <f>'Seasonality Core'!$B$6:$B$17</f>
            </numRef>
          </cat>
          <val>
            <numRef>
              <f>'Seasonality Core'!$D$6:$D$17</f>
            </numRef>
          </val>
          <smooth val="0"/>
        </ser>
        <ser>
          <idx val="2"/>
          <order val="2"/>
          <tx>
            <strRef>
              <f>'Seasonality Core'!E5</f>
            </strRef>
          </tx>
          <spPr>
            <a:ln xmlns:a="http://schemas.openxmlformats.org/drawingml/2006/main" w="17000">
              <a:solidFill>
                <a:srgbClr val="A3B3C6"/>
              </a:solidFill>
              <a:prstDash val="solid"/>
            </a:ln>
          </spPr>
          <marker>
            <symbol val="none"/>
            <spPr>
              <a:ln xmlns:a="http://schemas.openxmlformats.org/drawingml/2006/main">
                <a:prstDash val="solid"/>
              </a:ln>
            </spPr>
          </marker>
          <cat>
            <numRef>
              <f>'Seasonality Core'!$B$6:$B$17</f>
            </numRef>
          </cat>
          <val>
            <numRef>
              <f>'Seasonality Core'!$E$6:$E$17</f>
            </numRef>
          </val>
          <smooth val="0"/>
        </ser>
        <ser>
          <idx val="3"/>
          <order val="3"/>
          <tx>
            <strRef>
              <f>'Seasonality Core'!F5</f>
            </strRef>
          </tx>
          <spPr>
            <a:ln xmlns:a="http://schemas.openxmlformats.org/drawingml/2006/main" w="17000">
              <a:solidFill>
                <a:srgbClr val="879DB8"/>
              </a:solidFill>
              <a:prstDash val="solid"/>
            </a:ln>
          </spPr>
          <marker>
            <symbol val="none"/>
            <spPr>
              <a:ln xmlns:a="http://schemas.openxmlformats.org/drawingml/2006/main">
                <a:prstDash val="solid"/>
              </a:ln>
            </spPr>
          </marker>
          <cat>
            <numRef>
              <f>'Seasonality Core'!$B$6:$B$17</f>
            </numRef>
          </cat>
          <val>
            <numRef>
              <f>'Seasonality Core'!$F$6:$F$17</f>
            </numRef>
          </val>
          <smooth val="0"/>
        </ser>
        <ser>
          <idx val="4"/>
          <order val="4"/>
          <tx>
            <strRef>
              <f>'Seasonality Core'!G5</f>
            </strRef>
          </tx>
          <spPr>
            <a:ln xmlns:a="http://schemas.openxmlformats.org/drawingml/2006/main" w="17000">
              <a:solidFill>
                <a:srgbClr val="6B87A9"/>
              </a:solidFill>
              <a:prstDash val="solid"/>
            </a:ln>
          </spPr>
          <marker>
            <symbol val="none"/>
            <spPr>
              <a:ln xmlns:a="http://schemas.openxmlformats.org/drawingml/2006/main">
                <a:prstDash val="solid"/>
              </a:ln>
            </spPr>
          </marker>
          <cat>
            <numRef>
              <f>'Seasonality Core'!$B$6:$B$17</f>
            </numRef>
          </cat>
          <val>
            <numRef>
              <f>'Seasonality Core'!$G$6:$G$17</f>
            </numRef>
          </val>
          <smooth val="0"/>
        </ser>
        <ser>
          <idx val="5"/>
          <order val="5"/>
          <tx>
            <strRef>
              <f>'Seasonality Core'!H5</f>
            </strRef>
          </tx>
          <spPr>
            <a:ln xmlns:a="http://schemas.openxmlformats.org/drawingml/2006/main" w="17000">
              <a:solidFill>
                <a:srgbClr val="4F719B"/>
              </a:solidFill>
              <a:prstDash val="solid"/>
            </a:ln>
          </spPr>
          <marker>
            <symbol val="none"/>
            <spPr>
              <a:ln xmlns:a="http://schemas.openxmlformats.org/drawingml/2006/main">
                <a:prstDash val="solid"/>
              </a:ln>
            </spPr>
          </marker>
          <cat>
            <numRef>
              <f>'Seasonality Core'!$B$6:$B$17</f>
            </numRef>
          </cat>
          <val>
            <numRef>
              <f>'Seasonality Core'!$H$6:$H$17</f>
            </numRef>
          </val>
          <smooth val="0"/>
        </ser>
        <ser>
          <idx val="6"/>
          <order val="6"/>
          <tx>
            <strRef>
              <f>'Seasonality Core'!I5</f>
            </strRef>
          </tx>
          <spPr>
            <a:ln xmlns:a="http://schemas.openxmlformats.org/drawingml/2006/main" w="32000">
              <a:solidFill>
                <a:srgbClr val="2F5C8F"/>
              </a:solidFill>
              <a:prstDash val="solid"/>
            </a:ln>
          </spPr>
          <marker>
            <symbol val="none"/>
            <spPr>
              <a:ln xmlns:a="http://schemas.openxmlformats.org/drawingml/2006/main">
                <a:prstDash val="solid"/>
              </a:ln>
            </spPr>
          </marker>
          <cat>
            <numRef>
              <f>'Seasonality Core'!$B$6:$B$17</f>
            </numRef>
          </cat>
          <val>
            <numRef>
              <f>'Seasonality Core'!$I$6:$I$17</f>
            </numRef>
          </val>
          <smooth val="0"/>
        </ser>
        <ser>
          <idx val="7"/>
          <order val="7"/>
          <tx>
            <strRef>
              <f>'Seasonality Core'!J5</f>
            </strRef>
          </tx>
          <spPr>
            <a:ln xmlns:a="http://schemas.openxmlformats.org/drawingml/2006/main" w="32000">
              <a:solidFill>
                <a:srgbClr val="E60000"/>
              </a:solidFill>
              <a:prstDash val="solid"/>
            </a:ln>
          </spPr>
          <marker>
            <symbol val="none"/>
            <spPr>
              <a:ln xmlns:a="http://schemas.openxmlformats.org/drawingml/2006/main">
                <a:prstDash val="solid"/>
              </a:ln>
            </spPr>
          </marker>
          <cat>
            <numRef>
              <f>'Seasonality Core'!$B$6:$B$17</f>
            </numRef>
          </cat>
          <val>
            <numRef>
              <f>'Seasonality Core'!$J$6:$J$13</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 month-on-month</a:t>
                </a:r>
              </a:p>
            </rich>
          </tx>
        </title>
        <numFmt formatCode="0.0%" sourceLinked="0"/>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IPC Nucleo (core) — monthly inflation by year (y-axis capped at 8%)</a:t>
            </a:r>
          </a:p>
        </rich>
      </tx>
    </title>
    <plotArea>
      <lineChart>
        <grouping val="standard"/>
        <ser>
          <idx val="0"/>
          <order val="0"/>
          <tx>
            <strRef>
              <f>'Seasonality Core'!C5</f>
            </strRef>
          </tx>
          <spPr>
            <a:ln xmlns:a="http://schemas.openxmlformats.org/drawingml/2006/main" w="17000">
              <a:solidFill>
                <a:srgbClr val="D6D6D6"/>
              </a:solidFill>
              <a:prstDash val="solid"/>
            </a:ln>
          </spPr>
          <marker>
            <symbol val="none"/>
            <spPr>
              <a:ln xmlns:a="http://schemas.openxmlformats.org/drawingml/2006/main">
                <a:prstDash val="solid"/>
              </a:ln>
            </spPr>
          </marker>
          <cat>
            <numRef>
              <f>'Seasonality Core'!$B$6:$B$17</f>
            </numRef>
          </cat>
          <val>
            <numRef>
              <f>'Seasonality Core'!$C$6:$C$17</f>
            </numRef>
          </val>
          <smooth val="0"/>
        </ser>
        <ser>
          <idx val="1"/>
          <order val="1"/>
          <tx>
            <strRef>
              <f>'Seasonality Core'!D5</f>
            </strRef>
          </tx>
          <spPr>
            <a:ln xmlns:a="http://schemas.openxmlformats.org/drawingml/2006/main" w="17000">
              <a:solidFill>
                <a:srgbClr val="BFC9D4"/>
              </a:solidFill>
              <a:prstDash val="solid"/>
            </a:ln>
          </spPr>
          <marker>
            <symbol val="none"/>
            <spPr>
              <a:ln xmlns:a="http://schemas.openxmlformats.org/drawingml/2006/main">
                <a:prstDash val="solid"/>
              </a:ln>
            </spPr>
          </marker>
          <cat>
            <numRef>
              <f>'Seasonality Core'!$B$6:$B$17</f>
            </numRef>
          </cat>
          <val>
            <numRef>
              <f>'Seasonality Core'!$D$6:$D$17</f>
            </numRef>
          </val>
          <smooth val="0"/>
        </ser>
        <ser>
          <idx val="2"/>
          <order val="2"/>
          <tx>
            <strRef>
              <f>'Seasonality Core'!E5</f>
            </strRef>
          </tx>
          <spPr>
            <a:ln xmlns:a="http://schemas.openxmlformats.org/drawingml/2006/main" w="17000">
              <a:solidFill>
                <a:srgbClr val="A3B3C6"/>
              </a:solidFill>
              <a:prstDash val="solid"/>
            </a:ln>
          </spPr>
          <marker>
            <symbol val="none"/>
            <spPr>
              <a:ln xmlns:a="http://schemas.openxmlformats.org/drawingml/2006/main">
                <a:prstDash val="solid"/>
              </a:ln>
            </spPr>
          </marker>
          <cat>
            <numRef>
              <f>'Seasonality Core'!$B$6:$B$17</f>
            </numRef>
          </cat>
          <val>
            <numRef>
              <f>'Seasonality Core'!$E$6:$E$17</f>
            </numRef>
          </val>
          <smooth val="0"/>
        </ser>
        <ser>
          <idx val="3"/>
          <order val="3"/>
          <tx>
            <strRef>
              <f>'Seasonality Core'!F5</f>
            </strRef>
          </tx>
          <spPr>
            <a:ln xmlns:a="http://schemas.openxmlformats.org/drawingml/2006/main" w="17000">
              <a:solidFill>
                <a:srgbClr val="879DB8"/>
              </a:solidFill>
              <a:prstDash val="solid"/>
            </a:ln>
          </spPr>
          <marker>
            <symbol val="none"/>
            <spPr>
              <a:ln xmlns:a="http://schemas.openxmlformats.org/drawingml/2006/main">
                <a:prstDash val="solid"/>
              </a:ln>
            </spPr>
          </marker>
          <cat>
            <numRef>
              <f>'Seasonality Core'!$B$6:$B$17</f>
            </numRef>
          </cat>
          <val>
            <numRef>
              <f>'Seasonality Core'!$F$6:$F$17</f>
            </numRef>
          </val>
          <smooth val="0"/>
        </ser>
        <ser>
          <idx val="4"/>
          <order val="4"/>
          <tx>
            <strRef>
              <f>'Seasonality Core'!G5</f>
            </strRef>
          </tx>
          <spPr>
            <a:ln xmlns:a="http://schemas.openxmlformats.org/drawingml/2006/main" w="17000">
              <a:solidFill>
                <a:srgbClr val="6B87A9"/>
              </a:solidFill>
              <a:prstDash val="solid"/>
            </a:ln>
          </spPr>
          <marker>
            <symbol val="none"/>
            <spPr>
              <a:ln xmlns:a="http://schemas.openxmlformats.org/drawingml/2006/main">
                <a:prstDash val="solid"/>
              </a:ln>
            </spPr>
          </marker>
          <cat>
            <numRef>
              <f>'Seasonality Core'!$B$6:$B$17</f>
            </numRef>
          </cat>
          <val>
            <numRef>
              <f>'Seasonality Core'!$G$6:$G$17</f>
            </numRef>
          </val>
          <smooth val="0"/>
        </ser>
        <ser>
          <idx val="5"/>
          <order val="5"/>
          <tx>
            <strRef>
              <f>'Seasonality Core'!H5</f>
            </strRef>
          </tx>
          <spPr>
            <a:ln xmlns:a="http://schemas.openxmlformats.org/drawingml/2006/main" w="17000">
              <a:solidFill>
                <a:srgbClr val="4F719B"/>
              </a:solidFill>
              <a:prstDash val="solid"/>
            </a:ln>
          </spPr>
          <marker>
            <symbol val="none"/>
            <spPr>
              <a:ln xmlns:a="http://schemas.openxmlformats.org/drawingml/2006/main">
                <a:prstDash val="solid"/>
              </a:ln>
            </spPr>
          </marker>
          <cat>
            <numRef>
              <f>'Seasonality Core'!$B$6:$B$17</f>
            </numRef>
          </cat>
          <val>
            <numRef>
              <f>'Seasonality Core'!$H$6:$H$17</f>
            </numRef>
          </val>
          <smooth val="0"/>
        </ser>
        <ser>
          <idx val="6"/>
          <order val="6"/>
          <tx>
            <strRef>
              <f>'Seasonality Core'!I5</f>
            </strRef>
          </tx>
          <spPr>
            <a:ln xmlns:a="http://schemas.openxmlformats.org/drawingml/2006/main" w="32000">
              <a:solidFill>
                <a:srgbClr val="2F5C8F"/>
              </a:solidFill>
              <a:prstDash val="solid"/>
            </a:ln>
          </spPr>
          <marker>
            <symbol val="none"/>
            <spPr>
              <a:ln xmlns:a="http://schemas.openxmlformats.org/drawingml/2006/main">
                <a:prstDash val="solid"/>
              </a:ln>
            </spPr>
          </marker>
          <cat>
            <numRef>
              <f>'Seasonality Core'!$B$6:$B$17</f>
            </numRef>
          </cat>
          <val>
            <numRef>
              <f>'Seasonality Core'!$I$6:$I$17</f>
            </numRef>
          </val>
          <smooth val="0"/>
        </ser>
        <ser>
          <idx val="7"/>
          <order val="7"/>
          <tx>
            <strRef>
              <f>'Seasonality Core'!J5</f>
            </strRef>
          </tx>
          <spPr>
            <a:ln xmlns:a="http://schemas.openxmlformats.org/drawingml/2006/main" w="32000">
              <a:solidFill>
                <a:srgbClr val="E60000"/>
              </a:solidFill>
              <a:prstDash val="solid"/>
            </a:ln>
          </spPr>
          <marker>
            <symbol val="none"/>
            <spPr>
              <a:ln xmlns:a="http://schemas.openxmlformats.org/drawingml/2006/main">
                <a:prstDash val="solid"/>
              </a:ln>
            </spPr>
          </marker>
          <cat>
            <numRef>
              <f>'Seasonality Core'!$B$6:$B$17</f>
            </numRef>
          </cat>
          <val>
            <numRef>
              <f>'Seasonality Core'!$J$6:$J$13</f>
            </numRef>
          </val>
          <smooth val="0"/>
        </ser>
        <axId val="10"/>
        <axId val="100"/>
      </lineChart>
      <catAx>
        <axId val="10"/>
        <scaling>
          <orientation val="minMax"/>
        </scaling>
        <axPos val="l"/>
        <majorTickMark val="none"/>
        <minorTickMark val="none"/>
        <crossAx val="100"/>
        <lblOffset val="100"/>
      </catAx>
      <valAx>
        <axId val="100"/>
        <scaling>
          <orientation val="minMax"/>
          <max val="0.08"/>
          <min val="0"/>
        </scaling>
        <axPos val="l"/>
        <majorGridlines/>
        <numFmt formatCode="0.0%" sourceLinked="0"/>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Average seasonal factor by month (2019-2025, headline)</a:t>
            </a:r>
          </a:p>
        </rich>
      </tx>
    </title>
    <plotArea>
      <barChart>
        <barDir val="col"/>
        <grouping val="clustered"/>
        <ser>
          <idx val="0"/>
          <order val="0"/>
          <tx>
            <strRef>
              <f>'Seasonal Factors'!J5</f>
            </strRef>
          </tx>
          <spPr>
            <a:solidFill xmlns:a="http://schemas.openxmlformats.org/drawingml/2006/main">
              <a:srgbClr val="1F3B63"/>
            </a:solidFill>
            <a:ln xmlns:a="http://schemas.openxmlformats.org/drawingml/2006/main">
              <a:prstDash val="solid"/>
            </a:ln>
          </spPr>
          <cat>
            <numRef>
              <f>'Seasonal Factors'!$B$6:$B$17</f>
            </numRef>
          </cat>
          <val>
            <numRef>
              <f>'Seasonal Factors'!$J$6:$J$17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00" sourceLinked="0"/>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Since 2019</a:t>
            </a:r>
          </a:p>
        </rich>
      </tx>
    </title>
    <plotArea>
      <lineChart>
        <grouping val="standard"/>
        <ser>
          <idx val="0"/>
          <order val="0"/>
          <tx>
            <v>3m ann. headline</v>
          </tx>
          <spPr>
            <a:ln xmlns:a="http://schemas.openxmlformats.org/drawingml/2006/main" w="30000">
              <a:solidFill>
                <a:srgbClr val="E60000"/>
              </a:solidFill>
              <a:prstDash val="solid"/>
            </a:ln>
          </spPr>
          <marker>
            <symbol val="none"/>
            <spPr>
              <a:ln xmlns:a="http://schemas.openxmlformats.org/drawingml/2006/main">
                <a:prstDash val="solid"/>
              </a:ln>
            </spPr>
          </marker>
          <cat>
            <numRef>
              <f>'CPI Data'!$B$7:$B$98</f>
            </numRef>
          </cat>
          <val>
            <numRef>
              <f>'CPI Data'!$P$6:$P$98</f>
            </numRef>
          </val>
          <smooth val="0"/>
        </ser>
        <ser>
          <idx val="1"/>
          <order val="1"/>
          <tx>
            <v>3m ann. core</v>
          </tx>
          <spPr>
            <a:ln xmlns:a="http://schemas.openxmlformats.org/drawingml/2006/main" w="26000">
              <a:solidFill>
                <a:srgbClr val="E8A33D"/>
              </a:solidFill>
              <a:prstDash val="solid"/>
            </a:ln>
          </spPr>
          <marker>
            <symbol val="none"/>
            <spPr>
              <a:ln xmlns:a="http://schemas.openxmlformats.org/drawingml/2006/main">
                <a:prstDash val="solid"/>
              </a:ln>
            </spPr>
          </marker>
          <cat>
            <numRef>
              <f>'CPI Data'!$B$7:$B$98</f>
            </numRef>
          </cat>
          <val>
            <numRef>
              <f>'CPI Data'!$Q$6:$Q$98</f>
            </numRef>
          </val>
          <smooth val="0"/>
        </ser>
        <ser>
          <idx val="2"/>
          <order val="2"/>
          <tx>
            <v>6m ann. headline</v>
          </tx>
          <spPr>
            <a:ln xmlns:a="http://schemas.openxmlformats.org/drawingml/2006/main" w="22000">
              <a:solidFill>
                <a:srgbClr val="7A2048"/>
              </a:solidFill>
              <a:prstDash val="solid"/>
            </a:ln>
          </spPr>
          <marker>
            <symbol val="none"/>
            <spPr>
              <a:ln xmlns:a="http://schemas.openxmlformats.org/drawingml/2006/main">
                <a:prstDash val="solid"/>
              </a:ln>
            </spPr>
          </marker>
          <cat>
            <numRef>
              <f>'CPI Data'!$B$7:$B$98</f>
            </numRef>
          </cat>
          <val>
            <numRef>
              <f>'CPI Data'!$R$6:$R$98</f>
            </numRef>
          </val>
          <smooth val="0"/>
        </ser>
        <ser>
          <idx val="3"/>
          <order val="3"/>
          <tx>
            <v>y/y headline</v>
          </tx>
          <spPr>
            <a:ln xmlns:a="http://schemas.openxmlformats.org/drawingml/2006/main" w="22000">
              <a:solidFill>
                <a:srgbClr val="1F3B63"/>
              </a:solidFill>
              <a:prstDash val="dash"/>
            </a:ln>
          </spPr>
          <marker>
            <symbol val="none"/>
            <spPr>
              <a:ln xmlns:a="http://schemas.openxmlformats.org/drawingml/2006/main">
                <a:prstDash val="solid"/>
              </a:ln>
            </spPr>
          </marker>
          <cat>
            <numRef>
              <f>'CPI Data'!$B$7:$B$98</f>
            </numRef>
          </cat>
          <val>
            <numRef>
              <f>'CPI Data'!$M$6:$M$98</f>
            </numRef>
          </val>
          <smooth val="0"/>
        </ser>
        <ser>
          <idx val="4"/>
          <order val="4"/>
          <tx>
            <v>y/y core</v>
          </tx>
          <spPr>
            <a:ln xmlns:a="http://schemas.openxmlformats.org/drawingml/2006/main" w="20000">
              <a:solidFill>
                <a:srgbClr val="8AA0B8"/>
              </a:solidFill>
              <a:prstDash val="dash"/>
            </a:ln>
          </spPr>
          <marker>
            <symbol val="none"/>
            <spPr>
              <a:ln xmlns:a="http://schemas.openxmlformats.org/drawingml/2006/main">
                <a:prstDash val="solid"/>
              </a:ln>
            </spPr>
          </marker>
          <cat>
            <numRef>
              <f>'CPI Data'!$B$7:$B$98</f>
            </numRef>
          </cat>
          <val>
            <numRef>
              <f>'CPI Data'!$N$6:$N$98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Zoom: since Jan-2025</a:t>
            </a:r>
          </a:p>
        </rich>
      </tx>
    </title>
    <plotArea>
      <lineChart>
        <grouping val="standard"/>
        <ser>
          <idx val="0"/>
          <order val="0"/>
          <tx>
            <v>3m ann. headline</v>
          </tx>
          <spPr>
            <a:ln xmlns:a="http://schemas.openxmlformats.org/drawingml/2006/main" w="30000">
              <a:solidFill>
                <a:srgbClr val="E60000"/>
              </a:solidFill>
              <a:prstDash val="solid"/>
            </a:ln>
          </spPr>
          <marker>
            <symbol val="none"/>
            <spPr>
              <a:ln xmlns:a="http://schemas.openxmlformats.org/drawingml/2006/main">
                <a:prstDash val="solid"/>
              </a:ln>
            </spPr>
          </marker>
          <cat>
            <numRef>
              <f>'CPI Data'!$B$79:$B$98</f>
            </numRef>
          </cat>
          <val>
            <numRef>
              <f>'CPI Data'!$P$78:$P$98</f>
            </numRef>
          </val>
          <smooth val="0"/>
        </ser>
        <ser>
          <idx val="1"/>
          <order val="1"/>
          <tx>
            <v>3m ann. core</v>
          </tx>
          <spPr>
            <a:ln xmlns:a="http://schemas.openxmlformats.org/drawingml/2006/main" w="26000">
              <a:solidFill>
                <a:srgbClr val="E8A33D"/>
              </a:solidFill>
              <a:prstDash val="solid"/>
            </a:ln>
          </spPr>
          <marker>
            <symbol val="none"/>
            <spPr>
              <a:ln xmlns:a="http://schemas.openxmlformats.org/drawingml/2006/main">
                <a:prstDash val="solid"/>
              </a:ln>
            </spPr>
          </marker>
          <cat>
            <numRef>
              <f>'CPI Data'!$B$79:$B$98</f>
            </numRef>
          </cat>
          <val>
            <numRef>
              <f>'CPI Data'!$Q$78:$Q$98</f>
            </numRef>
          </val>
          <smooth val="0"/>
        </ser>
        <ser>
          <idx val="2"/>
          <order val="2"/>
          <tx>
            <v>6m ann. headline</v>
          </tx>
          <spPr>
            <a:ln xmlns:a="http://schemas.openxmlformats.org/drawingml/2006/main" w="22000">
              <a:solidFill>
                <a:srgbClr val="7A2048"/>
              </a:solidFill>
              <a:prstDash val="solid"/>
            </a:ln>
          </spPr>
          <marker>
            <symbol val="none"/>
            <spPr>
              <a:ln xmlns:a="http://schemas.openxmlformats.org/drawingml/2006/main">
                <a:prstDash val="solid"/>
              </a:ln>
            </spPr>
          </marker>
          <cat>
            <numRef>
              <f>'CPI Data'!$B$79:$B$98</f>
            </numRef>
          </cat>
          <val>
            <numRef>
              <f>'CPI Data'!$R$78:$R$98</f>
            </numRef>
          </val>
          <smooth val="0"/>
        </ser>
        <ser>
          <idx val="3"/>
          <order val="3"/>
          <tx>
            <v>y/y headline</v>
          </tx>
          <spPr>
            <a:ln xmlns:a="http://schemas.openxmlformats.org/drawingml/2006/main" w="22000">
              <a:solidFill>
                <a:srgbClr val="1F3B63"/>
              </a:solidFill>
              <a:prstDash val="dash"/>
            </a:ln>
          </spPr>
          <marker>
            <symbol val="none"/>
            <spPr>
              <a:ln xmlns:a="http://schemas.openxmlformats.org/drawingml/2006/main">
                <a:prstDash val="solid"/>
              </a:ln>
            </spPr>
          </marker>
          <cat>
            <numRef>
              <f>'CPI Data'!$B$79:$B$98</f>
            </numRef>
          </cat>
          <val>
            <numRef>
              <f>'CPI Data'!$M$78:$M$98</f>
            </numRef>
          </val>
          <smooth val="0"/>
        </ser>
        <ser>
          <idx val="4"/>
          <order val="4"/>
          <tx>
            <v>y/y core</v>
          </tx>
          <spPr>
            <a:ln xmlns:a="http://schemas.openxmlformats.org/drawingml/2006/main" w="20000">
              <a:solidFill>
                <a:srgbClr val="8AA0B8"/>
              </a:solidFill>
              <a:prstDash val="dash"/>
            </a:ln>
          </spPr>
          <marker>
            <symbol val="none"/>
            <spPr>
              <a:ln xmlns:a="http://schemas.openxmlformats.org/drawingml/2006/main">
                <a:prstDash val="solid"/>
              </a:ln>
            </spPr>
          </marker>
          <cat>
            <numRef>
              <f>'CPI Data'!$B$79:$B$98</f>
            </numRef>
          </cat>
          <val>
            <numRef>
              <f>'CPI Data'!$N$78:$N$98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Monthly % change by component</a:t>
            </a:r>
          </a:p>
        </rich>
      </tx>
    </title>
    <plotArea>
      <lineChart>
        <grouping val="standard"/>
        <ser>
          <idx val="0"/>
          <order val="0"/>
          <tx>
            <v>Nivel General</v>
          </tx>
          <spPr>
            <a:ln xmlns:a="http://schemas.openxmlformats.org/drawingml/2006/main" w="30000">
              <a:solidFill>
                <a:srgbClr val="1A1A1A"/>
              </a:solidFill>
              <a:prstDash val="solid"/>
            </a:ln>
          </spPr>
          <marker>
            <symbol val="none"/>
            <spPr>
              <a:ln xmlns:a="http://schemas.openxmlformats.org/drawingml/2006/main">
                <a:prstDash val="solid"/>
              </a:ln>
            </spPr>
          </marker>
          <cat>
            <numRef>
              <f>'CPI Data'!$B$43:$B$98</f>
            </numRef>
          </cat>
          <val>
            <numRef>
              <f>'CPI Data'!$I$42:$I$98</f>
            </numRef>
          </val>
          <smooth val="0"/>
        </ser>
        <ser>
          <idx val="1"/>
          <order val="1"/>
          <tx>
            <v>Nucleo</v>
          </tx>
          <spPr>
            <a:ln xmlns:a="http://schemas.openxmlformats.org/drawingml/2006/main" w="24000">
              <a:solidFill>
                <a:srgbClr val="1F3B63"/>
              </a:solidFill>
              <a:prstDash val="solid"/>
            </a:ln>
          </spPr>
          <marker>
            <symbol val="none"/>
            <spPr>
              <a:ln xmlns:a="http://schemas.openxmlformats.org/drawingml/2006/main">
                <a:prstDash val="solid"/>
              </a:ln>
            </spPr>
          </marker>
          <cat>
            <numRef>
              <f>'CPI Data'!$B$43:$B$98</f>
            </numRef>
          </cat>
          <val>
            <numRef>
              <f>'CPI Data'!$J$42:$J$98</f>
            </numRef>
          </val>
          <smooth val="0"/>
        </ser>
        <ser>
          <idx val="2"/>
          <order val="2"/>
          <tx>
            <v>Regulados</v>
          </tx>
          <spPr>
            <a:ln xmlns:a="http://schemas.openxmlformats.org/drawingml/2006/main" w="24000">
              <a:solidFill>
                <a:srgbClr val="E60000"/>
              </a:solidFill>
              <a:prstDash val="solid"/>
            </a:ln>
          </spPr>
          <marker>
            <symbol val="none"/>
            <spPr>
              <a:ln xmlns:a="http://schemas.openxmlformats.org/drawingml/2006/main">
                <a:prstDash val="solid"/>
              </a:ln>
            </spPr>
          </marker>
          <cat>
            <numRef>
              <f>'CPI Data'!$B$43:$B$98</f>
            </numRef>
          </cat>
          <val>
            <numRef>
              <f>'CPI Data'!$K$42:$K$98</f>
            </numRef>
          </val>
          <smooth val="0"/>
        </ser>
        <ser>
          <idx val="3"/>
          <order val="3"/>
          <tx>
            <v>Estacionales</v>
          </tx>
          <spPr>
            <a:ln xmlns:a="http://schemas.openxmlformats.org/drawingml/2006/main" w="18000">
              <a:solidFill>
                <a:srgbClr val="9AB3C9"/>
              </a:solidFill>
              <a:prstDash val="solid"/>
            </a:ln>
          </spPr>
          <marker>
            <symbol val="none"/>
            <spPr>
              <a:ln xmlns:a="http://schemas.openxmlformats.org/drawingml/2006/main">
                <a:prstDash val="solid"/>
              </a:ln>
            </spPr>
          </marker>
          <cat>
            <numRef>
              <f>'CPI Data'!$B$43:$B$98</f>
            </numRef>
          </cat>
          <val>
            <numRef>
              <f>'CPI Data'!$L$42:$L$98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Cumulative change by component — full year</a:t>
            </a:r>
          </a:p>
        </rich>
      </tx>
    </title>
    <plotArea>
      <barChart>
        <barDir val="col"/>
        <grouping val="clustered"/>
        <ser>
          <idx val="0"/>
          <order val="0"/>
          <tx>
            <strRef>
              <f>'Components'!C33</f>
            </strRef>
          </tx>
          <spPr>
            <a:ln xmlns:a="http://schemas.openxmlformats.org/drawingml/2006/main">
              <a:prstDash val="solid"/>
            </a:ln>
          </spPr>
          <cat>
            <numRef>
              <f>'Components'!$B$34:$B$37</f>
            </numRef>
          </cat>
          <val>
            <numRef>
              <f>'Components'!$C$34:$C$37</f>
            </numRef>
          </val>
        </ser>
        <ser>
          <idx val="1"/>
          <order val="1"/>
          <tx>
            <strRef>
              <f>'Components'!D33</f>
            </strRef>
          </tx>
          <spPr>
            <a:ln xmlns:a="http://schemas.openxmlformats.org/drawingml/2006/main">
              <a:prstDash val="solid"/>
            </a:ln>
          </spPr>
          <cat>
            <numRef>
              <f>'Components'!$B$34:$B$37</f>
            </numRef>
          </cat>
          <val>
            <numRef>
              <f>'Components'!$D$34:$D$37</f>
            </numRef>
          </val>
        </ser>
        <ser>
          <idx val="2"/>
          <order val="2"/>
          <tx>
            <strRef>
              <f>'Components'!E33</f>
            </strRef>
          </tx>
          <spPr>
            <a:ln xmlns:a="http://schemas.openxmlformats.org/drawingml/2006/main">
              <a:prstDash val="solid"/>
            </a:ln>
          </spPr>
          <cat>
            <numRef>
              <f>'Components'!$B$34:$B$37</f>
            </numRef>
          </cat>
          <val>
            <numRef>
              <f>'Components'!$E$34:$E$37</f>
            </numRef>
          </val>
        </ser>
        <ser>
          <idx val="3"/>
          <order val="3"/>
          <tx>
            <strRef>
              <f>'Components'!F33</f>
            </strRef>
          </tx>
          <spPr>
            <a:ln xmlns:a="http://schemas.openxmlformats.org/drawingml/2006/main">
              <a:prstDash val="solid"/>
            </a:ln>
          </spPr>
          <cat>
            <numRef>
              <f>'Components'!$B$34:$B$37</f>
            </numRef>
          </cat>
          <val>
            <numRef>
              <f>'Components'!$F$34:$F$37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Cumulative change by component — Jan to Aug, like-for-like</a:t>
            </a:r>
          </a:p>
        </rich>
      </tx>
    </title>
    <plotArea>
      <barChart>
        <barDir val="col"/>
        <grouping val="clustered"/>
        <ser>
          <idx val="0"/>
          <order val="0"/>
          <tx>
            <strRef>
              <f>'Components'!C42</f>
            </strRef>
          </tx>
          <spPr>
            <a:ln xmlns:a="http://schemas.openxmlformats.org/drawingml/2006/main">
              <a:prstDash val="solid"/>
            </a:ln>
          </spPr>
          <cat>
            <numRef>
              <f>'Components'!$B$43:$B$46</f>
            </numRef>
          </cat>
          <val>
            <numRef>
              <f>'Components'!$C$43:$C$46</f>
            </numRef>
          </val>
        </ser>
        <ser>
          <idx val="1"/>
          <order val="1"/>
          <tx>
            <strRef>
              <f>'Components'!D42</f>
            </strRef>
          </tx>
          <spPr>
            <a:ln xmlns:a="http://schemas.openxmlformats.org/drawingml/2006/main">
              <a:prstDash val="solid"/>
            </a:ln>
          </spPr>
          <cat>
            <numRef>
              <f>'Components'!$B$43:$B$46</f>
            </numRef>
          </cat>
          <val>
            <numRef>
              <f>'Components'!$D$43:$D$46</f>
            </numRef>
          </val>
        </ser>
        <ser>
          <idx val="2"/>
          <order val="2"/>
          <tx>
            <strRef>
              <f>'Components'!E42</f>
            </strRef>
          </tx>
          <spPr>
            <a:ln xmlns:a="http://schemas.openxmlformats.org/drawingml/2006/main">
              <a:prstDash val="solid"/>
            </a:ln>
          </spPr>
          <cat>
            <numRef>
              <f>'Components'!$B$43:$B$46</f>
            </numRef>
          </cat>
          <val>
            <numRef>
              <f>'Components'!$E$43:$E$46</f>
            </numRef>
          </val>
        </ser>
        <ser>
          <idx val="3"/>
          <order val="3"/>
          <tx>
            <strRef>
              <f>'Components'!F42</f>
            </strRef>
          </tx>
          <spPr>
            <a:ln xmlns:a="http://schemas.openxmlformats.org/drawingml/2006/main">
              <a:prstDash val="solid"/>
            </a:ln>
          </spPr>
          <cat>
            <numRef>
              <f>'Components'!$B$43:$B$46</f>
            </numRef>
          </cat>
          <val>
            <numRef>
              <f>'Components'!$F$43:$F$46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Real rates: ex-post against ex-ante</a:t>
            </a:r>
          </a:p>
        </rich>
      </tx>
    </title>
    <plotArea>
      <lineChart>
        <grouping val="standard"/>
        <ser>
          <idx val="0"/>
          <order val="0"/>
          <tx>
            <v>Real ex-post, annualised</v>
          </tx>
          <spPr>
            <a:ln xmlns:a="http://schemas.openxmlformats.org/drawingml/2006/main" w="28000">
              <a:solidFill>
                <a:srgbClr val="1F3B63"/>
              </a:solidFill>
              <a:prstDash val="solid"/>
            </a:ln>
          </spPr>
          <marker>
            <symbol val="none"/>
            <spPr>
              <a:ln xmlns:a="http://schemas.openxmlformats.org/drawingml/2006/main">
                <a:prstDash val="solid"/>
              </a:ln>
            </spPr>
          </marker>
          <cat>
            <numRef>
              <f>'Real Rates'!$B$10:$B$46</f>
            </numRef>
          </cat>
          <val>
            <numRef>
              <f>'Real Rates'!$H$9:$H$46</f>
            </numRef>
          </val>
          <smooth val="0"/>
        </ser>
        <ser>
          <idx val="1"/>
          <order val="1"/>
          <tx>
            <v>Real ex-ante, annualised</v>
          </tx>
          <spPr>
            <a:ln xmlns:a="http://schemas.openxmlformats.org/drawingml/2006/main" w="28000">
              <a:solidFill>
                <a:srgbClr val="E60000"/>
              </a:solidFill>
              <a:prstDash val="dash"/>
            </a:ln>
          </spPr>
          <marker>
            <symbol val="none"/>
            <spPr>
              <a:ln xmlns:a="http://schemas.openxmlformats.org/drawingml/2006/main">
                <a:prstDash val="solid"/>
              </a:ln>
            </spPr>
          </marker>
          <cat>
            <numRef>
              <f>'Real Rates'!$B$10:$B$46</f>
            </numRef>
          </cat>
          <val>
            <numRef>
              <f>'Real Rates'!$K$9:$K$46</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 sourceLinked="0"/>
        <majorTickMark val="none"/>
        <minorTickMark val="none"/>
        <crossAx val="10"/>
      </valAx>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Monthly CPI: realised and scenario paths</a:t>
            </a:r>
          </a:p>
        </rich>
      </tx>
    </title>
    <plotArea>
      <lineChart>
        <grouping val="standard"/>
        <ser>
          <idx val="0"/>
          <order val="0"/>
          <tx>
            <v>Actual</v>
          </tx>
          <spPr>
            <a:ln xmlns:a="http://schemas.openxmlformats.org/drawingml/2006/main" w="32000">
              <a:solidFill>
                <a:srgbClr val="1A1A1A"/>
              </a:solidFill>
              <a:prstDash val="solid"/>
            </a:ln>
          </spPr>
          <marker>
            <symbol val="none"/>
            <spPr>
              <a:ln xmlns:a="http://schemas.openxmlformats.org/drawingml/2006/main">
                <a:prstDash val="solid"/>
              </a:ln>
            </spPr>
          </marker>
          <cat>
            <numRef>
              <f>'Forecast'!$B$6:$B$41</f>
            </numRef>
          </cat>
          <val>
            <numRef>
              <f>'Forecast'!$C$5:$C$41</f>
            </numRef>
          </val>
          <smooth val="0"/>
        </ser>
        <ser>
          <idx val="1"/>
          <order val="1"/>
          <tx>
            <v>Bull</v>
          </tx>
          <spPr>
            <a:ln xmlns:a="http://schemas.openxmlformats.org/drawingml/2006/main" w="22000">
              <a:solidFill>
                <a:srgbClr val="007A33"/>
              </a:solidFill>
              <a:prstDash val="dash"/>
            </a:ln>
          </spPr>
          <marker>
            <symbol val="none"/>
            <spPr>
              <a:ln xmlns:a="http://schemas.openxmlformats.org/drawingml/2006/main">
                <a:prstDash val="solid"/>
              </a:ln>
            </spPr>
          </marker>
          <cat>
            <numRef>
              <f>'Forecast'!$B$6:$B$41</f>
            </numRef>
          </cat>
          <val>
            <numRef>
              <f>'Forecast'!$D$5:$D$41</f>
            </numRef>
          </val>
          <smooth val="0"/>
        </ser>
        <ser>
          <idx val="2"/>
          <order val="2"/>
          <tx>
            <v>Base</v>
          </tx>
          <spPr>
            <a:ln xmlns:a="http://schemas.openxmlformats.org/drawingml/2006/main" w="26000">
              <a:solidFill>
                <a:srgbClr val="1F3B63"/>
              </a:solidFill>
              <a:prstDash val="dash"/>
            </a:ln>
          </spPr>
          <marker>
            <symbol val="none"/>
            <spPr>
              <a:ln xmlns:a="http://schemas.openxmlformats.org/drawingml/2006/main">
                <a:prstDash val="solid"/>
              </a:ln>
            </spPr>
          </marker>
          <cat>
            <numRef>
              <f>'Forecast'!$B$6:$B$41</f>
            </numRef>
          </cat>
          <val>
            <numRef>
              <f>'Forecast'!$E$5:$E$41</f>
            </numRef>
          </val>
          <smooth val="0"/>
        </ser>
        <ser>
          <idx val="3"/>
          <order val="3"/>
          <tx>
            <v>Bear</v>
          </tx>
          <spPr>
            <a:ln xmlns:a="http://schemas.openxmlformats.org/drawingml/2006/main" w="22000">
              <a:solidFill>
                <a:srgbClr val="E60000"/>
              </a:solidFill>
              <a:prstDash val="dash"/>
            </a:ln>
          </spPr>
          <marker>
            <symbol val="none"/>
            <spPr>
              <a:ln xmlns:a="http://schemas.openxmlformats.org/drawingml/2006/main">
                <a:prstDash val="solid"/>
              </a:ln>
            </spPr>
          </marker>
          <cat>
            <numRef>
              <f>'Forecast'!$B$6:$B$41</f>
            </numRef>
          </cat>
          <val>
            <numRef>
              <f>'Forecast'!$F$5:$F$41</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0%" sourceLinked="0"/>
        <majorTickMark val="none"/>
        <minorTickMark val="none"/>
        <crossAx val="10"/>
      </valAx>
    </plotArea>
    <legend>
      <legendPos val="r"/>
    </legend>
    <plotVisOnly val="1"/>
    <dispBlanksAs val="gap"/>
  </chart>
</chartSpace>
</file>

<file path=xl/charts/chart13.xml><?xml version="1.0" encoding="utf-8"?>
<chartSpace xmlns="http://schemas.openxmlformats.org/drawingml/2006/chart">
  <chart>
    <title>
      <tx>
        <rich>
          <a:bodyPr xmlns:a="http://schemas.openxmlformats.org/drawingml/2006/main"/>
          <a:p xmlns:a="http://schemas.openxmlformats.org/drawingml/2006/main">
            <a:pPr>
              <a:defRPr/>
            </a:pPr>
            <a:r>
              <a:t>The six models to December 2027</a:t>
            </a:r>
          </a:p>
        </rich>
      </tx>
    </title>
    <plotArea>
      <lineChart>
        <grouping val="standard"/>
        <ser>
          <idx val="0"/>
          <order val="0"/>
          <tx>
            <v>Actual</v>
          </tx>
          <spPr>
            <a:ln xmlns:a="http://schemas.openxmlformats.org/drawingml/2006/main" w="32000">
              <a:solidFill>
                <a:srgbClr val="1A1A1A"/>
              </a:solidFill>
              <a:prstDash val="solid"/>
            </a:ln>
          </spPr>
          <marker>
            <symbol val="none"/>
            <spPr>
              <a:ln xmlns:a="http://schemas.openxmlformats.org/drawingml/2006/main">
                <a:prstDash val="solid"/>
              </a:ln>
            </spPr>
          </marker>
          <cat>
            <numRef>
              <f>'Models'!$B$45:$B$68</f>
            </numRef>
          </cat>
          <val>
            <numRef>
              <f>'Models'!$D$44:$D$68</f>
            </numRef>
          </val>
          <smooth val="0"/>
        </ser>
        <ser>
          <idx val="1"/>
          <order val="1"/>
          <tx>
            <v>M1 Base</v>
          </tx>
          <spPr>
            <a:ln xmlns:a="http://schemas.openxmlformats.org/drawingml/2006/main" w="24000">
              <a:solidFill>
                <a:srgbClr val="1F3B63"/>
              </a:solidFill>
              <a:prstDash val="dash"/>
            </a:ln>
          </spPr>
          <marker>
            <symbol val="none"/>
            <spPr>
              <a:ln xmlns:a="http://schemas.openxmlformats.org/drawingml/2006/main">
                <a:prstDash val="solid"/>
              </a:ln>
            </spPr>
          </marker>
          <cat>
            <numRef>
              <f>'Models'!$B$45:$B$68</f>
            </numRef>
          </cat>
          <val>
            <numRef>
              <f>'Models'!$F$44:$F$68</f>
            </numRef>
          </val>
          <smooth val="0"/>
        </ser>
        <ser>
          <idx val="2"/>
          <order val="2"/>
          <tx>
            <v>M2 Inertia</v>
          </tx>
          <spPr>
            <a:ln xmlns:a="http://schemas.openxmlformats.org/drawingml/2006/main" w="20000">
              <a:solidFill>
                <a:srgbClr val="8AA0B8"/>
              </a:solidFill>
              <a:prstDash val="dash"/>
            </a:ln>
          </spPr>
          <marker>
            <symbol val="none"/>
            <spPr>
              <a:ln xmlns:a="http://schemas.openxmlformats.org/drawingml/2006/main">
                <a:prstDash val="solid"/>
              </a:ln>
            </spPr>
          </marker>
          <cat>
            <numRef>
              <f>'Models'!$B$45:$B$68</f>
            </numRef>
          </cat>
          <val>
            <numRef>
              <f>'Models'!$H$44:$H$68</f>
            </numRef>
          </val>
          <smooth val="0"/>
        </ser>
        <ser>
          <idx val="3"/>
          <order val="3"/>
          <tx>
            <v>M3 Bottom-up</v>
          </tx>
          <spPr>
            <a:ln xmlns:a="http://schemas.openxmlformats.org/drawingml/2006/main" w="28000">
              <a:solidFill>
                <a:srgbClr val="E60000"/>
              </a:solidFill>
              <a:prstDash val="solid"/>
            </a:ln>
          </spPr>
          <marker>
            <symbol val="none"/>
            <spPr>
              <a:ln xmlns:a="http://schemas.openxmlformats.org/drawingml/2006/main">
                <a:prstDash val="solid"/>
              </a:ln>
            </spPr>
          </marker>
          <cat>
            <numRef>
              <f>'Models'!$B$45:$B$68</f>
            </numRef>
          </cat>
          <val>
            <numRef>
              <f>'Models'!$I$44:$I$68</f>
            </numRef>
          </val>
          <smooth val="0"/>
        </ser>
        <ser>
          <idx val="4"/>
          <order val="4"/>
          <tx>
            <v>M4 Seasonal</v>
          </tx>
          <spPr>
            <a:ln xmlns:a="http://schemas.openxmlformats.org/drawingml/2006/main" w="20000">
              <a:solidFill>
                <a:srgbClr val="E8A33D"/>
              </a:solidFill>
              <a:prstDash val="solid"/>
            </a:ln>
          </spPr>
          <marker>
            <symbol val="none"/>
            <spPr>
              <a:ln xmlns:a="http://schemas.openxmlformats.org/drawingml/2006/main">
                <a:prstDash val="solid"/>
              </a:ln>
            </spPr>
          </marker>
          <cat>
            <numRef>
              <f>'Models'!$B$45:$B$68</f>
            </numRef>
          </cat>
          <val>
            <numRef>
              <f>'Models'!$J$44:$J$68</f>
            </numRef>
          </val>
          <smooth val="0"/>
        </ser>
        <ser>
          <idx val="5"/>
          <order val="5"/>
          <tx>
            <v>M5 Market</v>
          </tx>
          <spPr>
            <a:ln xmlns:a="http://schemas.openxmlformats.org/drawingml/2006/main" w="22000">
              <a:solidFill>
                <a:srgbClr val="007A33"/>
              </a:solidFill>
              <a:prstDash val="dash"/>
            </a:ln>
          </spPr>
          <marker>
            <symbol val="none"/>
            <spPr>
              <a:ln xmlns:a="http://schemas.openxmlformats.org/drawingml/2006/main">
                <a:prstDash val="solid"/>
              </a:ln>
            </spPr>
          </marker>
          <cat>
            <numRef>
              <f>'Models'!$B$45:$B$68</f>
            </numRef>
          </cat>
          <val>
            <numRef>
              <f>'Models'!$K$44:$K$68</f>
            </numRef>
          </val>
          <smooth val="0"/>
        </ser>
        <ser>
          <idx val="6"/>
          <order val="6"/>
          <tx>
            <v>M6 Consensus</v>
          </tx>
          <spPr>
            <a:ln xmlns:a="http://schemas.openxmlformats.org/drawingml/2006/main" w="20000">
              <a:solidFill>
                <a:srgbClr val="7A2048"/>
              </a:solidFill>
              <a:prstDash val="dash"/>
            </a:ln>
          </spPr>
          <marker>
            <symbol val="none"/>
            <spPr>
              <a:ln xmlns:a="http://schemas.openxmlformats.org/drawingml/2006/main">
                <a:prstDash val="solid"/>
              </a:ln>
            </spPr>
          </marker>
          <cat>
            <numRef>
              <f>'Models'!$B$45:$B$68</f>
            </numRef>
          </cat>
          <val>
            <numRef>
              <f>'Models'!$L$44:$L$68</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numFmt formatCode="0.0%" sourceLinked="0"/>
        <majorTickMark val="none"/>
        <minorTickMark val="none"/>
        <crossAx val="10"/>
      </valAx>
    </plotArea>
    <legend>
      <legendPos val="r"/>
    </legend>
    <plotVisOnly val="1"/>
    <dispBlanksAs val="gap"/>
  </chart>
</chartSpace>
</file>

<file path=xl/charts/chart14.xml><?xml version="1.0" encoding="utf-8"?>
<chartSpace xmlns="http://schemas.openxmlformats.org/drawingml/2006/chart">
  <chart>
    <title>
      <tx>
        <rich>
          <a:bodyPr xmlns:a="http://schemas.openxmlformats.org/drawingml/2006/main"/>
          <a:p xmlns:a="http://schemas.openxmlformats.org/drawingml/2006/main">
            <a:pPr>
              <a:defRPr/>
            </a:pPr>
            <a:r>
              <a:t>Most important problem, June 2026</a:t>
            </a:r>
          </a:p>
        </rich>
      </tx>
    </title>
    <plotArea>
      <barChart>
        <barDir val="bar"/>
        <grouping val="clustered"/>
        <ser>
          <idx val="0"/>
          <order val="0"/>
          <spPr>
            <a:solidFill xmlns:a="http://schemas.openxmlformats.org/drawingml/2006/main">
              <a:srgbClr val="1F3B63"/>
            </a:solidFill>
            <a:ln xmlns:a="http://schemas.openxmlformats.org/drawingml/2006/main">
              <a:prstDash val="solid"/>
            </a:ln>
          </spPr>
          <cat>
            <numRef>
              <f>'Regime Map'!$B$28:$B$33</f>
            </numRef>
          </cat>
          <val>
            <numRef>
              <f>'Regime Map'!$C$28:$C$33</f>
            </numRef>
          </val>
        </ser>
        <gapWidth val="150"/>
        <axId val="10"/>
        <axId val="100"/>
      </barChart>
      <catAx>
        <axId val="10"/>
        <scaling>
          <orientation val="minMax"/>
        </scaling>
        <axPos val="l"/>
        <numFmt formatCode="0%" sourceLinked="0"/>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15.xml><?xml version="1.0" encoding="utf-8"?>
<chartSpace xmlns="http://schemas.openxmlformats.org/drawingml/2006/chart">
  <chart>
    <title>
      <tx>
        <rich>
          <a:bodyPr xmlns:a="http://schemas.openxmlformats.org/drawingml/2006/main"/>
          <a:p xmlns:a="http://schemas.openxmlformats.org/drawingml/2006/main">
            <a:pPr>
              <a:defRPr/>
            </a:pPr>
            <a:r>
              <a:t>Government confidence against inflation</a:t>
            </a:r>
          </a:p>
        </rich>
      </tx>
    </title>
    <plotArea>
      <lineChart>
        <grouping val="standard"/>
        <ser>
          <idx val="0"/>
          <order val="0"/>
          <tx>
            <v>ICG (0-5, left)</v>
          </tx>
          <spPr>
            <a:ln xmlns:a="http://schemas.openxmlformats.org/drawingml/2006/main" w="30000">
              <a:solidFill>
                <a:srgbClr val="1F3B63"/>
              </a:solidFill>
              <a:prstDash val="solid"/>
            </a:ln>
          </spPr>
          <marker>
            <symbol val="none"/>
            <spPr>
              <a:ln xmlns:a="http://schemas.openxmlformats.org/drawingml/2006/main">
                <a:prstDash val="solid"/>
              </a:ln>
            </spPr>
          </marker>
          <cat>
            <numRef>
              <f>'Regime Map'!$B$40:$B$56</f>
            </numRef>
          </cat>
          <val>
            <numRef>
              <f>'Regime Map'!$C$39:$C$56</f>
            </numRef>
          </val>
          <smooth val="0"/>
        </ser>
        <axId val="10"/>
        <axId val="100"/>
      </lineChart>
      <lineChart>
        <grouping val="standard"/>
        <ser>
          <idx val="1"/>
          <order val="1"/>
          <tx>
            <v>CPI m/m (right)</v>
          </tx>
          <spPr>
            <a:ln xmlns:a="http://schemas.openxmlformats.org/drawingml/2006/main" w="26000">
              <a:solidFill>
                <a:srgbClr val="E60000"/>
              </a:solidFill>
              <a:prstDash val="solid"/>
            </a:ln>
          </spPr>
          <marker>
            <symbol val="none"/>
            <spPr>
              <a:ln xmlns:a="http://schemas.openxmlformats.org/drawingml/2006/main">
                <a:prstDash val="solid"/>
              </a:ln>
            </spPr>
          </marker>
          <val>
            <numRef>
              <f>'Regime Map'!$D$39:$D$56</f>
            </numRef>
          </val>
          <smooth val="0"/>
        </ser>
        <axId val="10"/>
        <axId val="2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ICG</a:t>
                </a:r>
              </a:p>
            </rich>
          </tx>
        </title>
        <majorTickMark val="none"/>
        <minorTickMark val="none"/>
        <crossAx val="10"/>
      </valAx>
      <valAx>
        <axId val="200"/>
        <scaling>
          <orientation val="minMax"/>
        </scaling>
        <axPos val="l"/>
        <title>
          <tx>
            <rich>
              <a:bodyPr xmlns:a="http://schemas.openxmlformats.org/drawingml/2006/main"/>
              <a:p xmlns:a="http://schemas.openxmlformats.org/drawingml/2006/main">
                <a:pPr>
                  <a:defRPr/>
                </a:pPr>
                <a:r>
                  <a:t>CPI m/m</a:t>
                </a:r>
              </a:p>
            </rich>
          </tx>
        </title>
        <numFmt formatCode="0.0%" sourceLinked="0"/>
        <majorTickMark val="none"/>
        <minorTickMark val="none"/>
        <crossAx val="10"/>
        <crosses val="max"/>
      </valAx>
    </plotArea>
    <legend>
      <legendPos val="r"/>
    </legend>
    <plotVisOnly val="1"/>
    <dispBlanksAs val="gap"/>
  </chart>
</chartSpace>
</file>

<file path=xl/charts/chart16.xml><?xml version="1.0" encoding="utf-8"?>
<chartSpace xmlns="http://schemas.openxmlformats.org/drawingml/2006/chart">
  <chart>
    <title>
      <tx>
        <rich>
          <a:bodyPr xmlns:a="http://schemas.openxmlformats.org/drawingml/2006/main"/>
          <a:p xmlns:a="http://schemas.openxmlformats.org/drawingml/2006/main">
            <a:pPr>
              <a:defRPr/>
            </a:pPr>
            <a:r>
              <a:t>Milei against Kicillof, 2027 vote intention</a:t>
            </a:r>
          </a:p>
        </rich>
      </tx>
    </title>
    <plotArea>
      <lineChart>
        <grouping val="standard"/>
        <ser>
          <idx val="0"/>
          <order val="0"/>
          <tx>
            <v>Milei</v>
          </tx>
          <spPr>
            <a:ln xmlns:a="http://schemas.openxmlformats.org/drawingml/2006/main" w="26000">
              <a:solidFill>
                <a:srgbClr val="E60000"/>
              </a:solidFill>
              <a:prstDash val="solid"/>
            </a:ln>
          </spPr>
          <marker>
            <symbol val="none"/>
            <spPr>
              <a:ln xmlns:a="http://schemas.openxmlformats.org/drawingml/2006/main">
                <a:prstDash val="solid"/>
              </a:ln>
            </spPr>
          </marker>
          <cat>
            <numRef>
              <f>'Elections'!$B$31:$B$49</f>
            </numRef>
          </cat>
          <val>
            <numRef>
              <f>'Elections'!$E$30:$E$49</f>
            </numRef>
          </val>
          <smooth val="0"/>
        </ser>
        <ser>
          <idx val="1"/>
          <order val="1"/>
          <tx>
            <v>Kicillof</v>
          </tx>
          <spPr>
            <a:ln xmlns:a="http://schemas.openxmlformats.org/drawingml/2006/main" w="26000">
              <a:solidFill>
                <a:srgbClr val="1F3B63"/>
              </a:solidFill>
              <a:prstDash val="solid"/>
            </a:ln>
          </spPr>
          <marker>
            <symbol val="none"/>
            <spPr>
              <a:ln xmlns:a="http://schemas.openxmlformats.org/drawingml/2006/main">
                <a:prstDash val="solid"/>
              </a:ln>
            </spPr>
          </marker>
          <cat>
            <numRef>
              <f>'Elections'!$B$31:$B$49</f>
            </numRef>
          </cat>
          <val>
            <numRef>
              <f>'Elections'!$F$30:$F$49</f>
            </numRef>
          </val>
          <smooth val="0"/>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omments/comment1.xml><?xml version="1.0" encoding="utf-8"?>
<comments xmlns="http://schemas.openxmlformats.org/spreadsheetml/2006/main">
  <authors>
    <author>Claude</author>
  </authors>
  <commentList>
    <comment ref="B97" authorId="0" shapeId="0">
      <text>
        <t>2026-07 index levels are RECONSTRUCTED from the INDEC press release, not the API. Solved from the published m/m, vs-Dec-2025 and y/y, which pin each series to a band under 0.07% wide; midpoint entered. Accurate to about +/-0.035% on the level; every displayed percentage matches the published print.</t>
      </text>
    </comment>
    <comment ref="B98" authorId="0" shapeId="0">
      <text>
        <t>2026-08 index levels are RECONSTRUCTED from the INDEC press release, not the API. Solved from the published m/m, vs-Dec-2025 and y/y, which pin each series to a band under 0.07% wide; midpoint entered. Accurate to about +/-0.035% on the level; every displayed percentage matches the published print.</t>
      </text>
    </comment>
  </commentList>
</comments>
</file>

<file path=xl/comments/comment2.xml><?xml version="1.0" encoding="utf-8"?>
<comments xmlns="http://schemas.openxmlformats.org/spreadsheetml/2006/main">
  <authors>
    <author>Claude</author>
  </authors>
  <commentList>
    <comment ref="B11" authorId="0" shapeId="0">
      <text>
        <t>SUSPECT. This extraction gives 28.9% for 2026, but the Feb-2026 round's stated PRIOR figure is 22.4%. These cannot both be right. 28.9% came from a PDF whose annual tables do not parse reliably. Do not chart it until confirmed against a readable source.</t>
      </text>
    </comment>
  </commentList>
</comments>
</file>

<file path=xl/comments/comment3.xml><?xml version="1.0" encoding="utf-8"?>
<comments xmlns="http://schemas.openxmlformats.org/spreadsheetml/2006/main">
  <authors>
    <author>Claude</author>
  </authors>
  <commentList>
    <comment ref="D19" authorId="0" shapeId="0">
      <text>
        <t>DERIVED, not published. Least-squares fit of headline m/m on the three component m/m rates over Feb-2022 to Aug-2026, constrained to sum to 1. R-squared 0.99978; mean absolute error 0.05pp; maximum error 0.19pp. INDEC does not publish the component weights of the national index, so these are reverse-engineered from the published series.</t>
      </text>
    </comment>
    <comment ref="D22" authorId="0" shapeId="0">
      <text>
        <t>DERIVED. OLS of core m/m on headline m/m lagged two months, Jul-2025 to Aug-2026 (the post-LEFI regime): core_t = 1.309% + 0.4087 x headline_(t-2). R-squared 0.156 on 14 observations — WEAKLY IDENTIFIED, and it must be presented that way. Two longer windows give the same qualitative answer: from Jul-2024 (n=26, R2 0.34) the fit is 1.233% + 0.4896, from Jan-2025 (n=20) 1.842% + 0.2130. All three imply a fixed point between 30% and 33% a year. The coefficient is imprecise; the conclusion is not sensitive to which window you pick.</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3.xml.rels><Relationships xmlns="http://schemas.openxmlformats.org/package/2006/relationships"><Relationship Type="http://schemas.openxmlformats.org/officeDocument/2006/relationships/chart" Target="/xl/charts/chart5.xml" Id="rId1"/></Relationships>
</file>

<file path=xl/drawings/_rels/drawing4.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5.xml.rels><Relationships xmlns="http://schemas.openxmlformats.org/package/2006/relationships"><Relationship Type="http://schemas.openxmlformats.org/officeDocument/2006/relationships/chart" Target="/xl/charts/chart8.xml" Id="rId1"/><Relationship Type="http://schemas.openxmlformats.org/officeDocument/2006/relationships/chart" Target="/xl/charts/chart9.xml" Id="rId2"/><Relationship Type="http://schemas.openxmlformats.org/officeDocument/2006/relationships/chart" Target="/xl/charts/chart10.xml" Id="rId3"/></Relationships>
</file>

<file path=xl/drawings/_rels/drawing6.xml.rels><Relationships xmlns="http://schemas.openxmlformats.org/package/2006/relationships"><Relationship Type="http://schemas.openxmlformats.org/officeDocument/2006/relationships/chart" Target="/xl/charts/chart11.xml" Id="rId1"/></Relationships>
</file>

<file path=xl/drawings/_rels/drawing7.xml.rels><Relationships xmlns="http://schemas.openxmlformats.org/package/2006/relationships"><Relationship Type="http://schemas.openxmlformats.org/officeDocument/2006/relationships/chart" Target="/xl/charts/chart12.xml" Id="rId1"/></Relationships>
</file>

<file path=xl/drawings/_rels/drawing8.xml.rels><Relationships xmlns="http://schemas.openxmlformats.org/package/2006/relationships"><Relationship Type="http://schemas.openxmlformats.org/officeDocument/2006/relationships/chart" Target="/xl/charts/chart13.xml" Id="rId1"/></Relationships>
</file>

<file path=xl/drawings/_rels/drawing9.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s>
</file>

<file path=xl/drawings/_rels/drawing10.xml.rels><Relationships xmlns="http://schemas.openxmlformats.org/package/2006/relationships"><Relationship Type="http://schemas.openxmlformats.org/officeDocument/2006/relationships/chart" Target="/xl/charts/chart16.xml" Id="rId1"/></Relationships>
</file>

<file path=xl/drawings/drawing1.xml><?xml version="1.0" encoding="utf-8"?>
<wsDr xmlns="http://schemas.openxmlformats.org/drawingml/2006/spreadsheetDrawing">
  <oneCellAnchor>
    <from>
      <col>1</col>
      <colOff>0</colOff>
      <row>23</row>
      <rowOff>0</rowOff>
    </from>
    <ext cx="936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49</row>
      <rowOff>0</rowOff>
    </from>
    <ext cx="936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1</col>
      <colOff>0</colOff>
      <row>23</row>
      <rowOff>0</rowOff>
    </from>
    <ext cx="936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49</row>
      <rowOff>0</rowOff>
    </from>
    <ext cx="936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3.xml><?xml version="1.0" encoding="utf-8"?>
<wsDr xmlns="http://schemas.openxmlformats.org/drawingml/2006/spreadsheetDrawing">
  <oneCellAnchor>
    <from>
      <col>1</col>
      <colOff>0</colOff>
      <row>19</row>
      <rowOff>0</rowOff>
    </from>
    <ext cx="936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1</col>
      <colOff>0</colOff>
      <row>4</row>
      <rowOff>0</rowOff>
    </from>
    <ext cx="108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33</row>
      <rowOff>0</rowOff>
    </from>
    <ext cx="10800000" cy="50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1</col>
      <colOff>0</colOff>
      <row>4</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31</row>
      <rowOff>0</rowOff>
    </from>
    <ext cx="7920000" cy="39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7</col>
      <colOff>0</colOff>
      <row>57</row>
      <rowOff>0</rowOff>
    </from>
    <ext cx="7920000" cy="39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drawings/drawing6.xml><?xml version="1.0" encoding="utf-8"?>
<wsDr xmlns="http://schemas.openxmlformats.org/drawingml/2006/spreadsheetDrawing">
  <oneCellAnchor>
    <from>
      <col>13</col>
      <colOff>0</colOff>
      <row>8</row>
      <rowOff>0</rowOff>
    </from>
    <ext cx="108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7.xml><?xml version="1.0" encoding="utf-8"?>
<wsDr xmlns="http://schemas.openxmlformats.org/drawingml/2006/spreadsheetDrawing">
  <oneCellAnchor>
    <from>
      <col>12</col>
      <colOff>0</colOff>
      <row>8</row>
      <rowOff>0</rowOff>
    </from>
    <ext cx="1080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23</col>
      <colOff>0</colOff>
      <row>43</row>
      <rowOff>0</rowOff>
    </from>
    <ext cx="11520000" cy="50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9.xml><?xml version="1.0" encoding="utf-8"?>
<wsDr xmlns="http://schemas.openxmlformats.org/drawingml/2006/spreadsheetDrawing">
  <oneCellAnchor>
    <from>
      <col>5</col>
      <colOff>0</colOff>
      <row>27</row>
      <rowOff>0</rowOff>
    </from>
    <ext cx="648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39</row>
      <rowOff>0</rowOff>
    </from>
    <ext cx="936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10.xml><?xml version="1.0" encoding="utf-8"?>
<wsDr xmlns="http://schemas.openxmlformats.org/drawingml/2006/spreadsheetDrawing">
  <oneCellAnchor>
    <from>
      <col>8</col>
      <colOff>0</colOff>
      <row>30</row>
      <rowOff>0</rowOff>
    </from>
    <ext cx="93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11.xml.rels><Relationships xmlns="http://schemas.openxmlformats.org/package/2006/relationships"><Relationship Type="http://schemas.openxmlformats.org/officeDocument/2006/relationships/drawing" Target="/xl/drawings/drawing6.xml" Id="rId1"/></Relationships>
</file>

<file path=xl/worksheets/_rels/sheet1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13.xml.rels><Relationships xmlns="http://schemas.openxmlformats.org/package/2006/relationships"><Relationship Type="http://schemas.openxmlformats.org/officeDocument/2006/relationships/drawing" Target="/xl/drawings/drawing7.xml" Id="rId1"/></Relationships>
</file>

<file path=xl/worksheets/_rels/sheet14.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6.xml.rels><Relationships xmlns="http://schemas.openxmlformats.org/package/2006/relationships"><Relationship Type="http://schemas.openxmlformats.org/officeDocument/2006/relationships/drawing" Target="/xl/drawings/drawing9.xml" Id="rId1"/></Relationships>
</file>

<file path=xl/worksheets/_rels/sheet17.xml.rels><Relationships xmlns="http://schemas.openxmlformats.org/package/2006/relationships"><Relationship Type="http://schemas.openxmlformats.org/officeDocument/2006/relationships/drawing" Target="/xl/drawings/drawing10.xml" Id="rId1"/></Relationships>
</file>

<file path=xl/worksheets/sheet1.xml><?xml version="1.0" encoding="utf-8"?>
<worksheet xmlns="http://schemas.openxmlformats.org/spreadsheetml/2006/main">
  <sheetPr>
    <tabColor rgb="001F3B63"/>
    <outlinePr summaryBelow="1" summaryRight="1"/>
    <pageSetUpPr fitToPage="1"/>
  </sheetPr>
  <dimension ref="B2:C43"/>
  <sheetViews>
    <sheetView showGridLines="0" workbookViewId="0">
      <selection activeCell="A1" sqref="A1"/>
    </sheetView>
  </sheetViews>
  <sheetFormatPr baseColWidth="8" defaultRowHeight="15"/>
  <cols>
    <col width="2" customWidth="1" min="1" max="1"/>
    <col width="30" customWidth="1" min="2" max="2"/>
    <col width="112" customWidth="1" min="3" max="3"/>
  </cols>
  <sheetData>
    <row r="2" ht="26" customHeight="1">
      <c r="B2" s="1" t="inlineStr">
        <is>
          <t>Argentina inflation — the Milei disinflation and the road to October 2027</t>
        </is>
      </c>
    </row>
    <row r="3">
      <c r="B3" s="2" t="inlineStr">
        <is>
          <t>Thematic pack. INDEC data through 2026-08. Built 30-Sep-2026.</t>
        </is>
      </c>
    </row>
    <row r="5">
      <c r="B5" s="3" t="inlineStr">
        <is>
          <t>THE QUESTION</t>
        </is>
      </c>
    </row>
    <row r="6" ht="27" customHeight="1">
      <c r="B6" s="4" t="inlineStr"/>
      <c r="C6" s="5" t="inlineStr">
        <is>
          <t>What did Milei inherit, what did his people change, what has been accomplished, and where is CPI when voters choose on 24 October 2027.</t>
        </is>
      </c>
    </row>
    <row r="7">
      <c r="B7" s="3" t="inlineStr"/>
    </row>
    <row r="8">
      <c r="B8" s="3" t="inlineStr">
        <is>
          <t>THE FOUR FINDINGS</t>
        </is>
      </c>
    </row>
    <row r="9" ht="67.5" customHeight="1">
      <c r="B9" s="4" t="inlineStr">
        <is>
          <t>1. Not hyperinflation</t>
        </is>
      </c>
      <c r="C9" s="5" t="inlineStr">
        <is>
          <t>Argentina did NOT reach hyperinflation and on the price metric was not close. Dec-2023 printed 25.5% m/m — 51% of Cagan's 50%/month threshold, annualising to 1,427% against the 12,875% the threshold implies. The 1989 peak was 197% m/m, 7.7x higher. The danger sat in the BALANCE SHEET, not the CPI: remunerated liabilities at 2.92x base money, a quasi-fiscal deficit of 10.5% of GDP, net reserves at minus USD 11.2bn, and base money collapsed to 3.1% of GDP. Say the honest thing, then pivot to the overhang — that is where the argument is.</t>
        </is>
      </c>
    </row>
    <row r="10" ht="54" customHeight="1">
      <c r="B10" s="4" t="inlineStr">
        <is>
          <t>2. The anchor was withdrawn</t>
        </is>
      </c>
      <c r="C10" s="5" t="inlineStr">
        <is>
          <t>On 1-Jan-2026 the FX band's edges stopped crawling at a fixed +/-1%/month and began indexing to the last reported monthly CPI (t-2 lag). That converted the band from a NOMINAL ANCHOR into an INDEXATION MECHANISM. It is the single most important policy change of 2026 and the structural reason inflation now converges TO the crawl rather than below it.</t>
        </is>
      </c>
    </row>
    <row r="11" ht="54" customHeight="1">
      <c r="B11" s="4" t="inlineStr">
        <is>
          <t>3. Disinflation is understated</t>
        </is>
      </c>
      <c r="C11" s="5" t="inlineStr">
        <is>
          <t>Regulated prices have risen 61% RELATIVE to core since Dec-2023. Core inflation Jan-Aug 2026 (19.8%) is running BELOW the same window of 2025 (20.8%), while headline (21.3%) runs ABOVE 2025 (19.5%). The entire difference is regulados (28.5% vs 20.0%). Underlying disinflation is better than the headline shows; the headline is held up by a deliberate, ongoing relative-price correction.</t>
        </is>
      </c>
    </row>
    <row r="12" ht="67.5" customHeight="1">
      <c r="B12" s="4" t="inlineStr">
        <is>
          <t>4. Inflation is no longer the vote</t>
        </is>
      </c>
      <c r="C12" s="5" t="inlineStr">
        <is>
          <t>Approval has moved INVERSELY to the disinflation. ICG fell from 2.86 (Dec-2023) to 1.94 (Sep-2026), a 32% decline, while inflation fell from 25.5% m/m to 1.67% m/m. What approval tracks is REAL INCOME. Across nine presidential elections, 'the incumbent wins iff real wages rose' is right 8 of 9 times; 'iff inflation is below 20%' is right 6 of 9. And inflation has already been displaced as the most-named problem — 20.8% in Jun-2026, down from 44% in May-2024, at 33.5% measured inflation.</t>
        </is>
      </c>
    </row>
    <row r="13">
      <c r="B13" s="3" t="inlineStr"/>
    </row>
    <row r="14">
      <c r="B14" s="3" t="inlineStr">
        <is>
          <t>TABS</t>
        </is>
      </c>
    </row>
    <row r="15" ht="27" customHeight="1">
      <c r="B15" s="4" t="inlineStr">
        <is>
          <t>Sources</t>
        </is>
      </c>
      <c r="C15" s="5" t="inlineStr">
        <is>
          <t>Every primary document behind every number, plus the explicit list of series that could NOT be sourced. Read the gaps list before publishing anything from this pack.</t>
        </is>
      </c>
    </row>
    <row r="16" ht="27" customHeight="1">
      <c r="B16" s="4" t="inlineStr">
        <is>
          <t>CPI Data</t>
        </is>
      </c>
      <c r="C16" s="5" t="inlineStr">
        <is>
          <t>INDEC national CPI: headline, nucleo, regulados, estacionales as index levels (blue) with m/m, 3m annualised, 6m annualised, y/y and YTD all calculated in-sheet.</t>
        </is>
      </c>
    </row>
    <row r="17" ht="13.5" customHeight="1">
      <c r="B17" s="4" t="inlineStr">
        <is>
          <t>Seasonality</t>
        </is>
      </c>
      <c r="C17" s="5" t="inlineStr">
        <is>
          <t>Month x year matrix of m/m by calendar year, for headline and core, plus scale-free seasonal factors.</t>
        </is>
      </c>
    </row>
    <row r="18" ht="13.5" customHeight="1">
      <c r="B18" s="4" t="inlineStr">
        <is>
          <t>Momentum</t>
        </is>
      </c>
      <c r="C18" s="5" t="inlineStr">
        <is>
          <t>3m and 6m annualised against y/y. The annualised measures turn roughly nine months before the y/y does.</t>
        </is>
      </c>
    </row>
    <row r="19" ht="27" customHeight="1">
      <c r="B19" s="4" t="inlineStr">
        <is>
          <t>Components</t>
        </is>
      </c>
      <c r="C19" s="5" t="inlineStr">
        <is>
          <t>Nucleo vs regulados vs estacionales, and the relative price shift index (Dec-2023 = 100) that quantifies the tariff catch-up.</t>
        </is>
      </c>
    </row>
    <row r="20" ht="40.5" customHeight="1">
      <c r="B20" s="4" t="inlineStr">
        <is>
          <t>Inheritance</t>
        </is>
      </c>
      <c r="C20" s="5" t="inlineStr">
        <is>
          <t>The monetary financing of the deficit 2019-2023: adelantos transitorios and utilidades, the indirect channels that circumvented the IMF ceiling, letras intransferibles, the LELIQ/pases stock, the quasi-fiscal deficit, money demand collapse and reserves.</t>
        </is>
      </c>
    </row>
    <row r="21" ht="27" customHeight="1">
      <c r="B21" s="4" t="inlineStr">
        <is>
          <t>Hyperinflation</t>
        </is>
      </c>
      <c r="C21" s="5" t="inlineStr">
        <is>
          <t>Distance to Cagan, computed in-sheet: annualised rates, doubling times, and the balance-sheet markers that were the real risk.</t>
        </is>
      </c>
    </row>
    <row r="22" ht="27" customHeight="1">
      <c r="B22" s="4" t="inlineStr">
        <is>
          <t>Real Rates</t>
        </is>
      </c>
      <c r="C22" s="5" t="inlineStr">
        <is>
          <t>Nominal reference rate -&gt; TEM -&gt; real ex-post against realised CPI and real ex-ante against REM expectations. Note there is NO continuous policy rate series: the instrument was abolished on 9-Jun-2025.</t>
        </is>
      </c>
    </row>
    <row r="23" ht="27" customHeight="1">
      <c r="B23" s="4" t="inlineStr">
        <is>
          <t>Expectations</t>
        </is>
      </c>
      <c r="C23" s="5" t="inlineStr">
        <is>
          <t>REM drift by round, household expectations, the LECAP/BONCAP curve and the CER breakevens. The ordering government 18.0% &lt; REM 20.0% &lt; market ~24.6% for 2027 is the note's cleanest single finding.</t>
        </is>
      </c>
    </row>
    <row r="24" ht="27" customHeight="1">
      <c r="B24" s="4" t="inlineStr">
        <is>
          <t>Models</t>
        </is>
      </c>
      <c r="C24" s="5" t="inlineStr">
        <is>
          <t>SIX independent models of where CPI lands in the 3-6 months before the vote, converging into one comparison table. This is the analytical core of the pack.</t>
        </is>
      </c>
    </row>
    <row r="25" ht="27" customHeight="1">
      <c r="B25" s="4" t="inlineStr">
        <is>
          <t>Forecast</t>
        </is>
      </c>
      <c r="C25" s="5" t="inlineStr">
        <is>
          <t>The bull/base/bear monthly paths to Dec-2027 with the assumptions behind each, probability-weighted, benchmarked to the REM and the Budget.</t>
        </is>
      </c>
    </row>
    <row r="26" ht="40.5" customHeight="1">
      <c r="B26" s="4" t="inlineStr">
        <is>
          <t>Approval Model</t>
        </is>
      </c>
      <c r="C26" s="5" t="inlineStr">
        <is>
          <t>The transparent logistic scoring device mapping inflation level, inflation direction and real wages to an incumbent win probability, with a sensitivity grid. NINE observations and three parameters — a device for organising priors, not a forecast.</t>
        </is>
      </c>
    </row>
    <row r="27" ht="13.5" customHeight="1">
      <c r="B27" s="4" t="inlineStr">
        <is>
          <t>Regime Map</t>
        </is>
      </c>
      <c r="C27" s="5" t="inlineStr">
        <is>
          <t>Sentiment characterised by inflation band, with the anchors attached and the unsourced cells left empty.</t>
        </is>
      </c>
    </row>
    <row r="28" ht="13.5" customHeight="1">
      <c r="B28" s="4" t="inlineStr">
        <is>
          <t>Elections</t>
        </is>
      </c>
      <c r="C28" s="5" t="inlineStr">
        <is>
          <t>The eleven-election record: pre-vote inflation, momentum, real wage direction and outcome.</t>
        </is>
      </c>
    </row>
    <row r="29">
      <c r="B29" s="3" t="inlineStr"/>
    </row>
    <row r="30">
      <c r="B30" s="3" t="inlineStr">
        <is>
          <t>CONVENTIONS</t>
        </is>
      </c>
    </row>
    <row r="31" ht="13.5" customHeight="1">
      <c r="B31" s="4" t="inlineStr">
        <is>
          <t>Blue cells</t>
        </is>
      </c>
      <c r="C31" s="5" t="inlineStr">
        <is>
          <t>Hardcoded inputs from a cited source. Every one is traceable on the Sources tab.</t>
        </is>
      </c>
    </row>
    <row r="32" ht="13.5" customHeight="1">
      <c r="B32" s="4" t="inlineStr">
        <is>
          <t>Black cells</t>
        </is>
      </c>
      <c r="C32" s="5" t="inlineStr">
        <is>
          <t>Calculated in-sheet. Change a blue cell and every black cell downstream updates.</t>
        </is>
      </c>
    </row>
    <row r="33" ht="27" customHeight="1">
      <c r="B33" s="4" t="inlineStr">
        <is>
          <t>Red cells</t>
        </is>
      </c>
      <c r="C33" s="5" t="inlineStr">
        <is>
          <t>Derived parameters — computed from the data by a stated method rather than read from a source. There are only a handful and each carries a cell comment with its derivation.</t>
        </is>
      </c>
    </row>
    <row r="34" ht="13.5" customHeight="1">
      <c r="B34" s="4" t="inlineStr">
        <is>
          <t>Yellow rows</t>
        </is>
      </c>
      <c r="C34" s="5" t="inlineStr">
        <is>
          <t>Empty forecast months on the CPI Data tab. Paste a new INDEC print in and the whole workbook updates.</t>
        </is>
      </c>
    </row>
    <row r="35" ht="13.5" customHeight="1">
      <c r="B35" s="4" t="inlineStr">
        <is>
          <t>Pink cells</t>
        </is>
      </c>
      <c r="C35" s="5" t="inlineStr">
        <is>
          <t>Reconstructed values, not published ones. See the caveat below.</t>
        </is>
      </c>
    </row>
    <row r="36">
      <c r="B36" s="3" t="inlineStr"/>
    </row>
    <row r="37" ht="81" customHeight="1">
      <c r="B37" s="4" t="inlineStr">
        <is>
          <t>!! Jul &amp; Aug-2026 caveat</t>
        </is>
      </c>
      <c r="C37" s="5" t="inlineStr">
        <is>
          <t>The July-2026 and August-2026 index LEVELS are RECONSTRUCTED, not pulled from the INDEC API, which could not be reached. They were solved from the published press releases, each of which pins every series with three independent figures — the m/m, the change vs December-2025 and the y/y. For every series those three constraints intersect in a band narrower than 0.07% of the level, and the midpoint is what is entered. Every percentage this workbook DISPLAYS therefore matches the published print to INDEC's own decimal. Treat the two index levels as accurate to about +/-0.035%.</t>
        </is>
      </c>
    </row>
    <row r="38" ht="54" customHeight="1">
      <c r="B38" s="4" t="inlineStr">
        <is>
          <t>Validation gate</t>
        </is>
      </c>
      <c r="C38" s="5" t="inlineStr">
        <is>
          <t>Compounded monthly rates reproduce INDEC's published Dec/Dec prints exactly: 2019 53.8%, 2020 36.1%, 2021 50.9%, 2022 94.8%, 2023 211.4%, 2024 117.8%, 2025 31.5%. The August-2026 print also reconciles across all four series: headline 1.7 / 21.3 / 33.5, nucleo 1.8 / 19.8 / 31.9, regulados 2.2 / 28.5 / 43.7, estacionales -0.9 / 16.8 / 24.0.</t>
        </is>
      </c>
    </row>
    <row r="39">
      <c r="B39" s="3" t="inlineStr"/>
    </row>
    <row r="40">
      <c r="B40" s="3" t="inlineStr">
        <is>
          <t>WHAT THIS PACK DOES NOT DO</t>
        </is>
      </c>
    </row>
    <row r="41" ht="54" customHeight="1">
      <c r="B41" s="4" t="inlineStr">
        <is>
          <t>No filled gaps</t>
        </is>
      </c>
      <c r="C41" s="5" t="inlineStr">
        <is>
          <t>Where a series could not be sourced it is left empty with the source identifier recorded, per standing practice. The Sources tab lists fourteen such gaps. Several are closable only with an interactive session or a Bloomberg pull — the BCRA statistical files, the UTDT history file and the REM XLSX are all behind blocks that a headless run cannot pass.</t>
        </is>
      </c>
    </row>
    <row r="42" ht="40.5" customHeight="1">
      <c r="B42" s="4" t="inlineStr">
        <is>
          <t>No merged definitions</t>
        </is>
      </c>
      <c r="C42" s="5" t="inlineStr">
        <is>
          <t>Monetary financing as % of GDP mixes two definitions across years (IMF includes valuation-gain transfers; BCRA does not). They are labelled separately and never plotted on one line. The same discipline applies to net reserves, where four estimates use four incompatible methodologies.</t>
        </is>
      </c>
    </row>
    <row r="43" ht="40.5" customHeight="1">
      <c r="B43" s="4" t="inlineStr">
        <is>
          <t>No misery index</t>
        </is>
      </c>
      <c r="C43" s="5" t="inlineStr">
        <is>
          <t>Inflation and the labour variable are kept separate. An equal-weighted sum is numerically dominated by the inflation term in an economy where inflation moved from 25% m/m to 1.7% m/m while unemployment moved inside a 6-8% band — it would be an inflation index with noise added.</t>
        </is>
      </c>
    </row>
  </sheetData>
  <pageMargins left="0.75" right="0.75" top="1" bottom="1" header="0.5" footer="0.5"/>
</worksheet>
</file>

<file path=xl/worksheets/sheet2.xml><?xml version="1.0" encoding="utf-8"?>
<worksheet xmlns="http://schemas.openxmlformats.org/spreadsheetml/2006/main">
  <sheetPr>
    <tabColor rgb="001F3B63"/>
    <outlinePr summaryBelow="1" summaryRight="1"/>
    <pageSetUpPr fitToPage="1"/>
  </sheetPr>
  <dimension ref="B2:E48"/>
  <sheetViews>
    <sheetView showGridLines="0" workbookViewId="0">
      <selection activeCell="A1" sqref="A1"/>
    </sheetView>
  </sheetViews>
  <sheetFormatPr baseColWidth="8" defaultRowHeight="15"/>
  <cols>
    <col width="2" customWidth="1" min="1" max="1"/>
    <col width="20" customWidth="1" min="2" max="2"/>
    <col width="46" customWidth="1" min="3" max="3"/>
    <col width="40" customWidth="1" min="4" max="4"/>
    <col width="72" customWidth="1" min="5" max="5"/>
  </cols>
  <sheetData>
    <row r="2" ht="26" customHeight="1">
      <c r="B2" s="1" t="inlineStr">
        <is>
          <t>Sources and gaps</t>
        </is>
      </c>
    </row>
    <row r="3">
      <c r="B3" s="2" t="inlineStr">
        <is>
          <t>Primary documents first. Where a figure rests on press reporting of official data it says so.</t>
        </is>
      </c>
    </row>
    <row r="5" ht="24" customHeight="1">
      <c r="B5" s="6" t="inlineStr">
        <is>
          <t>Series</t>
        </is>
      </c>
      <c r="C5" s="6" t="inlineStr">
        <is>
          <t>Source</t>
        </is>
      </c>
      <c r="D5" s="6" t="inlineStr">
        <is>
          <t>Document / identifier</t>
        </is>
      </c>
      <c r="E5" s="6" t="inlineStr">
        <is>
          <t>Note</t>
        </is>
      </c>
    </row>
    <row r="6" ht="26" customHeight="1">
      <c r="B6" s="7" t="inlineStr">
        <is>
          <t>CPI</t>
        </is>
      </c>
      <c r="C6" s="8" t="inlineStr">
        <is>
          <t>INDEC, Indice de precios al consumidor nacional, base dic-2016=100</t>
        </is>
      </c>
      <c r="D6" s="8" t="inlineStr">
        <is>
          <t>apis.datos.gob.ar series 148.3_INIVELNAL_DICI_M_26, _INUCLEONAL_DICI_M_19, _IREGULANAL_DICI_M_22, _IESTACINAL_DICI_M_25</t>
        </is>
      </c>
      <c r="E6" s="8" t="inlineStr">
        <is>
          <t>Primary. Jul/Aug-2026 levels reconstructed from the press release - see Read me.</t>
        </is>
      </c>
    </row>
    <row r="7" ht="26" customHeight="1">
      <c r="B7" s="7" t="inlineStr">
        <is>
          <t>CPI validation</t>
        </is>
      </c>
      <c r="C7" s="8" t="inlineStr">
        <is>
          <t>INDEC, informes de prensa IPC</t>
        </is>
      </c>
      <c r="D7" s="8" t="inlineStr">
        <is>
          <t>Monthly press releases</t>
        </is>
      </c>
      <c r="E7" s="8" t="inlineStr">
        <is>
          <t>Compounded m/m reproduces published Dec/Dec: 2019 53.8, 2020 36.1, 2021 50.9, 2022 94.8, 2023 211.4, 2024 117.8, 2025 31.5.</t>
        </is>
      </c>
    </row>
    <row r="8" ht="13" customHeight="1">
      <c r="B8" s="7" t="inlineStr">
        <is>
          <t>Monetary financing</t>
        </is>
      </c>
      <c r="C8" s="8" t="inlineStr">
        <is>
          <t>BCRA, Informe Monetario Mensual, December editions</t>
        </is>
      </c>
      <c r="D8" s="8" t="inlineStr">
        <is>
          <t>Bol1219, Bol1220, Bol1221, Bol1222, informe-monetario-mensual-dic-2023</t>
        </is>
      </c>
      <c r="E8" s="8" t="inlineStr">
        <is>
          <t>Factores de variacion de la base monetaria.</t>
        </is>
      </c>
    </row>
    <row r="9" ht="13" customHeight="1">
      <c r="B9" s="7" t="inlineStr">
        <is>
          <t>Monetary financing % GDP</t>
        </is>
      </c>
      <c r="C9" s="8" t="inlineStr">
        <is>
          <t>IMF Country Report 25/3 (Ex-Post Evaluation of the 2022 EFF) para.6 p.12, para.31 p.33; IMF CR 22/92 Box 2 p.35</t>
        </is>
      </c>
      <c r="D9" s="8" t="inlineStr">
        <is>
          <t>CR 25/3; CR 22/92</t>
        </is>
      </c>
      <c r="E9" s="8" t="inlineStr">
        <is>
          <t>MIXED DEFINITION vs BCRA - see Read me.</t>
        </is>
      </c>
    </row>
    <row r="10" ht="26" customHeight="1">
      <c r="B10" s="7" t="inlineStr">
        <is>
          <t>Quasi-fiscal / net credit</t>
        </is>
      </c>
      <c r="C10" s="8" t="inlineStr">
        <is>
          <t>IMF Country Report 25/3, Ex-Post Evaluation, para.31 p.33</t>
        </is>
      </c>
      <c r="D10" s="8" t="inlineStr">
        <is>
          <t>CR 25/3</t>
        </is>
      </c>
      <c r="E10" s="8" t="inlineStr">
        <is>
          <t>Quasi-fiscal 3.3 / 5.2 / 10.5% GDP 2021-23; BCRA net credit to government 24.6% GDP end-2023.</t>
        </is>
      </c>
    </row>
    <row r="11" ht="26" customHeight="1">
      <c r="B11" s="7" t="inlineStr">
        <is>
          <t>Remunerated liabilities</t>
        </is>
      </c>
      <c r="C11" s="8" t="inlineStr">
        <is>
          <t>BCRA, Informe al Congreso 2023, pp.15-17; IMM Nov-2023 and Dec-2023</t>
        </is>
      </c>
      <c r="D11" s="8" t="inlineStr">
        <is>
          <t>Informecongreso2023</t>
        </is>
      </c>
      <c r="E11" s="8" t="inlineStr">
        <is>
          <t>Note: the Informe p.17 mistypes the stock by a factor of 10 - cite the IMM.</t>
        </is>
      </c>
    </row>
    <row r="12" ht="26" customHeight="1">
      <c r="B12" s="7" t="inlineStr">
        <is>
          <t>Letras intransferibles</t>
        </is>
      </c>
      <c r="C12" s="8" t="inlineStr">
        <is>
          <t>Decreto DNU 1599/2005; Resolucion Conjunta 1/2006 y 4/2006; BCRA balance sheet 23-Dec-2023</t>
        </is>
      </c>
      <c r="D12" s="8" t="inlineStr">
        <is>
          <t>argentina.gob.ar/normativa norma-112207, norma-112815</t>
        </is>
      </c>
      <c r="E12" s="8" t="inlineStr">
        <is>
          <t>Stock read from the balance sheet by Romano Group via Infobae 5-Jan-2024.</t>
        </is>
      </c>
    </row>
    <row r="13" ht="13" customHeight="1">
      <c r="B13" s="7" t="inlineStr">
        <is>
          <t>Carta Organica limits</t>
        </is>
      </c>
      <c r="C13" s="8" t="inlineStr">
        <is>
          <t>Carta Organica del BCRA, Arts. 19, 20, 38, as amended by Leyes 25.562 and 26.739</t>
        </is>
      </c>
      <c r="D13" s="8" t="inlineStr">
        <is>
          <t>InfoLeg norma 66194</t>
        </is>
      </c>
      <c r="E13" s="8" t="inlineStr">
        <is>
          <t>Art.38 profit-transfer channel has NO quantitative ceiling.</t>
        </is>
      </c>
    </row>
    <row r="14" ht="13" customHeight="1">
      <c r="B14" s="7" t="inlineStr">
        <is>
          <t>Hyperinflation benchmark</t>
        </is>
      </c>
      <c r="C14" s="8" t="inlineStr">
        <is>
          <t>Cagan via Fischer, Sahay &amp; Vegh, 'Modern Hyper- and High Inflations', NBER WP 8930, p.2</t>
        </is>
      </c>
      <c r="D14" s="8" t="inlineStr">
        <is>
          <t>NBER WP 8930</t>
        </is>
      </c>
      <c r="E14" s="8" t="inlineStr">
        <is>
          <t>50% per month.</t>
        </is>
      </c>
    </row>
    <row r="15" ht="13" customHeight="1">
      <c r="B15" s="7" t="inlineStr">
        <is>
          <t>Hyperinflation comparators</t>
        </is>
      </c>
      <c r="C15" s="8" t="inlineStr">
        <is>
          <t>Hanke &amp; Krus, 'The Hyperinflation Table', Cato Institute</t>
        </is>
      </c>
      <c r="D15" s="8" t="inlineStr">
        <is>
          <t>Cato</t>
        </is>
      </c>
      <c r="E15" s="8" t="inlineStr">
        <is>
          <t>Venezuela absent from the version retrieved - NOT SOURCED.</t>
        </is>
      </c>
    </row>
    <row r="16" ht="26" customHeight="1">
      <c r="B16" s="7" t="inlineStr">
        <is>
          <t>Fiscal outturns</t>
        </is>
      </c>
      <c r="C16" s="8" t="inlineStr">
        <is>
          <t>MECON / Secretaria de Hacienda releases; IMF Art.IV 2026</t>
        </is>
      </c>
      <c r="D16" s="8" t="inlineStr">
        <is>
          <t>IMF CR 2026/105</t>
        </is>
      </c>
      <c r="E16" s="8" t="inlineStr">
        <is>
          <t>2025 overall EXCLUDES zero-coupon interest recorded below the line - not like-for-like with 2023.</t>
        </is>
      </c>
    </row>
    <row r="17" ht="13" customHeight="1">
      <c r="B17" s="7" t="inlineStr">
        <is>
          <t>2024 spending adjustment</t>
        </is>
      </c>
      <c r="C17" s="8" t="inlineStr">
        <is>
          <t>Analytica / ASAP / IARAF on official accrued data</t>
        </is>
      </c>
      <c r="D17" s="8" t="inlineStr">
        <is>
          <t>via Infobae 10-Jan-2025</t>
        </is>
      </c>
      <c r="E17" s="8" t="inlineStr">
        <is>
          <t>Private-sector computation on official data.</t>
        </is>
      </c>
    </row>
    <row r="18" ht="13" customHeight="1">
      <c r="B18" s="7" t="inlineStr">
        <is>
          <t>FX regime</t>
        </is>
      </c>
      <c r="C18" s="8" t="inlineStr">
        <is>
          <t>BCRA Com. 'A' 8226 (11-Apr-2025); BCRA communique 15-Dec-2025 (fase de re-monetizacion)</t>
        </is>
      </c>
      <c r="D18" s="8" t="inlineStr">
        <is>
          <t>bcra.gob.ar</t>
        </is>
      </c>
      <c r="E18" s="8" t="inlineStr">
        <is>
          <t>The 1-Jan-2026 switch to CPI-indexed band edges is the decisive change.</t>
        </is>
      </c>
    </row>
    <row r="19" ht="26" customHeight="1">
      <c r="B19" s="7" t="inlineStr">
        <is>
          <t>Policy / reference rates</t>
        </is>
      </c>
      <c r="C19" s="8" t="inlineStr">
        <is>
          <t>BCRA; indicadores.ar on BCRA data</t>
        </is>
      </c>
      <c r="D19" s="8" t="inlineStr">
        <is>
          <t>indicadores.ar</t>
        </is>
      </c>
      <c r="E19" s="8" t="inlineStr">
        <is>
          <t>NO CONTINUOUS POLICY RATE EXISTS Dec-2023 to Sep-2026 - the instrument was abolished 9-Jun-2025.</t>
        </is>
      </c>
    </row>
    <row r="20" ht="26" customHeight="1">
      <c r="B20" s="7" t="inlineStr">
        <is>
          <t>REM</t>
        </is>
      </c>
      <c r="C20" s="8" t="inlineStr">
        <is>
          <t>BCRA, Relevamiento de Expectativas de Mercado, monthly rounds</t>
        </is>
      </c>
      <c r="D20" s="8" t="inlineStr">
        <is>
          <t>bcra.gob.ar REM PDFs</t>
        </is>
      </c>
      <c r="E20" s="8" t="inlineStr">
        <is>
          <t>Aug-2026 round: 2026 median 30.0% confirmed. The 2027 median is NOT OBTAINABLE from that round.</t>
        </is>
      </c>
    </row>
    <row r="21" ht="13" customHeight="1">
      <c r="B21" s="7" t="inlineStr">
        <is>
          <t>LECAP curve</t>
        </is>
      </c>
      <c r="C21" s="8" t="inlineStr">
        <is>
          <t>comparatasas.ar, 29-Sep-2026 02:04 UTC</t>
        </is>
      </c>
      <c r="D21" s="8" t="inlineStr">
        <is>
          <t>comparatasas.ar</t>
        </is>
      </c>
      <c r="E21" s="8" t="inlineStr">
        <is>
          <t>Snapshot. TTD26B excluded (stale quote).</t>
        </is>
      </c>
    </row>
    <row r="22" ht="13" customHeight="1">
      <c r="B22" s="7" t="inlineStr">
        <is>
          <t>Breakevens</t>
        </is>
      </c>
      <c r="C22" s="8" t="inlineStr">
        <is>
          <t>El Cronista, 25/26-Sep-2026</t>
        </is>
      </c>
      <c r="D22" s="8" t="inlineStr">
        <is>
          <t>cronista.com</t>
        </is>
      </c>
      <c r="E22" s="8" t="inlineStr">
        <is>
          <t>Fixed-rate vs CER. Longest sourced: 1.85%/m average Nov-26 to May-27.</t>
        </is>
      </c>
    </row>
    <row r="23" ht="26" customHeight="1">
      <c r="B23" s="7" t="inlineStr">
        <is>
          <t>Household expectations</t>
        </is>
      </c>
      <c r="C23" s="8" t="inlineStr">
        <is>
          <t>UTDT, Centro de Investigacion en Finanzas</t>
        </is>
      </c>
      <c r="D23" s="8" t="inlineStr">
        <is>
          <t>utdt.edu</t>
        </is>
      </c>
      <c r="E23" s="8" t="inlineStr">
        <is>
          <t>PARTIAL - monthly history not retrievable; utdt.edu blocked by the egress proxy.</t>
        </is>
      </c>
    </row>
    <row r="24" ht="26" customHeight="1">
      <c r="B24" s="7" t="inlineStr">
        <is>
          <t>ICG / ICC</t>
        </is>
      </c>
      <c r="C24" s="8" t="inlineStr">
        <is>
          <t>UTDT, Escuela de Gobierno (ICG) and CIF (ICC), fieldwork by Poliarquia</t>
        </is>
      </c>
      <c r="D24" s="8" t="inlineStr">
        <is>
          <t>utdt.edu</t>
        </is>
      </c>
      <c r="E24" s="8" t="inlineStr">
        <is>
          <t>ICG RECONSTRUCTED from press notes; validated against published m/m to within 0.4pp on 14 chained months.</t>
        </is>
      </c>
    </row>
    <row r="25" ht="13" customHeight="1">
      <c r="B25" s="7" t="inlineStr">
        <is>
          <t>Inflation salience</t>
        </is>
      </c>
      <c r="C25" s="8" t="inlineStr">
        <is>
          <t>AtlasIntel / Bloomberg 'Latam Pulse Argentina'; Universidad de San Andres; Proyeccion Consultores</t>
        </is>
      </c>
      <c r="D25" s="8" t="inlineStr">
        <is>
          <t>via El Economista, Infobae</t>
        </is>
      </c>
      <c r="E25" s="8" t="inlineStr">
        <is>
          <t>Three independent instruments agree.</t>
        </is>
      </c>
    </row>
    <row r="26" ht="13" customHeight="1">
      <c r="B26" s="7" t="inlineStr">
        <is>
          <t>Election record</t>
        </is>
      </c>
      <c r="C26" s="8" t="inlineStr">
        <is>
          <t>INDEC index levels (2019/2023/2025 momentum); La Gaceta annual series (earlier years); vote shares elresaltador.com.ar</t>
        </is>
      </c>
      <c r="D26" s="8" t="inlineStr">
        <is>
          <t>various</t>
        </is>
      </c>
      <c r="E26" s="8" t="inlineStr">
        <is>
          <t>1983 excluded from base rates. 2003 coding is a judgement call.</t>
        </is>
      </c>
    </row>
    <row r="27" ht="26" customHeight="1">
      <c r="B27" s="7" t="inlineStr">
        <is>
          <t>Measured vs true inflation</t>
        </is>
      </c>
      <c r="C27" s="8" t="inlineStr">
        <is>
          <t>Cavallo (2013), Journal of Monetary Economics 60(2)</t>
        </is>
      </c>
      <c r="D27" s="8" t="inlineStr">
        <is>
          <t>ScienceDirect S0304393212000967</t>
        </is>
      </c>
      <c r="E27" s="8" t="inlineStr">
        <is>
          <t>Official INDEC ran at roughly one third of measured online inflation, Oct-2007 to Mar-2011.</t>
        </is>
      </c>
    </row>
    <row r="28" ht="26" customHeight="1">
      <c r="B28" s="7" t="inlineStr">
        <is>
          <t>Economic voting</t>
        </is>
      </c>
      <c r="C28" s="8" t="inlineStr">
        <is>
          <t>Corado, Bertussi &amp; Batista (E-Legis, Camara dos Deputados), Brazil 1995-2019; Valdini &amp; Lewis-Beck; Nadeau, Lewis-Beck &amp; Belanger (CPS 2013)</t>
        </is>
      </c>
      <c r="D28" s="8" t="inlineStr">
        <is>
          <t>various</t>
        </is>
      </c>
      <c r="E28" s="8" t="inlineStr">
        <is>
          <t>NO published Argentina-specific approval elasticity exists - see Read me.</t>
        </is>
      </c>
    </row>
    <row r="29" ht="26" customHeight="1">
      <c r="B29" s="7" t="inlineStr">
        <is>
          <t>Forthcoming evidence</t>
        </is>
      </c>
      <c r="C29" s="8" t="inlineStr">
        <is>
          <t>Pena-Tenjo, Garbiras-Diaz, Melendez &amp; Ottonello, 'Economic Reform and Electoral Accountability: Evidence from Argentina'</t>
        </is>
      </c>
      <c r="D29" s="8" t="inlineStr">
        <is>
          <t>AEA RCT Registry trial 17126</t>
        </is>
      </c>
      <c r="E29" s="8" t="inlineStr">
        <is>
          <t>Fieldwork complete Sep-2025, results not public. This will settle the question.</t>
        </is>
      </c>
    </row>
    <row r="30" ht="26" customHeight="1">
      <c r="B30" s="9" t="inlineStr">
        <is>
          <t>EXCLUDED</t>
        </is>
      </c>
      <c r="C30" s="10" t="inlineStr">
        <is>
          <t>teleSUR</t>
        </is>
      </c>
      <c r="D30" s="10" t="inlineStr">
        <is>
          <t>-</t>
        </is>
      </c>
      <c r="E30" s="10" t="inlineStr">
        <is>
          <t>Excluded as unreliable per standing research policy. Not used anywhere in this workbook.</t>
        </is>
      </c>
    </row>
    <row r="33">
      <c r="B33" s="11" t="inlineStr">
        <is>
          <t>Series requested but NOT sourced — do not fill without new primary data</t>
        </is>
      </c>
    </row>
    <row r="34">
      <c r="B34" s="6" t="inlineStr">
        <is>
          <t>Series</t>
        </is>
      </c>
      <c r="C34" s="6" t="inlineStr">
        <is>
          <t>Why, and the route to closing it</t>
        </is>
      </c>
      <c r="D34" s="12" t="n"/>
      <c r="E34" s="12" t="n"/>
    </row>
    <row r="35" ht="13" customHeight="1">
      <c r="B35" s="7" t="inlineStr">
        <is>
          <t>Adelantos transitorios + utilidades, 2003-2018</t>
        </is>
      </c>
      <c r="C35" s="8" t="inlineStr">
        <is>
          <t>No multi-year table in BCRA Informe al Congreso 2019 or CEPAL chapters. Route: BCRA Balance Semanal / Cuentas Analiticas historical files.</t>
        </is>
      </c>
    </row>
    <row r="36" ht="13" customHeight="1">
      <c r="B36" s="7" t="inlineStr">
        <is>
          <t>Adelantos and utilidades separately by year</t>
        </is>
      </c>
      <c r="C36" s="8" t="inlineStr">
        <is>
          <t>BCRA publishes them as a single combined line in the factores de variacion.</t>
        </is>
      </c>
    </row>
    <row r="37" ht="13" customHeight="1">
      <c r="B37" s="7" t="inlineStr">
        <is>
          <t>Letras intransferibles stock by year</t>
        </is>
      </c>
      <c r="C37" s="8" t="inlineStr">
        <is>
          <t>Only the 23-Dec-2023 point and administration-level totals, both press readings of the balance sheet. Route: BCRA audited Estados Contables annexes.</t>
        </is>
      </c>
    </row>
    <row r="38" ht="13" customHeight="1">
      <c r="B38" s="7" t="inlineStr">
        <is>
          <t>Seigniorage / inflation tax, % GDP, any year</t>
        </is>
      </c>
      <c r="C38" s="8" t="inlineStr">
        <is>
          <t>Not published by BCRA; not tabulated in the IMF documents reviewed. Computing it from dBM/GDP would be a modelled proxy - declined.</t>
        </is>
      </c>
    </row>
    <row r="39" ht="13" customHeight="1">
      <c r="B39" s="7" t="inlineStr">
        <is>
          <t>1989-90 monthly INDEC CPI</t>
        </is>
      </c>
      <c r="C39" s="8" t="inlineStr">
        <is>
          <t>Only the Hanke-Krus peak (Jul-1989, 197% m/m). Spanish Wikipedia is unusable: cites Trading Economics and conflates m/m with annualised.</t>
        </is>
      </c>
    </row>
    <row r="40" ht="13" customHeight="1">
      <c r="B40" s="7" t="inlineStr">
        <is>
          <t>Regulated vs headline cumulative 2019-2023</t>
        </is>
      </c>
      <c r="C40" s="8" t="inlineStr">
        <is>
          <t>NOT COMPUTABLE from INDEC national - the regulados sub-index begins Jan-2022.</t>
        </is>
      </c>
    </row>
    <row r="41" ht="13" customHeight="1">
      <c r="B41" s="7" t="inlineStr">
        <is>
          <t>Real ex-ante rate before Mar-2026</t>
        </is>
      </c>
      <c r="C41" s="8" t="inlineStr">
        <is>
          <t>Requires the REM next-month expected CPI per round; the REM PDF summary tables would not machine-read in any round attempted.</t>
        </is>
      </c>
    </row>
    <row r="42" ht="13" customHeight="1">
      <c r="B42" s="7" t="inlineStr">
        <is>
          <t>TAMAR and BADLAR before Oct-2025</t>
        </is>
      </c>
      <c r="C42" s="8" t="inlineStr">
        <is>
          <t>Largest quantitative gap in the rates section. Route: BCRA Boletin Estadistico.</t>
        </is>
      </c>
    </row>
    <row r="43" ht="13" customHeight="1">
      <c r="B43" s="7" t="inlineStr">
        <is>
          <t>UTDT ICG and ICC monthly history 2001-2023</t>
        </is>
      </c>
      <c r="C43" s="8" t="inlineStr">
        <is>
          <t>utdt.edu:443 refused by the egress proxy; download path robots-disallowed. This is what a true empirical inflation-band mapping needs.</t>
        </is>
      </c>
    </row>
    <row r="44" ht="13" customHeight="1">
      <c r="B44" s="7" t="inlineStr">
        <is>
          <t>REM 2027 median, Aug-2026 round</t>
        </is>
      </c>
      <c r="C44" s="8" t="inlineStr">
        <is>
          <t>Not in the PDF's readable text and absent from all press coverage found. The Jul-2026 round's 20.0% is carried forward.</t>
        </is>
      </c>
    </row>
    <row r="45" ht="13" customHeight="1">
      <c r="B45" s="7" t="inlineStr">
        <is>
          <t>Discrete 2027 / 2028 market breakevens</t>
        </is>
      </c>
      <c r="C45" s="8" t="inlineStr">
        <is>
          <t>Needs the CER and fixed-rate curves priced simultaneously off BYMA/MAE or Bloomberg.</t>
        </is>
      </c>
    </row>
    <row r="46" ht="26" customHeight="1">
      <c r="B46" s="7" t="inlineStr">
        <is>
          <t>Argentina-specific approval elasticity</t>
        </is>
      </c>
      <c r="C46" s="8" t="inlineStr">
        <is>
          <t>Carlini, 'Presidential approval in volatile contexts', is the one paper with Argentine coefficients; ResearchGate returned HTTP 429. Worth a library pull.</t>
        </is>
      </c>
    </row>
    <row r="47" ht="13" customHeight="1">
      <c r="B47" s="7" t="inlineStr">
        <is>
          <t>Precios Justos price wedge / CPI coverage</t>
        </is>
      </c>
      <c r="C47" s="8" t="inlineStr">
        <is>
          <t>No primary quantification obtainable.</t>
        </is>
      </c>
    </row>
    <row r="48" ht="13" customHeight="1">
      <c r="B48" s="7" t="inlineStr">
        <is>
          <t>Buenos Aires province share of the national roll</t>
        </is>
      </c>
      <c r="C48" s="8" t="inlineStr">
        <is>
          <t>argentina.gob.ar Observatorio Electoral returned 403. ~37-38% is approximate - verify before publishing.</t>
        </is>
      </c>
    </row>
  </sheetData>
  <mergeCells count="15">
    <mergeCell ref="C42:E42"/>
    <mergeCell ref="C36:E36"/>
    <mergeCell ref="C44:E44"/>
    <mergeCell ref="C41:E41"/>
    <mergeCell ref="C37:E37"/>
    <mergeCell ref="C45:E45"/>
    <mergeCell ref="C47:E47"/>
    <mergeCell ref="C39:E39"/>
    <mergeCell ref="C40:E40"/>
    <mergeCell ref="C43:E43"/>
    <mergeCell ref="C48:E48"/>
    <mergeCell ref="C35:E35"/>
    <mergeCell ref="C34:E34"/>
    <mergeCell ref="C46:E46"/>
    <mergeCell ref="C38:E38"/>
  </mergeCells>
  <pageMargins left="0.75" right="0.75" top="1" bottom="1" header="0.5" footer="0.5"/>
</worksheet>
</file>

<file path=xl/worksheets/sheet3.xml><?xml version="1.0" encoding="utf-8"?>
<worksheet xmlns="http://schemas.openxmlformats.org/spreadsheetml/2006/main">
  <sheetPr>
    <tabColor rgb="001F3B63"/>
    <outlinePr summaryBelow="1" summaryRight="1"/>
    <pageSetUpPr fitToPage="1"/>
  </sheetPr>
  <dimension ref="B2:U114"/>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7" customWidth="1" min="3" max="3"/>
    <col width="5" customWidth="1" min="4" max="4"/>
    <col width="13" customWidth="1" min="5" max="5"/>
    <col width="12" customWidth="1" min="6" max="6"/>
    <col width="12" customWidth="1" min="7" max="7"/>
    <col width="13" customWidth="1" min="8" max="8"/>
    <col width="11" customWidth="1" min="9" max="9"/>
    <col width="10" customWidth="1" min="10" max="10"/>
    <col width="11" customWidth="1" min="11" max="11"/>
    <col width="11" customWidth="1" min="12" max="12"/>
    <col width="11" customWidth="1" min="13" max="13"/>
    <col width="10" customWidth="1" min="14" max="14"/>
    <col width="11" customWidth="1" min="15" max="15"/>
    <col width="11" customWidth="1" min="16" max="16"/>
    <col width="11" customWidth="1" min="17" max="17"/>
    <col width="11" customWidth="1" min="18" max="18"/>
    <col width="11" customWidth="1" min="19" max="19"/>
    <col width="13" customWidth="1" min="20" max="20"/>
    <col width="13" customWidth="1" min="21" max="21"/>
  </cols>
  <sheetData>
    <row r="2" ht="26" customHeight="1">
      <c r="B2" s="1" t="inlineStr">
        <is>
          <t>INDEC IPC nacional — index levels and every derived rate</t>
        </is>
      </c>
    </row>
    <row r="3">
      <c r="B3" s="2" t="inlineStr">
        <is>
          <t>Blue = published index level. Black = formula. Paste a new print into the yellow row and the workbook updates.</t>
        </is>
      </c>
    </row>
    <row r="5" ht="32" customHeight="1">
      <c r="B5" s="6" t="inlineStr">
        <is>
          <t>Month</t>
        </is>
      </c>
      <c r="C5" s="6" t="inlineStr">
        <is>
          <t>Year</t>
        </is>
      </c>
      <c r="D5" s="6" t="inlineStr">
        <is>
          <t>M#</t>
        </is>
      </c>
      <c r="E5" s="6" t="inlineStr">
        <is>
          <t>Nivel General
(index)</t>
        </is>
      </c>
      <c r="F5" s="6" t="inlineStr">
        <is>
          <t>Nucleo
(index)</t>
        </is>
      </c>
      <c r="G5" s="6" t="inlineStr">
        <is>
          <t>Regulados
(index)</t>
        </is>
      </c>
      <c r="H5" s="6" t="inlineStr">
        <is>
          <t>Estacionales
(index)</t>
        </is>
      </c>
      <c r="I5" s="6" t="inlineStr">
        <is>
          <t>m/m
Nivel Gen.</t>
        </is>
      </c>
      <c r="J5" s="6" t="inlineStr">
        <is>
          <t>m/m
Nucleo</t>
        </is>
      </c>
      <c r="K5" s="6" t="inlineStr">
        <is>
          <t>m/m
Regulados</t>
        </is>
      </c>
      <c r="L5" s="6" t="inlineStr">
        <is>
          <t>m/m
Estacion.</t>
        </is>
      </c>
      <c r="M5" s="6" t="inlineStr">
        <is>
          <t>y/y
Nivel Gen.</t>
        </is>
      </c>
      <c r="N5" s="6" t="inlineStr">
        <is>
          <t>y/y
Nucleo</t>
        </is>
      </c>
      <c r="O5" s="6" t="inlineStr">
        <is>
          <t>y/y
Regulados</t>
        </is>
      </c>
      <c r="P5" s="6" t="inlineStr">
        <is>
          <t>3m ann.
Nivel Gen.</t>
        </is>
      </c>
      <c r="Q5" s="6" t="inlineStr">
        <is>
          <t>3m ann.
Nucleo</t>
        </is>
      </c>
      <c r="R5" s="6" t="inlineStr">
        <is>
          <t>6m ann.
Nivel Gen.</t>
        </is>
      </c>
      <c r="S5" s="6" t="inlineStr">
        <is>
          <t>YTD
Nivel Gen.</t>
        </is>
      </c>
      <c r="T5" s="6" t="inlineStr">
        <is>
          <t>Reg less core
m/m (pp)</t>
        </is>
      </c>
      <c r="U5" s="6" t="inlineStr">
        <is>
          <t>Reg/core
Dec-23=100</t>
        </is>
      </c>
    </row>
    <row r="6">
      <c r="B6" s="13" t="inlineStr">
        <is>
          <t>2018-12</t>
        </is>
      </c>
      <c r="C6" s="14" t="n">
        <v>2018</v>
      </c>
      <c r="D6" s="14" t="n">
        <v>12</v>
      </c>
      <c r="E6" s="15" t="n">
        <v>184.2552</v>
      </c>
      <c r="F6" s="15" t="n">
        <v>178.9326</v>
      </c>
      <c r="G6" s="16" t="n"/>
      <c r="H6" s="16" t="n"/>
      <c r="I6" s="17" t="n"/>
      <c r="J6" s="17" t="n"/>
      <c r="K6" s="17" t="n"/>
      <c r="L6" s="17" t="n"/>
      <c r="M6" s="18" t="n"/>
      <c r="N6" s="18" t="n"/>
      <c r="O6" s="18" t="n"/>
      <c r="P6" s="18" t="n"/>
      <c r="Q6" s="18" t="n"/>
      <c r="R6" s="18" t="n"/>
      <c r="S6" s="18" t="n"/>
      <c r="T6" s="19">
        <f>IF(OR(K6="",J6=""),"",(K6-J6)*100)</f>
        <v/>
      </c>
      <c r="U6" s="20">
        <f>IF(OR(G6="",F6=""),"",(G6/INDEX($G:$G,MATCH("2023-12",$B:$B,0)))/(F6/INDEX($F:$F,MATCH("2023-12",$B:$B,0)))*100)</f>
        <v/>
      </c>
    </row>
    <row r="7">
      <c r="B7" s="13" t="inlineStr">
        <is>
          <t>2019-01</t>
        </is>
      </c>
      <c r="C7" s="14" t="n">
        <v>2019</v>
      </c>
      <c r="D7" s="14" t="n">
        <v>1</v>
      </c>
      <c r="E7" s="15" t="n">
        <v>189.6101</v>
      </c>
      <c r="F7" s="15" t="n">
        <v>184.3056</v>
      </c>
      <c r="G7" s="16" t="n"/>
      <c r="H7" s="16" t="n"/>
      <c r="I7" s="17">
        <f>IF(OR(E7="",E6=""),"",E7/E6-1)</f>
        <v/>
      </c>
      <c r="J7" s="17">
        <f>IF(OR(F7="",F6=""),"",F7/F6-1)</f>
        <v/>
      </c>
      <c r="K7" s="17">
        <f>IF(OR(G7="",G6=""),"",G7/G6-1)</f>
        <v/>
      </c>
      <c r="L7" s="17">
        <f>IF(OR(H7="",H6=""),"",H7/H6-1)</f>
        <v/>
      </c>
      <c r="M7" s="18" t="n"/>
      <c r="N7" s="18" t="n"/>
      <c r="O7" s="18" t="n"/>
      <c r="P7" s="18" t="n"/>
      <c r="Q7" s="18" t="n"/>
      <c r="R7" s="18" t="n"/>
      <c r="S7" s="18">
        <f>IF(E7="","",IFERROR(E7/INDEX($E:$E,MATCH(C7-1&amp;"-12",$B:$B,0))-1,""))</f>
        <v/>
      </c>
      <c r="T7" s="19">
        <f>IF(OR(K7="",J7=""),"",(K7-J7)*100)</f>
        <v/>
      </c>
      <c r="U7" s="20">
        <f>IF(OR(G7="",F7=""),"",(G7/INDEX($G:$G,MATCH("2023-12",$B:$B,0)))/(F7/INDEX($F:$F,MATCH("2023-12",$B:$B,0)))*100)</f>
        <v/>
      </c>
    </row>
    <row r="8">
      <c r="B8" s="13" t="inlineStr">
        <is>
          <t>2019-02</t>
        </is>
      </c>
      <c r="C8" s="14" t="n">
        <v>2019</v>
      </c>
      <c r="D8" s="14" t="n">
        <v>2</v>
      </c>
      <c r="E8" s="15" t="n">
        <v>196.7501</v>
      </c>
      <c r="F8" s="15" t="n">
        <v>191.4115</v>
      </c>
      <c r="G8" s="16" t="n"/>
      <c r="H8" s="16" t="n"/>
      <c r="I8" s="17">
        <f>IF(OR(E8="",E7=""),"",E8/E7-1)</f>
        <v/>
      </c>
      <c r="J8" s="17">
        <f>IF(OR(F8="",F7=""),"",F8/F7-1)</f>
        <v/>
      </c>
      <c r="K8" s="17">
        <f>IF(OR(G8="",G7=""),"",G8/G7-1)</f>
        <v/>
      </c>
      <c r="L8" s="17">
        <f>IF(OR(H8="",H7=""),"",H8/H7-1)</f>
        <v/>
      </c>
      <c r="M8" s="18" t="n"/>
      <c r="N8" s="18" t="n"/>
      <c r="O8" s="18" t="n"/>
      <c r="P8" s="18" t="n"/>
      <c r="Q8" s="18" t="n"/>
      <c r="R8" s="18" t="n"/>
      <c r="S8" s="18">
        <f>IF(E8="","",IFERROR(E8/INDEX($E:$E,MATCH(C8-1&amp;"-12",$B:$B,0))-1,""))</f>
        <v/>
      </c>
      <c r="T8" s="19">
        <f>IF(OR(K8="",J8=""),"",(K8-J8)*100)</f>
        <v/>
      </c>
      <c r="U8" s="20">
        <f>IF(OR(G8="",F8=""),"",(G8/INDEX($G:$G,MATCH("2023-12",$B:$B,0)))/(F8/INDEX($F:$F,MATCH("2023-12",$B:$B,0)))*100)</f>
        <v/>
      </c>
    </row>
    <row r="9">
      <c r="B9" s="13" t="inlineStr">
        <is>
          <t>2019-03</t>
        </is>
      </c>
      <c r="C9" s="14" t="n">
        <v>2019</v>
      </c>
      <c r="D9" s="14" t="n">
        <v>3</v>
      </c>
      <c r="E9" s="15" t="n">
        <v>205.9571</v>
      </c>
      <c r="F9" s="15" t="n">
        <v>200.1771</v>
      </c>
      <c r="G9" s="16" t="n"/>
      <c r="H9" s="16" t="n"/>
      <c r="I9" s="17">
        <f>IF(OR(E9="",E8=""),"",E9/E8-1)</f>
        <v/>
      </c>
      <c r="J9" s="17">
        <f>IF(OR(F9="",F8=""),"",F9/F8-1)</f>
        <v/>
      </c>
      <c r="K9" s="17">
        <f>IF(OR(G9="",G8=""),"",G9/G8-1)</f>
        <v/>
      </c>
      <c r="L9" s="17">
        <f>IF(OR(H9="",H8=""),"",H9/H8-1)</f>
        <v/>
      </c>
      <c r="M9" s="18" t="n"/>
      <c r="N9" s="18" t="n"/>
      <c r="O9" s="18" t="n"/>
      <c r="P9" s="18">
        <f>IF(OR(E9="",E6=""),"",(E9/E6)^4-1)</f>
        <v/>
      </c>
      <c r="Q9" s="18">
        <f>IF(OR(F9="",F6=""),"",(F9/F6)^4-1)</f>
        <v/>
      </c>
      <c r="R9" s="18" t="n"/>
      <c r="S9" s="18">
        <f>IF(E9="","",IFERROR(E9/INDEX($E:$E,MATCH(C9-1&amp;"-12",$B:$B,0))-1,""))</f>
        <v/>
      </c>
      <c r="T9" s="19">
        <f>IF(OR(K9="",J9=""),"",(K9-J9)*100)</f>
        <v/>
      </c>
      <c r="U9" s="20">
        <f>IF(OR(G9="",F9=""),"",(G9/INDEX($G:$G,MATCH("2023-12",$B:$B,0)))/(F9/INDEX($F:$F,MATCH("2023-12",$B:$B,0)))*100)</f>
        <v/>
      </c>
    </row>
    <row r="10">
      <c r="B10" s="13" t="inlineStr">
        <is>
          <t>2019-04</t>
        </is>
      </c>
      <c r="C10" s="14" t="n">
        <v>2019</v>
      </c>
      <c r="D10" s="14" t="n">
        <v>4</v>
      </c>
      <c r="E10" s="15" t="n">
        <v>212.9596414</v>
      </c>
      <c r="F10" s="15" t="n">
        <v>207.7179</v>
      </c>
      <c r="G10" s="16" t="n"/>
      <c r="H10" s="16" t="n"/>
      <c r="I10" s="17">
        <f>IF(OR(E10="",E9=""),"",E10/E9-1)</f>
        <v/>
      </c>
      <c r="J10" s="17">
        <f>IF(OR(F10="",F9=""),"",F10/F9-1)</f>
        <v/>
      </c>
      <c r="K10" s="17">
        <f>IF(OR(G10="",G9=""),"",G10/G9-1)</f>
        <v/>
      </c>
      <c r="L10" s="17">
        <f>IF(OR(H10="",H9=""),"",H10/H9-1)</f>
        <v/>
      </c>
      <c r="M10" s="18" t="n"/>
      <c r="N10" s="18" t="n"/>
      <c r="O10" s="18" t="n"/>
      <c r="P10" s="18">
        <f>IF(OR(E10="",E7=""),"",(E10/E7)^4-1)</f>
        <v/>
      </c>
      <c r="Q10" s="18">
        <f>IF(OR(F10="",F7=""),"",(F10/F7)^4-1)</f>
        <v/>
      </c>
      <c r="R10" s="18" t="n"/>
      <c r="S10" s="18">
        <f>IF(E10="","",IFERROR(E10/INDEX($E:$E,MATCH(C10-1&amp;"-12",$B:$B,0))-1,""))</f>
        <v/>
      </c>
      <c r="T10" s="19">
        <f>IF(OR(K10="",J10=""),"",(K10-J10)*100)</f>
        <v/>
      </c>
      <c r="U10" s="20">
        <f>IF(OR(G10="",F10=""),"",(G10/INDEX($G:$G,MATCH("2023-12",$B:$B,0)))/(F10/INDEX($F:$F,MATCH("2023-12",$B:$B,0)))*100)</f>
        <v/>
      </c>
    </row>
    <row r="11">
      <c r="B11" s="13" t="inlineStr">
        <is>
          <t>2019-05</t>
        </is>
      </c>
      <c r="C11" s="14" t="n">
        <v>2019</v>
      </c>
      <c r="D11" s="14" t="n">
        <v>5</v>
      </c>
      <c r="E11" s="15" t="n">
        <v>219.5691</v>
      </c>
      <c r="F11" s="15" t="n">
        <v>214.3182</v>
      </c>
      <c r="G11" s="16" t="n"/>
      <c r="H11" s="16" t="n"/>
      <c r="I11" s="17">
        <f>IF(OR(E11="",E10=""),"",E11/E10-1)</f>
        <v/>
      </c>
      <c r="J11" s="17">
        <f>IF(OR(F11="",F10=""),"",F11/F10-1)</f>
        <v/>
      </c>
      <c r="K11" s="17">
        <f>IF(OR(G11="",G10=""),"",G11/G10-1)</f>
        <v/>
      </c>
      <c r="L11" s="17">
        <f>IF(OR(H11="",H10=""),"",H11/H10-1)</f>
        <v/>
      </c>
      <c r="M11" s="18" t="n"/>
      <c r="N11" s="18" t="n"/>
      <c r="O11" s="18" t="n"/>
      <c r="P11" s="18">
        <f>IF(OR(E11="",E8=""),"",(E11/E8)^4-1)</f>
        <v/>
      </c>
      <c r="Q11" s="18">
        <f>IF(OR(F11="",F8=""),"",(F11/F8)^4-1)</f>
        <v/>
      </c>
      <c r="R11" s="18" t="n"/>
      <c r="S11" s="18">
        <f>IF(E11="","",IFERROR(E11/INDEX($E:$E,MATCH(C11-1&amp;"-12",$B:$B,0))-1,""))</f>
        <v/>
      </c>
      <c r="T11" s="19">
        <f>IF(OR(K11="",J11=""),"",(K11-J11)*100)</f>
        <v/>
      </c>
      <c r="U11" s="20">
        <f>IF(OR(G11="",F11=""),"",(G11/INDEX($G:$G,MATCH("2023-12",$B:$B,0)))/(F11/INDEX($F:$F,MATCH("2023-12",$B:$B,0)))*100)</f>
        <v/>
      </c>
    </row>
    <row r="12">
      <c r="B12" s="13" t="inlineStr">
        <is>
          <t>2019-06</t>
        </is>
      </c>
      <c r="C12" s="14" t="n">
        <v>2019</v>
      </c>
      <c r="D12" s="14" t="n">
        <v>6</v>
      </c>
      <c r="E12" s="15" t="n">
        <v>225.537</v>
      </c>
      <c r="F12" s="15" t="n">
        <v>220.1725</v>
      </c>
      <c r="G12" s="16" t="n"/>
      <c r="H12" s="16" t="n"/>
      <c r="I12" s="17">
        <f>IF(OR(E12="",E11=""),"",E12/E11-1)</f>
        <v/>
      </c>
      <c r="J12" s="17">
        <f>IF(OR(F12="",F11=""),"",F12/F11-1)</f>
        <v/>
      </c>
      <c r="K12" s="17">
        <f>IF(OR(G12="",G11=""),"",G12/G11-1)</f>
        <v/>
      </c>
      <c r="L12" s="17">
        <f>IF(OR(H12="",H11=""),"",H12/H11-1)</f>
        <v/>
      </c>
      <c r="M12" s="18" t="n"/>
      <c r="N12" s="18" t="n"/>
      <c r="O12" s="18" t="n"/>
      <c r="P12" s="18">
        <f>IF(OR(E12="",E9=""),"",(E12/E9)^4-1)</f>
        <v/>
      </c>
      <c r="Q12" s="18">
        <f>IF(OR(F12="",F9=""),"",(F12/F9)^4-1)</f>
        <v/>
      </c>
      <c r="R12" s="18">
        <f>IF(OR(E12="",E6=""),"",(E12/E6)^2-1)</f>
        <v/>
      </c>
      <c r="S12" s="18">
        <f>IF(E12="","",IFERROR(E12/INDEX($E:$E,MATCH(C12-1&amp;"-12",$B:$B,0))-1,""))</f>
        <v/>
      </c>
      <c r="T12" s="19">
        <f>IF(OR(K12="",J12=""),"",(K12-J12)*100)</f>
        <v/>
      </c>
      <c r="U12" s="20">
        <f>IF(OR(G12="",F12=""),"",(G12/INDEX($G:$G,MATCH("2023-12",$B:$B,0)))/(F12/INDEX($F:$F,MATCH("2023-12",$B:$B,0)))*100)</f>
        <v/>
      </c>
    </row>
    <row r="13">
      <c r="B13" s="13" t="inlineStr">
        <is>
          <t>2019-07</t>
        </is>
      </c>
      <c r="C13" s="14" t="n">
        <v>2019</v>
      </c>
      <c r="D13" s="14" t="n">
        <v>7</v>
      </c>
      <c r="E13" s="15" t="n">
        <v>230.494</v>
      </c>
      <c r="F13" s="15" t="n">
        <v>224.9011</v>
      </c>
      <c r="G13" s="16" t="n"/>
      <c r="H13" s="16" t="n"/>
      <c r="I13" s="17">
        <f>IF(OR(E13="",E12=""),"",E13/E12-1)</f>
        <v/>
      </c>
      <c r="J13" s="17">
        <f>IF(OR(F13="",F12=""),"",F13/F12-1)</f>
        <v/>
      </c>
      <c r="K13" s="17">
        <f>IF(OR(G13="",G12=""),"",G13/G12-1)</f>
        <v/>
      </c>
      <c r="L13" s="17">
        <f>IF(OR(H13="",H12=""),"",H13/H12-1)</f>
        <v/>
      </c>
      <c r="M13" s="18" t="n"/>
      <c r="N13" s="18" t="n"/>
      <c r="O13" s="18" t="n"/>
      <c r="P13" s="18">
        <f>IF(OR(E13="",E10=""),"",(E13/E10)^4-1)</f>
        <v/>
      </c>
      <c r="Q13" s="18">
        <f>IF(OR(F13="",F10=""),"",(F13/F10)^4-1)</f>
        <v/>
      </c>
      <c r="R13" s="18">
        <f>IF(OR(E13="",E7=""),"",(E13/E7)^2-1)</f>
        <v/>
      </c>
      <c r="S13" s="18">
        <f>IF(E13="","",IFERROR(E13/INDEX($E:$E,MATCH(C13-1&amp;"-12",$B:$B,0))-1,""))</f>
        <v/>
      </c>
      <c r="T13" s="19">
        <f>IF(OR(K13="",J13=""),"",(K13-J13)*100)</f>
        <v/>
      </c>
      <c r="U13" s="20">
        <f>IF(OR(G13="",F13=""),"",(G13/INDEX($G:$G,MATCH("2023-12",$B:$B,0)))/(F13/INDEX($F:$F,MATCH("2023-12",$B:$B,0)))*100)</f>
        <v/>
      </c>
    </row>
    <row r="14">
      <c r="B14" s="13" t="inlineStr">
        <is>
          <t>2019-08</t>
        </is>
      </c>
      <c r="C14" s="14" t="n">
        <v>2019</v>
      </c>
      <c r="D14" s="14" t="n">
        <v>8</v>
      </c>
      <c r="E14" s="15" t="n">
        <v>239.6077</v>
      </c>
      <c r="F14" s="15" t="n">
        <v>235.3317</v>
      </c>
      <c r="G14" s="16" t="n"/>
      <c r="H14" s="16" t="n"/>
      <c r="I14" s="17">
        <f>IF(OR(E14="",E13=""),"",E14/E13-1)</f>
        <v/>
      </c>
      <c r="J14" s="17">
        <f>IF(OR(F14="",F13=""),"",F14/F13-1)</f>
        <v/>
      </c>
      <c r="K14" s="17">
        <f>IF(OR(G14="",G13=""),"",G14/G13-1)</f>
        <v/>
      </c>
      <c r="L14" s="17">
        <f>IF(OR(H14="",H13=""),"",H14/H13-1)</f>
        <v/>
      </c>
      <c r="M14" s="18" t="n"/>
      <c r="N14" s="18" t="n"/>
      <c r="O14" s="18" t="n"/>
      <c r="P14" s="18">
        <f>IF(OR(E14="",E11=""),"",(E14/E11)^4-1)</f>
        <v/>
      </c>
      <c r="Q14" s="18">
        <f>IF(OR(F14="",F11=""),"",(F14/F11)^4-1)</f>
        <v/>
      </c>
      <c r="R14" s="18">
        <f>IF(OR(E14="",E8=""),"",(E14/E8)^2-1)</f>
        <v/>
      </c>
      <c r="S14" s="18">
        <f>IF(E14="","",IFERROR(E14/INDEX($E:$E,MATCH(C14-1&amp;"-12",$B:$B,0))-1,""))</f>
        <v/>
      </c>
      <c r="T14" s="19">
        <f>IF(OR(K14="",J14=""),"",(K14-J14)*100)</f>
        <v/>
      </c>
      <c r="U14" s="20">
        <f>IF(OR(G14="",F14=""),"",(G14/INDEX($G:$G,MATCH("2023-12",$B:$B,0)))/(F14/INDEX($F:$F,MATCH("2023-12",$B:$B,0)))*100)</f>
        <v/>
      </c>
    </row>
    <row r="15">
      <c r="B15" s="13" t="inlineStr">
        <is>
          <t>2019-09</t>
        </is>
      </c>
      <c r="C15" s="14" t="n">
        <v>2019</v>
      </c>
      <c r="D15" s="14" t="n">
        <v>9</v>
      </c>
      <c r="E15" s="15" t="n">
        <v>253.7102</v>
      </c>
      <c r="F15" s="15" t="n">
        <v>250.4818</v>
      </c>
      <c r="G15" s="16" t="n"/>
      <c r="H15" s="16" t="n"/>
      <c r="I15" s="17">
        <f>IF(OR(E15="",E14=""),"",E15/E14-1)</f>
        <v/>
      </c>
      <c r="J15" s="17">
        <f>IF(OR(F15="",F14=""),"",F15/F14-1)</f>
        <v/>
      </c>
      <c r="K15" s="17">
        <f>IF(OR(G15="",G14=""),"",G15/G14-1)</f>
        <v/>
      </c>
      <c r="L15" s="17">
        <f>IF(OR(H15="",H14=""),"",H15/H14-1)</f>
        <v/>
      </c>
      <c r="M15" s="18" t="n"/>
      <c r="N15" s="18" t="n"/>
      <c r="O15" s="18" t="n"/>
      <c r="P15" s="18">
        <f>IF(OR(E15="",E12=""),"",(E15/E12)^4-1)</f>
        <v/>
      </c>
      <c r="Q15" s="18">
        <f>IF(OR(F15="",F12=""),"",(F15/F12)^4-1)</f>
        <v/>
      </c>
      <c r="R15" s="18">
        <f>IF(OR(E15="",E9=""),"",(E15/E9)^2-1)</f>
        <v/>
      </c>
      <c r="S15" s="18">
        <f>IF(E15="","",IFERROR(E15/INDEX($E:$E,MATCH(C15-1&amp;"-12",$B:$B,0))-1,""))</f>
        <v/>
      </c>
      <c r="T15" s="19">
        <f>IF(OR(K15="",J15=""),"",(K15-J15)*100)</f>
        <v/>
      </c>
      <c r="U15" s="20">
        <f>IF(OR(G15="",F15=""),"",(G15/INDEX($G:$G,MATCH("2023-12",$B:$B,0)))/(F15/INDEX($F:$F,MATCH("2023-12",$B:$B,0)))*100)</f>
        <v/>
      </c>
    </row>
    <row r="16">
      <c r="B16" s="13" t="inlineStr">
        <is>
          <t>2019-10</t>
        </is>
      </c>
      <c r="C16" s="14" t="n">
        <v>2019</v>
      </c>
      <c r="D16" s="14" t="n">
        <v>10</v>
      </c>
      <c r="E16" s="15" t="n">
        <v>262.0661</v>
      </c>
      <c r="F16" s="15" t="n">
        <v>260.0118</v>
      </c>
      <c r="G16" s="16" t="n"/>
      <c r="H16" s="16" t="n"/>
      <c r="I16" s="17">
        <f>IF(OR(E16="",E15=""),"",E16/E15-1)</f>
        <v/>
      </c>
      <c r="J16" s="17">
        <f>IF(OR(F16="",F15=""),"",F16/F15-1)</f>
        <v/>
      </c>
      <c r="K16" s="17">
        <f>IF(OR(G16="",G15=""),"",G16/G15-1)</f>
        <v/>
      </c>
      <c r="L16" s="17">
        <f>IF(OR(H16="",H15=""),"",H16/H15-1)</f>
        <v/>
      </c>
      <c r="M16" s="18" t="n"/>
      <c r="N16" s="18" t="n"/>
      <c r="O16" s="18" t="n"/>
      <c r="P16" s="18">
        <f>IF(OR(E16="",E13=""),"",(E16/E13)^4-1)</f>
        <v/>
      </c>
      <c r="Q16" s="18">
        <f>IF(OR(F16="",F13=""),"",(F16/F13)^4-1)</f>
        <v/>
      </c>
      <c r="R16" s="18">
        <f>IF(OR(E16="",E10=""),"",(E16/E10)^2-1)</f>
        <v/>
      </c>
      <c r="S16" s="18">
        <f>IF(E16="","",IFERROR(E16/INDEX($E:$E,MATCH(C16-1&amp;"-12",$B:$B,0))-1,""))</f>
        <v/>
      </c>
      <c r="T16" s="19">
        <f>IF(OR(K16="",J16=""),"",(K16-J16)*100)</f>
        <v/>
      </c>
      <c r="U16" s="20">
        <f>IF(OR(G16="",F16=""),"",(G16/INDEX($G:$G,MATCH("2023-12",$B:$B,0)))/(F16/INDEX($F:$F,MATCH("2023-12",$B:$B,0)))*100)</f>
        <v/>
      </c>
    </row>
    <row r="17">
      <c r="B17" s="13" t="inlineStr">
        <is>
          <t>2019-11</t>
        </is>
      </c>
      <c r="C17" s="14" t="n">
        <v>2019</v>
      </c>
      <c r="D17" s="14" t="n">
        <v>11</v>
      </c>
      <c r="E17" s="15" t="n">
        <v>273.2158</v>
      </c>
      <c r="F17" s="15" t="n">
        <v>270.3554</v>
      </c>
      <c r="G17" s="16" t="n"/>
      <c r="H17" s="16" t="n"/>
      <c r="I17" s="17">
        <f>IF(OR(E17="",E16=""),"",E17/E16-1)</f>
        <v/>
      </c>
      <c r="J17" s="17">
        <f>IF(OR(F17="",F16=""),"",F17/F16-1)</f>
        <v/>
      </c>
      <c r="K17" s="17">
        <f>IF(OR(G17="",G16=""),"",G17/G16-1)</f>
        <v/>
      </c>
      <c r="L17" s="17">
        <f>IF(OR(H17="",H16=""),"",H17/H16-1)</f>
        <v/>
      </c>
      <c r="M17" s="18" t="n"/>
      <c r="N17" s="18" t="n"/>
      <c r="O17" s="18" t="n"/>
      <c r="P17" s="18">
        <f>IF(OR(E17="",E14=""),"",(E17/E14)^4-1)</f>
        <v/>
      </c>
      <c r="Q17" s="18">
        <f>IF(OR(F17="",F14=""),"",(F17/F14)^4-1)</f>
        <v/>
      </c>
      <c r="R17" s="18">
        <f>IF(OR(E17="",E11=""),"",(E17/E11)^2-1)</f>
        <v/>
      </c>
      <c r="S17" s="18">
        <f>IF(E17="","",IFERROR(E17/INDEX($E:$E,MATCH(C17-1&amp;"-12",$B:$B,0))-1,""))</f>
        <v/>
      </c>
      <c r="T17" s="19">
        <f>IF(OR(K17="",J17=""),"",(K17-J17)*100)</f>
        <v/>
      </c>
      <c r="U17" s="20">
        <f>IF(OR(G17="",F17=""),"",(G17/INDEX($G:$G,MATCH("2023-12",$B:$B,0)))/(F17/INDEX($F:$F,MATCH("2023-12",$B:$B,0)))*100)</f>
        <v/>
      </c>
    </row>
    <row r="18">
      <c r="B18" s="13" t="inlineStr">
        <is>
          <t>2019-12</t>
        </is>
      </c>
      <c r="C18" s="14" t="n">
        <v>2019</v>
      </c>
      <c r="D18" s="14" t="n">
        <v>12</v>
      </c>
      <c r="E18" s="15" t="n">
        <v>283.4442</v>
      </c>
      <c r="F18" s="15" t="n">
        <v>280.3107</v>
      </c>
      <c r="G18" s="16" t="n"/>
      <c r="H18" s="16" t="n"/>
      <c r="I18" s="17">
        <f>IF(OR(E18="",E17=""),"",E18/E17-1)</f>
        <v/>
      </c>
      <c r="J18" s="17">
        <f>IF(OR(F18="",F17=""),"",F18/F17-1)</f>
        <v/>
      </c>
      <c r="K18" s="17">
        <f>IF(OR(G18="",G17=""),"",G18/G17-1)</f>
        <v/>
      </c>
      <c r="L18" s="17">
        <f>IF(OR(H18="",H17=""),"",H18/H17-1)</f>
        <v/>
      </c>
      <c r="M18" s="18">
        <f>IF(OR(E18="",E6=""),"",E18/E6-1)</f>
        <v/>
      </c>
      <c r="N18" s="18">
        <f>IF(OR(F18="",F6=""),"",F18/F6-1)</f>
        <v/>
      </c>
      <c r="O18" s="18">
        <f>IF(OR(G18="",G6=""),"",G18/G6-1)</f>
        <v/>
      </c>
      <c r="P18" s="18">
        <f>IF(OR(E18="",E15=""),"",(E18/E15)^4-1)</f>
        <v/>
      </c>
      <c r="Q18" s="18">
        <f>IF(OR(F18="",F15=""),"",(F18/F15)^4-1)</f>
        <v/>
      </c>
      <c r="R18" s="18">
        <f>IF(OR(E18="",E12=""),"",(E18/E12)^2-1)</f>
        <v/>
      </c>
      <c r="S18" s="18">
        <f>IF(E18="","",IFERROR(E18/INDEX($E:$E,MATCH(C18-1&amp;"-12",$B:$B,0))-1,""))</f>
        <v/>
      </c>
      <c r="T18" s="19">
        <f>IF(OR(K18="",J18=""),"",(K18-J18)*100)</f>
        <v/>
      </c>
      <c r="U18" s="20">
        <f>IF(OR(G18="",F18=""),"",(G18/INDEX($G:$G,MATCH("2023-12",$B:$B,0)))/(F18/INDEX($F:$F,MATCH("2023-12",$B:$B,0)))*100)</f>
        <v/>
      </c>
    </row>
    <row r="19">
      <c r="B19" s="13" t="inlineStr">
        <is>
          <t>2020-01</t>
        </is>
      </c>
      <c r="C19" s="14" t="n">
        <v>2020</v>
      </c>
      <c r="D19" s="14" t="n">
        <v>1</v>
      </c>
      <c r="E19" s="15" t="n">
        <v>289.8299</v>
      </c>
      <c r="F19" s="15" t="n">
        <v>287.1529</v>
      </c>
      <c r="G19" s="16" t="n"/>
      <c r="H19" s="16" t="n"/>
      <c r="I19" s="17">
        <f>IF(OR(E19="",E18=""),"",E19/E18-1)</f>
        <v/>
      </c>
      <c r="J19" s="17">
        <f>IF(OR(F19="",F18=""),"",F19/F18-1)</f>
        <v/>
      </c>
      <c r="K19" s="17">
        <f>IF(OR(G19="",G18=""),"",G19/G18-1)</f>
        <v/>
      </c>
      <c r="L19" s="17">
        <f>IF(OR(H19="",H18=""),"",H19/H18-1)</f>
        <v/>
      </c>
      <c r="M19" s="18">
        <f>IF(OR(E19="",E7=""),"",E19/E7-1)</f>
        <v/>
      </c>
      <c r="N19" s="18">
        <f>IF(OR(F19="",F7=""),"",F19/F7-1)</f>
        <v/>
      </c>
      <c r="O19" s="18">
        <f>IF(OR(G19="",G7=""),"",G19/G7-1)</f>
        <v/>
      </c>
      <c r="P19" s="18">
        <f>IF(OR(E19="",E16=""),"",(E19/E16)^4-1)</f>
        <v/>
      </c>
      <c r="Q19" s="18">
        <f>IF(OR(F19="",F16=""),"",(F19/F16)^4-1)</f>
        <v/>
      </c>
      <c r="R19" s="18">
        <f>IF(OR(E19="",E13=""),"",(E19/E13)^2-1)</f>
        <v/>
      </c>
      <c r="S19" s="18">
        <f>IF(E19="","",IFERROR(E19/INDEX($E:$E,MATCH(C19-1&amp;"-12",$B:$B,0))-1,""))</f>
        <v/>
      </c>
      <c r="T19" s="19">
        <f>IF(OR(K19="",J19=""),"",(K19-J19)*100)</f>
        <v/>
      </c>
      <c r="U19" s="20">
        <f>IF(OR(G19="",F19=""),"",(G19/INDEX($G:$G,MATCH("2023-12",$B:$B,0)))/(F19/INDEX($F:$F,MATCH("2023-12",$B:$B,0)))*100)</f>
        <v/>
      </c>
    </row>
    <row r="20">
      <c r="B20" s="13" t="inlineStr">
        <is>
          <t>2020-02</t>
        </is>
      </c>
      <c r="C20" s="14" t="n">
        <v>2020</v>
      </c>
      <c r="D20" s="14" t="n">
        <v>2</v>
      </c>
      <c r="E20" s="15" t="n">
        <v>295.666</v>
      </c>
      <c r="F20" s="15" t="n">
        <v>293.9922</v>
      </c>
      <c r="G20" s="16" t="n"/>
      <c r="H20" s="16" t="n"/>
      <c r="I20" s="17">
        <f>IF(OR(E20="",E19=""),"",E20/E19-1)</f>
        <v/>
      </c>
      <c r="J20" s="17">
        <f>IF(OR(F20="",F19=""),"",F20/F19-1)</f>
        <v/>
      </c>
      <c r="K20" s="17">
        <f>IF(OR(G20="",G19=""),"",G20/G19-1)</f>
        <v/>
      </c>
      <c r="L20" s="17">
        <f>IF(OR(H20="",H19=""),"",H20/H19-1)</f>
        <v/>
      </c>
      <c r="M20" s="18">
        <f>IF(OR(E20="",E8=""),"",E20/E8-1)</f>
        <v/>
      </c>
      <c r="N20" s="18">
        <f>IF(OR(F20="",F8=""),"",F20/F8-1)</f>
        <v/>
      </c>
      <c r="O20" s="18">
        <f>IF(OR(G20="",G8=""),"",G20/G8-1)</f>
        <v/>
      </c>
      <c r="P20" s="18">
        <f>IF(OR(E20="",E17=""),"",(E20/E17)^4-1)</f>
        <v/>
      </c>
      <c r="Q20" s="18">
        <f>IF(OR(F20="",F17=""),"",(F20/F17)^4-1)</f>
        <v/>
      </c>
      <c r="R20" s="18">
        <f>IF(OR(E20="",E14=""),"",(E20/E14)^2-1)</f>
        <v/>
      </c>
      <c r="S20" s="18">
        <f>IF(E20="","",IFERROR(E20/INDEX($E:$E,MATCH(C20-1&amp;"-12",$B:$B,0))-1,""))</f>
        <v/>
      </c>
      <c r="T20" s="19">
        <f>IF(OR(K20="",J20=""),"",(K20-J20)*100)</f>
        <v/>
      </c>
      <c r="U20" s="20">
        <f>IF(OR(G20="",F20=""),"",(G20/INDEX($G:$G,MATCH("2023-12",$B:$B,0)))/(F20/INDEX($F:$F,MATCH("2023-12",$B:$B,0)))*100)</f>
        <v/>
      </c>
    </row>
    <row r="21">
      <c r="B21" s="13" t="inlineStr">
        <is>
          <t>2020-03</t>
        </is>
      </c>
      <c r="C21" s="14" t="n">
        <v>2020</v>
      </c>
      <c r="D21" s="14" t="n">
        <v>3</v>
      </c>
      <c r="E21" s="15" t="n">
        <v>305.5515</v>
      </c>
      <c r="F21" s="15" t="n">
        <v>303.1665</v>
      </c>
      <c r="G21" s="16" t="n"/>
      <c r="H21" s="16" t="n"/>
      <c r="I21" s="17">
        <f>IF(OR(E21="",E20=""),"",E21/E20-1)</f>
        <v/>
      </c>
      <c r="J21" s="17">
        <f>IF(OR(F21="",F20=""),"",F21/F20-1)</f>
        <v/>
      </c>
      <c r="K21" s="17">
        <f>IF(OR(G21="",G20=""),"",G21/G20-1)</f>
        <v/>
      </c>
      <c r="L21" s="17">
        <f>IF(OR(H21="",H20=""),"",H21/H20-1)</f>
        <v/>
      </c>
      <c r="M21" s="18">
        <f>IF(OR(E21="",E9=""),"",E21/E9-1)</f>
        <v/>
      </c>
      <c r="N21" s="18">
        <f>IF(OR(F21="",F9=""),"",F21/F9-1)</f>
        <v/>
      </c>
      <c r="O21" s="18">
        <f>IF(OR(G21="",G9=""),"",G21/G9-1)</f>
        <v/>
      </c>
      <c r="P21" s="18">
        <f>IF(OR(E21="",E18=""),"",(E21/E18)^4-1)</f>
        <v/>
      </c>
      <c r="Q21" s="18">
        <f>IF(OR(F21="",F18=""),"",(F21/F18)^4-1)</f>
        <v/>
      </c>
      <c r="R21" s="18">
        <f>IF(OR(E21="",E15=""),"",(E21/E15)^2-1)</f>
        <v/>
      </c>
      <c r="S21" s="18">
        <f>IF(E21="","",IFERROR(E21/INDEX($E:$E,MATCH(C21-1&amp;"-12",$B:$B,0))-1,""))</f>
        <v/>
      </c>
      <c r="T21" s="19">
        <f>IF(OR(K21="",J21=""),"",(K21-J21)*100)</f>
        <v/>
      </c>
      <c r="U21" s="20">
        <f>IF(OR(G21="",F21=""),"",(G21/INDEX($G:$G,MATCH("2023-12",$B:$B,0)))/(F21/INDEX($F:$F,MATCH("2023-12",$B:$B,0)))*100)</f>
        <v/>
      </c>
    </row>
    <row r="22">
      <c r="B22" s="13" t="inlineStr">
        <is>
          <t>2020-04</t>
        </is>
      </c>
      <c r="C22" s="14" t="n">
        <v>2020</v>
      </c>
      <c r="D22" s="14" t="n">
        <v>4</v>
      </c>
      <c r="E22" s="15" t="n">
        <v>310.1243</v>
      </c>
      <c r="F22" s="15" t="n">
        <v>308.3681</v>
      </c>
      <c r="G22" s="16" t="n"/>
      <c r="H22" s="16" t="n"/>
      <c r="I22" s="17">
        <f>IF(OR(E22="",E21=""),"",E22/E21-1)</f>
        <v/>
      </c>
      <c r="J22" s="17">
        <f>IF(OR(F22="",F21=""),"",F22/F21-1)</f>
        <v/>
      </c>
      <c r="K22" s="17">
        <f>IF(OR(G22="",G21=""),"",G22/G21-1)</f>
        <v/>
      </c>
      <c r="L22" s="17">
        <f>IF(OR(H22="",H21=""),"",H22/H21-1)</f>
        <v/>
      </c>
      <c r="M22" s="18">
        <f>IF(OR(E22="",E10=""),"",E22/E10-1)</f>
        <v/>
      </c>
      <c r="N22" s="18">
        <f>IF(OR(F22="",F10=""),"",F22/F10-1)</f>
        <v/>
      </c>
      <c r="O22" s="18">
        <f>IF(OR(G22="",G10=""),"",G22/G10-1)</f>
        <v/>
      </c>
      <c r="P22" s="18">
        <f>IF(OR(E22="",E19=""),"",(E22/E19)^4-1)</f>
        <v/>
      </c>
      <c r="Q22" s="18">
        <f>IF(OR(F22="",F19=""),"",(F22/F19)^4-1)</f>
        <v/>
      </c>
      <c r="R22" s="18">
        <f>IF(OR(E22="",E16=""),"",(E22/E16)^2-1)</f>
        <v/>
      </c>
      <c r="S22" s="18">
        <f>IF(E22="","",IFERROR(E22/INDEX($E:$E,MATCH(C22-1&amp;"-12",$B:$B,0))-1,""))</f>
        <v/>
      </c>
      <c r="T22" s="19">
        <f>IF(OR(K22="",J22=""),"",(K22-J22)*100)</f>
        <v/>
      </c>
      <c r="U22" s="20">
        <f>IF(OR(G22="",F22=""),"",(G22/INDEX($G:$G,MATCH("2023-12",$B:$B,0)))/(F22/INDEX($F:$F,MATCH("2023-12",$B:$B,0)))*100)</f>
        <v/>
      </c>
    </row>
    <row r="23">
      <c r="B23" s="13" t="inlineStr">
        <is>
          <t>2020-05</t>
        </is>
      </c>
      <c r="C23" s="14" t="n">
        <v>2020</v>
      </c>
      <c r="D23" s="14" t="n">
        <v>5</v>
      </c>
      <c r="E23" s="15" t="n">
        <v>314.9087</v>
      </c>
      <c r="F23" s="15" t="n">
        <v>313.3195</v>
      </c>
      <c r="G23" s="16" t="n"/>
      <c r="H23" s="16" t="n"/>
      <c r="I23" s="17">
        <f>IF(OR(E23="",E22=""),"",E23/E22-1)</f>
        <v/>
      </c>
      <c r="J23" s="17">
        <f>IF(OR(F23="",F22=""),"",F23/F22-1)</f>
        <v/>
      </c>
      <c r="K23" s="17">
        <f>IF(OR(G23="",G22=""),"",G23/G22-1)</f>
        <v/>
      </c>
      <c r="L23" s="17">
        <f>IF(OR(H23="",H22=""),"",H23/H22-1)</f>
        <v/>
      </c>
      <c r="M23" s="18">
        <f>IF(OR(E23="",E11=""),"",E23/E11-1)</f>
        <v/>
      </c>
      <c r="N23" s="18">
        <f>IF(OR(F23="",F11=""),"",F23/F11-1)</f>
        <v/>
      </c>
      <c r="O23" s="18">
        <f>IF(OR(G23="",G11=""),"",G23/G11-1)</f>
        <v/>
      </c>
      <c r="P23" s="18">
        <f>IF(OR(E23="",E20=""),"",(E23/E20)^4-1)</f>
        <v/>
      </c>
      <c r="Q23" s="18">
        <f>IF(OR(F23="",F20=""),"",(F23/F20)^4-1)</f>
        <v/>
      </c>
      <c r="R23" s="18">
        <f>IF(OR(E23="",E17=""),"",(E23/E17)^2-1)</f>
        <v/>
      </c>
      <c r="S23" s="18">
        <f>IF(E23="","",IFERROR(E23/INDEX($E:$E,MATCH(C23-1&amp;"-12",$B:$B,0))-1,""))</f>
        <v/>
      </c>
      <c r="T23" s="19">
        <f>IF(OR(K23="",J23=""),"",(K23-J23)*100)</f>
        <v/>
      </c>
      <c r="U23" s="20">
        <f>IF(OR(G23="",F23=""),"",(G23/INDEX($G:$G,MATCH("2023-12",$B:$B,0)))/(F23/INDEX($F:$F,MATCH("2023-12",$B:$B,0)))*100)</f>
        <v/>
      </c>
    </row>
    <row r="24">
      <c r="B24" s="13" t="inlineStr">
        <is>
          <t>2020-06</t>
        </is>
      </c>
      <c r="C24" s="14" t="n">
        <v>2020</v>
      </c>
      <c r="D24" s="14" t="n">
        <v>6</v>
      </c>
      <c r="E24" s="15" t="n">
        <v>321.9738</v>
      </c>
      <c r="F24" s="15" t="n">
        <v>320.5733</v>
      </c>
      <c r="G24" s="16" t="n"/>
      <c r="H24" s="16" t="n"/>
      <c r="I24" s="17">
        <f>IF(OR(E24="",E23=""),"",E24/E23-1)</f>
        <v/>
      </c>
      <c r="J24" s="17">
        <f>IF(OR(F24="",F23=""),"",F24/F23-1)</f>
        <v/>
      </c>
      <c r="K24" s="17">
        <f>IF(OR(G24="",G23=""),"",G24/G23-1)</f>
        <v/>
      </c>
      <c r="L24" s="17">
        <f>IF(OR(H24="",H23=""),"",H24/H23-1)</f>
        <v/>
      </c>
      <c r="M24" s="18">
        <f>IF(OR(E24="",E12=""),"",E24/E12-1)</f>
        <v/>
      </c>
      <c r="N24" s="18">
        <f>IF(OR(F24="",F12=""),"",F24/F12-1)</f>
        <v/>
      </c>
      <c r="O24" s="18">
        <f>IF(OR(G24="",G12=""),"",G24/G12-1)</f>
        <v/>
      </c>
      <c r="P24" s="18">
        <f>IF(OR(E24="",E21=""),"",(E24/E21)^4-1)</f>
        <v/>
      </c>
      <c r="Q24" s="18">
        <f>IF(OR(F24="",F21=""),"",(F24/F21)^4-1)</f>
        <v/>
      </c>
      <c r="R24" s="18">
        <f>IF(OR(E24="",E18=""),"",(E24/E18)^2-1)</f>
        <v/>
      </c>
      <c r="S24" s="18">
        <f>IF(E24="","",IFERROR(E24/INDEX($E:$E,MATCH(C24-1&amp;"-12",$B:$B,0))-1,""))</f>
        <v/>
      </c>
      <c r="T24" s="19">
        <f>IF(OR(K24="",J24=""),"",(K24-J24)*100)</f>
        <v/>
      </c>
      <c r="U24" s="20">
        <f>IF(OR(G24="",F24=""),"",(G24/INDEX($G:$G,MATCH("2023-12",$B:$B,0)))/(F24/INDEX($F:$F,MATCH("2023-12",$B:$B,0)))*100)</f>
        <v/>
      </c>
    </row>
    <row r="25">
      <c r="B25" s="13" t="inlineStr">
        <is>
          <t>2020-07</t>
        </is>
      </c>
      <c r="C25" s="14" t="n">
        <v>2020</v>
      </c>
      <c r="D25" s="14" t="n">
        <v>7</v>
      </c>
      <c r="E25" s="15" t="n">
        <v>328.2014</v>
      </c>
      <c r="F25" s="15" t="n">
        <v>328.6943</v>
      </c>
      <c r="G25" s="16" t="n"/>
      <c r="H25" s="16" t="n"/>
      <c r="I25" s="17">
        <f>IF(OR(E25="",E24=""),"",E25/E24-1)</f>
        <v/>
      </c>
      <c r="J25" s="17">
        <f>IF(OR(F25="",F24=""),"",F25/F24-1)</f>
        <v/>
      </c>
      <c r="K25" s="17">
        <f>IF(OR(G25="",G24=""),"",G25/G24-1)</f>
        <v/>
      </c>
      <c r="L25" s="17">
        <f>IF(OR(H25="",H24=""),"",H25/H24-1)</f>
        <v/>
      </c>
      <c r="M25" s="18">
        <f>IF(OR(E25="",E13=""),"",E25/E13-1)</f>
        <v/>
      </c>
      <c r="N25" s="18">
        <f>IF(OR(F25="",F13=""),"",F25/F13-1)</f>
        <v/>
      </c>
      <c r="O25" s="18">
        <f>IF(OR(G25="",G13=""),"",G25/G13-1)</f>
        <v/>
      </c>
      <c r="P25" s="18">
        <f>IF(OR(E25="",E22=""),"",(E25/E22)^4-1)</f>
        <v/>
      </c>
      <c r="Q25" s="18">
        <f>IF(OR(F25="",F22=""),"",(F25/F22)^4-1)</f>
        <v/>
      </c>
      <c r="R25" s="18">
        <f>IF(OR(E25="",E19=""),"",(E25/E19)^2-1)</f>
        <v/>
      </c>
      <c r="S25" s="18">
        <f>IF(E25="","",IFERROR(E25/INDEX($E:$E,MATCH(C25-1&amp;"-12",$B:$B,0))-1,""))</f>
        <v/>
      </c>
      <c r="T25" s="19">
        <f>IF(OR(K25="",J25=""),"",(K25-J25)*100)</f>
        <v/>
      </c>
      <c r="U25" s="20">
        <f>IF(OR(G25="",F25=""),"",(G25/INDEX($G:$G,MATCH("2023-12",$B:$B,0)))/(F25/INDEX($F:$F,MATCH("2023-12",$B:$B,0)))*100)</f>
        <v/>
      </c>
    </row>
    <row r="26">
      <c r="B26" s="13" t="inlineStr">
        <is>
          <t>2020-08</t>
        </is>
      </c>
      <c r="C26" s="14" t="n">
        <v>2020</v>
      </c>
      <c r="D26" s="14" t="n">
        <v>8</v>
      </c>
      <c r="E26" s="15" t="n">
        <v>337.0632</v>
      </c>
      <c r="F26" s="15" t="n">
        <v>338.6645</v>
      </c>
      <c r="G26" s="16" t="n"/>
      <c r="H26" s="16" t="n"/>
      <c r="I26" s="17">
        <f>IF(OR(E26="",E25=""),"",E26/E25-1)</f>
        <v/>
      </c>
      <c r="J26" s="17">
        <f>IF(OR(F26="",F25=""),"",F26/F25-1)</f>
        <v/>
      </c>
      <c r="K26" s="17">
        <f>IF(OR(G26="",G25=""),"",G26/G25-1)</f>
        <v/>
      </c>
      <c r="L26" s="17">
        <f>IF(OR(H26="",H25=""),"",H26/H25-1)</f>
        <v/>
      </c>
      <c r="M26" s="18">
        <f>IF(OR(E26="",E14=""),"",E26/E14-1)</f>
        <v/>
      </c>
      <c r="N26" s="18">
        <f>IF(OR(F26="",F14=""),"",F26/F14-1)</f>
        <v/>
      </c>
      <c r="O26" s="18">
        <f>IF(OR(G26="",G14=""),"",G26/G14-1)</f>
        <v/>
      </c>
      <c r="P26" s="18">
        <f>IF(OR(E26="",E23=""),"",(E26/E23)^4-1)</f>
        <v/>
      </c>
      <c r="Q26" s="18">
        <f>IF(OR(F26="",F23=""),"",(F26/F23)^4-1)</f>
        <v/>
      </c>
      <c r="R26" s="18">
        <f>IF(OR(E26="",E20=""),"",(E26/E20)^2-1)</f>
        <v/>
      </c>
      <c r="S26" s="18">
        <f>IF(E26="","",IFERROR(E26/INDEX($E:$E,MATCH(C26-1&amp;"-12",$B:$B,0))-1,""))</f>
        <v/>
      </c>
      <c r="T26" s="19">
        <f>IF(OR(K26="",J26=""),"",(K26-J26)*100)</f>
        <v/>
      </c>
      <c r="U26" s="20">
        <f>IF(OR(G26="",F26=""),"",(G26/INDEX($G:$G,MATCH("2023-12",$B:$B,0)))/(F26/INDEX($F:$F,MATCH("2023-12",$B:$B,0)))*100)</f>
        <v/>
      </c>
    </row>
    <row r="27">
      <c r="B27" s="13" t="inlineStr">
        <is>
          <t>2020-09</t>
        </is>
      </c>
      <c r="C27" s="14" t="n">
        <v>2020</v>
      </c>
      <c r="D27" s="14" t="n">
        <v>9</v>
      </c>
      <c r="E27" s="15" t="n">
        <v>346.6207</v>
      </c>
      <c r="F27" s="15" t="n">
        <v>346.511</v>
      </c>
      <c r="G27" s="16" t="n"/>
      <c r="H27" s="16" t="n"/>
      <c r="I27" s="17">
        <f>IF(OR(E27="",E26=""),"",E27/E26-1)</f>
        <v/>
      </c>
      <c r="J27" s="17">
        <f>IF(OR(F27="",F26=""),"",F27/F26-1)</f>
        <v/>
      </c>
      <c r="K27" s="17">
        <f>IF(OR(G27="",G26=""),"",G27/G26-1)</f>
        <v/>
      </c>
      <c r="L27" s="17">
        <f>IF(OR(H27="",H26=""),"",H27/H26-1)</f>
        <v/>
      </c>
      <c r="M27" s="18">
        <f>IF(OR(E27="",E15=""),"",E27/E15-1)</f>
        <v/>
      </c>
      <c r="N27" s="18">
        <f>IF(OR(F27="",F15=""),"",F27/F15-1)</f>
        <v/>
      </c>
      <c r="O27" s="18">
        <f>IF(OR(G27="",G15=""),"",G27/G15-1)</f>
        <v/>
      </c>
      <c r="P27" s="18">
        <f>IF(OR(E27="",E24=""),"",(E27/E24)^4-1)</f>
        <v/>
      </c>
      <c r="Q27" s="18">
        <f>IF(OR(F27="",F24=""),"",(F27/F24)^4-1)</f>
        <v/>
      </c>
      <c r="R27" s="18">
        <f>IF(OR(E27="",E21=""),"",(E27/E21)^2-1)</f>
        <v/>
      </c>
      <c r="S27" s="18">
        <f>IF(E27="","",IFERROR(E27/INDEX($E:$E,MATCH(C27-1&amp;"-12",$B:$B,0))-1,""))</f>
        <v/>
      </c>
      <c r="T27" s="19">
        <f>IF(OR(K27="",J27=""),"",(K27-J27)*100)</f>
        <v/>
      </c>
      <c r="U27" s="20">
        <f>IF(OR(G27="",F27=""),"",(G27/INDEX($G:$G,MATCH("2023-12",$B:$B,0)))/(F27/INDEX($F:$F,MATCH("2023-12",$B:$B,0)))*100)</f>
        <v/>
      </c>
    </row>
    <row r="28">
      <c r="B28" s="13" t="inlineStr">
        <is>
          <t>2020-10</t>
        </is>
      </c>
      <c r="C28" s="14" t="n">
        <v>2020</v>
      </c>
      <c r="D28" s="14" t="n">
        <v>10</v>
      </c>
      <c r="E28" s="15" t="n">
        <v>359.657</v>
      </c>
      <c r="F28" s="15" t="n">
        <v>358.4989</v>
      </c>
      <c r="G28" s="16" t="n"/>
      <c r="H28" s="16" t="n"/>
      <c r="I28" s="17">
        <f>IF(OR(E28="",E27=""),"",E28/E27-1)</f>
        <v/>
      </c>
      <c r="J28" s="17">
        <f>IF(OR(F28="",F27=""),"",F28/F27-1)</f>
        <v/>
      </c>
      <c r="K28" s="17">
        <f>IF(OR(G28="",G27=""),"",G28/G27-1)</f>
        <v/>
      </c>
      <c r="L28" s="17">
        <f>IF(OR(H28="",H27=""),"",H28/H27-1)</f>
        <v/>
      </c>
      <c r="M28" s="18">
        <f>IF(OR(E28="",E16=""),"",E28/E16-1)</f>
        <v/>
      </c>
      <c r="N28" s="18">
        <f>IF(OR(F28="",F16=""),"",F28/F16-1)</f>
        <v/>
      </c>
      <c r="O28" s="18">
        <f>IF(OR(G28="",G16=""),"",G28/G16-1)</f>
        <v/>
      </c>
      <c r="P28" s="18">
        <f>IF(OR(E28="",E25=""),"",(E28/E25)^4-1)</f>
        <v/>
      </c>
      <c r="Q28" s="18">
        <f>IF(OR(F28="",F25=""),"",(F28/F25)^4-1)</f>
        <v/>
      </c>
      <c r="R28" s="18">
        <f>IF(OR(E28="",E22=""),"",(E28/E22)^2-1)</f>
        <v/>
      </c>
      <c r="S28" s="18">
        <f>IF(E28="","",IFERROR(E28/INDEX($E:$E,MATCH(C28-1&amp;"-12",$B:$B,0))-1,""))</f>
        <v/>
      </c>
      <c r="T28" s="19">
        <f>IF(OR(K28="",J28=""),"",(K28-J28)*100)</f>
        <v/>
      </c>
      <c r="U28" s="20">
        <f>IF(OR(G28="",F28=""),"",(G28/INDEX($G:$G,MATCH("2023-12",$B:$B,0)))/(F28/INDEX($F:$F,MATCH("2023-12",$B:$B,0)))*100)</f>
        <v/>
      </c>
    </row>
    <row r="29">
      <c r="B29" s="13" t="inlineStr">
        <is>
          <t>2020-11</t>
        </is>
      </c>
      <c r="C29" s="14" t="n">
        <v>2020</v>
      </c>
      <c r="D29" s="14" t="n">
        <v>11</v>
      </c>
      <c r="E29" s="15" t="n">
        <v>371.0211</v>
      </c>
      <c r="F29" s="15" t="n">
        <v>372.6154</v>
      </c>
      <c r="G29" s="16" t="n"/>
      <c r="H29" s="16" t="n"/>
      <c r="I29" s="17">
        <f>IF(OR(E29="",E28=""),"",E29/E28-1)</f>
        <v/>
      </c>
      <c r="J29" s="17">
        <f>IF(OR(F29="",F28=""),"",F29/F28-1)</f>
        <v/>
      </c>
      <c r="K29" s="17">
        <f>IF(OR(G29="",G28=""),"",G29/G28-1)</f>
        <v/>
      </c>
      <c r="L29" s="17">
        <f>IF(OR(H29="",H28=""),"",H29/H28-1)</f>
        <v/>
      </c>
      <c r="M29" s="18">
        <f>IF(OR(E29="",E17=""),"",E29/E17-1)</f>
        <v/>
      </c>
      <c r="N29" s="18">
        <f>IF(OR(F29="",F17=""),"",F29/F17-1)</f>
        <v/>
      </c>
      <c r="O29" s="18">
        <f>IF(OR(G29="",G17=""),"",G29/G17-1)</f>
        <v/>
      </c>
      <c r="P29" s="18">
        <f>IF(OR(E29="",E26=""),"",(E29/E26)^4-1)</f>
        <v/>
      </c>
      <c r="Q29" s="18">
        <f>IF(OR(F29="",F26=""),"",(F29/F26)^4-1)</f>
        <v/>
      </c>
      <c r="R29" s="18">
        <f>IF(OR(E29="",E23=""),"",(E29/E23)^2-1)</f>
        <v/>
      </c>
      <c r="S29" s="18">
        <f>IF(E29="","",IFERROR(E29/INDEX($E:$E,MATCH(C29-1&amp;"-12",$B:$B,0))-1,""))</f>
        <v/>
      </c>
      <c r="T29" s="19">
        <f>IF(OR(K29="",J29=""),"",(K29-J29)*100)</f>
        <v/>
      </c>
      <c r="U29" s="20">
        <f>IF(OR(G29="",F29=""),"",(G29/INDEX($G:$G,MATCH("2023-12",$B:$B,0)))/(F29/INDEX($F:$F,MATCH("2023-12",$B:$B,0)))*100)</f>
        <v/>
      </c>
    </row>
    <row r="30">
      <c r="B30" s="13" t="inlineStr">
        <is>
          <t>2020-12</t>
        </is>
      </c>
      <c r="C30" s="14" t="n">
        <v>2020</v>
      </c>
      <c r="D30" s="14" t="n">
        <v>12</v>
      </c>
      <c r="E30" s="15" t="n">
        <v>385.8826</v>
      </c>
      <c r="F30" s="15" t="n">
        <v>390.7655</v>
      </c>
      <c r="G30" s="16" t="n"/>
      <c r="H30" s="16" t="n"/>
      <c r="I30" s="17">
        <f>IF(OR(E30="",E29=""),"",E30/E29-1)</f>
        <v/>
      </c>
      <c r="J30" s="17">
        <f>IF(OR(F30="",F29=""),"",F30/F29-1)</f>
        <v/>
      </c>
      <c r="K30" s="17">
        <f>IF(OR(G30="",G29=""),"",G30/G29-1)</f>
        <v/>
      </c>
      <c r="L30" s="17">
        <f>IF(OR(H30="",H29=""),"",H30/H29-1)</f>
        <v/>
      </c>
      <c r="M30" s="18">
        <f>IF(OR(E30="",E18=""),"",E30/E18-1)</f>
        <v/>
      </c>
      <c r="N30" s="18">
        <f>IF(OR(F30="",F18=""),"",F30/F18-1)</f>
        <v/>
      </c>
      <c r="O30" s="18">
        <f>IF(OR(G30="",G18=""),"",G30/G18-1)</f>
        <v/>
      </c>
      <c r="P30" s="18">
        <f>IF(OR(E30="",E27=""),"",(E30/E27)^4-1)</f>
        <v/>
      </c>
      <c r="Q30" s="18">
        <f>IF(OR(F30="",F27=""),"",(F30/F27)^4-1)</f>
        <v/>
      </c>
      <c r="R30" s="18">
        <f>IF(OR(E30="",E24=""),"",(E30/E24)^2-1)</f>
        <v/>
      </c>
      <c r="S30" s="18">
        <f>IF(E30="","",IFERROR(E30/INDEX($E:$E,MATCH(C30-1&amp;"-12",$B:$B,0))-1,""))</f>
        <v/>
      </c>
      <c r="T30" s="19">
        <f>IF(OR(K30="",J30=""),"",(K30-J30)*100)</f>
        <v/>
      </c>
      <c r="U30" s="20">
        <f>IF(OR(G30="",F30=""),"",(G30/INDEX($G:$G,MATCH("2023-12",$B:$B,0)))/(F30/INDEX($F:$F,MATCH("2023-12",$B:$B,0)))*100)</f>
        <v/>
      </c>
    </row>
    <row r="31">
      <c r="B31" s="13" t="inlineStr">
        <is>
          <t>2021-01</t>
        </is>
      </c>
      <c r="C31" s="14" t="n">
        <v>2021</v>
      </c>
      <c r="D31" s="14" t="n">
        <v>1</v>
      </c>
      <c r="E31" s="15" t="n">
        <v>401.5071</v>
      </c>
      <c r="F31" s="15" t="n">
        <v>406.0674</v>
      </c>
      <c r="G31" s="16" t="n"/>
      <c r="H31" s="16" t="n"/>
      <c r="I31" s="17">
        <f>IF(OR(E31="",E30=""),"",E31/E30-1)</f>
        <v/>
      </c>
      <c r="J31" s="17">
        <f>IF(OR(F31="",F30=""),"",F31/F30-1)</f>
        <v/>
      </c>
      <c r="K31" s="17">
        <f>IF(OR(G31="",G30=""),"",G31/G30-1)</f>
        <v/>
      </c>
      <c r="L31" s="17">
        <f>IF(OR(H31="",H30=""),"",H31/H30-1)</f>
        <v/>
      </c>
      <c r="M31" s="18">
        <f>IF(OR(E31="",E19=""),"",E31/E19-1)</f>
        <v/>
      </c>
      <c r="N31" s="18">
        <f>IF(OR(F31="",F19=""),"",F31/F19-1)</f>
        <v/>
      </c>
      <c r="O31" s="18">
        <f>IF(OR(G31="",G19=""),"",G31/G19-1)</f>
        <v/>
      </c>
      <c r="P31" s="18">
        <f>IF(OR(E31="",E28=""),"",(E31/E28)^4-1)</f>
        <v/>
      </c>
      <c r="Q31" s="18">
        <f>IF(OR(F31="",F28=""),"",(F31/F28)^4-1)</f>
        <v/>
      </c>
      <c r="R31" s="18">
        <f>IF(OR(E31="",E25=""),"",(E31/E25)^2-1)</f>
        <v/>
      </c>
      <c r="S31" s="18">
        <f>IF(E31="","",IFERROR(E31/INDEX($E:$E,MATCH(C31-1&amp;"-12",$B:$B,0))-1,""))</f>
        <v/>
      </c>
      <c r="T31" s="19">
        <f>IF(OR(K31="",J31=""),"",(K31-J31)*100)</f>
        <v/>
      </c>
      <c r="U31" s="20">
        <f>IF(OR(G31="",F31=""),"",(G31/INDEX($G:$G,MATCH("2023-12",$B:$B,0)))/(F31/INDEX($F:$F,MATCH("2023-12",$B:$B,0)))*100)</f>
        <v/>
      </c>
    </row>
    <row r="32">
      <c r="B32" s="13" t="inlineStr">
        <is>
          <t>2021-02</t>
        </is>
      </c>
      <c r="C32" s="14" t="n">
        <v>2021</v>
      </c>
      <c r="D32" s="14" t="n">
        <v>2</v>
      </c>
      <c r="E32" s="15" t="n">
        <v>415.8595</v>
      </c>
      <c r="F32" s="15" t="n">
        <v>422.5932</v>
      </c>
      <c r="G32" s="16" t="n"/>
      <c r="H32" s="16" t="n"/>
      <c r="I32" s="17">
        <f>IF(OR(E32="",E31=""),"",E32/E31-1)</f>
        <v/>
      </c>
      <c r="J32" s="17">
        <f>IF(OR(F32="",F31=""),"",F32/F31-1)</f>
        <v/>
      </c>
      <c r="K32" s="17">
        <f>IF(OR(G32="",G31=""),"",G32/G31-1)</f>
        <v/>
      </c>
      <c r="L32" s="17">
        <f>IF(OR(H32="",H31=""),"",H32/H31-1)</f>
        <v/>
      </c>
      <c r="M32" s="18">
        <f>IF(OR(E32="",E20=""),"",E32/E20-1)</f>
        <v/>
      </c>
      <c r="N32" s="18">
        <f>IF(OR(F32="",F20=""),"",F32/F20-1)</f>
        <v/>
      </c>
      <c r="O32" s="18">
        <f>IF(OR(G32="",G20=""),"",G32/G20-1)</f>
        <v/>
      </c>
      <c r="P32" s="18">
        <f>IF(OR(E32="",E29=""),"",(E32/E29)^4-1)</f>
        <v/>
      </c>
      <c r="Q32" s="18">
        <f>IF(OR(F32="",F29=""),"",(F32/F29)^4-1)</f>
        <v/>
      </c>
      <c r="R32" s="18">
        <f>IF(OR(E32="",E26=""),"",(E32/E26)^2-1)</f>
        <v/>
      </c>
      <c r="S32" s="18">
        <f>IF(E32="","",IFERROR(E32/INDEX($E:$E,MATCH(C32-1&amp;"-12",$B:$B,0))-1,""))</f>
        <v/>
      </c>
      <c r="T32" s="19">
        <f>IF(OR(K32="",J32=""),"",(K32-J32)*100)</f>
        <v/>
      </c>
      <c r="U32" s="20">
        <f>IF(OR(G32="",F32=""),"",(G32/INDEX($G:$G,MATCH("2023-12",$B:$B,0)))/(F32/INDEX($F:$F,MATCH("2023-12",$B:$B,0)))*100)</f>
        <v/>
      </c>
    </row>
    <row r="33">
      <c r="B33" s="13" t="inlineStr">
        <is>
          <t>2021-03</t>
        </is>
      </c>
      <c r="C33" s="14" t="n">
        <v>2021</v>
      </c>
      <c r="D33" s="14" t="n">
        <v>3</v>
      </c>
      <c r="E33" s="15" t="n">
        <v>435.8657</v>
      </c>
      <c r="F33" s="15" t="n">
        <v>441.72</v>
      </c>
      <c r="G33" s="16" t="n"/>
      <c r="H33" s="16" t="n"/>
      <c r="I33" s="17">
        <f>IF(OR(E33="",E32=""),"",E33/E32-1)</f>
        <v/>
      </c>
      <c r="J33" s="17">
        <f>IF(OR(F33="",F32=""),"",F33/F32-1)</f>
        <v/>
      </c>
      <c r="K33" s="17">
        <f>IF(OR(G33="",G32=""),"",G33/G32-1)</f>
        <v/>
      </c>
      <c r="L33" s="17">
        <f>IF(OR(H33="",H32=""),"",H33/H32-1)</f>
        <v/>
      </c>
      <c r="M33" s="18">
        <f>IF(OR(E33="",E21=""),"",E33/E21-1)</f>
        <v/>
      </c>
      <c r="N33" s="18">
        <f>IF(OR(F33="",F21=""),"",F33/F21-1)</f>
        <v/>
      </c>
      <c r="O33" s="18">
        <f>IF(OR(G33="",G21=""),"",G33/G21-1)</f>
        <v/>
      </c>
      <c r="P33" s="18">
        <f>IF(OR(E33="",E30=""),"",(E33/E30)^4-1)</f>
        <v/>
      </c>
      <c r="Q33" s="18">
        <f>IF(OR(F33="",F30=""),"",(F33/F30)^4-1)</f>
        <v/>
      </c>
      <c r="R33" s="18">
        <f>IF(OR(E33="",E27=""),"",(E33/E27)^2-1)</f>
        <v/>
      </c>
      <c r="S33" s="18">
        <f>IF(E33="","",IFERROR(E33/INDEX($E:$E,MATCH(C33-1&amp;"-12",$B:$B,0))-1,""))</f>
        <v/>
      </c>
      <c r="T33" s="19">
        <f>IF(OR(K33="",J33=""),"",(K33-J33)*100)</f>
        <v/>
      </c>
      <c r="U33" s="20">
        <f>IF(OR(G33="",F33=""),"",(G33/INDEX($G:$G,MATCH("2023-12",$B:$B,0)))/(F33/INDEX($F:$F,MATCH("2023-12",$B:$B,0)))*100)</f>
        <v/>
      </c>
    </row>
    <row r="34">
      <c r="B34" s="13" t="inlineStr">
        <is>
          <t>2021-04</t>
        </is>
      </c>
      <c r="C34" s="14" t="n">
        <v>2021</v>
      </c>
      <c r="D34" s="14" t="n">
        <v>4</v>
      </c>
      <c r="E34" s="15" t="n">
        <v>453.6503</v>
      </c>
      <c r="F34" s="15" t="n">
        <v>461.8578</v>
      </c>
      <c r="G34" s="16" t="n"/>
      <c r="H34" s="16" t="n"/>
      <c r="I34" s="17">
        <f>IF(OR(E34="",E33=""),"",E34/E33-1)</f>
        <v/>
      </c>
      <c r="J34" s="17">
        <f>IF(OR(F34="",F33=""),"",F34/F33-1)</f>
        <v/>
      </c>
      <c r="K34" s="17">
        <f>IF(OR(G34="",G33=""),"",G34/G33-1)</f>
        <v/>
      </c>
      <c r="L34" s="17">
        <f>IF(OR(H34="",H33=""),"",H34/H33-1)</f>
        <v/>
      </c>
      <c r="M34" s="18">
        <f>IF(OR(E34="",E22=""),"",E34/E22-1)</f>
        <v/>
      </c>
      <c r="N34" s="18">
        <f>IF(OR(F34="",F22=""),"",F34/F22-1)</f>
        <v/>
      </c>
      <c r="O34" s="18">
        <f>IF(OR(G34="",G22=""),"",G34/G22-1)</f>
        <v/>
      </c>
      <c r="P34" s="18">
        <f>IF(OR(E34="",E31=""),"",(E34/E31)^4-1)</f>
        <v/>
      </c>
      <c r="Q34" s="18">
        <f>IF(OR(F34="",F31=""),"",(F34/F31)^4-1)</f>
        <v/>
      </c>
      <c r="R34" s="18">
        <f>IF(OR(E34="",E28=""),"",(E34/E28)^2-1)</f>
        <v/>
      </c>
      <c r="S34" s="18">
        <f>IF(E34="","",IFERROR(E34/INDEX($E:$E,MATCH(C34-1&amp;"-12",$B:$B,0))-1,""))</f>
        <v/>
      </c>
      <c r="T34" s="19">
        <f>IF(OR(K34="",J34=""),"",(K34-J34)*100)</f>
        <v/>
      </c>
      <c r="U34" s="20">
        <f>IF(OR(G34="",F34=""),"",(G34/INDEX($G:$G,MATCH("2023-12",$B:$B,0)))/(F34/INDEX($F:$F,MATCH("2023-12",$B:$B,0)))*100)</f>
        <v/>
      </c>
    </row>
    <row r="35">
      <c r="B35" s="13" t="inlineStr">
        <is>
          <t>2021-05</t>
        </is>
      </c>
      <c r="C35" s="14" t="n">
        <v>2021</v>
      </c>
      <c r="D35" s="14" t="n">
        <v>5</v>
      </c>
      <c r="E35" s="15" t="n">
        <v>468.725</v>
      </c>
      <c r="F35" s="15" t="n">
        <v>477.9293</v>
      </c>
      <c r="G35" s="16" t="n"/>
      <c r="H35" s="16" t="n"/>
      <c r="I35" s="17">
        <f>IF(OR(E35="",E34=""),"",E35/E34-1)</f>
        <v/>
      </c>
      <c r="J35" s="17">
        <f>IF(OR(F35="",F34=""),"",F35/F34-1)</f>
        <v/>
      </c>
      <c r="K35" s="17">
        <f>IF(OR(G35="",G34=""),"",G35/G34-1)</f>
        <v/>
      </c>
      <c r="L35" s="17">
        <f>IF(OR(H35="",H34=""),"",H35/H34-1)</f>
        <v/>
      </c>
      <c r="M35" s="18">
        <f>IF(OR(E35="",E23=""),"",E35/E23-1)</f>
        <v/>
      </c>
      <c r="N35" s="18">
        <f>IF(OR(F35="",F23=""),"",F35/F23-1)</f>
        <v/>
      </c>
      <c r="O35" s="18">
        <f>IF(OR(G35="",G23=""),"",G35/G23-1)</f>
        <v/>
      </c>
      <c r="P35" s="18">
        <f>IF(OR(E35="",E32=""),"",(E35/E32)^4-1)</f>
        <v/>
      </c>
      <c r="Q35" s="18">
        <f>IF(OR(F35="",F32=""),"",(F35/F32)^4-1)</f>
        <v/>
      </c>
      <c r="R35" s="18">
        <f>IF(OR(E35="",E29=""),"",(E35/E29)^2-1)</f>
        <v/>
      </c>
      <c r="S35" s="18">
        <f>IF(E35="","",IFERROR(E35/INDEX($E:$E,MATCH(C35-1&amp;"-12",$B:$B,0))-1,""))</f>
        <v/>
      </c>
      <c r="T35" s="19">
        <f>IF(OR(K35="",J35=""),"",(K35-J35)*100)</f>
        <v/>
      </c>
      <c r="U35" s="20">
        <f>IF(OR(G35="",F35=""),"",(G35/INDEX($G:$G,MATCH("2023-12",$B:$B,0)))/(F35/INDEX($F:$F,MATCH("2023-12",$B:$B,0)))*100)</f>
        <v/>
      </c>
    </row>
    <row r="36">
      <c r="B36" s="13" t="inlineStr">
        <is>
          <t>2021-06</t>
        </is>
      </c>
      <c r="C36" s="14" t="n">
        <v>2021</v>
      </c>
      <c r="D36" s="14" t="n">
        <v>6</v>
      </c>
      <c r="E36" s="15" t="n">
        <v>483.6049</v>
      </c>
      <c r="F36" s="15" t="n">
        <v>495.1809</v>
      </c>
      <c r="G36" s="16" t="n"/>
      <c r="H36" s="16" t="n"/>
      <c r="I36" s="17">
        <f>IF(OR(E36="",E35=""),"",E36/E35-1)</f>
        <v/>
      </c>
      <c r="J36" s="17">
        <f>IF(OR(F36="",F35=""),"",F36/F35-1)</f>
        <v/>
      </c>
      <c r="K36" s="17">
        <f>IF(OR(G36="",G35=""),"",G36/G35-1)</f>
        <v/>
      </c>
      <c r="L36" s="17">
        <f>IF(OR(H36="",H35=""),"",H36/H35-1)</f>
        <v/>
      </c>
      <c r="M36" s="18">
        <f>IF(OR(E36="",E24=""),"",E36/E24-1)</f>
        <v/>
      </c>
      <c r="N36" s="18">
        <f>IF(OR(F36="",F24=""),"",F36/F24-1)</f>
        <v/>
      </c>
      <c r="O36" s="18">
        <f>IF(OR(G36="",G24=""),"",G36/G24-1)</f>
        <v/>
      </c>
      <c r="P36" s="18">
        <f>IF(OR(E36="",E33=""),"",(E36/E33)^4-1)</f>
        <v/>
      </c>
      <c r="Q36" s="18">
        <f>IF(OR(F36="",F33=""),"",(F36/F33)^4-1)</f>
        <v/>
      </c>
      <c r="R36" s="18">
        <f>IF(OR(E36="",E30=""),"",(E36/E30)^2-1)</f>
        <v/>
      </c>
      <c r="S36" s="18">
        <f>IF(E36="","",IFERROR(E36/INDEX($E:$E,MATCH(C36-1&amp;"-12",$B:$B,0))-1,""))</f>
        <v/>
      </c>
      <c r="T36" s="19">
        <f>IF(OR(K36="",J36=""),"",(K36-J36)*100)</f>
        <v/>
      </c>
      <c r="U36" s="20">
        <f>IF(OR(G36="",F36=""),"",(G36/INDEX($G:$G,MATCH("2023-12",$B:$B,0)))/(F36/INDEX($F:$F,MATCH("2023-12",$B:$B,0)))*100)</f>
        <v/>
      </c>
    </row>
    <row r="37">
      <c r="B37" s="13" t="inlineStr">
        <is>
          <t>2021-07</t>
        </is>
      </c>
      <c r="C37" s="14" t="n">
        <v>2021</v>
      </c>
      <c r="D37" s="14" t="n">
        <v>7</v>
      </c>
      <c r="E37" s="15" t="n">
        <v>498.0987</v>
      </c>
      <c r="F37" s="15" t="n">
        <v>510.6974</v>
      </c>
      <c r="G37" s="16" t="n"/>
      <c r="H37" s="16" t="n"/>
      <c r="I37" s="17">
        <f>IF(OR(E37="",E36=""),"",E37/E36-1)</f>
        <v/>
      </c>
      <c r="J37" s="17">
        <f>IF(OR(F37="",F36=""),"",F37/F36-1)</f>
        <v/>
      </c>
      <c r="K37" s="17">
        <f>IF(OR(G37="",G36=""),"",G37/G36-1)</f>
        <v/>
      </c>
      <c r="L37" s="17">
        <f>IF(OR(H37="",H36=""),"",H37/H36-1)</f>
        <v/>
      </c>
      <c r="M37" s="18">
        <f>IF(OR(E37="",E25=""),"",E37/E25-1)</f>
        <v/>
      </c>
      <c r="N37" s="18">
        <f>IF(OR(F37="",F25=""),"",F37/F25-1)</f>
        <v/>
      </c>
      <c r="O37" s="18">
        <f>IF(OR(G37="",G25=""),"",G37/G25-1)</f>
        <v/>
      </c>
      <c r="P37" s="18">
        <f>IF(OR(E37="",E34=""),"",(E37/E34)^4-1)</f>
        <v/>
      </c>
      <c r="Q37" s="18">
        <f>IF(OR(F37="",F34=""),"",(F37/F34)^4-1)</f>
        <v/>
      </c>
      <c r="R37" s="18">
        <f>IF(OR(E37="",E31=""),"",(E37/E31)^2-1)</f>
        <v/>
      </c>
      <c r="S37" s="18">
        <f>IF(E37="","",IFERROR(E37/INDEX($E:$E,MATCH(C37-1&amp;"-12",$B:$B,0))-1,""))</f>
        <v/>
      </c>
      <c r="T37" s="19">
        <f>IF(OR(K37="",J37=""),"",(K37-J37)*100)</f>
        <v/>
      </c>
      <c r="U37" s="20">
        <f>IF(OR(G37="",F37=""),"",(G37/INDEX($G:$G,MATCH("2023-12",$B:$B,0)))/(F37/INDEX($F:$F,MATCH("2023-12",$B:$B,0)))*100)</f>
        <v/>
      </c>
    </row>
    <row r="38">
      <c r="B38" s="13" t="inlineStr">
        <is>
          <t>2021-08</t>
        </is>
      </c>
      <c r="C38" s="14" t="n">
        <v>2021</v>
      </c>
      <c r="D38" s="14" t="n">
        <v>8</v>
      </c>
      <c r="E38" s="15" t="n">
        <v>510.3942</v>
      </c>
      <c r="F38" s="15" t="n">
        <v>526.6934</v>
      </c>
      <c r="G38" s="16" t="n"/>
      <c r="H38" s="16" t="n"/>
      <c r="I38" s="17">
        <f>IF(OR(E38="",E37=""),"",E38/E37-1)</f>
        <v/>
      </c>
      <c r="J38" s="17">
        <f>IF(OR(F38="",F37=""),"",F38/F37-1)</f>
        <v/>
      </c>
      <c r="K38" s="17">
        <f>IF(OR(G38="",G37=""),"",G38/G37-1)</f>
        <v/>
      </c>
      <c r="L38" s="17">
        <f>IF(OR(H38="",H37=""),"",H38/H37-1)</f>
        <v/>
      </c>
      <c r="M38" s="18">
        <f>IF(OR(E38="",E26=""),"",E38/E26-1)</f>
        <v/>
      </c>
      <c r="N38" s="18">
        <f>IF(OR(F38="",F26=""),"",F38/F26-1)</f>
        <v/>
      </c>
      <c r="O38" s="18">
        <f>IF(OR(G38="",G26=""),"",G38/G26-1)</f>
        <v/>
      </c>
      <c r="P38" s="18">
        <f>IF(OR(E38="",E35=""),"",(E38/E35)^4-1)</f>
        <v/>
      </c>
      <c r="Q38" s="18">
        <f>IF(OR(F38="",F35=""),"",(F38/F35)^4-1)</f>
        <v/>
      </c>
      <c r="R38" s="18">
        <f>IF(OR(E38="",E32=""),"",(E38/E32)^2-1)</f>
        <v/>
      </c>
      <c r="S38" s="18">
        <f>IF(E38="","",IFERROR(E38/INDEX($E:$E,MATCH(C38-1&amp;"-12",$B:$B,0))-1,""))</f>
        <v/>
      </c>
      <c r="T38" s="19">
        <f>IF(OR(K38="",J38=""),"",(K38-J38)*100)</f>
        <v/>
      </c>
      <c r="U38" s="20">
        <f>IF(OR(G38="",F38=""),"",(G38/INDEX($G:$G,MATCH("2023-12",$B:$B,0)))/(F38/INDEX($F:$F,MATCH("2023-12",$B:$B,0)))*100)</f>
        <v/>
      </c>
    </row>
    <row r="39">
      <c r="B39" s="13" t="inlineStr">
        <is>
          <t>2021-09</t>
        </is>
      </c>
      <c r="C39" s="14" t="n">
        <v>2021</v>
      </c>
      <c r="D39" s="14" t="n">
        <v>9</v>
      </c>
      <c r="E39" s="15" t="n">
        <v>528.4968</v>
      </c>
      <c r="F39" s="15" t="n">
        <v>543.8748000000001</v>
      </c>
      <c r="G39" s="16" t="n"/>
      <c r="H39" s="16" t="n"/>
      <c r="I39" s="17">
        <f>IF(OR(E39="",E38=""),"",E39/E38-1)</f>
        <v/>
      </c>
      <c r="J39" s="17">
        <f>IF(OR(F39="",F38=""),"",F39/F38-1)</f>
        <v/>
      </c>
      <c r="K39" s="17">
        <f>IF(OR(G39="",G38=""),"",G39/G38-1)</f>
        <v/>
      </c>
      <c r="L39" s="17">
        <f>IF(OR(H39="",H38=""),"",H39/H38-1)</f>
        <v/>
      </c>
      <c r="M39" s="18">
        <f>IF(OR(E39="",E27=""),"",E39/E27-1)</f>
        <v/>
      </c>
      <c r="N39" s="18">
        <f>IF(OR(F39="",F27=""),"",F39/F27-1)</f>
        <v/>
      </c>
      <c r="O39" s="18">
        <f>IF(OR(G39="",G27=""),"",G39/G27-1)</f>
        <v/>
      </c>
      <c r="P39" s="18">
        <f>IF(OR(E39="",E36=""),"",(E39/E36)^4-1)</f>
        <v/>
      </c>
      <c r="Q39" s="18">
        <f>IF(OR(F39="",F36=""),"",(F39/F36)^4-1)</f>
        <v/>
      </c>
      <c r="R39" s="18">
        <f>IF(OR(E39="",E33=""),"",(E39/E33)^2-1)</f>
        <v/>
      </c>
      <c r="S39" s="18">
        <f>IF(E39="","",IFERROR(E39/INDEX($E:$E,MATCH(C39-1&amp;"-12",$B:$B,0))-1,""))</f>
        <v/>
      </c>
      <c r="T39" s="19">
        <f>IF(OR(K39="",J39=""),"",(K39-J39)*100)</f>
        <v/>
      </c>
      <c r="U39" s="20">
        <f>IF(OR(G39="",F39=""),"",(G39/INDEX($G:$G,MATCH("2023-12",$B:$B,0)))/(F39/INDEX($F:$F,MATCH("2023-12",$B:$B,0)))*100)</f>
        <v/>
      </c>
    </row>
    <row r="40">
      <c r="B40" s="13" t="inlineStr">
        <is>
          <t>2021-10</t>
        </is>
      </c>
      <c r="C40" s="14" t="n">
        <v>2021</v>
      </c>
      <c r="D40" s="14" t="n">
        <v>10</v>
      </c>
      <c r="E40" s="15" t="n">
        <v>547.0802</v>
      </c>
      <c r="F40" s="15" t="n">
        <v>561.2843</v>
      </c>
      <c r="G40" s="16" t="n"/>
      <c r="H40" s="16" t="n"/>
      <c r="I40" s="17">
        <f>IF(OR(E40="",E39=""),"",E40/E39-1)</f>
        <v/>
      </c>
      <c r="J40" s="17">
        <f>IF(OR(F40="",F39=""),"",F40/F39-1)</f>
        <v/>
      </c>
      <c r="K40" s="17">
        <f>IF(OR(G40="",G39=""),"",G40/G39-1)</f>
        <v/>
      </c>
      <c r="L40" s="17">
        <f>IF(OR(H40="",H39=""),"",H40/H39-1)</f>
        <v/>
      </c>
      <c r="M40" s="18">
        <f>IF(OR(E40="",E28=""),"",E40/E28-1)</f>
        <v/>
      </c>
      <c r="N40" s="18">
        <f>IF(OR(F40="",F28=""),"",F40/F28-1)</f>
        <v/>
      </c>
      <c r="O40" s="18">
        <f>IF(OR(G40="",G28=""),"",G40/G28-1)</f>
        <v/>
      </c>
      <c r="P40" s="18">
        <f>IF(OR(E40="",E37=""),"",(E40/E37)^4-1)</f>
        <v/>
      </c>
      <c r="Q40" s="18">
        <f>IF(OR(F40="",F37=""),"",(F40/F37)^4-1)</f>
        <v/>
      </c>
      <c r="R40" s="18">
        <f>IF(OR(E40="",E34=""),"",(E40/E34)^2-1)</f>
        <v/>
      </c>
      <c r="S40" s="18">
        <f>IF(E40="","",IFERROR(E40/INDEX($E:$E,MATCH(C40-1&amp;"-12",$B:$B,0))-1,""))</f>
        <v/>
      </c>
      <c r="T40" s="19">
        <f>IF(OR(K40="",J40=""),"",(K40-J40)*100)</f>
        <v/>
      </c>
      <c r="U40" s="20">
        <f>IF(OR(G40="",F40=""),"",(G40/INDEX($G:$G,MATCH("2023-12",$B:$B,0)))/(F40/INDEX($F:$F,MATCH("2023-12",$B:$B,0)))*100)</f>
        <v/>
      </c>
    </row>
    <row r="41">
      <c r="B41" s="13" t="inlineStr">
        <is>
          <t>2021-11</t>
        </is>
      </c>
      <c r="C41" s="14" t="n">
        <v>2021</v>
      </c>
      <c r="D41" s="14" t="n">
        <v>11</v>
      </c>
      <c r="E41" s="15" t="n">
        <v>560.9184</v>
      </c>
      <c r="F41" s="15" t="n">
        <v>579.5414</v>
      </c>
      <c r="G41" s="16" t="n"/>
      <c r="H41" s="16" t="n"/>
      <c r="I41" s="17">
        <f>IF(OR(E41="",E40=""),"",E41/E40-1)</f>
        <v/>
      </c>
      <c r="J41" s="17">
        <f>IF(OR(F41="",F40=""),"",F41/F40-1)</f>
        <v/>
      </c>
      <c r="K41" s="17">
        <f>IF(OR(G41="",G40=""),"",G41/G40-1)</f>
        <v/>
      </c>
      <c r="L41" s="17">
        <f>IF(OR(H41="",H40=""),"",H41/H40-1)</f>
        <v/>
      </c>
      <c r="M41" s="18">
        <f>IF(OR(E41="",E29=""),"",E41/E29-1)</f>
        <v/>
      </c>
      <c r="N41" s="18">
        <f>IF(OR(F41="",F29=""),"",F41/F29-1)</f>
        <v/>
      </c>
      <c r="O41" s="18">
        <f>IF(OR(G41="",G29=""),"",G41/G29-1)</f>
        <v/>
      </c>
      <c r="P41" s="18">
        <f>IF(OR(E41="",E38=""),"",(E41/E38)^4-1)</f>
        <v/>
      </c>
      <c r="Q41" s="18">
        <f>IF(OR(F41="",F38=""),"",(F41/F38)^4-1)</f>
        <v/>
      </c>
      <c r="R41" s="18">
        <f>IF(OR(E41="",E35=""),"",(E41/E35)^2-1)</f>
        <v/>
      </c>
      <c r="S41" s="18">
        <f>IF(E41="","",IFERROR(E41/INDEX($E:$E,MATCH(C41-1&amp;"-12",$B:$B,0))-1,""))</f>
        <v/>
      </c>
      <c r="T41" s="19">
        <f>IF(OR(K41="",J41=""),"",(K41-J41)*100)</f>
        <v/>
      </c>
      <c r="U41" s="20">
        <f>IF(OR(G41="",F41=""),"",(G41/INDEX($G:$G,MATCH("2023-12",$B:$B,0)))/(F41/INDEX($F:$F,MATCH("2023-12",$B:$B,0)))*100)</f>
        <v/>
      </c>
    </row>
    <row r="42">
      <c r="B42" s="13" t="inlineStr">
        <is>
          <t>2021-12</t>
        </is>
      </c>
      <c r="C42" s="14" t="n">
        <v>2021</v>
      </c>
      <c r="D42" s="14" t="n">
        <v>12</v>
      </c>
      <c r="E42" s="15" t="n">
        <v>582.4575</v>
      </c>
      <c r="F42" s="15" t="n">
        <v>605.1759</v>
      </c>
      <c r="G42" s="16" t="n"/>
      <c r="H42" s="16" t="n"/>
      <c r="I42" s="17">
        <f>IF(OR(E42="",E41=""),"",E42/E41-1)</f>
        <v/>
      </c>
      <c r="J42" s="17">
        <f>IF(OR(F42="",F41=""),"",F42/F41-1)</f>
        <v/>
      </c>
      <c r="K42" s="17">
        <f>IF(OR(G42="",G41=""),"",G42/G41-1)</f>
        <v/>
      </c>
      <c r="L42" s="17">
        <f>IF(OR(H42="",H41=""),"",H42/H41-1)</f>
        <v/>
      </c>
      <c r="M42" s="18">
        <f>IF(OR(E42="",E30=""),"",E42/E30-1)</f>
        <v/>
      </c>
      <c r="N42" s="18">
        <f>IF(OR(F42="",F30=""),"",F42/F30-1)</f>
        <v/>
      </c>
      <c r="O42" s="18">
        <f>IF(OR(G42="",G30=""),"",G42/G30-1)</f>
        <v/>
      </c>
      <c r="P42" s="18">
        <f>IF(OR(E42="",E39=""),"",(E42/E39)^4-1)</f>
        <v/>
      </c>
      <c r="Q42" s="18">
        <f>IF(OR(F42="",F39=""),"",(F42/F39)^4-1)</f>
        <v/>
      </c>
      <c r="R42" s="18">
        <f>IF(OR(E42="",E36=""),"",(E42/E36)^2-1)</f>
        <v/>
      </c>
      <c r="S42" s="18">
        <f>IF(E42="","",IFERROR(E42/INDEX($E:$E,MATCH(C42-1&amp;"-12",$B:$B,0))-1,""))</f>
        <v/>
      </c>
      <c r="T42" s="19">
        <f>IF(OR(K42="",J42=""),"",(K42-J42)*100)</f>
        <v/>
      </c>
      <c r="U42" s="20">
        <f>IF(OR(G42="",F42=""),"",(G42/INDEX($G:$G,MATCH("2023-12",$B:$B,0)))/(F42/INDEX($F:$F,MATCH("2023-12",$B:$B,0)))*100)</f>
        <v/>
      </c>
    </row>
    <row r="43">
      <c r="B43" s="13" t="inlineStr">
        <is>
          <t>2022-01</t>
        </is>
      </c>
      <c r="C43" s="14" t="n">
        <v>2022</v>
      </c>
      <c r="D43" s="14" t="n">
        <v>1</v>
      </c>
      <c r="E43" s="15" t="n">
        <v>605.0317</v>
      </c>
      <c r="F43" s="15" t="n">
        <v>625.1594</v>
      </c>
      <c r="G43" s="15" t="n">
        <v>512.3766000000001</v>
      </c>
      <c r="H43" s="15" t="n">
        <v>658.2542999999999</v>
      </c>
      <c r="I43" s="17">
        <f>IF(OR(E43="",E42=""),"",E43/E42-1)</f>
        <v/>
      </c>
      <c r="J43" s="17">
        <f>IF(OR(F43="",F42=""),"",F43/F42-1)</f>
        <v/>
      </c>
      <c r="K43" s="17">
        <f>IF(OR(G43="",G42=""),"",G43/G42-1)</f>
        <v/>
      </c>
      <c r="L43" s="17">
        <f>IF(OR(H43="",H42=""),"",H43/H42-1)</f>
        <v/>
      </c>
      <c r="M43" s="18">
        <f>IF(OR(E43="",E31=""),"",E43/E31-1)</f>
        <v/>
      </c>
      <c r="N43" s="18">
        <f>IF(OR(F43="",F31=""),"",F43/F31-1)</f>
        <v/>
      </c>
      <c r="O43" s="18">
        <f>IF(OR(G43="",G31=""),"",G43/G31-1)</f>
        <v/>
      </c>
      <c r="P43" s="18">
        <f>IF(OR(E43="",E40=""),"",(E43/E40)^4-1)</f>
        <v/>
      </c>
      <c r="Q43" s="18">
        <f>IF(OR(F43="",F40=""),"",(F43/F40)^4-1)</f>
        <v/>
      </c>
      <c r="R43" s="18">
        <f>IF(OR(E43="",E37=""),"",(E43/E37)^2-1)</f>
        <v/>
      </c>
      <c r="S43" s="18">
        <f>IF(E43="","",IFERROR(E43/INDEX($E:$E,MATCH(C43-1&amp;"-12",$B:$B,0))-1,""))</f>
        <v/>
      </c>
      <c r="T43" s="19">
        <f>IF(OR(K43="",J43=""),"",(K43-J43)*100)</f>
        <v/>
      </c>
      <c r="U43" s="20">
        <f>IF(OR(G43="",F43=""),"",(G43/INDEX($G:$G,MATCH("2023-12",$B:$B,0)))/(F43/INDEX($F:$F,MATCH("2023-12",$B:$B,0)))*100)</f>
        <v/>
      </c>
    </row>
    <row r="44">
      <c r="B44" s="13" t="inlineStr">
        <is>
          <t>2022-02</t>
        </is>
      </c>
      <c r="C44" s="14" t="n">
        <v>2022</v>
      </c>
      <c r="D44" s="14" t="n">
        <v>2</v>
      </c>
      <c r="E44" s="15" t="n">
        <v>633.4340999999999</v>
      </c>
      <c r="F44" s="15" t="n">
        <v>652.9838</v>
      </c>
      <c r="G44" s="15" t="n">
        <v>528.2683</v>
      </c>
      <c r="H44" s="15" t="n">
        <v>713.7012999999999</v>
      </c>
      <c r="I44" s="17">
        <f>IF(OR(E44="",E43=""),"",E44/E43-1)</f>
        <v/>
      </c>
      <c r="J44" s="17">
        <f>IF(OR(F44="",F43=""),"",F44/F43-1)</f>
        <v/>
      </c>
      <c r="K44" s="17">
        <f>IF(OR(G44="",G43=""),"",G44/G43-1)</f>
        <v/>
      </c>
      <c r="L44" s="17">
        <f>IF(OR(H44="",H43=""),"",H44/H43-1)</f>
        <v/>
      </c>
      <c r="M44" s="18">
        <f>IF(OR(E44="",E32=""),"",E44/E32-1)</f>
        <v/>
      </c>
      <c r="N44" s="18">
        <f>IF(OR(F44="",F32=""),"",F44/F32-1)</f>
        <v/>
      </c>
      <c r="O44" s="18">
        <f>IF(OR(G44="",G32=""),"",G44/G32-1)</f>
        <v/>
      </c>
      <c r="P44" s="18">
        <f>IF(OR(E44="",E41=""),"",(E44/E41)^4-1)</f>
        <v/>
      </c>
      <c r="Q44" s="18">
        <f>IF(OR(F44="",F41=""),"",(F44/F41)^4-1)</f>
        <v/>
      </c>
      <c r="R44" s="18">
        <f>IF(OR(E44="",E38=""),"",(E44/E38)^2-1)</f>
        <v/>
      </c>
      <c r="S44" s="18">
        <f>IF(E44="","",IFERROR(E44/INDEX($E:$E,MATCH(C44-1&amp;"-12",$B:$B,0))-1,""))</f>
        <v/>
      </c>
      <c r="T44" s="19">
        <f>IF(OR(K44="",J44=""),"",(K44-J44)*100)</f>
        <v/>
      </c>
      <c r="U44" s="20">
        <f>IF(OR(G44="",F44=""),"",(G44/INDEX($G:$G,MATCH("2023-12",$B:$B,0)))/(F44/INDEX($F:$F,MATCH("2023-12",$B:$B,0)))*100)</f>
        <v/>
      </c>
    </row>
    <row r="45">
      <c r="B45" s="13" t="inlineStr">
        <is>
          <t>2022-03</t>
        </is>
      </c>
      <c r="C45" s="14" t="n">
        <v>2022</v>
      </c>
      <c r="D45" s="14" t="n">
        <v>3</v>
      </c>
      <c r="E45" s="15" t="n">
        <v>676.0566</v>
      </c>
      <c r="F45" s="15" t="n">
        <v>694.7515</v>
      </c>
      <c r="G45" s="15" t="n">
        <v>572.7992</v>
      </c>
      <c r="H45" s="15" t="n">
        <v>757.8963</v>
      </c>
      <c r="I45" s="17">
        <f>IF(OR(E45="",E44=""),"",E45/E44-1)</f>
        <v/>
      </c>
      <c r="J45" s="17">
        <f>IF(OR(F45="",F44=""),"",F45/F44-1)</f>
        <v/>
      </c>
      <c r="K45" s="17">
        <f>IF(OR(G45="",G44=""),"",G45/G44-1)</f>
        <v/>
      </c>
      <c r="L45" s="17">
        <f>IF(OR(H45="",H44=""),"",H45/H44-1)</f>
        <v/>
      </c>
      <c r="M45" s="18">
        <f>IF(OR(E45="",E33=""),"",E45/E33-1)</f>
        <v/>
      </c>
      <c r="N45" s="18">
        <f>IF(OR(F45="",F33=""),"",F45/F33-1)</f>
        <v/>
      </c>
      <c r="O45" s="18">
        <f>IF(OR(G45="",G33=""),"",G45/G33-1)</f>
        <v/>
      </c>
      <c r="P45" s="18">
        <f>IF(OR(E45="",E42=""),"",(E45/E42)^4-1)</f>
        <v/>
      </c>
      <c r="Q45" s="18">
        <f>IF(OR(F45="",F42=""),"",(F45/F42)^4-1)</f>
        <v/>
      </c>
      <c r="R45" s="18">
        <f>IF(OR(E45="",E39=""),"",(E45/E39)^2-1)</f>
        <v/>
      </c>
      <c r="S45" s="18">
        <f>IF(E45="","",IFERROR(E45/INDEX($E:$E,MATCH(C45-1&amp;"-12",$B:$B,0))-1,""))</f>
        <v/>
      </c>
      <c r="T45" s="19">
        <f>IF(OR(K45="",J45=""),"",(K45-J45)*100)</f>
        <v/>
      </c>
      <c r="U45" s="20">
        <f>IF(OR(G45="",F45=""),"",(G45/INDEX($G:$G,MATCH("2023-12",$B:$B,0)))/(F45/INDEX($F:$F,MATCH("2023-12",$B:$B,0)))*100)</f>
        <v/>
      </c>
    </row>
    <row r="46">
      <c r="B46" s="13" t="inlineStr">
        <is>
          <t>2022-04</t>
        </is>
      </c>
      <c r="C46" s="14" t="n">
        <v>2022</v>
      </c>
      <c r="D46" s="14" t="n">
        <v>4</v>
      </c>
      <c r="E46" s="15" t="n">
        <v>716.9399</v>
      </c>
      <c r="F46" s="15" t="n">
        <v>741.3622</v>
      </c>
      <c r="G46" s="15" t="n">
        <v>595.2223</v>
      </c>
      <c r="H46" s="15" t="n">
        <v>799.0308</v>
      </c>
      <c r="I46" s="17">
        <f>IF(OR(E46="",E45=""),"",E46/E45-1)</f>
        <v/>
      </c>
      <c r="J46" s="17">
        <f>IF(OR(F46="",F45=""),"",F46/F45-1)</f>
        <v/>
      </c>
      <c r="K46" s="17">
        <f>IF(OR(G46="",G45=""),"",G46/G45-1)</f>
        <v/>
      </c>
      <c r="L46" s="17">
        <f>IF(OR(H46="",H45=""),"",H46/H45-1)</f>
        <v/>
      </c>
      <c r="M46" s="18">
        <f>IF(OR(E46="",E34=""),"",E46/E34-1)</f>
        <v/>
      </c>
      <c r="N46" s="18">
        <f>IF(OR(F46="",F34=""),"",F46/F34-1)</f>
        <v/>
      </c>
      <c r="O46" s="18">
        <f>IF(OR(G46="",G34=""),"",G46/G34-1)</f>
        <v/>
      </c>
      <c r="P46" s="18">
        <f>IF(OR(E46="",E43=""),"",(E46/E43)^4-1)</f>
        <v/>
      </c>
      <c r="Q46" s="18">
        <f>IF(OR(F46="",F43=""),"",(F46/F43)^4-1)</f>
        <v/>
      </c>
      <c r="R46" s="18">
        <f>IF(OR(E46="",E40=""),"",(E46/E40)^2-1)</f>
        <v/>
      </c>
      <c r="S46" s="18">
        <f>IF(E46="","",IFERROR(E46/INDEX($E:$E,MATCH(C46-1&amp;"-12",$B:$B,0))-1,""))</f>
        <v/>
      </c>
      <c r="T46" s="19">
        <f>IF(OR(K46="",J46=""),"",(K46-J46)*100)</f>
        <v/>
      </c>
      <c r="U46" s="20">
        <f>IF(OR(G46="",F46=""),"",(G46/INDEX($G:$G,MATCH("2023-12",$B:$B,0)))/(F46/INDEX($F:$F,MATCH("2023-12",$B:$B,0)))*100)</f>
        <v/>
      </c>
    </row>
    <row r="47">
      <c r="B47" s="13" t="inlineStr">
        <is>
          <t>2022-05</t>
        </is>
      </c>
      <c r="C47" s="14" t="n">
        <v>2022</v>
      </c>
      <c r="D47" s="14" t="n">
        <v>5</v>
      </c>
      <c r="E47" s="15" t="n">
        <v>753.147</v>
      </c>
      <c r="F47" s="15" t="n">
        <v>779.9267</v>
      </c>
      <c r="G47" s="15" t="n">
        <v>629.0029</v>
      </c>
      <c r="H47" s="15" t="n">
        <v>825.8088</v>
      </c>
      <c r="I47" s="17">
        <f>IF(OR(E47="",E46=""),"",E47/E46-1)</f>
        <v/>
      </c>
      <c r="J47" s="17">
        <f>IF(OR(F47="",F46=""),"",F47/F46-1)</f>
        <v/>
      </c>
      <c r="K47" s="17">
        <f>IF(OR(G47="",G46=""),"",G47/G46-1)</f>
        <v/>
      </c>
      <c r="L47" s="17">
        <f>IF(OR(H47="",H46=""),"",H47/H46-1)</f>
        <v/>
      </c>
      <c r="M47" s="18">
        <f>IF(OR(E47="",E35=""),"",E47/E35-1)</f>
        <v/>
      </c>
      <c r="N47" s="18">
        <f>IF(OR(F47="",F35=""),"",F47/F35-1)</f>
        <v/>
      </c>
      <c r="O47" s="18">
        <f>IF(OR(G47="",G35=""),"",G47/G35-1)</f>
        <v/>
      </c>
      <c r="P47" s="18">
        <f>IF(OR(E47="",E44=""),"",(E47/E44)^4-1)</f>
        <v/>
      </c>
      <c r="Q47" s="18">
        <f>IF(OR(F47="",F44=""),"",(F47/F44)^4-1)</f>
        <v/>
      </c>
      <c r="R47" s="18">
        <f>IF(OR(E47="",E41=""),"",(E47/E41)^2-1)</f>
        <v/>
      </c>
      <c r="S47" s="18">
        <f>IF(E47="","",IFERROR(E47/INDEX($E:$E,MATCH(C47-1&amp;"-12",$B:$B,0))-1,""))</f>
        <v/>
      </c>
      <c r="T47" s="19">
        <f>IF(OR(K47="",J47=""),"",(K47-J47)*100)</f>
        <v/>
      </c>
      <c r="U47" s="20">
        <f>IF(OR(G47="",F47=""),"",(G47/INDEX($G:$G,MATCH("2023-12",$B:$B,0)))/(F47/INDEX($F:$F,MATCH("2023-12",$B:$B,0)))*100)</f>
        <v/>
      </c>
    </row>
    <row r="48">
      <c r="B48" s="13" t="inlineStr">
        <is>
          <t>2022-06</t>
        </is>
      </c>
      <c r="C48" s="14" t="n">
        <v>2022</v>
      </c>
      <c r="D48" s="14" t="n">
        <v>6</v>
      </c>
      <c r="E48" s="15" t="n">
        <v>793.0278</v>
      </c>
      <c r="F48" s="15" t="n">
        <v>819.5734</v>
      </c>
      <c r="G48" s="15" t="n">
        <v>662.0938</v>
      </c>
      <c r="H48" s="15" t="n">
        <v>880.3185999999999</v>
      </c>
      <c r="I48" s="17">
        <f>IF(OR(E48="",E47=""),"",E48/E47-1)</f>
        <v/>
      </c>
      <c r="J48" s="17">
        <f>IF(OR(F48="",F47=""),"",F48/F47-1)</f>
        <v/>
      </c>
      <c r="K48" s="17">
        <f>IF(OR(G48="",G47=""),"",G48/G47-1)</f>
        <v/>
      </c>
      <c r="L48" s="17">
        <f>IF(OR(H48="",H47=""),"",H48/H47-1)</f>
        <v/>
      </c>
      <c r="M48" s="18">
        <f>IF(OR(E48="",E36=""),"",E48/E36-1)</f>
        <v/>
      </c>
      <c r="N48" s="18">
        <f>IF(OR(F48="",F36=""),"",F48/F36-1)</f>
        <v/>
      </c>
      <c r="O48" s="18">
        <f>IF(OR(G48="",G36=""),"",G48/G36-1)</f>
        <v/>
      </c>
      <c r="P48" s="18">
        <f>IF(OR(E48="",E45=""),"",(E48/E45)^4-1)</f>
        <v/>
      </c>
      <c r="Q48" s="18">
        <f>IF(OR(F48="",F45=""),"",(F48/F45)^4-1)</f>
        <v/>
      </c>
      <c r="R48" s="18">
        <f>IF(OR(E48="",E42=""),"",(E48/E42)^2-1)</f>
        <v/>
      </c>
      <c r="S48" s="18">
        <f>IF(E48="","",IFERROR(E48/INDEX($E:$E,MATCH(C48-1&amp;"-12",$B:$B,0))-1,""))</f>
        <v/>
      </c>
      <c r="T48" s="19">
        <f>IF(OR(K48="",J48=""),"",(K48-J48)*100)</f>
        <v/>
      </c>
      <c r="U48" s="20">
        <f>IF(OR(G48="",F48=""),"",(G48/INDEX($G:$G,MATCH("2023-12",$B:$B,0)))/(F48/INDEX($F:$F,MATCH("2023-12",$B:$B,0)))*100)</f>
        <v/>
      </c>
    </row>
    <row r="49">
      <c r="B49" s="13" t="inlineStr">
        <is>
          <t>2022-07</t>
        </is>
      </c>
      <c r="C49" s="14" t="n">
        <v>2022</v>
      </c>
      <c r="D49" s="14" t="n">
        <v>7</v>
      </c>
      <c r="E49" s="15" t="n">
        <v>851.761</v>
      </c>
      <c r="F49" s="15" t="n">
        <v>879.6383</v>
      </c>
      <c r="G49" s="15" t="n">
        <v>694.6115</v>
      </c>
      <c r="H49" s="15" t="n">
        <v>979.7957</v>
      </c>
      <c r="I49" s="17">
        <f>IF(OR(E49="",E48=""),"",E49/E48-1)</f>
        <v/>
      </c>
      <c r="J49" s="17">
        <f>IF(OR(F49="",F48=""),"",F49/F48-1)</f>
        <v/>
      </c>
      <c r="K49" s="17">
        <f>IF(OR(G49="",G48=""),"",G49/G48-1)</f>
        <v/>
      </c>
      <c r="L49" s="17">
        <f>IF(OR(H49="",H48=""),"",H49/H48-1)</f>
        <v/>
      </c>
      <c r="M49" s="18">
        <f>IF(OR(E49="",E37=""),"",E49/E37-1)</f>
        <v/>
      </c>
      <c r="N49" s="18">
        <f>IF(OR(F49="",F37=""),"",F49/F37-1)</f>
        <v/>
      </c>
      <c r="O49" s="18">
        <f>IF(OR(G49="",G37=""),"",G49/G37-1)</f>
        <v/>
      </c>
      <c r="P49" s="18">
        <f>IF(OR(E49="",E46=""),"",(E49/E46)^4-1)</f>
        <v/>
      </c>
      <c r="Q49" s="18">
        <f>IF(OR(F49="",F46=""),"",(F49/F46)^4-1)</f>
        <v/>
      </c>
      <c r="R49" s="18">
        <f>IF(OR(E49="",E43=""),"",(E49/E43)^2-1)</f>
        <v/>
      </c>
      <c r="S49" s="18">
        <f>IF(E49="","",IFERROR(E49/INDEX($E:$E,MATCH(C49-1&amp;"-12",$B:$B,0))-1,""))</f>
        <v/>
      </c>
      <c r="T49" s="19">
        <f>IF(OR(K49="",J49=""),"",(K49-J49)*100)</f>
        <v/>
      </c>
      <c r="U49" s="20">
        <f>IF(OR(G49="",F49=""),"",(G49/INDEX($G:$G,MATCH("2023-12",$B:$B,0)))/(F49/INDEX($F:$F,MATCH("2023-12",$B:$B,0)))*100)</f>
        <v/>
      </c>
    </row>
    <row r="50">
      <c r="B50" s="13" t="inlineStr">
        <is>
          <t>2022-08</t>
        </is>
      </c>
      <c r="C50" s="14" t="n">
        <v>2022</v>
      </c>
      <c r="D50" s="14" t="n">
        <v>8</v>
      </c>
      <c r="E50" s="15" t="n">
        <v>911.1316</v>
      </c>
      <c r="F50" s="15" t="n">
        <v>939.4677</v>
      </c>
      <c r="G50" s="15" t="n">
        <v>738.3105</v>
      </c>
      <c r="H50" s="15" t="n">
        <v>1064.731</v>
      </c>
      <c r="I50" s="17">
        <f>IF(OR(E50="",E49=""),"",E50/E49-1)</f>
        <v/>
      </c>
      <c r="J50" s="17">
        <f>IF(OR(F50="",F49=""),"",F50/F49-1)</f>
        <v/>
      </c>
      <c r="K50" s="17">
        <f>IF(OR(G50="",G49=""),"",G50/G49-1)</f>
        <v/>
      </c>
      <c r="L50" s="17">
        <f>IF(OR(H50="",H49=""),"",H50/H49-1)</f>
        <v/>
      </c>
      <c r="M50" s="18">
        <f>IF(OR(E50="",E38=""),"",E50/E38-1)</f>
        <v/>
      </c>
      <c r="N50" s="18">
        <f>IF(OR(F50="",F38=""),"",F50/F38-1)</f>
        <v/>
      </c>
      <c r="O50" s="18">
        <f>IF(OR(G50="",G38=""),"",G50/G38-1)</f>
        <v/>
      </c>
      <c r="P50" s="18">
        <f>IF(OR(E50="",E47=""),"",(E50/E47)^4-1)</f>
        <v/>
      </c>
      <c r="Q50" s="18">
        <f>IF(OR(F50="",F47=""),"",(F50/F47)^4-1)</f>
        <v/>
      </c>
      <c r="R50" s="18">
        <f>IF(OR(E50="",E44=""),"",(E50/E44)^2-1)</f>
        <v/>
      </c>
      <c r="S50" s="18">
        <f>IF(E50="","",IFERROR(E50/INDEX($E:$E,MATCH(C50-1&amp;"-12",$B:$B,0))-1,""))</f>
        <v/>
      </c>
      <c r="T50" s="19">
        <f>IF(OR(K50="",J50=""),"",(K50-J50)*100)</f>
        <v/>
      </c>
      <c r="U50" s="20">
        <f>IF(OR(G50="",F50=""),"",(G50/INDEX($G:$G,MATCH("2023-12",$B:$B,0)))/(F50/INDEX($F:$F,MATCH("2023-12",$B:$B,0)))*100)</f>
        <v/>
      </c>
    </row>
    <row r="51">
      <c r="B51" s="13" t="inlineStr">
        <is>
          <t>2022-09</t>
        </is>
      </c>
      <c r="C51" s="14" t="n">
        <v>2022</v>
      </c>
      <c r="D51" s="14" t="n">
        <v>9</v>
      </c>
      <c r="E51" s="15" t="n">
        <v>967.3076</v>
      </c>
      <c r="F51" s="15" t="n">
        <v>991.2585</v>
      </c>
      <c r="G51" s="15" t="n">
        <v>771.8891</v>
      </c>
      <c r="H51" s="15" t="n">
        <v>1189.6609</v>
      </c>
      <c r="I51" s="17">
        <f>IF(OR(E51="",E50=""),"",E51/E50-1)</f>
        <v/>
      </c>
      <c r="J51" s="17">
        <f>IF(OR(F51="",F50=""),"",F51/F50-1)</f>
        <v/>
      </c>
      <c r="K51" s="17">
        <f>IF(OR(G51="",G50=""),"",G51/G50-1)</f>
        <v/>
      </c>
      <c r="L51" s="17">
        <f>IF(OR(H51="",H50=""),"",H51/H50-1)</f>
        <v/>
      </c>
      <c r="M51" s="18">
        <f>IF(OR(E51="",E39=""),"",E51/E39-1)</f>
        <v/>
      </c>
      <c r="N51" s="18">
        <f>IF(OR(F51="",F39=""),"",F51/F39-1)</f>
        <v/>
      </c>
      <c r="O51" s="18">
        <f>IF(OR(G51="",G39=""),"",G51/G39-1)</f>
        <v/>
      </c>
      <c r="P51" s="18">
        <f>IF(OR(E51="",E48=""),"",(E51/E48)^4-1)</f>
        <v/>
      </c>
      <c r="Q51" s="18">
        <f>IF(OR(F51="",F48=""),"",(F51/F48)^4-1)</f>
        <v/>
      </c>
      <c r="R51" s="18">
        <f>IF(OR(E51="",E45=""),"",(E51/E45)^2-1)</f>
        <v/>
      </c>
      <c r="S51" s="18">
        <f>IF(E51="","",IFERROR(E51/INDEX($E:$E,MATCH(C51-1&amp;"-12",$B:$B,0))-1,""))</f>
        <v/>
      </c>
      <c r="T51" s="19">
        <f>IF(OR(K51="",J51=""),"",(K51-J51)*100)</f>
        <v/>
      </c>
      <c r="U51" s="20">
        <f>IF(OR(G51="",F51=""),"",(G51/INDEX($G:$G,MATCH("2023-12",$B:$B,0)))/(F51/INDEX($F:$F,MATCH("2023-12",$B:$B,0)))*100)</f>
        <v/>
      </c>
    </row>
    <row r="52">
      <c r="B52" s="13" t="inlineStr">
        <is>
          <t>2022-10</t>
        </is>
      </c>
      <c r="C52" s="14" t="n">
        <v>2022</v>
      </c>
      <c r="D52" s="14" t="n">
        <v>10</v>
      </c>
      <c r="E52" s="15" t="n">
        <v>1028.706</v>
      </c>
      <c r="F52" s="15" t="n">
        <v>1046.265</v>
      </c>
      <c r="G52" s="15" t="n">
        <v>829.1011</v>
      </c>
      <c r="H52" s="15" t="n">
        <v>1297.2889</v>
      </c>
      <c r="I52" s="17">
        <f>IF(OR(E52="",E51=""),"",E52/E51-1)</f>
        <v/>
      </c>
      <c r="J52" s="17">
        <f>IF(OR(F52="",F51=""),"",F52/F51-1)</f>
        <v/>
      </c>
      <c r="K52" s="17">
        <f>IF(OR(G52="",G51=""),"",G52/G51-1)</f>
        <v/>
      </c>
      <c r="L52" s="17">
        <f>IF(OR(H52="",H51=""),"",H52/H51-1)</f>
        <v/>
      </c>
      <c r="M52" s="18">
        <f>IF(OR(E52="",E40=""),"",E52/E40-1)</f>
        <v/>
      </c>
      <c r="N52" s="18">
        <f>IF(OR(F52="",F40=""),"",F52/F40-1)</f>
        <v/>
      </c>
      <c r="O52" s="18">
        <f>IF(OR(G52="",G40=""),"",G52/G40-1)</f>
        <v/>
      </c>
      <c r="P52" s="18">
        <f>IF(OR(E52="",E49=""),"",(E52/E49)^4-1)</f>
        <v/>
      </c>
      <c r="Q52" s="18">
        <f>IF(OR(F52="",F49=""),"",(F52/F49)^4-1)</f>
        <v/>
      </c>
      <c r="R52" s="18">
        <f>IF(OR(E52="",E46=""),"",(E52/E46)^2-1)</f>
        <v/>
      </c>
      <c r="S52" s="18">
        <f>IF(E52="","",IFERROR(E52/INDEX($E:$E,MATCH(C52-1&amp;"-12",$B:$B,0))-1,""))</f>
        <v/>
      </c>
      <c r="T52" s="19">
        <f>IF(OR(K52="",J52=""),"",(K52-J52)*100)</f>
        <v/>
      </c>
      <c r="U52" s="20">
        <f>IF(OR(G52="",F52=""),"",(G52/INDEX($G:$G,MATCH("2023-12",$B:$B,0)))/(F52/INDEX($F:$F,MATCH("2023-12",$B:$B,0)))*100)</f>
        <v/>
      </c>
    </row>
    <row r="53">
      <c r="B53" s="13" t="inlineStr">
        <is>
          <t>2022-11</t>
        </is>
      </c>
      <c r="C53" s="14" t="n">
        <v>2022</v>
      </c>
      <c r="D53" s="14" t="n">
        <v>11</v>
      </c>
      <c r="E53" s="15" t="n">
        <v>1079.2787</v>
      </c>
      <c r="F53" s="15" t="n">
        <v>1096.024</v>
      </c>
      <c r="G53" s="15" t="n">
        <v>880.7676</v>
      </c>
      <c r="H53" s="15" t="n">
        <v>1350.5167</v>
      </c>
      <c r="I53" s="17">
        <f>IF(OR(E53="",E52=""),"",E53/E52-1)</f>
        <v/>
      </c>
      <c r="J53" s="17">
        <f>IF(OR(F53="",F52=""),"",F53/F52-1)</f>
        <v/>
      </c>
      <c r="K53" s="17">
        <f>IF(OR(G53="",G52=""),"",G53/G52-1)</f>
        <v/>
      </c>
      <c r="L53" s="17">
        <f>IF(OR(H53="",H52=""),"",H53/H52-1)</f>
        <v/>
      </c>
      <c r="M53" s="18">
        <f>IF(OR(E53="",E41=""),"",E53/E41-1)</f>
        <v/>
      </c>
      <c r="N53" s="18">
        <f>IF(OR(F53="",F41=""),"",F53/F41-1)</f>
        <v/>
      </c>
      <c r="O53" s="18">
        <f>IF(OR(G53="",G41=""),"",G53/G41-1)</f>
        <v/>
      </c>
      <c r="P53" s="18">
        <f>IF(OR(E53="",E50=""),"",(E53/E50)^4-1)</f>
        <v/>
      </c>
      <c r="Q53" s="18">
        <f>IF(OR(F53="",F50=""),"",(F53/F50)^4-1)</f>
        <v/>
      </c>
      <c r="R53" s="18">
        <f>IF(OR(E53="",E47=""),"",(E53/E47)^2-1)</f>
        <v/>
      </c>
      <c r="S53" s="18">
        <f>IF(E53="","",IFERROR(E53/INDEX($E:$E,MATCH(C53-1&amp;"-12",$B:$B,0))-1,""))</f>
        <v/>
      </c>
      <c r="T53" s="19">
        <f>IF(OR(K53="",J53=""),"",(K53-J53)*100)</f>
        <v/>
      </c>
      <c r="U53" s="20">
        <f>IF(OR(G53="",F53=""),"",(G53/INDEX($G:$G,MATCH("2023-12",$B:$B,0)))/(F53/INDEX($F:$F,MATCH("2023-12",$B:$B,0)))*100)</f>
        <v/>
      </c>
    </row>
    <row r="54">
      <c r="B54" s="13" t="inlineStr">
        <is>
          <t>2022-12</t>
        </is>
      </c>
      <c r="C54" s="14" t="n">
        <v>2022</v>
      </c>
      <c r="D54" s="14" t="n">
        <v>12</v>
      </c>
      <c r="E54" s="15" t="n">
        <v>1134.5875</v>
      </c>
      <c r="F54" s="15" t="n">
        <v>1153.5771</v>
      </c>
      <c r="G54" s="15" t="n">
        <v>925.7853</v>
      </c>
      <c r="H54" s="15" t="n">
        <v>1413.2059</v>
      </c>
      <c r="I54" s="17">
        <f>IF(OR(E54="",E53=""),"",E54/E53-1)</f>
        <v/>
      </c>
      <c r="J54" s="17">
        <f>IF(OR(F54="",F53=""),"",F54/F53-1)</f>
        <v/>
      </c>
      <c r="K54" s="17">
        <f>IF(OR(G54="",G53=""),"",G54/G53-1)</f>
        <v/>
      </c>
      <c r="L54" s="17">
        <f>IF(OR(H54="",H53=""),"",H54/H53-1)</f>
        <v/>
      </c>
      <c r="M54" s="18">
        <f>IF(OR(E54="",E42=""),"",E54/E42-1)</f>
        <v/>
      </c>
      <c r="N54" s="18">
        <f>IF(OR(F54="",F42=""),"",F54/F42-1)</f>
        <v/>
      </c>
      <c r="O54" s="18">
        <f>IF(OR(G54="",G42=""),"",G54/G42-1)</f>
        <v/>
      </c>
      <c r="P54" s="18">
        <f>IF(OR(E54="",E51=""),"",(E54/E51)^4-1)</f>
        <v/>
      </c>
      <c r="Q54" s="18">
        <f>IF(OR(F54="",F51=""),"",(F54/F51)^4-1)</f>
        <v/>
      </c>
      <c r="R54" s="18">
        <f>IF(OR(E54="",E48=""),"",(E54/E48)^2-1)</f>
        <v/>
      </c>
      <c r="S54" s="18">
        <f>IF(E54="","",IFERROR(E54/INDEX($E:$E,MATCH(C54-1&amp;"-12",$B:$B,0))-1,""))</f>
        <v/>
      </c>
      <c r="T54" s="19">
        <f>IF(OR(K54="",J54=""),"",(K54-J54)*100)</f>
        <v/>
      </c>
      <c r="U54" s="20">
        <f>IF(OR(G54="",F54=""),"",(G54/INDEX($G:$G,MATCH("2023-12",$B:$B,0)))/(F54/INDEX($F:$F,MATCH("2023-12",$B:$B,0)))*100)</f>
        <v/>
      </c>
    </row>
    <row r="55">
      <c r="B55" s="13" t="inlineStr">
        <is>
          <t>2023-01</t>
        </is>
      </c>
      <c r="C55" s="14" t="n">
        <v>2023</v>
      </c>
      <c r="D55" s="14" t="n">
        <v>1</v>
      </c>
      <c r="E55" s="15" t="n">
        <v>1202.979</v>
      </c>
      <c r="F55" s="15" t="n">
        <v>1215.3182</v>
      </c>
      <c r="G55" s="15" t="n">
        <v>991.5192</v>
      </c>
      <c r="H55" s="15" t="n">
        <v>1525.1043</v>
      </c>
      <c r="I55" s="17">
        <f>IF(OR(E55="",E54=""),"",E55/E54-1)</f>
        <v/>
      </c>
      <c r="J55" s="17">
        <f>IF(OR(F55="",F54=""),"",F55/F54-1)</f>
        <v/>
      </c>
      <c r="K55" s="17">
        <f>IF(OR(G55="",G54=""),"",G55/G54-1)</f>
        <v/>
      </c>
      <c r="L55" s="17">
        <f>IF(OR(H55="",H54=""),"",H55/H54-1)</f>
        <v/>
      </c>
      <c r="M55" s="18">
        <f>IF(OR(E55="",E43=""),"",E55/E43-1)</f>
        <v/>
      </c>
      <c r="N55" s="18">
        <f>IF(OR(F55="",F43=""),"",F55/F43-1)</f>
        <v/>
      </c>
      <c r="O55" s="18">
        <f>IF(OR(G55="",G43=""),"",G55/G43-1)</f>
        <v/>
      </c>
      <c r="P55" s="18">
        <f>IF(OR(E55="",E52=""),"",(E55/E52)^4-1)</f>
        <v/>
      </c>
      <c r="Q55" s="18">
        <f>IF(OR(F55="",F52=""),"",(F55/F52)^4-1)</f>
        <v/>
      </c>
      <c r="R55" s="18">
        <f>IF(OR(E55="",E49=""),"",(E55/E49)^2-1)</f>
        <v/>
      </c>
      <c r="S55" s="18">
        <f>IF(E55="","",IFERROR(E55/INDEX($E:$E,MATCH(C55-1&amp;"-12",$B:$B,0))-1,""))</f>
        <v/>
      </c>
      <c r="T55" s="19">
        <f>IF(OR(K55="",J55=""),"",(K55-J55)*100)</f>
        <v/>
      </c>
      <c r="U55" s="20">
        <f>IF(OR(G55="",F55=""),"",(G55/INDEX($G:$G,MATCH("2023-12",$B:$B,0)))/(F55/INDEX($F:$F,MATCH("2023-12",$B:$B,0)))*100)</f>
        <v/>
      </c>
    </row>
    <row r="56">
      <c r="B56" s="13" t="inlineStr">
        <is>
          <t>2023-02</t>
        </is>
      </c>
      <c r="C56" s="14" t="n">
        <v>2023</v>
      </c>
      <c r="D56" s="14" t="n">
        <v>2</v>
      </c>
      <c r="E56" s="15" t="n">
        <v>1282.7091</v>
      </c>
      <c r="F56" s="15" t="n">
        <v>1308.7788</v>
      </c>
      <c r="G56" s="15" t="n">
        <v>1042.4951</v>
      </c>
      <c r="H56" s="15" t="n">
        <v>1575.9625</v>
      </c>
      <c r="I56" s="17">
        <f>IF(OR(E56="",E55=""),"",E56/E55-1)</f>
        <v/>
      </c>
      <c r="J56" s="17">
        <f>IF(OR(F56="",F55=""),"",F56/F55-1)</f>
        <v/>
      </c>
      <c r="K56" s="17">
        <f>IF(OR(G56="",G55=""),"",G56/G55-1)</f>
        <v/>
      </c>
      <c r="L56" s="17">
        <f>IF(OR(H56="",H55=""),"",H56/H55-1)</f>
        <v/>
      </c>
      <c r="M56" s="18">
        <f>IF(OR(E56="",E44=""),"",E56/E44-1)</f>
        <v/>
      </c>
      <c r="N56" s="18">
        <f>IF(OR(F56="",F44=""),"",F56/F44-1)</f>
        <v/>
      </c>
      <c r="O56" s="18">
        <f>IF(OR(G56="",G44=""),"",G56/G44-1)</f>
        <v/>
      </c>
      <c r="P56" s="18">
        <f>IF(OR(E56="",E53=""),"",(E56/E53)^4-1)</f>
        <v/>
      </c>
      <c r="Q56" s="18">
        <f>IF(OR(F56="",F53=""),"",(F56/F53)^4-1)</f>
        <v/>
      </c>
      <c r="R56" s="18">
        <f>IF(OR(E56="",E50=""),"",(E56/E50)^2-1)</f>
        <v/>
      </c>
      <c r="S56" s="18">
        <f>IF(E56="","",IFERROR(E56/INDEX($E:$E,MATCH(C56-1&amp;"-12",$B:$B,0))-1,""))</f>
        <v/>
      </c>
      <c r="T56" s="19">
        <f>IF(OR(K56="",J56=""),"",(K56-J56)*100)</f>
        <v/>
      </c>
      <c r="U56" s="20">
        <f>IF(OR(G56="",F56=""),"",(G56/INDEX($G:$G,MATCH("2023-12",$B:$B,0)))/(F56/INDEX($F:$F,MATCH("2023-12",$B:$B,0)))*100)</f>
        <v/>
      </c>
    </row>
    <row r="57">
      <c r="B57" s="13" t="inlineStr">
        <is>
          <t>2023-03</t>
        </is>
      </c>
      <c r="C57" s="14" t="n">
        <v>2023</v>
      </c>
      <c r="D57" s="14" t="n">
        <v>3</v>
      </c>
      <c r="E57" s="15" t="n">
        <v>1381.1601</v>
      </c>
      <c r="F57" s="15" t="n">
        <v>1403.1434</v>
      </c>
      <c r="G57" s="15" t="n">
        <v>1128.8908</v>
      </c>
      <c r="H57" s="15" t="n">
        <v>1722.9662</v>
      </c>
      <c r="I57" s="17">
        <f>IF(OR(E57="",E56=""),"",E57/E56-1)</f>
        <v/>
      </c>
      <c r="J57" s="17">
        <f>IF(OR(F57="",F56=""),"",F57/F56-1)</f>
        <v/>
      </c>
      <c r="K57" s="17">
        <f>IF(OR(G57="",G56=""),"",G57/G56-1)</f>
        <v/>
      </c>
      <c r="L57" s="17">
        <f>IF(OR(H57="",H56=""),"",H57/H56-1)</f>
        <v/>
      </c>
      <c r="M57" s="18">
        <f>IF(OR(E57="",E45=""),"",E57/E45-1)</f>
        <v/>
      </c>
      <c r="N57" s="18">
        <f>IF(OR(F57="",F45=""),"",F57/F45-1)</f>
        <v/>
      </c>
      <c r="O57" s="18">
        <f>IF(OR(G57="",G45=""),"",G57/G45-1)</f>
        <v/>
      </c>
      <c r="P57" s="18">
        <f>IF(OR(E57="",E54=""),"",(E57/E54)^4-1)</f>
        <v/>
      </c>
      <c r="Q57" s="18">
        <f>IF(OR(F57="",F54=""),"",(F57/F54)^4-1)</f>
        <v/>
      </c>
      <c r="R57" s="18">
        <f>IF(OR(E57="",E51=""),"",(E57/E51)^2-1)</f>
        <v/>
      </c>
      <c r="S57" s="18">
        <f>IF(E57="","",IFERROR(E57/INDEX($E:$E,MATCH(C57-1&amp;"-12",$B:$B,0))-1,""))</f>
        <v/>
      </c>
      <c r="T57" s="19">
        <f>IF(OR(K57="",J57=""),"",(K57-J57)*100)</f>
        <v/>
      </c>
      <c r="U57" s="20">
        <f>IF(OR(G57="",F57=""),"",(G57/INDEX($G:$G,MATCH("2023-12",$B:$B,0)))/(F57/INDEX($F:$F,MATCH("2023-12",$B:$B,0)))*100)</f>
        <v/>
      </c>
    </row>
    <row r="58">
      <c r="B58" s="13" t="inlineStr">
        <is>
          <t>2023-04</t>
        </is>
      </c>
      <c r="C58" s="14" t="n">
        <v>2023</v>
      </c>
      <c r="D58" s="14" t="n">
        <v>4</v>
      </c>
      <c r="E58" s="15" t="n">
        <v>1497.2147</v>
      </c>
      <c r="F58" s="15" t="n">
        <v>1521.0163</v>
      </c>
      <c r="G58" s="15" t="n">
        <v>1184.1465</v>
      </c>
      <c r="H58" s="15" t="n">
        <v>1940.9169</v>
      </c>
      <c r="I58" s="17">
        <f>IF(OR(E58="",E57=""),"",E58/E57-1)</f>
        <v/>
      </c>
      <c r="J58" s="17">
        <f>IF(OR(F58="",F57=""),"",F58/F57-1)</f>
        <v/>
      </c>
      <c r="K58" s="17">
        <f>IF(OR(G58="",G57=""),"",G58/G57-1)</f>
        <v/>
      </c>
      <c r="L58" s="17">
        <f>IF(OR(H58="",H57=""),"",H58/H57-1)</f>
        <v/>
      </c>
      <c r="M58" s="18">
        <f>IF(OR(E58="",E46=""),"",E58/E46-1)</f>
        <v/>
      </c>
      <c r="N58" s="18">
        <f>IF(OR(F58="",F46=""),"",F58/F46-1)</f>
        <v/>
      </c>
      <c r="O58" s="18">
        <f>IF(OR(G58="",G46=""),"",G58/G46-1)</f>
        <v/>
      </c>
      <c r="P58" s="18">
        <f>IF(OR(E58="",E55=""),"",(E58/E55)^4-1)</f>
        <v/>
      </c>
      <c r="Q58" s="18">
        <f>IF(OR(F58="",F55=""),"",(F58/F55)^4-1)</f>
        <v/>
      </c>
      <c r="R58" s="18">
        <f>IF(OR(E58="",E52=""),"",(E58/E52)^2-1)</f>
        <v/>
      </c>
      <c r="S58" s="18">
        <f>IF(E58="","",IFERROR(E58/INDEX($E:$E,MATCH(C58-1&amp;"-12",$B:$B,0))-1,""))</f>
        <v/>
      </c>
      <c r="T58" s="19">
        <f>IF(OR(K58="",J58=""),"",(K58-J58)*100)</f>
        <v/>
      </c>
      <c r="U58" s="20">
        <f>IF(OR(G58="",F58=""),"",(G58/INDEX($G:$G,MATCH("2023-12",$B:$B,0)))/(F58/INDEX($F:$F,MATCH("2023-12",$B:$B,0)))*100)</f>
        <v/>
      </c>
    </row>
    <row r="59">
      <c r="B59" s="13" t="inlineStr">
        <is>
          <t>2023-05</t>
        </is>
      </c>
      <c r="C59" s="14" t="n">
        <v>2023</v>
      </c>
      <c r="D59" s="14" t="n">
        <v>5</v>
      </c>
      <c r="E59" s="15" t="n">
        <v>1613.5895</v>
      </c>
      <c r="F59" s="15" t="n">
        <v>1640.2912</v>
      </c>
      <c r="G59" s="15" t="n">
        <v>1291.1045</v>
      </c>
      <c r="H59" s="15" t="n">
        <v>2056.8651</v>
      </c>
      <c r="I59" s="17">
        <f>IF(OR(E59="",E58=""),"",E59/E58-1)</f>
        <v/>
      </c>
      <c r="J59" s="17">
        <f>IF(OR(F59="",F58=""),"",F59/F58-1)</f>
        <v/>
      </c>
      <c r="K59" s="17">
        <f>IF(OR(G59="",G58=""),"",G59/G58-1)</f>
        <v/>
      </c>
      <c r="L59" s="17">
        <f>IF(OR(H59="",H58=""),"",H59/H58-1)</f>
        <v/>
      </c>
      <c r="M59" s="18">
        <f>IF(OR(E59="",E47=""),"",E59/E47-1)</f>
        <v/>
      </c>
      <c r="N59" s="18">
        <f>IF(OR(F59="",F47=""),"",F59/F47-1)</f>
        <v/>
      </c>
      <c r="O59" s="18">
        <f>IF(OR(G59="",G47=""),"",G59/G47-1)</f>
        <v/>
      </c>
      <c r="P59" s="18">
        <f>IF(OR(E59="",E56=""),"",(E59/E56)^4-1)</f>
        <v/>
      </c>
      <c r="Q59" s="18">
        <f>IF(OR(F59="",F56=""),"",(F59/F56)^4-1)</f>
        <v/>
      </c>
      <c r="R59" s="18">
        <f>IF(OR(E59="",E53=""),"",(E59/E53)^2-1)</f>
        <v/>
      </c>
      <c r="S59" s="18">
        <f>IF(E59="","",IFERROR(E59/INDEX($E:$E,MATCH(C59-1&amp;"-12",$B:$B,0))-1,""))</f>
        <v/>
      </c>
      <c r="T59" s="19">
        <f>IF(OR(K59="",J59=""),"",(K59-J59)*100)</f>
        <v/>
      </c>
      <c r="U59" s="20">
        <f>IF(OR(G59="",F59=""),"",(G59/INDEX($G:$G,MATCH("2023-12",$B:$B,0)))/(F59/INDEX($F:$F,MATCH("2023-12",$B:$B,0)))*100)</f>
        <v/>
      </c>
    </row>
    <row r="60">
      <c r="B60" s="13" t="inlineStr">
        <is>
          <t>2023-06</t>
        </is>
      </c>
      <c r="C60" s="14" t="n">
        <v>2023</v>
      </c>
      <c r="D60" s="14" t="n">
        <v>6</v>
      </c>
      <c r="E60" s="15" t="n">
        <v>1709.6115</v>
      </c>
      <c r="F60" s="15" t="n">
        <v>1746.7824</v>
      </c>
      <c r="G60" s="15" t="n">
        <v>1383.8634</v>
      </c>
      <c r="H60" s="15" t="n">
        <v>2094.7124</v>
      </c>
      <c r="I60" s="17">
        <f>IF(OR(E60="",E59=""),"",E60/E59-1)</f>
        <v/>
      </c>
      <c r="J60" s="17">
        <f>IF(OR(F60="",F59=""),"",F60/F59-1)</f>
        <v/>
      </c>
      <c r="K60" s="17">
        <f>IF(OR(G60="",G59=""),"",G60/G59-1)</f>
        <v/>
      </c>
      <c r="L60" s="17">
        <f>IF(OR(H60="",H59=""),"",H60/H59-1)</f>
        <v/>
      </c>
      <c r="M60" s="18">
        <f>IF(OR(E60="",E48=""),"",E60/E48-1)</f>
        <v/>
      </c>
      <c r="N60" s="18">
        <f>IF(OR(F60="",F48=""),"",F60/F48-1)</f>
        <v/>
      </c>
      <c r="O60" s="18">
        <f>IF(OR(G60="",G48=""),"",G60/G48-1)</f>
        <v/>
      </c>
      <c r="P60" s="18">
        <f>IF(OR(E60="",E57=""),"",(E60/E57)^4-1)</f>
        <v/>
      </c>
      <c r="Q60" s="18">
        <f>IF(OR(F60="",F57=""),"",(F60/F57)^4-1)</f>
        <v/>
      </c>
      <c r="R60" s="18">
        <f>IF(OR(E60="",E54=""),"",(E60/E54)^2-1)</f>
        <v/>
      </c>
      <c r="S60" s="18">
        <f>IF(E60="","",IFERROR(E60/INDEX($E:$E,MATCH(C60-1&amp;"-12",$B:$B,0))-1,""))</f>
        <v/>
      </c>
      <c r="T60" s="19">
        <f>IF(OR(K60="",J60=""),"",(K60-J60)*100)</f>
        <v/>
      </c>
      <c r="U60" s="20">
        <f>IF(OR(G60="",F60=""),"",(G60/INDEX($G:$G,MATCH("2023-12",$B:$B,0)))/(F60/INDEX($F:$F,MATCH("2023-12",$B:$B,0)))*100)</f>
        <v/>
      </c>
    </row>
    <row r="61">
      <c r="B61" s="13" t="inlineStr">
        <is>
          <t>2023-07</t>
        </is>
      </c>
      <c r="C61" s="14" t="n">
        <v>2023</v>
      </c>
      <c r="D61" s="14" t="n">
        <v>7</v>
      </c>
      <c r="E61" s="15" t="n">
        <v>1818.0838</v>
      </c>
      <c r="F61" s="15" t="n">
        <v>1860.2801</v>
      </c>
      <c r="G61" s="15" t="n">
        <v>1476.8552</v>
      </c>
      <c r="H61" s="15" t="n">
        <v>2201.586</v>
      </c>
      <c r="I61" s="17">
        <f>IF(OR(E61="",E60=""),"",E61/E60-1)</f>
        <v/>
      </c>
      <c r="J61" s="17">
        <f>IF(OR(F61="",F60=""),"",F61/F60-1)</f>
        <v/>
      </c>
      <c r="K61" s="17">
        <f>IF(OR(G61="",G60=""),"",G61/G60-1)</f>
        <v/>
      </c>
      <c r="L61" s="17">
        <f>IF(OR(H61="",H60=""),"",H61/H60-1)</f>
        <v/>
      </c>
      <c r="M61" s="18">
        <f>IF(OR(E61="",E49=""),"",E61/E49-1)</f>
        <v/>
      </c>
      <c r="N61" s="18">
        <f>IF(OR(F61="",F49=""),"",F61/F49-1)</f>
        <v/>
      </c>
      <c r="O61" s="18">
        <f>IF(OR(G61="",G49=""),"",G61/G49-1)</f>
        <v/>
      </c>
      <c r="P61" s="18">
        <f>IF(OR(E61="",E58=""),"",(E61/E58)^4-1)</f>
        <v/>
      </c>
      <c r="Q61" s="18">
        <f>IF(OR(F61="",F58=""),"",(F61/F58)^4-1)</f>
        <v/>
      </c>
      <c r="R61" s="18">
        <f>IF(OR(E61="",E55=""),"",(E61/E55)^2-1)</f>
        <v/>
      </c>
      <c r="S61" s="18">
        <f>IF(E61="","",IFERROR(E61/INDEX($E:$E,MATCH(C61-1&amp;"-12",$B:$B,0))-1,""))</f>
        <v/>
      </c>
      <c r="T61" s="19">
        <f>IF(OR(K61="",J61=""),"",(K61-J61)*100)</f>
        <v/>
      </c>
      <c r="U61" s="20">
        <f>IF(OR(G61="",F61=""),"",(G61/INDEX($G:$G,MATCH("2023-12",$B:$B,0)))/(F61/INDEX($F:$F,MATCH("2023-12",$B:$B,0)))*100)</f>
        <v/>
      </c>
    </row>
    <row r="62">
      <c r="B62" s="13" t="inlineStr">
        <is>
          <t>2023-08</t>
        </is>
      </c>
      <c r="C62" s="14" t="n">
        <v>2023</v>
      </c>
      <c r="D62" s="14" t="n">
        <v>8</v>
      </c>
      <c r="E62" s="15" t="n">
        <v>2044.2832</v>
      </c>
      <c r="F62" s="15" t="n">
        <v>2116.751</v>
      </c>
      <c r="G62" s="15" t="n">
        <v>1599.0767</v>
      </c>
      <c r="H62" s="15" t="n">
        <v>2436.0941</v>
      </c>
      <c r="I62" s="17">
        <f>IF(OR(E62="",E61=""),"",E62/E61-1)</f>
        <v/>
      </c>
      <c r="J62" s="17">
        <f>IF(OR(F62="",F61=""),"",F62/F61-1)</f>
        <v/>
      </c>
      <c r="K62" s="17">
        <f>IF(OR(G62="",G61=""),"",G62/G61-1)</f>
        <v/>
      </c>
      <c r="L62" s="17">
        <f>IF(OR(H62="",H61=""),"",H62/H61-1)</f>
        <v/>
      </c>
      <c r="M62" s="18">
        <f>IF(OR(E62="",E50=""),"",E62/E50-1)</f>
        <v/>
      </c>
      <c r="N62" s="18">
        <f>IF(OR(F62="",F50=""),"",F62/F50-1)</f>
        <v/>
      </c>
      <c r="O62" s="18">
        <f>IF(OR(G62="",G50=""),"",G62/G50-1)</f>
        <v/>
      </c>
      <c r="P62" s="18">
        <f>IF(OR(E62="",E59=""),"",(E62/E59)^4-1)</f>
        <v/>
      </c>
      <c r="Q62" s="18">
        <f>IF(OR(F62="",F59=""),"",(F62/F59)^4-1)</f>
        <v/>
      </c>
      <c r="R62" s="18">
        <f>IF(OR(E62="",E56=""),"",(E62/E56)^2-1)</f>
        <v/>
      </c>
      <c r="S62" s="18">
        <f>IF(E62="","",IFERROR(E62/INDEX($E:$E,MATCH(C62-1&amp;"-12",$B:$B,0))-1,""))</f>
        <v/>
      </c>
      <c r="T62" s="19">
        <f>IF(OR(K62="",J62=""),"",(K62-J62)*100)</f>
        <v/>
      </c>
      <c r="U62" s="20">
        <f>IF(OR(G62="",F62=""),"",(G62/INDEX($G:$G,MATCH("2023-12",$B:$B,0)))/(F62/INDEX($F:$F,MATCH("2023-12",$B:$B,0)))*100)</f>
        <v/>
      </c>
    </row>
    <row r="63">
      <c r="B63" s="13" t="inlineStr">
        <is>
          <t>2023-09</t>
        </is>
      </c>
      <c r="C63" s="14" t="n">
        <v>2023</v>
      </c>
      <c r="D63" s="14" t="n">
        <v>9</v>
      </c>
      <c r="E63" s="15" t="n">
        <v>2304.9242</v>
      </c>
      <c r="F63" s="15" t="n">
        <v>2400.9928</v>
      </c>
      <c r="G63" s="15" t="n">
        <v>1732.073</v>
      </c>
      <c r="H63" s="15" t="n">
        <v>2794.0242</v>
      </c>
      <c r="I63" s="17">
        <f>IF(OR(E63="",E62=""),"",E63/E62-1)</f>
        <v/>
      </c>
      <c r="J63" s="17">
        <f>IF(OR(F63="",F62=""),"",F63/F62-1)</f>
        <v/>
      </c>
      <c r="K63" s="17">
        <f>IF(OR(G63="",G62=""),"",G63/G62-1)</f>
        <v/>
      </c>
      <c r="L63" s="17">
        <f>IF(OR(H63="",H62=""),"",H63/H62-1)</f>
        <v/>
      </c>
      <c r="M63" s="18">
        <f>IF(OR(E63="",E51=""),"",E63/E51-1)</f>
        <v/>
      </c>
      <c r="N63" s="18">
        <f>IF(OR(F63="",F51=""),"",F63/F51-1)</f>
        <v/>
      </c>
      <c r="O63" s="18">
        <f>IF(OR(G63="",G51=""),"",G63/G51-1)</f>
        <v/>
      </c>
      <c r="P63" s="18">
        <f>IF(OR(E63="",E60=""),"",(E63/E60)^4-1)</f>
        <v/>
      </c>
      <c r="Q63" s="18">
        <f>IF(OR(F63="",F60=""),"",(F63/F60)^4-1)</f>
        <v/>
      </c>
      <c r="R63" s="18">
        <f>IF(OR(E63="",E57=""),"",(E63/E57)^2-1)</f>
        <v/>
      </c>
      <c r="S63" s="18">
        <f>IF(E63="","",IFERROR(E63/INDEX($E:$E,MATCH(C63-1&amp;"-12",$B:$B,0))-1,""))</f>
        <v/>
      </c>
      <c r="T63" s="19">
        <f>IF(OR(K63="",J63=""),"",(K63-J63)*100)</f>
        <v/>
      </c>
      <c r="U63" s="20">
        <f>IF(OR(G63="",F63=""),"",(G63/INDEX($G:$G,MATCH("2023-12",$B:$B,0)))/(F63/INDEX($F:$F,MATCH("2023-12",$B:$B,0)))*100)</f>
        <v/>
      </c>
    </row>
    <row r="64">
      <c r="B64" s="13" t="inlineStr">
        <is>
          <t>2023-10</t>
        </is>
      </c>
      <c r="C64" s="14" t="n">
        <v>2023</v>
      </c>
      <c r="D64" s="14" t="n">
        <v>10</v>
      </c>
      <c r="E64" s="15" t="n">
        <v>2496.273</v>
      </c>
      <c r="F64" s="15" t="n">
        <v>2612.5451</v>
      </c>
      <c r="G64" s="15" t="n">
        <v>1846.7566</v>
      </c>
      <c r="H64" s="15" t="n">
        <v>3006.9009</v>
      </c>
      <c r="I64" s="17">
        <f>IF(OR(E64="",E63=""),"",E64/E63-1)</f>
        <v/>
      </c>
      <c r="J64" s="17">
        <f>IF(OR(F64="",F63=""),"",F64/F63-1)</f>
        <v/>
      </c>
      <c r="K64" s="17">
        <f>IF(OR(G64="",G63=""),"",G64/G63-1)</f>
        <v/>
      </c>
      <c r="L64" s="17">
        <f>IF(OR(H64="",H63=""),"",H64/H63-1)</f>
        <v/>
      </c>
      <c r="M64" s="18">
        <f>IF(OR(E64="",E52=""),"",E64/E52-1)</f>
        <v/>
      </c>
      <c r="N64" s="18">
        <f>IF(OR(F64="",F52=""),"",F64/F52-1)</f>
        <v/>
      </c>
      <c r="O64" s="18">
        <f>IF(OR(G64="",G52=""),"",G64/G52-1)</f>
        <v/>
      </c>
      <c r="P64" s="18">
        <f>IF(OR(E64="",E61=""),"",(E64/E61)^4-1)</f>
        <v/>
      </c>
      <c r="Q64" s="18">
        <f>IF(OR(F64="",F61=""),"",(F64/F61)^4-1)</f>
        <v/>
      </c>
      <c r="R64" s="18">
        <f>IF(OR(E64="",E58=""),"",(E64/E58)^2-1)</f>
        <v/>
      </c>
      <c r="S64" s="18">
        <f>IF(E64="","",IFERROR(E64/INDEX($E:$E,MATCH(C64-1&amp;"-12",$B:$B,0))-1,""))</f>
        <v/>
      </c>
      <c r="T64" s="19">
        <f>IF(OR(K64="",J64=""),"",(K64-J64)*100)</f>
        <v/>
      </c>
      <c r="U64" s="20">
        <f>IF(OR(G64="",F64=""),"",(G64/INDEX($G:$G,MATCH("2023-12",$B:$B,0)))/(F64/INDEX($F:$F,MATCH("2023-12",$B:$B,0)))*100)</f>
        <v/>
      </c>
    </row>
    <row r="65">
      <c r="B65" s="13" t="inlineStr">
        <is>
          <t>2023-11</t>
        </is>
      </c>
      <c r="C65" s="14" t="n">
        <v>2023</v>
      </c>
      <c r="D65" s="14" t="n">
        <v>11</v>
      </c>
      <c r="E65" s="15" t="n">
        <v>2816.0628</v>
      </c>
      <c r="F65" s="15" t="n">
        <v>2962.7206</v>
      </c>
      <c r="G65" s="15" t="n">
        <v>2032.4708</v>
      </c>
      <c r="H65" s="15" t="n">
        <v>3392.0317</v>
      </c>
      <c r="I65" s="17">
        <f>IF(OR(E65="",E64=""),"",E65/E64-1)</f>
        <v/>
      </c>
      <c r="J65" s="17">
        <f>IF(OR(F65="",F64=""),"",F65/F64-1)</f>
        <v/>
      </c>
      <c r="K65" s="17">
        <f>IF(OR(G65="",G64=""),"",G65/G64-1)</f>
        <v/>
      </c>
      <c r="L65" s="17">
        <f>IF(OR(H65="",H64=""),"",H65/H64-1)</f>
        <v/>
      </c>
      <c r="M65" s="18">
        <f>IF(OR(E65="",E53=""),"",E65/E53-1)</f>
        <v/>
      </c>
      <c r="N65" s="18">
        <f>IF(OR(F65="",F53=""),"",F65/F53-1)</f>
        <v/>
      </c>
      <c r="O65" s="18">
        <f>IF(OR(G65="",G53=""),"",G65/G53-1)</f>
        <v/>
      </c>
      <c r="P65" s="18">
        <f>IF(OR(E65="",E62=""),"",(E65/E62)^4-1)</f>
        <v/>
      </c>
      <c r="Q65" s="18">
        <f>IF(OR(F65="",F62=""),"",(F65/F62)^4-1)</f>
        <v/>
      </c>
      <c r="R65" s="18">
        <f>IF(OR(E65="",E59=""),"",(E65/E59)^2-1)</f>
        <v/>
      </c>
      <c r="S65" s="18">
        <f>IF(E65="","",IFERROR(E65/INDEX($E:$E,MATCH(C65-1&amp;"-12",$B:$B,0))-1,""))</f>
        <v/>
      </c>
      <c r="T65" s="19">
        <f>IF(OR(K65="",J65=""),"",(K65-J65)*100)</f>
        <v/>
      </c>
      <c r="U65" s="20">
        <f>IF(OR(G65="",F65=""),"",(G65/INDEX($G:$G,MATCH("2023-12",$B:$B,0)))/(F65/INDEX($F:$F,MATCH("2023-12",$B:$B,0)))*100)</f>
        <v/>
      </c>
    </row>
    <row r="66">
      <c r="B66" s="13" t="inlineStr">
        <is>
          <t>2023-12</t>
        </is>
      </c>
      <c r="C66" s="14" t="n">
        <v>2023</v>
      </c>
      <c r="D66" s="14" t="n">
        <v>12</v>
      </c>
      <c r="E66" s="15" t="n">
        <v>3533.1922</v>
      </c>
      <c r="F66" s="15" t="n">
        <v>3799.9487</v>
      </c>
      <c r="G66" s="15" t="n">
        <v>2452.7844</v>
      </c>
      <c r="H66" s="15" t="n">
        <v>3942.5343</v>
      </c>
      <c r="I66" s="17">
        <f>IF(OR(E66="",E65=""),"",E66/E65-1)</f>
        <v/>
      </c>
      <c r="J66" s="17">
        <f>IF(OR(F66="",F65=""),"",F66/F65-1)</f>
        <v/>
      </c>
      <c r="K66" s="17">
        <f>IF(OR(G66="",G65=""),"",G66/G65-1)</f>
        <v/>
      </c>
      <c r="L66" s="17">
        <f>IF(OR(H66="",H65=""),"",H66/H65-1)</f>
        <v/>
      </c>
      <c r="M66" s="18">
        <f>IF(OR(E66="",E54=""),"",E66/E54-1)</f>
        <v/>
      </c>
      <c r="N66" s="18">
        <f>IF(OR(F66="",F54=""),"",F66/F54-1)</f>
        <v/>
      </c>
      <c r="O66" s="18">
        <f>IF(OR(G66="",G54=""),"",G66/G54-1)</f>
        <v/>
      </c>
      <c r="P66" s="18">
        <f>IF(OR(E66="",E63=""),"",(E66/E63)^4-1)</f>
        <v/>
      </c>
      <c r="Q66" s="18">
        <f>IF(OR(F66="",F63=""),"",(F66/F63)^4-1)</f>
        <v/>
      </c>
      <c r="R66" s="18">
        <f>IF(OR(E66="",E60=""),"",(E66/E60)^2-1)</f>
        <v/>
      </c>
      <c r="S66" s="18">
        <f>IF(E66="","",IFERROR(E66/INDEX($E:$E,MATCH(C66-1&amp;"-12",$B:$B,0))-1,""))</f>
        <v/>
      </c>
      <c r="T66" s="19">
        <f>IF(OR(K66="",J66=""),"",(K66-J66)*100)</f>
        <v/>
      </c>
      <c r="U66" s="20">
        <f>IF(OR(G66="",F66=""),"",(G66/INDEX($G:$G,MATCH("2023-12",$B:$B,0)))/(F66/INDEX($F:$F,MATCH("2023-12",$B:$B,0)))*100)</f>
        <v/>
      </c>
    </row>
    <row r="67">
      <c r="B67" s="13" t="inlineStr">
        <is>
          <t>2024-01</t>
        </is>
      </c>
      <c r="C67" s="14" t="n">
        <v>2024</v>
      </c>
      <c r="D67" s="14" t="n">
        <v>1</v>
      </c>
      <c r="E67" s="15" t="n">
        <v>4261.5324</v>
      </c>
      <c r="F67" s="15" t="n">
        <v>4568.1649</v>
      </c>
      <c r="G67" s="15" t="n">
        <v>3104.5367</v>
      </c>
      <c r="H67" s="15" t="n">
        <v>4581.5309</v>
      </c>
      <c r="I67" s="17">
        <f>IF(OR(E67="",E66=""),"",E67/E66-1)</f>
        <v/>
      </c>
      <c r="J67" s="17">
        <f>IF(OR(F67="",F66=""),"",F67/F66-1)</f>
        <v/>
      </c>
      <c r="K67" s="17">
        <f>IF(OR(G67="",G66=""),"",G67/G66-1)</f>
        <v/>
      </c>
      <c r="L67" s="17">
        <f>IF(OR(H67="",H66=""),"",H67/H66-1)</f>
        <v/>
      </c>
      <c r="M67" s="18">
        <f>IF(OR(E67="",E55=""),"",E67/E55-1)</f>
        <v/>
      </c>
      <c r="N67" s="18">
        <f>IF(OR(F67="",F55=""),"",F67/F55-1)</f>
        <v/>
      </c>
      <c r="O67" s="18">
        <f>IF(OR(G67="",G55=""),"",G67/G55-1)</f>
        <v/>
      </c>
      <c r="P67" s="18">
        <f>IF(OR(E67="",E64=""),"",(E67/E64)^4-1)</f>
        <v/>
      </c>
      <c r="Q67" s="18">
        <f>IF(OR(F67="",F64=""),"",(F67/F64)^4-1)</f>
        <v/>
      </c>
      <c r="R67" s="18">
        <f>IF(OR(E67="",E61=""),"",(E67/E61)^2-1)</f>
        <v/>
      </c>
      <c r="S67" s="18">
        <f>IF(E67="","",IFERROR(E67/INDEX($E:$E,MATCH(C67-1&amp;"-12",$B:$B,0))-1,""))</f>
        <v/>
      </c>
      <c r="T67" s="19">
        <f>IF(OR(K67="",J67=""),"",(K67-J67)*100)</f>
        <v/>
      </c>
      <c r="U67" s="20">
        <f>IF(OR(G67="",F67=""),"",(G67/INDEX($G:$G,MATCH("2023-12",$B:$B,0)))/(F67/INDEX($F:$F,MATCH("2023-12",$B:$B,0)))*100)</f>
        <v/>
      </c>
    </row>
    <row r="68">
      <c r="B68" s="13" t="inlineStr">
        <is>
          <t>2024-02</t>
        </is>
      </c>
      <c r="C68" s="14" t="n">
        <v>2024</v>
      </c>
      <c r="D68" s="14" t="n">
        <v>2</v>
      </c>
      <c r="E68" s="15" t="n">
        <v>4825.7881</v>
      </c>
      <c r="F68" s="15" t="n">
        <v>5129.5988</v>
      </c>
      <c r="G68" s="15" t="n">
        <v>3759.784</v>
      </c>
      <c r="H68" s="15" t="n">
        <v>4979.8267</v>
      </c>
      <c r="I68" s="17">
        <f>IF(OR(E68="",E67=""),"",E68/E67-1)</f>
        <v/>
      </c>
      <c r="J68" s="17">
        <f>IF(OR(F68="",F67=""),"",F68/F67-1)</f>
        <v/>
      </c>
      <c r="K68" s="17">
        <f>IF(OR(G68="",G67=""),"",G68/G67-1)</f>
        <v/>
      </c>
      <c r="L68" s="17">
        <f>IF(OR(H68="",H67=""),"",H68/H67-1)</f>
        <v/>
      </c>
      <c r="M68" s="18">
        <f>IF(OR(E68="",E56=""),"",E68/E56-1)</f>
        <v/>
      </c>
      <c r="N68" s="18">
        <f>IF(OR(F68="",F56=""),"",F68/F56-1)</f>
        <v/>
      </c>
      <c r="O68" s="18">
        <f>IF(OR(G68="",G56=""),"",G68/G56-1)</f>
        <v/>
      </c>
      <c r="P68" s="18">
        <f>IF(OR(E68="",E65=""),"",(E68/E65)^4-1)</f>
        <v/>
      </c>
      <c r="Q68" s="18">
        <f>IF(OR(F68="",F65=""),"",(F68/F65)^4-1)</f>
        <v/>
      </c>
      <c r="R68" s="18">
        <f>IF(OR(E68="",E62=""),"",(E68/E62)^2-1)</f>
        <v/>
      </c>
      <c r="S68" s="18">
        <f>IF(E68="","",IFERROR(E68/INDEX($E:$E,MATCH(C68-1&amp;"-12",$B:$B,0))-1,""))</f>
        <v/>
      </c>
      <c r="T68" s="19">
        <f>IF(OR(K68="",J68=""),"",(K68-J68)*100)</f>
        <v/>
      </c>
      <c r="U68" s="20">
        <f>IF(OR(G68="",F68=""),"",(G68/INDEX($G:$G,MATCH("2023-12",$B:$B,0)))/(F68/INDEX($F:$F,MATCH("2023-12",$B:$B,0)))*100)</f>
        <v/>
      </c>
    </row>
    <row r="69">
      <c r="B69" s="13" t="inlineStr">
        <is>
          <t>2024-03</t>
        </is>
      </c>
      <c r="C69" s="14" t="n">
        <v>2024</v>
      </c>
      <c r="D69" s="14" t="n">
        <v>3</v>
      </c>
      <c r="E69" s="15" t="n">
        <v>5357.0929</v>
      </c>
      <c r="F69" s="15" t="n">
        <v>5612.3991</v>
      </c>
      <c r="G69" s="15" t="n">
        <v>4441.3132</v>
      </c>
      <c r="H69" s="15" t="n">
        <v>5534.7104</v>
      </c>
      <c r="I69" s="17">
        <f>IF(OR(E69="",E68=""),"",E69/E68-1)</f>
        <v/>
      </c>
      <c r="J69" s="17">
        <f>IF(OR(F69="",F68=""),"",F69/F68-1)</f>
        <v/>
      </c>
      <c r="K69" s="17">
        <f>IF(OR(G69="",G68=""),"",G69/G68-1)</f>
        <v/>
      </c>
      <c r="L69" s="17">
        <f>IF(OR(H69="",H68=""),"",H69/H68-1)</f>
        <v/>
      </c>
      <c r="M69" s="18">
        <f>IF(OR(E69="",E57=""),"",E69/E57-1)</f>
        <v/>
      </c>
      <c r="N69" s="18">
        <f>IF(OR(F69="",F57=""),"",F69/F57-1)</f>
        <v/>
      </c>
      <c r="O69" s="18">
        <f>IF(OR(G69="",G57=""),"",G69/G57-1)</f>
        <v/>
      </c>
      <c r="P69" s="18">
        <f>IF(OR(E69="",E66=""),"",(E69/E66)^4-1)</f>
        <v/>
      </c>
      <c r="Q69" s="18">
        <f>IF(OR(F69="",F66=""),"",(F69/F66)^4-1)</f>
        <v/>
      </c>
      <c r="R69" s="18">
        <f>IF(OR(E69="",E63=""),"",(E69/E63)^2-1)</f>
        <v/>
      </c>
      <c r="S69" s="18">
        <f>IF(E69="","",IFERROR(E69/INDEX($E:$E,MATCH(C69-1&amp;"-12",$B:$B,0))-1,""))</f>
        <v/>
      </c>
      <c r="T69" s="19">
        <f>IF(OR(K69="",J69=""),"",(K69-J69)*100)</f>
        <v/>
      </c>
      <c r="U69" s="20">
        <f>IF(OR(G69="",F69=""),"",(G69/INDEX($G:$G,MATCH("2023-12",$B:$B,0)))/(F69/INDEX($F:$F,MATCH("2023-12",$B:$B,0)))*100)</f>
        <v/>
      </c>
    </row>
    <row r="70">
      <c r="B70" s="13" t="inlineStr">
        <is>
          <t>2024-04</t>
        </is>
      </c>
      <c r="C70" s="14" t="n">
        <v>2024</v>
      </c>
      <c r="D70" s="14" t="n">
        <v>4</v>
      </c>
      <c r="E70" s="15" t="n">
        <v>5830.2271</v>
      </c>
      <c r="F70" s="15" t="n">
        <v>5965.8926</v>
      </c>
      <c r="G70" s="15" t="n">
        <v>5258.2523</v>
      </c>
      <c r="H70" s="15" t="n">
        <v>6085.2438</v>
      </c>
      <c r="I70" s="17">
        <f>IF(OR(E70="",E69=""),"",E70/E69-1)</f>
        <v/>
      </c>
      <c r="J70" s="17">
        <f>IF(OR(F70="",F69=""),"",F70/F69-1)</f>
        <v/>
      </c>
      <c r="K70" s="17">
        <f>IF(OR(G70="",G69=""),"",G70/G69-1)</f>
        <v/>
      </c>
      <c r="L70" s="17">
        <f>IF(OR(H70="",H69=""),"",H70/H69-1)</f>
        <v/>
      </c>
      <c r="M70" s="18">
        <f>IF(OR(E70="",E58=""),"",E70/E58-1)</f>
        <v/>
      </c>
      <c r="N70" s="18">
        <f>IF(OR(F70="",F58=""),"",F70/F58-1)</f>
        <v/>
      </c>
      <c r="O70" s="18">
        <f>IF(OR(G70="",G58=""),"",G70/G58-1)</f>
        <v/>
      </c>
      <c r="P70" s="18">
        <f>IF(OR(E70="",E67=""),"",(E70/E67)^4-1)</f>
        <v/>
      </c>
      <c r="Q70" s="18">
        <f>IF(OR(F70="",F67=""),"",(F70/F67)^4-1)</f>
        <v/>
      </c>
      <c r="R70" s="18">
        <f>IF(OR(E70="",E64=""),"",(E70/E64)^2-1)</f>
        <v/>
      </c>
      <c r="S70" s="18">
        <f>IF(E70="","",IFERROR(E70/INDEX($E:$E,MATCH(C70-1&amp;"-12",$B:$B,0))-1,""))</f>
        <v/>
      </c>
      <c r="T70" s="19">
        <f>IF(OR(K70="",J70=""),"",(K70-J70)*100)</f>
        <v/>
      </c>
      <c r="U70" s="20">
        <f>IF(OR(G70="",F70=""),"",(G70/INDEX($G:$G,MATCH("2023-12",$B:$B,0)))/(F70/INDEX($F:$F,MATCH("2023-12",$B:$B,0)))*100)</f>
        <v/>
      </c>
    </row>
    <row r="71">
      <c r="B71" s="13" t="inlineStr">
        <is>
          <t>2024-05</t>
        </is>
      </c>
      <c r="C71" s="14" t="n">
        <v>2024</v>
      </c>
      <c r="D71" s="14" t="n">
        <v>5</v>
      </c>
      <c r="E71" s="15" t="n">
        <v>6073.7</v>
      </c>
      <c r="F71" s="15" t="n">
        <v>6188.7</v>
      </c>
      <c r="G71" s="15" t="n">
        <v>5469.5</v>
      </c>
      <c r="H71" s="15" t="n">
        <v>6521.2</v>
      </c>
      <c r="I71" s="17">
        <f>IF(OR(E71="",E70=""),"",E71/E70-1)</f>
        <v/>
      </c>
      <c r="J71" s="17">
        <f>IF(OR(F71="",F70=""),"",F71/F70-1)</f>
        <v/>
      </c>
      <c r="K71" s="17">
        <f>IF(OR(G71="",G70=""),"",G71/G70-1)</f>
        <v/>
      </c>
      <c r="L71" s="17">
        <f>IF(OR(H71="",H70=""),"",H71/H70-1)</f>
        <v/>
      </c>
      <c r="M71" s="18">
        <f>IF(OR(E71="",E59=""),"",E71/E59-1)</f>
        <v/>
      </c>
      <c r="N71" s="18">
        <f>IF(OR(F71="",F59=""),"",F71/F59-1)</f>
        <v/>
      </c>
      <c r="O71" s="18">
        <f>IF(OR(G71="",G59=""),"",G71/G59-1)</f>
        <v/>
      </c>
      <c r="P71" s="18">
        <f>IF(OR(E71="",E68=""),"",(E71/E68)^4-1)</f>
        <v/>
      </c>
      <c r="Q71" s="18">
        <f>IF(OR(F71="",F68=""),"",(F71/F68)^4-1)</f>
        <v/>
      </c>
      <c r="R71" s="18">
        <f>IF(OR(E71="",E65=""),"",(E71/E65)^2-1)</f>
        <v/>
      </c>
      <c r="S71" s="18">
        <f>IF(E71="","",IFERROR(E71/INDEX($E:$E,MATCH(C71-1&amp;"-12",$B:$B,0))-1,""))</f>
        <v/>
      </c>
      <c r="T71" s="19">
        <f>IF(OR(K71="",J71=""),"",(K71-J71)*100)</f>
        <v/>
      </c>
      <c r="U71" s="20">
        <f>IF(OR(G71="",F71=""),"",(G71/INDEX($G:$G,MATCH("2023-12",$B:$B,0)))/(F71/INDEX($F:$F,MATCH("2023-12",$B:$B,0)))*100)</f>
        <v/>
      </c>
    </row>
    <row r="72">
      <c r="B72" s="13" t="inlineStr">
        <is>
          <t>2024-06</t>
        </is>
      </c>
      <c r="C72" s="14" t="n">
        <v>2024</v>
      </c>
      <c r="D72" s="14" t="n">
        <v>6</v>
      </c>
      <c r="E72" s="15" t="n">
        <v>6351.7145</v>
      </c>
      <c r="F72" s="15" t="n">
        <v>6414.6575</v>
      </c>
      <c r="G72" s="15" t="n">
        <v>5910.154</v>
      </c>
      <c r="H72" s="15" t="n">
        <v>6811.1236</v>
      </c>
      <c r="I72" s="17">
        <f>IF(OR(E72="",E71=""),"",E72/E71-1)</f>
        <v/>
      </c>
      <c r="J72" s="17">
        <f>IF(OR(F72="",F71=""),"",F72/F71-1)</f>
        <v/>
      </c>
      <c r="K72" s="17">
        <f>IF(OR(G72="",G71=""),"",G72/G71-1)</f>
        <v/>
      </c>
      <c r="L72" s="17">
        <f>IF(OR(H72="",H71=""),"",H72/H71-1)</f>
        <v/>
      </c>
      <c r="M72" s="18">
        <f>IF(OR(E72="",E60=""),"",E72/E60-1)</f>
        <v/>
      </c>
      <c r="N72" s="18">
        <f>IF(OR(F72="",F60=""),"",F72/F60-1)</f>
        <v/>
      </c>
      <c r="O72" s="18">
        <f>IF(OR(G72="",G60=""),"",G72/G60-1)</f>
        <v/>
      </c>
      <c r="P72" s="18">
        <f>IF(OR(E72="",E69=""),"",(E72/E69)^4-1)</f>
        <v/>
      </c>
      <c r="Q72" s="18">
        <f>IF(OR(F72="",F69=""),"",(F72/F69)^4-1)</f>
        <v/>
      </c>
      <c r="R72" s="18">
        <f>IF(OR(E72="",E66=""),"",(E72/E66)^2-1)</f>
        <v/>
      </c>
      <c r="S72" s="18">
        <f>IF(E72="","",IFERROR(E72/INDEX($E:$E,MATCH(C72-1&amp;"-12",$B:$B,0))-1,""))</f>
        <v/>
      </c>
      <c r="T72" s="19">
        <f>IF(OR(K72="",J72=""),"",(K72-J72)*100)</f>
        <v/>
      </c>
      <c r="U72" s="20">
        <f>IF(OR(G72="",F72=""),"",(G72/INDEX($G:$G,MATCH("2023-12",$B:$B,0)))/(F72/INDEX($F:$F,MATCH("2023-12",$B:$B,0)))*100)</f>
        <v/>
      </c>
    </row>
    <row r="73">
      <c r="B73" s="13" t="inlineStr">
        <is>
          <t>2024-07</t>
        </is>
      </c>
      <c r="C73" s="14" t="n">
        <v>2024</v>
      </c>
      <c r="D73" s="14" t="n">
        <v>7</v>
      </c>
      <c r="E73" s="15" t="n">
        <v>6607.7479</v>
      </c>
      <c r="F73" s="15" t="n">
        <v>6657.49</v>
      </c>
      <c r="G73" s="15" t="n">
        <v>6166.198</v>
      </c>
      <c r="H73" s="15" t="n">
        <v>7156.7976</v>
      </c>
      <c r="I73" s="17">
        <f>IF(OR(E73="",E72=""),"",E73/E72-1)</f>
        <v/>
      </c>
      <c r="J73" s="17">
        <f>IF(OR(F73="",F72=""),"",F73/F72-1)</f>
        <v/>
      </c>
      <c r="K73" s="17">
        <f>IF(OR(G73="",G72=""),"",G73/G72-1)</f>
        <v/>
      </c>
      <c r="L73" s="17">
        <f>IF(OR(H73="",H72=""),"",H73/H72-1)</f>
        <v/>
      </c>
      <c r="M73" s="18">
        <f>IF(OR(E73="",E61=""),"",E73/E61-1)</f>
        <v/>
      </c>
      <c r="N73" s="18">
        <f>IF(OR(F73="",F61=""),"",F73/F61-1)</f>
        <v/>
      </c>
      <c r="O73" s="18">
        <f>IF(OR(G73="",G61=""),"",G73/G61-1)</f>
        <v/>
      </c>
      <c r="P73" s="18">
        <f>IF(OR(E73="",E70=""),"",(E73/E70)^4-1)</f>
        <v/>
      </c>
      <c r="Q73" s="18">
        <f>IF(OR(F73="",F70=""),"",(F73/F70)^4-1)</f>
        <v/>
      </c>
      <c r="R73" s="18">
        <f>IF(OR(E73="",E67=""),"",(E73/E67)^2-1)</f>
        <v/>
      </c>
      <c r="S73" s="18">
        <f>IF(E73="","",IFERROR(E73/INDEX($E:$E,MATCH(C73-1&amp;"-12",$B:$B,0))-1,""))</f>
        <v/>
      </c>
      <c r="T73" s="19">
        <f>IF(OR(K73="",J73=""),"",(K73-J73)*100)</f>
        <v/>
      </c>
      <c r="U73" s="20">
        <f>IF(OR(G73="",F73=""),"",(G73/INDEX($G:$G,MATCH("2023-12",$B:$B,0)))/(F73/INDEX($F:$F,MATCH("2023-12",$B:$B,0)))*100)</f>
        <v/>
      </c>
    </row>
    <row r="74">
      <c r="B74" s="13" t="inlineStr">
        <is>
          <t>2024-08</t>
        </is>
      </c>
      <c r="C74" s="14" t="n">
        <v>2024</v>
      </c>
      <c r="D74" s="14" t="n">
        <v>8</v>
      </c>
      <c r="E74" s="15" t="n">
        <v>6883.4412</v>
      </c>
      <c r="F74" s="15" t="n">
        <v>6931.7976</v>
      </c>
      <c r="G74" s="15" t="n">
        <v>6529.3696</v>
      </c>
      <c r="H74" s="15" t="n">
        <v>7266.119</v>
      </c>
      <c r="I74" s="17">
        <f>IF(OR(E74="",E73=""),"",E74/E73-1)</f>
        <v/>
      </c>
      <c r="J74" s="17">
        <f>IF(OR(F74="",F73=""),"",F74/F73-1)</f>
        <v/>
      </c>
      <c r="K74" s="17">
        <f>IF(OR(G74="",G73=""),"",G74/G73-1)</f>
        <v/>
      </c>
      <c r="L74" s="17">
        <f>IF(OR(H74="",H73=""),"",H74/H73-1)</f>
        <v/>
      </c>
      <c r="M74" s="18">
        <f>IF(OR(E74="",E62=""),"",E74/E62-1)</f>
        <v/>
      </c>
      <c r="N74" s="18">
        <f>IF(OR(F74="",F62=""),"",F74/F62-1)</f>
        <v/>
      </c>
      <c r="O74" s="18">
        <f>IF(OR(G74="",G62=""),"",G74/G62-1)</f>
        <v/>
      </c>
      <c r="P74" s="18">
        <f>IF(OR(E74="",E71=""),"",(E74/E71)^4-1)</f>
        <v/>
      </c>
      <c r="Q74" s="18">
        <f>IF(OR(F74="",F71=""),"",(F74/F71)^4-1)</f>
        <v/>
      </c>
      <c r="R74" s="18">
        <f>IF(OR(E74="",E68=""),"",(E74/E68)^2-1)</f>
        <v/>
      </c>
      <c r="S74" s="18">
        <f>IF(E74="","",IFERROR(E74/INDEX($E:$E,MATCH(C74-1&amp;"-12",$B:$B,0))-1,""))</f>
        <v/>
      </c>
      <c r="T74" s="19">
        <f>IF(OR(K74="",J74=""),"",(K74-J74)*100)</f>
        <v/>
      </c>
      <c r="U74" s="20">
        <f>IF(OR(G74="",F74=""),"",(G74/INDEX($G:$G,MATCH("2023-12",$B:$B,0)))/(F74/INDEX($F:$F,MATCH("2023-12",$B:$B,0)))*100)</f>
        <v/>
      </c>
    </row>
    <row r="75">
      <c r="B75" s="13" t="inlineStr">
        <is>
          <t>2024-09</t>
        </is>
      </c>
      <c r="C75" s="14" t="n">
        <v>2024</v>
      </c>
      <c r="D75" s="14" t="n">
        <v>9</v>
      </c>
      <c r="E75" s="15" t="n">
        <v>7122.2421</v>
      </c>
      <c r="F75" s="15" t="n">
        <v>7157.9271</v>
      </c>
      <c r="G75" s="15" t="n">
        <v>6825.2577</v>
      </c>
      <c r="H75" s="15" t="n">
        <v>7479.6823</v>
      </c>
      <c r="I75" s="17">
        <f>IF(OR(E75="",E74=""),"",E75/E74-1)</f>
        <v/>
      </c>
      <c r="J75" s="17">
        <f>IF(OR(F75="",F74=""),"",F75/F74-1)</f>
        <v/>
      </c>
      <c r="K75" s="17">
        <f>IF(OR(G75="",G74=""),"",G75/G74-1)</f>
        <v/>
      </c>
      <c r="L75" s="17">
        <f>IF(OR(H75="",H74=""),"",H75/H74-1)</f>
        <v/>
      </c>
      <c r="M75" s="18">
        <f>IF(OR(E75="",E63=""),"",E75/E63-1)</f>
        <v/>
      </c>
      <c r="N75" s="18">
        <f>IF(OR(F75="",F63=""),"",F75/F63-1)</f>
        <v/>
      </c>
      <c r="O75" s="18">
        <f>IF(OR(G75="",G63=""),"",G75/G63-1)</f>
        <v/>
      </c>
      <c r="P75" s="18">
        <f>IF(OR(E75="",E72=""),"",(E75/E72)^4-1)</f>
        <v/>
      </c>
      <c r="Q75" s="18">
        <f>IF(OR(F75="",F72=""),"",(F75/F72)^4-1)</f>
        <v/>
      </c>
      <c r="R75" s="18">
        <f>IF(OR(E75="",E69=""),"",(E75/E69)^2-1)</f>
        <v/>
      </c>
      <c r="S75" s="18">
        <f>IF(E75="","",IFERROR(E75/INDEX($E:$E,MATCH(C75-1&amp;"-12",$B:$B,0))-1,""))</f>
        <v/>
      </c>
      <c r="T75" s="19">
        <f>IF(OR(K75="",J75=""),"",(K75-J75)*100)</f>
        <v/>
      </c>
      <c r="U75" s="20">
        <f>IF(OR(G75="",F75=""),"",(G75/INDEX($G:$G,MATCH("2023-12",$B:$B,0)))/(F75/INDEX($F:$F,MATCH("2023-12",$B:$B,0)))*100)</f>
        <v/>
      </c>
    </row>
    <row r="76">
      <c r="B76" s="13" t="inlineStr">
        <is>
          <t>2024-10</t>
        </is>
      </c>
      <c r="C76" s="14" t="n">
        <v>2024</v>
      </c>
      <c r="D76" s="14" t="n">
        <v>10</v>
      </c>
      <c r="E76" s="15" t="n">
        <v>7313.9542</v>
      </c>
      <c r="F76" s="15" t="n">
        <v>7366.7823</v>
      </c>
      <c r="G76" s="15" t="n">
        <v>7009.2808</v>
      </c>
      <c r="H76" s="15" t="n">
        <v>7581.5911</v>
      </c>
      <c r="I76" s="17">
        <f>IF(OR(E76="",E75=""),"",E76/E75-1)</f>
        <v/>
      </c>
      <c r="J76" s="17">
        <f>IF(OR(F76="",F75=""),"",F76/F75-1)</f>
        <v/>
      </c>
      <c r="K76" s="17">
        <f>IF(OR(G76="",G75=""),"",G76/G75-1)</f>
        <v/>
      </c>
      <c r="L76" s="17">
        <f>IF(OR(H76="",H75=""),"",H76/H75-1)</f>
        <v/>
      </c>
      <c r="M76" s="18">
        <f>IF(OR(E76="",E64=""),"",E76/E64-1)</f>
        <v/>
      </c>
      <c r="N76" s="18">
        <f>IF(OR(F76="",F64=""),"",F76/F64-1)</f>
        <v/>
      </c>
      <c r="O76" s="18">
        <f>IF(OR(G76="",G64=""),"",G76/G64-1)</f>
        <v/>
      </c>
      <c r="P76" s="18">
        <f>IF(OR(E76="",E73=""),"",(E76/E73)^4-1)</f>
        <v/>
      </c>
      <c r="Q76" s="18">
        <f>IF(OR(F76="",F73=""),"",(F76/F73)^4-1)</f>
        <v/>
      </c>
      <c r="R76" s="18">
        <f>IF(OR(E76="",E70=""),"",(E76/E70)^2-1)</f>
        <v/>
      </c>
      <c r="S76" s="18">
        <f>IF(E76="","",IFERROR(E76/INDEX($E:$E,MATCH(C76-1&amp;"-12",$B:$B,0))-1,""))</f>
        <v/>
      </c>
      <c r="T76" s="19">
        <f>IF(OR(K76="",J76=""),"",(K76-J76)*100)</f>
        <v/>
      </c>
      <c r="U76" s="20">
        <f>IF(OR(G76="",F76=""),"",(G76/INDEX($G:$G,MATCH("2023-12",$B:$B,0)))/(F76/INDEX($F:$F,MATCH("2023-12",$B:$B,0)))*100)</f>
        <v/>
      </c>
    </row>
    <row r="77">
      <c r="B77" s="13" t="inlineStr">
        <is>
          <t>2024-11</t>
        </is>
      </c>
      <c r="C77" s="14" t="n">
        <v>2024</v>
      </c>
      <c r="D77" s="14" t="n">
        <v>11</v>
      </c>
      <c r="E77" s="15" t="n">
        <v>7491.4314</v>
      </c>
      <c r="F77" s="15" t="n">
        <v>7566.7782</v>
      </c>
      <c r="G77" s="15" t="n">
        <v>7257.6652</v>
      </c>
      <c r="H77" s="15" t="n">
        <v>7490.4606</v>
      </c>
      <c r="I77" s="17">
        <f>IF(OR(E77="",E76=""),"",E77/E76-1)</f>
        <v/>
      </c>
      <c r="J77" s="17">
        <f>IF(OR(F77="",F76=""),"",F77/F76-1)</f>
        <v/>
      </c>
      <c r="K77" s="17">
        <f>IF(OR(G77="",G76=""),"",G77/G76-1)</f>
        <v/>
      </c>
      <c r="L77" s="17">
        <f>IF(OR(H77="",H76=""),"",H77/H76-1)</f>
        <v/>
      </c>
      <c r="M77" s="18">
        <f>IF(OR(E77="",E65=""),"",E77/E65-1)</f>
        <v/>
      </c>
      <c r="N77" s="18">
        <f>IF(OR(F77="",F65=""),"",F77/F65-1)</f>
        <v/>
      </c>
      <c r="O77" s="18">
        <f>IF(OR(G77="",G65=""),"",G77/G65-1)</f>
        <v/>
      </c>
      <c r="P77" s="18">
        <f>IF(OR(E77="",E74=""),"",(E77/E74)^4-1)</f>
        <v/>
      </c>
      <c r="Q77" s="18">
        <f>IF(OR(F77="",F74=""),"",(F77/F74)^4-1)</f>
        <v/>
      </c>
      <c r="R77" s="18">
        <f>IF(OR(E77="",E71=""),"",(E77/E71)^2-1)</f>
        <v/>
      </c>
      <c r="S77" s="18">
        <f>IF(E77="","",IFERROR(E77/INDEX($E:$E,MATCH(C77-1&amp;"-12",$B:$B,0))-1,""))</f>
        <v/>
      </c>
      <c r="T77" s="19">
        <f>IF(OR(K77="",J77=""),"",(K77-J77)*100)</f>
        <v/>
      </c>
      <c r="U77" s="20">
        <f>IF(OR(G77="",F77=""),"",(G77/INDEX($G:$G,MATCH("2023-12",$B:$B,0)))/(F77/INDEX($F:$F,MATCH("2023-12",$B:$B,0)))*100)</f>
        <v/>
      </c>
    </row>
    <row r="78">
      <c r="B78" s="13" t="inlineStr">
        <is>
          <t>2024-12</t>
        </is>
      </c>
      <c r="C78" s="14" t="n">
        <v>2024</v>
      </c>
      <c r="D78" s="14" t="n">
        <v>12</v>
      </c>
      <c r="E78" s="15" t="n">
        <v>7694.0075</v>
      </c>
      <c r="F78" s="15" t="n">
        <v>7808.7094</v>
      </c>
      <c r="G78" s="15" t="n">
        <v>7502.5373</v>
      </c>
      <c r="H78" s="15" t="n">
        <v>7385.2224</v>
      </c>
      <c r="I78" s="17">
        <f>IF(OR(E78="",E77=""),"",E78/E77-1)</f>
        <v/>
      </c>
      <c r="J78" s="17">
        <f>IF(OR(F78="",F77=""),"",F78/F77-1)</f>
        <v/>
      </c>
      <c r="K78" s="17">
        <f>IF(OR(G78="",G77=""),"",G78/G77-1)</f>
        <v/>
      </c>
      <c r="L78" s="17">
        <f>IF(OR(H78="",H77=""),"",H78/H77-1)</f>
        <v/>
      </c>
      <c r="M78" s="18">
        <f>IF(OR(E78="",E66=""),"",E78/E66-1)</f>
        <v/>
      </c>
      <c r="N78" s="18">
        <f>IF(OR(F78="",F66=""),"",F78/F66-1)</f>
        <v/>
      </c>
      <c r="O78" s="18">
        <f>IF(OR(G78="",G66=""),"",G78/G66-1)</f>
        <v/>
      </c>
      <c r="P78" s="18">
        <f>IF(OR(E78="",E75=""),"",(E78/E75)^4-1)</f>
        <v/>
      </c>
      <c r="Q78" s="18">
        <f>IF(OR(F78="",F75=""),"",(F78/F75)^4-1)</f>
        <v/>
      </c>
      <c r="R78" s="18">
        <f>IF(OR(E78="",E72=""),"",(E78/E72)^2-1)</f>
        <v/>
      </c>
      <c r="S78" s="18">
        <f>IF(E78="","",IFERROR(E78/INDEX($E:$E,MATCH(C78-1&amp;"-12",$B:$B,0))-1,""))</f>
        <v/>
      </c>
      <c r="T78" s="19">
        <f>IF(OR(K78="",J78=""),"",(K78-J78)*100)</f>
        <v/>
      </c>
      <c r="U78" s="20">
        <f>IF(OR(G78="",F78=""),"",(G78/INDEX($G:$G,MATCH("2023-12",$B:$B,0)))/(F78/INDEX($F:$F,MATCH("2023-12",$B:$B,0)))*100)</f>
        <v/>
      </c>
    </row>
    <row r="79">
      <c r="B79" s="13" t="inlineStr">
        <is>
          <t>2025-01</t>
        </is>
      </c>
      <c r="C79" s="14" t="n">
        <v>2025</v>
      </c>
      <c r="D79" s="14" t="n">
        <v>1</v>
      </c>
      <c r="E79" s="15" t="n">
        <v>7864.1257</v>
      </c>
      <c r="F79" s="15" t="n">
        <v>7995.938</v>
      </c>
      <c r="G79" s="15" t="n">
        <v>7698.607</v>
      </c>
      <c r="H79" s="15" t="n">
        <v>7411.5104</v>
      </c>
      <c r="I79" s="17">
        <f>IF(OR(E79="",E78=""),"",E79/E78-1)</f>
        <v/>
      </c>
      <c r="J79" s="17">
        <f>IF(OR(F79="",F78=""),"",F79/F78-1)</f>
        <v/>
      </c>
      <c r="K79" s="17">
        <f>IF(OR(G79="",G78=""),"",G79/G78-1)</f>
        <v/>
      </c>
      <c r="L79" s="17">
        <f>IF(OR(H79="",H78=""),"",H79/H78-1)</f>
        <v/>
      </c>
      <c r="M79" s="18">
        <f>IF(OR(E79="",E67=""),"",E79/E67-1)</f>
        <v/>
      </c>
      <c r="N79" s="18">
        <f>IF(OR(F79="",F67=""),"",F79/F67-1)</f>
        <v/>
      </c>
      <c r="O79" s="18">
        <f>IF(OR(G79="",G67=""),"",G79/G67-1)</f>
        <v/>
      </c>
      <c r="P79" s="18">
        <f>IF(OR(E79="",E76=""),"",(E79/E76)^4-1)</f>
        <v/>
      </c>
      <c r="Q79" s="18">
        <f>IF(OR(F79="",F76=""),"",(F79/F76)^4-1)</f>
        <v/>
      </c>
      <c r="R79" s="18">
        <f>IF(OR(E79="",E73=""),"",(E79/E73)^2-1)</f>
        <v/>
      </c>
      <c r="S79" s="18">
        <f>IF(E79="","",IFERROR(E79/INDEX($E:$E,MATCH(C79-1&amp;"-12",$B:$B,0))-1,""))</f>
        <v/>
      </c>
      <c r="T79" s="19">
        <f>IF(OR(K79="",J79=""),"",(K79-J79)*100)</f>
        <v/>
      </c>
      <c r="U79" s="20">
        <f>IF(OR(G79="",F79=""),"",(G79/INDEX($G:$G,MATCH("2023-12",$B:$B,0)))/(F79/INDEX($F:$F,MATCH("2023-12",$B:$B,0)))*100)</f>
        <v/>
      </c>
    </row>
    <row r="80">
      <c r="B80" s="13" t="inlineStr">
        <is>
          <t>2025-02</t>
        </is>
      </c>
      <c r="C80" s="14" t="n">
        <v>2025</v>
      </c>
      <c r="D80" s="14" t="n">
        <v>2</v>
      </c>
      <c r="E80" s="15" t="n">
        <v>8052.9927</v>
      </c>
      <c r="F80" s="15" t="n">
        <v>8229.4476</v>
      </c>
      <c r="G80" s="15" t="n">
        <v>7877.3099</v>
      </c>
      <c r="H80" s="15" t="n">
        <v>7350.8325</v>
      </c>
      <c r="I80" s="17">
        <f>IF(OR(E80="",E79=""),"",E80/E79-1)</f>
        <v/>
      </c>
      <c r="J80" s="17">
        <f>IF(OR(F80="",F79=""),"",F80/F79-1)</f>
        <v/>
      </c>
      <c r="K80" s="17">
        <f>IF(OR(G80="",G79=""),"",G80/G79-1)</f>
        <v/>
      </c>
      <c r="L80" s="17">
        <f>IF(OR(H80="",H79=""),"",H80/H79-1)</f>
        <v/>
      </c>
      <c r="M80" s="18">
        <f>IF(OR(E80="",E68=""),"",E80/E68-1)</f>
        <v/>
      </c>
      <c r="N80" s="18">
        <f>IF(OR(F80="",F68=""),"",F80/F68-1)</f>
        <v/>
      </c>
      <c r="O80" s="18">
        <f>IF(OR(G80="",G68=""),"",G80/G68-1)</f>
        <v/>
      </c>
      <c r="P80" s="18">
        <f>IF(OR(E80="",E77=""),"",(E80/E77)^4-1)</f>
        <v/>
      </c>
      <c r="Q80" s="18">
        <f>IF(OR(F80="",F77=""),"",(F80/F77)^4-1)</f>
        <v/>
      </c>
      <c r="R80" s="18">
        <f>IF(OR(E80="",E74=""),"",(E80/E74)^2-1)</f>
        <v/>
      </c>
      <c r="S80" s="18">
        <f>IF(E80="","",IFERROR(E80/INDEX($E:$E,MATCH(C80-1&amp;"-12",$B:$B,0))-1,""))</f>
        <v/>
      </c>
      <c r="T80" s="19">
        <f>IF(OR(K80="",J80=""),"",(K80-J80)*100)</f>
        <v/>
      </c>
      <c r="U80" s="20">
        <f>IF(OR(G80="",F80=""),"",(G80/INDEX($G:$G,MATCH("2023-12",$B:$B,0)))/(F80/INDEX($F:$F,MATCH("2023-12",$B:$B,0)))*100)</f>
        <v/>
      </c>
    </row>
    <row r="81">
      <c r="B81" s="13" t="inlineStr">
        <is>
          <t>2025-03</t>
        </is>
      </c>
      <c r="C81" s="14" t="n">
        <v>2025</v>
      </c>
      <c r="D81" s="14" t="n">
        <v>3</v>
      </c>
      <c r="E81" s="15" t="n">
        <v>8353.3158</v>
      </c>
      <c r="F81" s="15" t="n">
        <v>8492.196599999999</v>
      </c>
      <c r="G81" s="15" t="n">
        <v>8129.994</v>
      </c>
      <c r="H81" s="15" t="n">
        <v>7971.2748</v>
      </c>
      <c r="I81" s="17">
        <f>IF(OR(E81="",E80=""),"",E81/E80-1)</f>
        <v/>
      </c>
      <c r="J81" s="17">
        <f>IF(OR(F81="",F80=""),"",F81/F80-1)</f>
        <v/>
      </c>
      <c r="K81" s="17">
        <f>IF(OR(G81="",G80=""),"",G81/G80-1)</f>
        <v/>
      </c>
      <c r="L81" s="17">
        <f>IF(OR(H81="",H80=""),"",H81/H80-1)</f>
        <v/>
      </c>
      <c r="M81" s="18">
        <f>IF(OR(E81="",E69=""),"",E81/E69-1)</f>
        <v/>
      </c>
      <c r="N81" s="18">
        <f>IF(OR(F81="",F69=""),"",F81/F69-1)</f>
        <v/>
      </c>
      <c r="O81" s="18">
        <f>IF(OR(G81="",G69=""),"",G81/G69-1)</f>
        <v/>
      </c>
      <c r="P81" s="18">
        <f>IF(OR(E81="",E78=""),"",(E81/E78)^4-1)</f>
        <v/>
      </c>
      <c r="Q81" s="18">
        <f>IF(OR(F81="",F78=""),"",(F81/F78)^4-1)</f>
        <v/>
      </c>
      <c r="R81" s="18">
        <f>IF(OR(E81="",E75=""),"",(E81/E75)^2-1)</f>
        <v/>
      </c>
      <c r="S81" s="18">
        <f>IF(E81="","",IFERROR(E81/INDEX($E:$E,MATCH(C81-1&amp;"-12",$B:$B,0))-1,""))</f>
        <v/>
      </c>
      <c r="T81" s="19">
        <f>IF(OR(K81="",J81=""),"",(K81-J81)*100)</f>
        <v/>
      </c>
      <c r="U81" s="20">
        <f>IF(OR(G81="",F81=""),"",(G81/INDEX($G:$G,MATCH("2023-12",$B:$B,0)))/(F81/INDEX($F:$F,MATCH("2023-12",$B:$B,0)))*100)</f>
        <v/>
      </c>
    </row>
    <row r="82">
      <c r="B82" s="13" t="inlineStr">
        <is>
          <t>2025-04</t>
        </is>
      </c>
      <c r="C82" s="14" t="n">
        <v>2025</v>
      </c>
      <c r="D82" s="14" t="n">
        <v>4</v>
      </c>
      <c r="E82" s="15" t="n">
        <v>8585.6078</v>
      </c>
      <c r="F82" s="15" t="n">
        <v>8765.196599999999</v>
      </c>
      <c r="G82" s="15" t="n">
        <v>8273.8986</v>
      </c>
      <c r="H82" s="15" t="n">
        <v>8121.3082</v>
      </c>
      <c r="I82" s="17">
        <f>IF(OR(E82="",E81=""),"",E82/E81-1)</f>
        <v/>
      </c>
      <c r="J82" s="17">
        <f>IF(OR(F82="",F81=""),"",F82/F81-1)</f>
        <v/>
      </c>
      <c r="K82" s="17">
        <f>IF(OR(G82="",G81=""),"",G82/G81-1)</f>
        <v/>
      </c>
      <c r="L82" s="17">
        <f>IF(OR(H82="",H81=""),"",H82/H81-1)</f>
        <v/>
      </c>
      <c r="M82" s="18">
        <f>IF(OR(E82="",E70=""),"",E82/E70-1)</f>
        <v/>
      </c>
      <c r="N82" s="18">
        <f>IF(OR(F82="",F70=""),"",F82/F70-1)</f>
        <v/>
      </c>
      <c r="O82" s="18">
        <f>IF(OR(G82="",G70=""),"",G82/G70-1)</f>
        <v/>
      </c>
      <c r="P82" s="18">
        <f>IF(OR(E82="",E79=""),"",(E82/E79)^4-1)</f>
        <v/>
      </c>
      <c r="Q82" s="18">
        <f>IF(OR(F82="",F79=""),"",(F82/F79)^4-1)</f>
        <v/>
      </c>
      <c r="R82" s="18">
        <f>IF(OR(E82="",E76=""),"",(E82/E76)^2-1)</f>
        <v/>
      </c>
      <c r="S82" s="18">
        <f>IF(E82="","",IFERROR(E82/INDEX($E:$E,MATCH(C82-1&amp;"-12",$B:$B,0))-1,""))</f>
        <v/>
      </c>
      <c r="T82" s="19">
        <f>IF(OR(K82="",J82=""),"",(K82-J82)*100)</f>
        <v/>
      </c>
      <c r="U82" s="20">
        <f>IF(OR(G82="",F82=""),"",(G82/INDEX($G:$G,MATCH("2023-12",$B:$B,0)))/(F82/INDEX($F:$F,MATCH("2023-12",$B:$B,0)))*100)</f>
        <v/>
      </c>
    </row>
    <row r="83">
      <c r="B83" s="13" t="inlineStr">
        <is>
          <t>2025-05</t>
        </is>
      </c>
      <c r="C83" s="14" t="n">
        <v>2025</v>
      </c>
      <c r="D83" s="14" t="n">
        <v>5</v>
      </c>
      <c r="E83" s="15" t="n">
        <v>8714.4871</v>
      </c>
      <c r="F83" s="15" t="n">
        <v>8957.7912</v>
      </c>
      <c r="G83" s="15" t="n">
        <v>8382.495699999999</v>
      </c>
      <c r="H83" s="15" t="n">
        <v>7899.4762</v>
      </c>
      <c r="I83" s="17">
        <f>IF(OR(E83="",E82=""),"",E83/E82-1)</f>
        <v/>
      </c>
      <c r="J83" s="17">
        <f>IF(OR(F83="",F82=""),"",F83/F82-1)</f>
        <v/>
      </c>
      <c r="K83" s="17">
        <f>IF(OR(G83="",G82=""),"",G83/G82-1)</f>
        <v/>
      </c>
      <c r="L83" s="17">
        <f>IF(OR(H83="",H82=""),"",H83/H82-1)</f>
        <v/>
      </c>
      <c r="M83" s="18">
        <f>IF(OR(E83="",E71=""),"",E83/E71-1)</f>
        <v/>
      </c>
      <c r="N83" s="18">
        <f>IF(OR(F83="",F71=""),"",F83/F71-1)</f>
        <v/>
      </c>
      <c r="O83" s="18">
        <f>IF(OR(G83="",G71=""),"",G83/G71-1)</f>
        <v/>
      </c>
      <c r="P83" s="18">
        <f>IF(OR(E83="",E80=""),"",(E83/E80)^4-1)</f>
        <v/>
      </c>
      <c r="Q83" s="18">
        <f>IF(OR(F83="",F80=""),"",(F83/F80)^4-1)</f>
        <v/>
      </c>
      <c r="R83" s="18">
        <f>IF(OR(E83="",E77=""),"",(E83/E77)^2-1)</f>
        <v/>
      </c>
      <c r="S83" s="18">
        <f>IF(E83="","",IFERROR(E83/INDEX($E:$E,MATCH(C83-1&amp;"-12",$B:$B,0))-1,""))</f>
        <v/>
      </c>
      <c r="T83" s="19">
        <f>IF(OR(K83="",J83=""),"",(K83-J83)*100)</f>
        <v/>
      </c>
      <c r="U83" s="20">
        <f>IF(OR(G83="",F83=""),"",(G83/INDEX($G:$G,MATCH("2023-12",$B:$B,0)))/(F83/INDEX($F:$F,MATCH("2023-12",$B:$B,0)))*100)</f>
        <v/>
      </c>
    </row>
    <row r="84">
      <c r="B84" s="13" t="inlineStr">
        <is>
          <t>2025-06</t>
        </is>
      </c>
      <c r="C84" s="14" t="n">
        <v>2025</v>
      </c>
      <c r="D84" s="14" t="n">
        <v>6</v>
      </c>
      <c r="E84" s="15" t="n">
        <v>8855.5681</v>
      </c>
      <c r="F84" s="15" t="n">
        <v>9111.304</v>
      </c>
      <c r="G84" s="15" t="n">
        <v>8569.0645</v>
      </c>
      <c r="H84" s="15" t="n">
        <v>7882.5607</v>
      </c>
      <c r="I84" s="17">
        <f>IF(OR(E84="",E83=""),"",E84/E83-1)</f>
        <v/>
      </c>
      <c r="J84" s="17">
        <f>IF(OR(F84="",F83=""),"",F84/F83-1)</f>
        <v/>
      </c>
      <c r="K84" s="17">
        <f>IF(OR(G84="",G83=""),"",G84/G83-1)</f>
        <v/>
      </c>
      <c r="L84" s="17">
        <f>IF(OR(H84="",H83=""),"",H84/H83-1)</f>
        <v/>
      </c>
      <c r="M84" s="18">
        <f>IF(OR(E84="",E72=""),"",E84/E72-1)</f>
        <v/>
      </c>
      <c r="N84" s="18">
        <f>IF(OR(F84="",F72=""),"",F84/F72-1)</f>
        <v/>
      </c>
      <c r="O84" s="18">
        <f>IF(OR(G84="",G72=""),"",G84/G72-1)</f>
        <v/>
      </c>
      <c r="P84" s="18">
        <f>IF(OR(E84="",E81=""),"",(E84/E81)^4-1)</f>
        <v/>
      </c>
      <c r="Q84" s="18">
        <f>IF(OR(F84="",F81=""),"",(F84/F81)^4-1)</f>
        <v/>
      </c>
      <c r="R84" s="18">
        <f>IF(OR(E84="",E78=""),"",(E84/E78)^2-1)</f>
        <v/>
      </c>
      <c r="S84" s="18">
        <f>IF(E84="","",IFERROR(E84/INDEX($E:$E,MATCH(C84-1&amp;"-12",$B:$B,0))-1,""))</f>
        <v/>
      </c>
      <c r="T84" s="19">
        <f>IF(OR(K84="",J84=""),"",(K84-J84)*100)</f>
        <v/>
      </c>
      <c r="U84" s="20">
        <f>IF(OR(G84="",F84=""),"",(G84/INDEX($G:$G,MATCH("2023-12",$B:$B,0)))/(F84/INDEX($F:$F,MATCH("2023-12",$B:$B,0)))*100)</f>
        <v/>
      </c>
    </row>
    <row r="85">
      <c r="B85" s="13" t="inlineStr">
        <is>
          <t>2025-07</t>
        </is>
      </c>
      <c r="C85" s="14" t="n">
        <v>2025</v>
      </c>
      <c r="D85" s="14" t="n">
        <v>7</v>
      </c>
      <c r="E85" s="15" t="n">
        <v>9023.973</v>
      </c>
      <c r="F85" s="15" t="n">
        <v>9246.073700000001</v>
      </c>
      <c r="G85" s="15" t="n">
        <v>8766.629000000001</v>
      </c>
      <c r="H85" s="15" t="n">
        <v>8201.921200000001</v>
      </c>
      <c r="I85" s="17">
        <f>IF(OR(E85="",E84=""),"",E85/E84-1)</f>
        <v/>
      </c>
      <c r="J85" s="17">
        <f>IF(OR(F85="",F84=""),"",F85/F84-1)</f>
        <v/>
      </c>
      <c r="K85" s="17">
        <f>IF(OR(G85="",G84=""),"",G85/G84-1)</f>
        <v/>
      </c>
      <c r="L85" s="17">
        <f>IF(OR(H85="",H84=""),"",H85/H84-1)</f>
        <v/>
      </c>
      <c r="M85" s="18">
        <f>IF(OR(E85="",E73=""),"",E85/E73-1)</f>
        <v/>
      </c>
      <c r="N85" s="18">
        <f>IF(OR(F85="",F73=""),"",F85/F73-1)</f>
        <v/>
      </c>
      <c r="O85" s="18">
        <f>IF(OR(G85="",G73=""),"",G85/G73-1)</f>
        <v/>
      </c>
      <c r="P85" s="18">
        <f>IF(OR(E85="",E82=""),"",(E85/E82)^4-1)</f>
        <v/>
      </c>
      <c r="Q85" s="18">
        <f>IF(OR(F85="",F82=""),"",(F85/F82)^4-1)</f>
        <v/>
      </c>
      <c r="R85" s="18">
        <f>IF(OR(E85="",E79=""),"",(E85/E79)^2-1)</f>
        <v/>
      </c>
      <c r="S85" s="18">
        <f>IF(E85="","",IFERROR(E85/INDEX($E:$E,MATCH(C85-1&amp;"-12",$B:$B,0))-1,""))</f>
        <v/>
      </c>
      <c r="T85" s="19">
        <f>IF(OR(K85="",J85=""),"",(K85-J85)*100)</f>
        <v/>
      </c>
      <c r="U85" s="20">
        <f>IF(OR(G85="",F85=""),"",(G85/INDEX($G:$G,MATCH("2023-12",$B:$B,0)))/(F85/INDEX($F:$F,MATCH("2023-12",$B:$B,0)))*100)</f>
        <v/>
      </c>
    </row>
    <row r="86">
      <c r="B86" s="13" t="inlineStr">
        <is>
          <t>2025-08</t>
        </is>
      </c>
      <c r="C86" s="14" t="n">
        <v>2025</v>
      </c>
      <c r="D86" s="14" t="n">
        <v>8</v>
      </c>
      <c r="E86" s="15" t="n">
        <v>9193.2441</v>
      </c>
      <c r="F86" s="15" t="n">
        <v>9435.146699999999</v>
      </c>
      <c r="G86" s="15" t="n">
        <v>9000.5641</v>
      </c>
      <c r="H86" s="15" t="n">
        <v>8137.0132</v>
      </c>
      <c r="I86" s="17">
        <f>IF(OR(E86="",E85=""),"",E86/E85-1)</f>
        <v/>
      </c>
      <c r="J86" s="17">
        <f>IF(OR(F86="",F85=""),"",F86/F85-1)</f>
        <v/>
      </c>
      <c r="K86" s="17">
        <f>IF(OR(G86="",G85=""),"",G86/G85-1)</f>
        <v/>
      </c>
      <c r="L86" s="17">
        <f>IF(OR(H86="",H85=""),"",H86/H85-1)</f>
        <v/>
      </c>
      <c r="M86" s="18">
        <f>IF(OR(E86="",E74=""),"",E86/E74-1)</f>
        <v/>
      </c>
      <c r="N86" s="18">
        <f>IF(OR(F86="",F74=""),"",F86/F74-1)</f>
        <v/>
      </c>
      <c r="O86" s="18">
        <f>IF(OR(G86="",G74=""),"",G86/G74-1)</f>
        <v/>
      </c>
      <c r="P86" s="18">
        <f>IF(OR(E86="",E83=""),"",(E86/E83)^4-1)</f>
        <v/>
      </c>
      <c r="Q86" s="18">
        <f>IF(OR(F86="",F83=""),"",(F86/F83)^4-1)</f>
        <v/>
      </c>
      <c r="R86" s="18">
        <f>IF(OR(E86="",E80=""),"",(E86/E80)^2-1)</f>
        <v/>
      </c>
      <c r="S86" s="18">
        <f>IF(E86="","",IFERROR(E86/INDEX($E:$E,MATCH(C86-1&amp;"-12",$B:$B,0))-1,""))</f>
        <v/>
      </c>
      <c r="T86" s="19">
        <f>IF(OR(K86="",J86=""),"",(K86-J86)*100)</f>
        <v/>
      </c>
      <c r="U86" s="20">
        <f>IF(OR(G86="",F86=""),"",(G86/INDEX($G:$G,MATCH("2023-12",$B:$B,0)))/(F86/INDEX($F:$F,MATCH("2023-12",$B:$B,0)))*100)</f>
        <v/>
      </c>
    </row>
    <row r="87">
      <c r="B87" s="13" t="inlineStr">
        <is>
          <t>2025-09</t>
        </is>
      </c>
      <c r="C87" s="14" t="n">
        <v>2025</v>
      </c>
      <c r="D87" s="14" t="n">
        <v>9</v>
      </c>
      <c r="E87" s="15" t="n">
        <v>9384.092199999999</v>
      </c>
      <c r="F87" s="15" t="n">
        <v>9614.0254</v>
      </c>
      <c r="G87" s="15" t="n">
        <v>9237.6711</v>
      </c>
      <c r="H87" s="15" t="n">
        <v>8316.258</v>
      </c>
      <c r="I87" s="17">
        <f>IF(OR(E87="",E86=""),"",E87/E86-1)</f>
        <v/>
      </c>
      <c r="J87" s="17">
        <f>IF(OR(F87="",F86=""),"",F87/F86-1)</f>
        <v/>
      </c>
      <c r="K87" s="17">
        <f>IF(OR(G87="",G86=""),"",G87/G86-1)</f>
        <v/>
      </c>
      <c r="L87" s="17">
        <f>IF(OR(H87="",H86=""),"",H87/H86-1)</f>
        <v/>
      </c>
      <c r="M87" s="18">
        <f>IF(OR(E87="",E75=""),"",E87/E75-1)</f>
        <v/>
      </c>
      <c r="N87" s="18">
        <f>IF(OR(F87="",F75=""),"",F87/F75-1)</f>
        <v/>
      </c>
      <c r="O87" s="18">
        <f>IF(OR(G87="",G75=""),"",G87/G75-1)</f>
        <v/>
      </c>
      <c r="P87" s="18">
        <f>IF(OR(E87="",E84=""),"",(E87/E84)^4-1)</f>
        <v/>
      </c>
      <c r="Q87" s="18">
        <f>IF(OR(F87="",F84=""),"",(F87/F84)^4-1)</f>
        <v/>
      </c>
      <c r="R87" s="18">
        <f>IF(OR(E87="",E81=""),"",(E87/E81)^2-1)</f>
        <v/>
      </c>
      <c r="S87" s="18">
        <f>IF(E87="","",IFERROR(E87/INDEX($E:$E,MATCH(C87-1&amp;"-12",$B:$B,0))-1,""))</f>
        <v/>
      </c>
      <c r="T87" s="19">
        <f>IF(OR(K87="",J87=""),"",(K87-J87)*100)</f>
        <v/>
      </c>
      <c r="U87" s="20">
        <f>IF(OR(G87="",F87=""),"",(G87/INDEX($G:$G,MATCH("2023-12",$B:$B,0)))/(F87/INDEX($F:$F,MATCH("2023-12",$B:$B,0)))*100)</f>
        <v/>
      </c>
    </row>
    <row r="88">
      <c r="B88" s="13" t="inlineStr">
        <is>
          <t>2025-10</t>
        </is>
      </c>
      <c r="C88" s="14" t="n">
        <v>2025</v>
      </c>
      <c r="D88" s="14" t="n">
        <v>10</v>
      </c>
      <c r="E88" s="15" t="n">
        <v>9603.862300000001</v>
      </c>
      <c r="F88" s="15" t="n">
        <v>9827.141299999999</v>
      </c>
      <c r="G88" s="15" t="n">
        <v>9474.611500000001</v>
      </c>
      <c r="H88" s="15" t="n">
        <v>8548.579100000001</v>
      </c>
      <c r="I88" s="17">
        <f>IF(OR(E88="",E87=""),"",E88/E87-1)</f>
        <v/>
      </c>
      <c r="J88" s="17">
        <f>IF(OR(F88="",F87=""),"",F88/F87-1)</f>
        <v/>
      </c>
      <c r="K88" s="17">
        <f>IF(OR(G88="",G87=""),"",G88/G87-1)</f>
        <v/>
      </c>
      <c r="L88" s="17">
        <f>IF(OR(H88="",H87=""),"",H88/H87-1)</f>
        <v/>
      </c>
      <c r="M88" s="18">
        <f>IF(OR(E88="",E76=""),"",E88/E76-1)</f>
        <v/>
      </c>
      <c r="N88" s="18">
        <f>IF(OR(F88="",F76=""),"",F88/F76-1)</f>
        <v/>
      </c>
      <c r="O88" s="18">
        <f>IF(OR(G88="",G76=""),"",G88/G76-1)</f>
        <v/>
      </c>
      <c r="P88" s="18">
        <f>IF(OR(E88="",E85=""),"",(E88/E85)^4-1)</f>
        <v/>
      </c>
      <c r="Q88" s="18">
        <f>IF(OR(F88="",F85=""),"",(F88/F85)^4-1)</f>
        <v/>
      </c>
      <c r="R88" s="18">
        <f>IF(OR(E88="",E82=""),"",(E88/E82)^2-1)</f>
        <v/>
      </c>
      <c r="S88" s="18">
        <f>IF(E88="","",IFERROR(E88/INDEX($E:$E,MATCH(C88-1&amp;"-12",$B:$B,0))-1,""))</f>
        <v/>
      </c>
      <c r="T88" s="19">
        <f>IF(OR(K88="",J88=""),"",(K88-J88)*100)</f>
        <v/>
      </c>
      <c r="U88" s="20">
        <f>IF(OR(G88="",F88=""),"",(G88/INDEX($G:$G,MATCH("2023-12",$B:$B,0)))/(F88/INDEX($F:$F,MATCH("2023-12",$B:$B,0)))*100)</f>
        <v/>
      </c>
    </row>
    <row r="89">
      <c r="B89" s="13" t="inlineStr">
        <is>
          <t>2025-11</t>
        </is>
      </c>
      <c r="C89" s="14" t="n">
        <v>2025</v>
      </c>
      <c r="D89" s="14" t="n">
        <v>11</v>
      </c>
      <c r="E89" s="15" t="n">
        <v>9841.358099999999</v>
      </c>
      <c r="F89" s="15" t="n">
        <v>10086.4793</v>
      </c>
      <c r="G89" s="15" t="n">
        <v>9748.308999999999</v>
      </c>
      <c r="H89" s="15" t="n">
        <v>8584.937900000001</v>
      </c>
      <c r="I89" s="17">
        <f>IF(OR(E89="",E88=""),"",E89/E88-1)</f>
        <v/>
      </c>
      <c r="J89" s="17">
        <f>IF(OR(F89="",F88=""),"",F89/F88-1)</f>
        <v/>
      </c>
      <c r="K89" s="17">
        <f>IF(OR(G89="",G88=""),"",G89/G88-1)</f>
        <v/>
      </c>
      <c r="L89" s="17">
        <f>IF(OR(H89="",H88=""),"",H89/H88-1)</f>
        <v/>
      </c>
      <c r="M89" s="18">
        <f>IF(OR(E89="",E77=""),"",E89/E77-1)</f>
        <v/>
      </c>
      <c r="N89" s="18">
        <f>IF(OR(F89="",F77=""),"",F89/F77-1)</f>
        <v/>
      </c>
      <c r="O89" s="18">
        <f>IF(OR(G89="",G77=""),"",G89/G77-1)</f>
        <v/>
      </c>
      <c r="P89" s="18">
        <f>IF(OR(E89="",E86=""),"",(E89/E86)^4-1)</f>
        <v/>
      </c>
      <c r="Q89" s="18">
        <f>IF(OR(F89="",F86=""),"",(F89/F86)^4-1)</f>
        <v/>
      </c>
      <c r="R89" s="18">
        <f>IF(OR(E89="",E83=""),"",(E89/E83)^2-1)</f>
        <v/>
      </c>
      <c r="S89" s="18">
        <f>IF(E89="","",IFERROR(E89/INDEX($E:$E,MATCH(C89-1&amp;"-12",$B:$B,0))-1,""))</f>
        <v/>
      </c>
      <c r="T89" s="19">
        <f>IF(OR(K89="",J89=""),"",(K89-J89)*100)</f>
        <v/>
      </c>
      <c r="U89" s="20">
        <f>IF(OR(G89="",F89=""),"",(G89/INDEX($G:$G,MATCH("2023-12",$B:$B,0)))/(F89/INDEX($F:$F,MATCH("2023-12",$B:$B,0)))*100)</f>
        <v/>
      </c>
    </row>
    <row r="90">
      <c r="B90" s="13" t="inlineStr">
        <is>
          <t>2025-12</t>
        </is>
      </c>
      <c r="C90" s="14" t="n">
        <v>2025</v>
      </c>
      <c r="D90" s="14" t="n">
        <v>12</v>
      </c>
      <c r="E90" s="15" t="n">
        <v>10121.3715</v>
      </c>
      <c r="F90" s="15" t="n">
        <v>10392.4922</v>
      </c>
      <c r="G90" s="15" t="n">
        <v>10069.0986</v>
      </c>
      <c r="H90" s="15" t="n">
        <v>8637.1055</v>
      </c>
      <c r="I90" s="17">
        <f>IF(OR(E90="",E89=""),"",E90/E89-1)</f>
        <v/>
      </c>
      <c r="J90" s="17">
        <f>IF(OR(F90="",F89=""),"",F90/F89-1)</f>
        <v/>
      </c>
      <c r="K90" s="17">
        <f>IF(OR(G90="",G89=""),"",G90/G89-1)</f>
        <v/>
      </c>
      <c r="L90" s="17">
        <f>IF(OR(H90="",H89=""),"",H90/H89-1)</f>
        <v/>
      </c>
      <c r="M90" s="18">
        <f>IF(OR(E90="",E78=""),"",E90/E78-1)</f>
        <v/>
      </c>
      <c r="N90" s="18">
        <f>IF(OR(F90="",F78=""),"",F90/F78-1)</f>
        <v/>
      </c>
      <c r="O90" s="18">
        <f>IF(OR(G90="",G78=""),"",G90/G78-1)</f>
        <v/>
      </c>
      <c r="P90" s="18">
        <f>IF(OR(E90="",E87=""),"",(E90/E87)^4-1)</f>
        <v/>
      </c>
      <c r="Q90" s="18">
        <f>IF(OR(F90="",F87=""),"",(F90/F87)^4-1)</f>
        <v/>
      </c>
      <c r="R90" s="18">
        <f>IF(OR(E90="",E84=""),"",(E90/E84)^2-1)</f>
        <v/>
      </c>
      <c r="S90" s="18">
        <f>IF(E90="","",IFERROR(E90/INDEX($E:$E,MATCH(C90-1&amp;"-12",$B:$B,0))-1,""))</f>
        <v/>
      </c>
      <c r="T90" s="19">
        <f>IF(OR(K90="",J90=""),"",(K90-J90)*100)</f>
        <v/>
      </c>
      <c r="U90" s="20">
        <f>IF(OR(G90="",F90=""),"",(G90/INDEX($G:$G,MATCH("2023-12",$B:$B,0)))/(F90/INDEX($F:$F,MATCH("2023-12",$B:$B,0)))*100)</f>
        <v/>
      </c>
    </row>
    <row r="91">
      <c r="B91" s="13" t="inlineStr">
        <is>
          <t>2026-01</t>
        </is>
      </c>
      <c r="C91" s="14" t="n">
        <v>2026</v>
      </c>
      <c r="D91" s="14" t="n">
        <v>1</v>
      </c>
      <c r="E91" s="15" t="n">
        <v>10413.0309</v>
      </c>
      <c r="F91" s="15" t="n">
        <v>10665.8531</v>
      </c>
      <c r="G91" s="15" t="n">
        <v>10313.8016</v>
      </c>
      <c r="H91" s="15" t="n">
        <v>9130.050300000001</v>
      </c>
      <c r="I91" s="17">
        <f>IF(OR(E91="",E90=""),"",E91/E90-1)</f>
        <v/>
      </c>
      <c r="J91" s="17">
        <f>IF(OR(F91="",F90=""),"",F91/F90-1)</f>
        <v/>
      </c>
      <c r="K91" s="17">
        <f>IF(OR(G91="",G90=""),"",G91/G90-1)</f>
        <v/>
      </c>
      <c r="L91" s="17">
        <f>IF(OR(H91="",H90=""),"",H91/H90-1)</f>
        <v/>
      </c>
      <c r="M91" s="18">
        <f>IF(OR(E91="",E79=""),"",E91/E79-1)</f>
        <v/>
      </c>
      <c r="N91" s="18">
        <f>IF(OR(F91="",F79=""),"",F91/F79-1)</f>
        <v/>
      </c>
      <c r="O91" s="18">
        <f>IF(OR(G91="",G79=""),"",G91/G79-1)</f>
        <v/>
      </c>
      <c r="P91" s="18">
        <f>IF(OR(E91="",E88=""),"",(E91/E88)^4-1)</f>
        <v/>
      </c>
      <c r="Q91" s="18">
        <f>IF(OR(F91="",F88=""),"",(F91/F88)^4-1)</f>
        <v/>
      </c>
      <c r="R91" s="18">
        <f>IF(OR(E91="",E85=""),"",(E91/E85)^2-1)</f>
        <v/>
      </c>
      <c r="S91" s="18">
        <f>IF(E91="","",IFERROR(E91/INDEX($E:$E,MATCH(C91-1&amp;"-12",$B:$B,0))-1,""))</f>
        <v/>
      </c>
      <c r="T91" s="19">
        <f>IF(OR(K91="",J91=""),"",(K91-J91)*100)</f>
        <v/>
      </c>
      <c r="U91" s="20">
        <f>IF(OR(G91="",F91=""),"",(G91/INDEX($G:$G,MATCH("2023-12",$B:$B,0)))/(F91/INDEX($F:$F,MATCH("2023-12",$B:$B,0)))*100)</f>
        <v/>
      </c>
    </row>
    <row r="92">
      <c r="B92" s="13" t="inlineStr">
        <is>
          <t>2026-02</t>
        </is>
      </c>
      <c r="C92" s="14" t="n">
        <v>2026</v>
      </c>
      <c r="D92" s="14" t="n">
        <v>2</v>
      </c>
      <c r="E92" s="15" t="n">
        <v>10714.6255</v>
      </c>
      <c r="F92" s="15" t="n">
        <v>10993.8681</v>
      </c>
      <c r="G92" s="15" t="n">
        <v>10752.23</v>
      </c>
      <c r="H92" s="15" t="n">
        <v>9013.6124</v>
      </c>
      <c r="I92" s="17">
        <f>IF(OR(E92="",E91=""),"",E92/E91-1)</f>
        <v/>
      </c>
      <c r="J92" s="17">
        <f>IF(OR(F92="",F91=""),"",F92/F91-1)</f>
        <v/>
      </c>
      <c r="K92" s="17">
        <f>IF(OR(G92="",G91=""),"",G92/G91-1)</f>
        <v/>
      </c>
      <c r="L92" s="17">
        <f>IF(OR(H92="",H91=""),"",H92/H91-1)</f>
        <v/>
      </c>
      <c r="M92" s="18">
        <f>IF(OR(E92="",E80=""),"",E92/E80-1)</f>
        <v/>
      </c>
      <c r="N92" s="18">
        <f>IF(OR(F92="",F80=""),"",F92/F80-1)</f>
        <v/>
      </c>
      <c r="O92" s="18">
        <f>IF(OR(G92="",G80=""),"",G92/G80-1)</f>
        <v/>
      </c>
      <c r="P92" s="18">
        <f>IF(OR(E92="",E89=""),"",(E92/E89)^4-1)</f>
        <v/>
      </c>
      <c r="Q92" s="18">
        <f>IF(OR(F92="",F89=""),"",(F92/F89)^4-1)</f>
        <v/>
      </c>
      <c r="R92" s="18">
        <f>IF(OR(E92="",E86=""),"",(E92/E86)^2-1)</f>
        <v/>
      </c>
      <c r="S92" s="18">
        <f>IF(E92="","",IFERROR(E92/INDEX($E:$E,MATCH(C92-1&amp;"-12",$B:$B,0))-1,""))</f>
        <v/>
      </c>
      <c r="T92" s="19">
        <f>IF(OR(K92="",J92=""),"",(K92-J92)*100)</f>
        <v/>
      </c>
      <c r="U92" s="20">
        <f>IF(OR(G92="",F92=""),"",(G92/INDEX($G:$G,MATCH("2023-12",$B:$B,0)))/(F92/INDEX($F:$F,MATCH("2023-12",$B:$B,0)))*100)</f>
        <v/>
      </c>
    </row>
    <row r="93">
      <c r="B93" s="13" t="inlineStr">
        <is>
          <t>2026-03</t>
        </is>
      </c>
      <c r="C93" s="14" t="n">
        <v>2026</v>
      </c>
      <c r="D93" s="14" t="n">
        <v>3</v>
      </c>
      <c r="E93" s="15" t="n">
        <v>11077.0608</v>
      </c>
      <c r="F93" s="15" t="n">
        <v>11344.4566</v>
      </c>
      <c r="G93" s="15" t="n">
        <v>11298.7045</v>
      </c>
      <c r="H93" s="15" t="n">
        <v>9107.887000000001</v>
      </c>
      <c r="I93" s="17">
        <f>IF(OR(E93="",E92=""),"",E93/E92-1)</f>
        <v/>
      </c>
      <c r="J93" s="17">
        <f>IF(OR(F93="",F92=""),"",F93/F92-1)</f>
        <v/>
      </c>
      <c r="K93" s="17">
        <f>IF(OR(G93="",G92=""),"",G93/G92-1)</f>
        <v/>
      </c>
      <c r="L93" s="17">
        <f>IF(OR(H93="",H92=""),"",H93/H92-1)</f>
        <v/>
      </c>
      <c r="M93" s="18">
        <f>IF(OR(E93="",E81=""),"",E93/E81-1)</f>
        <v/>
      </c>
      <c r="N93" s="18">
        <f>IF(OR(F93="",F81=""),"",F93/F81-1)</f>
        <v/>
      </c>
      <c r="O93" s="18">
        <f>IF(OR(G93="",G81=""),"",G93/G81-1)</f>
        <v/>
      </c>
      <c r="P93" s="18">
        <f>IF(OR(E93="",E90=""),"",(E93/E90)^4-1)</f>
        <v/>
      </c>
      <c r="Q93" s="18">
        <f>IF(OR(F93="",F90=""),"",(F93/F90)^4-1)</f>
        <v/>
      </c>
      <c r="R93" s="18">
        <f>IF(OR(E93="",E87=""),"",(E93/E87)^2-1)</f>
        <v/>
      </c>
      <c r="S93" s="18">
        <f>IF(E93="","",IFERROR(E93/INDEX($E:$E,MATCH(C93-1&amp;"-12",$B:$B,0))-1,""))</f>
        <v/>
      </c>
      <c r="T93" s="19">
        <f>IF(OR(K93="",J93=""),"",(K93-J93)*100)</f>
        <v/>
      </c>
      <c r="U93" s="20">
        <f>IF(OR(G93="",F93=""),"",(G93/INDEX($G:$G,MATCH("2023-12",$B:$B,0)))/(F93/INDEX($F:$F,MATCH("2023-12",$B:$B,0)))*100)</f>
        <v/>
      </c>
    </row>
    <row r="94">
      <c r="B94" s="13" t="inlineStr">
        <is>
          <t>2026-04</t>
        </is>
      </c>
      <c r="C94" s="14" t="n">
        <v>2026</v>
      </c>
      <c r="D94" s="14" t="n">
        <v>4</v>
      </c>
      <c r="E94" s="15" t="n">
        <v>11363.0904</v>
      </c>
      <c r="F94" s="15" t="n">
        <v>11603.8447</v>
      </c>
      <c r="G94" s="15" t="n">
        <v>11828.0421</v>
      </c>
      <c r="H94" s="15" t="n">
        <v>9103.509599999999</v>
      </c>
      <c r="I94" s="17">
        <f>IF(OR(E94="",E93=""),"",E94/E93-1)</f>
        <v/>
      </c>
      <c r="J94" s="17">
        <f>IF(OR(F94="",F93=""),"",F94/F93-1)</f>
        <v/>
      </c>
      <c r="K94" s="17">
        <f>IF(OR(G94="",G93=""),"",G94/G93-1)</f>
        <v/>
      </c>
      <c r="L94" s="17">
        <f>IF(OR(H94="",H93=""),"",H94/H93-1)</f>
        <v/>
      </c>
      <c r="M94" s="18">
        <f>IF(OR(E94="",E82=""),"",E94/E82-1)</f>
        <v/>
      </c>
      <c r="N94" s="18">
        <f>IF(OR(F94="",F82=""),"",F94/F82-1)</f>
        <v/>
      </c>
      <c r="O94" s="18">
        <f>IF(OR(G94="",G82=""),"",G94/G82-1)</f>
        <v/>
      </c>
      <c r="P94" s="18">
        <f>IF(OR(E94="",E91=""),"",(E94/E91)^4-1)</f>
        <v/>
      </c>
      <c r="Q94" s="18">
        <f>IF(OR(F94="",F91=""),"",(F94/F91)^4-1)</f>
        <v/>
      </c>
      <c r="R94" s="18">
        <f>IF(OR(E94="",E88=""),"",(E94/E88)^2-1)</f>
        <v/>
      </c>
      <c r="S94" s="18">
        <f>IF(E94="","",IFERROR(E94/INDEX($E:$E,MATCH(C94-1&amp;"-12",$B:$B,0))-1,""))</f>
        <v/>
      </c>
      <c r="T94" s="19">
        <f>IF(OR(K94="",J94=""),"",(K94-J94)*100)</f>
        <v/>
      </c>
      <c r="U94" s="20">
        <f>IF(OR(G94="",F94=""),"",(G94/INDEX($G:$G,MATCH("2023-12",$B:$B,0)))/(F94/INDEX($F:$F,MATCH("2023-12",$B:$B,0)))*100)</f>
        <v/>
      </c>
    </row>
    <row r="95">
      <c r="B95" s="13" t="inlineStr">
        <is>
          <t>2026-05</t>
        </is>
      </c>
      <c r="C95" s="14" t="n">
        <v>2026</v>
      </c>
      <c r="D95" s="14" t="n">
        <v>5</v>
      </c>
      <c r="E95" s="15" t="n">
        <v>11607.3937</v>
      </c>
      <c r="F95" s="15" t="n">
        <v>11824.7213</v>
      </c>
      <c r="G95" s="15" t="n">
        <v>12111.4533</v>
      </c>
      <c r="H95" s="15" t="n">
        <v>9420.5342</v>
      </c>
      <c r="I95" s="17">
        <f>IF(OR(E95="",E94=""),"",E95/E94-1)</f>
        <v/>
      </c>
      <c r="J95" s="17">
        <f>IF(OR(F95="",F94=""),"",F95/F94-1)</f>
        <v/>
      </c>
      <c r="K95" s="17">
        <f>IF(OR(G95="",G94=""),"",G95/G94-1)</f>
        <v/>
      </c>
      <c r="L95" s="17">
        <f>IF(OR(H95="",H94=""),"",H95/H94-1)</f>
        <v/>
      </c>
      <c r="M95" s="18">
        <f>IF(OR(E95="",E83=""),"",E95/E83-1)</f>
        <v/>
      </c>
      <c r="N95" s="18">
        <f>IF(OR(F95="",F83=""),"",F95/F83-1)</f>
        <v/>
      </c>
      <c r="O95" s="18">
        <f>IF(OR(G95="",G83=""),"",G95/G83-1)</f>
        <v/>
      </c>
      <c r="P95" s="18">
        <f>IF(OR(E95="",E92=""),"",(E95/E92)^4-1)</f>
        <v/>
      </c>
      <c r="Q95" s="18">
        <f>IF(OR(F95="",F92=""),"",(F95/F92)^4-1)</f>
        <v/>
      </c>
      <c r="R95" s="18">
        <f>IF(OR(E95="",E89=""),"",(E95/E89)^2-1)</f>
        <v/>
      </c>
      <c r="S95" s="18">
        <f>IF(E95="","",IFERROR(E95/INDEX($E:$E,MATCH(C95-1&amp;"-12",$B:$B,0))-1,""))</f>
        <v/>
      </c>
      <c r="T95" s="19">
        <f>IF(OR(K95="",J95=""),"",(K95-J95)*100)</f>
        <v/>
      </c>
      <c r="U95" s="20">
        <f>IF(OR(G95="",F95=""),"",(G95/INDEX($G:$G,MATCH("2023-12",$B:$B,0)))/(F95/INDEX($F:$F,MATCH("2023-12",$B:$B,0)))*100)</f>
        <v/>
      </c>
    </row>
    <row r="96">
      <c r="B96" s="13" t="inlineStr">
        <is>
          <t>2026-06</t>
        </is>
      </c>
      <c r="C96" s="14" t="n">
        <v>2026</v>
      </c>
      <c r="D96" s="14" t="n">
        <v>6</v>
      </c>
      <c r="E96" s="15" t="n">
        <v>11826.4103</v>
      </c>
      <c r="F96" s="15" t="n">
        <v>12010.3199</v>
      </c>
      <c r="G96" s="15" t="n">
        <v>12389.4344</v>
      </c>
      <c r="H96" s="15" t="n">
        <v>9738.5609</v>
      </c>
      <c r="I96" s="17">
        <f>IF(OR(E96="",E95=""),"",E96/E95-1)</f>
        <v/>
      </c>
      <c r="J96" s="17">
        <f>IF(OR(F96="",F95=""),"",F96/F95-1)</f>
        <v/>
      </c>
      <c r="K96" s="17">
        <f>IF(OR(G96="",G95=""),"",G96/G95-1)</f>
        <v/>
      </c>
      <c r="L96" s="17">
        <f>IF(OR(H96="",H95=""),"",H96/H95-1)</f>
        <v/>
      </c>
      <c r="M96" s="18">
        <f>IF(OR(E96="",E84=""),"",E96/E84-1)</f>
        <v/>
      </c>
      <c r="N96" s="18">
        <f>IF(OR(F96="",F84=""),"",F96/F84-1)</f>
        <v/>
      </c>
      <c r="O96" s="18">
        <f>IF(OR(G96="",G84=""),"",G96/G84-1)</f>
        <v/>
      </c>
      <c r="P96" s="18">
        <f>IF(OR(E96="",E93=""),"",(E96/E93)^4-1)</f>
        <v/>
      </c>
      <c r="Q96" s="18">
        <f>IF(OR(F96="",F93=""),"",(F96/F93)^4-1)</f>
        <v/>
      </c>
      <c r="R96" s="18">
        <f>IF(OR(E96="",E90=""),"",(E96/E90)^2-1)</f>
        <v/>
      </c>
      <c r="S96" s="18">
        <f>IF(E96="","",IFERROR(E96/INDEX($E:$E,MATCH(C96-1&amp;"-12",$B:$B,0))-1,""))</f>
        <v/>
      </c>
      <c r="T96" s="19">
        <f>IF(OR(K96="",J96=""),"",(K96-J96)*100)</f>
        <v/>
      </c>
      <c r="U96" s="20">
        <f>IF(OR(G96="",F96=""),"",(G96/INDEX($G:$G,MATCH("2023-12",$B:$B,0)))/(F96/INDEX($F:$F,MATCH("2023-12",$B:$B,0)))*100)</f>
        <v/>
      </c>
    </row>
    <row r="97">
      <c r="B97" s="13" t="inlineStr">
        <is>
          <t>2026-07</t>
        </is>
      </c>
      <c r="C97" s="14" t="n">
        <v>2026</v>
      </c>
      <c r="D97" s="14" t="n">
        <v>7</v>
      </c>
      <c r="E97" s="21" t="n">
        <v>12074.1617</v>
      </c>
      <c r="F97" s="21" t="n">
        <v>12223.6338</v>
      </c>
      <c r="G97" s="21" t="n">
        <v>12653.2257</v>
      </c>
      <c r="H97" s="21" t="n">
        <v>10180.2471</v>
      </c>
      <c r="I97" s="17">
        <f>IF(OR(E97="",E96=""),"",E97/E96-1)</f>
        <v/>
      </c>
      <c r="J97" s="17">
        <f>IF(OR(F97="",F96=""),"",F97/F96-1)</f>
        <v/>
      </c>
      <c r="K97" s="17">
        <f>IF(OR(G97="",G96=""),"",G97/G96-1)</f>
        <v/>
      </c>
      <c r="L97" s="17">
        <f>IF(OR(H97="",H96=""),"",H97/H96-1)</f>
        <v/>
      </c>
      <c r="M97" s="18">
        <f>IF(OR(E97="",E85=""),"",E97/E85-1)</f>
        <v/>
      </c>
      <c r="N97" s="18">
        <f>IF(OR(F97="",F85=""),"",F97/F85-1)</f>
        <v/>
      </c>
      <c r="O97" s="18">
        <f>IF(OR(G97="",G85=""),"",G97/G85-1)</f>
        <v/>
      </c>
      <c r="P97" s="18">
        <f>IF(OR(E97="",E94=""),"",(E97/E94)^4-1)</f>
        <v/>
      </c>
      <c r="Q97" s="18">
        <f>IF(OR(F97="",F94=""),"",(F97/F94)^4-1)</f>
        <v/>
      </c>
      <c r="R97" s="18">
        <f>IF(OR(E97="",E91=""),"",(E97/E91)^2-1)</f>
        <v/>
      </c>
      <c r="S97" s="18">
        <f>IF(E97="","",IFERROR(E97/INDEX($E:$E,MATCH(C97-1&amp;"-12",$B:$B,0))-1,""))</f>
        <v/>
      </c>
      <c r="T97" s="19">
        <f>IF(OR(K97="",J97=""),"",(K97-J97)*100)</f>
        <v/>
      </c>
      <c r="U97" s="20">
        <f>IF(OR(G97="",F97=""),"",(G97/INDEX($G:$G,MATCH("2023-12",$B:$B,0)))/(F97/INDEX($F:$F,MATCH("2023-12",$B:$B,0)))*100)</f>
        <v/>
      </c>
    </row>
    <row r="98">
      <c r="B98" s="13" t="inlineStr">
        <is>
          <t>2026-08</t>
        </is>
      </c>
      <c r="C98" s="14" t="n">
        <v>2026</v>
      </c>
      <c r="D98" s="14" t="n">
        <v>8</v>
      </c>
      <c r="E98" s="21" t="n">
        <v>12275.4814</v>
      </c>
      <c r="F98" s="21" t="n">
        <v>12447.3427</v>
      </c>
      <c r="G98" s="21" t="n">
        <v>12935.8402</v>
      </c>
      <c r="H98" s="21" t="n">
        <v>10089.1428</v>
      </c>
      <c r="I98" s="17">
        <f>IF(OR(E98="",E97=""),"",E98/E97-1)</f>
        <v/>
      </c>
      <c r="J98" s="17">
        <f>IF(OR(F98="",F97=""),"",F98/F97-1)</f>
        <v/>
      </c>
      <c r="K98" s="17">
        <f>IF(OR(G98="",G97=""),"",G98/G97-1)</f>
        <v/>
      </c>
      <c r="L98" s="17">
        <f>IF(OR(H98="",H97=""),"",H98/H97-1)</f>
        <v/>
      </c>
      <c r="M98" s="18">
        <f>IF(OR(E98="",E86=""),"",E98/E86-1)</f>
        <v/>
      </c>
      <c r="N98" s="18">
        <f>IF(OR(F98="",F86=""),"",F98/F86-1)</f>
        <v/>
      </c>
      <c r="O98" s="18">
        <f>IF(OR(G98="",G86=""),"",G98/G86-1)</f>
        <v/>
      </c>
      <c r="P98" s="18">
        <f>IF(OR(E98="",E95=""),"",(E98/E95)^4-1)</f>
        <v/>
      </c>
      <c r="Q98" s="18">
        <f>IF(OR(F98="",F95=""),"",(F98/F95)^4-1)</f>
        <v/>
      </c>
      <c r="R98" s="18">
        <f>IF(OR(E98="",E92=""),"",(E98/E92)^2-1)</f>
        <v/>
      </c>
      <c r="S98" s="18">
        <f>IF(E98="","",IFERROR(E98/INDEX($E:$E,MATCH(C98-1&amp;"-12",$B:$B,0))-1,""))</f>
        <v/>
      </c>
      <c r="T98" s="19">
        <f>IF(OR(K98="",J98=""),"",(K98-J98)*100)</f>
        <v/>
      </c>
      <c r="U98" s="20">
        <f>IF(OR(G98="",F98=""),"",(G98/INDEX($G:$G,MATCH("2023-12",$B:$B,0)))/(F98/INDEX($F:$F,MATCH("2023-12",$B:$B,0)))*100)</f>
        <v/>
      </c>
    </row>
    <row r="99">
      <c r="B99" s="13" t="inlineStr">
        <is>
          <t>2026-09</t>
        </is>
      </c>
      <c r="C99" s="14" t="n">
        <v>2026</v>
      </c>
      <c r="D99" s="14" t="n">
        <v>9</v>
      </c>
      <c r="E99" s="16" t="n"/>
      <c r="F99" s="16" t="n"/>
      <c r="G99" s="16" t="n"/>
      <c r="H99" s="16" t="n"/>
      <c r="I99" s="17">
        <f>IF(OR(E99="",E98=""),"",E99/E98-1)</f>
        <v/>
      </c>
      <c r="J99" s="17">
        <f>IF(OR(F99="",F98=""),"",F99/F98-1)</f>
        <v/>
      </c>
      <c r="K99" s="17">
        <f>IF(OR(G99="",G98=""),"",G99/G98-1)</f>
        <v/>
      </c>
      <c r="L99" s="17">
        <f>IF(OR(H99="",H98=""),"",H99/H98-1)</f>
        <v/>
      </c>
      <c r="M99" s="18">
        <f>IF(OR(E99="",E87=""),"",E99/E87-1)</f>
        <v/>
      </c>
      <c r="N99" s="18">
        <f>IF(OR(F99="",F87=""),"",F99/F87-1)</f>
        <v/>
      </c>
      <c r="O99" s="18">
        <f>IF(OR(G99="",G87=""),"",G99/G87-1)</f>
        <v/>
      </c>
      <c r="P99" s="18">
        <f>IF(OR(E99="",E96=""),"",(E99/E96)^4-1)</f>
        <v/>
      </c>
      <c r="Q99" s="18">
        <f>IF(OR(F99="",F96=""),"",(F99/F96)^4-1)</f>
        <v/>
      </c>
      <c r="R99" s="18">
        <f>IF(OR(E99="",E93=""),"",(E99/E93)^2-1)</f>
        <v/>
      </c>
      <c r="S99" s="18">
        <f>IF(E99="","",IFERROR(E99/INDEX($E:$E,MATCH(C99-1&amp;"-12",$B:$B,0))-1,""))</f>
        <v/>
      </c>
      <c r="T99" s="19">
        <f>IF(OR(K99="",J99=""),"",(K99-J99)*100)</f>
        <v/>
      </c>
      <c r="U99" s="20">
        <f>IF(OR(G99="",F99=""),"",(G99/INDEX($G:$G,MATCH("2023-12",$B:$B,0)))/(F99/INDEX($F:$F,MATCH("2023-12",$B:$B,0)))*100)</f>
        <v/>
      </c>
    </row>
    <row r="100">
      <c r="B100" s="13" t="inlineStr">
        <is>
          <t>2026-10</t>
        </is>
      </c>
      <c r="C100" s="14" t="n">
        <v>2026</v>
      </c>
      <c r="D100" s="14" t="n">
        <v>10</v>
      </c>
      <c r="E100" s="16" t="n"/>
      <c r="F100" s="16" t="n"/>
      <c r="G100" s="16" t="n"/>
      <c r="H100" s="16" t="n"/>
      <c r="I100" s="17">
        <f>IF(OR(E100="",E99=""),"",E100/E99-1)</f>
        <v/>
      </c>
      <c r="J100" s="17">
        <f>IF(OR(F100="",F99=""),"",F100/F99-1)</f>
        <v/>
      </c>
      <c r="K100" s="17">
        <f>IF(OR(G100="",G99=""),"",G100/G99-1)</f>
        <v/>
      </c>
      <c r="L100" s="17">
        <f>IF(OR(H100="",H99=""),"",H100/H99-1)</f>
        <v/>
      </c>
      <c r="M100" s="18">
        <f>IF(OR(E100="",E88=""),"",E100/E88-1)</f>
        <v/>
      </c>
      <c r="N100" s="18">
        <f>IF(OR(F100="",F88=""),"",F100/F88-1)</f>
        <v/>
      </c>
      <c r="O100" s="18">
        <f>IF(OR(G100="",G88=""),"",G100/G88-1)</f>
        <v/>
      </c>
      <c r="P100" s="18">
        <f>IF(OR(E100="",E97=""),"",(E100/E97)^4-1)</f>
        <v/>
      </c>
      <c r="Q100" s="18">
        <f>IF(OR(F100="",F97=""),"",(F100/F97)^4-1)</f>
        <v/>
      </c>
      <c r="R100" s="18">
        <f>IF(OR(E100="",E94=""),"",(E100/E94)^2-1)</f>
        <v/>
      </c>
      <c r="S100" s="18">
        <f>IF(E100="","",IFERROR(E100/INDEX($E:$E,MATCH(C100-1&amp;"-12",$B:$B,0))-1,""))</f>
        <v/>
      </c>
      <c r="T100" s="19">
        <f>IF(OR(K100="",J100=""),"",(K100-J100)*100)</f>
        <v/>
      </c>
      <c r="U100" s="20">
        <f>IF(OR(G100="",F100=""),"",(G100/INDEX($G:$G,MATCH("2023-12",$B:$B,0)))/(F100/INDEX($F:$F,MATCH("2023-12",$B:$B,0)))*100)</f>
        <v/>
      </c>
    </row>
    <row r="101">
      <c r="B101" s="13" t="inlineStr">
        <is>
          <t>2026-11</t>
        </is>
      </c>
      <c r="C101" s="14" t="n">
        <v>2026</v>
      </c>
      <c r="D101" s="14" t="n">
        <v>11</v>
      </c>
      <c r="E101" s="16" t="n"/>
      <c r="F101" s="16" t="n"/>
      <c r="G101" s="16" t="n"/>
      <c r="H101" s="16" t="n"/>
      <c r="I101" s="17">
        <f>IF(OR(E101="",E100=""),"",E101/E100-1)</f>
        <v/>
      </c>
      <c r="J101" s="17">
        <f>IF(OR(F101="",F100=""),"",F101/F100-1)</f>
        <v/>
      </c>
      <c r="K101" s="17">
        <f>IF(OR(G101="",G100=""),"",G101/G100-1)</f>
        <v/>
      </c>
      <c r="L101" s="17">
        <f>IF(OR(H101="",H100=""),"",H101/H100-1)</f>
        <v/>
      </c>
      <c r="M101" s="18">
        <f>IF(OR(E101="",E89=""),"",E101/E89-1)</f>
        <v/>
      </c>
      <c r="N101" s="18">
        <f>IF(OR(F101="",F89=""),"",F101/F89-1)</f>
        <v/>
      </c>
      <c r="O101" s="18">
        <f>IF(OR(G101="",G89=""),"",G101/G89-1)</f>
        <v/>
      </c>
      <c r="P101" s="18">
        <f>IF(OR(E101="",E98=""),"",(E101/E98)^4-1)</f>
        <v/>
      </c>
      <c r="Q101" s="18">
        <f>IF(OR(F101="",F98=""),"",(F101/F98)^4-1)</f>
        <v/>
      </c>
      <c r="R101" s="18">
        <f>IF(OR(E101="",E95=""),"",(E101/E95)^2-1)</f>
        <v/>
      </c>
      <c r="S101" s="18">
        <f>IF(E101="","",IFERROR(E101/INDEX($E:$E,MATCH(C101-1&amp;"-12",$B:$B,0))-1,""))</f>
        <v/>
      </c>
      <c r="T101" s="19">
        <f>IF(OR(K101="",J101=""),"",(K101-J101)*100)</f>
        <v/>
      </c>
      <c r="U101" s="20">
        <f>IF(OR(G101="",F101=""),"",(G101/INDEX($G:$G,MATCH("2023-12",$B:$B,0)))/(F101/INDEX($F:$F,MATCH("2023-12",$B:$B,0)))*100)</f>
        <v/>
      </c>
    </row>
    <row r="102">
      <c r="B102" s="13" t="inlineStr">
        <is>
          <t>2026-12</t>
        </is>
      </c>
      <c r="C102" s="14" t="n">
        <v>2026</v>
      </c>
      <c r="D102" s="14" t="n">
        <v>12</v>
      </c>
      <c r="E102" s="16" t="n"/>
      <c r="F102" s="16" t="n"/>
      <c r="G102" s="16" t="n"/>
      <c r="H102" s="16" t="n"/>
      <c r="I102" s="17">
        <f>IF(OR(E102="",E101=""),"",E102/E101-1)</f>
        <v/>
      </c>
      <c r="J102" s="17">
        <f>IF(OR(F102="",F101=""),"",F102/F101-1)</f>
        <v/>
      </c>
      <c r="K102" s="17">
        <f>IF(OR(G102="",G101=""),"",G102/G101-1)</f>
        <v/>
      </c>
      <c r="L102" s="17">
        <f>IF(OR(H102="",H101=""),"",H102/H101-1)</f>
        <v/>
      </c>
      <c r="M102" s="18">
        <f>IF(OR(E102="",E90=""),"",E102/E90-1)</f>
        <v/>
      </c>
      <c r="N102" s="18">
        <f>IF(OR(F102="",F90=""),"",F102/F90-1)</f>
        <v/>
      </c>
      <c r="O102" s="18">
        <f>IF(OR(G102="",G90=""),"",G102/G90-1)</f>
        <v/>
      </c>
      <c r="P102" s="18">
        <f>IF(OR(E102="",E99=""),"",(E102/E99)^4-1)</f>
        <v/>
      </c>
      <c r="Q102" s="18">
        <f>IF(OR(F102="",F99=""),"",(F102/F99)^4-1)</f>
        <v/>
      </c>
      <c r="R102" s="18">
        <f>IF(OR(E102="",E96=""),"",(E102/E96)^2-1)</f>
        <v/>
      </c>
      <c r="S102" s="18">
        <f>IF(E102="","",IFERROR(E102/INDEX($E:$E,MATCH(C102-1&amp;"-12",$B:$B,0))-1,""))</f>
        <v/>
      </c>
      <c r="T102" s="19">
        <f>IF(OR(K102="",J102=""),"",(K102-J102)*100)</f>
        <v/>
      </c>
      <c r="U102" s="20">
        <f>IF(OR(G102="",F102=""),"",(G102/INDEX($G:$G,MATCH("2023-12",$B:$B,0)))/(F102/INDEX($F:$F,MATCH("2023-12",$B:$B,0)))*100)</f>
        <v/>
      </c>
    </row>
    <row r="103">
      <c r="B103" s="13" t="inlineStr">
        <is>
          <t>2027-01</t>
        </is>
      </c>
      <c r="C103" s="14" t="n">
        <v>2027</v>
      </c>
      <c r="D103" s="14" t="n">
        <v>1</v>
      </c>
      <c r="E103" s="16" t="n"/>
      <c r="F103" s="16" t="n"/>
      <c r="G103" s="16" t="n"/>
      <c r="H103" s="16" t="n"/>
      <c r="I103" s="17">
        <f>IF(OR(E103="",E102=""),"",E103/E102-1)</f>
        <v/>
      </c>
      <c r="J103" s="17">
        <f>IF(OR(F103="",F102=""),"",F103/F102-1)</f>
        <v/>
      </c>
      <c r="K103" s="17">
        <f>IF(OR(G103="",G102=""),"",G103/G102-1)</f>
        <v/>
      </c>
      <c r="L103" s="17">
        <f>IF(OR(H103="",H102=""),"",H103/H102-1)</f>
        <v/>
      </c>
      <c r="M103" s="18">
        <f>IF(OR(E103="",E91=""),"",E103/E91-1)</f>
        <v/>
      </c>
      <c r="N103" s="18">
        <f>IF(OR(F103="",F91=""),"",F103/F91-1)</f>
        <v/>
      </c>
      <c r="O103" s="18">
        <f>IF(OR(G103="",G91=""),"",G103/G91-1)</f>
        <v/>
      </c>
      <c r="P103" s="18">
        <f>IF(OR(E103="",E100=""),"",(E103/E100)^4-1)</f>
        <v/>
      </c>
      <c r="Q103" s="18">
        <f>IF(OR(F103="",F100=""),"",(F103/F100)^4-1)</f>
        <v/>
      </c>
      <c r="R103" s="18">
        <f>IF(OR(E103="",E97=""),"",(E103/E97)^2-1)</f>
        <v/>
      </c>
      <c r="S103" s="18">
        <f>IF(E103="","",IFERROR(E103/INDEX($E:$E,MATCH(C103-1&amp;"-12",$B:$B,0))-1,""))</f>
        <v/>
      </c>
      <c r="T103" s="19">
        <f>IF(OR(K103="",J103=""),"",(K103-J103)*100)</f>
        <v/>
      </c>
      <c r="U103" s="20">
        <f>IF(OR(G103="",F103=""),"",(G103/INDEX($G:$G,MATCH("2023-12",$B:$B,0)))/(F103/INDEX($F:$F,MATCH("2023-12",$B:$B,0)))*100)</f>
        <v/>
      </c>
    </row>
    <row r="104">
      <c r="B104" s="13" t="inlineStr">
        <is>
          <t>2027-02</t>
        </is>
      </c>
      <c r="C104" s="14" t="n">
        <v>2027</v>
      </c>
      <c r="D104" s="14" t="n">
        <v>2</v>
      </c>
      <c r="E104" s="16" t="n"/>
      <c r="F104" s="16" t="n"/>
      <c r="G104" s="16" t="n"/>
      <c r="H104" s="16" t="n"/>
      <c r="I104" s="17">
        <f>IF(OR(E104="",E103=""),"",E104/E103-1)</f>
        <v/>
      </c>
      <c r="J104" s="17">
        <f>IF(OR(F104="",F103=""),"",F104/F103-1)</f>
        <v/>
      </c>
      <c r="K104" s="17">
        <f>IF(OR(G104="",G103=""),"",G104/G103-1)</f>
        <v/>
      </c>
      <c r="L104" s="17">
        <f>IF(OR(H104="",H103=""),"",H104/H103-1)</f>
        <v/>
      </c>
      <c r="M104" s="18">
        <f>IF(OR(E104="",E92=""),"",E104/E92-1)</f>
        <v/>
      </c>
      <c r="N104" s="18">
        <f>IF(OR(F104="",F92=""),"",F104/F92-1)</f>
        <v/>
      </c>
      <c r="O104" s="18">
        <f>IF(OR(G104="",G92=""),"",G104/G92-1)</f>
        <v/>
      </c>
      <c r="P104" s="18">
        <f>IF(OR(E104="",E101=""),"",(E104/E101)^4-1)</f>
        <v/>
      </c>
      <c r="Q104" s="18">
        <f>IF(OR(F104="",F101=""),"",(F104/F101)^4-1)</f>
        <v/>
      </c>
      <c r="R104" s="18">
        <f>IF(OR(E104="",E98=""),"",(E104/E98)^2-1)</f>
        <v/>
      </c>
      <c r="S104" s="18">
        <f>IF(E104="","",IFERROR(E104/INDEX($E:$E,MATCH(C104-1&amp;"-12",$B:$B,0))-1,""))</f>
        <v/>
      </c>
      <c r="T104" s="19">
        <f>IF(OR(K104="",J104=""),"",(K104-J104)*100)</f>
        <v/>
      </c>
      <c r="U104" s="20">
        <f>IF(OR(G104="",F104=""),"",(G104/INDEX($G:$G,MATCH("2023-12",$B:$B,0)))/(F104/INDEX($F:$F,MATCH("2023-12",$B:$B,0)))*100)</f>
        <v/>
      </c>
    </row>
    <row r="105">
      <c r="B105" s="13" t="inlineStr">
        <is>
          <t>2027-03</t>
        </is>
      </c>
      <c r="C105" s="14" t="n">
        <v>2027</v>
      </c>
      <c r="D105" s="14" t="n">
        <v>3</v>
      </c>
      <c r="E105" s="16" t="n"/>
      <c r="F105" s="16" t="n"/>
      <c r="G105" s="16" t="n"/>
      <c r="H105" s="16" t="n"/>
      <c r="I105" s="17">
        <f>IF(OR(E105="",E104=""),"",E105/E104-1)</f>
        <v/>
      </c>
      <c r="J105" s="17">
        <f>IF(OR(F105="",F104=""),"",F105/F104-1)</f>
        <v/>
      </c>
      <c r="K105" s="17">
        <f>IF(OR(G105="",G104=""),"",G105/G104-1)</f>
        <v/>
      </c>
      <c r="L105" s="17">
        <f>IF(OR(H105="",H104=""),"",H105/H104-1)</f>
        <v/>
      </c>
      <c r="M105" s="18">
        <f>IF(OR(E105="",E93=""),"",E105/E93-1)</f>
        <v/>
      </c>
      <c r="N105" s="18">
        <f>IF(OR(F105="",F93=""),"",F105/F93-1)</f>
        <v/>
      </c>
      <c r="O105" s="18">
        <f>IF(OR(G105="",G93=""),"",G105/G93-1)</f>
        <v/>
      </c>
      <c r="P105" s="18">
        <f>IF(OR(E105="",E102=""),"",(E105/E102)^4-1)</f>
        <v/>
      </c>
      <c r="Q105" s="18">
        <f>IF(OR(F105="",F102=""),"",(F105/F102)^4-1)</f>
        <v/>
      </c>
      <c r="R105" s="18">
        <f>IF(OR(E105="",E99=""),"",(E105/E99)^2-1)</f>
        <v/>
      </c>
      <c r="S105" s="18">
        <f>IF(E105="","",IFERROR(E105/INDEX($E:$E,MATCH(C105-1&amp;"-12",$B:$B,0))-1,""))</f>
        <v/>
      </c>
      <c r="T105" s="19">
        <f>IF(OR(K105="",J105=""),"",(K105-J105)*100)</f>
        <v/>
      </c>
      <c r="U105" s="20">
        <f>IF(OR(G105="",F105=""),"",(G105/INDEX($G:$G,MATCH("2023-12",$B:$B,0)))/(F105/INDEX($F:$F,MATCH("2023-12",$B:$B,0)))*100)</f>
        <v/>
      </c>
    </row>
    <row r="106">
      <c r="B106" s="13" t="inlineStr">
        <is>
          <t>2027-04</t>
        </is>
      </c>
      <c r="C106" s="14" t="n">
        <v>2027</v>
      </c>
      <c r="D106" s="14" t="n">
        <v>4</v>
      </c>
      <c r="E106" s="16" t="n"/>
      <c r="F106" s="16" t="n"/>
      <c r="G106" s="16" t="n"/>
      <c r="H106" s="16" t="n"/>
      <c r="I106" s="17">
        <f>IF(OR(E106="",E105=""),"",E106/E105-1)</f>
        <v/>
      </c>
      <c r="J106" s="17">
        <f>IF(OR(F106="",F105=""),"",F106/F105-1)</f>
        <v/>
      </c>
      <c r="K106" s="17">
        <f>IF(OR(G106="",G105=""),"",G106/G105-1)</f>
        <v/>
      </c>
      <c r="L106" s="17">
        <f>IF(OR(H106="",H105=""),"",H106/H105-1)</f>
        <v/>
      </c>
      <c r="M106" s="18">
        <f>IF(OR(E106="",E94=""),"",E106/E94-1)</f>
        <v/>
      </c>
      <c r="N106" s="18">
        <f>IF(OR(F106="",F94=""),"",F106/F94-1)</f>
        <v/>
      </c>
      <c r="O106" s="18">
        <f>IF(OR(G106="",G94=""),"",G106/G94-1)</f>
        <v/>
      </c>
      <c r="P106" s="18">
        <f>IF(OR(E106="",E103=""),"",(E106/E103)^4-1)</f>
        <v/>
      </c>
      <c r="Q106" s="18">
        <f>IF(OR(F106="",F103=""),"",(F106/F103)^4-1)</f>
        <v/>
      </c>
      <c r="R106" s="18">
        <f>IF(OR(E106="",E100=""),"",(E106/E100)^2-1)</f>
        <v/>
      </c>
      <c r="S106" s="18">
        <f>IF(E106="","",IFERROR(E106/INDEX($E:$E,MATCH(C106-1&amp;"-12",$B:$B,0))-1,""))</f>
        <v/>
      </c>
      <c r="T106" s="19">
        <f>IF(OR(K106="",J106=""),"",(K106-J106)*100)</f>
        <v/>
      </c>
      <c r="U106" s="20">
        <f>IF(OR(G106="",F106=""),"",(G106/INDEX($G:$G,MATCH("2023-12",$B:$B,0)))/(F106/INDEX($F:$F,MATCH("2023-12",$B:$B,0)))*100)</f>
        <v/>
      </c>
    </row>
    <row r="107">
      <c r="B107" s="13" t="inlineStr">
        <is>
          <t>2027-05</t>
        </is>
      </c>
      <c r="C107" s="14" t="n">
        <v>2027</v>
      </c>
      <c r="D107" s="14" t="n">
        <v>5</v>
      </c>
      <c r="E107" s="16" t="n"/>
      <c r="F107" s="16" t="n"/>
      <c r="G107" s="16" t="n"/>
      <c r="H107" s="16" t="n"/>
      <c r="I107" s="17">
        <f>IF(OR(E107="",E106=""),"",E107/E106-1)</f>
        <v/>
      </c>
      <c r="J107" s="17">
        <f>IF(OR(F107="",F106=""),"",F107/F106-1)</f>
        <v/>
      </c>
      <c r="K107" s="17">
        <f>IF(OR(G107="",G106=""),"",G107/G106-1)</f>
        <v/>
      </c>
      <c r="L107" s="17">
        <f>IF(OR(H107="",H106=""),"",H107/H106-1)</f>
        <v/>
      </c>
      <c r="M107" s="18">
        <f>IF(OR(E107="",E95=""),"",E107/E95-1)</f>
        <v/>
      </c>
      <c r="N107" s="18">
        <f>IF(OR(F107="",F95=""),"",F107/F95-1)</f>
        <v/>
      </c>
      <c r="O107" s="18">
        <f>IF(OR(G107="",G95=""),"",G107/G95-1)</f>
        <v/>
      </c>
      <c r="P107" s="18">
        <f>IF(OR(E107="",E104=""),"",(E107/E104)^4-1)</f>
        <v/>
      </c>
      <c r="Q107" s="18">
        <f>IF(OR(F107="",F104=""),"",(F107/F104)^4-1)</f>
        <v/>
      </c>
      <c r="R107" s="18">
        <f>IF(OR(E107="",E101=""),"",(E107/E101)^2-1)</f>
        <v/>
      </c>
      <c r="S107" s="18">
        <f>IF(E107="","",IFERROR(E107/INDEX($E:$E,MATCH(C107-1&amp;"-12",$B:$B,0))-1,""))</f>
        <v/>
      </c>
      <c r="T107" s="19">
        <f>IF(OR(K107="",J107=""),"",(K107-J107)*100)</f>
        <v/>
      </c>
      <c r="U107" s="20">
        <f>IF(OR(G107="",F107=""),"",(G107/INDEX($G:$G,MATCH("2023-12",$B:$B,0)))/(F107/INDEX($F:$F,MATCH("2023-12",$B:$B,0)))*100)</f>
        <v/>
      </c>
    </row>
    <row r="108">
      <c r="B108" s="13" t="inlineStr">
        <is>
          <t>2027-06</t>
        </is>
      </c>
      <c r="C108" s="14" t="n">
        <v>2027</v>
      </c>
      <c r="D108" s="14" t="n">
        <v>6</v>
      </c>
      <c r="E108" s="16" t="n"/>
      <c r="F108" s="16" t="n"/>
      <c r="G108" s="16" t="n"/>
      <c r="H108" s="16" t="n"/>
      <c r="I108" s="17">
        <f>IF(OR(E108="",E107=""),"",E108/E107-1)</f>
        <v/>
      </c>
      <c r="J108" s="17">
        <f>IF(OR(F108="",F107=""),"",F108/F107-1)</f>
        <v/>
      </c>
      <c r="K108" s="17">
        <f>IF(OR(G108="",G107=""),"",G108/G107-1)</f>
        <v/>
      </c>
      <c r="L108" s="17">
        <f>IF(OR(H108="",H107=""),"",H108/H107-1)</f>
        <v/>
      </c>
      <c r="M108" s="18">
        <f>IF(OR(E108="",E96=""),"",E108/E96-1)</f>
        <v/>
      </c>
      <c r="N108" s="18">
        <f>IF(OR(F108="",F96=""),"",F108/F96-1)</f>
        <v/>
      </c>
      <c r="O108" s="18">
        <f>IF(OR(G108="",G96=""),"",G108/G96-1)</f>
        <v/>
      </c>
      <c r="P108" s="18">
        <f>IF(OR(E108="",E105=""),"",(E108/E105)^4-1)</f>
        <v/>
      </c>
      <c r="Q108" s="18">
        <f>IF(OR(F108="",F105=""),"",(F108/F105)^4-1)</f>
        <v/>
      </c>
      <c r="R108" s="18">
        <f>IF(OR(E108="",E102=""),"",(E108/E102)^2-1)</f>
        <v/>
      </c>
      <c r="S108" s="18">
        <f>IF(E108="","",IFERROR(E108/INDEX($E:$E,MATCH(C108-1&amp;"-12",$B:$B,0))-1,""))</f>
        <v/>
      </c>
      <c r="T108" s="19">
        <f>IF(OR(K108="",J108=""),"",(K108-J108)*100)</f>
        <v/>
      </c>
      <c r="U108" s="20">
        <f>IF(OR(G108="",F108=""),"",(G108/INDEX($G:$G,MATCH("2023-12",$B:$B,0)))/(F108/INDEX($F:$F,MATCH("2023-12",$B:$B,0)))*100)</f>
        <v/>
      </c>
    </row>
    <row r="109">
      <c r="B109" s="13" t="inlineStr">
        <is>
          <t>2027-07</t>
        </is>
      </c>
      <c r="C109" s="14" t="n">
        <v>2027</v>
      </c>
      <c r="D109" s="14" t="n">
        <v>7</v>
      </c>
      <c r="E109" s="16" t="n"/>
      <c r="F109" s="16" t="n"/>
      <c r="G109" s="16" t="n"/>
      <c r="H109" s="16" t="n"/>
      <c r="I109" s="17">
        <f>IF(OR(E109="",E108=""),"",E109/E108-1)</f>
        <v/>
      </c>
      <c r="J109" s="17">
        <f>IF(OR(F109="",F108=""),"",F109/F108-1)</f>
        <v/>
      </c>
      <c r="K109" s="17">
        <f>IF(OR(G109="",G108=""),"",G109/G108-1)</f>
        <v/>
      </c>
      <c r="L109" s="17">
        <f>IF(OR(H109="",H108=""),"",H109/H108-1)</f>
        <v/>
      </c>
      <c r="M109" s="18">
        <f>IF(OR(E109="",E97=""),"",E109/E97-1)</f>
        <v/>
      </c>
      <c r="N109" s="18">
        <f>IF(OR(F109="",F97=""),"",F109/F97-1)</f>
        <v/>
      </c>
      <c r="O109" s="18">
        <f>IF(OR(G109="",G97=""),"",G109/G97-1)</f>
        <v/>
      </c>
      <c r="P109" s="18">
        <f>IF(OR(E109="",E106=""),"",(E109/E106)^4-1)</f>
        <v/>
      </c>
      <c r="Q109" s="18">
        <f>IF(OR(F109="",F106=""),"",(F109/F106)^4-1)</f>
        <v/>
      </c>
      <c r="R109" s="18">
        <f>IF(OR(E109="",E103=""),"",(E109/E103)^2-1)</f>
        <v/>
      </c>
      <c r="S109" s="18">
        <f>IF(E109="","",IFERROR(E109/INDEX($E:$E,MATCH(C109-1&amp;"-12",$B:$B,0))-1,""))</f>
        <v/>
      </c>
      <c r="T109" s="19">
        <f>IF(OR(K109="",J109=""),"",(K109-J109)*100)</f>
        <v/>
      </c>
      <c r="U109" s="20">
        <f>IF(OR(G109="",F109=""),"",(G109/INDEX($G:$G,MATCH("2023-12",$B:$B,0)))/(F109/INDEX($F:$F,MATCH("2023-12",$B:$B,0)))*100)</f>
        <v/>
      </c>
    </row>
    <row r="110">
      <c r="B110" s="13" t="inlineStr">
        <is>
          <t>2027-08</t>
        </is>
      </c>
      <c r="C110" s="14" t="n">
        <v>2027</v>
      </c>
      <c r="D110" s="14" t="n">
        <v>8</v>
      </c>
      <c r="E110" s="16" t="n"/>
      <c r="F110" s="16" t="n"/>
      <c r="G110" s="16" t="n"/>
      <c r="H110" s="16" t="n"/>
      <c r="I110" s="17">
        <f>IF(OR(E110="",E109=""),"",E110/E109-1)</f>
        <v/>
      </c>
      <c r="J110" s="17">
        <f>IF(OR(F110="",F109=""),"",F110/F109-1)</f>
        <v/>
      </c>
      <c r="K110" s="17">
        <f>IF(OR(G110="",G109=""),"",G110/G109-1)</f>
        <v/>
      </c>
      <c r="L110" s="17">
        <f>IF(OR(H110="",H109=""),"",H110/H109-1)</f>
        <v/>
      </c>
      <c r="M110" s="18">
        <f>IF(OR(E110="",E98=""),"",E110/E98-1)</f>
        <v/>
      </c>
      <c r="N110" s="18">
        <f>IF(OR(F110="",F98=""),"",F110/F98-1)</f>
        <v/>
      </c>
      <c r="O110" s="18">
        <f>IF(OR(G110="",G98=""),"",G110/G98-1)</f>
        <v/>
      </c>
      <c r="P110" s="18">
        <f>IF(OR(E110="",E107=""),"",(E110/E107)^4-1)</f>
        <v/>
      </c>
      <c r="Q110" s="18">
        <f>IF(OR(F110="",F107=""),"",(F110/F107)^4-1)</f>
        <v/>
      </c>
      <c r="R110" s="18">
        <f>IF(OR(E110="",E104=""),"",(E110/E104)^2-1)</f>
        <v/>
      </c>
      <c r="S110" s="18">
        <f>IF(E110="","",IFERROR(E110/INDEX($E:$E,MATCH(C110-1&amp;"-12",$B:$B,0))-1,""))</f>
        <v/>
      </c>
      <c r="T110" s="19">
        <f>IF(OR(K110="",J110=""),"",(K110-J110)*100)</f>
        <v/>
      </c>
      <c r="U110" s="20">
        <f>IF(OR(G110="",F110=""),"",(G110/INDEX($G:$G,MATCH("2023-12",$B:$B,0)))/(F110/INDEX($F:$F,MATCH("2023-12",$B:$B,0)))*100)</f>
        <v/>
      </c>
    </row>
    <row r="111">
      <c r="B111" s="13" t="inlineStr">
        <is>
          <t>2027-09</t>
        </is>
      </c>
      <c r="C111" s="14" t="n">
        <v>2027</v>
      </c>
      <c r="D111" s="14" t="n">
        <v>9</v>
      </c>
      <c r="E111" s="16" t="n"/>
      <c r="F111" s="16" t="n"/>
      <c r="G111" s="16" t="n"/>
      <c r="H111" s="16" t="n"/>
      <c r="I111" s="17">
        <f>IF(OR(E111="",E110=""),"",E111/E110-1)</f>
        <v/>
      </c>
      <c r="J111" s="17">
        <f>IF(OR(F111="",F110=""),"",F111/F110-1)</f>
        <v/>
      </c>
      <c r="K111" s="17">
        <f>IF(OR(G111="",G110=""),"",G111/G110-1)</f>
        <v/>
      </c>
      <c r="L111" s="17">
        <f>IF(OR(H111="",H110=""),"",H111/H110-1)</f>
        <v/>
      </c>
      <c r="M111" s="18">
        <f>IF(OR(E111="",E99=""),"",E111/E99-1)</f>
        <v/>
      </c>
      <c r="N111" s="18">
        <f>IF(OR(F111="",F99=""),"",F111/F99-1)</f>
        <v/>
      </c>
      <c r="O111" s="18">
        <f>IF(OR(G111="",G99=""),"",G111/G99-1)</f>
        <v/>
      </c>
      <c r="P111" s="18">
        <f>IF(OR(E111="",E108=""),"",(E111/E108)^4-1)</f>
        <v/>
      </c>
      <c r="Q111" s="18">
        <f>IF(OR(F111="",F108=""),"",(F111/F108)^4-1)</f>
        <v/>
      </c>
      <c r="R111" s="18">
        <f>IF(OR(E111="",E105=""),"",(E111/E105)^2-1)</f>
        <v/>
      </c>
      <c r="S111" s="18">
        <f>IF(E111="","",IFERROR(E111/INDEX($E:$E,MATCH(C111-1&amp;"-12",$B:$B,0))-1,""))</f>
        <v/>
      </c>
      <c r="T111" s="19">
        <f>IF(OR(K111="",J111=""),"",(K111-J111)*100)</f>
        <v/>
      </c>
      <c r="U111" s="20">
        <f>IF(OR(G111="",F111=""),"",(G111/INDEX($G:$G,MATCH("2023-12",$B:$B,0)))/(F111/INDEX($F:$F,MATCH("2023-12",$B:$B,0)))*100)</f>
        <v/>
      </c>
    </row>
    <row r="112">
      <c r="B112" s="13" t="inlineStr">
        <is>
          <t>2027-10</t>
        </is>
      </c>
      <c r="C112" s="14" t="n">
        <v>2027</v>
      </c>
      <c r="D112" s="14" t="n">
        <v>10</v>
      </c>
      <c r="E112" s="16" t="n"/>
      <c r="F112" s="16" t="n"/>
      <c r="G112" s="16" t="n"/>
      <c r="H112" s="16" t="n"/>
      <c r="I112" s="17">
        <f>IF(OR(E112="",E111=""),"",E112/E111-1)</f>
        <v/>
      </c>
      <c r="J112" s="17">
        <f>IF(OR(F112="",F111=""),"",F112/F111-1)</f>
        <v/>
      </c>
      <c r="K112" s="17">
        <f>IF(OR(G112="",G111=""),"",G112/G111-1)</f>
        <v/>
      </c>
      <c r="L112" s="17">
        <f>IF(OR(H112="",H111=""),"",H112/H111-1)</f>
        <v/>
      </c>
      <c r="M112" s="18">
        <f>IF(OR(E112="",E100=""),"",E112/E100-1)</f>
        <v/>
      </c>
      <c r="N112" s="18">
        <f>IF(OR(F112="",F100=""),"",F112/F100-1)</f>
        <v/>
      </c>
      <c r="O112" s="18">
        <f>IF(OR(G112="",G100=""),"",G112/G100-1)</f>
        <v/>
      </c>
      <c r="P112" s="18">
        <f>IF(OR(E112="",E109=""),"",(E112/E109)^4-1)</f>
        <v/>
      </c>
      <c r="Q112" s="18">
        <f>IF(OR(F112="",F109=""),"",(F112/F109)^4-1)</f>
        <v/>
      </c>
      <c r="R112" s="18">
        <f>IF(OR(E112="",E106=""),"",(E112/E106)^2-1)</f>
        <v/>
      </c>
      <c r="S112" s="18">
        <f>IF(E112="","",IFERROR(E112/INDEX($E:$E,MATCH(C112-1&amp;"-12",$B:$B,0))-1,""))</f>
        <v/>
      </c>
      <c r="T112" s="19">
        <f>IF(OR(K112="",J112=""),"",(K112-J112)*100)</f>
        <v/>
      </c>
      <c r="U112" s="20">
        <f>IF(OR(G112="",F112=""),"",(G112/INDEX($G:$G,MATCH("2023-12",$B:$B,0)))/(F112/INDEX($F:$F,MATCH("2023-12",$B:$B,0)))*100)</f>
        <v/>
      </c>
    </row>
    <row r="113">
      <c r="B113" s="13" t="inlineStr">
        <is>
          <t>2027-11</t>
        </is>
      </c>
      <c r="C113" s="14" t="n">
        <v>2027</v>
      </c>
      <c r="D113" s="14" t="n">
        <v>11</v>
      </c>
      <c r="E113" s="16" t="n"/>
      <c r="F113" s="16" t="n"/>
      <c r="G113" s="16" t="n"/>
      <c r="H113" s="16" t="n"/>
      <c r="I113" s="17">
        <f>IF(OR(E113="",E112=""),"",E113/E112-1)</f>
        <v/>
      </c>
      <c r="J113" s="17">
        <f>IF(OR(F113="",F112=""),"",F113/F112-1)</f>
        <v/>
      </c>
      <c r="K113" s="17">
        <f>IF(OR(G113="",G112=""),"",G113/G112-1)</f>
        <v/>
      </c>
      <c r="L113" s="17">
        <f>IF(OR(H113="",H112=""),"",H113/H112-1)</f>
        <v/>
      </c>
      <c r="M113" s="18">
        <f>IF(OR(E113="",E101=""),"",E113/E101-1)</f>
        <v/>
      </c>
      <c r="N113" s="18">
        <f>IF(OR(F113="",F101=""),"",F113/F101-1)</f>
        <v/>
      </c>
      <c r="O113" s="18">
        <f>IF(OR(G113="",G101=""),"",G113/G101-1)</f>
        <v/>
      </c>
      <c r="P113" s="18">
        <f>IF(OR(E113="",E110=""),"",(E113/E110)^4-1)</f>
        <v/>
      </c>
      <c r="Q113" s="18">
        <f>IF(OR(F113="",F110=""),"",(F113/F110)^4-1)</f>
        <v/>
      </c>
      <c r="R113" s="18">
        <f>IF(OR(E113="",E107=""),"",(E113/E107)^2-1)</f>
        <v/>
      </c>
      <c r="S113" s="18">
        <f>IF(E113="","",IFERROR(E113/INDEX($E:$E,MATCH(C113-1&amp;"-12",$B:$B,0))-1,""))</f>
        <v/>
      </c>
      <c r="T113" s="19">
        <f>IF(OR(K113="",J113=""),"",(K113-J113)*100)</f>
        <v/>
      </c>
      <c r="U113" s="20">
        <f>IF(OR(G113="",F113=""),"",(G113/INDEX($G:$G,MATCH("2023-12",$B:$B,0)))/(F113/INDEX($F:$F,MATCH("2023-12",$B:$B,0)))*100)</f>
        <v/>
      </c>
    </row>
    <row r="114">
      <c r="B114" s="13" t="inlineStr">
        <is>
          <t>2027-12</t>
        </is>
      </c>
      <c r="C114" s="14" t="n">
        <v>2027</v>
      </c>
      <c r="D114" s="14" t="n">
        <v>12</v>
      </c>
      <c r="E114" s="16" t="n"/>
      <c r="F114" s="16" t="n"/>
      <c r="G114" s="16" t="n"/>
      <c r="H114" s="16" t="n"/>
      <c r="I114" s="17">
        <f>IF(OR(E114="",E113=""),"",E114/E113-1)</f>
        <v/>
      </c>
      <c r="J114" s="17">
        <f>IF(OR(F114="",F113=""),"",F114/F113-1)</f>
        <v/>
      </c>
      <c r="K114" s="17">
        <f>IF(OR(G114="",G113=""),"",G114/G113-1)</f>
        <v/>
      </c>
      <c r="L114" s="17">
        <f>IF(OR(H114="",H113=""),"",H114/H113-1)</f>
        <v/>
      </c>
      <c r="M114" s="18">
        <f>IF(OR(E114="",E102=""),"",E114/E102-1)</f>
        <v/>
      </c>
      <c r="N114" s="18">
        <f>IF(OR(F114="",F102=""),"",F114/F102-1)</f>
        <v/>
      </c>
      <c r="O114" s="18">
        <f>IF(OR(G114="",G102=""),"",G114/G102-1)</f>
        <v/>
      </c>
      <c r="P114" s="18">
        <f>IF(OR(E114="",E111=""),"",(E114/E111)^4-1)</f>
        <v/>
      </c>
      <c r="Q114" s="18">
        <f>IF(OR(F114="",F111=""),"",(F114/F111)^4-1)</f>
        <v/>
      </c>
      <c r="R114" s="18">
        <f>IF(OR(E114="",E108=""),"",(E114/E108)^2-1)</f>
        <v/>
      </c>
      <c r="S114" s="18">
        <f>IF(E114="","",IFERROR(E114/INDEX($E:$E,MATCH(C114-1&amp;"-12",$B:$B,0))-1,""))</f>
        <v/>
      </c>
      <c r="T114" s="19">
        <f>IF(OR(K114="",J114=""),"",(K114-J114)*100)</f>
        <v/>
      </c>
      <c r="U114" s="20">
        <f>IF(OR(G114="",F114=""),"",(G114/INDEX($G:$G,MATCH("2023-12",$B:$B,0)))/(F114/INDEX($F:$F,MATCH("2023-12",$B:$B,0)))*100)</f>
        <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1F3B63"/>
    <outlinePr summaryBelow="1" summaryRight="1"/>
    <pageSetUpPr fitToPage="1"/>
  </sheetPr>
  <dimension ref="B2:J21"/>
  <sheetViews>
    <sheetView showGridLines="0" workbookViewId="0">
      <selection activeCell="A1" sqref="A1"/>
    </sheetView>
  </sheetViews>
  <sheetFormatPr baseColWidth="8" defaultRowHeight="15"/>
  <cols>
    <col width="2"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2" ht="26" customHeight="1">
      <c r="B2" s="1" t="inlineStr">
        <is>
          <t>Seasonality — IPC Nivel General (headline): month-on-month % by calendar year</t>
        </is>
      </c>
    </row>
    <row r="3">
      <c r="B3" s="2" t="inlineStr">
        <is>
          <t>One line per calendar year. Recent years darker; 2026 in UBS red.</t>
        </is>
      </c>
    </row>
    <row r="5">
      <c r="B5" s="22" t="inlineStr">
        <is>
          <t>Month</t>
        </is>
      </c>
      <c r="C5" s="23" t="n">
        <v>2019</v>
      </c>
      <c r="D5" s="23" t="n">
        <v>2020</v>
      </c>
      <c r="E5" s="23" t="n">
        <v>2021</v>
      </c>
      <c r="F5" s="23" t="n">
        <v>2022</v>
      </c>
      <c r="G5" s="23" t="n">
        <v>2023</v>
      </c>
      <c r="H5" s="23" t="n">
        <v>2024</v>
      </c>
      <c r="I5" s="23" t="n">
        <v>2025</v>
      </c>
      <c r="J5" s="23" t="n">
        <v>2026</v>
      </c>
    </row>
    <row r="6">
      <c r="B6" s="24" t="inlineStr">
        <is>
          <t>Jan</t>
        </is>
      </c>
      <c r="C6" s="18">
        <f>IF(COUNTIFS('CPI Data'!$C$6:$C$114,C$5,'CPI Data'!$D$6:$D$114,1,'CPI Data'!$E$6:$E$114,"&gt;0")=0,"",SUMIFS('CPI Data'!$I$6:$I$114,'CPI Data'!$C$6:$C$114,C$5,'CPI Data'!$D$6:$D$114,1))</f>
        <v/>
      </c>
      <c r="D6" s="18">
        <f>IF(COUNTIFS('CPI Data'!$C$6:$C$114,D$5,'CPI Data'!$D$6:$D$114,1,'CPI Data'!$E$6:$E$114,"&gt;0")=0,"",SUMIFS('CPI Data'!$I$6:$I$114,'CPI Data'!$C$6:$C$114,D$5,'CPI Data'!$D$6:$D$114,1))</f>
        <v/>
      </c>
      <c r="E6" s="18">
        <f>IF(COUNTIFS('CPI Data'!$C$6:$C$114,E$5,'CPI Data'!$D$6:$D$114,1,'CPI Data'!$E$6:$E$114,"&gt;0")=0,"",SUMIFS('CPI Data'!$I$6:$I$114,'CPI Data'!$C$6:$C$114,E$5,'CPI Data'!$D$6:$D$114,1))</f>
        <v/>
      </c>
      <c r="F6" s="18">
        <f>IF(COUNTIFS('CPI Data'!$C$6:$C$114,F$5,'CPI Data'!$D$6:$D$114,1,'CPI Data'!$E$6:$E$114,"&gt;0")=0,"",SUMIFS('CPI Data'!$I$6:$I$114,'CPI Data'!$C$6:$C$114,F$5,'CPI Data'!$D$6:$D$114,1))</f>
        <v/>
      </c>
      <c r="G6" s="18">
        <f>IF(COUNTIFS('CPI Data'!$C$6:$C$114,G$5,'CPI Data'!$D$6:$D$114,1,'CPI Data'!$E$6:$E$114,"&gt;0")=0,"",SUMIFS('CPI Data'!$I$6:$I$114,'CPI Data'!$C$6:$C$114,G$5,'CPI Data'!$D$6:$D$114,1))</f>
        <v/>
      </c>
      <c r="H6" s="18">
        <f>IF(COUNTIFS('CPI Data'!$C$6:$C$114,H$5,'CPI Data'!$D$6:$D$114,1,'CPI Data'!$E$6:$E$114,"&gt;0")=0,"",SUMIFS('CPI Data'!$I$6:$I$114,'CPI Data'!$C$6:$C$114,H$5,'CPI Data'!$D$6:$D$114,1))</f>
        <v/>
      </c>
      <c r="I6" s="18">
        <f>IF(COUNTIFS('CPI Data'!$C$6:$C$114,I$5,'CPI Data'!$D$6:$D$114,1,'CPI Data'!$E$6:$E$114,"&gt;0")=0,"",SUMIFS('CPI Data'!$I$6:$I$114,'CPI Data'!$C$6:$C$114,I$5,'CPI Data'!$D$6:$D$114,1))</f>
        <v/>
      </c>
      <c r="J6" s="18">
        <f>IF(COUNTIFS('CPI Data'!$C$6:$C$114,J$5,'CPI Data'!$D$6:$D$114,1,'CPI Data'!$E$6:$E$114,"&gt;0")=0,"",SUMIFS('CPI Data'!$I$6:$I$114,'CPI Data'!$C$6:$C$114,J$5,'CPI Data'!$D$6:$D$114,1))</f>
        <v/>
      </c>
    </row>
    <row r="7">
      <c r="B7" s="24" t="inlineStr">
        <is>
          <t>Feb</t>
        </is>
      </c>
      <c r="C7" s="18">
        <f>IF(COUNTIFS('CPI Data'!$C$6:$C$114,C$5,'CPI Data'!$D$6:$D$114,2,'CPI Data'!$E$6:$E$114,"&gt;0")=0,"",SUMIFS('CPI Data'!$I$6:$I$114,'CPI Data'!$C$6:$C$114,C$5,'CPI Data'!$D$6:$D$114,2))</f>
        <v/>
      </c>
      <c r="D7" s="18">
        <f>IF(COUNTIFS('CPI Data'!$C$6:$C$114,D$5,'CPI Data'!$D$6:$D$114,2,'CPI Data'!$E$6:$E$114,"&gt;0")=0,"",SUMIFS('CPI Data'!$I$6:$I$114,'CPI Data'!$C$6:$C$114,D$5,'CPI Data'!$D$6:$D$114,2))</f>
        <v/>
      </c>
      <c r="E7" s="18">
        <f>IF(COUNTIFS('CPI Data'!$C$6:$C$114,E$5,'CPI Data'!$D$6:$D$114,2,'CPI Data'!$E$6:$E$114,"&gt;0")=0,"",SUMIFS('CPI Data'!$I$6:$I$114,'CPI Data'!$C$6:$C$114,E$5,'CPI Data'!$D$6:$D$114,2))</f>
        <v/>
      </c>
      <c r="F7" s="18">
        <f>IF(COUNTIFS('CPI Data'!$C$6:$C$114,F$5,'CPI Data'!$D$6:$D$114,2,'CPI Data'!$E$6:$E$114,"&gt;0")=0,"",SUMIFS('CPI Data'!$I$6:$I$114,'CPI Data'!$C$6:$C$114,F$5,'CPI Data'!$D$6:$D$114,2))</f>
        <v/>
      </c>
      <c r="G7" s="18">
        <f>IF(COUNTIFS('CPI Data'!$C$6:$C$114,G$5,'CPI Data'!$D$6:$D$114,2,'CPI Data'!$E$6:$E$114,"&gt;0")=0,"",SUMIFS('CPI Data'!$I$6:$I$114,'CPI Data'!$C$6:$C$114,G$5,'CPI Data'!$D$6:$D$114,2))</f>
        <v/>
      </c>
      <c r="H7" s="18">
        <f>IF(COUNTIFS('CPI Data'!$C$6:$C$114,H$5,'CPI Data'!$D$6:$D$114,2,'CPI Data'!$E$6:$E$114,"&gt;0")=0,"",SUMIFS('CPI Data'!$I$6:$I$114,'CPI Data'!$C$6:$C$114,H$5,'CPI Data'!$D$6:$D$114,2))</f>
        <v/>
      </c>
      <c r="I7" s="18">
        <f>IF(COUNTIFS('CPI Data'!$C$6:$C$114,I$5,'CPI Data'!$D$6:$D$114,2,'CPI Data'!$E$6:$E$114,"&gt;0")=0,"",SUMIFS('CPI Data'!$I$6:$I$114,'CPI Data'!$C$6:$C$114,I$5,'CPI Data'!$D$6:$D$114,2))</f>
        <v/>
      </c>
      <c r="J7" s="18">
        <f>IF(COUNTIFS('CPI Data'!$C$6:$C$114,J$5,'CPI Data'!$D$6:$D$114,2,'CPI Data'!$E$6:$E$114,"&gt;0")=0,"",SUMIFS('CPI Data'!$I$6:$I$114,'CPI Data'!$C$6:$C$114,J$5,'CPI Data'!$D$6:$D$114,2))</f>
        <v/>
      </c>
    </row>
    <row r="8">
      <c r="B8" s="24" t="inlineStr">
        <is>
          <t>Mar</t>
        </is>
      </c>
      <c r="C8" s="18">
        <f>IF(COUNTIFS('CPI Data'!$C$6:$C$114,C$5,'CPI Data'!$D$6:$D$114,3,'CPI Data'!$E$6:$E$114,"&gt;0")=0,"",SUMIFS('CPI Data'!$I$6:$I$114,'CPI Data'!$C$6:$C$114,C$5,'CPI Data'!$D$6:$D$114,3))</f>
        <v/>
      </c>
      <c r="D8" s="18">
        <f>IF(COUNTIFS('CPI Data'!$C$6:$C$114,D$5,'CPI Data'!$D$6:$D$114,3,'CPI Data'!$E$6:$E$114,"&gt;0")=0,"",SUMIFS('CPI Data'!$I$6:$I$114,'CPI Data'!$C$6:$C$114,D$5,'CPI Data'!$D$6:$D$114,3))</f>
        <v/>
      </c>
      <c r="E8" s="18">
        <f>IF(COUNTIFS('CPI Data'!$C$6:$C$114,E$5,'CPI Data'!$D$6:$D$114,3,'CPI Data'!$E$6:$E$114,"&gt;0")=0,"",SUMIFS('CPI Data'!$I$6:$I$114,'CPI Data'!$C$6:$C$114,E$5,'CPI Data'!$D$6:$D$114,3))</f>
        <v/>
      </c>
      <c r="F8" s="18">
        <f>IF(COUNTIFS('CPI Data'!$C$6:$C$114,F$5,'CPI Data'!$D$6:$D$114,3,'CPI Data'!$E$6:$E$114,"&gt;0")=0,"",SUMIFS('CPI Data'!$I$6:$I$114,'CPI Data'!$C$6:$C$114,F$5,'CPI Data'!$D$6:$D$114,3))</f>
        <v/>
      </c>
      <c r="G8" s="18">
        <f>IF(COUNTIFS('CPI Data'!$C$6:$C$114,G$5,'CPI Data'!$D$6:$D$114,3,'CPI Data'!$E$6:$E$114,"&gt;0")=0,"",SUMIFS('CPI Data'!$I$6:$I$114,'CPI Data'!$C$6:$C$114,G$5,'CPI Data'!$D$6:$D$114,3))</f>
        <v/>
      </c>
      <c r="H8" s="18">
        <f>IF(COUNTIFS('CPI Data'!$C$6:$C$114,H$5,'CPI Data'!$D$6:$D$114,3,'CPI Data'!$E$6:$E$114,"&gt;0")=0,"",SUMIFS('CPI Data'!$I$6:$I$114,'CPI Data'!$C$6:$C$114,H$5,'CPI Data'!$D$6:$D$114,3))</f>
        <v/>
      </c>
      <c r="I8" s="18">
        <f>IF(COUNTIFS('CPI Data'!$C$6:$C$114,I$5,'CPI Data'!$D$6:$D$114,3,'CPI Data'!$E$6:$E$114,"&gt;0")=0,"",SUMIFS('CPI Data'!$I$6:$I$114,'CPI Data'!$C$6:$C$114,I$5,'CPI Data'!$D$6:$D$114,3))</f>
        <v/>
      </c>
      <c r="J8" s="18">
        <f>IF(COUNTIFS('CPI Data'!$C$6:$C$114,J$5,'CPI Data'!$D$6:$D$114,3,'CPI Data'!$E$6:$E$114,"&gt;0")=0,"",SUMIFS('CPI Data'!$I$6:$I$114,'CPI Data'!$C$6:$C$114,J$5,'CPI Data'!$D$6:$D$114,3))</f>
        <v/>
      </c>
    </row>
    <row r="9">
      <c r="B9" s="24" t="inlineStr">
        <is>
          <t>Apr</t>
        </is>
      </c>
      <c r="C9" s="18">
        <f>IF(COUNTIFS('CPI Data'!$C$6:$C$114,C$5,'CPI Data'!$D$6:$D$114,4,'CPI Data'!$E$6:$E$114,"&gt;0")=0,"",SUMIFS('CPI Data'!$I$6:$I$114,'CPI Data'!$C$6:$C$114,C$5,'CPI Data'!$D$6:$D$114,4))</f>
        <v/>
      </c>
      <c r="D9" s="18">
        <f>IF(COUNTIFS('CPI Data'!$C$6:$C$114,D$5,'CPI Data'!$D$6:$D$114,4,'CPI Data'!$E$6:$E$114,"&gt;0")=0,"",SUMIFS('CPI Data'!$I$6:$I$114,'CPI Data'!$C$6:$C$114,D$5,'CPI Data'!$D$6:$D$114,4))</f>
        <v/>
      </c>
      <c r="E9" s="18">
        <f>IF(COUNTIFS('CPI Data'!$C$6:$C$114,E$5,'CPI Data'!$D$6:$D$114,4,'CPI Data'!$E$6:$E$114,"&gt;0")=0,"",SUMIFS('CPI Data'!$I$6:$I$114,'CPI Data'!$C$6:$C$114,E$5,'CPI Data'!$D$6:$D$114,4))</f>
        <v/>
      </c>
      <c r="F9" s="18">
        <f>IF(COUNTIFS('CPI Data'!$C$6:$C$114,F$5,'CPI Data'!$D$6:$D$114,4,'CPI Data'!$E$6:$E$114,"&gt;0")=0,"",SUMIFS('CPI Data'!$I$6:$I$114,'CPI Data'!$C$6:$C$114,F$5,'CPI Data'!$D$6:$D$114,4))</f>
        <v/>
      </c>
      <c r="G9" s="18">
        <f>IF(COUNTIFS('CPI Data'!$C$6:$C$114,G$5,'CPI Data'!$D$6:$D$114,4,'CPI Data'!$E$6:$E$114,"&gt;0")=0,"",SUMIFS('CPI Data'!$I$6:$I$114,'CPI Data'!$C$6:$C$114,G$5,'CPI Data'!$D$6:$D$114,4))</f>
        <v/>
      </c>
      <c r="H9" s="18">
        <f>IF(COUNTIFS('CPI Data'!$C$6:$C$114,H$5,'CPI Data'!$D$6:$D$114,4,'CPI Data'!$E$6:$E$114,"&gt;0")=0,"",SUMIFS('CPI Data'!$I$6:$I$114,'CPI Data'!$C$6:$C$114,H$5,'CPI Data'!$D$6:$D$114,4))</f>
        <v/>
      </c>
      <c r="I9" s="18">
        <f>IF(COUNTIFS('CPI Data'!$C$6:$C$114,I$5,'CPI Data'!$D$6:$D$114,4,'CPI Data'!$E$6:$E$114,"&gt;0")=0,"",SUMIFS('CPI Data'!$I$6:$I$114,'CPI Data'!$C$6:$C$114,I$5,'CPI Data'!$D$6:$D$114,4))</f>
        <v/>
      </c>
      <c r="J9" s="18">
        <f>IF(COUNTIFS('CPI Data'!$C$6:$C$114,J$5,'CPI Data'!$D$6:$D$114,4,'CPI Data'!$E$6:$E$114,"&gt;0")=0,"",SUMIFS('CPI Data'!$I$6:$I$114,'CPI Data'!$C$6:$C$114,J$5,'CPI Data'!$D$6:$D$114,4))</f>
        <v/>
      </c>
    </row>
    <row r="10">
      <c r="B10" s="24" t="inlineStr">
        <is>
          <t>May</t>
        </is>
      </c>
      <c r="C10" s="18">
        <f>IF(COUNTIFS('CPI Data'!$C$6:$C$114,C$5,'CPI Data'!$D$6:$D$114,5,'CPI Data'!$E$6:$E$114,"&gt;0")=0,"",SUMIFS('CPI Data'!$I$6:$I$114,'CPI Data'!$C$6:$C$114,C$5,'CPI Data'!$D$6:$D$114,5))</f>
        <v/>
      </c>
      <c r="D10" s="18">
        <f>IF(COUNTIFS('CPI Data'!$C$6:$C$114,D$5,'CPI Data'!$D$6:$D$114,5,'CPI Data'!$E$6:$E$114,"&gt;0")=0,"",SUMIFS('CPI Data'!$I$6:$I$114,'CPI Data'!$C$6:$C$114,D$5,'CPI Data'!$D$6:$D$114,5))</f>
        <v/>
      </c>
      <c r="E10" s="18">
        <f>IF(COUNTIFS('CPI Data'!$C$6:$C$114,E$5,'CPI Data'!$D$6:$D$114,5,'CPI Data'!$E$6:$E$114,"&gt;0")=0,"",SUMIFS('CPI Data'!$I$6:$I$114,'CPI Data'!$C$6:$C$114,E$5,'CPI Data'!$D$6:$D$114,5))</f>
        <v/>
      </c>
      <c r="F10" s="18">
        <f>IF(COUNTIFS('CPI Data'!$C$6:$C$114,F$5,'CPI Data'!$D$6:$D$114,5,'CPI Data'!$E$6:$E$114,"&gt;0")=0,"",SUMIFS('CPI Data'!$I$6:$I$114,'CPI Data'!$C$6:$C$114,F$5,'CPI Data'!$D$6:$D$114,5))</f>
        <v/>
      </c>
      <c r="G10" s="18">
        <f>IF(COUNTIFS('CPI Data'!$C$6:$C$114,G$5,'CPI Data'!$D$6:$D$114,5,'CPI Data'!$E$6:$E$114,"&gt;0")=0,"",SUMIFS('CPI Data'!$I$6:$I$114,'CPI Data'!$C$6:$C$114,G$5,'CPI Data'!$D$6:$D$114,5))</f>
        <v/>
      </c>
      <c r="H10" s="18">
        <f>IF(COUNTIFS('CPI Data'!$C$6:$C$114,H$5,'CPI Data'!$D$6:$D$114,5,'CPI Data'!$E$6:$E$114,"&gt;0")=0,"",SUMIFS('CPI Data'!$I$6:$I$114,'CPI Data'!$C$6:$C$114,H$5,'CPI Data'!$D$6:$D$114,5))</f>
        <v/>
      </c>
      <c r="I10" s="18">
        <f>IF(COUNTIFS('CPI Data'!$C$6:$C$114,I$5,'CPI Data'!$D$6:$D$114,5,'CPI Data'!$E$6:$E$114,"&gt;0")=0,"",SUMIFS('CPI Data'!$I$6:$I$114,'CPI Data'!$C$6:$C$114,I$5,'CPI Data'!$D$6:$D$114,5))</f>
        <v/>
      </c>
      <c r="J10" s="18">
        <f>IF(COUNTIFS('CPI Data'!$C$6:$C$114,J$5,'CPI Data'!$D$6:$D$114,5,'CPI Data'!$E$6:$E$114,"&gt;0")=0,"",SUMIFS('CPI Data'!$I$6:$I$114,'CPI Data'!$C$6:$C$114,J$5,'CPI Data'!$D$6:$D$114,5))</f>
        <v/>
      </c>
    </row>
    <row r="11">
      <c r="B11" s="24" t="inlineStr">
        <is>
          <t>Jun</t>
        </is>
      </c>
      <c r="C11" s="18">
        <f>IF(COUNTIFS('CPI Data'!$C$6:$C$114,C$5,'CPI Data'!$D$6:$D$114,6,'CPI Data'!$E$6:$E$114,"&gt;0")=0,"",SUMIFS('CPI Data'!$I$6:$I$114,'CPI Data'!$C$6:$C$114,C$5,'CPI Data'!$D$6:$D$114,6))</f>
        <v/>
      </c>
      <c r="D11" s="18">
        <f>IF(COUNTIFS('CPI Data'!$C$6:$C$114,D$5,'CPI Data'!$D$6:$D$114,6,'CPI Data'!$E$6:$E$114,"&gt;0")=0,"",SUMIFS('CPI Data'!$I$6:$I$114,'CPI Data'!$C$6:$C$114,D$5,'CPI Data'!$D$6:$D$114,6))</f>
        <v/>
      </c>
      <c r="E11" s="18">
        <f>IF(COUNTIFS('CPI Data'!$C$6:$C$114,E$5,'CPI Data'!$D$6:$D$114,6,'CPI Data'!$E$6:$E$114,"&gt;0")=0,"",SUMIFS('CPI Data'!$I$6:$I$114,'CPI Data'!$C$6:$C$114,E$5,'CPI Data'!$D$6:$D$114,6))</f>
        <v/>
      </c>
      <c r="F11" s="18">
        <f>IF(COUNTIFS('CPI Data'!$C$6:$C$114,F$5,'CPI Data'!$D$6:$D$114,6,'CPI Data'!$E$6:$E$114,"&gt;0")=0,"",SUMIFS('CPI Data'!$I$6:$I$114,'CPI Data'!$C$6:$C$114,F$5,'CPI Data'!$D$6:$D$114,6))</f>
        <v/>
      </c>
      <c r="G11" s="18">
        <f>IF(COUNTIFS('CPI Data'!$C$6:$C$114,G$5,'CPI Data'!$D$6:$D$114,6,'CPI Data'!$E$6:$E$114,"&gt;0")=0,"",SUMIFS('CPI Data'!$I$6:$I$114,'CPI Data'!$C$6:$C$114,G$5,'CPI Data'!$D$6:$D$114,6))</f>
        <v/>
      </c>
      <c r="H11" s="18">
        <f>IF(COUNTIFS('CPI Data'!$C$6:$C$114,H$5,'CPI Data'!$D$6:$D$114,6,'CPI Data'!$E$6:$E$114,"&gt;0")=0,"",SUMIFS('CPI Data'!$I$6:$I$114,'CPI Data'!$C$6:$C$114,H$5,'CPI Data'!$D$6:$D$114,6))</f>
        <v/>
      </c>
      <c r="I11" s="18">
        <f>IF(COUNTIFS('CPI Data'!$C$6:$C$114,I$5,'CPI Data'!$D$6:$D$114,6,'CPI Data'!$E$6:$E$114,"&gt;0")=0,"",SUMIFS('CPI Data'!$I$6:$I$114,'CPI Data'!$C$6:$C$114,I$5,'CPI Data'!$D$6:$D$114,6))</f>
        <v/>
      </c>
      <c r="J11" s="18">
        <f>IF(COUNTIFS('CPI Data'!$C$6:$C$114,J$5,'CPI Data'!$D$6:$D$114,6,'CPI Data'!$E$6:$E$114,"&gt;0")=0,"",SUMIFS('CPI Data'!$I$6:$I$114,'CPI Data'!$C$6:$C$114,J$5,'CPI Data'!$D$6:$D$114,6))</f>
        <v/>
      </c>
    </row>
    <row r="12">
      <c r="B12" s="24" t="inlineStr">
        <is>
          <t>Jul</t>
        </is>
      </c>
      <c r="C12" s="18">
        <f>IF(COUNTIFS('CPI Data'!$C$6:$C$114,C$5,'CPI Data'!$D$6:$D$114,7,'CPI Data'!$E$6:$E$114,"&gt;0")=0,"",SUMIFS('CPI Data'!$I$6:$I$114,'CPI Data'!$C$6:$C$114,C$5,'CPI Data'!$D$6:$D$114,7))</f>
        <v/>
      </c>
      <c r="D12" s="18">
        <f>IF(COUNTIFS('CPI Data'!$C$6:$C$114,D$5,'CPI Data'!$D$6:$D$114,7,'CPI Data'!$E$6:$E$114,"&gt;0")=0,"",SUMIFS('CPI Data'!$I$6:$I$114,'CPI Data'!$C$6:$C$114,D$5,'CPI Data'!$D$6:$D$114,7))</f>
        <v/>
      </c>
      <c r="E12" s="18">
        <f>IF(COUNTIFS('CPI Data'!$C$6:$C$114,E$5,'CPI Data'!$D$6:$D$114,7,'CPI Data'!$E$6:$E$114,"&gt;0")=0,"",SUMIFS('CPI Data'!$I$6:$I$114,'CPI Data'!$C$6:$C$114,E$5,'CPI Data'!$D$6:$D$114,7))</f>
        <v/>
      </c>
      <c r="F12" s="18">
        <f>IF(COUNTIFS('CPI Data'!$C$6:$C$114,F$5,'CPI Data'!$D$6:$D$114,7,'CPI Data'!$E$6:$E$114,"&gt;0")=0,"",SUMIFS('CPI Data'!$I$6:$I$114,'CPI Data'!$C$6:$C$114,F$5,'CPI Data'!$D$6:$D$114,7))</f>
        <v/>
      </c>
      <c r="G12" s="18">
        <f>IF(COUNTIFS('CPI Data'!$C$6:$C$114,G$5,'CPI Data'!$D$6:$D$114,7,'CPI Data'!$E$6:$E$114,"&gt;0")=0,"",SUMIFS('CPI Data'!$I$6:$I$114,'CPI Data'!$C$6:$C$114,G$5,'CPI Data'!$D$6:$D$114,7))</f>
        <v/>
      </c>
      <c r="H12" s="18">
        <f>IF(COUNTIFS('CPI Data'!$C$6:$C$114,H$5,'CPI Data'!$D$6:$D$114,7,'CPI Data'!$E$6:$E$114,"&gt;0")=0,"",SUMIFS('CPI Data'!$I$6:$I$114,'CPI Data'!$C$6:$C$114,H$5,'CPI Data'!$D$6:$D$114,7))</f>
        <v/>
      </c>
      <c r="I12" s="18">
        <f>IF(COUNTIFS('CPI Data'!$C$6:$C$114,I$5,'CPI Data'!$D$6:$D$114,7,'CPI Data'!$E$6:$E$114,"&gt;0")=0,"",SUMIFS('CPI Data'!$I$6:$I$114,'CPI Data'!$C$6:$C$114,I$5,'CPI Data'!$D$6:$D$114,7))</f>
        <v/>
      </c>
      <c r="J12" s="18">
        <f>IF(COUNTIFS('CPI Data'!$C$6:$C$114,J$5,'CPI Data'!$D$6:$D$114,7,'CPI Data'!$E$6:$E$114,"&gt;0")=0,"",SUMIFS('CPI Data'!$I$6:$I$114,'CPI Data'!$C$6:$C$114,J$5,'CPI Data'!$D$6:$D$114,7))</f>
        <v/>
      </c>
    </row>
    <row r="13">
      <c r="B13" s="24" t="inlineStr">
        <is>
          <t>Aug</t>
        </is>
      </c>
      <c r="C13" s="18">
        <f>IF(COUNTIFS('CPI Data'!$C$6:$C$114,C$5,'CPI Data'!$D$6:$D$114,8,'CPI Data'!$E$6:$E$114,"&gt;0")=0,"",SUMIFS('CPI Data'!$I$6:$I$114,'CPI Data'!$C$6:$C$114,C$5,'CPI Data'!$D$6:$D$114,8))</f>
        <v/>
      </c>
      <c r="D13" s="18">
        <f>IF(COUNTIFS('CPI Data'!$C$6:$C$114,D$5,'CPI Data'!$D$6:$D$114,8,'CPI Data'!$E$6:$E$114,"&gt;0")=0,"",SUMIFS('CPI Data'!$I$6:$I$114,'CPI Data'!$C$6:$C$114,D$5,'CPI Data'!$D$6:$D$114,8))</f>
        <v/>
      </c>
      <c r="E13" s="18">
        <f>IF(COUNTIFS('CPI Data'!$C$6:$C$114,E$5,'CPI Data'!$D$6:$D$114,8,'CPI Data'!$E$6:$E$114,"&gt;0")=0,"",SUMIFS('CPI Data'!$I$6:$I$114,'CPI Data'!$C$6:$C$114,E$5,'CPI Data'!$D$6:$D$114,8))</f>
        <v/>
      </c>
      <c r="F13" s="18">
        <f>IF(COUNTIFS('CPI Data'!$C$6:$C$114,F$5,'CPI Data'!$D$6:$D$114,8,'CPI Data'!$E$6:$E$114,"&gt;0")=0,"",SUMIFS('CPI Data'!$I$6:$I$114,'CPI Data'!$C$6:$C$114,F$5,'CPI Data'!$D$6:$D$114,8))</f>
        <v/>
      </c>
      <c r="G13" s="18">
        <f>IF(COUNTIFS('CPI Data'!$C$6:$C$114,G$5,'CPI Data'!$D$6:$D$114,8,'CPI Data'!$E$6:$E$114,"&gt;0")=0,"",SUMIFS('CPI Data'!$I$6:$I$114,'CPI Data'!$C$6:$C$114,G$5,'CPI Data'!$D$6:$D$114,8))</f>
        <v/>
      </c>
      <c r="H13" s="18">
        <f>IF(COUNTIFS('CPI Data'!$C$6:$C$114,H$5,'CPI Data'!$D$6:$D$114,8,'CPI Data'!$E$6:$E$114,"&gt;0")=0,"",SUMIFS('CPI Data'!$I$6:$I$114,'CPI Data'!$C$6:$C$114,H$5,'CPI Data'!$D$6:$D$114,8))</f>
        <v/>
      </c>
      <c r="I13" s="18">
        <f>IF(COUNTIFS('CPI Data'!$C$6:$C$114,I$5,'CPI Data'!$D$6:$D$114,8,'CPI Data'!$E$6:$E$114,"&gt;0")=0,"",SUMIFS('CPI Data'!$I$6:$I$114,'CPI Data'!$C$6:$C$114,I$5,'CPI Data'!$D$6:$D$114,8))</f>
        <v/>
      </c>
      <c r="J13" s="18">
        <f>IF(COUNTIFS('CPI Data'!$C$6:$C$114,J$5,'CPI Data'!$D$6:$D$114,8,'CPI Data'!$E$6:$E$114,"&gt;0")=0,"",SUMIFS('CPI Data'!$I$6:$I$114,'CPI Data'!$C$6:$C$114,J$5,'CPI Data'!$D$6:$D$114,8))</f>
        <v/>
      </c>
    </row>
    <row r="14">
      <c r="B14" s="24" t="inlineStr">
        <is>
          <t>Sep</t>
        </is>
      </c>
      <c r="C14" s="18">
        <f>IF(COUNTIFS('CPI Data'!$C$6:$C$114,C$5,'CPI Data'!$D$6:$D$114,9,'CPI Data'!$E$6:$E$114,"&gt;0")=0,"",SUMIFS('CPI Data'!$I$6:$I$114,'CPI Data'!$C$6:$C$114,C$5,'CPI Data'!$D$6:$D$114,9))</f>
        <v/>
      </c>
      <c r="D14" s="18">
        <f>IF(COUNTIFS('CPI Data'!$C$6:$C$114,D$5,'CPI Data'!$D$6:$D$114,9,'CPI Data'!$E$6:$E$114,"&gt;0")=0,"",SUMIFS('CPI Data'!$I$6:$I$114,'CPI Data'!$C$6:$C$114,D$5,'CPI Data'!$D$6:$D$114,9))</f>
        <v/>
      </c>
      <c r="E14" s="18">
        <f>IF(COUNTIFS('CPI Data'!$C$6:$C$114,E$5,'CPI Data'!$D$6:$D$114,9,'CPI Data'!$E$6:$E$114,"&gt;0")=0,"",SUMIFS('CPI Data'!$I$6:$I$114,'CPI Data'!$C$6:$C$114,E$5,'CPI Data'!$D$6:$D$114,9))</f>
        <v/>
      </c>
      <c r="F14" s="18">
        <f>IF(COUNTIFS('CPI Data'!$C$6:$C$114,F$5,'CPI Data'!$D$6:$D$114,9,'CPI Data'!$E$6:$E$114,"&gt;0")=0,"",SUMIFS('CPI Data'!$I$6:$I$114,'CPI Data'!$C$6:$C$114,F$5,'CPI Data'!$D$6:$D$114,9))</f>
        <v/>
      </c>
      <c r="G14" s="18">
        <f>IF(COUNTIFS('CPI Data'!$C$6:$C$114,G$5,'CPI Data'!$D$6:$D$114,9,'CPI Data'!$E$6:$E$114,"&gt;0")=0,"",SUMIFS('CPI Data'!$I$6:$I$114,'CPI Data'!$C$6:$C$114,G$5,'CPI Data'!$D$6:$D$114,9))</f>
        <v/>
      </c>
      <c r="H14" s="18">
        <f>IF(COUNTIFS('CPI Data'!$C$6:$C$114,H$5,'CPI Data'!$D$6:$D$114,9,'CPI Data'!$E$6:$E$114,"&gt;0")=0,"",SUMIFS('CPI Data'!$I$6:$I$114,'CPI Data'!$C$6:$C$114,H$5,'CPI Data'!$D$6:$D$114,9))</f>
        <v/>
      </c>
      <c r="I14" s="18">
        <f>IF(COUNTIFS('CPI Data'!$C$6:$C$114,I$5,'CPI Data'!$D$6:$D$114,9,'CPI Data'!$E$6:$E$114,"&gt;0")=0,"",SUMIFS('CPI Data'!$I$6:$I$114,'CPI Data'!$C$6:$C$114,I$5,'CPI Data'!$D$6:$D$114,9))</f>
        <v/>
      </c>
      <c r="J14" s="18">
        <f>IF(COUNTIFS('CPI Data'!$C$6:$C$114,J$5,'CPI Data'!$D$6:$D$114,9,'CPI Data'!$E$6:$E$114,"&gt;0")=0,"",SUMIFS('CPI Data'!$I$6:$I$114,'CPI Data'!$C$6:$C$114,J$5,'CPI Data'!$D$6:$D$114,9))</f>
        <v/>
      </c>
    </row>
    <row r="15">
      <c r="B15" s="24" t="inlineStr">
        <is>
          <t>Oct</t>
        </is>
      </c>
      <c r="C15" s="18">
        <f>IF(COUNTIFS('CPI Data'!$C$6:$C$114,C$5,'CPI Data'!$D$6:$D$114,10,'CPI Data'!$E$6:$E$114,"&gt;0")=0,"",SUMIFS('CPI Data'!$I$6:$I$114,'CPI Data'!$C$6:$C$114,C$5,'CPI Data'!$D$6:$D$114,10))</f>
        <v/>
      </c>
      <c r="D15" s="18">
        <f>IF(COUNTIFS('CPI Data'!$C$6:$C$114,D$5,'CPI Data'!$D$6:$D$114,10,'CPI Data'!$E$6:$E$114,"&gt;0")=0,"",SUMIFS('CPI Data'!$I$6:$I$114,'CPI Data'!$C$6:$C$114,D$5,'CPI Data'!$D$6:$D$114,10))</f>
        <v/>
      </c>
      <c r="E15" s="18">
        <f>IF(COUNTIFS('CPI Data'!$C$6:$C$114,E$5,'CPI Data'!$D$6:$D$114,10,'CPI Data'!$E$6:$E$114,"&gt;0")=0,"",SUMIFS('CPI Data'!$I$6:$I$114,'CPI Data'!$C$6:$C$114,E$5,'CPI Data'!$D$6:$D$114,10))</f>
        <v/>
      </c>
      <c r="F15" s="18">
        <f>IF(COUNTIFS('CPI Data'!$C$6:$C$114,F$5,'CPI Data'!$D$6:$D$114,10,'CPI Data'!$E$6:$E$114,"&gt;0")=0,"",SUMIFS('CPI Data'!$I$6:$I$114,'CPI Data'!$C$6:$C$114,F$5,'CPI Data'!$D$6:$D$114,10))</f>
        <v/>
      </c>
      <c r="G15" s="18">
        <f>IF(COUNTIFS('CPI Data'!$C$6:$C$114,G$5,'CPI Data'!$D$6:$D$114,10,'CPI Data'!$E$6:$E$114,"&gt;0")=0,"",SUMIFS('CPI Data'!$I$6:$I$114,'CPI Data'!$C$6:$C$114,G$5,'CPI Data'!$D$6:$D$114,10))</f>
        <v/>
      </c>
      <c r="H15" s="18">
        <f>IF(COUNTIFS('CPI Data'!$C$6:$C$114,H$5,'CPI Data'!$D$6:$D$114,10,'CPI Data'!$E$6:$E$114,"&gt;0")=0,"",SUMIFS('CPI Data'!$I$6:$I$114,'CPI Data'!$C$6:$C$114,H$5,'CPI Data'!$D$6:$D$114,10))</f>
        <v/>
      </c>
      <c r="I15" s="18">
        <f>IF(COUNTIFS('CPI Data'!$C$6:$C$114,I$5,'CPI Data'!$D$6:$D$114,10,'CPI Data'!$E$6:$E$114,"&gt;0")=0,"",SUMIFS('CPI Data'!$I$6:$I$114,'CPI Data'!$C$6:$C$114,I$5,'CPI Data'!$D$6:$D$114,10))</f>
        <v/>
      </c>
      <c r="J15" s="18">
        <f>IF(COUNTIFS('CPI Data'!$C$6:$C$114,J$5,'CPI Data'!$D$6:$D$114,10,'CPI Data'!$E$6:$E$114,"&gt;0")=0,"",SUMIFS('CPI Data'!$I$6:$I$114,'CPI Data'!$C$6:$C$114,J$5,'CPI Data'!$D$6:$D$114,10))</f>
        <v/>
      </c>
    </row>
    <row r="16">
      <c r="B16" s="24" t="inlineStr">
        <is>
          <t>Nov</t>
        </is>
      </c>
      <c r="C16" s="18">
        <f>IF(COUNTIFS('CPI Data'!$C$6:$C$114,C$5,'CPI Data'!$D$6:$D$114,11,'CPI Data'!$E$6:$E$114,"&gt;0")=0,"",SUMIFS('CPI Data'!$I$6:$I$114,'CPI Data'!$C$6:$C$114,C$5,'CPI Data'!$D$6:$D$114,11))</f>
        <v/>
      </c>
      <c r="D16" s="18">
        <f>IF(COUNTIFS('CPI Data'!$C$6:$C$114,D$5,'CPI Data'!$D$6:$D$114,11,'CPI Data'!$E$6:$E$114,"&gt;0")=0,"",SUMIFS('CPI Data'!$I$6:$I$114,'CPI Data'!$C$6:$C$114,D$5,'CPI Data'!$D$6:$D$114,11))</f>
        <v/>
      </c>
      <c r="E16" s="18">
        <f>IF(COUNTIFS('CPI Data'!$C$6:$C$114,E$5,'CPI Data'!$D$6:$D$114,11,'CPI Data'!$E$6:$E$114,"&gt;0")=0,"",SUMIFS('CPI Data'!$I$6:$I$114,'CPI Data'!$C$6:$C$114,E$5,'CPI Data'!$D$6:$D$114,11))</f>
        <v/>
      </c>
      <c r="F16" s="18">
        <f>IF(COUNTIFS('CPI Data'!$C$6:$C$114,F$5,'CPI Data'!$D$6:$D$114,11,'CPI Data'!$E$6:$E$114,"&gt;0")=0,"",SUMIFS('CPI Data'!$I$6:$I$114,'CPI Data'!$C$6:$C$114,F$5,'CPI Data'!$D$6:$D$114,11))</f>
        <v/>
      </c>
      <c r="G16" s="18">
        <f>IF(COUNTIFS('CPI Data'!$C$6:$C$114,G$5,'CPI Data'!$D$6:$D$114,11,'CPI Data'!$E$6:$E$114,"&gt;0")=0,"",SUMIFS('CPI Data'!$I$6:$I$114,'CPI Data'!$C$6:$C$114,G$5,'CPI Data'!$D$6:$D$114,11))</f>
        <v/>
      </c>
      <c r="H16" s="18">
        <f>IF(COUNTIFS('CPI Data'!$C$6:$C$114,H$5,'CPI Data'!$D$6:$D$114,11,'CPI Data'!$E$6:$E$114,"&gt;0")=0,"",SUMIFS('CPI Data'!$I$6:$I$114,'CPI Data'!$C$6:$C$114,H$5,'CPI Data'!$D$6:$D$114,11))</f>
        <v/>
      </c>
      <c r="I16" s="18">
        <f>IF(COUNTIFS('CPI Data'!$C$6:$C$114,I$5,'CPI Data'!$D$6:$D$114,11,'CPI Data'!$E$6:$E$114,"&gt;0")=0,"",SUMIFS('CPI Data'!$I$6:$I$114,'CPI Data'!$C$6:$C$114,I$5,'CPI Data'!$D$6:$D$114,11))</f>
        <v/>
      </c>
      <c r="J16" s="18">
        <f>IF(COUNTIFS('CPI Data'!$C$6:$C$114,J$5,'CPI Data'!$D$6:$D$114,11,'CPI Data'!$E$6:$E$114,"&gt;0")=0,"",SUMIFS('CPI Data'!$I$6:$I$114,'CPI Data'!$C$6:$C$114,J$5,'CPI Data'!$D$6:$D$114,11))</f>
        <v/>
      </c>
    </row>
    <row r="17">
      <c r="B17" s="24" t="inlineStr">
        <is>
          <t>Dec</t>
        </is>
      </c>
      <c r="C17" s="18">
        <f>IF(COUNTIFS('CPI Data'!$C$6:$C$114,C$5,'CPI Data'!$D$6:$D$114,12,'CPI Data'!$E$6:$E$114,"&gt;0")=0,"",SUMIFS('CPI Data'!$I$6:$I$114,'CPI Data'!$C$6:$C$114,C$5,'CPI Data'!$D$6:$D$114,12))</f>
        <v/>
      </c>
      <c r="D17" s="18">
        <f>IF(COUNTIFS('CPI Data'!$C$6:$C$114,D$5,'CPI Data'!$D$6:$D$114,12,'CPI Data'!$E$6:$E$114,"&gt;0")=0,"",SUMIFS('CPI Data'!$I$6:$I$114,'CPI Data'!$C$6:$C$114,D$5,'CPI Data'!$D$6:$D$114,12))</f>
        <v/>
      </c>
      <c r="E17" s="18">
        <f>IF(COUNTIFS('CPI Data'!$C$6:$C$114,E$5,'CPI Data'!$D$6:$D$114,12,'CPI Data'!$E$6:$E$114,"&gt;0")=0,"",SUMIFS('CPI Data'!$I$6:$I$114,'CPI Data'!$C$6:$C$114,E$5,'CPI Data'!$D$6:$D$114,12))</f>
        <v/>
      </c>
      <c r="F17" s="18">
        <f>IF(COUNTIFS('CPI Data'!$C$6:$C$114,F$5,'CPI Data'!$D$6:$D$114,12,'CPI Data'!$E$6:$E$114,"&gt;0")=0,"",SUMIFS('CPI Data'!$I$6:$I$114,'CPI Data'!$C$6:$C$114,F$5,'CPI Data'!$D$6:$D$114,12))</f>
        <v/>
      </c>
      <c r="G17" s="18">
        <f>IF(COUNTIFS('CPI Data'!$C$6:$C$114,G$5,'CPI Data'!$D$6:$D$114,12,'CPI Data'!$E$6:$E$114,"&gt;0")=0,"",SUMIFS('CPI Data'!$I$6:$I$114,'CPI Data'!$C$6:$C$114,G$5,'CPI Data'!$D$6:$D$114,12))</f>
        <v/>
      </c>
      <c r="H17" s="18">
        <f>IF(COUNTIFS('CPI Data'!$C$6:$C$114,H$5,'CPI Data'!$D$6:$D$114,12,'CPI Data'!$E$6:$E$114,"&gt;0")=0,"",SUMIFS('CPI Data'!$I$6:$I$114,'CPI Data'!$C$6:$C$114,H$5,'CPI Data'!$D$6:$D$114,12))</f>
        <v/>
      </c>
      <c r="I17" s="18">
        <f>IF(COUNTIFS('CPI Data'!$C$6:$C$114,I$5,'CPI Data'!$D$6:$D$114,12,'CPI Data'!$E$6:$E$114,"&gt;0")=0,"",SUMIFS('CPI Data'!$I$6:$I$114,'CPI Data'!$C$6:$C$114,I$5,'CPI Data'!$D$6:$D$114,12))</f>
        <v/>
      </c>
      <c r="J17" s="18">
        <f>IF(COUNTIFS('CPI Data'!$C$6:$C$114,J$5,'CPI Data'!$D$6:$D$114,12,'CPI Data'!$E$6:$E$114,"&gt;0")=0,"",SUMIFS('CPI Data'!$I$6:$I$114,'CPI Data'!$C$6:$C$114,J$5,'CPI Data'!$D$6:$D$114,12))</f>
        <v/>
      </c>
    </row>
    <row r="19">
      <c r="B19" s="25" t="inlineStr">
        <is>
          <t>Dec/Dec*</t>
        </is>
      </c>
      <c r="C19" s="26">
        <f>IFERROR(INDEX('CPI Data'!$E:$E,MATCH("2019-12",'CPI Data'!$B:$B,0))/INDEX('CPI Data'!$E:$E,MATCH("2018-12",'CPI Data'!$B:$B,0))-1,"")</f>
        <v/>
      </c>
      <c r="D19" s="26">
        <f>IFERROR(INDEX('CPI Data'!$E:$E,MATCH("2020-12",'CPI Data'!$B:$B,0))/INDEX('CPI Data'!$E:$E,MATCH("2019-12",'CPI Data'!$B:$B,0))-1,"")</f>
        <v/>
      </c>
      <c r="E19" s="26">
        <f>IFERROR(INDEX('CPI Data'!$E:$E,MATCH("2021-12",'CPI Data'!$B:$B,0))/INDEX('CPI Data'!$E:$E,MATCH("2020-12",'CPI Data'!$B:$B,0))-1,"")</f>
        <v/>
      </c>
      <c r="F19" s="26">
        <f>IFERROR(INDEX('CPI Data'!$E:$E,MATCH("2022-12",'CPI Data'!$B:$B,0))/INDEX('CPI Data'!$E:$E,MATCH("2021-12",'CPI Data'!$B:$B,0))-1,"")</f>
        <v/>
      </c>
      <c r="G19" s="26">
        <f>IFERROR(INDEX('CPI Data'!$E:$E,MATCH("2023-12",'CPI Data'!$B:$B,0))/INDEX('CPI Data'!$E:$E,MATCH("2022-12",'CPI Data'!$B:$B,0))-1,"")</f>
        <v/>
      </c>
      <c r="H19" s="26">
        <f>IFERROR(INDEX('CPI Data'!$E:$E,MATCH("2024-12",'CPI Data'!$B:$B,0))/INDEX('CPI Data'!$E:$E,MATCH("2023-12",'CPI Data'!$B:$B,0))-1,"")</f>
        <v/>
      </c>
      <c r="I19" s="26">
        <f>IFERROR(INDEX('CPI Data'!$E:$E,MATCH("2025-12",'CPI Data'!$B:$B,0))/INDEX('CPI Data'!$E:$E,MATCH("2024-12",'CPI Data'!$B:$B,0))-1,"")</f>
        <v/>
      </c>
      <c r="J19" s="26">
        <f>IFERROR(INDEX('CPI Data'!$E:$E,MATCH("2026-08",'CPI Data'!$B:$B,0))/INDEX('CPI Data'!$E:$E,MATCH("2025-12",'CPI Data'!$B:$B,0))-1,"")</f>
        <v/>
      </c>
    </row>
    <row r="20">
      <c r="B20" s="25" t="inlineStr">
        <is>
          <t>Avg month</t>
        </is>
      </c>
      <c r="C20" s="27">
        <f>IFERROR(AVERAGE(C6:C17),"")</f>
        <v/>
      </c>
      <c r="D20" s="27">
        <f>IFERROR(AVERAGE(D6:D17),"")</f>
        <v/>
      </c>
      <c r="E20" s="27">
        <f>IFERROR(AVERAGE(E6:E17),"")</f>
        <v/>
      </c>
      <c r="F20" s="27">
        <f>IFERROR(AVERAGE(F6:F17),"")</f>
        <v/>
      </c>
      <c r="G20" s="27">
        <f>IFERROR(AVERAGE(G6:G17),"")</f>
        <v/>
      </c>
      <c r="H20" s="27">
        <f>IFERROR(AVERAGE(H6:H17),"")</f>
        <v/>
      </c>
      <c r="I20" s="27">
        <f>IFERROR(AVERAGE(I6:I17),"")</f>
        <v/>
      </c>
      <c r="J20" s="27">
        <f>IFERROR(AVERAGE(J6:J17),"")</f>
        <v/>
      </c>
    </row>
    <row r="21">
      <c r="B21" s="28" t="inlineStr">
        <is>
          <t>* the 2026 column is year-to-date through 2026-08, not a full year.</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tabColor rgb="001F3B63"/>
    <outlinePr summaryBelow="1" summaryRight="1"/>
    <pageSetUpPr fitToPage="1"/>
  </sheetPr>
  <dimension ref="B2:J21"/>
  <sheetViews>
    <sheetView showGridLines="0" workbookViewId="0">
      <selection activeCell="A1" sqref="A1"/>
    </sheetView>
  </sheetViews>
  <sheetFormatPr baseColWidth="8" defaultRowHeight="15"/>
  <cols>
    <col width="2" customWidth="1" min="1" max="1"/>
    <col width="11"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2" ht="26" customHeight="1">
      <c r="B2" s="1" t="inlineStr">
        <is>
          <t>Seasonality — IPC Nucleo (core): month-on-month % by calendar year</t>
        </is>
      </c>
    </row>
    <row r="3">
      <c r="B3" s="2" t="inlineStr">
        <is>
          <t>Core strips out regulated tariffs and seasonal items — the cleanest read on underlying momentum.</t>
        </is>
      </c>
    </row>
    <row r="5">
      <c r="B5" s="22" t="inlineStr">
        <is>
          <t>Month</t>
        </is>
      </c>
      <c r="C5" s="23" t="n">
        <v>2019</v>
      </c>
      <c r="D5" s="23" t="n">
        <v>2020</v>
      </c>
      <c r="E5" s="23" t="n">
        <v>2021</v>
      </c>
      <c r="F5" s="23" t="n">
        <v>2022</v>
      </c>
      <c r="G5" s="23" t="n">
        <v>2023</v>
      </c>
      <c r="H5" s="23" t="n">
        <v>2024</v>
      </c>
      <c r="I5" s="23" t="n">
        <v>2025</v>
      </c>
      <c r="J5" s="23" t="n">
        <v>2026</v>
      </c>
    </row>
    <row r="6">
      <c r="B6" s="24" t="inlineStr">
        <is>
          <t>Jan</t>
        </is>
      </c>
      <c r="C6" s="18">
        <f>IF(COUNTIFS('CPI Data'!$C$6:$C$114,C$5,'CPI Data'!$D$6:$D$114,1,'CPI Data'!$F$6:$F$114,"&gt;0")=0,"",SUMIFS('CPI Data'!$J$6:$J$114,'CPI Data'!$C$6:$C$114,C$5,'CPI Data'!$D$6:$D$114,1))</f>
        <v/>
      </c>
      <c r="D6" s="18">
        <f>IF(COUNTIFS('CPI Data'!$C$6:$C$114,D$5,'CPI Data'!$D$6:$D$114,1,'CPI Data'!$F$6:$F$114,"&gt;0")=0,"",SUMIFS('CPI Data'!$J$6:$J$114,'CPI Data'!$C$6:$C$114,D$5,'CPI Data'!$D$6:$D$114,1))</f>
        <v/>
      </c>
      <c r="E6" s="18">
        <f>IF(COUNTIFS('CPI Data'!$C$6:$C$114,E$5,'CPI Data'!$D$6:$D$114,1,'CPI Data'!$F$6:$F$114,"&gt;0")=0,"",SUMIFS('CPI Data'!$J$6:$J$114,'CPI Data'!$C$6:$C$114,E$5,'CPI Data'!$D$6:$D$114,1))</f>
        <v/>
      </c>
      <c r="F6" s="18">
        <f>IF(COUNTIFS('CPI Data'!$C$6:$C$114,F$5,'CPI Data'!$D$6:$D$114,1,'CPI Data'!$F$6:$F$114,"&gt;0")=0,"",SUMIFS('CPI Data'!$J$6:$J$114,'CPI Data'!$C$6:$C$114,F$5,'CPI Data'!$D$6:$D$114,1))</f>
        <v/>
      </c>
      <c r="G6" s="18">
        <f>IF(COUNTIFS('CPI Data'!$C$6:$C$114,G$5,'CPI Data'!$D$6:$D$114,1,'CPI Data'!$F$6:$F$114,"&gt;0")=0,"",SUMIFS('CPI Data'!$J$6:$J$114,'CPI Data'!$C$6:$C$114,G$5,'CPI Data'!$D$6:$D$114,1))</f>
        <v/>
      </c>
      <c r="H6" s="18">
        <f>IF(COUNTIFS('CPI Data'!$C$6:$C$114,H$5,'CPI Data'!$D$6:$D$114,1,'CPI Data'!$F$6:$F$114,"&gt;0")=0,"",SUMIFS('CPI Data'!$J$6:$J$114,'CPI Data'!$C$6:$C$114,H$5,'CPI Data'!$D$6:$D$114,1))</f>
        <v/>
      </c>
      <c r="I6" s="18">
        <f>IF(COUNTIFS('CPI Data'!$C$6:$C$114,I$5,'CPI Data'!$D$6:$D$114,1,'CPI Data'!$F$6:$F$114,"&gt;0")=0,"",SUMIFS('CPI Data'!$J$6:$J$114,'CPI Data'!$C$6:$C$114,I$5,'CPI Data'!$D$6:$D$114,1))</f>
        <v/>
      </c>
      <c r="J6" s="18">
        <f>IF(COUNTIFS('CPI Data'!$C$6:$C$114,J$5,'CPI Data'!$D$6:$D$114,1,'CPI Data'!$F$6:$F$114,"&gt;0")=0,"",SUMIFS('CPI Data'!$J$6:$J$114,'CPI Data'!$C$6:$C$114,J$5,'CPI Data'!$D$6:$D$114,1))</f>
        <v/>
      </c>
    </row>
    <row r="7">
      <c r="B7" s="24" t="inlineStr">
        <is>
          <t>Feb</t>
        </is>
      </c>
      <c r="C7" s="18">
        <f>IF(COUNTIFS('CPI Data'!$C$6:$C$114,C$5,'CPI Data'!$D$6:$D$114,2,'CPI Data'!$F$6:$F$114,"&gt;0")=0,"",SUMIFS('CPI Data'!$J$6:$J$114,'CPI Data'!$C$6:$C$114,C$5,'CPI Data'!$D$6:$D$114,2))</f>
        <v/>
      </c>
      <c r="D7" s="18">
        <f>IF(COUNTIFS('CPI Data'!$C$6:$C$114,D$5,'CPI Data'!$D$6:$D$114,2,'CPI Data'!$F$6:$F$114,"&gt;0")=0,"",SUMIFS('CPI Data'!$J$6:$J$114,'CPI Data'!$C$6:$C$114,D$5,'CPI Data'!$D$6:$D$114,2))</f>
        <v/>
      </c>
      <c r="E7" s="18">
        <f>IF(COUNTIFS('CPI Data'!$C$6:$C$114,E$5,'CPI Data'!$D$6:$D$114,2,'CPI Data'!$F$6:$F$114,"&gt;0")=0,"",SUMIFS('CPI Data'!$J$6:$J$114,'CPI Data'!$C$6:$C$114,E$5,'CPI Data'!$D$6:$D$114,2))</f>
        <v/>
      </c>
      <c r="F7" s="18">
        <f>IF(COUNTIFS('CPI Data'!$C$6:$C$114,F$5,'CPI Data'!$D$6:$D$114,2,'CPI Data'!$F$6:$F$114,"&gt;0")=0,"",SUMIFS('CPI Data'!$J$6:$J$114,'CPI Data'!$C$6:$C$114,F$5,'CPI Data'!$D$6:$D$114,2))</f>
        <v/>
      </c>
      <c r="G7" s="18">
        <f>IF(COUNTIFS('CPI Data'!$C$6:$C$114,G$5,'CPI Data'!$D$6:$D$114,2,'CPI Data'!$F$6:$F$114,"&gt;0")=0,"",SUMIFS('CPI Data'!$J$6:$J$114,'CPI Data'!$C$6:$C$114,G$5,'CPI Data'!$D$6:$D$114,2))</f>
        <v/>
      </c>
      <c r="H7" s="18">
        <f>IF(COUNTIFS('CPI Data'!$C$6:$C$114,H$5,'CPI Data'!$D$6:$D$114,2,'CPI Data'!$F$6:$F$114,"&gt;0")=0,"",SUMIFS('CPI Data'!$J$6:$J$114,'CPI Data'!$C$6:$C$114,H$5,'CPI Data'!$D$6:$D$114,2))</f>
        <v/>
      </c>
      <c r="I7" s="18">
        <f>IF(COUNTIFS('CPI Data'!$C$6:$C$114,I$5,'CPI Data'!$D$6:$D$114,2,'CPI Data'!$F$6:$F$114,"&gt;0")=0,"",SUMIFS('CPI Data'!$J$6:$J$114,'CPI Data'!$C$6:$C$114,I$5,'CPI Data'!$D$6:$D$114,2))</f>
        <v/>
      </c>
      <c r="J7" s="18">
        <f>IF(COUNTIFS('CPI Data'!$C$6:$C$114,J$5,'CPI Data'!$D$6:$D$114,2,'CPI Data'!$F$6:$F$114,"&gt;0")=0,"",SUMIFS('CPI Data'!$J$6:$J$114,'CPI Data'!$C$6:$C$114,J$5,'CPI Data'!$D$6:$D$114,2))</f>
        <v/>
      </c>
    </row>
    <row r="8">
      <c r="B8" s="24" t="inlineStr">
        <is>
          <t>Mar</t>
        </is>
      </c>
      <c r="C8" s="18">
        <f>IF(COUNTIFS('CPI Data'!$C$6:$C$114,C$5,'CPI Data'!$D$6:$D$114,3,'CPI Data'!$F$6:$F$114,"&gt;0")=0,"",SUMIFS('CPI Data'!$J$6:$J$114,'CPI Data'!$C$6:$C$114,C$5,'CPI Data'!$D$6:$D$114,3))</f>
        <v/>
      </c>
      <c r="D8" s="18">
        <f>IF(COUNTIFS('CPI Data'!$C$6:$C$114,D$5,'CPI Data'!$D$6:$D$114,3,'CPI Data'!$F$6:$F$114,"&gt;0")=0,"",SUMIFS('CPI Data'!$J$6:$J$114,'CPI Data'!$C$6:$C$114,D$5,'CPI Data'!$D$6:$D$114,3))</f>
        <v/>
      </c>
      <c r="E8" s="18">
        <f>IF(COUNTIFS('CPI Data'!$C$6:$C$114,E$5,'CPI Data'!$D$6:$D$114,3,'CPI Data'!$F$6:$F$114,"&gt;0")=0,"",SUMIFS('CPI Data'!$J$6:$J$114,'CPI Data'!$C$6:$C$114,E$5,'CPI Data'!$D$6:$D$114,3))</f>
        <v/>
      </c>
      <c r="F8" s="18">
        <f>IF(COUNTIFS('CPI Data'!$C$6:$C$114,F$5,'CPI Data'!$D$6:$D$114,3,'CPI Data'!$F$6:$F$114,"&gt;0")=0,"",SUMIFS('CPI Data'!$J$6:$J$114,'CPI Data'!$C$6:$C$114,F$5,'CPI Data'!$D$6:$D$114,3))</f>
        <v/>
      </c>
      <c r="G8" s="18">
        <f>IF(COUNTIFS('CPI Data'!$C$6:$C$114,G$5,'CPI Data'!$D$6:$D$114,3,'CPI Data'!$F$6:$F$114,"&gt;0")=0,"",SUMIFS('CPI Data'!$J$6:$J$114,'CPI Data'!$C$6:$C$114,G$5,'CPI Data'!$D$6:$D$114,3))</f>
        <v/>
      </c>
      <c r="H8" s="18">
        <f>IF(COUNTIFS('CPI Data'!$C$6:$C$114,H$5,'CPI Data'!$D$6:$D$114,3,'CPI Data'!$F$6:$F$114,"&gt;0")=0,"",SUMIFS('CPI Data'!$J$6:$J$114,'CPI Data'!$C$6:$C$114,H$5,'CPI Data'!$D$6:$D$114,3))</f>
        <v/>
      </c>
      <c r="I8" s="18">
        <f>IF(COUNTIFS('CPI Data'!$C$6:$C$114,I$5,'CPI Data'!$D$6:$D$114,3,'CPI Data'!$F$6:$F$114,"&gt;0")=0,"",SUMIFS('CPI Data'!$J$6:$J$114,'CPI Data'!$C$6:$C$114,I$5,'CPI Data'!$D$6:$D$114,3))</f>
        <v/>
      </c>
      <c r="J8" s="18">
        <f>IF(COUNTIFS('CPI Data'!$C$6:$C$114,J$5,'CPI Data'!$D$6:$D$114,3,'CPI Data'!$F$6:$F$114,"&gt;0")=0,"",SUMIFS('CPI Data'!$J$6:$J$114,'CPI Data'!$C$6:$C$114,J$5,'CPI Data'!$D$6:$D$114,3))</f>
        <v/>
      </c>
    </row>
    <row r="9">
      <c r="B9" s="24" t="inlineStr">
        <is>
          <t>Apr</t>
        </is>
      </c>
      <c r="C9" s="18">
        <f>IF(COUNTIFS('CPI Data'!$C$6:$C$114,C$5,'CPI Data'!$D$6:$D$114,4,'CPI Data'!$F$6:$F$114,"&gt;0")=0,"",SUMIFS('CPI Data'!$J$6:$J$114,'CPI Data'!$C$6:$C$114,C$5,'CPI Data'!$D$6:$D$114,4))</f>
        <v/>
      </c>
      <c r="D9" s="18">
        <f>IF(COUNTIFS('CPI Data'!$C$6:$C$114,D$5,'CPI Data'!$D$6:$D$114,4,'CPI Data'!$F$6:$F$114,"&gt;0")=0,"",SUMIFS('CPI Data'!$J$6:$J$114,'CPI Data'!$C$6:$C$114,D$5,'CPI Data'!$D$6:$D$114,4))</f>
        <v/>
      </c>
      <c r="E9" s="18">
        <f>IF(COUNTIFS('CPI Data'!$C$6:$C$114,E$5,'CPI Data'!$D$6:$D$114,4,'CPI Data'!$F$6:$F$114,"&gt;0")=0,"",SUMIFS('CPI Data'!$J$6:$J$114,'CPI Data'!$C$6:$C$114,E$5,'CPI Data'!$D$6:$D$114,4))</f>
        <v/>
      </c>
      <c r="F9" s="18">
        <f>IF(COUNTIFS('CPI Data'!$C$6:$C$114,F$5,'CPI Data'!$D$6:$D$114,4,'CPI Data'!$F$6:$F$114,"&gt;0")=0,"",SUMIFS('CPI Data'!$J$6:$J$114,'CPI Data'!$C$6:$C$114,F$5,'CPI Data'!$D$6:$D$114,4))</f>
        <v/>
      </c>
      <c r="G9" s="18">
        <f>IF(COUNTIFS('CPI Data'!$C$6:$C$114,G$5,'CPI Data'!$D$6:$D$114,4,'CPI Data'!$F$6:$F$114,"&gt;0")=0,"",SUMIFS('CPI Data'!$J$6:$J$114,'CPI Data'!$C$6:$C$114,G$5,'CPI Data'!$D$6:$D$114,4))</f>
        <v/>
      </c>
      <c r="H9" s="18">
        <f>IF(COUNTIFS('CPI Data'!$C$6:$C$114,H$5,'CPI Data'!$D$6:$D$114,4,'CPI Data'!$F$6:$F$114,"&gt;0")=0,"",SUMIFS('CPI Data'!$J$6:$J$114,'CPI Data'!$C$6:$C$114,H$5,'CPI Data'!$D$6:$D$114,4))</f>
        <v/>
      </c>
      <c r="I9" s="18">
        <f>IF(COUNTIFS('CPI Data'!$C$6:$C$114,I$5,'CPI Data'!$D$6:$D$114,4,'CPI Data'!$F$6:$F$114,"&gt;0")=0,"",SUMIFS('CPI Data'!$J$6:$J$114,'CPI Data'!$C$6:$C$114,I$5,'CPI Data'!$D$6:$D$114,4))</f>
        <v/>
      </c>
      <c r="J9" s="18">
        <f>IF(COUNTIFS('CPI Data'!$C$6:$C$114,J$5,'CPI Data'!$D$6:$D$114,4,'CPI Data'!$F$6:$F$114,"&gt;0")=0,"",SUMIFS('CPI Data'!$J$6:$J$114,'CPI Data'!$C$6:$C$114,J$5,'CPI Data'!$D$6:$D$114,4))</f>
        <v/>
      </c>
    </row>
    <row r="10">
      <c r="B10" s="24" t="inlineStr">
        <is>
          <t>May</t>
        </is>
      </c>
      <c r="C10" s="18">
        <f>IF(COUNTIFS('CPI Data'!$C$6:$C$114,C$5,'CPI Data'!$D$6:$D$114,5,'CPI Data'!$F$6:$F$114,"&gt;0")=0,"",SUMIFS('CPI Data'!$J$6:$J$114,'CPI Data'!$C$6:$C$114,C$5,'CPI Data'!$D$6:$D$114,5))</f>
        <v/>
      </c>
      <c r="D10" s="18">
        <f>IF(COUNTIFS('CPI Data'!$C$6:$C$114,D$5,'CPI Data'!$D$6:$D$114,5,'CPI Data'!$F$6:$F$114,"&gt;0")=0,"",SUMIFS('CPI Data'!$J$6:$J$114,'CPI Data'!$C$6:$C$114,D$5,'CPI Data'!$D$6:$D$114,5))</f>
        <v/>
      </c>
      <c r="E10" s="18">
        <f>IF(COUNTIFS('CPI Data'!$C$6:$C$114,E$5,'CPI Data'!$D$6:$D$114,5,'CPI Data'!$F$6:$F$114,"&gt;0")=0,"",SUMIFS('CPI Data'!$J$6:$J$114,'CPI Data'!$C$6:$C$114,E$5,'CPI Data'!$D$6:$D$114,5))</f>
        <v/>
      </c>
      <c r="F10" s="18">
        <f>IF(COUNTIFS('CPI Data'!$C$6:$C$114,F$5,'CPI Data'!$D$6:$D$114,5,'CPI Data'!$F$6:$F$114,"&gt;0")=0,"",SUMIFS('CPI Data'!$J$6:$J$114,'CPI Data'!$C$6:$C$114,F$5,'CPI Data'!$D$6:$D$114,5))</f>
        <v/>
      </c>
      <c r="G10" s="18">
        <f>IF(COUNTIFS('CPI Data'!$C$6:$C$114,G$5,'CPI Data'!$D$6:$D$114,5,'CPI Data'!$F$6:$F$114,"&gt;0")=0,"",SUMIFS('CPI Data'!$J$6:$J$114,'CPI Data'!$C$6:$C$114,G$5,'CPI Data'!$D$6:$D$114,5))</f>
        <v/>
      </c>
      <c r="H10" s="18">
        <f>IF(COUNTIFS('CPI Data'!$C$6:$C$114,H$5,'CPI Data'!$D$6:$D$114,5,'CPI Data'!$F$6:$F$114,"&gt;0")=0,"",SUMIFS('CPI Data'!$J$6:$J$114,'CPI Data'!$C$6:$C$114,H$5,'CPI Data'!$D$6:$D$114,5))</f>
        <v/>
      </c>
      <c r="I10" s="18">
        <f>IF(COUNTIFS('CPI Data'!$C$6:$C$114,I$5,'CPI Data'!$D$6:$D$114,5,'CPI Data'!$F$6:$F$114,"&gt;0")=0,"",SUMIFS('CPI Data'!$J$6:$J$114,'CPI Data'!$C$6:$C$114,I$5,'CPI Data'!$D$6:$D$114,5))</f>
        <v/>
      </c>
      <c r="J10" s="18">
        <f>IF(COUNTIFS('CPI Data'!$C$6:$C$114,J$5,'CPI Data'!$D$6:$D$114,5,'CPI Data'!$F$6:$F$114,"&gt;0")=0,"",SUMIFS('CPI Data'!$J$6:$J$114,'CPI Data'!$C$6:$C$114,J$5,'CPI Data'!$D$6:$D$114,5))</f>
        <v/>
      </c>
    </row>
    <row r="11">
      <c r="B11" s="24" t="inlineStr">
        <is>
          <t>Jun</t>
        </is>
      </c>
      <c r="C11" s="18">
        <f>IF(COUNTIFS('CPI Data'!$C$6:$C$114,C$5,'CPI Data'!$D$6:$D$114,6,'CPI Data'!$F$6:$F$114,"&gt;0")=0,"",SUMIFS('CPI Data'!$J$6:$J$114,'CPI Data'!$C$6:$C$114,C$5,'CPI Data'!$D$6:$D$114,6))</f>
        <v/>
      </c>
      <c r="D11" s="18">
        <f>IF(COUNTIFS('CPI Data'!$C$6:$C$114,D$5,'CPI Data'!$D$6:$D$114,6,'CPI Data'!$F$6:$F$114,"&gt;0")=0,"",SUMIFS('CPI Data'!$J$6:$J$114,'CPI Data'!$C$6:$C$114,D$5,'CPI Data'!$D$6:$D$114,6))</f>
        <v/>
      </c>
      <c r="E11" s="18">
        <f>IF(COUNTIFS('CPI Data'!$C$6:$C$114,E$5,'CPI Data'!$D$6:$D$114,6,'CPI Data'!$F$6:$F$114,"&gt;0")=0,"",SUMIFS('CPI Data'!$J$6:$J$114,'CPI Data'!$C$6:$C$114,E$5,'CPI Data'!$D$6:$D$114,6))</f>
        <v/>
      </c>
      <c r="F11" s="18">
        <f>IF(COUNTIFS('CPI Data'!$C$6:$C$114,F$5,'CPI Data'!$D$6:$D$114,6,'CPI Data'!$F$6:$F$114,"&gt;0")=0,"",SUMIFS('CPI Data'!$J$6:$J$114,'CPI Data'!$C$6:$C$114,F$5,'CPI Data'!$D$6:$D$114,6))</f>
        <v/>
      </c>
      <c r="G11" s="18">
        <f>IF(COUNTIFS('CPI Data'!$C$6:$C$114,G$5,'CPI Data'!$D$6:$D$114,6,'CPI Data'!$F$6:$F$114,"&gt;0")=0,"",SUMIFS('CPI Data'!$J$6:$J$114,'CPI Data'!$C$6:$C$114,G$5,'CPI Data'!$D$6:$D$114,6))</f>
        <v/>
      </c>
      <c r="H11" s="18">
        <f>IF(COUNTIFS('CPI Data'!$C$6:$C$114,H$5,'CPI Data'!$D$6:$D$114,6,'CPI Data'!$F$6:$F$114,"&gt;0")=0,"",SUMIFS('CPI Data'!$J$6:$J$114,'CPI Data'!$C$6:$C$114,H$5,'CPI Data'!$D$6:$D$114,6))</f>
        <v/>
      </c>
      <c r="I11" s="18">
        <f>IF(COUNTIFS('CPI Data'!$C$6:$C$114,I$5,'CPI Data'!$D$6:$D$114,6,'CPI Data'!$F$6:$F$114,"&gt;0")=0,"",SUMIFS('CPI Data'!$J$6:$J$114,'CPI Data'!$C$6:$C$114,I$5,'CPI Data'!$D$6:$D$114,6))</f>
        <v/>
      </c>
      <c r="J11" s="18">
        <f>IF(COUNTIFS('CPI Data'!$C$6:$C$114,J$5,'CPI Data'!$D$6:$D$114,6,'CPI Data'!$F$6:$F$114,"&gt;0")=0,"",SUMIFS('CPI Data'!$J$6:$J$114,'CPI Data'!$C$6:$C$114,J$5,'CPI Data'!$D$6:$D$114,6))</f>
        <v/>
      </c>
    </row>
    <row r="12">
      <c r="B12" s="24" t="inlineStr">
        <is>
          <t>Jul</t>
        </is>
      </c>
      <c r="C12" s="18">
        <f>IF(COUNTIFS('CPI Data'!$C$6:$C$114,C$5,'CPI Data'!$D$6:$D$114,7,'CPI Data'!$F$6:$F$114,"&gt;0")=0,"",SUMIFS('CPI Data'!$J$6:$J$114,'CPI Data'!$C$6:$C$114,C$5,'CPI Data'!$D$6:$D$114,7))</f>
        <v/>
      </c>
      <c r="D12" s="18">
        <f>IF(COUNTIFS('CPI Data'!$C$6:$C$114,D$5,'CPI Data'!$D$6:$D$114,7,'CPI Data'!$F$6:$F$114,"&gt;0")=0,"",SUMIFS('CPI Data'!$J$6:$J$114,'CPI Data'!$C$6:$C$114,D$5,'CPI Data'!$D$6:$D$114,7))</f>
        <v/>
      </c>
      <c r="E12" s="18">
        <f>IF(COUNTIFS('CPI Data'!$C$6:$C$114,E$5,'CPI Data'!$D$6:$D$114,7,'CPI Data'!$F$6:$F$114,"&gt;0")=0,"",SUMIFS('CPI Data'!$J$6:$J$114,'CPI Data'!$C$6:$C$114,E$5,'CPI Data'!$D$6:$D$114,7))</f>
        <v/>
      </c>
      <c r="F12" s="18">
        <f>IF(COUNTIFS('CPI Data'!$C$6:$C$114,F$5,'CPI Data'!$D$6:$D$114,7,'CPI Data'!$F$6:$F$114,"&gt;0")=0,"",SUMIFS('CPI Data'!$J$6:$J$114,'CPI Data'!$C$6:$C$114,F$5,'CPI Data'!$D$6:$D$114,7))</f>
        <v/>
      </c>
      <c r="G12" s="18">
        <f>IF(COUNTIFS('CPI Data'!$C$6:$C$114,G$5,'CPI Data'!$D$6:$D$114,7,'CPI Data'!$F$6:$F$114,"&gt;0")=0,"",SUMIFS('CPI Data'!$J$6:$J$114,'CPI Data'!$C$6:$C$114,G$5,'CPI Data'!$D$6:$D$114,7))</f>
        <v/>
      </c>
      <c r="H12" s="18">
        <f>IF(COUNTIFS('CPI Data'!$C$6:$C$114,H$5,'CPI Data'!$D$6:$D$114,7,'CPI Data'!$F$6:$F$114,"&gt;0")=0,"",SUMIFS('CPI Data'!$J$6:$J$114,'CPI Data'!$C$6:$C$114,H$5,'CPI Data'!$D$6:$D$114,7))</f>
        <v/>
      </c>
      <c r="I12" s="18">
        <f>IF(COUNTIFS('CPI Data'!$C$6:$C$114,I$5,'CPI Data'!$D$6:$D$114,7,'CPI Data'!$F$6:$F$114,"&gt;0")=0,"",SUMIFS('CPI Data'!$J$6:$J$114,'CPI Data'!$C$6:$C$114,I$5,'CPI Data'!$D$6:$D$114,7))</f>
        <v/>
      </c>
      <c r="J12" s="18">
        <f>IF(COUNTIFS('CPI Data'!$C$6:$C$114,J$5,'CPI Data'!$D$6:$D$114,7,'CPI Data'!$F$6:$F$114,"&gt;0")=0,"",SUMIFS('CPI Data'!$J$6:$J$114,'CPI Data'!$C$6:$C$114,J$5,'CPI Data'!$D$6:$D$114,7))</f>
        <v/>
      </c>
    </row>
    <row r="13">
      <c r="B13" s="24" t="inlineStr">
        <is>
          <t>Aug</t>
        </is>
      </c>
      <c r="C13" s="18">
        <f>IF(COUNTIFS('CPI Data'!$C$6:$C$114,C$5,'CPI Data'!$D$6:$D$114,8,'CPI Data'!$F$6:$F$114,"&gt;0")=0,"",SUMIFS('CPI Data'!$J$6:$J$114,'CPI Data'!$C$6:$C$114,C$5,'CPI Data'!$D$6:$D$114,8))</f>
        <v/>
      </c>
      <c r="D13" s="18">
        <f>IF(COUNTIFS('CPI Data'!$C$6:$C$114,D$5,'CPI Data'!$D$6:$D$114,8,'CPI Data'!$F$6:$F$114,"&gt;0")=0,"",SUMIFS('CPI Data'!$J$6:$J$114,'CPI Data'!$C$6:$C$114,D$5,'CPI Data'!$D$6:$D$114,8))</f>
        <v/>
      </c>
      <c r="E13" s="18">
        <f>IF(COUNTIFS('CPI Data'!$C$6:$C$114,E$5,'CPI Data'!$D$6:$D$114,8,'CPI Data'!$F$6:$F$114,"&gt;0")=0,"",SUMIFS('CPI Data'!$J$6:$J$114,'CPI Data'!$C$6:$C$114,E$5,'CPI Data'!$D$6:$D$114,8))</f>
        <v/>
      </c>
      <c r="F13" s="18">
        <f>IF(COUNTIFS('CPI Data'!$C$6:$C$114,F$5,'CPI Data'!$D$6:$D$114,8,'CPI Data'!$F$6:$F$114,"&gt;0")=0,"",SUMIFS('CPI Data'!$J$6:$J$114,'CPI Data'!$C$6:$C$114,F$5,'CPI Data'!$D$6:$D$114,8))</f>
        <v/>
      </c>
      <c r="G13" s="18">
        <f>IF(COUNTIFS('CPI Data'!$C$6:$C$114,G$5,'CPI Data'!$D$6:$D$114,8,'CPI Data'!$F$6:$F$114,"&gt;0")=0,"",SUMIFS('CPI Data'!$J$6:$J$114,'CPI Data'!$C$6:$C$114,G$5,'CPI Data'!$D$6:$D$114,8))</f>
        <v/>
      </c>
      <c r="H13" s="18">
        <f>IF(COUNTIFS('CPI Data'!$C$6:$C$114,H$5,'CPI Data'!$D$6:$D$114,8,'CPI Data'!$F$6:$F$114,"&gt;0")=0,"",SUMIFS('CPI Data'!$J$6:$J$114,'CPI Data'!$C$6:$C$114,H$5,'CPI Data'!$D$6:$D$114,8))</f>
        <v/>
      </c>
      <c r="I13" s="18">
        <f>IF(COUNTIFS('CPI Data'!$C$6:$C$114,I$5,'CPI Data'!$D$6:$D$114,8,'CPI Data'!$F$6:$F$114,"&gt;0")=0,"",SUMIFS('CPI Data'!$J$6:$J$114,'CPI Data'!$C$6:$C$114,I$5,'CPI Data'!$D$6:$D$114,8))</f>
        <v/>
      </c>
      <c r="J13" s="18">
        <f>IF(COUNTIFS('CPI Data'!$C$6:$C$114,J$5,'CPI Data'!$D$6:$D$114,8,'CPI Data'!$F$6:$F$114,"&gt;0")=0,"",SUMIFS('CPI Data'!$J$6:$J$114,'CPI Data'!$C$6:$C$114,J$5,'CPI Data'!$D$6:$D$114,8))</f>
        <v/>
      </c>
    </row>
    <row r="14">
      <c r="B14" s="24" t="inlineStr">
        <is>
          <t>Sep</t>
        </is>
      </c>
      <c r="C14" s="18">
        <f>IF(COUNTIFS('CPI Data'!$C$6:$C$114,C$5,'CPI Data'!$D$6:$D$114,9,'CPI Data'!$F$6:$F$114,"&gt;0")=0,"",SUMIFS('CPI Data'!$J$6:$J$114,'CPI Data'!$C$6:$C$114,C$5,'CPI Data'!$D$6:$D$114,9))</f>
        <v/>
      </c>
      <c r="D14" s="18">
        <f>IF(COUNTIFS('CPI Data'!$C$6:$C$114,D$5,'CPI Data'!$D$6:$D$114,9,'CPI Data'!$F$6:$F$114,"&gt;0")=0,"",SUMIFS('CPI Data'!$J$6:$J$114,'CPI Data'!$C$6:$C$114,D$5,'CPI Data'!$D$6:$D$114,9))</f>
        <v/>
      </c>
      <c r="E14" s="18">
        <f>IF(COUNTIFS('CPI Data'!$C$6:$C$114,E$5,'CPI Data'!$D$6:$D$114,9,'CPI Data'!$F$6:$F$114,"&gt;0")=0,"",SUMIFS('CPI Data'!$J$6:$J$114,'CPI Data'!$C$6:$C$114,E$5,'CPI Data'!$D$6:$D$114,9))</f>
        <v/>
      </c>
      <c r="F14" s="18">
        <f>IF(COUNTIFS('CPI Data'!$C$6:$C$114,F$5,'CPI Data'!$D$6:$D$114,9,'CPI Data'!$F$6:$F$114,"&gt;0")=0,"",SUMIFS('CPI Data'!$J$6:$J$114,'CPI Data'!$C$6:$C$114,F$5,'CPI Data'!$D$6:$D$114,9))</f>
        <v/>
      </c>
      <c r="G14" s="18">
        <f>IF(COUNTIFS('CPI Data'!$C$6:$C$114,G$5,'CPI Data'!$D$6:$D$114,9,'CPI Data'!$F$6:$F$114,"&gt;0")=0,"",SUMIFS('CPI Data'!$J$6:$J$114,'CPI Data'!$C$6:$C$114,G$5,'CPI Data'!$D$6:$D$114,9))</f>
        <v/>
      </c>
      <c r="H14" s="18">
        <f>IF(COUNTIFS('CPI Data'!$C$6:$C$114,H$5,'CPI Data'!$D$6:$D$114,9,'CPI Data'!$F$6:$F$114,"&gt;0")=0,"",SUMIFS('CPI Data'!$J$6:$J$114,'CPI Data'!$C$6:$C$114,H$5,'CPI Data'!$D$6:$D$114,9))</f>
        <v/>
      </c>
      <c r="I14" s="18">
        <f>IF(COUNTIFS('CPI Data'!$C$6:$C$114,I$5,'CPI Data'!$D$6:$D$114,9,'CPI Data'!$F$6:$F$114,"&gt;0")=0,"",SUMIFS('CPI Data'!$J$6:$J$114,'CPI Data'!$C$6:$C$114,I$5,'CPI Data'!$D$6:$D$114,9))</f>
        <v/>
      </c>
      <c r="J14" s="18">
        <f>IF(COUNTIFS('CPI Data'!$C$6:$C$114,J$5,'CPI Data'!$D$6:$D$114,9,'CPI Data'!$F$6:$F$114,"&gt;0")=0,"",SUMIFS('CPI Data'!$J$6:$J$114,'CPI Data'!$C$6:$C$114,J$5,'CPI Data'!$D$6:$D$114,9))</f>
        <v/>
      </c>
    </row>
    <row r="15">
      <c r="B15" s="24" t="inlineStr">
        <is>
          <t>Oct</t>
        </is>
      </c>
      <c r="C15" s="18">
        <f>IF(COUNTIFS('CPI Data'!$C$6:$C$114,C$5,'CPI Data'!$D$6:$D$114,10,'CPI Data'!$F$6:$F$114,"&gt;0")=0,"",SUMIFS('CPI Data'!$J$6:$J$114,'CPI Data'!$C$6:$C$114,C$5,'CPI Data'!$D$6:$D$114,10))</f>
        <v/>
      </c>
      <c r="D15" s="18">
        <f>IF(COUNTIFS('CPI Data'!$C$6:$C$114,D$5,'CPI Data'!$D$6:$D$114,10,'CPI Data'!$F$6:$F$114,"&gt;0")=0,"",SUMIFS('CPI Data'!$J$6:$J$114,'CPI Data'!$C$6:$C$114,D$5,'CPI Data'!$D$6:$D$114,10))</f>
        <v/>
      </c>
      <c r="E15" s="18">
        <f>IF(COUNTIFS('CPI Data'!$C$6:$C$114,E$5,'CPI Data'!$D$6:$D$114,10,'CPI Data'!$F$6:$F$114,"&gt;0")=0,"",SUMIFS('CPI Data'!$J$6:$J$114,'CPI Data'!$C$6:$C$114,E$5,'CPI Data'!$D$6:$D$114,10))</f>
        <v/>
      </c>
      <c r="F15" s="18">
        <f>IF(COUNTIFS('CPI Data'!$C$6:$C$114,F$5,'CPI Data'!$D$6:$D$114,10,'CPI Data'!$F$6:$F$114,"&gt;0")=0,"",SUMIFS('CPI Data'!$J$6:$J$114,'CPI Data'!$C$6:$C$114,F$5,'CPI Data'!$D$6:$D$114,10))</f>
        <v/>
      </c>
      <c r="G15" s="18">
        <f>IF(COUNTIFS('CPI Data'!$C$6:$C$114,G$5,'CPI Data'!$D$6:$D$114,10,'CPI Data'!$F$6:$F$114,"&gt;0")=0,"",SUMIFS('CPI Data'!$J$6:$J$114,'CPI Data'!$C$6:$C$114,G$5,'CPI Data'!$D$6:$D$114,10))</f>
        <v/>
      </c>
      <c r="H15" s="18">
        <f>IF(COUNTIFS('CPI Data'!$C$6:$C$114,H$5,'CPI Data'!$D$6:$D$114,10,'CPI Data'!$F$6:$F$114,"&gt;0")=0,"",SUMIFS('CPI Data'!$J$6:$J$114,'CPI Data'!$C$6:$C$114,H$5,'CPI Data'!$D$6:$D$114,10))</f>
        <v/>
      </c>
      <c r="I15" s="18">
        <f>IF(COUNTIFS('CPI Data'!$C$6:$C$114,I$5,'CPI Data'!$D$6:$D$114,10,'CPI Data'!$F$6:$F$114,"&gt;0")=0,"",SUMIFS('CPI Data'!$J$6:$J$114,'CPI Data'!$C$6:$C$114,I$5,'CPI Data'!$D$6:$D$114,10))</f>
        <v/>
      </c>
      <c r="J15" s="18">
        <f>IF(COUNTIFS('CPI Data'!$C$6:$C$114,J$5,'CPI Data'!$D$6:$D$114,10,'CPI Data'!$F$6:$F$114,"&gt;0")=0,"",SUMIFS('CPI Data'!$J$6:$J$114,'CPI Data'!$C$6:$C$114,J$5,'CPI Data'!$D$6:$D$114,10))</f>
        <v/>
      </c>
    </row>
    <row r="16">
      <c r="B16" s="24" t="inlineStr">
        <is>
          <t>Nov</t>
        </is>
      </c>
      <c r="C16" s="18">
        <f>IF(COUNTIFS('CPI Data'!$C$6:$C$114,C$5,'CPI Data'!$D$6:$D$114,11,'CPI Data'!$F$6:$F$114,"&gt;0")=0,"",SUMIFS('CPI Data'!$J$6:$J$114,'CPI Data'!$C$6:$C$114,C$5,'CPI Data'!$D$6:$D$114,11))</f>
        <v/>
      </c>
      <c r="D16" s="18">
        <f>IF(COUNTIFS('CPI Data'!$C$6:$C$114,D$5,'CPI Data'!$D$6:$D$114,11,'CPI Data'!$F$6:$F$114,"&gt;0")=0,"",SUMIFS('CPI Data'!$J$6:$J$114,'CPI Data'!$C$6:$C$114,D$5,'CPI Data'!$D$6:$D$114,11))</f>
        <v/>
      </c>
      <c r="E16" s="18">
        <f>IF(COUNTIFS('CPI Data'!$C$6:$C$114,E$5,'CPI Data'!$D$6:$D$114,11,'CPI Data'!$F$6:$F$114,"&gt;0")=0,"",SUMIFS('CPI Data'!$J$6:$J$114,'CPI Data'!$C$6:$C$114,E$5,'CPI Data'!$D$6:$D$114,11))</f>
        <v/>
      </c>
      <c r="F16" s="18">
        <f>IF(COUNTIFS('CPI Data'!$C$6:$C$114,F$5,'CPI Data'!$D$6:$D$114,11,'CPI Data'!$F$6:$F$114,"&gt;0")=0,"",SUMIFS('CPI Data'!$J$6:$J$114,'CPI Data'!$C$6:$C$114,F$5,'CPI Data'!$D$6:$D$114,11))</f>
        <v/>
      </c>
      <c r="G16" s="18">
        <f>IF(COUNTIFS('CPI Data'!$C$6:$C$114,G$5,'CPI Data'!$D$6:$D$114,11,'CPI Data'!$F$6:$F$114,"&gt;0")=0,"",SUMIFS('CPI Data'!$J$6:$J$114,'CPI Data'!$C$6:$C$114,G$5,'CPI Data'!$D$6:$D$114,11))</f>
        <v/>
      </c>
      <c r="H16" s="18">
        <f>IF(COUNTIFS('CPI Data'!$C$6:$C$114,H$5,'CPI Data'!$D$6:$D$114,11,'CPI Data'!$F$6:$F$114,"&gt;0")=0,"",SUMIFS('CPI Data'!$J$6:$J$114,'CPI Data'!$C$6:$C$114,H$5,'CPI Data'!$D$6:$D$114,11))</f>
        <v/>
      </c>
      <c r="I16" s="18">
        <f>IF(COUNTIFS('CPI Data'!$C$6:$C$114,I$5,'CPI Data'!$D$6:$D$114,11,'CPI Data'!$F$6:$F$114,"&gt;0")=0,"",SUMIFS('CPI Data'!$J$6:$J$114,'CPI Data'!$C$6:$C$114,I$5,'CPI Data'!$D$6:$D$114,11))</f>
        <v/>
      </c>
      <c r="J16" s="18">
        <f>IF(COUNTIFS('CPI Data'!$C$6:$C$114,J$5,'CPI Data'!$D$6:$D$114,11,'CPI Data'!$F$6:$F$114,"&gt;0")=0,"",SUMIFS('CPI Data'!$J$6:$J$114,'CPI Data'!$C$6:$C$114,J$5,'CPI Data'!$D$6:$D$114,11))</f>
        <v/>
      </c>
    </row>
    <row r="17">
      <c r="B17" s="24" t="inlineStr">
        <is>
          <t>Dec</t>
        </is>
      </c>
      <c r="C17" s="18">
        <f>IF(COUNTIFS('CPI Data'!$C$6:$C$114,C$5,'CPI Data'!$D$6:$D$114,12,'CPI Data'!$F$6:$F$114,"&gt;0")=0,"",SUMIFS('CPI Data'!$J$6:$J$114,'CPI Data'!$C$6:$C$114,C$5,'CPI Data'!$D$6:$D$114,12))</f>
        <v/>
      </c>
      <c r="D17" s="18">
        <f>IF(COUNTIFS('CPI Data'!$C$6:$C$114,D$5,'CPI Data'!$D$6:$D$114,12,'CPI Data'!$F$6:$F$114,"&gt;0")=0,"",SUMIFS('CPI Data'!$J$6:$J$114,'CPI Data'!$C$6:$C$114,D$5,'CPI Data'!$D$6:$D$114,12))</f>
        <v/>
      </c>
      <c r="E17" s="18">
        <f>IF(COUNTIFS('CPI Data'!$C$6:$C$114,E$5,'CPI Data'!$D$6:$D$114,12,'CPI Data'!$F$6:$F$114,"&gt;0")=0,"",SUMIFS('CPI Data'!$J$6:$J$114,'CPI Data'!$C$6:$C$114,E$5,'CPI Data'!$D$6:$D$114,12))</f>
        <v/>
      </c>
      <c r="F17" s="18">
        <f>IF(COUNTIFS('CPI Data'!$C$6:$C$114,F$5,'CPI Data'!$D$6:$D$114,12,'CPI Data'!$F$6:$F$114,"&gt;0")=0,"",SUMIFS('CPI Data'!$J$6:$J$114,'CPI Data'!$C$6:$C$114,F$5,'CPI Data'!$D$6:$D$114,12))</f>
        <v/>
      </c>
      <c r="G17" s="18">
        <f>IF(COUNTIFS('CPI Data'!$C$6:$C$114,G$5,'CPI Data'!$D$6:$D$114,12,'CPI Data'!$F$6:$F$114,"&gt;0")=0,"",SUMIFS('CPI Data'!$J$6:$J$114,'CPI Data'!$C$6:$C$114,G$5,'CPI Data'!$D$6:$D$114,12))</f>
        <v/>
      </c>
      <c r="H17" s="18">
        <f>IF(COUNTIFS('CPI Data'!$C$6:$C$114,H$5,'CPI Data'!$D$6:$D$114,12,'CPI Data'!$F$6:$F$114,"&gt;0")=0,"",SUMIFS('CPI Data'!$J$6:$J$114,'CPI Data'!$C$6:$C$114,H$5,'CPI Data'!$D$6:$D$114,12))</f>
        <v/>
      </c>
      <c r="I17" s="18">
        <f>IF(COUNTIFS('CPI Data'!$C$6:$C$114,I$5,'CPI Data'!$D$6:$D$114,12,'CPI Data'!$F$6:$F$114,"&gt;0")=0,"",SUMIFS('CPI Data'!$J$6:$J$114,'CPI Data'!$C$6:$C$114,I$5,'CPI Data'!$D$6:$D$114,12))</f>
        <v/>
      </c>
      <c r="J17" s="18">
        <f>IF(COUNTIFS('CPI Data'!$C$6:$C$114,J$5,'CPI Data'!$D$6:$D$114,12,'CPI Data'!$F$6:$F$114,"&gt;0")=0,"",SUMIFS('CPI Data'!$J$6:$J$114,'CPI Data'!$C$6:$C$114,J$5,'CPI Data'!$D$6:$D$114,12))</f>
        <v/>
      </c>
    </row>
    <row r="19">
      <c r="B19" s="25" t="inlineStr">
        <is>
          <t>Dec/Dec*</t>
        </is>
      </c>
      <c r="C19" s="26">
        <f>IFERROR(INDEX('CPI Data'!$F:$F,MATCH("2019-12",'CPI Data'!$B:$B,0))/INDEX('CPI Data'!$F:$F,MATCH("2018-12",'CPI Data'!$B:$B,0))-1,"")</f>
        <v/>
      </c>
      <c r="D19" s="26">
        <f>IFERROR(INDEX('CPI Data'!$F:$F,MATCH("2020-12",'CPI Data'!$B:$B,0))/INDEX('CPI Data'!$F:$F,MATCH("2019-12",'CPI Data'!$B:$B,0))-1,"")</f>
        <v/>
      </c>
      <c r="E19" s="26">
        <f>IFERROR(INDEX('CPI Data'!$F:$F,MATCH("2021-12",'CPI Data'!$B:$B,0))/INDEX('CPI Data'!$F:$F,MATCH("2020-12",'CPI Data'!$B:$B,0))-1,"")</f>
        <v/>
      </c>
      <c r="F19" s="26">
        <f>IFERROR(INDEX('CPI Data'!$F:$F,MATCH("2022-12",'CPI Data'!$B:$B,0))/INDEX('CPI Data'!$F:$F,MATCH("2021-12",'CPI Data'!$B:$B,0))-1,"")</f>
        <v/>
      </c>
      <c r="G19" s="26">
        <f>IFERROR(INDEX('CPI Data'!$F:$F,MATCH("2023-12",'CPI Data'!$B:$B,0))/INDEX('CPI Data'!$F:$F,MATCH("2022-12",'CPI Data'!$B:$B,0))-1,"")</f>
        <v/>
      </c>
      <c r="H19" s="26">
        <f>IFERROR(INDEX('CPI Data'!$F:$F,MATCH("2024-12",'CPI Data'!$B:$B,0))/INDEX('CPI Data'!$F:$F,MATCH("2023-12",'CPI Data'!$B:$B,0))-1,"")</f>
        <v/>
      </c>
      <c r="I19" s="26">
        <f>IFERROR(INDEX('CPI Data'!$F:$F,MATCH("2025-12",'CPI Data'!$B:$B,0))/INDEX('CPI Data'!$F:$F,MATCH("2024-12",'CPI Data'!$B:$B,0))-1,"")</f>
        <v/>
      </c>
      <c r="J19" s="26">
        <f>IFERROR(INDEX('CPI Data'!$F:$F,MATCH("2026-08",'CPI Data'!$B:$B,0))/INDEX('CPI Data'!$F:$F,MATCH("2025-12",'CPI Data'!$B:$B,0))-1,"")</f>
        <v/>
      </c>
    </row>
    <row r="20">
      <c r="B20" s="25" t="inlineStr">
        <is>
          <t>Avg month</t>
        </is>
      </c>
      <c r="C20" s="27">
        <f>IFERROR(AVERAGE(C6:C17),"")</f>
        <v/>
      </c>
      <c r="D20" s="27">
        <f>IFERROR(AVERAGE(D6:D17),"")</f>
        <v/>
      </c>
      <c r="E20" s="27">
        <f>IFERROR(AVERAGE(E6:E17),"")</f>
        <v/>
      </c>
      <c r="F20" s="27">
        <f>IFERROR(AVERAGE(F6:F17),"")</f>
        <v/>
      </c>
      <c r="G20" s="27">
        <f>IFERROR(AVERAGE(G6:G17),"")</f>
        <v/>
      </c>
      <c r="H20" s="27">
        <f>IFERROR(AVERAGE(H6:H17),"")</f>
        <v/>
      </c>
      <c r="I20" s="27">
        <f>IFERROR(AVERAGE(I6:I17),"")</f>
        <v/>
      </c>
      <c r="J20" s="27">
        <f>IFERROR(AVERAGE(J6:J17),"")</f>
        <v/>
      </c>
    </row>
    <row r="21">
      <c r="B21" s="28" t="inlineStr">
        <is>
          <t>* the 2026 column is year-to-date through 2026-08, not a full year.</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1F3B63"/>
    <outlinePr summaryBelow="1" summaryRight="1"/>
    <pageSetUpPr fitToPage="1"/>
  </sheetPr>
  <dimension ref="B2:L19"/>
  <sheetViews>
    <sheetView showGridLines="0" workbookViewId="0">
      <selection activeCell="A1" sqref="A1"/>
    </sheetView>
  </sheetViews>
  <sheetFormatPr baseColWidth="8" defaultRowHeight="15"/>
  <cols>
    <col width="2" customWidth="1" min="1" max="1"/>
    <col width="11" customWidth="1" min="2" max="2"/>
    <col width="9" customWidth="1" min="3" max="3"/>
    <col width="9" customWidth="1" min="4" max="4"/>
    <col width="9" customWidth="1" min="5" max="5"/>
    <col width="9" customWidth="1" min="6" max="6"/>
    <col width="9" customWidth="1" min="7" max="7"/>
    <col width="9" customWidth="1" min="8" max="8"/>
    <col width="9" customWidth="1" min="9" max="9"/>
    <col width="10" customWidth="1" min="10" max="10"/>
    <col width="10" customWidth="1" min="11" max="11"/>
    <col width="10" customWidth="1" min="12" max="12"/>
  </cols>
  <sheetData>
    <row r="2" ht="26" customHeight="1">
      <c r="B2" s="1" t="inlineStr">
        <is>
          <t>Seasonal factors — each month against its own year's average month</t>
        </is>
      </c>
    </row>
    <row r="3">
      <c r="B3" s="2" t="inlineStr">
        <is>
          <t>Scale-free, so 2023 (211%) and 2025 (31%) are directly comparable. 1.20x = 20% hotter than a typical month that year.</t>
        </is>
      </c>
    </row>
    <row r="5">
      <c r="B5" s="22" t="inlineStr">
        <is>
          <t>Month</t>
        </is>
      </c>
      <c r="C5" s="23" t="n">
        <v>2019</v>
      </c>
      <c r="D5" s="23" t="n">
        <v>2020</v>
      </c>
      <c r="E5" s="23" t="n">
        <v>2021</v>
      </c>
      <c r="F5" s="23" t="n">
        <v>2022</v>
      </c>
      <c r="G5" s="23" t="n">
        <v>2023</v>
      </c>
      <c r="H5" s="23" t="n">
        <v>2024</v>
      </c>
      <c r="I5" s="23" t="n">
        <v>2025</v>
      </c>
      <c r="J5" s="22" t="inlineStr">
        <is>
          <t>Average</t>
        </is>
      </c>
      <c r="K5" s="22" t="inlineStr">
        <is>
          <t>Median</t>
        </is>
      </c>
      <c r="L5" s="22" t="inlineStr">
        <is>
          <t>ex-2020</t>
        </is>
      </c>
    </row>
    <row r="6">
      <c r="B6" s="24" t="inlineStr">
        <is>
          <t>Jan</t>
        </is>
      </c>
      <c r="C6" s="29">
        <f>IFERROR('Seasonality Headline'!C6/'Seasonality Headline'!C$20,"")</f>
        <v/>
      </c>
      <c r="D6" s="29">
        <f>IFERROR('Seasonality Headline'!D6/'Seasonality Headline'!D$20,"")</f>
        <v/>
      </c>
      <c r="E6" s="29">
        <f>IFERROR('Seasonality Headline'!E6/'Seasonality Headline'!E$20,"")</f>
        <v/>
      </c>
      <c r="F6" s="29">
        <f>IFERROR('Seasonality Headline'!F6/'Seasonality Headline'!F$20,"")</f>
        <v/>
      </c>
      <c r="G6" s="29">
        <f>IFERROR('Seasonality Headline'!G6/'Seasonality Headline'!G$20,"")</f>
        <v/>
      </c>
      <c r="H6" s="29">
        <f>IFERROR('Seasonality Headline'!H6/'Seasonality Headline'!H$20,"")</f>
        <v/>
      </c>
      <c r="I6" s="29">
        <f>IFERROR('Seasonality Headline'!I6/'Seasonality Headline'!I$20,"")</f>
        <v/>
      </c>
      <c r="J6" s="30">
        <f>IFERROR(AVERAGE(C6:I6),"")</f>
        <v/>
      </c>
      <c r="K6" s="30">
        <f>IFERROR(MEDIAN(C6:I6),"")</f>
        <v/>
      </c>
      <c r="L6" s="30">
        <f>IFERROR((SUM(C6:I6)-D6)/(7-1),"")</f>
        <v/>
      </c>
    </row>
    <row r="7">
      <c r="B7" s="24" t="inlineStr">
        <is>
          <t>Feb</t>
        </is>
      </c>
      <c r="C7" s="29">
        <f>IFERROR('Seasonality Headline'!C7/'Seasonality Headline'!C$20,"")</f>
        <v/>
      </c>
      <c r="D7" s="29">
        <f>IFERROR('Seasonality Headline'!D7/'Seasonality Headline'!D$20,"")</f>
        <v/>
      </c>
      <c r="E7" s="29">
        <f>IFERROR('Seasonality Headline'!E7/'Seasonality Headline'!E$20,"")</f>
        <v/>
      </c>
      <c r="F7" s="29">
        <f>IFERROR('Seasonality Headline'!F7/'Seasonality Headline'!F$20,"")</f>
        <v/>
      </c>
      <c r="G7" s="29">
        <f>IFERROR('Seasonality Headline'!G7/'Seasonality Headline'!G$20,"")</f>
        <v/>
      </c>
      <c r="H7" s="29">
        <f>IFERROR('Seasonality Headline'!H7/'Seasonality Headline'!H$20,"")</f>
        <v/>
      </c>
      <c r="I7" s="29">
        <f>IFERROR('Seasonality Headline'!I7/'Seasonality Headline'!I$20,"")</f>
        <v/>
      </c>
      <c r="J7" s="30">
        <f>IFERROR(AVERAGE(C7:I7),"")</f>
        <v/>
      </c>
      <c r="K7" s="30">
        <f>IFERROR(MEDIAN(C7:I7),"")</f>
        <v/>
      </c>
      <c r="L7" s="30">
        <f>IFERROR((SUM(C7:I7)-D7)/(7-1),"")</f>
        <v/>
      </c>
    </row>
    <row r="8">
      <c r="B8" s="24" t="inlineStr">
        <is>
          <t>Mar</t>
        </is>
      </c>
      <c r="C8" s="29">
        <f>IFERROR('Seasonality Headline'!C8/'Seasonality Headline'!C$20,"")</f>
        <v/>
      </c>
      <c r="D8" s="29">
        <f>IFERROR('Seasonality Headline'!D8/'Seasonality Headline'!D$20,"")</f>
        <v/>
      </c>
      <c r="E8" s="29">
        <f>IFERROR('Seasonality Headline'!E8/'Seasonality Headline'!E$20,"")</f>
        <v/>
      </c>
      <c r="F8" s="29">
        <f>IFERROR('Seasonality Headline'!F8/'Seasonality Headline'!F$20,"")</f>
        <v/>
      </c>
      <c r="G8" s="29">
        <f>IFERROR('Seasonality Headline'!G8/'Seasonality Headline'!G$20,"")</f>
        <v/>
      </c>
      <c r="H8" s="29">
        <f>IFERROR('Seasonality Headline'!H8/'Seasonality Headline'!H$20,"")</f>
        <v/>
      </c>
      <c r="I8" s="29">
        <f>IFERROR('Seasonality Headline'!I8/'Seasonality Headline'!I$20,"")</f>
        <v/>
      </c>
      <c r="J8" s="30">
        <f>IFERROR(AVERAGE(C8:I8),"")</f>
        <v/>
      </c>
      <c r="K8" s="30">
        <f>IFERROR(MEDIAN(C8:I8),"")</f>
        <v/>
      </c>
      <c r="L8" s="30">
        <f>IFERROR((SUM(C8:I8)-D8)/(7-1),"")</f>
        <v/>
      </c>
    </row>
    <row r="9">
      <c r="B9" s="24" t="inlineStr">
        <is>
          <t>Apr</t>
        </is>
      </c>
      <c r="C9" s="29">
        <f>IFERROR('Seasonality Headline'!C9/'Seasonality Headline'!C$20,"")</f>
        <v/>
      </c>
      <c r="D9" s="29">
        <f>IFERROR('Seasonality Headline'!D9/'Seasonality Headline'!D$20,"")</f>
        <v/>
      </c>
      <c r="E9" s="29">
        <f>IFERROR('Seasonality Headline'!E9/'Seasonality Headline'!E$20,"")</f>
        <v/>
      </c>
      <c r="F9" s="29">
        <f>IFERROR('Seasonality Headline'!F9/'Seasonality Headline'!F$20,"")</f>
        <v/>
      </c>
      <c r="G9" s="29">
        <f>IFERROR('Seasonality Headline'!G9/'Seasonality Headline'!G$20,"")</f>
        <v/>
      </c>
      <c r="H9" s="29">
        <f>IFERROR('Seasonality Headline'!H9/'Seasonality Headline'!H$20,"")</f>
        <v/>
      </c>
      <c r="I9" s="29">
        <f>IFERROR('Seasonality Headline'!I9/'Seasonality Headline'!I$20,"")</f>
        <v/>
      </c>
      <c r="J9" s="30">
        <f>IFERROR(AVERAGE(C9:I9),"")</f>
        <v/>
      </c>
      <c r="K9" s="30">
        <f>IFERROR(MEDIAN(C9:I9),"")</f>
        <v/>
      </c>
      <c r="L9" s="30">
        <f>IFERROR((SUM(C9:I9)-D9)/(7-1),"")</f>
        <v/>
      </c>
    </row>
    <row r="10">
      <c r="B10" s="24" t="inlineStr">
        <is>
          <t>May</t>
        </is>
      </c>
      <c r="C10" s="29">
        <f>IFERROR('Seasonality Headline'!C10/'Seasonality Headline'!C$20,"")</f>
        <v/>
      </c>
      <c r="D10" s="29">
        <f>IFERROR('Seasonality Headline'!D10/'Seasonality Headline'!D$20,"")</f>
        <v/>
      </c>
      <c r="E10" s="29">
        <f>IFERROR('Seasonality Headline'!E10/'Seasonality Headline'!E$20,"")</f>
        <v/>
      </c>
      <c r="F10" s="29">
        <f>IFERROR('Seasonality Headline'!F10/'Seasonality Headline'!F$20,"")</f>
        <v/>
      </c>
      <c r="G10" s="29">
        <f>IFERROR('Seasonality Headline'!G10/'Seasonality Headline'!G$20,"")</f>
        <v/>
      </c>
      <c r="H10" s="29">
        <f>IFERROR('Seasonality Headline'!H10/'Seasonality Headline'!H$20,"")</f>
        <v/>
      </c>
      <c r="I10" s="29">
        <f>IFERROR('Seasonality Headline'!I10/'Seasonality Headline'!I$20,"")</f>
        <v/>
      </c>
      <c r="J10" s="30">
        <f>IFERROR(AVERAGE(C10:I10),"")</f>
        <v/>
      </c>
      <c r="K10" s="30">
        <f>IFERROR(MEDIAN(C10:I10),"")</f>
        <v/>
      </c>
      <c r="L10" s="30">
        <f>IFERROR((SUM(C10:I10)-D10)/(7-1),"")</f>
        <v/>
      </c>
    </row>
    <row r="11">
      <c r="B11" s="24" t="inlineStr">
        <is>
          <t>Jun</t>
        </is>
      </c>
      <c r="C11" s="29">
        <f>IFERROR('Seasonality Headline'!C11/'Seasonality Headline'!C$20,"")</f>
        <v/>
      </c>
      <c r="D11" s="29">
        <f>IFERROR('Seasonality Headline'!D11/'Seasonality Headline'!D$20,"")</f>
        <v/>
      </c>
      <c r="E11" s="29">
        <f>IFERROR('Seasonality Headline'!E11/'Seasonality Headline'!E$20,"")</f>
        <v/>
      </c>
      <c r="F11" s="29">
        <f>IFERROR('Seasonality Headline'!F11/'Seasonality Headline'!F$20,"")</f>
        <v/>
      </c>
      <c r="G11" s="29">
        <f>IFERROR('Seasonality Headline'!G11/'Seasonality Headline'!G$20,"")</f>
        <v/>
      </c>
      <c r="H11" s="29">
        <f>IFERROR('Seasonality Headline'!H11/'Seasonality Headline'!H$20,"")</f>
        <v/>
      </c>
      <c r="I11" s="29">
        <f>IFERROR('Seasonality Headline'!I11/'Seasonality Headline'!I$20,"")</f>
        <v/>
      </c>
      <c r="J11" s="30">
        <f>IFERROR(AVERAGE(C11:I11),"")</f>
        <v/>
      </c>
      <c r="K11" s="30">
        <f>IFERROR(MEDIAN(C11:I11),"")</f>
        <v/>
      </c>
      <c r="L11" s="30">
        <f>IFERROR((SUM(C11:I11)-D11)/(7-1),"")</f>
        <v/>
      </c>
    </row>
    <row r="12">
      <c r="B12" s="24" t="inlineStr">
        <is>
          <t>Jul</t>
        </is>
      </c>
      <c r="C12" s="29">
        <f>IFERROR('Seasonality Headline'!C12/'Seasonality Headline'!C$20,"")</f>
        <v/>
      </c>
      <c r="D12" s="29">
        <f>IFERROR('Seasonality Headline'!D12/'Seasonality Headline'!D$20,"")</f>
        <v/>
      </c>
      <c r="E12" s="29">
        <f>IFERROR('Seasonality Headline'!E12/'Seasonality Headline'!E$20,"")</f>
        <v/>
      </c>
      <c r="F12" s="29">
        <f>IFERROR('Seasonality Headline'!F12/'Seasonality Headline'!F$20,"")</f>
        <v/>
      </c>
      <c r="G12" s="29">
        <f>IFERROR('Seasonality Headline'!G12/'Seasonality Headline'!G$20,"")</f>
        <v/>
      </c>
      <c r="H12" s="29">
        <f>IFERROR('Seasonality Headline'!H12/'Seasonality Headline'!H$20,"")</f>
        <v/>
      </c>
      <c r="I12" s="29">
        <f>IFERROR('Seasonality Headline'!I12/'Seasonality Headline'!I$20,"")</f>
        <v/>
      </c>
      <c r="J12" s="30">
        <f>IFERROR(AVERAGE(C12:I12),"")</f>
        <v/>
      </c>
      <c r="K12" s="30">
        <f>IFERROR(MEDIAN(C12:I12),"")</f>
        <v/>
      </c>
      <c r="L12" s="30">
        <f>IFERROR((SUM(C12:I12)-D12)/(7-1),"")</f>
        <v/>
      </c>
    </row>
    <row r="13">
      <c r="B13" s="24" t="inlineStr">
        <is>
          <t>Aug</t>
        </is>
      </c>
      <c r="C13" s="29">
        <f>IFERROR('Seasonality Headline'!C13/'Seasonality Headline'!C$20,"")</f>
        <v/>
      </c>
      <c r="D13" s="29">
        <f>IFERROR('Seasonality Headline'!D13/'Seasonality Headline'!D$20,"")</f>
        <v/>
      </c>
      <c r="E13" s="29">
        <f>IFERROR('Seasonality Headline'!E13/'Seasonality Headline'!E$20,"")</f>
        <v/>
      </c>
      <c r="F13" s="29">
        <f>IFERROR('Seasonality Headline'!F13/'Seasonality Headline'!F$20,"")</f>
        <v/>
      </c>
      <c r="G13" s="29">
        <f>IFERROR('Seasonality Headline'!G13/'Seasonality Headline'!G$20,"")</f>
        <v/>
      </c>
      <c r="H13" s="29">
        <f>IFERROR('Seasonality Headline'!H13/'Seasonality Headline'!H$20,"")</f>
        <v/>
      </c>
      <c r="I13" s="29">
        <f>IFERROR('Seasonality Headline'!I13/'Seasonality Headline'!I$20,"")</f>
        <v/>
      </c>
      <c r="J13" s="30">
        <f>IFERROR(AVERAGE(C13:I13),"")</f>
        <v/>
      </c>
      <c r="K13" s="30">
        <f>IFERROR(MEDIAN(C13:I13),"")</f>
        <v/>
      </c>
      <c r="L13" s="30">
        <f>IFERROR((SUM(C13:I13)-D13)/(7-1),"")</f>
        <v/>
      </c>
    </row>
    <row r="14">
      <c r="B14" s="24" t="inlineStr">
        <is>
          <t>Sep</t>
        </is>
      </c>
      <c r="C14" s="29">
        <f>IFERROR('Seasonality Headline'!C14/'Seasonality Headline'!C$20,"")</f>
        <v/>
      </c>
      <c r="D14" s="29">
        <f>IFERROR('Seasonality Headline'!D14/'Seasonality Headline'!D$20,"")</f>
        <v/>
      </c>
      <c r="E14" s="29">
        <f>IFERROR('Seasonality Headline'!E14/'Seasonality Headline'!E$20,"")</f>
        <v/>
      </c>
      <c r="F14" s="29">
        <f>IFERROR('Seasonality Headline'!F14/'Seasonality Headline'!F$20,"")</f>
        <v/>
      </c>
      <c r="G14" s="29">
        <f>IFERROR('Seasonality Headline'!G14/'Seasonality Headline'!G$20,"")</f>
        <v/>
      </c>
      <c r="H14" s="29">
        <f>IFERROR('Seasonality Headline'!H14/'Seasonality Headline'!H$20,"")</f>
        <v/>
      </c>
      <c r="I14" s="29">
        <f>IFERROR('Seasonality Headline'!I14/'Seasonality Headline'!I$20,"")</f>
        <v/>
      </c>
      <c r="J14" s="30">
        <f>IFERROR(AVERAGE(C14:I14),"")</f>
        <v/>
      </c>
      <c r="K14" s="30">
        <f>IFERROR(MEDIAN(C14:I14),"")</f>
        <v/>
      </c>
      <c r="L14" s="30">
        <f>IFERROR((SUM(C14:I14)-D14)/(7-1),"")</f>
        <v/>
      </c>
    </row>
    <row r="15">
      <c r="B15" s="24" t="inlineStr">
        <is>
          <t>Oct</t>
        </is>
      </c>
      <c r="C15" s="29">
        <f>IFERROR('Seasonality Headline'!C15/'Seasonality Headline'!C$20,"")</f>
        <v/>
      </c>
      <c r="D15" s="29">
        <f>IFERROR('Seasonality Headline'!D15/'Seasonality Headline'!D$20,"")</f>
        <v/>
      </c>
      <c r="E15" s="29">
        <f>IFERROR('Seasonality Headline'!E15/'Seasonality Headline'!E$20,"")</f>
        <v/>
      </c>
      <c r="F15" s="29">
        <f>IFERROR('Seasonality Headline'!F15/'Seasonality Headline'!F$20,"")</f>
        <v/>
      </c>
      <c r="G15" s="29">
        <f>IFERROR('Seasonality Headline'!G15/'Seasonality Headline'!G$20,"")</f>
        <v/>
      </c>
      <c r="H15" s="29">
        <f>IFERROR('Seasonality Headline'!H15/'Seasonality Headline'!H$20,"")</f>
        <v/>
      </c>
      <c r="I15" s="29">
        <f>IFERROR('Seasonality Headline'!I15/'Seasonality Headline'!I$20,"")</f>
        <v/>
      </c>
      <c r="J15" s="30">
        <f>IFERROR(AVERAGE(C15:I15),"")</f>
        <v/>
      </c>
      <c r="K15" s="30">
        <f>IFERROR(MEDIAN(C15:I15),"")</f>
        <v/>
      </c>
      <c r="L15" s="30">
        <f>IFERROR((SUM(C15:I15)-D15)/(7-1),"")</f>
        <v/>
      </c>
    </row>
    <row r="16">
      <c r="B16" s="24" t="inlineStr">
        <is>
          <t>Nov</t>
        </is>
      </c>
      <c r="C16" s="29">
        <f>IFERROR('Seasonality Headline'!C16/'Seasonality Headline'!C$20,"")</f>
        <v/>
      </c>
      <c r="D16" s="29">
        <f>IFERROR('Seasonality Headline'!D16/'Seasonality Headline'!D$20,"")</f>
        <v/>
      </c>
      <c r="E16" s="29">
        <f>IFERROR('Seasonality Headline'!E16/'Seasonality Headline'!E$20,"")</f>
        <v/>
      </c>
      <c r="F16" s="29">
        <f>IFERROR('Seasonality Headline'!F16/'Seasonality Headline'!F$20,"")</f>
        <v/>
      </c>
      <c r="G16" s="29">
        <f>IFERROR('Seasonality Headline'!G16/'Seasonality Headline'!G$20,"")</f>
        <v/>
      </c>
      <c r="H16" s="29">
        <f>IFERROR('Seasonality Headline'!H16/'Seasonality Headline'!H$20,"")</f>
        <v/>
      </c>
      <c r="I16" s="29">
        <f>IFERROR('Seasonality Headline'!I16/'Seasonality Headline'!I$20,"")</f>
        <v/>
      </c>
      <c r="J16" s="30">
        <f>IFERROR(AVERAGE(C16:I16),"")</f>
        <v/>
      </c>
      <c r="K16" s="30">
        <f>IFERROR(MEDIAN(C16:I16),"")</f>
        <v/>
      </c>
      <c r="L16" s="30">
        <f>IFERROR((SUM(C16:I16)-D16)/(7-1),"")</f>
        <v/>
      </c>
    </row>
    <row r="17">
      <c r="B17" s="24" t="inlineStr">
        <is>
          <t>Dec</t>
        </is>
      </c>
      <c r="C17" s="29">
        <f>IFERROR('Seasonality Headline'!C17/'Seasonality Headline'!C$20,"")</f>
        <v/>
      </c>
      <c r="D17" s="29">
        <f>IFERROR('Seasonality Headline'!D17/'Seasonality Headline'!D$20,"")</f>
        <v/>
      </c>
      <c r="E17" s="29">
        <f>IFERROR('Seasonality Headline'!E17/'Seasonality Headline'!E$20,"")</f>
        <v/>
      </c>
      <c r="F17" s="29">
        <f>IFERROR('Seasonality Headline'!F17/'Seasonality Headline'!F$20,"")</f>
        <v/>
      </c>
      <c r="G17" s="29">
        <f>IFERROR('Seasonality Headline'!G17/'Seasonality Headline'!G$20,"")</f>
        <v/>
      </c>
      <c r="H17" s="29">
        <f>IFERROR('Seasonality Headline'!H17/'Seasonality Headline'!H$20,"")</f>
        <v/>
      </c>
      <c r="I17" s="29">
        <f>IFERROR('Seasonality Headline'!I17/'Seasonality Headline'!I$20,"")</f>
        <v/>
      </c>
      <c r="J17" s="30">
        <f>IFERROR(AVERAGE(C17:I17),"")</f>
        <v/>
      </c>
      <c r="K17" s="30">
        <f>IFERROR(MEDIAN(C17:I17),"")</f>
        <v/>
      </c>
      <c r="L17" s="30">
        <f>IFERROR((SUM(C17:I17)-D17)/(7-1),"")</f>
        <v/>
      </c>
    </row>
    <row r="19">
      <c r="B19" s="28" t="inlineStr">
        <is>
          <t>A factor above 1.00x means the month runs systematically hotter than that year's average month. The Apr-Jul window that matters for 2027 is visible here.</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1F3B63"/>
    <outlinePr summaryBelow="1" summaryRight="1"/>
    <pageSetUpPr fitToPage="1"/>
  </sheetPr>
  <dimension ref="B2:F79"/>
  <sheetViews>
    <sheetView showGridLines="0" workbookViewId="0">
      <selection activeCell="A1" sqref="A1"/>
    </sheetView>
  </sheetViews>
  <sheetFormatPr baseColWidth="8" defaultRowHeight="15"/>
  <cols>
    <col width="2" customWidth="1" min="1" max="1"/>
    <col width="14" customWidth="1" min="2" max="2"/>
    <col width="13" customWidth="1" min="3" max="3"/>
    <col width="15" customWidth="1" min="4" max="4"/>
    <col width="17" customWidth="1" min="5" max="5"/>
    <col width="13" customWidth="1" min="6" max="6"/>
  </cols>
  <sheetData>
    <row r="2" ht="26" customHeight="1">
      <c r="B2" s="1" t="inlineStr">
        <is>
          <t>Momentum — 3m and 6m annualised against year-on-year</t>
        </is>
      </c>
    </row>
    <row r="3">
      <c r="B3" s="2" t="inlineStr">
        <is>
          <t>The annualised measures turn roughly nine months before the y/y does. Where they sit below the y/y, the y/y is still falling mechanically.</t>
        </is>
      </c>
    </row>
    <row r="63">
      <c r="B63" s="11" t="inlineStr">
        <is>
          <t>Current readings</t>
        </is>
      </c>
    </row>
    <row r="64">
      <c r="B64" s="6" t="inlineStr">
        <is>
          <t>Measure</t>
        </is>
      </c>
      <c r="C64" s="6" t="inlineStr">
        <is>
          <t>Headline</t>
        </is>
      </c>
      <c r="D64" s="6" t="inlineStr">
        <is>
          <t>Core</t>
        </is>
      </c>
      <c r="E64" s="6" t="inlineStr">
        <is>
          <t>Read</t>
        </is>
      </c>
    </row>
    <row r="65" ht="26" customHeight="1">
      <c r="B65" s="24" t="inlineStr">
        <is>
          <t>Latest m/m</t>
        </is>
      </c>
      <c r="C65" s="31">
        <f>'CPI Data'!I98</f>
        <v/>
      </c>
      <c r="D65" s="31">
        <f>'CPI Data'!J98</f>
        <v/>
      </c>
      <c r="E65" s="8" t="inlineStr">
        <is>
          <t>August 2026. Lowest August in the series (2025 1.9%, 2024 4.2%, 2021 2.5%).</t>
        </is>
      </c>
    </row>
    <row r="66" ht="26" customHeight="1">
      <c r="B66" s="24" t="inlineStr">
        <is>
          <t>3m annualised</t>
        </is>
      </c>
      <c r="C66" s="26">
        <f>'CPI Data'!P98</f>
        <v/>
      </c>
      <c r="D66" s="26">
        <f>'CPI Data'!Q98</f>
        <v/>
      </c>
      <c r="E66" s="8" t="inlineStr">
        <is>
          <t>Falling, but the core 3m has barely moved in two months — that is the flattening showing up in the trend measure.</t>
        </is>
      </c>
    </row>
    <row r="67" ht="26" customHeight="1">
      <c r="B67" s="24" t="inlineStr">
        <is>
          <t>6m annualised</t>
        </is>
      </c>
      <c r="C67" s="26">
        <f>'CPI Data'!R98</f>
        <v/>
      </c>
      <c r="E67" s="8" t="inlineStr">
        <is>
          <t>The slower measure still sits above the 3m, so the disinflation trend is intact on a half-year view.</t>
        </is>
      </c>
    </row>
    <row r="68" ht="26" customHeight="1">
      <c r="B68" s="24" t="inlineStr">
        <is>
          <t>y/y</t>
        </is>
      </c>
      <c r="C68" s="26">
        <f>'CPI Data'!M98</f>
        <v/>
      </c>
      <c r="D68" s="26">
        <f>'CPI Data'!N98</f>
        <v/>
      </c>
      <c r="E68" s="8" t="inlineStr">
        <is>
          <t>Still elevated because the base months of late 2025 were themselves low.</t>
        </is>
      </c>
    </row>
    <row r="69" ht="26" customHeight="1">
      <c r="B69" s="24" t="inlineStr">
        <is>
          <t>YTD (Jan-Aug)</t>
        </is>
      </c>
      <c r="C69" s="26">
        <f>'CPI Data'!S98</f>
        <v/>
      </c>
      <c r="E69" s="8" t="inlineStr">
        <is>
          <t>Headline 21.3% in 2026 against 19.5% in 2025 — running HOTTER. Core 19.8% against 20.8% — running COOLER. The entire difference is regulados.</t>
        </is>
      </c>
    </row>
    <row r="71">
      <c r="B71" s="11" t="inlineStr">
        <is>
          <t>The seasonal caution — and it matters for 2027</t>
        </is>
      </c>
    </row>
    <row r="72">
      <c r="B72" s="6" t="inlineStr">
        <is>
          <t>Month</t>
        </is>
      </c>
      <c r="C72" s="6" t="inlineStr">
        <is>
          <t>Printed m/m</t>
        </is>
      </c>
      <c r="D72" s="6" t="inlineStr">
        <is>
          <t>Seasonal factor</t>
        </is>
      </c>
      <c r="E72" s="6" t="inlineStr">
        <is>
          <t>Deseasonalised m/m</t>
        </is>
      </c>
      <c r="F72" s="6" t="inlineStr">
        <is>
          <t>Annualised</t>
        </is>
      </c>
    </row>
    <row r="73">
      <c r="B73" s="24" t="inlineStr">
        <is>
          <t>Jun-2026</t>
        </is>
      </c>
      <c r="C73" s="17">
        <f>'CPI Data'!I96</f>
        <v/>
      </c>
      <c r="D73" s="29">
        <f>'Seasonal Factors'!$L$11</f>
        <v/>
      </c>
      <c r="E73" s="31">
        <f>C73/D73</f>
        <v/>
      </c>
      <c r="F73" s="32">
        <f>(1+E73)^12-1</f>
        <v/>
      </c>
    </row>
    <row r="74">
      <c r="B74" s="24" t="inlineStr">
        <is>
          <t>Jul-2026</t>
        </is>
      </c>
      <c r="C74" s="17">
        <f>'CPI Data'!I97</f>
        <v/>
      </c>
      <c r="D74" s="29">
        <f>'Seasonal Factors'!$L$12</f>
        <v/>
      </c>
      <c r="E74" s="31">
        <f>C74/D74</f>
        <v/>
      </c>
      <c r="F74" s="32">
        <f>(1+E74)^12-1</f>
        <v/>
      </c>
    </row>
    <row r="75">
      <c r="B75" s="24" t="inlineStr">
        <is>
          <t>Aug-2026</t>
        </is>
      </c>
      <c r="C75" s="17">
        <f>'CPI Data'!I98</f>
        <v/>
      </c>
      <c r="D75" s="29">
        <f>'Seasonal Factors'!$L$13</f>
        <v/>
      </c>
      <c r="E75" s="31">
        <f>C75/D75</f>
        <v/>
      </c>
      <c r="F75" s="32">
        <f>(1+E75)^12-1</f>
        <v/>
      </c>
    </row>
    <row r="76">
      <c r="B76" s="24" t="inlineStr">
        <is>
          <t>Mean</t>
        </is>
      </c>
      <c r="E76" s="31">
        <f>AVERAGE(E73:E75)</f>
        <v/>
      </c>
      <c r="F76" s="26">
        <f>(1+E76)^12-1</f>
        <v/>
      </c>
    </row>
    <row r="78">
      <c r="B78" s="28" t="inlineStr">
        <is>
          <t>Read: the trailing 3m annualised of 25.1% understates the underlying run rate. June and July fell in the two coolest months of the Argentine calendar (factors 0.76x and 0.80x). Deseasonalised, the last three months run near 2.3%/month — around 31% annualised. August is the genuinely soft print of the three: it deseasonalises to 1.8%.</t>
        </is>
      </c>
    </row>
    <row r="79">
      <c r="B79" s="28" t="inlineStr">
        <is>
          <t>This cuts the other way for the election window. April to July 2027 — the 3-to-6 months before the vote — carries an average seasonal factor of 0.86x. The window voters see is systematically the flattering part of the year.</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1F3B63"/>
    <outlinePr summaryBelow="1" summaryRight="1"/>
    <pageSetUpPr fitToPage="1"/>
  </sheetPr>
  <dimension ref="B2:F58"/>
  <sheetViews>
    <sheetView showGridLines="0" workbookViewId="0">
      <selection activeCell="A1" sqref="A1"/>
    </sheetView>
  </sheetViews>
  <sheetFormatPr baseColWidth="8" defaultRowHeight="15"/>
  <cols>
    <col width="2" customWidth="1" min="1" max="1"/>
    <col width="14" customWidth="1" min="2" max="2"/>
    <col width="15" customWidth="1" min="3" max="3"/>
    <col width="14" customWidth="1" min="4" max="4"/>
    <col width="22" customWidth="1" min="5" max="5"/>
    <col width="62" customWidth="1" min="6" max="6"/>
  </cols>
  <sheetData>
    <row r="2" ht="26" customHeight="1">
      <c r="B2" s="1" t="inlineStr">
        <is>
          <t>Where the pressure sits — nucleo, regulados, estacionales</t>
        </is>
      </c>
    </row>
    <row r="3">
      <c r="B3" s="2" t="inlineStr">
        <is>
          <t>The tariff catch-up is what keeps headline above core. It is a relative-price correction, not monetary inflation.</t>
        </is>
      </c>
    </row>
    <row r="32">
      <c r="B32" s="11" t="inlineStr">
        <is>
          <t>1. Full calendar year — cumulative from December of the prior year</t>
        </is>
      </c>
    </row>
    <row r="33">
      <c r="B33" s="22" t="inlineStr">
        <is>
          <t>Component</t>
        </is>
      </c>
      <c r="C33" s="23" t="n">
        <v>2023</v>
      </c>
      <c r="D33" s="23" t="n">
        <v>2024</v>
      </c>
      <c r="E33" s="23" t="n">
        <v>2025</v>
      </c>
      <c r="F33" s="22" t="inlineStr">
        <is>
          <t>2026 YTD</t>
        </is>
      </c>
    </row>
    <row r="34">
      <c r="B34" s="24" t="inlineStr">
        <is>
          <t>Nivel General</t>
        </is>
      </c>
      <c r="C34" s="18">
        <f>IFERROR(INDEX('CPI Data'!$E:$E,MATCH("2023-12",'CPI Data'!$B:$B,0))/INDEX('CPI Data'!$E:$E,MATCH("2022-12",'CPI Data'!$B:$B,0))-1,"")</f>
        <v/>
      </c>
      <c r="D34" s="18">
        <f>IFERROR(INDEX('CPI Data'!$E:$E,MATCH("2024-12",'CPI Data'!$B:$B,0))/INDEX('CPI Data'!$E:$E,MATCH("2023-12",'CPI Data'!$B:$B,0))-1,"")</f>
        <v/>
      </c>
      <c r="E34" s="18">
        <f>IFERROR(INDEX('CPI Data'!$E:$E,MATCH("2025-12",'CPI Data'!$B:$B,0))/INDEX('CPI Data'!$E:$E,MATCH("2024-12",'CPI Data'!$B:$B,0))-1,"")</f>
        <v/>
      </c>
      <c r="F34" s="18">
        <f>IFERROR(INDEX('CPI Data'!$E:$E,MATCH("2026-08",'CPI Data'!$B:$B,0))/INDEX('CPI Data'!$E:$E,MATCH("2025-12",'CPI Data'!$B:$B,0))-1,"")</f>
        <v/>
      </c>
    </row>
    <row r="35">
      <c r="B35" s="24" t="inlineStr">
        <is>
          <t>Nucleo</t>
        </is>
      </c>
      <c r="C35" s="18">
        <f>IFERROR(INDEX('CPI Data'!$F:$F,MATCH("2023-12",'CPI Data'!$B:$B,0))/INDEX('CPI Data'!$F:$F,MATCH("2022-12",'CPI Data'!$B:$B,0))-1,"")</f>
        <v/>
      </c>
      <c r="D35" s="18">
        <f>IFERROR(INDEX('CPI Data'!$F:$F,MATCH("2024-12",'CPI Data'!$B:$B,0))/INDEX('CPI Data'!$F:$F,MATCH("2023-12",'CPI Data'!$B:$B,0))-1,"")</f>
        <v/>
      </c>
      <c r="E35" s="18">
        <f>IFERROR(INDEX('CPI Data'!$F:$F,MATCH("2025-12",'CPI Data'!$B:$B,0))/INDEX('CPI Data'!$F:$F,MATCH("2024-12",'CPI Data'!$B:$B,0))-1,"")</f>
        <v/>
      </c>
      <c r="F35" s="18">
        <f>IFERROR(INDEX('CPI Data'!$F:$F,MATCH("2026-08",'CPI Data'!$B:$B,0))/INDEX('CPI Data'!$F:$F,MATCH("2025-12",'CPI Data'!$B:$B,0))-1,"")</f>
        <v/>
      </c>
    </row>
    <row r="36">
      <c r="B36" s="24" t="inlineStr">
        <is>
          <t>Regulados</t>
        </is>
      </c>
      <c r="C36" s="18">
        <f>IFERROR(INDEX('CPI Data'!$G:$G,MATCH("2023-12",'CPI Data'!$B:$B,0))/INDEX('CPI Data'!$G:$G,MATCH("2022-12",'CPI Data'!$B:$B,0))-1,"")</f>
        <v/>
      </c>
      <c r="D36" s="18">
        <f>IFERROR(INDEX('CPI Data'!$G:$G,MATCH("2024-12",'CPI Data'!$B:$B,0))/INDEX('CPI Data'!$G:$G,MATCH("2023-12",'CPI Data'!$B:$B,0))-1,"")</f>
        <v/>
      </c>
      <c r="E36" s="18">
        <f>IFERROR(INDEX('CPI Data'!$G:$G,MATCH("2025-12",'CPI Data'!$B:$B,0))/INDEX('CPI Data'!$G:$G,MATCH("2024-12",'CPI Data'!$B:$B,0))-1,"")</f>
        <v/>
      </c>
      <c r="F36" s="18">
        <f>IFERROR(INDEX('CPI Data'!$G:$G,MATCH("2026-08",'CPI Data'!$B:$B,0))/INDEX('CPI Data'!$G:$G,MATCH("2025-12",'CPI Data'!$B:$B,0))-1,"")</f>
        <v/>
      </c>
    </row>
    <row r="37">
      <c r="B37" s="24" t="inlineStr">
        <is>
          <t>Estacionales</t>
        </is>
      </c>
      <c r="C37" s="18">
        <f>IFERROR(INDEX('CPI Data'!$H:$H,MATCH("2023-12",'CPI Data'!$B:$B,0))/INDEX('CPI Data'!$H:$H,MATCH("2022-12",'CPI Data'!$B:$B,0))-1,"")</f>
        <v/>
      </c>
      <c r="D37" s="18">
        <f>IFERROR(INDEX('CPI Data'!$H:$H,MATCH("2024-12",'CPI Data'!$B:$B,0))/INDEX('CPI Data'!$H:$H,MATCH("2023-12",'CPI Data'!$B:$B,0))-1,"")</f>
        <v/>
      </c>
      <c r="E37" s="18">
        <f>IFERROR(INDEX('CPI Data'!$H:$H,MATCH("2025-12",'CPI Data'!$B:$B,0))/INDEX('CPI Data'!$H:$H,MATCH("2024-12",'CPI Data'!$B:$B,0))-1,"")</f>
        <v/>
      </c>
      <c r="F37" s="18">
        <f>IFERROR(INDEX('CPI Data'!$H:$H,MATCH("2026-08",'CPI Data'!$B:$B,0))/INDEX('CPI Data'!$H:$H,MATCH("2025-12",'CPI Data'!$B:$B,0))-1,"")</f>
        <v/>
      </c>
    </row>
    <row r="38">
      <c r="B38" s="28" t="inlineStr">
        <is>
          <t>The 2026 bar covers only Jan-Aug, so it is NOT comparable with the full years beside it. Use block 2 for that.</t>
        </is>
      </c>
    </row>
    <row r="41">
      <c r="B41" s="11" t="inlineStr">
        <is>
          <t>2. Like-for-like — January to Aug of each year</t>
        </is>
      </c>
    </row>
    <row r="42">
      <c r="B42" s="22" t="inlineStr">
        <is>
          <t>Component</t>
        </is>
      </c>
      <c r="C42" s="23" t="n">
        <v>2023</v>
      </c>
      <c r="D42" s="23" t="n">
        <v>2024</v>
      </c>
      <c r="E42" s="23" t="n">
        <v>2025</v>
      </c>
      <c r="F42" s="23" t="n">
        <v>2026</v>
      </c>
    </row>
    <row r="43">
      <c r="B43" s="24" t="inlineStr">
        <is>
          <t>Nivel General</t>
        </is>
      </c>
      <c r="C43" s="18">
        <f>IFERROR(INDEX('CPI Data'!$E:$E,MATCH("2023-08",'CPI Data'!$B:$B,0))/INDEX('CPI Data'!$E:$E,MATCH("2022-12",'CPI Data'!$B:$B,0))-1,"")</f>
        <v/>
      </c>
      <c r="D43" s="18">
        <f>IFERROR(INDEX('CPI Data'!$E:$E,MATCH("2024-08",'CPI Data'!$B:$B,0))/INDEX('CPI Data'!$E:$E,MATCH("2023-12",'CPI Data'!$B:$B,0))-1,"")</f>
        <v/>
      </c>
      <c r="E43" s="18">
        <f>IFERROR(INDEX('CPI Data'!$E:$E,MATCH("2025-08",'CPI Data'!$B:$B,0))/INDEX('CPI Data'!$E:$E,MATCH("2024-12",'CPI Data'!$B:$B,0))-1,"")</f>
        <v/>
      </c>
      <c r="F43" s="18">
        <f>IFERROR(INDEX('CPI Data'!$E:$E,MATCH("2026-08",'CPI Data'!$B:$B,0))/INDEX('CPI Data'!$E:$E,MATCH("2025-12",'CPI Data'!$B:$B,0))-1,"")</f>
        <v/>
      </c>
    </row>
    <row r="44">
      <c r="B44" s="24" t="inlineStr">
        <is>
          <t>Nucleo</t>
        </is>
      </c>
      <c r="C44" s="18">
        <f>IFERROR(INDEX('CPI Data'!$F:$F,MATCH("2023-08",'CPI Data'!$B:$B,0))/INDEX('CPI Data'!$F:$F,MATCH("2022-12",'CPI Data'!$B:$B,0))-1,"")</f>
        <v/>
      </c>
      <c r="D44" s="18">
        <f>IFERROR(INDEX('CPI Data'!$F:$F,MATCH("2024-08",'CPI Data'!$B:$B,0))/INDEX('CPI Data'!$F:$F,MATCH("2023-12",'CPI Data'!$B:$B,0))-1,"")</f>
        <v/>
      </c>
      <c r="E44" s="18">
        <f>IFERROR(INDEX('CPI Data'!$F:$F,MATCH("2025-08",'CPI Data'!$B:$B,0))/INDEX('CPI Data'!$F:$F,MATCH("2024-12",'CPI Data'!$B:$B,0))-1,"")</f>
        <v/>
      </c>
      <c r="F44" s="18">
        <f>IFERROR(INDEX('CPI Data'!$F:$F,MATCH("2026-08",'CPI Data'!$B:$B,0))/INDEX('CPI Data'!$F:$F,MATCH("2025-12",'CPI Data'!$B:$B,0))-1,"")</f>
        <v/>
      </c>
    </row>
    <row r="45">
      <c r="B45" s="24" t="inlineStr">
        <is>
          <t>Regulados</t>
        </is>
      </c>
      <c r="C45" s="18">
        <f>IFERROR(INDEX('CPI Data'!$G:$G,MATCH("2023-08",'CPI Data'!$B:$B,0))/INDEX('CPI Data'!$G:$G,MATCH("2022-12",'CPI Data'!$B:$B,0))-1,"")</f>
        <v/>
      </c>
      <c r="D45" s="18">
        <f>IFERROR(INDEX('CPI Data'!$G:$G,MATCH("2024-08",'CPI Data'!$B:$B,0))/INDEX('CPI Data'!$G:$G,MATCH("2023-12",'CPI Data'!$B:$B,0))-1,"")</f>
        <v/>
      </c>
      <c r="E45" s="18">
        <f>IFERROR(INDEX('CPI Data'!$G:$G,MATCH("2025-08",'CPI Data'!$B:$B,0))/INDEX('CPI Data'!$G:$G,MATCH("2024-12",'CPI Data'!$B:$B,0))-1,"")</f>
        <v/>
      </c>
      <c r="F45" s="18">
        <f>IFERROR(INDEX('CPI Data'!$G:$G,MATCH("2026-08",'CPI Data'!$B:$B,0))/INDEX('CPI Data'!$G:$G,MATCH("2025-12",'CPI Data'!$B:$B,0))-1,"")</f>
        <v/>
      </c>
    </row>
    <row r="46">
      <c r="B46" s="24" t="inlineStr">
        <is>
          <t>Estacionales</t>
        </is>
      </c>
      <c r="C46" s="18">
        <f>IFERROR(INDEX('CPI Data'!$H:$H,MATCH("2023-08",'CPI Data'!$B:$B,0))/INDEX('CPI Data'!$H:$H,MATCH("2022-12",'CPI Data'!$B:$B,0))-1,"")</f>
        <v/>
      </c>
      <c r="D46" s="18">
        <f>IFERROR(INDEX('CPI Data'!$H:$H,MATCH("2024-08",'CPI Data'!$B:$B,0))/INDEX('CPI Data'!$H:$H,MATCH("2023-12",'CPI Data'!$B:$B,0))-1,"")</f>
        <v/>
      </c>
      <c r="E46" s="18">
        <f>IFERROR(INDEX('CPI Data'!$H:$H,MATCH("2025-08",'CPI Data'!$B:$B,0))/INDEX('CPI Data'!$H:$H,MATCH("2024-12",'CPI Data'!$B:$B,0))-1,"")</f>
        <v/>
      </c>
      <c r="F46" s="18">
        <f>IFERROR(INDEX('CPI Data'!$H:$H,MATCH("2026-08",'CPI Data'!$B:$B,0))/INDEX('CPI Data'!$H:$H,MATCH("2025-12",'CPI Data'!$B:$B,0))-1,"")</f>
        <v/>
      </c>
    </row>
    <row r="47">
      <c r="B47" s="28" t="inlineStr">
        <is>
          <t>The same 8-month window in every year, so these bars ARE directly comparable. This is the scoreboard.</t>
        </is>
      </c>
    </row>
    <row r="52">
      <c r="B52" s="11" t="inlineStr">
        <is>
          <t>3. The relative price shift — regulated against core, Dec-2023 = 100</t>
        </is>
      </c>
    </row>
    <row r="53">
      <c r="B53" s="6" t="inlineStr">
        <is>
          <t>Date</t>
        </is>
      </c>
      <c r="C53" s="6" t="inlineStr">
        <is>
          <t>Regulados index</t>
        </is>
      </c>
      <c r="D53" s="6" t="inlineStr">
        <is>
          <t>Nucleo index</t>
        </is>
      </c>
      <c r="E53" s="6" t="inlineStr">
        <is>
          <t>Regulados relative to core</t>
        </is>
      </c>
      <c r="F53" s="6" t="inlineStr">
        <is>
          <t>Read</t>
        </is>
      </c>
    </row>
    <row r="54">
      <c r="B54" s="24" t="inlineStr">
        <is>
          <t>2024-12</t>
        </is>
      </c>
      <c r="C54" s="20">
        <f>INDEX('CPI Data'!$G:$G,MATCH("2024-12",'CPI Data'!$B:$B,0))/INDEX('CPI Data'!$G:$G,MATCH("2023-12",'CPI Data'!$B:$B,0))*100</f>
        <v/>
      </c>
      <c r="D54" s="20">
        <f>INDEX('CPI Data'!$F:$F,MATCH("2024-12",'CPI Data'!$B:$B,0))/INDEX('CPI Data'!$F:$F,MATCH("2023-12",'CPI Data'!$B:$B,0))*100</f>
        <v/>
      </c>
      <c r="E54" s="33">
        <f>C54/D54-1</f>
        <v/>
      </c>
      <c r="F54" s="8" t="inlineStr">
        <is>
          <t>End of the year that did the bulk of the correction</t>
        </is>
      </c>
    </row>
    <row r="55">
      <c r="B55" s="24" t="inlineStr">
        <is>
          <t>2025-12</t>
        </is>
      </c>
      <c r="C55" s="20">
        <f>INDEX('CPI Data'!$G:$G,MATCH("2025-12",'CPI Data'!$B:$B,0))/INDEX('CPI Data'!$G:$G,MATCH("2023-12",'CPI Data'!$B:$B,0))*100</f>
        <v/>
      </c>
      <c r="D55" s="20">
        <f>INDEX('CPI Data'!$F:$F,MATCH("2025-12",'CPI Data'!$B:$B,0))/INDEX('CPI Data'!$F:$F,MATCH("2023-12",'CPI Data'!$B:$B,0))*100</f>
        <v/>
      </c>
      <c r="E55" s="33">
        <f>C55/D55-1</f>
        <v/>
      </c>
      <c r="F55" s="8" t="inlineStr">
        <is>
          <t>The gap widened only 1.3pp over the whole of 2025</t>
        </is>
      </c>
    </row>
    <row r="56">
      <c r="B56" s="24" t="inlineStr">
        <is>
          <t>2026-08</t>
        </is>
      </c>
      <c r="C56" s="20">
        <f>INDEX('CPI Data'!$G:$G,MATCH("2026-08",'CPI Data'!$B:$B,0))/INDEX('CPI Data'!$G:$G,MATCH("2023-12",'CPI Data'!$B:$B,0))*100</f>
        <v/>
      </c>
      <c r="D56" s="20">
        <f>INDEX('CPI Data'!$F:$F,MATCH("2026-08",'CPI Data'!$B:$B,0))/INDEX('CPI Data'!$F:$F,MATCH("2023-12",'CPI Data'!$B:$B,0))*100</f>
        <v/>
      </c>
      <c r="E56" s="33">
        <f>C56/D56-1</f>
        <v/>
      </c>
      <c r="F56" s="8" t="inlineStr">
        <is>
          <t>2026 is the year it is widening fastest — and it is not finished</t>
        </is>
      </c>
    </row>
    <row r="58">
      <c r="B58" s="28" t="inlineStr">
        <is>
          <t>Regulated prices have risen 61% RELATIVE to core since Dec-2023. Two-thirds of that happened in 2024, but the gap has widened a further 11pp since. Energy subsidies went 1.5% of GDP (2023) to 0.6% (2025), with the 2027 Budget planning 0.53% including transport — so the correction has further to run and will keep headline above core into the election year.</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tabColor rgb="001F3B63"/>
    <outlinePr summaryBelow="1" summaryRight="1"/>
    <pageSetUpPr fitToPage="1"/>
  </sheetPr>
  <dimension ref="B2:I61"/>
  <sheetViews>
    <sheetView showGridLines="0" workbookViewId="0">
      <selection activeCell="A1" sqref="A1"/>
    </sheetView>
  </sheetViews>
  <sheetFormatPr baseColWidth="8" defaultRowHeight="15"/>
  <cols>
    <col width="2" customWidth="1" min="1" max="1"/>
    <col width="10"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2" ht="26" customHeight="1">
      <c r="B2" s="1" t="inlineStr">
        <is>
          <t>The inheritance — how the deficit was financed with central bank money, 2019-2023</t>
        </is>
      </c>
    </row>
    <row r="3">
      <c r="B3" s="2" t="inlineStr">
        <is>
          <t>Blue = published. Black = calculated. Series that could not be sourced are left empty, not estimated.</t>
        </is>
      </c>
    </row>
    <row r="5">
      <c r="B5" s="11" t="inlineStr">
        <is>
          <t>1. Direct monetary financing of the Treasury</t>
        </is>
      </c>
    </row>
    <row r="6">
      <c r="B6" s="28" t="inlineStr">
        <is>
          <t>The 2012 reform of the Carta Organica (Ley 26.739) is what made this legal. Art.20 caps advances at 12% of the monetary base plus 10% of the prior year's cash resources; Art.38 governs profit transfers and carries NO quantitative ceiling at all. Accounting profits generated by revaluing FX assets after a devaluation become transferable pesos. That is the channel that does the heavy lifting in 2020.</t>
        </is>
      </c>
    </row>
    <row r="7">
      <c r="B7" s="6" t="inlineStr">
        <is>
          <t>Series</t>
        </is>
      </c>
      <c r="C7" s="23" t="n">
        <v>2019</v>
      </c>
      <c r="D7" s="23" t="n">
        <v>2020</v>
      </c>
      <c r="E7" s="23" t="n">
        <v>2021</v>
      </c>
      <c r="F7" s="23" t="n">
        <v>2022</v>
      </c>
      <c r="G7" s="23" t="n">
        <v>2023</v>
      </c>
      <c r="H7" s="6" t="inlineStr">
        <is>
          <t>Source / note</t>
        </is>
      </c>
    </row>
    <row r="8">
      <c r="B8" s="7" t="inlineStr">
        <is>
          <t>Adelantos transitorios + transferencia de utilidades (ARS mn)</t>
        </is>
      </c>
      <c r="C8" s="34" t="n">
        <v>430945</v>
      </c>
      <c r="D8" s="34" t="n">
        <v>2066163</v>
      </c>
      <c r="E8" s="34" t="n">
        <v>1379099</v>
      </c>
      <c r="F8" s="34" t="n">
        <v>1013351</v>
      </c>
      <c r="G8" s="34" t="n">
        <v>1698000</v>
      </c>
      <c r="H8" s="35" t="inlineStr">
        <is>
          <t>BCRA, Informe Monetario Mensual, December editions — factores de variacion de la base monetaria. Published as a single combined line; the two channels cannot be separated.</t>
        </is>
      </c>
    </row>
    <row r="9">
      <c r="B9" s="7" t="inlineStr">
        <is>
          <t>Direct financing, % of GDP</t>
        </is>
      </c>
      <c r="C9" s="36" t="inlineStr">
        <is>
          <t>n/s</t>
        </is>
      </c>
      <c r="D9" s="37" t="n">
        <v>7.4</v>
      </c>
      <c r="E9" s="37" t="n">
        <v>3.7</v>
      </c>
      <c r="F9" s="36" t="inlineStr">
        <is>
          <t>n/s</t>
        </is>
      </c>
      <c r="G9" s="37" t="n">
        <v>0.7</v>
      </c>
      <c r="H9" s="35" t="inlineStr">
        <is>
          <t>MIXED DEFINITION. 2020-21 IMF CR 25/3 (includes transfers of valuation gains on FX-denominated non-tradable Treasury securities); 2023 BCRA (adelantos + utilidades only). NEVER plot as one line.</t>
        </is>
      </c>
    </row>
    <row r="10">
      <c r="B10" s="7" t="inlineStr">
        <is>
          <t>Indirect emission linked to the Treasury, % of GDP</t>
        </is>
      </c>
      <c r="C10" s="36" t="inlineStr">
        <is>
          <t>n/s</t>
        </is>
      </c>
      <c r="D10" s="36" t="inlineStr">
        <is>
          <t>n/s</t>
        </is>
      </c>
      <c r="E10" s="36" t="inlineStr">
        <is>
          <t>n/s</t>
        </is>
      </c>
      <c r="F10" s="36" t="inlineStr">
        <is>
          <t>n/s</t>
        </is>
      </c>
      <c r="G10" s="37" t="n">
        <v>2.7</v>
      </c>
      <c r="H10" s="35" t="inlineStr">
        <is>
          <t>BCRA Informe al Congreso 2023 p.15. Secondary-market purchases of Treasury paper plus exercised puts — the BCRA's own words: 'dos fuentes indirectas de emision monetaria derivada del desorden fiscal'.</t>
        </is>
      </c>
    </row>
    <row r="11">
      <c r="B11" s="7" t="inlineStr">
        <is>
          <t>IMF measure: secondary-market purchases, % of GDP</t>
        </is>
      </c>
      <c r="C11" s="36" t="inlineStr">
        <is>
          <t>n/s</t>
        </is>
      </c>
      <c r="D11" s="36" t="inlineStr">
        <is>
          <t>n/s</t>
        </is>
      </c>
      <c r="E11" s="36" t="inlineStr">
        <is>
          <t>n/s</t>
        </is>
      </c>
      <c r="F11" s="37" t="n">
        <v>2.3</v>
      </c>
      <c r="G11" s="37" t="n">
        <v>4.2</v>
      </c>
      <c r="H11" s="35" t="inlineStr">
        <is>
          <t>IMF CR 25/3 EPE para.31. NOT reconcilable with the BCRA line above — different coverage (gross vs net, and whether sterilisation and exercised puts are netted). Present both, attributed; do not blend.</t>
        </is>
      </c>
    </row>
    <row r="12">
      <c r="B12" s="7" t="inlineStr">
        <is>
          <t>Total Treasury-linked emission, % of GDP</t>
        </is>
      </c>
      <c r="C12" s="20">
        <f>IF(AND(ISNUMBER(C9),ISNUMBER(C10)),C9+C10,"")</f>
        <v/>
      </c>
      <c r="D12" s="20">
        <f>IF(AND(ISNUMBER(D9),ISNUMBER(D10)),D9+D10,"")</f>
        <v/>
      </c>
      <c r="E12" s="20">
        <f>IF(AND(ISNUMBER(E9),ISNUMBER(E10)),E9+E10,"")</f>
        <v/>
      </c>
      <c r="F12" s="20">
        <f>IF(AND(ISNUMBER(F9),ISNUMBER(F10)),F9+F10,"")</f>
        <v/>
      </c>
      <c r="G12" s="20">
        <f>IF(AND(ISNUMBER(G9),ISNUMBER(G10)),G9+G10,"")</f>
        <v/>
      </c>
      <c r="H12" s="35" t="inlineStr">
        <is>
          <t>Calculated: direct plus the BCRA's own indirect measure. Only 2023 is complete.</t>
        </is>
      </c>
    </row>
    <row r="15">
      <c r="B15" s="11" t="inlineStr">
        <is>
          <t>2. The BCRA balance sheet — the remunerated-liability snowball</t>
        </is>
      </c>
    </row>
    <row r="17">
      <c r="B17" s="6" t="inlineStr">
        <is>
          <t>Series</t>
        </is>
      </c>
      <c r="C17" s="23" t="n">
        <v>2019</v>
      </c>
      <c r="D17" s="23" t="n">
        <v>2020</v>
      </c>
      <c r="E17" s="23" t="n">
        <v>2021</v>
      </c>
      <c r="F17" s="23" t="n">
        <v>2022</v>
      </c>
      <c r="G17" s="23" t="n">
        <v>2023</v>
      </c>
      <c r="H17" s="6" t="inlineStr">
        <is>
          <t>Source / note</t>
        </is>
      </c>
    </row>
    <row r="18">
      <c r="B18" s="7" t="inlineStr">
        <is>
          <t>LELIQ stock, end-December (ARS mn)</t>
        </is>
      </c>
      <c r="C18" s="34" t="n">
        <v>738850</v>
      </c>
      <c r="D18" s="34" t="n">
        <v>1653328</v>
      </c>
      <c r="E18" s="34" t="n">
        <v>2140026</v>
      </c>
      <c r="F18" s="34" t="n">
        <v>6831822</v>
      </c>
      <c r="G18" s="34" t="n">
        <v>3660794</v>
      </c>
      <c r="H18" s="35" t="inlineStr">
        <is>
          <t>BCRA IMM, December editions.</t>
        </is>
      </c>
    </row>
    <row r="19">
      <c r="B19" s="7" t="inlineStr">
        <is>
          <t>Pases pasivos, end-December (ARS mn)</t>
        </is>
      </c>
      <c r="C19" s="34" t="n">
        <v>432590</v>
      </c>
      <c r="D19" s="34" t="n">
        <v>1040553</v>
      </c>
      <c r="E19" s="34" t="n">
        <v>2367419</v>
      </c>
      <c r="F19" s="34" t="n">
        <v>2004090</v>
      </c>
      <c r="G19" s="34" t="n">
        <v>20468572</v>
      </c>
      <c r="H19" s="35" t="inlineStr">
        <is>
          <t>BCRA IMM. The 2023 collapse in LELIQ against the pases explosion is a MATURITY SHORTENING — 28-day paper migrating to overnight. A liquidity-risk deterioration, not a reduction.</t>
        </is>
      </c>
    </row>
    <row r="20">
      <c r="B20" s="7" t="inlineStr">
        <is>
          <t>Total remunerated liabilities (ARS mn)</t>
        </is>
      </c>
      <c r="C20" s="38">
        <f>IF(AND(ISNUMBER(C18),ISNUMBER(C19)),C18+C19,"")</f>
        <v/>
      </c>
      <c r="D20" s="38">
        <f>IF(AND(ISNUMBER(D18),ISNUMBER(D19)),D18+D19,"")</f>
        <v/>
      </c>
      <c r="E20" s="38">
        <f>IF(AND(ISNUMBER(E18),ISNUMBER(E19)),E18+E19,"")</f>
        <v/>
      </c>
      <c r="F20" s="38">
        <f>IF(AND(ISNUMBER(F18),ISNUMBER(F19)),F18+F19,"")</f>
        <v/>
      </c>
      <c r="G20" s="38">
        <f>IF(AND(ISNUMBER(G18),ISNUMBER(G19)),G18+G19,"")</f>
        <v/>
      </c>
      <c r="H20" s="35" t="inlineStr">
        <is>
          <t>Calculated.</t>
        </is>
      </c>
    </row>
    <row r="21">
      <c r="B21" s="7" t="inlineStr">
        <is>
          <t>Base monetaria, December average (ARS mn)</t>
        </is>
      </c>
      <c r="C21" s="34" t="n">
        <v>1734073</v>
      </c>
      <c r="D21" s="34" t="n">
        <v>2425025</v>
      </c>
      <c r="E21" s="34" t="n">
        <v>3394480</v>
      </c>
      <c r="F21" s="34" t="n">
        <v>4781929</v>
      </c>
      <c r="G21" s="34" t="n">
        <v>9209583</v>
      </c>
      <c r="H21" s="35" t="inlineStr">
        <is>
          <t>BCRA IMM.</t>
        </is>
      </c>
    </row>
    <row r="22">
      <c r="B22" s="7" t="inlineStr">
        <is>
          <t>Remunerated liabilities / base money (x)</t>
        </is>
      </c>
      <c r="C22" s="39">
        <f>IF(AND(ISNUMBER(C20),ISNUMBER(C21)),C20/C21,"")</f>
        <v/>
      </c>
      <c r="D22" s="39">
        <f>IF(AND(ISNUMBER(D20),ISNUMBER(D21)),D20/D21,"")</f>
        <v/>
      </c>
      <c r="E22" s="39">
        <f>IF(AND(ISNUMBER(E20),ISNUMBER(E21)),E20/E21,"")</f>
        <v/>
      </c>
      <c r="F22" s="39">
        <f>IF(AND(ISNUMBER(F20),ISNUMBER(F21)),F20/F21,"")</f>
        <v/>
      </c>
      <c r="G22" s="39">
        <f>IF(AND(ISNUMBER(G20),ISNUMBER(G21)),G20/G21,"")</f>
        <v/>
      </c>
      <c r="H22" s="35" t="inlineStr">
        <is>
          <t>Calculated from two published BCRA series. Peak was November 2023 at 3.18x — see below.</t>
        </is>
      </c>
    </row>
    <row r="23">
      <c r="B23" s="7" t="inlineStr">
        <is>
          <t>Base money, % of GDP</t>
        </is>
      </c>
      <c r="C23" s="36" t="inlineStr">
        <is>
          <t>n/s</t>
        </is>
      </c>
      <c r="D23" s="37" t="n">
        <v>7.4</v>
      </c>
      <c r="E23" s="37" t="n">
        <v>6.2</v>
      </c>
      <c r="F23" s="37" t="n">
        <v>4.4</v>
      </c>
      <c r="G23" s="37" t="n">
        <v>3.1</v>
      </c>
      <c r="H23" s="35" t="inlineStr">
        <is>
          <t>BCRA IMM. The denominator problem: the same nominal overhang sits against a collapsing real money base.</t>
        </is>
      </c>
    </row>
    <row r="24">
      <c r="B24" s="7" t="inlineStr">
        <is>
          <t>Base money, y/y nominal (%)</t>
        </is>
      </c>
      <c r="C24" s="37" t="n">
        <v>29.7</v>
      </c>
      <c r="D24" s="37" t="n">
        <v>39.8</v>
      </c>
      <c r="E24" s="37" t="n">
        <v>40</v>
      </c>
      <c r="F24" s="37" t="n">
        <v>40.9</v>
      </c>
      <c r="G24" s="37" t="n">
        <v>92.59999999999999</v>
      </c>
      <c r="H24" s="35" t="inlineStr">
        <is>
          <t>BCRA IMM.</t>
        </is>
      </c>
    </row>
    <row r="25">
      <c r="B25" s="7" t="inlineStr">
        <is>
          <t>Base money, y/y real s.a. (%)</t>
        </is>
      </c>
      <c r="C25" s="36" t="inlineStr">
        <is>
          <t>n/s</t>
        </is>
      </c>
      <c r="D25" s="36" t="inlineStr">
        <is>
          <t>n/s</t>
        </is>
      </c>
      <c r="E25" s="37" t="n">
        <v>-9.300000000000001</v>
      </c>
      <c r="F25" s="37" t="n">
        <v>-25.6</v>
      </c>
      <c r="G25" s="37" t="n">
        <v>-42</v>
      </c>
      <c r="H25" s="35" t="inlineStr">
        <is>
          <t>BCRA IMM. Dec-2023 real base money stood at its December-2001 level.</t>
        </is>
      </c>
    </row>
    <row r="26">
      <c r="B26" s="7" t="inlineStr">
        <is>
          <t>M2 total, y/y nominal (%)</t>
        </is>
      </c>
      <c r="C26" s="37" t="n">
        <v>34.9</v>
      </c>
      <c r="D26" s="37" t="n">
        <v>84.2</v>
      </c>
      <c r="E26" s="37" t="n">
        <v>54.3</v>
      </c>
      <c r="F26" s="37" t="n">
        <v>66.59999999999999</v>
      </c>
      <c r="G26" s="37" t="n">
        <v>142.3</v>
      </c>
      <c r="H26" s="35" t="inlineStr">
        <is>
          <t>BCRA IMM.</t>
        </is>
      </c>
    </row>
    <row r="27">
      <c r="B27" s="7" t="inlineStr">
        <is>
          <t>M3 total, y/y nominal (%)</t>
        </is>
      </c>
      <c r="C27" s="37" t="n">
        <v>40.7</v>
      </c>
      <c r="D27" s="37" t="n">
        <v>83.40000000000001</v>
      </c>
      <c r="E27" s="37" t="n">
        <v>54.9</v>
      </c>
      <c r="F27" s="37" t="n">
        <v>82.59999999999999</v>
      </c>
      <c r="G27" s="37" t="n">
        <v>112.4</v>
      </c>
      <c r="H27" s="35" t="inlineStr">
        <is>
          <t>BCRA IMM.</t>
        </is>
      </c>
    </row>
    <row r="28">
      <c r="B28" s="7" t="inlineStr">
        <is>
          <t>Quasi-fiscal deficit, % of GDP</t>
        </is>
      </c>
      <c r="C28" s="36" t="inlineStr">
        <is>
          <t>n/s</t>
        </is>
      </c>
      <c r="D28" s="36" t="inlineStr">
        <is>
          <t>n/s</t>
        </is>
      </c>
      <c r="E28" s="37" t="n">
        <v>3.3</v>
      </c>
      <c r="F28" s="37" t="n">
        <v>5.2</v>
      </c>
      <c r="G28" s="37" t="n">
        <v>10.5</v>
      </c>
      <c r="H28" s="35" t="inlineStr">
        <is>
          <t>IMF CR 25/3 EPE para.31 p.33.</t>
        </is>
      </c>
    </row>
    <row r="29">
      <c r="B29" s="7" t="inlineStr">
        <is>
          <t>Gross international reserves, end-Dec (USD mn)</t>
        </is>
      </c>
      <c r="C29" s="34" t="n">
        <v>44353</v>
      </c>
      <c r="D29" s="34" t="n">
        <v>39410</v>
      </c>
      <c r="E29" s="34" t="n">
        <v>39582</v>
      </c>
      <c r="F29" s="34" t="n">
        <v>44597</v>
      </c>
      <c r="G29" s="34" t="n">
        <v>23073</v>
      </c>
      <c r="H29" s="35" t="inlineStr">
        <is>
          <t>BCRA IMM, December editions.</t>
        </is>
      </c>
    </row>
    <row r="32">
      <c r="B32" s="11" t="inlineStr">
        <is>
          <t>3. The endogenous dynamic, the stocks at handover, and the repressed inflation</t>
        </is>
      </c>
    </row>
    <row r="33">
      <c r="B33" s="6" t="inlineStr">
        <is>
          <t>Marker</t>
        </is>
      </c>
      <c r="C33" s="6" t="inlineStr">
        <is>
          <t>Value</t>
        </is>
      </c>
      <c r="D33" s="6" t="inlineStr">
        <is>
          <t>Unit</t>
        </is>
      </c>
      <c r="E33" s="6" t="inlineStr">
        <is>
          <t>Source and why it matters</t>
        </is>
      </c>
    </row>
    <row r="34" ht="26" customHeight="1">
      <c r="B34" s="7" t="inlineStr">
        <is>
          <t>Peak remunerated liabilities, Nov-2023</t>
        </is>
      </c>
      <c r="C34" s="40" t="n">
        <v>24758559</v>
      </c>
      <c r="D34" s="41" t="inlineStr">
        <is>
          <t>ARS mn</t>
        </is>
      </c>
      <c r="E34" s="35" t="inlineStr">
        <is>
          <t>BCRA IMM Nov-2023. The Informe al Congreso p.17 mistypes this by a factor of ten — cite the IMM.</t>
        </is>
      </c>
    </row>
    <row r="35" ht="13" customHeight="1">
      <c r="B35" s="7" t="inlineStr">
        <is>
          <t>Base money, Nov-2023</t>
        </is>
      </c>
      <c r="C35" s="40" t="n">
        <v>7797578</v>
      </c>
      <c r="D35" s="41" t="inlineStr">
        <is>
          <t>ARS mn</t>
        </is>
      </c>
      <c r="E35" s="35" t="inlineStr">
        <is>
          <t>BCRA IMM Nov-2023.</t>
        </is>
      </c>
    </row>
    <row r="36" ht="13" customHeight="1">
      <c r="B36" s="7" t="inlineStr">
        <is>
          <t>PEAK remunerated / base money</t>
        </is>
      </c>
      <c r="C36" s="42">
        <f>C34/C35</f>
        <v/>
      </c>
      <c r="D36" s="41" t="inlineStr">
        <is>
          <t>x</t>
        </is>
      </c>
      <c r="E36" s="35" t="inlineStr">
        <is>
          <t>Calculated. The highest the ratio ever reached.</t>
        </is>
      </c>
    </row>
    <row r="37" ht="13" customHeight="1">
      <c r="B37" s="7" t="inlineStr">
        <is>
          <t>Remunerated liabilities, % of GDP, Dec-2023</t>
        </is>
      </c>
      <c r="C37" s="37" t="n">
        <v>9.5</v>
      </c>
      <c r="D37" s="41" t="inlineStr">
        <is>
          <t>%</t>
        </is>
      </c>
      <c r="E37" s="35" t="inlineStr">
        <is>
          <t>BCRA Informe al Congreso 2023 p.17.</t>
        </is>
      </c>
    </row>
    <row r="38" ht="52" customHeight="1">
      <c r="B38" s="7" t="inlineStr">
        <is>
          <t>Interest on remunerated liabilities vs base money growth</t>
        </is>
      </c>
      <c r="C38" s="37" t="n">
        <v>3.5</v>
      </c>
      <c r="D38" s="41" t="inlineStr">
        <is>
          <t>x</t>
        </is>
      </c>
      <c r="E38" s="35" t="inlineStr">
        <is>
          <t>BCRA Informe al Congreso 2023 p.17, verbatim: interest paid was equivalent to three and a half times the growth of the monetary base. Interest is paid in new pesos which must then be reabsorbed by issuing more remunerated liabilities — the snowball is self-feeding.</t>
        </is>
      </c>
    </row>
    <row r="39" ht="26" customHeight="1">
      <c r="B39" s="7" t="inlineStr">
        <is>
          <t>BCRA net credit to the government, end-2023</t>
        </is>
      </c>
      <c r="C39" s="37" t="n">
        <v>24.6</v>
      </c>
      <c r="D39" s="41" t="inlineStr">
        <is>
          <t>% GDP</t>
        </is>
      </c>
      <c r="E39" s="35" t="inlineStr">
        <is>
          <t>IMF CR 25/3 EPE para.31. The cleanest single summary of cumulative fiscal dominance.</t>
        </is>
      </c>
    </row>
    <row r="40" ht="13" customHeight="1">
      <c r="B40" s="7" t="inlineStr">
        <is>
          <t>Net international reserves, 11-Dec-2023</t>
        </is>
      </c>
      <c r="C40" s="40" t="n">
        <v>-11200</v>
      </c>
      <c r="D40" s="41" t="inlineStr">
        <is>
          <t>USD mn</t>
        </is>
      </c>
      <c r="E40" s="35" t="inlineStr">
        <is>
          <t>BCRA Informe al Congreso 2023 p.1. Negative since May 2023.</t>
        </is>
      </c>
    </row>
    <row r="41" ht="26" customHeight="1">
      <c r="B41" s="7" t="inlineStr">
        <is>
          <t>Letras intransferibles, face value, 23-Dec-2023</t>
        </is>
      </c>
      <c r="C41" s="40" t="n">
        <v>67361</v>
      </c>
      <c r="D41" s="41" t="inlineStr">
        <is>
          <t>USD mn</t>
        </is>
      </c>
      <c r="E41" s="35" t="inlineStr">
        <is>
          <t>BCRA balance sheet, read by Romano Group via Infobae 5-Jan-2024. Booked at valor tecnico, not market, under Art.62 of Ley 27.541.</t>
        </is>
      </c>
    </row>
    <row r="42" ht="39" customHeight="1">
      <c r="B42" s="7" t="inlineStr">
        <is>
          <t>Letras intransferibles, estimated recoverable value</t>
        </is>
      </c>
      <c r="C42" s="40" t="n">
        <v>23000</v>
      </c>
      <c r="D42" s="41" t="inlineStr">
        <is>
          <t>USD mn</t>
        </is>
      </c>
      <c r="E42" s="35" t="inlineStr">
        <is>
          <t>PRIVATE ESTIMATE (Libertad y Progreso). The instrument is non-tradable so no true market price exists — this is a modelled recoverable value by construction. Direction robust, precision not.</t>
        </is>
      </c>
    </row>
    <row r="43" ht="13" customHeight="1">
      <c r="B43" s="7" t="inlineStr">
        <is>
          <t>Implied writedown on the letras</t>
        </is>
      </c>
      <c r="C43" s="26">
        <f>1-C42/C41</f>
        <v/>
      </c>
      <c r="D43" s="41" t="inlineStr">
        <is>
          <t>%</t>
        </is>
      </c>
      <c r="E43" s="35" t="inlineStr">
        <is>
          <t>Calculated from the two rows above. Treat as indicative.</t>
        </is>
      </c>
    </row>
    <row r="44" ht="39" customHeight="1">
      <c r="B44" s="7" t="inlineStr">
        <is>
          <t>Registered import arrears, 13-Dec-2023</t>
        </is>
      </c>
      <c r="C44" s="40" t="n">
        <v>42600</v>
      </c>
      <c r="D44" s="41" t="inlineStr">
        <is>
          <t>USD mn</t>
        </is>
      </c>
      <c r="E44" s="35" t="inlineStr">
        <is>
          <t>BCRA registry, cut-off two days after the handover, via Infobae 25-Mar-2024. A deferred FX claim that had to be resolved before the cepo could go — hence BOPREAL.</t>
        </is>
      </c>
    </row>
    <row r="45" ht="26" customHeight="1">
      <c r="B45" s="7" t="inlineStr">
        <is>
          <t>Alternative arrears estimate</t>
        </is>
      </c>
      <c r="C45" s="40" t="n">
        <v>57800</v>
      </c>
      <c r="D45" s="41" t="inlineStr">
        <is>
          <t>USD mn</t>
        </is>
      </c>
      <c r="E45" s="35" t="inlineStr">
        <is>
          <t>Fundacion Capital — a balance-of-payments residual, a different definition from the BCRA registry. Footnote, do not merge.</t>
        </is>
      </c>
    </row>
    <row r="47">
      <c r="B47" s="11" t="inlineStr">
        <is>
          <t>4. The FX gap — where Argentina DID reach 1989 levels</t>
        </is>
      </c>
    </row>
    <row r="48">
      <c r="B48" s="6" t="inlineStr">
        <is>
          <t>Date</t>
        </is>
      </c>
      <c r="C48" s="6" t="inlineStr">
        <is>
          <t>Official</t>
        </is>
      </c>
      <c r="D48" s="6" t="inlineStr">
        <is>
          <t>Parallel</t>
        </is>
      </c>
      <c r="E48" s="6" t="inlineStr">
        <is>
          <t>Gap</t>
        </is>
      </c>
      <c r="F48" s="6" t="inlineStr">
        <is>
          <t>Note</t>
        </is>
      </c>
    </row>
    <row r="49">
      <c r="B49" s="24" t="inlineStr">
        <is>
          <t>2023-10-23</t>
        </is>
      </c>
      <c r="C49" s="15" t="n">
        <v>349.95</v>
      </c>
      <c r="D49" s="15" t="n">
        <v>1100</v>
      </c>
      <c r="E49" s="26">
        <f>D49/C49-1</f>
        <v/>
      </c>
      <c r="F49" s="35" t="inlineStr">
        <is>
          <t>peak; widest since 31-Mar-1989 (214.8%)</t>
        </is>
      </c>
    </row>
    <row r="50">
      <c r="B50" s="24" t="inlineStr">
        <is>
          <t>2023-12-29</t>
        </is>
      </c>
      <c r="C50" s="15" t="n">
        <v>808.45</v>
      </c>
      <c r="D50" s="15" t="n">
        <v>1025</v>
      </c>
      <c r="E50" s="26">
        <f>D50/C50-1</f>
        <v/>
      </c>
      <c r="F50" s="35" t="inlineStr">
        <is>
          <t>post-devaluation</t>
        </is>
      </c>
    </row>
    <row r="51">
      <c r="B51" s="24" t="inlineStr">
        <is>
          <t>2026-09-22</t>
        </is>
      </c>
      <c r="C51" s="15" t="n">
        <v>1514</v>
      </c>
      <c r="D51" s="15" t="n">
        <v>1555</v>
      </c>
      <c r="E51" s="26">
        <f>D51/C51-1</f>
        <v/>
      </c>
      <c r="F51" s="35" t="inlineStr">
        <is>
          <t>cepo unwound</t>
        </is>
      </c>
    </row>
    <row r="53">
      <c r="B53" s="28" t="inlineStr">
        <is>
          <t>The October 2023 gap of 214% was the widest since 31 March 1989, when it reached 214.8%. Unlike the CPI, the FX gap DID reach hyperinflation-era levels. By 22-Sep-2026 the gap is 2.7% — effectively closed. That is the single cleanest evidence that the cepo unwind worked.</t>
        </is>
      </c>
    </row>
    <row r="55">
      <c r="B55" s="11" t="inlineStr">
        <is>
          <t>5. Energy subsidies — the repressed price level, and its unwinding</t>
        </is>
      </c>
    </row>
    <row r="56">
      <c r="B56" s="22" t="inlineStr">
        <is>
          <t>Year</t>
        </is>
      </c>
      <c r="C56" s="23" t="n">
        <v>2019</v>
      </c>
      <c r="D56" s="23" t="n">
        <v>2020</v>
      </c>
      <c r="E56" s="23" t="n">
        <v>2021</v>
      </c>
      <c r="F56" s="23" t="n">
        <v>2022</v>
      </c>
      <c r="G56" s="23" t="n">
        <v>2023</v>
      </c>
      <c r="H56" s="23" t="n">
        <v>2024</v>
      </c>
      <c r="I56" s="23" t="n">
        <v>2025</v>
      </c>
    </row>
    <row r="57">
      <c r="B57" s="24" t="inlineStr">
        <is>
          <t>% of GDP</t>
        </is>
      </c>
      <c r="C57" s="37" t="n">
        <v>1</v>
      </c>
      <c r="D57" s="37" t="n">
        <v>1.8</v>
      </c>
      <c r="E57" s="37" t="n">
        <v>2.3</v>
      </c>
      <c r="F57" s="37" t="n">
        <v>2</v>
      </c>
      <c r="G57" s="37" t="n">
        <v>1.5</v>
      </c>
      <c r="H57" s="37" t="n">
        <v>1.1</v>
      </c>
      <c r="I57" s="37" t="n">
        <v>0.6</v>
      </c>
    </row>
    <row r="58" ht="28" customHeight="1">
      <c r="B58" s="43" t="inlineStr">
        <is>
          <t>Source</t>
        </is>
      </c>
      <c r="C58" s="44" t="inlineStr">
        <is>
          <t>Hacienda via Infobae</t>
        </is>
      </c>
      <c r="D58" s="44" t="inlineStr">
        <is>
          <t>Hacienda via Infobae</t>
        </is>
      </c>
      <c r="E58" s="44" t="inlineStr">
        <is>
          <t>Hacienda via Infobae</t>
        </is>
      </c>
      <c r="F58" s="44" t="inlineStr">
        <is>
          <t>CIPPEC</t>
        </is>
      </c>
      <c r="G58" s="44" t="inlineStr">
        <is>
          <t>Hacienda via Infobae</t>
        </is>
      </c>
      <c r="H58" s="44" t="inlineStr">
        <is>
          <t>IMF review via El Cronista</t>
        </is>
      </c>
      <c r="I58" s="44" t="inlineStr">
        <is>
          <t>IMF review via El Cronista</t>
        </is>
      </c>
    </row>
    <row r="60">
      <c r="B60" s="28" t="inlineStr">
        <is>
          <t>TWO SOURCES SPLICED, flagged: 2019-21 and 2023 are Hacienda estimates, 2022 is CIPPEC, 2024-25 are from the IMF review. Coverage differs. At handover two of every three households paid 9% or less of electricity generation cost — implying roughly a fifteen-fold increase to reach full cost recovery. That, not the CPI, is the measure of how much inflation was sitting in the pipeline.</t>
        </is>
      </c>
    </row>
    <row r="61">
      <c r="B61" s="28" t="inlineStr">
        <is>
          <t>No single number for 'inflation in the pipeline' is offered here, and the note should not offer one either: a credible estimate needs the CPI weight of regulated items, the required adjustment per item, the pass-through coefficient and the FX pass-through on the arrears stock. Only the second is sourced. The five figures above make the argument without a fabricated aggregate.</t>
        </is>
      </c>
    </row>
  </sheetData>
  <pageMargins left="0.75" right="0.75" top="1" bottom="1" header="0.5" footer="0.5"/>
</worksheet>
</file>

<file path=xl/worksheets/sheet10.xml><?xml version="1.0" encoding="utf-8"?>
<worksheet xmlns="http://schemas.openxmlformats.org/spreadsheetml/2006/main">
  <sheetPr>
    <tabColor rgb="001F3B63"/>
    <outlinePr summaryBelow="1" summaryRight="1"/>
    <pageSetUpPr fitToPage="1"/>
  </sheetPr>
  <dimension ref="B2:H38"/>
  <sheetViews>
    <sheetView showGridLines="0" workbookViewId="0">
      <selection activeCell="A1" sqref="A1"/>
    </sheetView>
  </sheetViews>
  <sheetFormatPr baseColWidth="8" defaultRowHeight="15"/>
  <cols>
    <col width="2" customWidth="1" min="1" max="1"/>
    <col width="40" customWidth="1" min="2" max="2"/>
    <col width="18" customWidth="1" min="3" max="3"/>
    <col width="92" customWidth="1" min="4" max="4"/>
    <col width="12" customWidth="1" min="5" max="5"/>
    <col width="15" customWidth="1" min="6" max="6"/>
    <col width="20" customWidth="1" min="7" max="7"/>
    <col width="24" customWidth="1" min="8" max="8"/>
  </cols>
  <sheetData>
    <row r="2" ht="26" customHeight="1">
      <c r="B2" s="1" t="inlineStr">
        <is>
          <t>How close was Argentina to hyperinflation?</t>
        </is>
      </c>
    </row>
    <row r="3">
      <c r="B3" s="2" t="inlineStr">
        <is>
          <t>Answer: not close on prices, dangerously close on the balance sheet. Every figure below is calculated from the blue inputs.</t>
        </is>
      </c>
    </row>
    <row r="5">
      <c r="B5" s="11" t="inlineStr">
        <is>
          <t>1. The benchmark</t>
        </is>
      </c>
    </row>
    <row r="6">
      <c r="B6" s="45" t="n">
        <v>50</v>
      </c>
      <c r="C6" s="8" t="inlineStr">
        <is>
          <t>Cagan's threshold. Hyperinflation begins in the month inflation first exceeds 50% per month. Source: Cagan via Fischer, Sahay &amp; Vegh, 'Modern Hyper- and High Inflations', NBER WP 8930, p.2.</t>
        </is>
      </c>
    </row>
    <row r="8">
      <c r="B8" s="11" t="inlineStr">
        <is>
          <t>2. Where Argentina actually was</t>
        </is>
      </c>
    </row>
    <row r="9" ht="30" customHeight="1">
      <c r="B9" s="6" t="inlineStr">
        <is>
          <t>Month</t>
        </is>
      </c>
      <c r="C9" s="6" t="inlineStr">
        <is>
          <t>m/m</t>
        </is>
      </c>
      <c r="D9" s="6" t="inlineStr">
        <is>
          <t>Annualised
(compounded 12x)</t>
        </is>
      </c>
      <c r="E9" s="6" t="inlineStr">
        <is>
          <t>Doubling time
(months)</t>
        </is>
      </c>
      <c r="F9" s="6" t="inlineStr">
        <is>
          <t>% of the Cagan
threshold</t>
        </is>
      </c>
    </row>
    <row r="10">
      <c r="B10" s="24" t="inlineStr">
        <is>
          <t>Dec-2023 (handover)</t>
        </is>
      </c>
      <c r="C10" s="26">
        <f>'CPI Data'!I66</f>
        <v/>
      </c>
      <c r="D10" s="46">
        <f>(1+C10)^12-1</f>
        <v/>
      </c>
      <c r="E10" s="47">
        <f>LN(2)/LN(1+C10)</f>
        <v/>
      </c>
      <c r="F10" s="26">
        <f>C10/($B$6/100)</f>
        <v/>
      </c>
    </row>
    <row r="11">
      <c r="B11" s="24" t="inlineStr">
        <is>
          <t>Nov-2023</t>
        </is>
      </c>
      <c r="C11" s="18">
        <f>'CPI Data'!I65</f>
        <v/>
      </c>
      <c r="D11" s="46">
        <f>(1+C11)^12-1</f>
        <v/>
      </c>
      <c r="E11" s="47">
        <f>LN(2)/LN(1+C11)</f>
        <v/>
      </c>
      <c r="F11" s="26">
        <f>C11/($B$6/100)</f>
        <v/>
      </c>
    </row>
    <row r="12">
      <c r="B12" s="24" t="inlineStr">
        <is>
          <t>Oct-2023</t>
        </is>
      </c>
      <c r="C12" s="18">
        <f>'CPI Data'!I64</f>
        <v/>
      </c>
      <c r="D12" s="46">
        <f>(1+C12)^12-1</f>
        <v/>
      </c>
      <c r="E12" s="47">
        <f>LN(2)/LN(1+C12)</f>
        <v/>
      </c>
      <c r="F12" s="26">
        <f>C12/($B$6/100)</f>
        <v/>
      </c>
    </row>
    <row r="13">
      <c r="B13" s="24" t="inlineStr">
        <is>
          <t>Peak 3m annualised to Dec-2023</t>
        </is>
      </c>
      <c r="C13" s="18">
        <f>(1+'CPI Data'!P66)^(1/12)-1</f>
        <v/>
      </c>
      <c r="D13" s="46">
        <f>(1+C13)^12-1</f>
        <v/>
      </c>
      <c r="E13" s="47">
        <f>LN(2)/LN(1+C13)</f>
        <v/>
      </c>
      <c r="F13" s="26">
        <f>C13/($B$6/100)</f>
        <v/>
      </c>
    </row>
    <row r="14">
      <c r="B14" s="24" t="inlineStr">
        <is>
          <t>Cagan threshold</t>
        </is>
      </c>
      <c r="C14" s="18">
        <f>$B$6/100</f>
        <v/>
      </c>
      <c r="D14" s="46">
        <f>(1+C14)^12-1</f>
        <v/>
      </c>
      <c r="E14" s="47">
        <f>LN(2)/LN(1+C14)</f>
        <v/>
      </c>
      <c r="F14" s="26">
        <f>C14/($B$6/100)</f>
        <v/>
      </c>
    </row>
    <row r="15">
      <c r="B15" s="24" t="inlineStr">
        <is>
          <t>Latest print (2026-08)</t>
        </is>
      </c>
      <c r="C15" s="18">
        <f>'CPI Data'!I98</f>
        <v/>
      </c>
      <c r="D15" s="46">
        <f>(1+C15)^12-1</f>
        <v/>
      </c>
      <c r="E15" s="47">
        <f>LN(2)/LN(1+C15)</f>
        <v/>
      </c>
      <c r="F15" s="26">
        <f>C15/($B$6/100)</f>
        <v/>
      </c>
    </row>
    <row r="17">
      <c r="B17" s="28" t="inlineStr">
        <is>
          <t>Read the December-2023 row across. 25.5% m/m is 51% of the Cagan threshold. It annualises to about 1,427% against the 12,875% the threshold implies — roughly one ninth. Prices doubled every 3.0 months, against 1.7 months at the threshold.</t>
        </is>
      </c>
    </row>
    <row r="18">
      <c r="B18" s="28" t="inlineStr">
        <is>
          <t>Milei's inaugural warning of 15,000% a year sits ABOVE the Cagan threshold. It was explicitly a FORECAST of hyperinflation, not a description of one. Caputo's 'si seguimos asi, habra hiperinflacion' on 12-Dec-2023 is likewise conditional. The IMF's ex-post evaluation does not use the word at all; it calls late 2023 a full-blown economic crisis. State this plainly in the note — it is the honest finding and it is more persuasive than the rhetoric it corrects.</t>
        </is>
      </c>
    </row>
    <row r="20">
      <c r="B20" s="11" t="inlineStr">
        <is>
          <t>3. Comparators — the real hyperinflations</t>
        </is>
      </c>
    </row>
    <row r="21" ht="28" customHeight="1">
      <c r="B21" s="6" t="inlineStr">
        <is>
          <t>Episode</t>
        </is>
      </c>
      <c r="C21" s="6" t="inlineStr">
        <is>
          <t>Period</t>
        </is>
      </c>
      <c r="D21" s="6" t="inlineStr">
        <is>
          <t>Peak month</t>
        </is>
      </c>
      <c r="E21" s="6" t="inlineStr">
        <is>
          <t>Peak m/m</t>
        </is>
      </c>
      <c r="F21" s="6" t="inlineStr">
        <is>
          <t>Annualised</t>
        </is>
      </c>
      <c r="G21" s="6" t="inlineStr">
        <is>
          <t>Doubling time (months)</t>
        </is>
      </c>
      <c r="H21" s="6" t="inlineStr">
        <is>
          <t>Argentina Dec-2023 as a multiple</t>
        </is>
      </c>
    </row>
    <row r="22">
      <c r="B22" s="24" t="inlineStr">
        <is>
          <t>Argentina</t>
        </is>
      </c>
      <c r="C22" s="41" t="inlineStr">
        <is>
          <t>May 1989 - Mar 1990</t>
        </is>
      </c>
      <c r="D22" s="41" t="inlineStr">
        <is>
          <t>Jul 1989</t>
        </is>
      </c>
      <c r="E22" s="48" t="n">
        <v>1.97</v>
      </c>
      <c r="F22" s="49">
        <f>(1+E22)^12-1</f>
        <v/>
      </c>
      <c r="G22" s="47">
        <f>LN(2)/LN(1+E22)</f>
        <v/>
      </c>
      <c r="H22" s="42">
        <f>$C$10/E22</f>
        <v/>
      </c>
    </row>
    <row r="23">
      <c r="B23" s="24" t="inlineStr">
        <is>
          <t>Bolivia</t>
        </is>
      </c>
      <c r="C23" s="41" t="inlineStr">
        <is>
          <t>Apr 1984 - Sep 1985</t>
        </is>
      </c>
      <c r="D23" s="41" t="inlineStr">
        <is>
          <t>Feb 1985</t>
        </is>
      </c>
      <c r="E23" s="48" t="n">
        <v>1.83</v>
      </c>
      <c r="F23" s="49">
        <f>(1+E23)^12-1</f>
        <v/>
      </c>
      <c r="G23" s="47">
        <f>LN(2)/LN(1+E23)</f>
        <v/>
      </c>
      <c r="H23" s="42">
        <f>$C$10/E23</f>
        <v/>
      </c>
    </row>
    <row r="24">
      <c r="B24" s="24" t="inlineStr">
        <is>
          <t>Peru</t>
        </is>
      </c>
      <c r="C24" s="41" t="inlineStr">
        <is>
          <t>Jul 1990 - Aug 1990</t>
        </is>
      </c>
      <c r="D24" s="41" t="inlineStr">
        <is>
          <t>Aug 1990</t>
        </is>
      </c>
      <c r="E24" s="48" t="n">
        <v>3.97</v>
      </c>
      <c r="F24" s="49">
        <f>(1+E24)^12-1</f>
        <v/>
      </c>
      <c r="G24" s="47">
        <f>LN(2)/LN(1+E24)</f>
        <v/>
      </c>
      <c r="H24" s="42">
        <f>$C$10/E24</f>
        <v/>
      </c>
    </row>
    <row r="25">
      <c r="B25" s="24" t="inlineStr">
        <is>
          <t>Peru (earlier)</t>
        </is>
      </c>
      <c r="C25" s="41" t="inlineStr">
        <is>
          <t>Sep 1988</t>
        </is>
      </c>
      <c r="D25" s="41" t="inlineStr">
        <is>
          <t>Sep 1988</t>
        </is>
      </c>
      <c r="E25" s="48" t="n">
        <v>1.14</v>
      </c>
      <c r="F25" s="49">
        <f>(1+E25)^12-1</f>
        <v/>
      </c>
      <c r="G25" s="47">
        <f>LN(2)/LN(1+E25)</f>
        <v/>
      </c>
      <c r="H25" s="42">
        <f>$C$10/E25</f>
        <v/>
      </c>
    </row>
    <row r="26">
      <c r="B26" s="28" t="inlineStr">
        <is>
          <t>Source: Hanke &amp; Krus, 'The Hyperinflation Table', Cato Institute. Venezuela's 2016-19 episode is absent from the version retrieved and is NOT filled in here. The 1989 Argentine peak of 197% m/m is 7.7 times the December-2023 print: Argentina in 2023 was not in the same regime as Argentina in 1989.</t>
        </is>
      </c>
    </row>
    <row r="28">
      <c r="B28" s="11" t="inlineStr">
        <is>
          <t>4. Where the risk actually sat — the balance-sheet markers</t>
        </is>
      </c>
    </row>
    <row r="29">
      <c r="B29" s="6" t="inlineStr">
        <is>
          <t>Marker</t>
        </is>
      </c>
      <c r="C29" s="6" t="inlineStr">
        <is>
          <t>Value at handover</t>
        </is>
      </c>
      <c r="D29" s="6" t="inlineStr">
        <is>
          <t>What it means</t>
        </is>
      </c>
    </row>
    <row r="30" ht="13" customHeight="1">
      <c r="B30" s="7" t="inlineStr">
        <is>
          <t>Base money / GDP</t>
        </is>
      </c>
      <c r="C30" s="50">
        <f>Inheritance!G28</f>
        <v/>
      </c>
      <c r="D30" s="8" t="inlineStr">
        <is>
          <t>Down from 7.4% in 2020. Real base money at its December-2001 level.</t>
        </is>
      </c>
    </row>
    <row r="31" ht="26" customHeight="1">
      <c r="B31" s="7" t="inlineStr">
        <is>
          <t>Remunerated liabilities / base money</t>
        </is>
      </c>
      <c r="C31" s="42">
        <f>Inheritance!G26</f>
        <v/>
      </c>
      <c r="D31" s="8" t="inlineStr">
        <is>
          <t>Peak 3.18x in November. The overhang: if holders convert that stock into transactional money against a real money demand at 2001 lows, the base multiplies several-fold.</t>
        </is>
      </c>
    </row>
    <row r="32" ht="13" customHeight="1">
      <c r="B32" s="7" t="inlineStr">
        <is>
          <t>Quasi-fiscal deficit</t>
        </is>
      </c>
      <c r="C32" s="51">
        <f>Inheritance!G33</f>
        <v/>
      </c>
      <c r="D32" s="8" t="inlineStr">
        <is>
          <t>From 3.3% in 2021. Triple what the IMF programme's baseline envisaged.</t>
        </is>
      </c>
    </row>
    <row r="33" ht="13" customHeight="1">
      <c r="B33" s="7" t="inlineStr">
        <is>
          <t>BCRA net credit to government</t>
        </is>
      </c>
      <c r="C33" s="51">
        <f>Inheritance!$C$39</f>
        <v/>
      </c>
      <c r="D33" s="8" t="inlineStr">
        <is>
          <t>The cumulative stock measure of fiscal dominance.</t>
        </is>
      </c>
    </row>
    <row r="34" ht="13" customHeight="1">
      <c r="B34" s="7" t="inlineStr">
        <is>
          <t>Net international reserves</t>
        </is>
      </c>
      <c r="C34" s="52">
        <f>Inheritance!$C$40</f>
        <v/>
      </c>
      <c r="D34" s="8" t="inlineStr">
        <is>
          <t>Negative since May 2023.</t>
        </is>
      </c>
    </row>
    <row r="35" ht="26" customHeight="1">
      <c r="B35" s="7" t="inlineStr">
        <is>
          <t>Interest vs base money growth</t>
        </is>
      </c>
      <c r="C35" s="53">
        <f>Inheritance!$C$38</f>
        <v/>
      </c>
      <c r="D35" s="8" t="inlineStr">
        <is>
          <t>The snowball is self-feeding: interest is paid in new pesos that must be reabsorbed by issuing more remunerated liabilities.</t>
        </is>
      </c>
    </row>
    <row r="36" ht="13" customHeight="1">
      <c r="B36" s="7" t="inlineStr">
        <is>
          <t>FX gap, peak</t>
        </is>
      </c>
      <c r="C36" s="26">
        <f>Inheritance!$E$49</f>
        <v/>
      </c>
      <c r="D36" s="8" t="inlineStr">
        <is>
          <t>Widest since 31 March 1989.</t>
        </is>
      </c>
    </row>
    <row r="38">
      <c r="B38" s="28" t="inlineStr">
        <is>
          <t>This is the argument. On prices Argentina was far from Cagan. On the balance sheet it was in the danger zone, and the channel by which 25% monthly could have become 50% monthly was the monetary overhang, not the observed rate. Frame it as a conditional risk, not a realised outcome.</t>
        </is>
      </c>
    </row>
  </sheetData>
  <pageMargins left="0.75" right="0.75" top="1" bottom="1" header="0.5" footer="0.5"/>
</worksheet>
</file>

<file path=xl/worksheets/sheet11.xml><?xml version="1.0" encoding="utf-8"?>
<worksheet xmlns="http://schemas.openxmlformats.org/spreadsheetml/2006/main">
  <sheetPr>
    <tabColor rgb="001F3B63"/>
    <outlinePr summaryBelow="1" summaryRight="1"/>
    <pageSetUpPr fitToPage="1"/>
  </sheetPr>
  <dimension ref="B2:L55"/>
  <sheetViews>
    <sheetView showGridLines="0" workbookViewId="0">
      <pane xSplit="1" ySplit="9" topLeftCell="B10" activePane="bottomRight" state="frozen"/>
      <selection pane="topRight"/>
      <selection pane="bottomLeft"/>
      <selection pane="bottomRight" activeCell="A1" sqref="A1"/>
    </sheetView>
  </sheetViews>
  <sheetFormatPr baseColWidth="8" defaultRowHeight="15"/>
  <cols>
    <col width="2" customWidth="1" min="1" max="1"/>
    <col width="10" customWidth="1" min="2" max="2"/>
    <col width="13" customWidth="1" min="3" max="3"/>
    <col width="12" customWidth="1" min="4" max="4"/>
    <col width="11" customWidth="1" min="5" max="5"/>
    <col width="13" customWidth="1" min="6" max="6"/>
    <col width="14" customWidth="1" min="7" max="7"/>
    <col width="14" customWidth="1" min="8" max="8"/>
    <col width="14" customWidth="1" min="9" max="9"/>
    <col width="14" customWidth="1" min="10" max="10"/>
    <col width="14" customWidth="1" min="11" max="11"/>
    <col width="13" customWidth="1" min="12" max="12"/>
  </cols>
  <sheetData>
    <row r="2" ht="26" customHeight="1">
      <c r="B2" s="1" t="inlineStr">
        <is>
          <t>Real interest rates — ex-post and ex-ante</t>
        </is>
      </c>
    </row>
    <row r="3">
      <c r="B3" s="2" t="inlineStr">
        <is>
          <t>TEM = (1+TNA/365)^30-1, daily compounding. Real = (1+TEM)/(1+inflation)-1. Both calculated in-sheet.</t>
        </is>
      </c>
    </row>
    <row r="5">
      <c r="B5" s="11" t="inlineStr">
        <is>
          <t>There is NO continuous policy rate for Dec-2023 to Sep-2026. The instrument was abolished.</t>
        </is>
      </c>
    </row>
    <row r="6">
      <c r="B6" s="28" t="inlineStr">
        <is>
          <t>Regime I: BCRA policy rate (pases pasivos), administered, Dec-2023 to 9-Jun-2025. Regime II: Jul-2025, LEFI eliminated 10-Jul-2025, no anchor, rates market-determined and violently so (1-day cauciones ranged 26% to 150% intraday on 20-Aug-2025). Regime III: monetary-aggregates targeting from Jul-2025, TAMAR the de facto reference. Jul/Aug/Sep-2025 are LEFT BLANK BY DESIGN — an instrument-transition artefact, not monetary policy. Do not interpolate.</t>
        </is>
      </c>
    </row>
    <row r="9" ht="32" customHeight="1">
      <c r="B9" s="6" t="inlineStr">
        <is>
          <t>Month</t>
        </is>
      </c>
      <c r="C9" s="6" t="inlineStr">
        <is>
          <t>Regime</t>
        </is>
      </c>
      <c r="D9" s="6" t="inlineStr">
        <is>
          <t>Nominal
% TNA</t>
        </is>
      </c>
      <c r="E9" s="6" t="inlineStr">
        <is>
          <t>TEM
(derived)</t>
        </is>
      </c>
      <c r="F9" s="6" t="inlineStr">
        <is>
          <t>Realised CPI
m/m</t>
        </is>
      </c>
      <c r="G9" s="6" t="inlineStr">
        <is>
          <t>REAL EX-POST
m/m</t>
        </is>
      </c>
      <c r="H9" s="6" t="inlineStr">
        <is>
          <t>Real ex-post
annualised</t>
        </is>
      </c>
      <c r="I9" s="6" t="inlineStr">
        <is>
          <t>REM expected
CPI m/m</t>
        </is>
      </c>
      <c r="J9" s="6" t="inlineStr">
        <is>
          <t>REAL EX-ANTE
m/m</t>
        </is>
      </c>
      <c r="K9" s="6" t="inlineStr">
        <is>
          <t>Real ex-ante
annualised</t>
        </is>
      </c>
      <c r="L9" s="6" t="inlineStr">
        <is>
          <t>Forecast error
(pp)</t>
        </is>
      </c>
    </row>
    <row r="10">
      <c r="B10" s="13" t="inlineStr">
        <is>
          <t>2023-12</t>
        </is>
      </c>
      <c r="C10" s="41" t="inlineStr">
        <is>
          <t>policy</t>
        </is>
      </c>
      <c r="D10" s="54" t="n">
        <v>100</v>
      </c>
      <c r="E10" s="17">
        <f>IF(D10="","",(1+D10/100/365)^30-1)</f>
        <v/>
      </c>
      <c r="F10" s="17">
        <f>IFERROR(INDEX('CPI Data'!$I:$I,MATCH($B10,'CPI Data'!$B:$B,0)),"")</f>
        <v/>
      </c>
      <c r="G10" s="55">
        <f>IF(OR(E10="",F10=""),"",(1+E10)/(1+F10)-1)</f>
        <v/>
      </c>
      <c r="H10" s="32">
        <f>IF(G10="","",(1+G10)^12-1)</f>
        <v/>
      </c>
      <c r="J10" s="55">
        <f>IF(OR(E10="",I10=""),"",(1+E10)/(1+I10)-1)</f>
        <v/>
      </c>
      <c r="K10" s="32">
        <f>IF(J10="","",(1+J10)^12-1)</f>
        <v/>
      </c>
      <c r="L10" s="56">
        <f>IF(OR(F10="",I10=""),"",(F10-I10)*100)</f>
        <v/>
      </c>
    </row>
    <row r="11">
      <c r="B11" s="13" t="inlineStr">
        <is>
          <t>2024-01</t>
        </is>
      </c>
      <c r="C11" s="41" t="inlineStr">
        <is>
          <t>policy</t>
        </is>
      </c>
      <c r="D11" s="54" t="n">
        <v>100</v>
      </c>
      <c r="E11" s="17">
        <f>IF(D11="","",(1+D11/100/365)^30-1)</f>
        <v/>
      </c>
      <c r="F11" s="17">
        <f>IFERROR(INDEX('CPI Data'!$I:$I,MATCH($B11,'CPI Data'!$B:$B,0)),"")</f>
        <v/>
      </c>
      <c r="G11" s="55">
        <f>IF(OR(E11="",F11=""),"",(1+E11)/(1+F11)-1)</f>
        <v/>
      </c>
      <c r="H11" s="32">
        <f>IF(G11="","",(1+G11)^12-1)</f>
        <v/>
      </c>
      <c r="J11" s="55">
        <f>IF(OR(E11="",I11=""),"",(1+E11)/(1+I11)-1)</f>
        <v/>
      </c>
      <c r="K11" s="32">
        <f>IF(J11="","",(1+J11)^12-1)</f>
        <v/>
      </c>
      <c r="L11" s="56">
        <f>IF(OR(F11="",I11=""),"",(F11-I11)*100)</f>
        <v/>
      </c>
    </row>
    <row r="12">
      <c r="B12" s="13" t="inlineStr">
        <is>
          <t>2024-02</t>
        </is>
      </c>
      <c r="C12" s="41" t="inlineStr">
        <is>
          <t>policy</t>
        </is>
      </c>
      <c r="D12" s="54" t="n">
        <v>100</v>
      </c>
      <c r="E12" s="17">
        <f>IF(D12="","",(1+D12/100/365)^30-1)</f>
        <v/>
      </c>
      <c r="F12" s="17">
        <f>IFERROR(INDEX('CPI Data'!$I:$I,MATCH($B12,'CPI Data'!$B:$B,0)),"")</f>
        <v/>
      </c>
      <c r="G12" s="55">
        <f>IF(OR(E12="",F12=""),"",(1+E12)/(1+F12)-1)</f>
        <v/>
      </c>
      <c r="H12" s="32">
        <f>IF(G12="","",(1+G12)^12-1)</f>
        <v/>
      </c>
      <c r="J12" s="55">
        <f>IF(OR(E12="",I12=""),"",(1+E12)/(1+I12)-1)</f>
        <v/>
      </c>
      <c r="K12" s="32">
        <f>IF(J12="","",(1+J12)^12-1)</f>
        <v/>
      </c>
      <c r="L12" s="56">
        <f>IF(OR(F12="",I12=""),"",(F12-I12)*100)</f>
        <v/>
      </c>
    </row>
    <row r="13">
      <c r="B13" s="13" t="inlineStr">
        <is>
          <t>2024-03</t>
        </is>
      </c>
      <c r="C13" s="41" t="inlineStr">
        <is>
          <t>policy</t>
        </is>
      </c>
      <c r="D13" s="54" t="n">
        <v>80</v>
      </c>
      <c r="E13" s="17">
        <f>IF(D13="","",(1+D13/100/365)^30-1)</f>
        <v/>
      </c>
      <c r="F13" s="17">
        <f>IFERROR(INDEX('CPI Data'!$I:$I,MATCH($B13,'CPI Data'!$B:$B,0)),"")</f>
        <v/>
      </c>
      <c r="G13" s="55">
        <f>IF(OR(E13="",F13=""),"",(1+E13)/(1+F13)-1)</f>
        <v/>
      </c>
      <c r="H13" s="32">
        <f>IF(G13="","",(1+G13)^12-1)</f>
        <v/>
      </c>
      <c r="J13" s="55">
        <f>IF(OR(E13="",I13=""),"",(1+E13)/(1+I13)-1)</f>
        <v/>
      </c>
      <c r="K13" s="32">
        <f>IF(J13="","",(1+J13)^12-1)</f>
        <v/>
      </c>
      <c r="L13" s="56">
        <f>IF(OR(F13="",I13=""),"",(F13-I13)*100)</f>
        <v/>
      </c>
    </row>
    <row r="14">
      <c r="B14" s="13" t="inlineStr">
        <is>
          <t>2024-04</t>
        </is>
      </c>
      <c r="C14" s="41" t="inlineStr">
        <is>
          <t>policy</t>
        </is>
      </c>
      <c r="D14" s="54" t="n">
        <v>60</v>
      </c>
      <c r="E14" s="17">
        <f>IF(D14="","",(1+D14/100/365)^30-1)</f>
        <v/>
      </c>
      <c r="F14" s="17">
        <f>IFERROR(INDEX('CPI Data'!$I:$I,MATCH($B14,'CPI Data'!$B:$B,0)),"")</f>
        <v/>
      </c>
      <c r="G14" s="55">
        <f>IF(OR(E14="",F14=""),"",(1+E14)/(1+F14)-1)</f>
        <v/>
      </c>
      <c r="H14" s="32">
        <f>IF(G14="","",(1+G14)^12-1)</f>
        <v/>
      </c>
      <c r="J14" s="55">
        <f>IF(OR(E14="",I14=""),"",(1+E14)/(1+I14)-1)</f>
        <v/>
      </c>
      <c r="K14" s="32">
        <f>IF(J14="","",(1+J14)^12-1)</f>
        <v/>
      </c>
      <c r="L14" s="56">
        <f>IF(OR(F14="",I14=""),"",(F14-I14)*100)</f>
        <v/>
      </c>
    </row>
    <row r="15">
      <c r="B15" s="13" t="inlineStr">
        <is>
          <t>2024-05</t>
        </is>
      </c>
      <c r="C15" s="41" t="inlineStr">
        <is>
          <t>policy</t>
        </is>
      </c>
      <c r="D15" s="54" t="n">
        <v>40</v>
      </c>
      <c r="E15" s="17">
        <f>IF(D15="","",(1+D15/100/365)^30-1)</f>
        <v/>
      </c>
      <c r="F15" s="17">
        <f>IFERROR(INDEX('CPI Data'!$I:$I,MATCH($B15,'CPI Data'!$B:$B,0)),"")</f>
        <v/>
      </c>
      <c r="G15" s="55">
        <f>IF(OR(E15="",F15=""),"",(1+E15)/(1+F15)-1)</f>
        <v/>
      </c>
      <c r="H15" s="32">
        <f>IF(G15="","",(1+G15)^12-1)</f>
        <v/>
      </c>
      <c r="J15" s="55">
        <f>IF(OR(E15="",I15=""),"",(1+E15)/(1+I15)-1)</f>
        <v/>
      </c>
      <c r="K15" s="32">
        <f>IF(J15="","",(1+J15)^12-1)</f>
        <v/>
      </c>
      <c r="L15" s="56">
        <f>IF(OR(F15="",I15=""),"",(F15-I15)*100)</f>
        <v/>
      </c>
    </row>
    <row r="16">
      <c r="B16" s="13" t="inlineStr">
        <is>
          <t>2024-06</t>
        </is>
      </c>
      <c r="C16" s="41" t="inlineStr">
        <is>
          <t>policy</t>
        </is>
      </c>
      <c r="D16" s="54" t="n">
        <v>40</v>
      </c>
      <c r="E16" s="17">
        <f>IF(D16="","",(1+D16/100/365)^30-1)</f>
        <v/>
      </c>
      <c r="F16" s="17">
        <f>IFERROR(INDEX('CPI Data'!$I:$I,MATCH($B16,'CPI Data'!$B:$B,0)),"")</f>
        <v/>
      </c>
      <c r="G16" s="55">
        <f>IF(OR(E16="",F16=""),"",(1+E16)/(1+F16)-1)</f>
        <v/>
      </c>
      <c r="H16" s="32">
        <f>IF(G16="","",(1+G16)^12-1)</f>
        <v/>
      </c>
      <c r="J16" s="55">
        <f>IF(OR(E16="",I16=""),"",(1+E16)/(1+I16)-1)</f>
        <v/>
      </c>
      <c r="K16" s="32">
        <f>IF(J16="","",(1+J16)^12-1)</f>
        <v/>
      </c>
      <c r="L16" s="56">
        <f>IF(OR(F16="",I16=""),"",(F16-I16)*100)</f>
        <v/>
      </c>
    </row>
    <row r="17">
      <c r="B17" s="13" t="inlineStr">
        <is>
          <t>2024-07</t>
        </is>
      </c>
      <c r="C17" s="41" t="inlineStr">
        <is>
          <t>policy</t>
        </is>
      </c>
      <c r="D17" s="54" t="n">
        <v>40</v>
      </c>
      <c r="E17" s="17">
        <f>IF(D17="","",(1+D17/100/365)^30-1)</f>
        <v/>
      </c>
      <c r="F17" s="17">
        <f>IFERROR(INDEX('CPI Data'!$I:$I,MATCH($B17,'CPI Data'!$B:$B,0)),"")</f>
        <v/>
      </c>
      <c r="G17" s="55">
        <f>IF(OR(E17="",F17=""),"",(1+E17)/(1+F17)-1)</f>
        <v/>
      </c>
      <c r="H17" s="32">
        <f>IF(G17="","",(1+G17)^12-1)</f>
        <v/>
      </c>
      <c r="J17" s="55">
        <f>IF(OR(E17="",I17=""),"",(1+E17)/(1+I17)-1)</f>
        <v/>
      </c>
      <c r="K17" s="32">
        <f>IF(J17="","",(1+J17)^12-1)</f>
        <v/>
      </c>
      <c r="L17" s="56">
        <f>IF(OR(F17="",I17=""),"",(F17-I17)*100)</f>
        <v/>
      </c>
    </row>
    <row r="18">
      <c r="B18" s="13" t="inlineStr">
        <is>
          <t>2024-08</t>
        </is>
      </c>
      <c r="C18" s="41" t="inlineStr">
        <is>
          <t>policy</t>
        </is>
      </c>
      <c r="D18" s="54" t="n">
        <v>40</v>
      </c>
      <c r="E18" s="17">
        <f>IF(D18="","",(1+D18/100/365)^30-1)</f>
        <v/>
      </c>
      <c r="F18" s="17">
        <f>IFERROR(INDEX('CPI Data'!$I:$I,MATCH($B18,'CPI Data'!$B:$B,0)),"")</f>
        <v/>
      </c>
      <c r="G18" s="55">
        <f>IF(OR(E18="",F18=""),"",(1+E18)/(1+F18)-1)</f>
        <v/>
      </c>
      <c r="H18" s="32">
        <f>IF(G18="","",(1+G18)^12-1)</f>
        <v/>
      </c>
      <c r="J18" s="55">
        <f>IF(OR(E18="",I18=""),"",(1+E18)/(1+I18)-1)</f>
        <v/>
      </c>
      <c r="K18" s="32">
        <f>IF(J18="","",(1+J18)^12-1)</f>
        <v/>
      </c>
      <c r="L18" s="56">
        <f>IF(OR(F18="",I18=""),"",(F18-I18)*100)</f>
        <v/>
      </c>
    </row>
    <row r="19">
      <c r="B19" s="13" t="inlineStr">
        <is>
          <t>2024-09</t>
        </is>
      </c>
      <c r="C19" s="41" t="inlineStr">
        <is>
          <t>policy</t>
        </is>
      </c>
      <c r="D19" s="54" t="n">
        <v>40</v>
      </c>
      <c r="E19" s="17">
        <f>IF(D19="","",(1+D19/100/365)^30-1)</f>
        <v/>
      </c>
      <c r="F19" s="17">
        <f>IFERROR(INDEX('CPI Data'!$I:$I,MATCH($B19,'CPI Data'!$B:$B,0)),"")</f>
        <v/>
      </c>
      <c r="G19" s="55">
        <f>IF(OR(E19="",F19=""),"",(1+E19)/(1+F19)-1)</f>
        <v/>
      </c>
      <c r="H19" s="32">
        <f>IF(G19="","",(1+G19)^12-1)</f>
        <v/>
      </c>
      <c r="J19" s="55">
        <f>IF(OR(E19="",I19=""),"",(1+E19)/(1+I19)-1)</f>
        <v/>
      </c>
      <c r="K19" s="32">
        <f>IF(J19="","",(1+J19)^12-1)</f>
        <v/>
      </c>
      <c r="L19" s="56">
        <f>IF(OR(F19="",I19=""),"",(F19-I19)*100)</f>
        <v/>
      </c>
    </row>
    <row r="20">
      <c r="B20" s="13" t="inlineStr">
        <is>
          <t>2024-10</t>
        </is>
      </c>
      <c r="C20" s="41" t="inlineStr">
        <is>
          <t>policy</t>
        </is>
      </c>
      <c r="D20" s="54" t="n">
        <v>35</v>
      </c>
      <c r="E20" s="17">
        <f>IF(D20="","",(1+D20/100/365)^30-1)</f>
        <v/>
      </c>
      <c r="F20" s="17">
        <f>IFERROR(INDEX('CPI Data'!$I:$I,MATCH($B20,'CPI Data'!$B:$B,0)),"")</f>
        <v/>
      </c>
      <c r="G20" s="55">
        <f>IF(OR(E20="",F20=""),"",(1+E20)/(1+F20)-1)</f>
        <v/>
      </c>
      <c r="H20" s="32">
        <f>IF(G20="","",(1+G20)^12-1)</f>
        <v/>
      </c>
      <c r="J20" s="55">
        <f>IF(OR(E20="",I20=""),"",(1+E20)/(1+I20)-1)</f>
        <v/>
      </c>
      <c r="K20" s="32">
        <f>IF(J20="","",(1+J20)^12-1)</f>
        <v/>
      </c>
      <c r="L20" s="56">
        <f>IF(OR(F20="",I20=""),"",(F20-I20)*100)</f>
        <v/>
      </c>
    </row>
    <row r="21">
      <c r="B21" s="13" t="inlineStr">
        <is>
          <t>2024-11</t>
        </is>
      </c>
      <c r="C21" s="41" t="inlineStr">
        <is>
          <t>policy</t>
        </is>
      </c>
      <c r="D21" s="54" t="n">
        <v>35</v>
      </c>
      <c r="E21" s="17">
        <f>IF(D21="","",(1+D21/100/365)^30-1)</f>
        <v/>
      </c>
      <c r="F21" s="17">
        <f>IFERROR(INDEX('CPI Data'!$I:$I,MATCH($B21,'CPI Data'!$B:$B,0)),"")</f>
        <v/>
      </c>
      <c r="G21" s="55">
        <f>IF(OR(E21="",F21=""),"",(1+E21)/(1+F21)-1)</f>
        <v/>
      </c>
      <c r="H21" s="32">
        <f>IF(G21="","",(1+G21)^12-1)</f>
        <v/>
      </c>
      <c r="J21" s="55">
        <f>IF(OR(E21="",I21=""),"",(1+E21)/(1+I21)-1)</f>
        <v/>
      </c>
      <c r="K21" s="32">
        <f>IF(J21="","",(1+J21)^12-1)</f>
        <v/>
      </c>
      <c r="L21" s="56">
        <f>IF(OR(F21="",I21=""),"",(F21-I21)*100)</f>
        <v/>
      </c>
    </row>
    <row r="22">
      <c r="B22" s="13" t="inlineStr">
        <is>
          <t>2024-12</t>
        </is>
      </c>
      <c r="C22" s="41" t="inlineStr">
        <is>
          <t>policy</t>
        </is>
      </c>
      <c r="D22" s="54" t="n">
        <v>32</v>
      </c>
      <c r="E22" s="17">
        <f>IF(D22="","",(1+D22/100/365)^30-1)</f>
        <v/>
      </c>
      <c r="F22" s="17">
        <f>IFERROR(INDEX('CPI Data'!$I:$I,MATCH($B22,'CPI Data'!$B:$B,0)),"")</f>
        <v/>
      </c>
      <c r="G22" s="55">
        <f>IF(OR(E22="",F22=""),"",(1+E22)/(1+F22)-1)</f>
        <v/>
      </c>
      <c r="H22" s="32">
        <f>IF(G22="","",(1+G22)^12-1)</f>
        <v/>
      </c>
      <c r="J22" s="55">
        <f>IF(OR(E22="",I22=""),"",(1+E22)/(1+I22)-1)</f>
        <v/>
      </c>
      <c r="K22" s="32">
        <f>IF(J22="","",(1+J22)^12-1)</f>
        <v/>
      </c>
      <c r="L22" s="56">
        <f>IF(OR(F22="",I22=""),"",(F22-I22)*100)</f>
        <v/>
      </c>
    </row>
    <row r="23">
      <c r="B23" s="13" t="inlineStr">
        <is>
          <t>2025-01</t>
        </is>
      </c>
      <c r="C23" s="41" t="inlineStr">
        <is>
          <t>policy</t>
        </is>
      </c>
      <c r="D23" s="54" t="n">
        <v>32</v>
      </c>
      <c r="E23" s="17">
        <f>IF(D23="","",(1+D23/100/365)^30-1)</f>
        <v/>
      </c>
      <c r="F23" s="17">
        <f>IFERROR(INDEX('CPI Data'!$I:$I,MATCH($B23,'CPI Data'!$B:$B,0)),"")</f>
        <v/>
      </c>
      <c r="G23" s="55">
        <f>IF(OR(E23="",F23=""),"",(1+E23)/(1+F23)-1)</f>
        <v/>
      </c>
      <c r="H23" s="32">
        <f>IF(G23="","",(1+G23)^12-1)</f>
        <v/>
      </c>
      <c r="J23" s="55">
        <f>IF(OR(E23="",I23=""),"",(1+E23)/(1+I23)-1)</f>
        <v/>
      </c>
      <c r="K23" s="32">
        <f>IF(J23="","",(1+J23)^12-1)</f>
        <v/>
      </c>
      <c r="L23" s="56">
        <f>IF(OR(F23="",I23=""),"",(F23-I23)*100)</f>
        <v/>
      </c>
    </row>
    <row r="24">
      <c r="B24" s="13" t="inlineStr">
        <is>
          <t>2025-02</t>
        </is>
      </c>
      <c r="C24" s="41" t="inlineStr">
        <is>
          <t>policy</t>
        </is>
      </c>
      <c r="D24" s="54" t="n">
        <v>29</v>
      </c>
      <c r="E24" s="17">
        <f>IF(D24="","",(1+D24/100/365)^30-1)</f>
        <v/>
      </c>
      <c r="F24" s="17">
        <f>IFERROR(INDEX('CPI Data'!$I:$I,MATCH($B24,'CPI Data'!$B:$B,0)),"")</f>
        <v/>
      </c>
      <c r="G24" s="55">
        <f>IF(OR(E24="",F24=""),"",(1+E24)/(1+F24)-1)</f>
        <v/>
      </c>
      <c r="H24" s="32">
        <f>IF(G24="","",(1+G24)^12-1)</f>
        <v/>
      </c>
      <c r="J24" s="55">
        <f>IF(OR(E24="",I24=""),"",(1+E24)/(1+I24)-1)</f>
        <v/>
      </c>
      <c r="K24" s="32">
        <f>IF(J24="","",(1+J24)^12-1)</f>
        <v/>
      </c>
      <c r="L24" s="56">
        <f>IF(OR(F24="",I24=""),"",(F24-I24)*100)</f>
        <v/>
      </c>
    </row>
    <row r="25">
      <c r="B25" s="13" t="inlineStr">
        <is>
          <t>2025-03</t>
        </is>
      </c>
      <c r="C25" s="41" t="inlineStr">
        <is>
          <t>policy</t>
        </is>
      </c>
      <c r="D25" s="54" t="n">
        <v>29</v>
      </c>
      <c r="E25" s="17">
        <f>IF(D25="","",(1+D25/100/365)^30-1)</f>
        <v/>
      </c>
      <c r="F25" s="17">
        <f>IFERROR(INDEX('CPI Data'!$I:$I,MATCH($B25,'CPI Data'!$B:$B,0)),"")</f>
        <v/>
      </c>
      <c r="G25" s="55">
        <f>IF(OR(E25="",F25=""),"",(1+E25)/(1+F25)-1)</f>
        <v/>
      </c>
      <c r="H25" s="32">
        <f>IF(G25="","",(1+G25)^12-1)</f>
        <v/>
      </c>
      <c r="J25" s="55">
        <f>IF(OR(E25="",I25=""),"",(1+E25)/(1+I25)-1)</f>
        <v/>
      </c>
      <c r="K25" s="32">
        <f>IF(J25="","",(1+J25)^12-1)</f>
        <v/>
      </c>
      <c r="L25" s="56">
        <f>IF(OR(F25="",I25=""),"",(F25-I25)*100)</f>
        <v/>
      </c>
    </row>
    <row r="26">
      <c r="B26" s="13" t="inlineStr">
        <is>
          <t>2025-04</t>
        </is>
      </c>
      <c r="C26" s="41" t="inlineStr">
        <is>
          <t>policy</t>
        </is>
      </c>
      <c r="D26" s="54" t="n">
        <v>29</v>
      </c>
      <c r="E26" s="17">
        <f>IF(D26="","",(1+D26/100/365)^30-1)</f>
        <v/>
      </c>
      <c r="F26" s="17">
        <f>IFERROR(INDEX('CPI Data'!$I:$I,MATCH($B26,'CPI Data'!$B:$B,0)),"")</f>
        <v/>
      </c>
      <c r="G26" s="55">
        <f>IF(OR(E26="",F26=""),"",(1+E26)/(1+F26)-1)</f>
        <v/>
      </c>
      <c r="H26" s="32">
        <f>IF(G26="","",(1+G26)^12-1)</f>
        <v/>
      </c>
      <c r="J26" s="55">
        <f>IF(OR(E26="",I26=""),"",(1+E26)/(1+I26)-1)</f>
        <v/>
      </c>
      <c r="K26" s="32">
        <f>IF(J26="","",(1+J26)^12-1)</f>
        <v/>
      </c>
      <c r="L26" s="56">
        <f>IF(OR(F26="",I26=""),"",(F26-I26)*100)</f>
        <v/>
      </c>
    </row>
    <row r="27">
      <c r="B27" s="13" t="inlineStr">
        <is>
          <t>2025-05</t>
        </is>
      </c>
      <c r="C27" s="41" t="inlineStr">
        <is>
          <t>policy</t>
        </is>
      </c>
      <c r="D27" s="54" t="n">
        <v>29</v>
      </c>
      <c r="E27" s="17">
        <f>IF(D27="","",(1+D27/100/365)^30-1)</f>
        <v/>
      </c>
      <c r="F27" s="17">
        <f>IFERROR(INDEX('CPI Data'!$I:$I,MATCH($B27,'CPI Data'!$B:$B,0)),"")</f>
        <v/>
      </c>
      <c r="G27" s="55">
        <f>IF(OR(E27="",F27=""),"",(1+E27)/(1+F27)-1)</f>
        <v/>
      </c>
      <c r="H27" s="32">
        <f>IF(G27="","",(1+G27)^12-1)</f>
        <v/>
      </c>
      <c r="J27" s="55">
        <f>IF(OR(E27="",I27=""),"",(1+E27)/(1+I27)-1)</f>
        <v/>
      </c>
      <c r="K27" s="32">
        <f>IF(J27="","",(1+J27)^12-1)</f>
        <v/>
      </c>
      <c r="L27" s="56">
        <f>IF(OR(F27="",I27=""),"",(F27-I27)*100)</f>
        <v/>
      </c>
    </row>
    <row r="28">
      <c r="B28" s="13" t="inlineStr">
        <is>
          <t>2025-06</t>
        </is>
      </c>
      <c r="C28" s="41" t="inlineStr">
        <is>
          <t>policy</t>
        </is>
      </c>
      <c r="D28" s="54" t="n">
        <v>29</v>
      </c>
      <c r="E28" s="17">
        <f>IF(D28="","",(1+D28/100/365)^30-1)</f>
        <v/>
      </c>
      <c r="F28" s="17">
        <f>IFERROR(INDEX('CPI Data'!$I:$I,MATCH($B28,'CPI Data'!$B:$B,0)),"")</f>
        <v/>
      </c>
      <c r="G28" s="55">
        <f>IF(OR(E28="",F28=""),"",(1+E28)/(1+F28)-1)</f>
        <v/>
      </c>
      <c r="H28" s="32">
        <f>IF(G28="","",(1+G28)^12-1)</f>
        <v/>
      </c>
      <c r="J28" s="55">
        <f>IF(OR(E28="",I28=""),"",(1+E28)/(1+I28)-1)</f>
        <v/>
      </c>
      <c r="K28" s="32">
        <f>IF(J28="","",(1+J28)^12-1)</f>
        <v/>
      </c>
      <c r="L28" s="56">
        <f>IF(OR(F28="",I28=""),"",(F28-I28)*100)</f>
        <v/>
      </c>
    </row>
    <row r="29">
      <c r="B29" s="13" t="inlineStr">
        <is>
          <t>2025-07</t>
        </is>
      </c>
      <c r="C29" s="57" t="inlineStr">
        <is>
          <t>LEFI transition</t>
        </is>
      </c>
      <c r="D29" s="58" t="n"/>
      <c r="E29" s="59">
        <f>IF(D29="","",(1+D29/100/365)^30-1)</f>
        <v/>
      </c>
      <c r="F29" s="59">
        <f>IFERROR(INDEX('CPI Data'!$I:$I,MATCH($B29,'CPI Data'!$B:$B,0)),"")</f>
        <v/>
      </c>
      <c r="G29" s="60">
        <f>IF(OR(E29="",F29=""),"",(1+E29)/(1+F29)-1)</f>
        <v/>
      </c>
      <c r="H29" s="61">
        <f>IF(G29="","",(1+G29)^12-1)</f>
        <v/>
      </c>
      <c r="I29" s="58" t="n"/>
      <c r="J29" s="60">
        <f>IF(OR(E29="",I29=""),"",(1+E29)/(1+I29)-1)</f>
        <v/>
      </c>
      <c r="K29" s="61">
        <f>IF(J29="","",(1+J29)^12-1)</f>
        <v/>
      </c>
      <c r="L29" s="56">
        <f>IF(OR(F29="",I29=""),"",(F29-I29)*100)</f>
        <v/>
      </c>
    </row>
    <row r="30">
      <c r="B30" s="13" t="inlineStr">
        <is>
          <t>2025-08</t>
        </is>
      </c>
      <c r="C30" s="57" t="inlineStr">
        <is>
          <t>LEFI transition</t>
        </is>
      </c>
      <c r="D30" s="58" t="n"/>
      <c r="E30" s="59">
        <f>IF(D30="","",(1+D30/100/365)^30-1)</f>
        <v/>
      </c>
      <c r="F30" s="59">
        <f>IFERROR(INDEX('CPI Data'!$I:$I,MATCH($B30,'CPI Data'!$B:$B,0)),"")</f>
        <v/>
      </c>
      <c r="G30" s="60">
        <f>IF(OR(E30="",F30=""),"",(1+E30)/(1+F30)-1)</f>
        <v/>
      </c>
      <c r="H30" s="61">
        <f>IF(G30="","",(1+G30)^12-1)</f>
        <v/>
      </c>
      <c r="I30" s="58" t="n"/>
      <c r="J30" s="60">
        <f>IF(OR(E30="",I30=""),"",(1+E30)/(1+I30)-1)</f>
        <v/>
      </c>
      <c r="K30" s="61">
        <f>IF(J30="","",(1+J30)^12-1)</f>
        <v/>
      </c>
      <c r="L30" s="56">
        <f>IF(OR(F30="",I30=""),"",(F30-I30)*100)</f>
        <v/>
      </c>
    </row>
    <row r="31">
      <c r="B31" s="13" t="inlineStr">
        <is>
          <t>2025-09</t>
        </is>
      </c>
      <c r="C31" s="57" t="inlineStr">
        <is>
          <t>LEFI transition</t>
        </is>
      </c>
      <c r="D31" s="58" t="n"/>
      <c r="E31" s="59">
        <f>IF(D31="","",(1+D31/100/365)^30-1)</f>
        <v/>
      </c>
      <c r="F31" s="59">
        <f>IFERROR(INDEX('CPI Data'!$I:$I,MATCH($B31,'CPI Data'!$B:$B,0)),"")</f>
        <v/>
      </c>
      <c r="G31" s="60">
        <f>IF(OR(E31="",F31=""),"",(1+E31)/(1+F31)-1)</f>
        <v/>
      </c>
      <c r="H31" s="61">
        <f>IF(G31="","",(1+G31)^12-1)</f>
        <v/>
      </c>
      <c r="I31" s="58" t="n"/>
      <c r="J31" s="60">
        <f>IF(OR(E31="",I31=""),"",(1+E31)/(1+I31)-1)</f>
        <v/>
      </c>
      <c r="K31" s="61">
        <f>IF(J31="","",(1+J31)^12-1)</f>
        <v/>
      </c>
      <c r="L31" s="56">
        <f>IF(OR(F31="",I31=""),"",(F31-I31)*100)</f>
        <v/>
      </c>
    </row>
    <row r="32">
      <c r="B32" s="13" t="inlineStr">
        <is>
          <t>2025-10</t>
        </is>
      </c>
      <c r="C32" s="41" t="inlineStr">
        <is>
          <t>TAMAR</t>
        </is>
      </c>
      <c r="D32" s="54" t="n">
        <v>38.31</v>
      </c>
      <c r="E32" s="17">
        <f>IF(D32="","",(1+D32/100/365)^30-1)</f>
        <v/>
      </c>
      <c r="F32" s="17">
        <f>IFERROR(INDEX('CPI Data'!$I:$I,MATCH($B32,'CPI Data'!$B:$B,0)),"")</f>
        <v/>
      </c>
      <c r="G32" s="55">
        <f>IF(OR(E32="",F32=""),"",(1+E32)/(1+F32)-1)</f>
        <v/>
      </c>
      <c r="H32" s="32">
        <f>IF(G32="","",(1+G32)^12-1)</f>
        <v/>
      </c>
      <c r="J32" s="55">
        <f>IF(OR(E32="",I32=""),"",(1+E32)/(1+I32)-1)</f>
        <v/>
      </c>
      <c r="K32" s="32">
        <f>IF(J32="","",(1+J32)^12-1)</f>
        <v/>
      </c>
      <c r="L32" s="56">
        <f>IF(OR(F32="",I32=""),"",(F32-I32)*100)</f>
        <v/>
      </c>
    </row>
    <row r="33">
      <c r="B33" s="13" t="inlineStr">
        <is>
          <t>2025-11</t>
        </is>
      </c>
      <c r="C33" s="41" t="inlineStr">
        <is>
          <t>TAMAR</t>
        </is>
      </c>
      <c r="D33" s="54" t="n">
        <v>31.44</v>
      </c>
      <c r="E33" s="17">
        <f>IF(D33="","",(1+D33/100/365)^30-1)</f>
        <v/>
      </c>
      <c r="F33" s="17">
        <f>IFERROR(INDEX('CPI Data'!$I:$I,MATCH($B33,'CPI Data'!$B:$B,0)),"")</f>
        <v/>
      </c>
      <c r="G33" s="55">
        <f>IF(OR(E33="",F33=""),"",(1+E33)/(1+F33)-1)</f>
        <v/>
      </c>
      <c r="H33" s="32">
        <f>IF(G33="","",(1+G33)^12-1)</f>
        <v/>
      </c>
      <c r="J33" s="55">
        <f>IF(OR(E33="",I33=""),"",(1+E33)/(1+I33)-1)</f>
        <v/>
      </c>
      <c r="K33" s="32">
        <f>IF(J33="","",(1+J33)^12-1)</f>
        <v/>
      </c>
      <c r="L33" s="56">
        <f>IF(OR(F33="",I33=""),"",(F33-I33)*100)</f>
        <v/>
      </c>
    </row>
    <row r="34">
      <c r="B34" s="13" t="inlineStr">
        <is>
          <t>2025-12</t>
        </is>
      </c>
      <c r="C34" s="41" t="inlineStr">
        <is>
          <t>TAMAR</t>
        </is>
      </c>
      <c r="D34" s="54" t="n">
        <v>28.88</v>
      </c>
      <c r="E34" s="17">
        <f>IF(D34="","",(1+D34/100/365)^30-1)</f>
        <v/>
      </c>
      <c r="F34" s="17">
        <f>IFERROR(INDEX('CPI Data'!$I:$I,MATCH($B34,'CPI Data'!$B:$B,0)),"")</f>
        <v/>
      </c>
      <c r="G34" s="55">
        <f>IF(OR(E34="",F34=""),"",(1+E34)/(1+F34)-1)</f>
        <v/>
      </c>
      <c r="H34" s="32">
        <f>IF(G34="","",(1+G34)^12-1)</f>
        <v/>
      </c>
      <c r="J34" s="55">
        <f>IF(OR(E34="",I34=""),"",(1+E34)/(1+I34)-1)</f>
        <v/>
      </c>
      <c r="K34" s="32">
        <f>IF(J34="","",(1+J34)^12-1)</f>
        <v/>
      </c>
      <c r="L34" s="56">
        <f>IF(OR(F34="",I34=""),"",(F34-I34)*100)</f>
        <v/>
      </c>
    </row>
    <row r="35">
      <c r="B35" s="13" t="inlineStr">
        <is>
          <t>2026-01</t>
        </is>
      </c>
      <c r="C35" s="41" t="inlineStr">
        <is>
          <t>TAMAR</t>
        </is>
      </c>
      <c r="D35" s="54" t="n">
        <v>32.94</v>
      </c>
      <c r="E35" s="17">
        <f>IF(D35="","",(1+D35/100/365)^30-1)</f>
        <v/>
      </c>
      <c r="F35" s="17">
        <f>IFERROR(INDEX('CPI Data'!$I:$I,MATCH($B35,'CPI Data'!$B:$B,0)),"")</f>
        <v/>
      </c>
      <c r="G35" s="55">
        <f>IF(OR(E35="",F35=""),"",(1+E35)/(1+F35)-1)</f>
        <v/>
      </c>
      <c r="H35" s="32">
        <f>IF(G35="","",(1+G35)^12-1)</f>
        <v/>
      </c>
      <c r="J35" s="55">
        <f>IF(OR(E35="",I35=""),"",(1+E35)/(1+I35)-1)</f>
        <v/>
      </c>
      <c r="K35" s="32">
        <f>IF(J35="","",(1+J35)^12-1)</f>
        <v/>
      </c>
      <c r="L35" s="56">
        <f>IF(OR(F35="",I35=""),"",(F35-I35)*100)</f>
        <v/>
      </c>
    </row>
    <row r="36">
      <c r="B36" s="13" t="inlineStr">
        <is>
          <t>2026-02</t>
        </is>
      </c>
      <c r="C36" s="41" t="inlineStr">
        <is>
          <t>TAMAR</t>
        </is>
      </c>
      <c r="D36" s="54" t="n">
        <v>31.06</v>
      </c>
      <c r="E36" s="17">
        <f>IF(D36="","",(1+D36/100/365)^30-1)</f>
        <v/>
      </c>
      <c r="F36" s="17">
        <f>IFERROR(INDEX('CPI Data'!$I:$I,MATCH($B36,'CPI Data'!$B:$B,0)),"")</f>
        <v/>
      </c>
      <c r="G36" s="55">
        <f>IF(OR(E36="",F36=""),"",(1+E36)/(1+F36)-1)</f>
        <v/>
      </c>
      <c r="H36" s="32">
        <f>IF(G36="","",(1+G36)^12-1)</f>
        <v/>
      </c>
      <c r="J36" s="55">
        <f>IF(OR(E36="",I36=""),"",(1+E36)/(1+I36)-1)</f>
        <v/>
      </c>
      <c r="K36" s="32">
        <f>IF(J36="","",(1+J36)^12-1)</f>
        <v/>
      </c>
      <c r="L36" s="56">
        <f>IF(OR(F36="",I36=""),"",(F36-I36)*100)</f>
        <v/>
      </c>
    </row>
    <row r="37">
      <c r="B37" s="13" t="inlineStr">
        <is>
          <t>2026-03</t>
        </is>
      </c>
      <c r="C37" s="41" t="inlineStr">
        <is>
          <t>TAMAR</t>
        </is>
      </c>
      <c r="D37" s="54" t="n">
        <v>26.31</v>
      </c>
      <c r="E37" s="17">
        <f>IF(D37="","",(1+D37/100/365)^30-1)</f>
        <v/>
      </c>
      <c r="F37" s="17">
        <f>IFERROR(INDEX('CPI Data'!$I:$I,MATCH($B37,'CPI Data'!$B:$B,0)),"")</f>
        <v/>
      </c>
      <c r="G37" s="55">
        <f>IF(OR(E37="",F37=""),"",(1+E37)/(1+F37)-1)</f>
        <v/>
      </c>
      <c r="H37" s="32">
        <f>IF(G37="","",(1+G37)^12-1)</f>
        <v/>
      </c>
      <c r="I37" s="62" t="n">
        <v>0.03</v>
      </c>
      <c r="J37" s="55">
        <f>IF(OR(E37="",I37=""),"",(1+E37)/(1+I37)-1)</f>
        <v/>
      </c>
      <c r="K37" s="32">
        <f>IF(J37="","",(1+J37)^12-1)</f>
        <v/>
      </c>
      <c r="L37" s="56">
        <f>IF(OR(F37="",I37=""),"",(F37-I37)*100)</f>
        <v/>
      </c>
    </row>
    <row r="38">
      <c r="B38" s="13" t="inlineStr">
        <is>
          <t>2026-04</t>
        </is>
      </c>
      <c r="C38" s="41" t="inlineStr">
        <is>
          <t>TAMAR</t>
        </is>
      </c>
      <c r="D38" s="54" t="n">
        <v>23.13</v>
      </c>
      <c r="E38" s="17">
        <f>IF(D38="","",(1+D38/100/365)^30-1)</f>
        <v/>
      </c>
      <c r="F38" s="17">
        <f>IFERROR(INDEX('CPI Data'!$I:$I,MATCH($B38,'CPI Data'!$B:$B,0)),"")</f>
        <v/>
      </c>
      <c r="G38" s="55">
        <f>IF(OR(E38="",F38=""),"",(1+E38)/(1+F38)-1)</f>
        <v/>
      </c>
      <c r="H38" s="32">
        <f>IF(G38="","",(1+G38)^12-1)</f>
        <v/>
      </c>
      <c r="I38" s="62" t="n">
        <v>0.026</v>
      </c>
      <c r="J38" s="55">
        <f>IF(OR(E38="",I38=""),"",(1+E38)/(1+I38)-1)</f>
        <v/>
      </c>
      <c r="K38" s="32">
        <f>IF(J38="","",(1+J38)^12-1)</f>
        <v/>
      </c>
      <c r="L38" s="56">
        <f>IF(OR(F38="",I38=""),"",(F38-I38)*100)</f>
        <v/>
      </c>
    </row>
    <row r="39">
      <c r="B39" s="13" t="inlineStr">
        <is>
          <t>2026-05</t>
        </is>
      </c>
      <c r="C39" s="41" t="inlineStr">
        <is>
          <t>TAMAR</t>
        </is>
      </c>
      <c r="D39" s="54" t="n">
        <v>22.25</v>
      </c>
      <c r="E39" s="17">
        <f>IF(D39="","",(1+D39/100/365)^30-1)</f>
        <v/>
      </c>
      <c r="F39" s="17">
        <f>IFERROR(INDEX('CPI Data'!$I:$I,MATCH($B39,'CPI Data'!$B:$B,0)),"")</f>
        <v/>
      </c>
      <c r="G39" s="55">
        <f>IF(OR(E39="",F39=""),"",(1+E39)/(1+F39)-1)</f>
        <v/>
      </c>
      <c r="H39" s="32">
        <f>IF(G39="","",(1+G39)^12-1)</f>
        <v/>
      </c>
      <c r="I39" s="62" t="n">
        <v>0.023</v>
      </c>
      <c r="J39" s="55">
        <f>IF(OR(E39="",I39=""),"",(1+E39)/(1+I39)-1)</f>
        <v/>
      </c>
      <c r="K39" s="32">
        <f>IF(J39="","",(1+J39)^12-1)</f>
        <v/>
      </c>
      <c r="L39" s="56">
        <f>IF(OR(F39="",I39=""),"",(F39-I39)*100)</f>
        <v/>
      </c>
    </row>
    <row r="40">
      <c r="B40" s="13" t="inlineStr">
        <is>
          <t>2026-06</t>
        </is>
      </c>
      <c r="C40" s="41" t="inlineStr">
        <is>
          <t>TAMAR</t>
        </is>
      </c>
      <c r="D40" s="54" t="n">
        <v>22.69</v>
      </c>
      <c r="E40" s="17">
        <f>IF(D40="","",(1+D40/100/365)^30-1)</f>
        <v/>
      </c>
      <c r="F40" s="17">
        <f>IFERROR(INDEX('CPI Data'!$I:$I,MATCH($B40,'CPI Data'!$B:$B,0)),"")</f>
        <v/>
      </c>
      <c r="G40" s="55">
        <f>IF(OR(E40="",F40=""),"",(1+E40)/(1+F40)-1)</f>
        <v/>
      </c>
      <c r="H40" s="32">
        <f>IF(G40="","",(1+G40)^12-1)</f>
        <v/>
      </c>
      <c r="I40" s="62" t="n">
        <v>0.02</v>
      </c>
      <c r="J40" s="55">
        <f>IF(OR(E40="",I40=""),"",(1+E40)/(1+I40)-1)</f>
        <v/>
      </c>
      <c r="K40" s="32">
        <f>IF(J40="","",(1+J40)^12-1)</f>
        <v/>
      </c>
      <c r="L40" s="56">
        <f>IF(OR(F40="",I40=""),"",(F40-I40)*100)</f>
        <v/>
      </c>
    </row>
    <row r="41">
      <c r="B41" s="13" t="inlineStr">
        <is>
          <t>2026-07</t>
        </is>
      </c>
      <c r="C41" s="41" t="inlineStr">
        <is>
          <t>TAMAR</t>
        </is>
      </c>
      <c r="D41" s="54" t="n">
        <v>23.31</v>
      </c>
      <c r="E41" s="17">
        <f>IF(D41="","",(1+D41/100/365)^30-1)</f>
        <v/>
      </c>
      <c r="F41" s="17">
        <f>IFERROR(INDEX('CPI Data'!$I:$I,MATCH($B41,'CPI Data'!$B:$B,0)),"")</f>
        <v/>
      </c>
      <c r="G41" s="55">
        <f>IF(OR(E41="",F41=""),"",(1+E41)/(1+F41)-1)</f>
        <v/>
      </c>
      <c r="H41" s="32">
        <f>IF(G41="","",(1+G41)^12-1)</f>
        <v/>
      </c>
      <c r="I41" s="62" t="n">
        <v>0.02</v>
      </c>
      <c r="J41" s="55">
        <f>IF(OR(E41="",I41=""),"",(1+E41)/(1+I41)-1)</f>
        <v/>
      </c>
      <c r="K41" s="32">
        <f>IF(J41="","",(1+J41)^12-1)</f>
        <v/>
      </c>
      <c r="L41" s="56">
        <f>IF(OR(F41="",I41=""),"",(F41-I41)*100)</f>
        <v/>
      </c>
    </row>
    <row r="42">
      <c r="B42" s="13" t="inlineStr">
        <is>
          <t>2026-08</t>
        </is>
      </c>
      <c r="C42" s="41" t="inlineStr">
        <is>
          <t>TAMAR</t>
        </is>
      </c>
      <c r="D42" s="54" t="n">
        <v>24.69</v>
      </c>
      <c r="E42" s="17">
        <f>IF(D42="","",(1+D42/100/365)^30-1)</f>
        <v/>
      </c>
      <c r="F42" s="17">
        <f>IFERROR(INDEX('CPI Data'!$I:$I,MATCH($B42,'CPI Data'!$B:$B,0)),"")</f>
        <v/>
      </c>
      <c r="G42" s="55">
        <f>IF(OR(E42="",F42=""),"",(1+E42)/(1+F42)-1)</f>
        <v/>
      </c>
      <c r="H42" s="32">
        <f>IF(G42="","",(1+G42)^12-1)</f>
        <v/>
      </c>
      <c r="I42" s="62" t="n">
        <v>0.018</v>
      </c>
      <c r="J42" s="55">
        <f>IF(OR(E42="",I42=""),"",(1+E42)/(1+I42)-1)</f>
        <v/>
      </c>
      <c r="K42" s="32">
        <f>IF(J42="","",(1+J42)^12-1)</f>
        <v/>
      </c>
      <c r="L42" s="56">
        <f>IF(OR(F42="",I42=""),"",(F42-I42)*100)</f>
        <v/>
      </c>
    </row>
    <row r="43">
      <c r="B43" s="13" t="inlineStr">
        <is>
          <t>2026-09</t>
        </is>
      </c>
      <c r="C43" s="41" t="inlineStr">
        <is>
          <t>TAMAR</t>
        </is>
      </c>
      <c r="D43" s="54" t="n">
        <v>23.44</v>
      </c>
      <c r="E43" s="17">
        <f>IF(D43="","",(1+D43/100/365)^30-1)</f>
        <v/>
      </c>
      <c r="F43" s="17">
        <f>IFERROR(INDEX('CPI Data'!$I:$I,MATCH($B43,'CPI Data'!$B:$B,0)),"")</f>
        <v/>
      </c>
      <c r="G43" s="55">
        <f>IF(OR(E43="",F43=""),"",(1+E43)/(1+F43)-1)</f>
        <v/>
      </c>
      <c r="H43" s="32">
        <f>IF(G43="","",(1+G43)^12-1)</f>
        <v/>
      </c>
      <c r="I43" s="62" t="n">
        <v>0.018</v>
      </c>
      <c r="J43" s="55">
        <f>IF(OR(E43="",I43=""),"",(1+E43)/(1+I43)-1)</f>
        <v/>
      </c>
      <c r="K43" s="32">
        <f>IF(J43="","",(1+J43)^12-1)</f>
        <v/>
      </c>
      <c r="L43" s="56">
        <f>IF(OR(F43="",I43=""),"",(F43-I43)*100)</f>
        <v/>
      </c>
    </row>
    <row r="44">
      <c r="B44" s="13" t="inlineStr">
        <is>
          <t>2026-10</t>
        </is>
      </c>
      <c r="C44" s="41" t="inlineStr"/>
      <c r="E44" s="17">
        <f>IF(D44="","",(1+D44/100/365)^30-1)</f>
        <v/>
      </c>
      <c r="F44" s="17">
        <f>IFERROR(INDEX('CPI Data'!$I:$I,MATCH($B44,'CPI Data'!$B:$B,0)),"")</f>
        <v/>
      </c>
      <c r="G44" s="55">
        <f>IF(OR(E44="",F44=""),"",(1+E44)/(1+F44)-1)</f>
        <v/>
      </c>
      <c r="H44" s="32">
        <f>IF(G44="","",(1+G44)^12-1)</f>
        <v/>
      </c>
      <c r="I44" s="62" t="n">
        <v>0.017</v>
      </c>
      <c r="J44" s="55">
        <f>IF(OR(E44="",I44=""),"",(1+E44)/(1+I44)-1)</f>
        <v/>
      </c>
      <c r="K44" s="32">
        <f>IF(J44="","",(1+J44)^12-1)</f>
        <v/>
      </c>
      <c r="L44" s="56">
        <f>IF(OR(F44="",I44=""),"",(F44-I44)*100)</f>
        <v/>
      </c>
    </row>
    <row r="45">
      <c r="B45" s="13" t="inlineStr">
        <is>
          <t>2026-11</t>
        </is>
      </c>
      <c r="C45" s="41" t="inlineStr"/>
      <c r="E45" s="17">
        <f>IF(D45="","",(1+D45/100/365)^30-1)</f>
        <v/>
      </c>
      <c r="F45" s="17">
        <f>IFERROR(INDEX('CPI Data'!$I:$I,MATCH($B45,'CPI Data'!$B:$B,0)),"")</f>
        <v/>
      </c>
      <c r="G45" s="55">
        <f>IF(OR(E45="",F45=""),"",(1+E45)/(1+F45)-1)</f>
        <v/>
      </c>
      <c r="H45" s="32">
        <f>IF(G45="","",(1+G45)^12-1)</f>
        <v/>
      </c>
      <c r="I45" s="62" t="n">
        <v>0.016</v>
      </c>
      <c r="J45" s="55">
        <f>IF(OR(E45="",I45=""),"",(1+E45)/(1+I45)-1)</f>
        <v/>
      </c>
      <c r="K45" s="32">
        <f>IF(J45="","",(1+J45)^12-1)</f>
        <v/>
      </c>
      <c r="L45" s="56">
        <f>IF(OR(F45="",I45=""),"",(F45-I45)*100)</f>
        <v/>
      </c>
    </row>
    <row r="46">
      <c r="B46" s="13" t="inlineStr">
        <is>
          <t>2026-12</t>
        </is>
      </c>
      <c r="C46" s="41" t="inlineStr"/>
      <c r="E46" s="17">
        <f>IF(D46="","",(1+D46/100/365)^30-1)</f>
        <v/>
      </c>
      <c r="F46" s="17">
        <f>IFERROR(INDEX('CPI Data'!$I:$I,MATCH($B46,'CPI Data'!$B:$B,0)),"")</f>
        <v/>
      </c>
      <c r="G46" s="55">
        <f>IF(OR(E46="",F46=""),"",(1+E46)/(1+F46)-1)</f>
        <v/>
      </c>
      <c r="H46" s="32">
        <f>IF(G46="","",(1+G46)^12-1)</f>
        <v/>
      </c>
      <c r="I46" s="62" t="n">
        <v>0.018</v>
      </c>
      <c r="J46" s="55">
        <f>IF(OR(E46="",I46=""),"",(1+E46)/(1+I46)-1)</f>
        <v/>
      </c>
      <c r="K46" s="32">
        <f>IF(J46="","",(1+J46)^12-1)</f>
        <v/>
      </c>
      <c r="L46" s="56">
        <f>IF(OR(F46="",I46=""),"",(F46-I46)*100)</f>
        <v/>
      </c>
    </row>
    <row r="48">
      <c r="B48" s="11" t="inlineStr">
        <is>
          <t>The regime story, and the two crossovers</t>
        </is>
      </c>
    </row>
    <row r="49" ht="65" customHeight="1">
      <c r="B49" s="7" t="inlineStr">
        <is>
          <t>2024 — deliberate deep negative rates</t>
        </is>
      </c>
      <c r="D49" s="8" t="inlineStr">
        <is>
          <t>January 2024 real ex-post was minus 10.0% PER MONTH, minus 71.7% annualised: the most negative point in the series. The BCRA held 40% TNA from May to September 2024 while CPI ran 3.5-4.6% a month, keeping real rates negative for nine consecutive months by construction. Abolishing the minimum guaranteed plazo fijo rate on 12-Mar-2024 was the enabling act — it let deposit rates fall below inflation without the BCRA having to mandate it. This is how the LELIQ stock was liquefied: not repaid, inflated away.</t>
        </is>
      </c>
    </row>
    <row r="50" ht="26" customHeight="1">
      <c r="B50" s="7" t="inlineStr">
        <is>
          <t>Crossover 1 — October 2024</t>
        </is>
      </c>
      <c r="D50" s="8" t="inlineStr">
        <is>
          <t>Ex-post real turns positive at +0.22% a month. For historical scale: only 38 of the 271 months from January 2003 to July 2025 had positive real passive rates. Positive real rates are the Argentine anomaly, not the norm.</t>
        </is>
      </c>
    </row>
    <row r="51" ht="39" customHeight="1">
      <c r="B51" s="7" t="inlineStr">
        <is>
          <t>The 2026 relapse — the live story</t>
        </is>
      </c>
      <c r="D51" s="8" t="inlineStr">
        <is>
          <t>Real rates went negative AGAIN from December 2025 and stayed negative for eight of the nine months to August 2026, with the trough at minus 1.16% a month in March 2026. The ex-ante column shows this was not a forecast error but intent: at minus 0.81% ex-ante in March, the BCRA was running negative real rates against its own survey's expectations.</t>
        </is>
      </c>
    </row>
    <row r="52" ht="26" customHeight="1">
      <c r="B52" s="7" t="inlineStr">
        <is>
          <t>Crossover 2 — August 2026</t>
        </is>
      </c>
      <c r="D52" s="8" t="inlineStr">
        <is>
          <t>Ex-post turns positive at +0.37% a month. But note HOW: the crossover came from CPI falling to 1.67%, not from the BCRA tightening. TAMAR in August was barely above its June trough.</t>
        </is>
      </c>
    </row>
    <row r="53" ht="52" customHeight="1">
      <c r="B53" s="7" t="inlineStr">
        <is>
          <t>Ex-post against ex-ante</t>
        </is>
      </c>
      <c r="D53" s="8" t="inlineStr">
        <is>
          <t>The forecast-error column is the point. March 2026: ex-post minus 1.16% against ex-ante minus 0.81% — the realised real rate was MORE negative than intended. August 2026 is the mirror: the undershoot delivered a TIGHTER real rate than intended. Ex-post flatters policy when inflation is falling and indicts it when inflation is rising. Ex-ante is the better read on intent; both belong in the chart.</t>
        </is>
      </c>
    </row>
    <row r="55">
      <c r="B55" s="28" t="inlineStr">
        <is>
          <t>GAP: the real ex-ante series begins in March 2026. Earlier rounds need the REM's next-month expected CPI, and the REM summary tables would not machine-read in any round attempted. TAMAR and BADLAR before October 2025 are likewise unsourced. Both are flagged on the Sources tab.</t>
        </is>
      </c>
    </row>
  </sheetData>
  <mergeCells count="5">
    <mergeCell ref="D49:L49"/>
    <mergeCell ref="D51:L51"/>
    <mergeCell ref="D50:L50"/>
    <mergeCell ref="D53:L53"/>
    <mergeCell ref="D52:L52"/>
  </mergeCells>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tabColor rgb="001F3B63"/>
    <outlinePr summaryBelow="1" summaryRight="1"/>
    <pageSetUpPr fitToPage="1"/>
  </sheetPr>
  <dimension ref="B2:L63"/>
  <sheetViews>
    <sheetView showGridLines="0" workbookViewId="0">
      <selection activeCell="A1" sqref="A1"/>
    </sheetView>
  </sheetViews>
  <sheetFormatPr baseColWidth="8" defaultRowHeight="15"/>
  <cols>
    <col width="2" customWidth="1" min="1" max="1"/>
    <col width="34" customWidth="1" min="2" max="2"/>
    <col width="12" customWidth="1" min="3" max="3"/>
    <col width="104" customWidth="1" min="4" max="4"/>
    <col width="12" customWidth="1" min="5" max="5"/>
    <col width="20" customWidth="1" min="6" max="6"/>
    <col width="17" customWidth="1" min="7" max="7"/>
    <col width="14" customWidth="1" min="8" max="8"/>
    <col width="12" customWidth="1" min="9" max="9"/>
    <col width="10" customWidth="1" min="10" max="10"/>
    <col width="11" customWidth="1" min="11" max="11"/>
    <col width="14" customWidth="1" min="12" max="12"/>
  </cols>
  <sheetData>
    <row r="2" ht="26" customHeight="1">
      <c r="B2" s="1" t="inlineStr">
        <is>
          <t>Expectations — the professionals, the households and the market</t>
        </is>
      </c>
    </row>
    <row r="3">
      <c r="B3" s="2" t="inlineStr">
        <is>
          <t>The ordering for 2027 is government 18.0% &lt; REM 20.0% &lt; market ~24.6%. The government is the most optimistic forecaster of its own inflation.</t>
        </is>
      </c>
    </row>
    <row r="5">
      <c r="B5" s="11" t="inlineStr">
        <is>
          <t>1. REM drift — how the forecast has been revised, round by round</t>
        </is>
      </c>
    </row>
    <row r="6" ht="28" customHeight="1">
      <c r="B6" s="6" t="inlineStr">
        <is>
          <t>Round</t>
        </is>
      </c>
      <c r="C6" s="6" t="inlineStr">
        <is>
          <t>Published</t>
        </is>
      </c>
      <c r="D6" s="6" t="inlineStr">
        <is>
          <t>Particip.</t>
        </is>
      </c>
      <c r="E6" s="6" t="inlineStr">
        <is>
          <t>Year A</t>
        </is>
      </c>
      <c r="F6" s="6" t="inlineStr">
        <is>
          <t>Dec/Dec A</t>
        </is>
      </c>
      <c r="G6" s="6" t="inlineStr">
        <is>
          <t>Top-10 A</t>
        </is>
      </c>
      <c r="H6" s="6" t="inlineStr">
        <is>
          <t>Year B</t>
        </is>
      </c>
      <c r="I6" s="6" t="inlineStr">
        <is>
          <t>Dec/Dec B</t>
        </is>
      </c>
      <c r="J6" s="6" t="inlineStr">
        <is>
          <t>FX ref</t>
        </is>
      </c>
      <c r="K6" s="6" t="inlineStr">
        <is>
          <t>ARS/USD</t>
        </is>
      </c>
      <c r="L6" s="6" t="inlineStr">
        <is>
          <t>Source</t>
        </is>
      </c>
    </row>
    <row r="7">
      <c r="B7" s="24" t="inlineStr">
        <is>
          <t>2023-12</t>
        </is>
      </c>
      <c r="C7" s="41" t="inlineStr">
        <is>
          <t>2024-01-11</t>
        </is>
      </c>
      <c r="D7" s="63" t="n">
        <v>37</v>
      </c>
      <c r="E7" s="63" t="n">
        <v>2024</v>
      </c>
      <c r="F7" s="48" t="n">
        <v>2.13</v>
      </c>
      <c r="J7" s="41" t="inlineStr">
        <is>
          <t>Dec-24</t>
        </is>
      </c>
      <c r="K7" s="34" t="n">
        <v>1700</v>
      </c>
      <c r="L7" s="41" t="inlineStr">
        <is>
          <t>PDF</t>
        </is>
      </c>
    </row>
    <row r="8">
      <c r="B8" s="24" t="inlineStr">
        <is>
          <t>2024-12</t>
        </is>
      </c>
      <c r="C8" s="41" t="inlineStr">
        <is>
          <t>2025-01-07</t>
        </is>
      </c>
      <c r="D8" s="63" t="n">
        <v>42</v>
      </c>
      <c r="E8" s="63" t="n">
        <v>2025</v>
      </c>
      <c r="F8" s="48" t="n">
        <v>0.259</v>
      </c>
      <c r="G8" s="48" t="n">
        <v>0.224</v>
      </c>
      <c r="H8" s="63" t="n">
        <v>2026</v>
      </c>
      <c r="I8" s="48" t="n">
        <v>0.153</v>
      </c>
      <c r="J8" s="41" t="inlineStr">
        <is>
          <t>Dec-25</t>
        </is>
      </c>
      <c r="K8" s="34" t="n">
        <v>1205</v>
      </c>
      <c r="L8" s="41" t="inlineStr">
        <is>
          <t>PDF</t>
        </is>
      </c>
    </row>
    <row r="9">
      <c r="B9" s="24" t="inlineStr">
        <is>
          <t>2025-06</t>
        </is>
      </c>
      <c r="C9" s="41" t="inlineStr">
        <is>
          <t>2025-07-04</t>
        </is>
      </c>
      <c r="D9" s="63" t="n">
        <v>41</v>
      </c>
      <c r="J9" s="41" t="inlineStr">
        <is>
          <t>Dec-25</t>
        </is>
      </c>
      <c r="K9" s="34" t="n">
        <v>1324</v>
      </c>
      <c r="L9" s="41" t="inlineStr">
        <is>
          <t>PDF</t>
        </is>
      </c>
    </row>
    <row r="10">
      <c r="B10" s="24" t="inlineStr">
        <is>
          <t>2025-10</t>
        </is>
      </c>
      <c r="C10" s="41" t="inlineStr">
        <is>
          <t>2025-11-07</t>
        </is>
      </c>
      <c r="D10" s="63" t="n">
        <v>42</v>
      </c>
      <c r="J10" s="41" t="inlineStr">
        <is>
          <t>Dec-25</t>
        </is>
      </c>
      <c r="K10" s="34" t="n">
        <v>1500</v>
      </c>
      <c r="L10" s="41" t="inlineStr">
        <is>
          <t>PDF</t>
        </is>
      </c>
    </row>
    <row r="11">
      <c r="B11" s="24" t="inlineStr">
        <is>
          <t>2025-12</t>
        </is>
      </c>
      <c r="C11" s="41" t="inlineStr">
        <is>
          <t>2026-01-07</t>
        </is>
      </c>
      <c r="D11" s="63" t="n">
        <v>44</v>
      </c>
      <c r="E11" s="63" t="n">
        <v>2026</v>
      </c>
      <c r="F11" s="48" t="n">
        <v>0.289</v>
      </c>
      <c r="H11" s="63" t="n">
        <v>2027</v>
      </c>
      <c r="I11" s="48" t="n">
        <v>0.15</v>
      </c>
      <c r="J11" s="41" t="inlineStr">
        <is>
          <t>Dec-26</t>
        </is>
      </c>
      <c r="K11" s="34" t="n">
        <v>1753</v>
      </c>
      <c r="L11" s="57" t="inlineStr">
        <is>
          <t>PDF - SUSPECT</t>
        </is>
      </c>
    </row>
    <row r="12">
      <c r="B12" s="24" t="inlineStr">
        <is>
          <t>2026-02</t>
        </is>
      </c>
      <c r="C12" s="41" t="inlineStr">
        <is>
          <t>2026-03-06</t>
        </is>
      </c>
      <c r="E12" s="63" t="n">
        <v>2026</v>
      </c>
      <c r="F12" s="48" t="n">
        <v>0.261</v>
      </c>
      <c r="G12" s="48" t="n">
        <v>0.278</v>
      </c>
      <c r="L12" s="41" t="inlineStr">
        <is>
          <t>press</t>
        </is>
      </c>
    </row>
    <row r="13">
      <c r="B13" s="24" t="inlineStr">
        <is>
          <t>2026-03</t>
        </is>
      </c>
      <c r="C13" s="41" t="inlineStr">
        <is>
          <t>2026-04-09</t>
        </is>
      </c>
      <c r="E13" s="63" t="n">
        <v>2026</v>
      </c>
      <c r="F13" s="48" t="n">
        <v>0.291</v>
      </c>
      <c r="J13" s="41" t="inlineStr">
        <is>
          <t>Dec-26</t>
        </is>
      </c>
      <c r="K13" s="34" t="n">
        <v>1700</v>
      </c>
      <c r="L13" s="41" t="inlineStr">
        <is>
          <t>press</t>
        </is>
      </c>
    </row>
    <row r="14">
      <c r="B14" s="24" t="inlineStr">
        <is>
          <t>2026-04</t>
        </is>
      </c>
      <c r="C14" s="41" t="inlineStr">
        <is>
          <t>2026-05-07</t>
        </is>
      </c>
      <c r="D14" s="63" t="n">
        <v>45</v>
      </c>
      <c r="J14" s="41" t="inlineStr">
        <is>
          <t>Dec-26</t>
        </is>
      </c>
      <c r="K14" s="34" t="n">
        <v>1676</v>
      </c>
      <c r="L14" s="41" t="inlineStr">
        <is>
          <t>BCRA web</t>
        </is>
      </c>
    </row>
    <row r="15">
      <c r="B15" s="24" t="inlineStr">
        <is>
          <t>2026-07</t>
        </is>
      </c>
      <c r="C15" s="41" t="inlineStr">
        <is>
          <t>2026-08-06</t>
        </is>
      </c>
      <c r="D15" s="63" t="n">
        <v>45</v>
      </c>
      <c r="E15" s="63" t="n">
        <v>2026</v>
      </c>
      <c r="F15" s="48" t="n">
        <v>0.298</v>
      </c>
      <c r="H15" s="63" t="n">
        <v>2027</v>
      </c>
      <c r="I15" s="48" t="n">
        <v>0.2</v>
      </c>
      <c r="J15" s="41" t="inlineStr">
        <is>
          <t>Dec-26</t>
        </is>
      </c>
      <c r="K15" s="34" t="n">
        <v>1652</v>
      </c>
      <c r="L15" s="41" t="inlineStr">
        <is>
          <t>PDF + tracker</t>
        </is>
      </c>
    </row>
    <row r="16">
      <c r="B16" s="24" t="inlineStr">
        <is>
          <t>2026-08</t>
        </is>
      </c>
      <c r="C16" s="41" t="inlineStr">
        <is>
          <t>2026-09-04</t>
        </is>
      </c>
      <c r="D16" s="63" t="n">
        <v>47</v>
      </c>
      <c r="E16" s="63" t="n">
        <v>2026</v>
      </c>
      <c r="F16" s="48" t="n">
        <v>0.3</v>
      </c>
      <c r="G16" s="48" t="n">
        <v>0.299</v>
      </c>
      <c r="H16" s="63" t="n">
        <v>2027</v>
      </c>
      <c r="J16" s="41" t="inlineStr">
        <is>
          <t>Dec-26</t>
        </is>
      </c>
      <c r="K16" s="34" t="n">
        <v>1630</v>
      </c>
      <c r="L16" s="41" t="inlineStr">
        <is>
          <t>PDF + press</t>
        </is>
      </c>
    </row>
    <row r="18">
      <c r="B18" s="28" t="inlineStr">
        <is>
          <t>The 2026 Dec/Dec forecast has been revised from 15.3% (Dec-2024 round) to 30.0% (Aug-2026 round) — roughly a DOUBLING in twenty months. The steepest leg is Jan to Apr 2026, which coincides exactly with the negative-real-rate episode and the 3.38% March print. Since April the drift has FLATTENED at about 30%: expectations have stabilised, they have not re-anchored lower.</t>
        </is>
      </c>
    </row>
    <row r="19">
      <c r="B19" s="28" t="inlineStr">
        <is>
          <t>The mirror image runs the other way. Dec-2026 ARS/USD expectations have been revised DOWN from 1,753 to 1,630, about 7%, over the same period that inflation expectations were revised UP about 4pp. The consensus is underwriting MORE inflation and LESS depreciation — that is, continued real appreciation into an election year. That combination is the position to challenge.</t>
        </is>
      </c>
    </row>
    <row r="20">
      <c r="B20" s="28" t="inlineStr">
        <is>
          <t>GAP: the 2027 median in the August-2026 round is not obtainable — not in the PDF's readable text and absent from all press coverage found. The July round's 20.0% is carried forward and labelled as such.</t>
        </is>
      </c>
    </row>
    <row r="22">
      <c r="B22" s="11" t="inlineStr">
        <is>
          <t>2. The 2027 forecaster ladder</t>
        </is>
      </c>
    </row>
    <row r="23">
      <c r="B23" s="6" t="inlineStr">
        <is>
          <t>Forecaster</t>
        </is>
      </c>
      <c r="C23" s="6" t="inlineStr">
        <is>
          <t>2027 Dec/Dec</t>
        </is>
      </c>
      <c r="D23" s="6" t="inlineStr">
        <is>
          <t>Basis and note</t>
        </is>
      </c>
    </row>
    <row r="24">
      <c r="B24" s="7" t="inlineStr">
        <is>
          <t>Budget 2027 bill (tabled 15-Sep-2026)</t>
        </is>
      </c>
      <c r="C24" s="48" t="n">
        <v>0.18</v>
      </c>
      <c r="D24" s="8" t="inlineStr">
        <is>
          <t>Dec/Dec; 21.1% average; ARS 1,847.6/USD Dec-27</t>
        </is>
      </c>
    </row>
    <row r="25">
      <c r="B25" s="7" t="inlineStr">
        <is>
          <t>BCRA REM, Jul-2026 round</t>
        </is>
      </c>
      <c r="C25" s="48" t="n">
        <v>0.2</v>
      </c>
      <c r="D25" s="8" t="inlineStr">
        <is>
          <t>Aug round's 2027 median not obtainable</t>
        </is>
      </c>
    </row>
    <row r="26">
      <c r="B26" s="7" t="inlineStr">
        <is>
          <t>Market breakeven (derived)</t>
        </is>
      </c>
      <c r="C26" s="48" t="n">
        <v>0.246</v>
      </c>
      <c r="D26" s="8" t="inlineStr">
        <is>
          <t>annualised from 1.85%/m Nov-26 to May-27</t>
        </is>
      </c>
    </row>
    <row r="27">
      <c r="B27" s="7" t="inlineStr">
        <is>
          <t>IMF Art.IV May-2026</t>
        </is>
      </c>
      <c r="C27" s="48" t="n">
        <v>0.125</v>
      </c>
      <c r="D27" s="8" t="inlineStr">
        <is>
          <t>eop; now stale - IMF's 2026 figure of 25.0% already exceeded</t>
        </is>
      </c>
    </row>
    <row r="28">
      <c r="B28" s="25" t="inlineStr">
        <is>
          <t>UBS base case (Forecast tab)</t>
        </is>
      </c>
      <c r="C28" s="26">
        <f>Forecast_Base27</f>
        <v/>
      </c>
      <c r="D28" s="8" t="inlineStr">
        <is>
          <t>Linked live from the Forecast tab. Between the Budget at 18.0% and the REM at 20.0% the base case has no contrarian content left; the edge, if there is one, is the bear tail.</t>
        </is>
      </c>
    </row>
    <row r="30">
      <c r="B30" s="11" t="inlineStr">
        <is>
          <t>3. The peso curve — what the market pays to disagree</t>
        </is>
      </c>
    </row>
    <row r="31">
      <c r="B31" s="6" t="inlineStr">
        <is>
          <t>Ticker</t>
        </is>
      </c>
      <c r="C31" s="6" t="inlineStr">
        <is>
          <t>Maturity</t>
        </is>
      </c>
      <c r="D31" s="6" t="inlineStr">
        <is>
          <t>Days</t>
        </is>
      </c>
      <c r="E31" s="6" t="inlineStr">
        <is>
          <t>Price</t>
        </is>
      </c>
      <c r="F31" s="6" t="inlineStr">
        <is>
          <t>TEM</t>
        </is>
      </c>
      <c r="G31" s="6" t="inlineStr">
        <is>
          <t>TEA (recomputed)</t>
        </is>
      </c>
      <c r="H31" s="6" t="inlineStr">
        <is>
          <t>Implied annual</t>
        </is>
      </c>
    </row>
    <row r="32">
      <c r="B32" s="24" t="inlineStr">
        <is>
          <t>S30S6L</t>
        </is>
      </c>
      <c r="C32" s="41" t="inlineStr">
        <is>
          <t>2026-09-30</t>
        </is>
      </c>
      <c r="D32" s="63" t="n">
        <v>1</v>
      </c>
      <c r="E32" s="64" t="n">
        <v>1.1747</v>
      </c>
      <c r="F32" s="62" t="n">
        <v>0.0179</v>
      </c>
      <c r="G32" s="18">
        <f>(1+F32)^12-1</f>
        <v/>
      </c>
      <c r="H32" s="32">
        <f>G32</f>
        <v/>
      </c>
    </row>
    <row r="33">
      <c r="B33" s="24" t="inlineStr">
        <is>
          <t>S16O6L</t>
        </is>
      </c>
      <c r="C33" s="41" t="inlineStr">
        <is>
          <t>2026-10-16</t>
        </is>
      </c>
      <c r="D33" s="63" t="n">
        <v>17</v>
      </c>
      <c r="E33" s="64" t="n">
        <v>1.0415</v>
      </c>
      <c r="F33" s="62" t="n">
        <v>0.0191</v>
      </c>
      <c r="G33" s="18">
        <f>(1+F33)^12-1</f>
        <v/>
      </c>
      <c r="H33" s="32">
        <f>G33</f>
        <v/>
      </c>
    </row>
    <row r="34">
      <c r="B34" s="24" t="inlineStr">
        <is>
          <t>TO26B</t>
        </is>
      </c>
      <c r="C34" s="41" t="inlineStr">
        <is>
          <t>2026-10-19</t>
        </is>
      </c>
      <c r="D34" s="63" t="n">
        <v>20</v>
      </c>
      <c r="E34" s="64" t="n">
        <v>1.064</v>
      </c>
      <c r="F34" s="62" t="n">
        <v>0.0191</v>
      </c>
      <c r="G34" s="18">
        <f>(1+F34)^12-1</f>
        <v/>
      </c>
      <c r="H34" s="32">
        <f>G34</f>
        <v/>
      </c>
    </row>
    <row r="35">
      <c r="B35" s="24" t="inlineStr">
        <is>
          <t>S30O6L</t>
        </is>
      </c>
      <c r="C35" s="41" t="inlineStr">
        <is>
          <t>2026-10-30</t>
        </is>
      </c>
      <c r="D35" s="63" t="n">
        <v>31</v>
      </c>
      <c r="E35" s="64" t="n">
        <v>1.328</v>
      </c>
      <c r="F35" s="62" t="n">
        <v>0.018</v>
      </c>
      <c r="G35" s="18">
        <f>(1+F35)^12-1</f>
        <v/>
      </c>
      <c r="H35" s="32">
        <f>G35</f>
        <v/>
      </c>
    </row>
    <row r="36">
      <c r="B36" s="24" t="inlineStr">
        <is>
          <t>S13N6L</t>
        </is>
      </c>
      <c r="C36" s="41" t="inlineStr">
        <is>
          <t>2026-11-13</t>
        </is>
      </c>
      <c r="D36" s="63" t="n">
        <v>45</v>
      </c>
      <c r="E36" s="64" t="n">
        <v>1.065</v>
      </c>
      <c r="F36" s="62" t="n">
        <v>0.0196</v>
      </c>
      <c r="G36" s="18">
        <f>(1+F36)^12-1</f>
        <v/>
      </c>
      <c r="H36" s="32">
        <f>G36</f>
        <v/>
      </c>
    </row>
    <row r="37">
      <c r="B37" s="24" t="inlineStr">
        <is>
          <t>S30N6L</t>
        </is>
      </c>
      <c r="C37" s="41" t="inlineStr">
        <is>
          <t>2026-11-30</t>
        </is>
      </c>
      <c r="D37" s="63" t="n">
        <v>62</v>
      </c>
      <c r="E37" s="64" t="n">
        <v>1.247</v>
      </c>
      <c r="F37" s="62" t="n">
        <v>0.0199</v>
      </c>
      <c r="G37" s="18">
        <f>(1+F37)^12-1</f>
        <v/>
      </c>
      <c r="H37" s="32">
        <f>G37</f>
        <v/>
      </c>
    </row>
    <row r="38">
      <c r="B38" s="24" t="inlineStr">
        <is>
          <t>T15E7B</t>
        </is>
      </c>
      <c r="C38" s="41" t="inlineStr">
        <is>
          <t>2027-01-15</t>
        </is>
      </c>
      <c r="D38" s="63" t="n">
        <v>108</v>
      </c>
      <c r="E38" s="64" t="n">
        <v>1.4965</v>
      </c>
      <c r="F38" s="62" t="n">
        <v>0.0207</v>
      </c>
      <c r="G38" s="18">
        <f>(1+F38)^12-1</f>
        <v/>
      </c>
      <c r="H38" s="32">
        <f>G38</f>
        <v/>
      </c>
    </row>
    <row r="39">
      <c r="B39" s="24" t="inlineStr">
        <is>
          <t>S29E7L</t>
        </is>
      </c>
      <c r="C39" s="41" t="inlineStr">
        <is>
          <t>2027-01-29</t>
        </is>
      </c>
      <c r="D39" s="63" t="n">
        <v>122</v>
      </c>
      <c r="E39" s="64" t="n">
        <v>1.0262</v>
      </c>
      <c r="F39" s="62" t="n">
        <v>0.021</v>
      </c>
      <c r="G39" s="18">
        <f>(1+F39)^12-1</f>
        <v/>
      </c>
      <c r="H39" s="32">
        <f>G39</f>
        <v/>
      </c>
    </row>
    <row r="40">
      <c r="B40" s="24" t="inlineStr">
        <is>
          <t>T30A7B</t>
        </is>
      </c>
      <c r="C40" s="41" t="inlineStr">
        <is>
          <t>2027-04-30</t>
        </is>
      </c>
      <c r="D40" s="63" t="n">
        <v>213</v>
      </c>
      <c r="E40" s="64" t="n">
        <v>1.347</v>
      </c>
      <c r="F40" s="62" t="n">
        <v>0.0221</v>
      </c>
      <c r="G40" s="18">
        <f>(1+F40)^12-1</f>
        <v/>
      </c>
      <c r="H40" s="32">
        <f>G40</f>
        <v/>
      </c>
    </row>
    <row r="41">
      <c r="B41" s="24" t="inlineStr">
        <is>
          <t>T31Y7B</t>
        </is>
      </c>
      <c r="C41" s="41" t="inlineStr">
        <is>
          <t>2027-05-31</t>
        </is>
      </c>
      <c r="D41" s="63" t="n">
        <v>244</v>
      </c>
      <c r="E41" s="64" t="n">
        <v>1.267</v>
      </c>
      <c r="F41" s="62" t="n">
        <v>0.0228</v>
      </c>
      <c r="G41" s="18">
        <f>(1+F41)^12-1</f>
        <v/>
      </c>
      <c r="H41" s="32">
        <f>G41</f>
        <v/>
      </c>
    </row>
    <row r="42">
      <c r="B42" s="24" t="inlineStr">
        <is>
          <t>T30J7B</t>
        </is>
      </c>
      <c r="C42" s="41" t="inlineStr">
        <is>
          <t>2027-06-30</t>
        </is>
      </c>
      <c r="D42" s="63" t="n">
        <v>274</v>
      </c>
      <c r="E42" s="64" t="n">
        <v>1.281</v>
      </c>
      <c r="F42" s="62" t="n">
        <v>0.0218</v>
      </c>
      <c r="G42" s="18">
        <f>(1+F42)^12-1</f>
        <v/>
      </c>
      <c r="H42" s="32">
        <f>G42</f>
        <v/>
      </c>
    </row>
    <row r="43">
      <c r="B43" s="28" t="inlineStr">
        <is>
          <t>Source: comparatasas.ar, 29-Sep-2026. TTD26B excluded — its quote implies minus 2.40% TEM, stale or mispriced. The curve slopes UP in TEM, from about 1.8-2.0% at the front to 2.21% (30-Apr-27) and 2.28% (31-May-27). THE STEEPEST POINT ON THE PESO CURVE IS THE MAY-2027 MATURITY — precisely the 3-to-6 month window before the vote. That slope IS the market's statement that disinflation stalls into the election year.</t>
        </is>
      </c>
    </row>
    <row r="45">
      <c r="B45" s="11" t="inlineStr">
        <is>
          <t>4. Breakevens — fixed-rate against CER</t>
        </is>
      </c>
    </row>
    <row r="46">
      <c r="B46" s="6" t="inlineStr">
        <is>
          <t>Period</t>
        </is>
      </c>
      <c r="C46" s="6" t="inlineStr">
        <is>
          <t>REM expected m/m</t>
        </is>
      </c>
      <c r="D46" s="6" t="inlineStr">
        <is>
          <t>Market breakeven m/m</t>
        </is>
      </c>
      <c r="E46" s="6" t="inlineStr">
        <is>
          <t>Spread (bp)</t>
        </is>
      </c>
      <c r="F46" s="6" t="inlineStr">
        <is>
          <t>Breakeven annualised</t>
        </is>
      </c>
    </row>
    <row r="47">
      <c r="B47" s="24" t="inlineStr">
        <is>
          <t>2026-09</t>
        </is>
      </c>
      <c r="C47" s="62" t="n">
        <v>0.018</v>
      </c>
      <c r="D47" s="62" t="n">
        <v>0.019</v>
      </c>
      <c r="E47" s="65">
        <f>(D47-C47)*10000</f>
        <v/>
      </c>
      <c r="F47" s="32">
        <f>(1+D47)^12-1</f>
        <v/>
      </c>
    </row>
    <row r="48">
      <c r="B48" s="24" t="inlineStr">
        <is>
          <t>2026-10</t>
        </is>
      </c>
      <c r="C48" s="62" t="n">
        <v>0.017</v>
      </c>
      <c r="D48" s="62" t="n">
        <v>0.019</v>
      </c>
      <c r="E48" s="65">
        <f>(D48-C48)*10000</f>
        <v/>
      </c>
      <c r="F48" s="32">
        <f>(1+D48)^12-1</f>
        <v/>
      </c>
    </row>
    <row r="49">
      <c r="B49" s="24" t="inlineStr">
        <is>
          <t>2026-11</t>
        </is>
      </c>
      <c r="C49" s="62" t="n">
        <v>0.016</v>
      </c>
      <c r="D49" s="62" t="n">
        <v>0.01825</v>
      </c>
      <c r="E49" s="65">
        <f>(D49-C49)*10000</f>
        <v/>
      </c>
      <c r="F49" s="32">
        <f>(1+D49)^12-1</f>
        <v/>
      </c>
    </row>
    <row r="50">
      <c r="B50" s="24" t="inlineStr">
        <is>
          <t>2026-12</t>
        </is>
      </c>
      <c r="C50" s="62" t="n">
        <v>0.018</v>
      </c>
      <c r="D50" s="62" t="n">
        <v>0.019</v>
      </c>
      <c r="E50" s="65">
        <f>(D50-C50)*10000</f>
        <v/>
      </c>
      <c r="F50" s="32">
        <f>(1+D50)^12-1</f>
        <v/>
      </c>
    </row>
    <row r="51">
      <c r="B51" s="25" t="inlineStr">
        <is>
          <t>Nov-26 to May-27</t>
        </is>
      </c>
      <c r="D51" s="62" t="n">
        <v>0.0185</v>
      </c>
      <c r="F51" s="26">
        <f>(1+D51)^12-1</f>
        <v/>
      </c>
      <c r="G51" s="41" t="inlineStr">
        <is>
          <t>The longest-dated breakeven that could be sourced. It spans the pre-election window.</t>
        </is>
      </c>
    </row>
    <row r="53">
      <c r="B53" s="28" t="inlineStr">
        <is>
          <t>The market prices inflation 10-25bp a month ABOVE the REM through year-end, and about 24.6% annualised over November 2026 to May 2027 — against a REM 2027 median of 20.0% and a Budget assumption of 18.0%. Investors also demand about 5% real to hold peso paper to May-2027 against roughly zero at the front end. That term premium, not the level, is the electoral risk priced in pesos.</t>
        </is>
      </c>
    </row>
    <row r="54">
      <c r="B54" s="28" t="inlineStr">
        <is>
          <t>The dollar curve says the same thing more bluntly: on 30-Sep-2026 AO27, maturing before the election, yielded 4.4% while AO28, maturing after it, yielded 11.6% — a 720bp cliff across the election date.</t>
        </is>
      </c>
    </row>
    <row r="56">
      <c r="B56" s="11" t="inlineStr">
        <is>
          <t>5. Households — anchored far above the professionals</t>
        </is>
      </c>
    </row>
    <row r="57">
      <c r="B57" s="6" t="inlineStr">
        <is>
          <t>Measure</t>
        </is>
      </c>
      <c r="C57" s="6" t="inlineStr">
        <is>
          <t>Value</t>
        </is>
      </c>
      <c r="D57" s="6" t="inlineStr">
        <is>
          <t>Note</t>
        </is>
      </c>
    </row>
    <row r="58" ht="26" customHeight="1">
      <c r="B58" s="7" t="inlineStr">
        <is>
          <t>UTDT expected inflation, 12m ahead, Sep-2026 (mean)</t>
        </is>
      </c>
      <c r="C58" s="48" t="n">
        <v>0.298</v>
      </c>
      <c r="D58" s="8" t="inlineStr">
        <is>
          <t>Median 30.0%. Down 5.9pp from August — the largest single-month fall in the recent series, and the first sub-30 reading of the episode.</t>
        </is>
      </c>
    </row>
    <row r="59" ht="13" customHeight="1">
      <c r="B59" s="7" t="inlineStr">
        <is>
          <t>UTDT expected inflation, 12m ahead, Aug-2026</t>
        </is>
      </c>
      <c r="C59" s="48" t="n">
        <v>0.357</v>
      </c>
      <c r="D59" s="8" t="inlineStr"/>
    </row>
    <row r="60" ht="39" customHeight="1">
      <c r="B60" s="7" t="inlineStr">
        <is>
          <t>UTDT expected inflation, 30 days ahead, Sep-2026 (mean)</t>
        </is>
      </c>
      <c r="C60" s="62" t="n">
        <v>0.0349</v>
      </c>
      <c r="D60" s="8" t="inlineStr">
        <is>
          <t>Median 3.00%. HOUSEHOLDS EXPECT 3.0% NEXT MONTH against a REM of 1.8% and an actual August print of 1.67% — a gap of about 120bp. Household expectations are anchored far above both the market's and the professionals'.</t>
        </is>
      </c>
    </row>
    <row r="61" ht="13" customHeight="1">
      <c r="B61" s="7" t="inlineStr">
        <is>
          <t>Peak, January 2024</t>
        </is>
      </c>
      <c r="C61" s="66" t="n">
        <v>2.3</v>
      </c>
      <c r="D61" s="8" t="inlineStr">
        <is>
          <t>Above 230%. The fall since is real; the level still is not anchored.</t>
        </is>
      </c>
    </row>
    <row r="63">
      <c r="B63" s="28" t="inlineStr">
        <is>
          <t>Treat the UTDT level as ordinal, not cardinal — the 12-month mean now sits below the 30-day median annualised, which is internally inconsistent and normal for household surveys. GAP: the monthly UTDT history could not be retrieved; utdt.edu is blocked by the egress proxy.</t>
        </is>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1F3B63"/>
    <outlinePr summaryBelow="1" summaryRight="1"/>
    <pageSetUpPr fitToPage="1"/>
  </sheetPr>
  <dimension ref="B2:N56"/>
  <sheetViews>
    <sheetView showGridLines="0" workbookViewId="0">
      <selection activeCell="A1" sqref="A1"/>
    </sheetView>
  </sheetViews>
  <sheetFormatPr baseColWidth="8" defaultRowHeight="15"/>
  <cols>
    <col width="2" customWidth="1" min="1" max="1"/>
    <col width="22" customWidth="1" min="2" max="2"/>
    <col width="40" customWidth="1" min="3" max="3"/>
    <col width="40" customWidth="1" min="4" max="4"/>
    <col width="40" customWidth="1" min="5" max="5"/>
    <col width="13" customWidth="1" min="6" max="6"/>
    <col width="13" customWidth="1" min="7" max="7"/>
    <col width="13" customWidth="1" min="8" max="8"/>
    <col width="84" customWidth="1" min="9" max="9"/>
    <col width="12" customWidth="1" min="10" max="10"/>
    <col width="12" customWidth="1" min="11" max="11"/>
  </cols>
  <sheetData>
    <row r="2" ht="26" customHeight="1">
      <c r="B2" s="1" t="inlineStr">
        <is>
          <t>Forecast — bull / base / bear monthly paths to December 2027</t>
        </is>
      </c>
    </row>
    <row r="3">
      <c r="B3" s="2" t="inlineStr">
        <is>
          <t>Monthly paths are judgement inputs (blue). Every Dec/Dec figure is a formula. Benchmarked to the REM and the Budget.</t>
        </is>
      </c>
      <c r="M3" s="11" t="inlineStr">
        <is>
          <t>Scenario probabilities</t>
        </is>
      </c>
    </row>
    <row r="4">
      <c r="M4" s="24" t="inlineStr">
        <is>
          <t>Bull</t>
        </is>
      </c>
      <c r="N4" s="66" t="n">
        <v>0.2</v>
      </c>
    </row>
    <row r="5" ht="26" customHeight="1">
      <c r="B5" s="6" t="inlineStr">
        <is>
          <t>Month</t>
        </is>
      </c>
      <c r="C5" s="6" t="inlineStr">
        <is>
          <t>Actual</t>
        </is>
      </c>
      <c r="D5" s="6" t="inlineStr">
        <is>
          <t>Bull</t>
        </is>
      </c>
      <c r="E5" s="6" t="inlineStr">
        <is>
          <t>Base</t>
        </is>
      </c>
      <c r="F5" s="6" t="inlineStr">
        <is>
          <t>Bear</t>
        </is>
      </c>
      <c r="G5" s="6" t="inlineStr">
        <is>
          <t>Prob-weighted</t>
        </is>
      </c>
      <c r="H5" s="6" t="inlineStr">
        <is>
          <t>Bull index</t>
        </is>
      </c>
      <c r="I5" s="6" t="inlineStr">
        <is>
          <t>Base index</t>
        </is>
      </c>
      <c r="J5" s="6" t="inlineStr">
        <is>
          <t>Bear index</t>
        </is>
      </c>
      <c r="K5" s="6" t="inlineStr">
        <is>
          <t>PW index</t>
        </is>
      </c>
      <c r="M5" s="24" t="inlineStr">
        <is>
          <t>Base</t>
        </is>
      </c>
      <c r="N5" s="66" t="n">
        <v>0.55</v>
      </c>
    </row>
    <row r="6">
      <c r="B6" s="13" t="inlineStr">
        <is>
          <t>2025-01</t>
        </is>
      </c>
      <c r="C6" s="67">
        <f>IFERROR(IF(INDEX('CPI Data'!$I:$I,MATCH($B6,'CPI Data'!$B:$B,0))="","",INDEX('CPI Data'!$I:$I,MATCH($B6,'CPI Data'!$B:$B,0))),"")</f>
        <v/>
      </c>
      <c r="D6" s="68" t="n"/>
      <c r="E6" s="68" t="n"/>
      <c r="F6" s="68" t="n"/>
      <c r="G6" s="32">
        <f>IF(D6="","",D6*$N$4+E6*$N$5+F6*$N$6)</f>
        <v/>
      </c>
      <c r="H6" s="69">
        <f>IFERROR(INDEX('CPI Data'!$E:$E,MATCH($B6,'CPI Data'!$B:$B,0)),"")</f>
        <v/>
      </c>
      <c r="I6" s="69">
        <f>IFERROR(INDEX('CPI Data'!$E:$E,MATCH($B6,'CPI Data'!$B:$B,0)),"")</f>
        <v/>
      </c>
      <c r="J6" s="69">
        <f>IFERROR(INDEX('CPI Data'!$E:$E,MATCH($B6,'CPI Data'!$B:$B,0)),"")</f>
        <v/>
      </c>
      <c r="K6" s="69">
        <f>IFERROR(INDEX('CPI Data'!$E:$E,MATCH($B6,'CPI Data'!$B:$B,0)),"")</f>
        <v/>
      </c>
      <c r="M6" s="24" t="inlineStr">
        <is>
          <t>Bear</t>
        </is>
      </c>
      <c r="N6" s="66" t="n">
        <v>0.25</v>
      </c>
    </row>
    <row r="7">
      <c r="B7" s="13" t="inlineStr">
        <is>
          <t>2025-02</t>
        </is>
      </c>
      <c r="C7" s="67">
        <f>IFERROR(IF(INDEX('CPI Data'!$I:$I,MATCH($B7,'CPI Data'!$B:$B,0))="","",INDEX('CPI Data'!$I:$I,MATCH($B7,'CPI Data'!$B:$B,0))),"")</f>
        <v/>
      </c>
      <c r="D7" s="68" t="n"/>
      <c r="E7" s="68" t="n"/>
      <c r="F7" s="68" t="n"/>
      <c r="G7" s="32">
        <f>IF(D7="","",D7*$N$4+E7*$N$5+F7*$N$6)</f>
        <v/>
      </c>
      <c r="H7" s="69">
        <f>IFERROR(INDEX('CPI Data'!$E:$E,MATCH($B7,'CPI Data'!$B:$B,0)),"")</f>
        <v/>
      </c>
      <c r="I7" s="69">
        <f>IFERROR(INDEX('CPI Data'!$E:$E,MATCH($B7,'CPI Data'!$B:$B,0)),"")</f>
        <v/>
      </c>
      <c r="J7" s="69">
        <f>IFERROR(INDEX('CPI Data'!$E:$E,MATCH($B7,'CPI Data'!$B:$B,0)),"")</f>
        <v/>
      </c>
      <c r="K7" s="69">
        <f>IFERROR(INDEX('CPI Data'!$E:$E,MATCH($B7,'CPI Data'!$B:$B,0)),"")</f>
        <v/>
      </c>
      <c r="M7" s="25" t="inlineStr">
        <is>
          <t>Sum</t>
        </is>
      </c>
      <c r="N7" s="70">
        <f>SUM(N4:N6)</f>
        <v/>
      </c>
    </row>
    <row r="8">
      <c r="B8" s="13" t="inlineStr">
        <is>
          <t>2025-03</t>
        </is>
      </c>
      <c r="C8" s="67">
        <f>IFERROR(IF(INDEX('CPI Data'!$I:$I,MATCH($B8,'CPI Data'!$B:$B,0))="","",INDEX('CPI Data'!$I:$I,MATCH($B8,'CPI Data'!$B:$B,0))),"")</f>
        <v/>
      </c>
      <c r="D8" s="68" t="n"/>
      <c r="E8" s="68" t="n"/>
      <c r="F8" s="68" t="n"/>
      <c r="G8" s="32">
        <f>IF(D8="","",D8*$N$4+E8*$N$5+F8*$N$6)</f>
        <v/>
      </c>
      <c r="H8" s="69">
        <f>IFERROR(INDEX('CPI Data'!$E:$E,MATCH($B8,'CPI Data'!$B:$B,0)),"")</f>
        <v/>
      </c>
      <c r="I8" s="69">
        <f>IFERROR(INDEX('CPI Data'!$E:$E,MATCH($B8,'CPI Data'!$B:$B,0)),"")</f>
        <v/>
      </c>
      <c r="J8" s="69">
        <f>IFERROR(INDEX('CPI Data'!$E:$E,MATCH($B8,'CPI Data'!$B:$B,0)),"")</f>
        <v/>
      </c>
      <c r="K8" s="69">
        <f>IFERROR(INDEX('CPI Data'!$E:$E,MATCH($B8,'CPI Data'!$B:$B,0)),"")</f>
        <v/>
      </c>
    </row>
    <row r="9">
      <c r="B9" s="13" t="inlineStr">
        <is>
          <t>2025-04</t>
        </is>
      </c>
      <c r="C9" s="67">
        <f>IFERROR(IF(INDEX('CPI Data'!$I:$I,MATCH($B9,'CPI Data'!$B:$B,0))="","",INDEX('CPI Data'!$I:$I,MATCH($B9,'CPI Data'!$B:$B,0))),"")</f>
        <v/>
      </c>
      <c r="D9" s="68" t="n"/>
      <c r="E9" s="68" t="n"/>
      <c r="F9" s="68" t="n"/>
      <c r="G9" s="32">
        <f>IF(D9="","",D9*$N$4+E9*$N$5+F9*$N$6)</f>
        <v/>
      </c>
      <c r="H9" s="69">
        <f>IFERROR(INDEX('CPI Data'!$E:$E,MATCH($B9,'CPI Data'!$B:$B,0)),"")</f>
        <v/>
      </c>
      <c r="I9" s="69">
        <f>IFERROR(INDEX('CPI Data'!$E:$E,MATCH($B9,'CPI Data'!$B:$B,0)),"")</f>
        <v/>
      </c>
      <c r="J9" s="69">
        <f>IFERROR(INDEX('CPI Data'!$E:$E,MATCH($B9,'CPI Data'!$B:$B,0)),"")</f>
        <v/>
      </c>
      <c r="K9" s="69">
        <f>IFERROR(INDEX('CPI Data'!$E:$E,MATCH($B9,'CPI Data'!$B:$B,0)),"")</f>
        <v/>
      </c>
    </row>
    <row r="10">
      <c r="B10" s="13" t="inlineStr">
        <is>
          <t>2025-05</t>
        </is>
      </c>
      <c r="C10" s="67">
        <f>IFERROR(IF(INDEX('CPI Data'!$I:$I,MATCH($B10,'CPI Data'!$B:$B,0))="","",INDEX('CPI Data'!$I:$I,MATCH($B10,'CPI Data'!$B:$B,0))),"")</f>
        <v/>
      </c>
      <c r="D10" s="68" t="n"/>
      <c r="E10" s="68" t="n"/>
      <c r="F10" s="68" t="n"/>
      <c r="G10" s="32">
        <f>IF(D10="","",D10*$N$4+E10*$N$5+F10*$N$6)</f>
        <v/>
      </c>
      <c r="H10" s="69">
        <f>IFERROR(INDEX('CPI Data'!$E:$E,MATCH($B10,'CPI Data'!$B:$B,0)),"")</f>
        <v/>
      </c>
      <c r="I10" s="69">
        <f>IFERROR(INDEX('CPI Data'!$E:$E,MATCH($B10,'CPI Data'!$B:$B,0)),"")</f>
        <v/>
      </c>
      <c r="J10" s="69">
        <f>IFERROR(INDEX('CPI Data'!$E:$E,MATCH($B10,'CPI Data'!$B:$B,0)),"")</f>
        <v/>
      </c>
      <c r="K10" s="69">
        <f>IFERROR(INDEX('CPI Data'!$E:$E,MATCH($B10,'CPI Data'!$B:$B,0)),"")</f>
        <v/>
      </c>
    </row>
    <row r="11">
      <c r="B11" s="13" t="inlineStr">
        <is>
          <t>2025-06</t>
        </is>
      </c>
      <c r="C11" s="67">
        <f>IFERROR(IF(INDEX('CPI Data'!$I:$I,MATCH($B11,'CPI Data'!$B:$B,0))="","",INDEX('CPI Data'!$I:$I,MATCH($B11,'CPI Data'!$B:$B,0))),"")</f>
        <v/>
      </c>
      <c r="D11" s="68" t="n"/>
      <c r="E11" s="68" t="n"/>
      <c r="F11" s="68" t="n"/>
      <c r="G11" s="32">
        <f>IF(D11="","",D11*$N$4+E11*$N$5+F11*$N$6)</f>
        <v/>
      </c>
      <c r="H11" s="69">
        <f>IFERROR(INDEX('CPI Data'!$E:$E,MATCH($B11,'CPI Data'!$B:$B,0)),"")</f>
        <v/>
      </c>
      <c r="I11" s="69">
        <f>IFERROR(INDEX('CPI Data'!$E:$E,MATCH($B11,'CPI Data'!$B:$B,0)),"")</f>
        <v/>
      </c>
      <c r="J11" s="69">
        <f>IFERROR(INDEX('CPI Data'!$E:$E,MATCH($B11,'CPI Data'!$B:$B,0)),"")</f>
        <v/>
      </c>
      <c r="K11" s="69">
        <f>IFERROR(INDEX('CPI Data'!$E:$E,MATCH($B11,'CPI Data'!$B:$B,0)),"")</f>
        <v/>
      </c>
    </row>
    <row r="12">
      <c r="B12" s="13" t="inlineStr">
        <is>
          <t>2025-07</t>
        </is>
      </c>
      <c r="C12" s="67">
        <f>IFERROR(IF(INDEX('CPI Data'!$I:$I,MATCH($B12,'CPI Data'!$B:$B,0))="","",INDEX('CPI Data'!$I:$I,MATCH($B12,'CPI Data'!$B:$B,0))),"")</f>
        <v/>
      </c>
      <c r="D12" s="68" t="n"/>
      <c r="E12" s="68" t="n"/>
      <c r="F12" s="68" t="n"/>
      <c r="G12" s="32">
        <f>IF(D12="","",D12*$N$4+E12*$N$5+F12*$N$6)</f>
        <v/>
      </c>
      <c r="H12" s="69">
        <f>IFERROR(INDEX('CPI Data'!$E:$E,MATCH($B12,'CPI Data'!$B:$B,0)),"")</f>
        <v/>
      </c>
      <c r="I12" s="69">
        <f>IFERROR(INDEX('CPI Data'!$E:$E,MATCH($B12,'CPI Data'!$B:$B,0)),"")</f>
        <v/>
      </c>
      <c r="J12" s="69">
        <f>IFERROR(INDEX('CPI Data'!$E:$E,MATCH($B12,'CPI Data'!$B:$B,0)),"")</f>
        <v/>
      </c>
      <c r="K12" s="69">
        <f>IFERROR(INDEX('CPI Data'!$E:$E,MATCH($B12,'CPI Data'!$B:$B,0)),"")</f>
        <v/>
      </c>
    </row>
    <row r="13">
      <c r="B13" s="13" t="inlineStr">
        <is>
          <t>2025-08</t>
        </is>
      </c>
      <c r="C13" s="67">
        <f>IFERROR(IF(INDEX('CPI Data'!$I:$I,MATCH($B13,'CPI Data'!$B:$B,0))="","",INDEX('CPI Data'!$I:$I,MATCH($B13,'CPI Data'!$B:$B,0))),"")</f>
        <v/>
      </c>
      <c r="D13" s="68" t="n"/>
      <c r="E13" s="68" t="n"/>
      <c r="F13" s="68" t="n"/>
      <c r="G13" s="32">
        <f>IF(D13="","",D13*$N$4+E13*$N$5+F13*$N$6)</f>
        <v/>
      </c>
      <c r="H13" s="69">
        <f>IFERROR(INDEX('CPI Data'!$E:$E,MATCH($B13,'CPI Data'!$B:$B,0)),"")</f>
        <v/>
      </c>
      <c r="I13" s="69">
        <f>IFERROR(INDEX('CPI Data'!$E:$E,MATCH($B13,'CPI Data'!$B:$B,0)),"")</f>
        <v/>
      </c>
      <c r="J13" s="69">
        <f>IFERROR(INDEX('CPI Data'!$E:$E,MATCH($B13,'CPI Data'!$B:$B,0)),"")</f>
        <v/>
      </c>
      <c r="K13" s="69">
        <f>IFERROR(INDEX('CPI Data'!$E:$E,MATCH($B13,'CPI Data'!$B:$B,0)),"")</f>
        <v/>
      </c>
    </row>
    <row r="14">
      <c r="B14" s="13" t="inlineStr">
        <is>
          <t>2025-09</t>
        </is>
      </c>
      <c r="C14" s="67">
        <f>IFERROR(IF(INDEX('CPI Data'!$I:$I,MATCH($B14,'CPI Data'!$B:$B,0))="","",INDEX('CPI Data'!$I:$I,MATCH($B14,'CPI Data'!$B:$B,0))),"")</f>
        <v/>
      </c>
      <c r="D14" s="68" t="n"/>
      <c r="E14" s="68" t="n"/>
      <c r="F14" s="68" t="n"/>
      <c r="G14" s="32">
        <f>IF(D14="","",D14*$N$4+E14*$N$5+F14*$N$6)</f>
        <v/>
      </c>
      <c r="H14" s="69">
        <f>IFERROR(INDEX('CPI Data'!$E:$E,MATCH($B14,'CPI Data'!$B:$B,0)),"")</f>
        <v/>
      </c>
      <c r="I14" s="69">
        <f>IFERROR(INDEX('CPI Data'!$E:$E,MATCH($B14,'CPI Data'!$B:$B,0)),"")</f>
        <v/>
      </c>
      <c r="J14" s="69">
        <f>IFERROR(INDEX('CPI Data'!$E:$E,MATCH($B14,'CPI Data'!$B:$B,0)),"")</f>
        <v/>
      </c>
      <c r="K14" s="69">
        <f>IFERROR(INDEX('CPI Data'!$E:$E,MATCH($B14,'CPI Data'!$B:$B,0)),"")</f>
        <v/>
      </c>
    </row>
    <row r="15">
      <c r="B15" s="13" t="inlineStr">
        <is>
          <t>2025-10</t>
        </is>
      </c>
      <c r="C15" s="67">
        <f>IFERROR(IF(INDEX('CPI Data'!$I:$I,MATCH($B15,'CPI Data'!$B:$B,0))="","",INDEX('CPI Data'!$I:$I,MATCH($B15,'CPI Data'!$B:$B,0))),"")</f>
        <v/>
      </c>
      <c r="D15" s="68" t="n"/>
      <c r="E15" s="68" t="n"/>
      <c r="F15" s="68" t="n"/>
      <c r="G15" s="32">
        <f>IF(D15="","",D15*$N$4+E15*$N$5+F15*$N$6)</f>
        <v/>
      </c>
      <c r="H15" s="69">
        <f>IFERROR(INDEX('CPI Data'!$E:$E,MATCH($B15,'CPI Data'!$B:$B,0)),"")</f>
        <v/>
      </c>
      <c r="I15" s="69">
        <f>IFERROR(INDEX('CPI Data'!$E:$E,MATCH($B15,'CPI Data'!$B:$B,0)),"")</f>
        <v/>
      </c>
      <c r="J15" s="69">
        <f>IFERROR(INDEX('CPI Data'!$E:$E,MATCH($B15,'CPI Data'!$B:$B,0)),"")</f>
        <v/>
      </c>
      <c r="K15" s="69">
        <f>IFERROR(INDEX('CPI Data'!$E:$E,MATCH($B15,'CPI Data'!$B:$B,0)),"")</f>
        <v/>
      </c>
    </row>
    <row r="16">
      <c r="B16" s="13" t="inlineStr">
        <is>
          <t>2025-11</t>
        </is>
      </c>
      <c r="C16" s="67">
        <f>IFERROR(IF(INDEX('CPI Data'!$I:$I,MATCH($B16,'CPI Data'!$B:$B,0))="","",INDEX('CPI Data'!$I:$I,MATCH($B16,'CPI Data'!$B:$B,0))),"")</f>
        <v/>
      </c>
      <c r="D16" s="68" t="n"/>
      <c r="E16" s="68" t="n"/>
      <c r="F16" s="68" t="n"/>
      <c r="G16" s="32">
        <f>IF(D16="","",D16*$N$4+E16*$N$5+F16*$N$6)</f>
        <v/>
      </c>
      <c r="H16" s="69">
        <f>IFERROR(INDEX('CPI Data'!$E:$E,MATCH($B16,'CPI Data'!$B:$B,0)),"")</f>
        <v/>
      </c>
      <c r="I16" s="69">
        <f>IFERROR(INDEX('CPI Data'!$E:$E,MATCH($B16,'CPI Data'!$B:$B,0)),"")</f>
        <v/>
      </c>
      <c r="J16" s="69">
        <f>IFERROR(INDEX('CPI Data'!$E:$E,MATCH($B16,'CPI Data'!$B:$B,0)),"")</f>
        <v/>
      </c>
      <c r="K16" s="69">
        <f>IFERROR(INDEX('CPI Data'!$E:$E,MATCH($B16,'CPI Data'!$B:$B,0)),"")</f>
        <v/>
      </c>
    </row>
    <row r="17">
      <c r="B17" s="13" t="inlineStr">
        <is>
          <t>2025-12</t>
        </is>
      </c>
      <c r="C17" s="67">
        <f>IFERROR(IF(INDEX('CPI Data'!$I:$I,MATCH($B17,'CPI Data'!$B:$B,0))="","",INDEX('CPI Data'!$I:$I,MATCH($B17,'CPI Data'!$B:$B,0))),"")</f>
        <v/>
      </c>
      <c r="D17" s="68" t="n"/>
      <c r="E17" s="68" t="n"/>
      <c r="F17" s="68" t="n"/>
      <c r="G17" s="32">
        <f>IF(D17="","",D17*$N$4+E17*$N$5+F17*$N$6)</f>
        <v/>
      </c>
      <c r="H17" s="69">
        <f>IFERROR(INDEX('CPI Data'!$E:$E,MATCH($B17,'CPI Data'!$B:$B,0)),"")</f>
        <v/>
      </c>
      <c r="I17" s="69">
        <f>IFERROR(INDEX('CPI Data'!$E:$E,MATCH($B17,'CPI Data'!$B:$B,0)),"")</f>
        <v/>
      </c>
      <c r="J17" s="69">
        <f>IFERROR(INDEX('CPI Data'!$E:$E,MATCH($B17,'CPI Data'!$B:$B,0)),"")</f>
        <v/>
      </c>
      <c r="K17" s="69">
        <f>IFERROR(INDEX('CPI Data'!$E:$E,MATCH($B17,'CPI Data'!$B:$B,0)),"")</f>
        <v/>
      </c>
    </row>
    <row r="18">
      <c r="B18" s="13" t="inlineStr">
        <is>
          <t>2026-01</t>
        </is>
      </c>
      <c r="C18" s="67">
        <f>IFERROR(IF(INDEX('CPI Data'!$I:$I,MATCH($B18,'CPI Data'!$B:$B,0))="","",INDEX('CPI Data'!$I:$I,MATCH($B18,'CPI Data'!$B:$B,0))),"")</f>
        <v/>
      </c>
      <c r="D18" s="68" t="n"/>
      <c r="E18" s="68" t="n"/>
      <c r="F18" s="68" t="n"/>
      <c r="G18" s="32">
        <f>IF(D18="","",D18*$N$4+E18*$N$5+F18*$N$6)</f>
        <v/>
      </c>
      <c r="H18" s="69">
        <f>IFERROR(INDEX('CPI Data'!$E:$E,MATCH($B18,'CPI Data'!$B:$B,0)),"")</f>
        <v/>
      </c>
      <c r="I18" s="69">
        <f>IFERROR(INDEX('CPI Data'!$E:$E,MATCH($B18,'CPI Data'!$B:$B,0)),"")</f>
        <v/>
      </c>
      <c r="J18" s="69">
        <f>IFERROR(INDEX('CPI Data'!$E:$E,MATCH($B18,'CPI Data'!$B:$B,0)),"")</f>
        <v/>
      </c>
      <c r="K18" s="69">
        <f>IFERROR(INDEX('CPI Data'!$E:$E,MATCH($B18,'CPI Data'!$B:$B,0)),"")</f>
        <v/>
      </c>
    </row>
    <row r="19">
      <c r="B19" s="13" t="inlineStr">
        <is>
          <t>2026-02</t>
        </is>
      </c>
      <c r="C19" s="67">
        <f>IFERROR(IF(INDEX('CPI Data'!$I:$I,MATCH($B19,'CPI Data'!$B:$B,0))="","",INDEX('CPI Data'!$I:$I,MATCH($B19,'CPI Data'!$B:$B,0))),"")</f>
        <v/>
      </c>
      <c r="D19" s="68" t="n"/>
      <c r="E19" s="68" t="n"/>
      <c r="F19" s="68" t="n"/>
      <c r="G19" s="32">
        <f>IF(D19="","",D19*$N$4+E19*$N$5+F19*$N$6)</f>
        <v/>
      </c>
      <c r="H19" s="69">
        <f>IFERROR(INDEX('CPI Data'!$E:$E,MATCH($B19,'CPI Data'!$B:$B,0)),"")</f>
        <v/>
      </c>
      <c r="I19" s="69">
        <f>IFERROR(INDEX('CPI Data'!$E:$E,MATCH($B19,'CPI Data'!$B:$B,0)),"")</f>
        <v/>
      </c>
      <c r="J19" s="69">
        <f>IFERROR(INDEX('CPI Data'!$E:$E,MATCH($B19,'CPI Data'!$B:$B,0)),"")</f>
        <v/>
      </c>
      <c r="K19" s="69">
        <f>IFERROR(INDEX('CPI Data'!$E:$E,MATCH($B19,'CPI Data'!$B:$B,0)),"")</f>
        <v/>
      </c>
    </row>
    <row r="20">
      <c r="B20" s="13" t="inlineStr">
        <is>
          <t>2026-03</t>
        </is>
      </c>
      <c r="C20" s="67">
        <f>IFERROR(IF(INDEX('CPI Data'!$I:$I,MATCH($B20,'CPI Data'!$B:$B,0))="","",INDEX('CPI Data'!$I:$I,MATCH($B20,'CPI Data'!$B:$B,0))),"")</f>
        <v/>
      </c>
      <c r="D20" s="68" t="n"/>
      <c r="E20" s="68" t="n"/>
      <c r="F20" s="68" t="n"/>
      <c r="G20" s="32">
        <f>IF(D20="","",D20*$N$4+E20*$N$5+F20*$N$6)</f>
        <v/>
      </c>
      <c r="H20" s="69">
        <f>IFERROR(INDEX('CPI Data'!$E:$E,MATCH($B20,'CPI Data'!$B:$B,0)),"")</f>
        <v/>
      </c>
      <c r="I20" s="69">
        <f>IFERROR(INDEX('CPI Data'!$E:$E,MATCH($B20,'CPI Data'!$B:$B,0)),"")</f>
        <v/>
      </c>
      <c r="J20" s="69">
        <f>IFERROR(INDEX('CPI Data'!$E:$E,MATCH($B20,'CPI Data'!$B:$B,0)),"")</f>
        <v/>
      </c>
      <c r="K20" s="69">
        <f>IFERROR(INDEX('CPI Data'!$E:$E,MATCH($B20,'CPI Data'!$B:$B,0)),"")</f>
        <v/>
      </c>
    </row>
    <row r="21">
      <c r="B21" s="13" t="inlineStr">
        <is>
          <t>2026-04</t>
        </is>
      </c>
      <c r="C21" s="67">
        <f>IFERROR(IF(INDEX('CPI Data'!$I:$I,MATCH($B21,'CPI Data'!$B:$B,0))="","",INDEX('CPI Data'!$I:$I,MATCH($B21,'CPI Data'!$B:$B,0))),"")</f>
        <v/>
      </c>
      <c r="D21" s="68" t="n"/>
      <c r="E21" s="68" t="n"/>
      <c r="F21" s="68" t="n"/>
      <c r="G21" s="32">
        <f>IF(D21="","",D21*$N$4+E21*$N$5+F21*$N$6)</f>
        <v/>
      </c>
      <c r="H21" s="69">
        <f>IFERROR(INDEX('CPI Data'!$E:$E,MATCH($B21,'CPI Data'!$B:$B,0)),"")</f>
        <v/>
      </c>
      <c r="I21" s="69">
        <f>IFERROR(INDEX('CPI Data'!$E:$E,MATCH($B21,'CPI Data'!$B:$B,0)),"")</f>
        <v/>
      </c>
      <c r="J21" s="69">
        <f>IFERROR(INDEX('CPI Data'!$E:$E,MATCH($B21,'CPI Data'!$B:$B,0)),"")</f>
        <v/>
      </c>
      <c r="K21" s="69">
        <f>IFERROR(INDEX('CPI Data'!$E:$E,MATCH($B21,'CPI Data'!$B:$B,0)),"")</f>
        <v/>
      </c>
    </row>
    <row r="22">
      <c r="B22" s="13" t="inlineStr">
        <is>
          <t>2026-05</t>
        </is>
      </c>
      <c r="C22" s="67">
        <f>IFERROR(IF(INDEX('CPI Data'!$I:$I,MATCH($B22,'CPI Data'!$B:$B,0))="","",INDEX('CPI Data'!$I:$I,MATCH($B22,'CPI Data'!$B:$B,0))),"")</f>
        <v/>
      </c>
      <c r="D22" s="68" t="n"/>
      <c r="E22" s="68" t="n"/>
      <c r="F22" s="68" t="n"/>
      <c r="G22" s="32">
        <f>IF(D22="","",D22*$N$4+E22*$N$5+F22*$N$6)</f>
        <v/>
      </c>
      <c r="H22" s="69">
        <f>IFERROR(INDEX('CPI Data'!$E:$E,MATCH($B22,'CPI Data'!$B:$B,0)),"")</f>
        <v/>
      </c>
      <c r="I22" s="69">
        <f>IFERROR(INDEX('CPI Data'!$E:$E,MATCH($B22,'CPI Data'!$B:$B,0)),"")</f>
        <v/>
      </c>
      <c r="J22" s="69">
        <f>IFERROR(INDEX('CPI Data'!$E:$E,MATCH($B22,'CPI Data'!$B:$B,0)),"")</f>
        <v/>
      </c>
      <c r="K22" s="69">
        <f>IFERROR(INDEX('CPI Data'!$E:$E,MATCH($B22,'CPI Data'!$B:$B,0)),"")</f>
        <v/>
      </c>
    </row>
    <row r="23">
      <c r="B23" s="13" t="inlineStr">
        <is>
          <t>2026-06</t>
        </is>
      </c>
      <c r="C23" s="67">
        <f>IFERROR(IF(INDEX('CPI Data'!$I:$I,MATCH($B23,'CPI Data'!$B:$B,0))="","",INDEX('CPI Data'!$I:$I,MATCH($B23,'CPI Data'!$B:$B,0))),"")</f>
        <v/>
      </c>
      <c r="D23" s="68" t="n"/>
      <c r="E23" s="68" t="n"/>
      <c r="F23" s="68" t="n"/>
      <c r="G23" s="32">
        <f>IF(D23="","",D23*$N$4+E23*$N$5+F23*$N$6)</f>
        <v/>
      </c>
      <c r="H23" s="69">
        <f>IFERROR(INDEX('CPI Data'!$E:$E,MATCH($B23,'CPI Data'!$B:$B,0)),"")</f>
        <v/>
      </c>
      <c r="I23" s="69">
        <f>IFERROR(INDEX('CPI Data'!$E:$E,MATCH($B23,'CPI Data'!$B:$B,0)),"")</f>
        <v/>
      </c>
      <c r="J23" s="69">
        <f>IFERROR(INDEX('CPI Data'!$E:$E,MATCH($B23,'CPI Data'!$B:$B,0)),"")</f>
        <v/>
      </c>
      <c r="K23" s="69">
        <f>IFERROR(INDEX('CPI Data'!$E:$E,MATCH($B23,'CPI Data'!$B:$B,0)),"")</f>
        <v/>
      </c>
    </row>
    <row r="24">
      <c r="B24" s="13" t="inlineStr">
        <is>
          <t>2026-07</t>
        </is>
      </c>
      <c r="C24" s="67">
        <f>IFERROR(IF(INDEX('CPI Data'!$I:$I,MATCH($B24,'CPI Data'!$B:$B,0))="","",INDEX('CPI Data'!$I:$I,MATCH($B24,'CPI Data'!$B:$B,0))),"")</f>
        <v/>
      </c>
      <c r="D24" s="68" t="n"/>
      <c r="E24" s="68" t="n"/>
      <c r="F24" s="68" t="n"/>
      <c r="G24" s="32">
        <f>IF(D24="","",D24*$N$4+E24*$N$5+F24*$N$6)</f>
        <v/>
      </c>
      <c r="H24" s="69">
        <f>IFERROR(INDEX('CPI Data'!$E:$E,MATCH($B24,'CPI Data'!$B:$B,0)),"")</f>
        <v/>
      </c>
      <c r="I24" s="69">
        <f>IFERROR(INDEX('CPI Data'!$E:$E,MATCH($B24,'CPI Data'!$B:$B,0)),"")</f>
        <v/>
      </c>
      <c r="J24" s="69">
        <f>IFERROR(INDEX('CPI Data'!$E:$E,MATCH($B24,'CPI Data'!$B:$B,0)),"")</f>
        <v/>
      </c>
      <c r="K24" s="69">
        <f>IFERROR(INDEX('CPI Data'!$E:$E,MATCH($B24,'CPI Data'!$B:$B,0)),"")</f>
        <v/>
      </c>
    </row>
    <row r="25">
      <c r="B25" s="13" t="inlineStr">
        <is>
          <t>2026-08</t>
        </is>
      </c>
      <c r="C25" s="67">
        <f>IFERROR(IF(INDEX('CPI Data'!$I:$I,MATCH($B25,'CPI Data'!$B:$B,0))="","",INDEX('CPI Data'!$I:$I,MATCH($B25,'CPI Data'!$B:$B,0))),"")</f>
        <v/>
      </c>
      <c r="D25" s="67">
        <f>$C25</f>
        <v/>
      </c>
      <c r="E25" s="67">
        <f>$C25</f>
        <v/>
      </c>
      <c r="F25" s="67">
        <f>$C25</f>
        <v/>
      </c>
      <c r="G25" s="32">
        <f>IF(D25="","",D25*$N$4+E25*$N$5+F25*$N$6)</f>
        <v/>
      </c>
      <c r="H25" s="69">
        <f>IFERROR(INDEX('CPI Data'!$E:$E,MATCH($B25,'CPI Data'!$B:$B,0)),"")</f>
        <v/>
      </c>
      <c r="I25" s="69">
        <f>IFERROR(INDEX('CPI Data'!$E:$E,MATCH($B25,'CPI Data'!$B:$B,0)),"")</f>
        <v/>
      </c>
      <c r="J25" s="69">
        <f>IFERROR(INDEX('CPI Data'!$E:$E,MATCH($B25,'CPI Data'!$B:$B,0)),"")</f>
        <v/>
      </c>
      <c r="K25" s="69">
        <f>IFERROR(INDEX('CPI Data'!$E:$E,MATCH($B25,'CPI Data'!$B:$B,0)),"")</f>
        <v/>
      </c>
    </row>
    <row r="26">
      <c r="B26" s="13" t="inlineStr">
        <is>
          <t>2026-09</t>
        </is>
      </c>
      <c r="C26" s="67">
        <f>IFERROR(IF(INDEX('CPI Data'!$I:$I,MATCH($B26,'CPI Data'!$B:$B,0))="","",INDEX('CPI Data'!$I:$I,MATCH($B26,'CPI Data'!$B:$B,0))),"")</f>
        <v/>
      </c>
      <c r="D26" s="48" t="n">
        <v>0.015</v>
      </c>
      <c r="E26" s="48" t="n">
        <v>0.018</v>
      </c>
      <c r="F26" s="48" t="n">
        <v>0.025</v>
      </c>
      <c r="G26" s="32">
        <f>IF(D26="","",D26*$N$4+E26*$N$5+F26*$N$6)</f>
        <v/>
      </c>
      <c r="H26" s="69">
        <f>H25*(1+D26)</f>
        <v/>
      </c>
      <c r="I26" s="69">
        <f>I25*(1+E26)</f>
        <v/>
      </c>
      <c r="J26" s="69">
        <f>J25*(1+F26)</f>
        <v/>
      </c>
      <c r="K26" s="69">
        <f>K25*(1+G26)</f>
        <v/>
      </c>
    </row>
    <row r="27">
      <c r="B27" s="13" t="inlineStr">
        <is>
          <t>2026-10</t>
        </is>
      </c>
      <c r="C27" s="67">
        <f>IFERROR(IF(INDEX('CPI Data'!$I:$I,MATCH($B27,'CPI Data'!$B:$B,0))="","",INDEX('CPI Data'!$I:$I,MATCH($B27,'CPI Data'!$B:$B,0))),"")</f>
        <v/>
      </c>
      <c r="D27" s="48" t="n">
        <v>0.015</v>
      </c>
      <c r="E27" s="48" t="n">
        <v>0.019</v>
      </c>
      <c r="F27" s="48" t="n">
        <v>0.027</v>
      </c>
      <c r="G27" s="32">
        <f>IF(D27="","",D27*$N$4+E27*$N$5+F27*$N$6)</f>
        <v/>
      </c>
      <c r="H27" s="69">
        <f>H26*(1+D27)</f>
        <v/>
      </c>
      <c r="I27" s="69">
        <f>I26*(1+E27)</f>
        <v/>
      </c>
      <c r="J27" s="69">
        <f>J26*(1+F27)</f>
        <v/>
      </c>
      <c r="K27" s="69">
        <f>K26*(1+G27)</f>
        <v/>
      </c>
    </row>
    <row r="28">
      <c r="B28" s="13" t="inlineStr">
        <is>
          <t>2026-11</t>
        </is>
      </c>
      <c r="C28" s="67">
        <f>IFERROR(IF(INDEX('CPI Data'!$I:$I,MATCH($B28,'CPI Data'!$B:$B,0))="","",INDEX('CPI Data'!$I:$I,MATCH($B28,'CPI Data'!$B:$B,0))),"")</f>
        <v/>
      </c>
      <c r="D28" s="48" t="n">
        <v>0.014</v>
      </c>
      <c r="E28" s="48" t="n">
        <v>0.019</v>
      </c>
      <c r="F28" s="48" t="n">
        <v>0.026</v>
      </c>
      <c r="G28" s="32">
        <f>IF(D28="","",D28*$N$4+E28*$N$5+F28*$N$6)</f>
        <v/>
      </c>
      <c r="H28" s="69">
        <f>H27*(1+D28)</f>
        <v/>
      </c>
      <c r="I28" s="69">
        <f>I27*(1+E28)</f>
        <v/>
      </c>
      <c r="J28" s="69">
        <f>J27*(1+F28)</f>
        <v/>
      </c>
      <c r="K28" s="69">
        <f>K27*(1+G28)</f>
        <v/>
      </c>
    </row>
    <row r="29">
      <c r="B29" s="13" t="inlineStr">
        <is>
          <t>2026-12</t>
        </is>
      </c>
      <c r="C29" s="67">
        <f>IFERROR(IF(INDEX('CPI Data'!$I:$I,MATCH($B29,'CPI Data'!$B:$B,0))="","",INDEX('CPI Data'!$I:$I,MATCH($B29,'CPI Data'!$B:$B,0))),"")</f>
        <v/>
      </c>
      <c r="D29" s="48" t="n">
        <v>0.016</v>
      </c>
      <c r="E29" s="48" t="n">
        <v>0.021</v>
      </c>
      <c r="F29" s="48" t="n">
        <v>0.028</v>
      </c>
      <c r="G29" s="32">
        <f>IF(D29="","",D29*$N$4+E29*$N$5+F29*$N$6)</f>
        <v/>
      </c>
      <c r="H29" s="69">
        <f>H28*(1+D29)</f>
        <v/>
      </c>
      <c r="I29" s="69">
        <f>I28*(1+E29)</f>
        <v/>
      </c>
      <c r="J29" s="69">
        <f>J28*(1+F29)</f>
        <v/>
      </c>
      <c r="K29" s="69">
        <f>K28*(1+G29)</f>
        <v/>
      </c>
    </row>
    <row r="30">
      <c r="B30" s="13" t="inlineStr">
        <is>
          <t>2027-01</t>
        </is>
      </c>
      <c r="C30" s="67">
        <f>IFERROR(IF(INDEX('CPI Data'!$I:$I,MATCH($B30,'CPI Data'!$B:$B,0))="","",INDEX('CPI Data'!$I:$I,MATCH($B30,'CPI Data'!$B:$B,0))),"")</f>
        <v/>
      </c>
      <c r="D30" s="48" t="n">
        <v>0.015</v>
      </c>
      <c r="E30" s="48" t="n">
        <v>0.02</v>
      </c>
      <c r="F30" s="48" t="n">
        <v>0.028</v>
      </c>
      <c r="G30" s="32">
        <f>IF(D30="","",D30*$N$4+E30*$N$5+F30*$N$6)</f>
        <v/>
      </c>
      <c r="H30" s="69">
        <f>H29*(1+D30)</f>
        <v/>
      </c>
      <c r="I30" s="69">
        <f>I29*(1+E30)</f>
        <v/>
      </c>
      <c r="J30" s="69">
        <f>J29*(1+F30)</f>
        <v/>
      </c>
      <c r="K30" s="69">
        <f>K29*(1+G30)</f>
        <v/>
      </c>
    </row>
    <row r="31">
      <c r="B31" s="13" t="inlineStr">
        <is>
          <t>2027-02</t>
        </is>
      </c>
      <c r="C31" s="67">
        <f>IFERROR(IF(INDEX('CPI Data'!$I:$I,MATCH($B31,'CPI Data'!$B:$B,0))="","",INDEX('CPI Data'!$I:$I,MATCH($B31,'CPI Data'!$B:$B,0))),"")</f>
        <v/>
      </c>
      <c r="D31" s="48" t="n">
        <v>0.013</v>
      </c>
      <c r="E31" s="48" t="n">
        <v>0.018</v>
      </c>
      <c r="F31" s="48" t="n">
        <v>0.026</v>
      </c>
      <c r="G31" s="32">
        <f>IF(D31="","",D31*$N$4+E31*$N$5+F31*$N$6)</f>
        <v/>
      </c>
      <c r="H31" s="69">
        <f>H30*(1+D31)</f>
        <v/>
      </c>
      <c r="I31" s="69">
        <f>I30*(1+E31)</f>
        <v/>
      </c>
      <c r="J31" s="69">
        <f>J30*(1+F31)</f>
        <v/>
      </c>
      <c r="K31" s="69">
        <f>K30*(1+G31)</f>
        <v/>
      </c>
    </row>
    <row r="32">
      <c r="B32" s="13" t="inlineStr">
        <is>
          <t>2027-03</t>
        </is>
      </c>
      <c r="C32" s="67">
        <f>IFERROR(IF(INDEX('CPI Data'!$I:$I,MATCH($B32,'CPI Data'!$B:$B,0))="","",INDEX('CPI Data'!$I:$I,MATCH($B32,'CPI Data'!$B:$B,0))),"")</f>
        <v/>
      </c>
      <c r="D32" s="48" t="n">
        <v>0.013</v>
      </c>
      <c r="E32" s="48" t="n">
        <v>0.017</v>
      </c>
      <c r="F32" s="48" t="n">
        <v>0.025</v>
      </c>
      <c r="G32" s="32">
        <f>IF(D32="","",D32*$N$4+E32*$N$5+F32*$N$6)</f>
        <v/>
      </c>
      <c r="H32" s="69">
        <f>H31*(1+D32)</f>
        <v/>
      </c>
      <c r="I32" s="69">
        <f>I31*(1+E32)</f>
        <v/>
      </c>
      <c r="J32" s="69">
        <f>J31*(1+F32)</f>
        <v/>
      </c>
      <c r="K32" s="69">
        <f>K31*(1+G32)</f>
        <v/>
      </c>
    </row>
    <row r="33">
      <c r="B33" s="13" t="inlineStr">
        <is>
          <t>2027-04</t>
        </is>
      </c>
      <c r="C33" s="67">
        <f>IFERROR(IF(INDEX('CPI Data'!$I:$I,MATCH($B33,'CPI Data'!$B:$B,0))="","",INDEX('CPI Data'!$I:$I,MATCH($B33,'CPI Data'!$B:$B,0))),"")</f>
        <v/>
      </c>
      <c r="D33" s="48" t="n">
        <v>0.011</v>
      </c>
      <c r="E33" s="48" t="n">
        <v>0.016</v>
      </c>
      <c r="F33" s="48" t="n">
        <v>0.023</v>
      </c>
      <c r="G33" s="32">
        <f>IF(D33="","",D33*$N$4+E33*$N$5+F33*$N$6)</f>
        <v/>
      </c>
      <c r="H33" s="69">
        <f>H32*(1+D33)</f>
        <v/>
      </c>
      <c r="I33" s="69">
        <f>I32*(1+E33)</f>
        <v/>
      </c>
      <c r="J33" s="69">
        <f>J32*(1+F33)</f>
        <v/>
      </c>
      <c r="K33" s="69">
        <f>K32*(1+G33)</f>
        <v/>
      </c>
    </row>
    <row r="34">
      <c r="B34" s="13" t="inlineStr">
        <is>
          <t>2027-05</t>
        </is>
      </c>
      <c r="C34" s="67">
        <f>IFERROR(IF(INDEX('CPI Data'!$I:$I,MATCH($B34,'CPI Data'!$B:$B,0))="","",INDEX('CPI Data'!$I:$I,MATCH($B34,'CPI Data'!$B:$B,0))),"")</f>
        <v/>
      </c>
      <c r="D34" s="48" t="n">
        <v>0.01</v>
      </c>
      <c r="E34" s="48" t="n">
        <v>0.014</v>
      </c>
      <c r="F34" s="48" t="n">
        <v>0.021</v>
      </c>
      <c r="G34" s="32">
        <f>IF(D34="","",D34*$N$4+E34*$N$5+F34*$N$6)</f>
        <v/>
      </c>
      <c r="H34" s="69">
        <f>H33*(1+D34)</f>
        <v/>
      </c>
      <c r="I34" s="69">
        <f>I33*(1+E34)</f>
        <v/>
      </c>
      <c r="J34" s="69">
        <f>J33*(1+F34)</f>
        <v/>
      </c>
      <c r="K34" s="69">
        <f>K33*(1+G34)</f>
        <v/>
      </c>
    </row>
    <row r="35">
      <c r="B35" s="13" t="inlineStr">
        <is>
          <t>2027-06</t>
        </is>
      </c>
      <c r="C35" s="67">
        <f>IFERROR(IF(INDEX('CPI Data'!$I:$I,MATCH($B35,'CPI Data'!$B:$B,0))="","",INDEX('CPI Data'!$I:$I,MATCH($B35,'CPI Data'!$B:$B,0))),"")</f>
        <v/>
      </c>
      <c r="D35" s="48" t="n">
        <v>0.009000000000000001</v>
      </c>
      <c r="E35" s="48" t="n">
        <v>0.013</v>
      </c>
      <c r="F35" s="48" t="n">
        <v>0.02</v>
      </c>
      <c r="G35" s="32">
        <f>IF(D35="","",D35*$N$4+E35*$N$5+F35*$N$6)</f>
        <v/>
      </c>
      <c r="H35" s="69">
        <f>H34*(1+D35)</f>
        <v/>
      </c>
      <c r="I35" s="69">
        <f>I34*(1+E35)</f>
        <v/>
      </c>
      <c r="J35" s="69">
        <f>J34*(1+F35)</f>
        <v/>
      </c>
      <c r="K35" s="69">
        <f>K34*(1+G35)</f>
        <v/>
      </c>
    </row>
    <row r="36">
      <c r="B36" s="13" t="inlineStr">
        <is>
          <t>2027-07</t>
        </is>
      </c>
      <c r="C36" s="67">
        <f>IFERROR(IF(INDEX('CPI Data'!$I:$I,MATCH($B36,'CPI Data'!$B:$B,0))="","",INDEX('CPI Data'!$I:$I,MATCH($B36,'CPI Data'!$B:$B,0))),"")</f>
        <v/>
      </c>
      <c r="D36" s="48" t="n">
        <v>0.009000000000000001</v>
      </c>
      <c r="E36" s="48" t="n">
        <v>0.013</v>
      </c>
      <c r="F36" s="48" t="n">
        <v>0.019</v>
      </c>
      <c r="G36" s="32">
        <f>IF(D36="","",D36*$N$4+E36*$N$5+F36*$N$6)</f>
        <v/>
      </c>
      <c r="H36" s="69">
        <f>H35*(1+D36)</f>
        <v/>
      </c>
      <c r="I36" s="69">
        <f>I35*(1+E36)</f>
        <v/>
      </c>
      <c r="J36" s="69">
        <f>J35*(1+F36)</f>
        <v/>
      </c>
      <c r="K36" s="69">
        <f>K35*(1+G36)</f>
        <v/>
      </c>
    </row>
    <row r="37">
      <c r="B37" s="13" t="inlineStr">
        <is>
          <t>2027-08</t>
        </is>
      </c>
      <c r="C37" s="67">
        <f>IFERROR(IF(INDEX('CPI Data'!$I:$I,MATCH($B37,'CPI Data'!$B:$B,0))="","",INDEX('CPI Data'!$I:$I,MATCH($B37,'CPI Data'!$B:$B,0))),"")</f>
        <v/>
      </c>
      <c r="D37" s="48" t="n">
        <v>0.008</v>
      </c>
      <c r="E37" s="48" t="n">
        <v>0.012</v>
      </c>
      <c r="F37" s="48" t="n">
        <v>0.019</v>
      </c>
      <c r="G37" s="32">
        <f>IF(D37="","",D37*$N$4+E37*$N$5+F37*$N$6)</f>
        <v/>
      </c>
      <c r="H37" s="69">
        <f>H36*(1+D37)</f>
        <v/>
      </c>
      <c r="I37" s="69">
        <f>I36*(1+E37)</f>
        <v/>
      </c>
      <c r="J37" s="69">
        <f>J36*(1+F37)</f>
        <v/>
      </c>
      <c r="K37" s="69">
        <f>K36*(1+G37)</f>
        <v/>
      </c>
    </row>
    <row r="38">
      <c r="B38" s="13" t="inlineStr">
        <is>
          <t>2027-09</t>
        </is>
      </c>
      <c r="C38" s="67">
        <f>IFERROR(IF(INDEX('CPI Data'!$I:$I,MATCH($B38,'CPI Data'!$B:$B,0))="","",INDEX('CPI Data'!$I:$I,MATCH($B38,'CPI Data'!$B:$B,0))),"")</f>
        <v/>
      </c>
      <c r="D38" s="48" t="n">
        <v>0.008</v>
      </c>
      <c r="E38" s="48" t="n">
        <v>0.012</v>
      </c>
      <c r="F38" s="48" t="n">
        <v>0.018</v>
      </c>
      <c r="G38" s="32">
        <f>IF(D38="","",D38*$N$4+E38*$N$5+F38*$N$6)</f>
        <v/>
      </c>
      <c r="H38" s="69">
        <f>H37*(1+D38)</f>
        <v/>
      </c>
      <c r="I38" s="69">
        <f>I37*(1+E38)</f>
        <v/>
      </c>
      <c r="J38" s="69">
        <f>J37*(1+F38)</f>
        <v/>
      </c>
      <c r="K38" s="69">
        <f>K37*(1+G38)</f>
        <v/>
      </c>
    </row>
    <row r="39">
      <c r="B39" s="13" t="inlineStr">
        <is>
          <t>2027-10</t>
        </is>
      </c>
      <c r="C39" s="67">
        <f>IFERROR(IF(INDEX('CPI Data'!$I:$I,MATCH($B39,'CPI Data'!$B:$B,0))="","",INDEX('CPI Data'!$I:$I,MATCH($B39,'CPI Data'!$B:$B,0))),"")</f>
        <v/>
      </c>
      <c r="D39" s="48" t="n">
        <v>0.008</v>
      </c>
      <c r="E39" s="48" t="n">
        <v>0.012</v>
      </c>
      <c r="F39" s="48" t="n">
        <v>0.018</v>
      </c>
      <c r="G39" s="32">
        <f>IF(D39="","",D39*$N$4+E39*$N$5+F39*$N$6)</f>
        <v/>
      </c>
      <c r="H39" s="69">
        <f>H38*(1+D39)</f>
        <v/>
      </c>
      <c r="I39" s="69">
        <f>I38*(1+E39)</f>
        <v/>
      </c>
      <c r="J39" s="69">
        <f>J38*(1+F39)</f>
        <v/>
      </c>
      <c r="K39" s="69">
        <f>K38*(1+G39)</f>
        <v/>
      </c>
    </row>
    <row r="40">
      <c r="B40" s="13" t="inlineStr">
        <is>
          <t>2027-11</t>
        </is>
      </c>
      <c r="C40" s="67">
        <f>IFERROR(IF(INDEX('CPI Data'!$I:$I,MATCH($B40,'CPI Data'!$B:$B,0))="","",INDEX('CPI Data'!$I:$I,MATCH($B40,'CPI Data'!$B:$B,0))),"")</f>
        <v/>
      </c>
      <c r="D40" s="48" t="n">
        <v>0.008</v>
      </c>
      <c r="E40" s="48" t="n">
        <v>0.012</v>
      </c>
      <c r="F40" s="48" t="n">
        <v>0.018</v>
      </c>
      <c r="G40" s="32">
        <f>IF(D40="","",D40*$N$4+E40*$N$5+F40*$N$6)</f>
        <v/>
      </c>
      <c r="H40" s="69">
        <f>H39*(1+D40)</f>
        <v/>
      </c>
      <c r="I40" s="69">
        <f>I39*(1+E40)</f>
        <v/>
      </c>
      <c r="J40" s="69">
        <f>J39*(1+F40)</f>
        <v/>
      </c>
      <c r="K40" s="69">
        <f>K39*(1+G40)</f>
        <v/>
      </c>
    </row>
    <row r="41">
      <c r="B41" s="13" t="inlineStr">
        <is>
          <t>2027-12</t>
        </is>
      </c>
      <c r="C41" s="67">
        <f>IFERROR(IF(INDEX('CPI Data'!$I:$I,MATCH($B41,'CPI Data'!$B:$B,0))="","",INDEX('CPI Data'!$I:$I,MATCH($B41,'CPI Data'!$B:$B,0))),"")</f>
        <v/>
      </c>
      <c r="D41" s="48" t="n">
        <v>0.01</v>
      </c>
      <c r="E41" s="48" t="n">
        <v>0.014</v>
      </c>
      <c r="F41" s="48" t="n">
        <v>0.02</v>
      </c>
      <c r="G41" s="32">
        <f>IF(D41="","",D41*$N$4+E41*$N$5+F41*$N$6)</f>
        <v/>
      </c>
      <c r="H41" s="69">
        <f>H40*(1+D41)</f>
        <v/>
      </c>
      <c r="I41" s="69">
        <f>I40*(1+E41)</f>
        <v/>
      </c>
      <c r="J41" s="69">
        <f>J40*(1+F41)</f>
        <v/>
      </c>
      <c r="K41" s="69">
        <f>K40*(1+G41)</f>
        <v/>
      </c>
    </row>
    <row r="43">
      <c r="B43" s="11" t="inlineStr">
        <is>
          <t>Dec/Dec outcome</t>
        </is>
      </c>
    </row>
    <row r="44">
      <c r="B44" s="22" t="inlineStr"/>
      <c r="C44" s="22" t="inlineStr">
        <is>
          <t>Bull</t>
        </is>
      </c>
      <c r="D44" s="22" t="inlineStr">
        <is>
          <t>Base</t>
        </is>
      </c>
      <c r="E44" s="22" t="inlineStr">
        <is>
          <t>Bear</t>
        </is>
      </c>
      <c r="F44" s="22" t="inlineStr">
        <is>
          <t>Prob-weighted</t>
        </is>
      </c>
      <c r="G44" s="22" t="inlineStr">
        <is>
          <t>BCRA REM</t>
        </is>
      </c>
      <c r="H44" s="22" t="inlineStr">
        <is>
          <t>Budget bill</t>
        </is>
      </c>
      <c r="I44" s="6" t="inlineStr">
        <is>
          <t>Note</t>
        </is>
      </c>
    </row>
    <row r="45">
      <c r="B45" s="4" t="inlineStr">
        <is>
          <t>2026 (Dec/Dec)</t>
        </is>
      </c>
      <c r="C45" s="71">
        <f>H$29/INDEX('CPI Data'!$E:$E,MATCH("2025-12",'CPI Data'!$B:$B,0))-1</f>
        <v/>
      </c>
      <c r="D45" s="71">
        <f>I$29/INDEX('CPI Data'!$E:$E,MATCH("2025-12",'CPI Data'!$B:$B,0))-1</f>
        <v/>
      </c>
      <c r="E45" s="71">
        <f>J$29/INDEX('CPI Data'!$E:$E,MATCH("2025-12",'CPI Data'!$B:$B,0))-1</f>
        <v/>
      </c>
      <c r="F45" s="72">
        <f>K$29/INDEX('CPI Data'!$E:$E,MATCH("2025-12",'CPI Data'!$B:$B,0))-1</f>
        <v/>
      </c>
      <c r="G45" s="48" t="n">
        <v>0.3</v>
      </c>
      <c r="I45" s="35" t="inlineStr">
        <is>
          <t>REM: the August-2026 round (published 4-Sep-2026, 47 participants) confirms 30.0% median / 29.9% top-10 for 2026.</t>
        </is>
      </c>
    </row>
    <row r="46" ht="26" customHeight="1">
      <c r="B46" s="4" t="inlineStr">
        <is>
          <t>2027 (Dec/Dec)</t>
        </is>
      </c>
      <c r="C46" s="71">
        <f>H$41/H$29-1</f>
        <v/>
      </c>
      <c r="D46" s="71">
        <f>I$41/I$29-1</f>
        <v/>
      </c>
      <c r="E46" s="71">
        <f>J$41/J$29-1</f>
        <v/>
      </c>
      <c r="F46" s="72">
        <f>K$41/K$29-1</f>
        <v/>
      </c>
      <c r="G46" s="48" t="n">
        <v>0.2</v>
      </c>
      <c r="H46" s="48" t="n">
        <v>0.18</v>
      </c>
      <c r="I46" s="35" t="inlineStr">
        <is>
          <t>REM 2027 is the JULY round's 20.0% — the August round's 2027 median could not be obtained. Budget 2027 bill (tabled 15-Sep-2026): 18.0% Dec/Dec, 21.1% average, ARS 1,847.6/USD at Dec-2027. Between those two the base case has no contrarian content; the edge is the bear tail.</t>
        </is>
      </c>
    </row>
    <row r="49">
      <c r="B49" s="11" t="inlineStr">
        <is>
          <t>Scenario assumptions</t>
        </is>
      </c>
    </row>
    <row r="50">
      <c r="B50" s="22" t="inlineStr">
        <is>
          <t>Driver</t>
        </is>
      </c>
      <c r="C50" s="6" t="inlineStr">
        <is>
          <t>Bull</t>
        </is>
      </c>
      <c r="D50" s="6" t="inlineStr">
        <is>
          <t>Base</t>
        </is>
      </c>
      <c r="E50" s="6" t="inlineStr">
        <is>
          <t>Bear</t>
        </is>
      </c>
    </row>
    <row r="51" ht="46" customHeight="1">
      <c r="B51" s="7" t="inlineStr">
        <is>
          <t>FX - official, Dec-26</t>
        </is>
      </c>
      <c r="C51" s="8" t="inlineStr">
        <is>
          <t>ARS 1,600 - spot drifts up less than the band crawl; real appreciation resumes</t>
        </is>
      </c>
      <c r="D51" s="8" t="inlineStr">
        <is>
          <t>ARS 1,690 - spot tracks the band's CPI-indexed crawl, roughly 2.2%/m</t>
        </is>
      </c>
      <c r="E51" s="8" t="inlineStr">
        <is>
          <t>ARS 1,950 - band ceiling tested; a step devaluation of 12-15% in Q4</t>
        </is>
      </c>
    </row>
    <row r="52" ht="46" customHeight="1">
      <c r="B52" s="7" t="inlineStr">
        <is>
          <t>FX pass-through</t>
        </is>
      </c>
      <c r="C52" s="8" t="inlineStr">
        <is>
          <t>0.10 within a quarter - import competition holds, margins absorb</t>
        </is>
      </c>
      <c r="D52" s="8" t="inlineStr">
        <is>
          <t>0.15 within two quarters - the 2024-25 realised range</t>
        </is>
      </c>
      <c r="E52" s="8" t="inlineStr">
        <is>
          <t>0.30 - a discrete jump reprices tradables fast</t>
        </is>
      </c>
    </row>
    <row r="53" ht="46" customHeight="1">
      <c r="B53" s="7" t="inlineStr">
        <is>
          <t>Regulated tariffs</t>
        </is>
      </c>
      <c r="C53" s="8" t="inlineStr">
        <is>
          <t>Catch-up essentially complete; regulated converges toward core by Q4-26</t>
        </is>
      </c>
      <c r="D53" s="8" t="inlineStr">
        <is>
          <t>Regulated keeps running ~50-80bp/m above core through mid-27, then converges</t>
        </is>
      </c>
      <c r="E53" s="8" t="inlineStr">
        <is>
          <t>Subsidy removal re-accelerates; regulated stays 150bp/m above core</t>
        </is>
      </c>
    </row>
    <row r="54" ht="46" customHeight="1">
      <c r="B54" s="7" t="inlineStr">
        <is>
          <t>Wages / indexation</t>
        </is>
      </c>
      <c r="C54" s="8" t="inlineStr">
        <is>
          <t>Paritarias settle at or below expected inflation; backward indexation breaks</t>
        </is>
      </c>
      <c r="D54" s="8" t="inlineStr">
        <is>
          <t>Paritarias track trailing CPI - inertia keeps a floor near 1.2-1.4%/m</t>
        </is>
      </c>
      <c r="E54" s="8" t="inlineStr">
        <is>
          <t>Real wage recovery demands re-open; formal wages index to trailing 12m</t>
        </is>
      </c>
    </row>
    <row r="55" ht="46" customHeight="1">
      <c r="B55" s="7" t="inlineStr">
        <is>
          <t>Fiscal / monetary</t>
        </is>
      </c>
      <c r="C55" s="8" t="inlineStr">
        <is>
          <t>Primary surplus above 1.5% GDP, no monetary financing, orderly remonetisation</t>
        </is>
      </c>
      <c r="D55" s="8" t="inlineStr">
        <is>
          <t>Primary surplus around 1.0-1.5% GDP; peso demand grows with activity</t>
        </is>
      </c>
      <c r="E55" s="8" t="inlineStr">
        <is>
          <t>Surplus slips ahead of the 2027 electoral cycle; peso demand stalls</t>
        </is>
      </c>
    </row>
    <row r="56" ht="46" customHeight="1">
      <c r="B56" s="7" t="inlineStr">
        <is>
          <t>Key risk to this view</t>
        </is>
      </c>
      <c r="C56" s="8" t="inlineStr">
        <is>
          <t>Disinflation faster than any Argentine episode since convertibility - historically rare</t>
        </is>
      </c>
      <c r="D56" s="8" t="inlineStr">
        <is>
          <t>The band's CPI indexation removes the nominal anchor that drove 2024-25; inflation converges TO the crawl, not below it</t>
        </is>
      </c>
      <c r="E56" s="8" t="inlineStr">
        <is>
          <t>A band break is the single event that resets the path - watch reserve accumulation, not the CPI</t>
        </is>
      </c>
    </row>
  </sheetData>
  <pageMargins left="0.75" right="0.75" top="1" bottom="1" header="0.5" footer="0.5"/>
  <drawing xmlns:r="http://schemas.openxmlformats.org/officeDocument/2006/relationships" r:id="rId1"/>
</worksheet>
</file>

<file path=xl/worksheets/sheet14.xml><?xml version="1.0" encoding="utf-8"?>
<worksheet xmlns="http://schemas.openxmlformats.org/spreadsheetml/2006/main">
  <sheetPr>
    <tabColor rgb="001F3B63"/>
    <outlinePr summaryBelow="1" summaryRight="1"/>
    <pageSetUpPr fitToPage="1"/>
  </sheetPr>
  <dimension ref="B2:W93"/>
  <sheetViews>
    <sheetView showGridLines="0" workbookViewId="0">
      <selection activeCell="A1" sqref="A1"/>
    </sheetView>
  </sheetViews>
  <sheetFormatPr baseColWidth="8" defaultRowHeight="15"/>
  <cols>
    <col width="2" customWidth="1" min="1" max="1"/>
    <col width="30" customWidth="1" min="2" max="2"/>
    <col width="14" customWidth="1" min="3" max="3"/>
    <col width="13" customWidth="1" min="4" max="4"/>
    <col width="12" customWidth="1" min="5" max="5"/>
    <col width="20" customWidth="1" min="6" max="6"/>
    <col width="11" customWidth="1" min="7" max="7"/>
    <col width="70" customWidth="1" min="8" max="8"/>
    <col width="12" customWidth="1" min="9" max="9"/>
    <col width="11" customWidth="1" min="10" max="10"/>
    <col width="11" customWidth="1" min="11" max="11"/>
    <col width="12" customWidth="1" min="12" max="12"/>
    <col width="10" customWidth="1" min="13" max="13"/>
    <col width="11" customWidth="1" min="14" max="14"/>
    <col width="11" customWidth="1" min="15" max="15"/>
    <col width="10" customWidth="1" min="16" max="16"/>
    <col width="10" customWidth="1" min="17" max="17"/>
    <col width="10" customWidth="1" min="18" max="18"/>
    <col width="11" customWidth="1" min="19" max="19"/>
    <col width="12" customWidth="1" min="20" max="20"/>
    <col width="11" customWidth="1" min="21" max="21"/>
    <col width="11" customWidth="1" min="22" max="22"/>
    <col width="12" customWidth="1" min="23" max="23"/>
  </cols>
  <sheetData>
    <row r="2" ht="26" customHeight="1">
      <c r="B2" s="1" t="inlineStr">
        <is>
          <t>Six models — where is CPI in the three to six months before the vote?</t>
        </is>
      </c>
    </row>
    <row r="3">
      <c r="B3" s="2" t="inlineStr">
        <is>
          <t>Independent approaches, one comparison table. Blue = assumption you can change. Red = parameter estimated from the data. Black = calculated.</t>
        </is>
      </c>
    </row>
    <row r="4">
      <c r="B4" s="11" t="inlineStr">
        <is>
          <t>Election calendar</t>
        </is>
      </c>
    </row>
    <row r="5">
      <c r="B5" s="24" t="inlineStr">
        <is>
          <t>General election</t>
        </is>
      </c>
      <c r="D5" s="73" t="inlineStr">
        <is>
          <t>2027-10-24</t>
        </is>
      </c>
      <c r="E5" s="74" t="inlineStr">
        <is>
          <t>Fourth Sunday of October. Runoff within 30 days if no candidate clears 45%, or 40% with a 10pp margin.</t>
        </is>
      </c>
    </row>
    <row r="6">
      <c r="B6" s="24" t="inlineStr">
        <is>
          <t>PASO primary, if held</t>
        </is>
      </c>
      <c r="D6" s="73" t="inlineStr">
        <is>
          <t>2027-08-08</t>
        </is>
      </c>
      <c r="E6" s="74" t="inlineStr">
        <is>
          <t>Law 26.571. Suspended by statute for 2025 and 2026 ONLY — the suspension does NOT reach 2027, so the legal default is that primaries happen. Abolition needs 37 senators; LLA has roughly 21.</t>
        </is>
      </c>
    </row>
    <row r="7">
      <c r="B7" s="24" t="inlineStr">
        <is>
          <t>Window start (6 months before)</t>
        </is>
      </c>
      <c r="D7" s="73" t="inlineStr">
        <is>
          <t>2027-04-24</t>
        </is>
      </c>
      <c r="E7" s="74" t="inlineStr">
        <is>
          <t>The start of the period the question asks about.</t>
        </is>
      </c>
    </row>
    <row r="8">
      <c r="B8" s="24" t="inlineStr">
        <is>
          <t>Window end (3 months before)</t>
        </is>
      </c>
      <c r="D8" s="73" t="inlineStr">
        <is>
          <t>2027-07-24</t>
        </is>
      </c>
      <c r="E8" s="74" t="inlineStr">
        <is>
          <t>The end of it. Monthly prints in the window: April, May, June, July 2027.</t>
        </is>
      </c>
    </row>
    <row r="9">
      <c r="B9" s="24" t="inlineStr">
        <is>
          <t>Last CPI print published before the vote</t>
        </is>
      </c>
      <c r="D9" s="73" t="inlineStr">
        <is>
          <t>2027-09</t>
        </is>
      </c>
      <c r="E9" s="74" t="inlineStr">
        <is>
          <t>September-2027, released around 14 October. This is the number voters actually have.</t>
        </is>
      </c>
    </row>
    <row r="11">
      <c r="B11" s="11" t="inlineStr">
        <is>
          <t>Model parameters</t>
        </is>
      </c>
    </row>
    <row r="12">
      <c r="B12" s="75" t="inlineStr">
        <is>
          <t>MODEL 2 — Inertia / mean reversion</t>
        </is>
      </c>
    </row>
    <row r="13" ht="13" customHeight="1">
      <c r="B13" s="24" t="inlineStr">
        <is>
          <t>Starting monthly rate</t>
        </is>
      </c>
      <c r="D13" s="17">
        <f>(1+'CPI Data'!P98)^(1/12)-1</f>
        <v/>
      </c>
      <c r="E13" s="74" t="inlineStr">
        <is>
          <t>The trailing 3-month annualised rate at the last print, expressed monthly. Calculated, not assumed.</t>
        </is>
      </c>
    </row>
    <row r="14" ht="26" customHeight="1">
      <c r="B14" s="24" t="inlineStr">
        <is>
          <t>Terminal monthly rate</t>
        </is>
      </c>
      <c r="D14" s="62" t="n">
        <v>0.011</v>
      </c>
      <c r="E14" s="74" t="inlineStr">
        <is>
          <t>Where inflation settles. 1.10%/month compounds to about 14% a year. This is the single most important assumption in the model — stress it.</t>
        </is>
      </c>
    </row>
    <row r="15" ht="13" customHeight="1">
      <c r="B15" s="24" t="inlineStr">
        <is>
          <t>Monthly decay rho</t>
        </is>
      </c>
      <c r="D15" s="54" t="n">
        <v>0.93</v>
      </c>
      <c r="E15" s="74" t="inlineStr">
        <is>
          <t>Share of the gap to the terminal rate that survives each month. 0.93 implies a half-life of about ten months.</t>
        </is>
      </c>
    </row>
    <row r="16" ht="13" customHeight="1">
      <c r="B16" s="24" t="inlineStr">
        <is>
          <t>Implied half-life (months)</t>
        </is>
      </c>
      <c r="D16" s="20">
        <f>LN(2)/-LN($D$15)</f>
        <v/>
      </c>
      <c r="E16" s="74" t="inlineStr">
        <is>
          <t>Calculated from rho.</t>
        </is>
      </c>
    </row>
    <row r="18">
      <c r="B18" s="75" t="inlineStr">
        <is>
          <t>MODEL 3 — Bottom-up, with the FX band indexation loop</t>
        </is>
      </c>
    </row>
    <row r="19" ht="13" customHeight="1">
      <c r="B19" s="24" t="inlineStr">
        <is>
          <t>CPI weight, nucleo</t>
        </is>
      </c>
      <c r="D19" s="76" t="n">
        <v>0.7105</v>
      </c>
      <c r="E19" s="74" t="inlineStr"/>
    </row>
    <row r="20" ht="13" customHeight="1">
      <c r="B20" s="24" t="inlineStr">
        <is>
          <t>CPI weight, regulados</t>
        </is>
      </c>
      <c r="D20" s="76" t="n">
        <v>0.1683</v>
      </c>
      <c r="E20" s="74" t="inlineStr"/>
    </row>
    <row r="21" ht="13" customHeight="1">
      <c r="B21" s="24" t="inlineStr">
        <is>
          <t>CPI weight, estacionales</t>
        </is>
      </c>
      <c r="D21" s="76" t="n">
        <v>0.1211</v>
      </c>
      <c r="E21" s="74" t="inlineStr"/>
    </row>
    <row r="22" ht="13" customHeight="1">
      <c r="B22" s="24" t="inlineStr">
        <is>
          <t>Autonomous core, kappa</t>
        </is>
      </c>
      <c r="D22" s="77" t="n">
        <v>0.01309</v>
      </c>
      <c r="E22" s="74" t="inlineStr"/>
    </row>
    <row r="23" ht="13" customHeight="1">
      <c r="B23" s="24" t="inlineStr">
        <is>
          <t>Indexation coefficient, lambda</t>
        </is>
      </c>
      <c r="D23" s="76" t="n">
        <v>0.4087</v>
      </c>
      <c r="E23" s="74" t="inlineStr"/>
    </row>
    <row r="24" ht="13" customHeight="1">
      <c r="B24" s="24" t="inlineStr">
        <is>
          <t>FIXED POINT of the loop (monthly)</t>
        </is>
      </c>
      <c r="D24" s="78">
        <f>$D$22/(1-$D$23)</f>
        <v/>
      </c>
      <c r="E24" s="74" t="inlineStr">
        <is>
          <t>kappa / (1 - lambda). The rate the indexation loop settles at on its own.</t>
        </is>
      </c>
    </row>
    <row r="25" ht="26" customHeight="1">
      <c r="B25" s="24" t="inlineStr">
        <is>
          <t>FIXED POINT, annualised</t>
        </is>
      </c>
      <c r="D25" s="18">
        <f>(1+$D$24)^12-1</f>
        <v/>
      </c>
      <c r="E25" s="74" t="inlineStr">
        <is>
          <t>THE HEADLINE RESULT OF THIS MODEL. The mechanical fixed point of a CPI-indexed FX band is close to where inflation already is. Reaching the Budget's 18% requires BREAKING the loop, not letting it run.</t>
        </is>
      </c>
    </row>
    <row r="26" ht="13" customHeight="1">
      <c r="B26" s="24" t="inlineStr">
        <is>
          <t>Regulated premium over core now (pp/month)</t>
        </is>
      </c>
      <c r="D26" s="17">
        <f>AVERAGE('CPI Data'!T96:T98)/100</f>
        <v/>
      </c>
      <c r="E26" s="74" t="inlineStr">
        <is>
          <t>Three-month average of regulados less nucleo. Calculated from the data, not assumed.</t>
        </is>
      </c>
    </row>
    <row r="27" ht="26" customHeight="1">
      <c r="B27" s="24" t="inlineStr">
        <is>
          <t>Premium decay per month</t>
        </is>
      </c>
      <c r="D27" s="54" t="n">
        <v>0.9399999999999999</v>
      </c>
      <c r="E27" s="74" t="inlineStr">
        <is>
          <t>How fast the tariff catch-up converges to zero. At 0.94 the premium roughly halves each year. The 2027 Budget plans further subsidy withdrawal to 0.53% of GDP, so a slower decay is the bear case.</t>
        </is>
      </c>
    </row>
    <row r="29">
      <c r="B29" s="75" t="inlineStr">
        <is>
          <t>MODEL 4 — Seasonal carry-forward</t>
        </is>
      </c>
    </row>
    <row r="30" ht="26" customHeight="1">
      <c r="B30" s="24" t="inlineStr">
        <is>
          <t>Deseasonalised trend now (monthly)</t>
        </is>
      </c>
      <c r="D30" s="17">
        <f>Momentum!$E$76</f>
        <v/>
      </c>
      <c r="E30" s="74" t="inlineStr">
        <is>
          <t>Mean of the last three months' m/m divided by each month's own seasonal factor. Calculated on the Momentum tab. Note it runs ABOVE the trailing 3m annualised: June and July 2026 fell in the two coolest months of the calendar.</t>
        </is>
      </c>
    </row>
    <row r="31" ht="13" customHeight="1">
      <c r="B31" s="24" t="inlineStr">
        <is>
          <t>Terminal deseasonalised trend</t>
        </is>
      </c>
      <c r="D31" s="62" t="n">
        <v>0.0125</v>
      </c>
      <c r="E31" s="74" t="inlineStr">
        <is>
          <t>Where the seasonally adjusted trend settles.</t>
        </is>
      </c>
    </row>
    <row r="32" ht="26" customHeight="1">
      <c r="B32" s="24" t="inlineStr">
        <is>
          <t>Monthly decay</t>
        </is>
      </c>
      <c r="D32" s="54" t="n">
        <v>0.93</v>
      </c>
      <c r="E32" s="74" t="inlineStr">
        <is>
          <t>Same functional form as Model 2, applied to the seasonally adjusted trend, then the month's seasonal factor is re-imposed.</t>
        </is>
      </c>
    </row>
    <row r="34">
      <c r="B34" s="75" t="inlineStr">
        <is>
          <t>MODEL 5 — Market-implied</t>
        </is>
      </c>
    </row>
    <row r="35" ht="13" customHeight="1">
      <c r="B35" s="24" t="inlineStr">
        <is>
          <t>Breakeven, Sep-Oct 2026 (m/m)</t>
        </is>
      </c>
      <c r="D35" s="62" t="n">
        <v>0.019</v>
      </c>
      <c r="E35" s="74" t="inlineStr">
        <is>
          <t>Sourced: El Cronista, 25/26-Sep-2026, fixed-rate against CER.</t>
        </is>
      </c>
    </row>
    <row r="36" ht="26" customHeight="1">
      <c r="B36" s="24" t="inlineStr">
        <is>
          <t>Breakeven, Nov-2026 to May-2027 (m/m)</t>
        </is>
      </c>
      <c r="D36" s="62" t="n">
        <v>0.0185</v>
      </c>
      <c r="E36" s="74" t="inlineStr">
        <is>
          <t>Sourced. The longest-dated breakeven obtainable. It spans the pre-election window — which is what makes this model worth having.</t>
        </is>
      </c>
    </row>
    <row r="37" ht="26" customHeight="1">
      <c r="B37" s="24" t="inlineStr">
        <is>
          <t>Monthly drift beyond May-2027 (pp)</t>
        </is>
      </c>
      <c r="D37" s="79" t="n">
        <v>0</v>
      </c>
      <c r="E37" s="74" t="inlineStr">
        <is>
          <t>EXTRAPOLATION, NOT SOURCED. Zero holds the breakeven flat past the last sourced point. Discrete 2027-28 breakevens need a live BYMA/MAE or Bloomberg curve.</t>
        </is>
      </c>
    </row>
    <row r="39">
      <c r="B39" s="75" t="inlineStr">
        <is>
          <t>MODEL 6 — Consensus</t>
        </is>
      </c>
    </row>
    <row r="40" ht="13" customHeight="1">
      <c r="B40" s="24" t="inlineStr">
        <is>
          <t>REM Dec/Dec 2026</t>
        </is>
      </c>
      <c r="D40" s="48" t="n">
        <v>0.3</v>
      </c>
      <c r="E40" s="74" t="inlineStr">
        <is>
          <t>August-2026 round, 47 participants. The residual months of 2026 are solved so the path hits this exactly.</t>
        </is>
      </c>
    </row>
    <row r="41" ht="26" customHeight="1">
      <c r="B41" s="24" t="inlineStr">
        <is>
          <t>REM Dec/Dec 2027</t>
        </is>
      </c>
      <c r="D41" s="48" t="n">
        <v>0.2</v>
      </c>
      <c r="E41" s="74" t="inlineStr">
        <is>
          <t>July-2026 round — the August round's 2027 median could not be obtained. Set this to 18.0% to see the Budget's path instead.</t>
        </is>
      </c>
    </row>
    <row r="43">
      <c r="B43" s="11" t="inlineStr">
        <is>
          <t>Monthly paths</t>
        </is>
      </c>
    </row>
    <row r="44" ht="30" customHeight="1">
      <c r="B44" s="6" t="inlineStr">
        <is>
          <t>Month</t>
        </is>
      </c>
      <c r="C44" s="6" t="inlineStr">
        <is>
          <t>M#</t>
        </is>
      </c>
      <c r="D44" s="6" t="inlineStr">
        <is>
          <t>Actual</t>
        </is>
      </c>
      <c r="E44" s="6" t="inlineStr">
        <is>
          <t>M1 Bull</t>
        </is>
      </c>
      <c r="F44" s="6" t="inlineStr">
        <is>
          <t>M1 Base</t>
        </is>
      </c>
      <c r="G44" s="6" t="inlineStr">
        <is>
          <t>M1 Bear</t>
        </is>
      </c>
      <c r="H44" s="6" t="inlineStr">
        <is>
          <t>M2 Inertia</t>
        </is>
      </c>
      <c r="I44" s="6" t="inlineStr">
        <is>
          <t>M3 Bottom-up</t>
        </is>
      </c>
      <c r="J44" s="6" t="inlineStr">
        <is>
          <t>M4 Seasonal</t>
        </is>
      </c>
      <c r="K44" s="6" t="inlineStr">
        <is>
          <t>M5 Market</t>
        </is>
      </c>
      <c r="L44" s="6" t="inlineStr">
        <is>
          <t>M6 Consensus</t>
        </is>
      </c>
      <c r="M44" s="6" t="inlineStr">
        <is>
          <t>M3 core</t>
        </is>
      </c>
      <c r="N44" s="6" t="inlineStr">
        <is>
          <t>M3 premium</t>
        </is>
      </c>
      <c r="O44" s="6" t="inlineStr">
        <is>
          <t>Seas. factor</t>
        </is>
      </c>
      <c r="P44" s="6" t="inlineStr">
        <is>
          <t>idx Bull</t>
        </is>
      </c>
      <c r="Q44" s="6" t="inlineStr">
        <is>
          <t>idx Base</t>
        </is>
      </c>
      <c r="R44" s="6" t="inlineStr">
        <is>
          <t>idx Bear</t>
        </is>
      </c>
      <c r="S44" s="6" t="inlineStr">
        <is>
          <t>idx Inertia</t>
        </is>
      </c>
      <c r="T44" s="6" t="inlineStr">
        <is>
          <t>idx Bottom-up</t>
        </is>
      </c>
      <c r="U44" s="6" t="inlineStr">
        <is>
          <t>idx Seasonal</t>
        </is>
      </c>
      <c r="V44" s="6" t="inlineStr">
        <is>
          <t>idx Market</t>
        </is>
      </c>
      <c r="W44" s="6" t="inlineStr">
        <is>
          <t>idx Consensus</t>
        </is>
      </c>
    </row>
    <row r="45">
      <c r="B45" s="13" t="inlineStr">
        <is>
          <t>2026-01</t>
        </is>
      </c>
      <c r="C45" s="14" t="n">
        <v>1</v>
      </c>
      <c r="D45" s="80">
        <f>IFERROR(IF(INDEX('CPI Data'!$I:$I,MATCH($B45,'CPI Data'!$B:$B,0))="","",INDEX('CPI Data'!$I:$I,MATCH($B45,'CPI Data'!$B:$B,0))),"")</f>
        <v/>
      </c>
      <c r="E45" s="80">
        <f>IFERROR(INDEX(Forecast!$D:$D,MATCH($B45,Forecast!$B:$B,0)),"")</f>
        <v/>
      </c>
      <c r="F45" s="80">
        <f>IFERROR(INDEX(Forecast!$E:$E,MATCH($B45,Forecast!$B:$B,0)),"")</f>
        <v/>
      </c>
      <c r="G45" s="80">
        <f>IFERROR(INDEX(Forecast!$F:$F,MATCH($B45,Forecast!$B:$B,0)),"")</f>
        <v/>
      </c>
      <c r="H45" s="80">
        <f>$D45</f>
        <v/>
      </c>
      <c r="I45" s="80">
        <f>$D45</f>
        <v/>
      </c>
      <c r="J45" s="80">
        <f>$D45</f>
        <v/>
      </c>
      <c r="K45" s="80">
        <f>$D45</f>
        <v/>
      </c>
      <c r="M45" s="80">
        <f>IFERROR(INDEX('CPI Data'!$J:$J,MATCH($B45,'CPI Data'!$B:$B,0)),"")</f>
        <v/>
      </c>
      <c r="N45" s="80">
        <f>IFERROR(INDEX('CPI Data'!$T:$T,MATCH($B45,'CPI Data'!$B:$B,0))/100,"")</f>
        <v/>
      </c>
      <c r="O45" s="81">
        <f>'Seasonal Factors'!$L$6</f>
        <v/>
      </c>
      <c r="P45" s="69">
        <f>IFERROR(INDEX('CPI Data'!$E:$E,MATCH($B45,'CPI Data'!$B:$B,0)),"")</f>
        <v/>
      </c>
      <c r="Q45" s="69">
        <f>IFERROR(INDEX('CPI Data'!$E:$E,MATCH($B45,'CPI Data'!$B:$B,0)),"")</f>
        <v/>
      </c>
      <c r="R45" s="69">
        <f>IFERROR(INDEX('CPI Data'!$E:$E,MATCH($B45,'CPI Data'!$B:$B,0)),"")</f>
        <v/>
      </c>
      <c r="S45" s="69">
        <f>IFERROR(INDEX('CPI Data'!$E:$E,MATCH($B45,'CPI Data'!$B:$B,0)),"")</f>
        <v/>
      </c>
      <c r="T45" s="69">
        <f>IFERROR(INDEX('CPI Data'!$E:$E,MATCH($B45,'CPI Data'!$B:$B,0)),"")</f>
        <v/>
      </c>
      <c r="U45" s="69">
        <f>IFERROR(INDEX('CPI Data'!$E:$E,MATCH($B45,'CPI Data'!$B:$B,0)),"")</f>
        <v/>
      </c>
      <c r="V45" s="69">
        <f>IFERROR(INDEX('CPI Data'!$E:$E,MATCH($B45,'CPI Data'!$B:$B,0)),"")</f>
        <v/>
      </c>
      <c r="W45" s="69">
        <f>IFERROR(INDEX('CPI Data'!$E:$E,MATCH($B45,'CPI Data'!$B:$B,0)),"")</f>
        <v/>
      </c>
    </row>
    <row r="46">
      <c r="B46" s="13" t="inlineStr">
        <is>
          <t>2026-02</t>
        </is>
      </c>
      <c r="C46" s="14" t="n">
        <v>2</v>
      </c>
      <c r="D46" s="80">
        <f>IFERROR(IF(INDEX('CPI Data'!$I:$I,MATCH($B46,'CPI Data'!$B:$B,0))="","",INDEX('CPI Data'!$I:$I,MATCH($B46,'CPI Data'!$B:$B,0))),"")</f>
        <v/>
      </c>
      <c r="E46" s="80">
        <f>IFERROR(INDEX(Forecast!$D:$D,MATCH($B46,Forecast!$B:$B,0)),"")</f>
        <v/>
      </c>
      <c r="F46" s="80">
        <f>IFERROR(INDEX(Forecast!$E:$E,MATCH($B46,Forecast!$B:$B,0)),"")</f>
        <v/>
      </c>
      <c r="G46" s="80">
        <f>IFERROR(INDEX(Forecast!$F:$F,MATCH($B46,Forecast!$B:$B,0)),"")</f>
        <v/>
      </c>
      <c r="H46" s="80">
        <f>$D46</f>
        <v/>
      </c>
      <c r="I46" s="80">
        <f>$D46</f>
        <v/>
      </c>
      <c r="J46" s="80">
        <f>$D46</f>
        <v/>
      </c>
      <c r="K46" s="80">
        <f>$D46</f>
        <v/>
      </c>
      <c r="M46" s="80">
        <f>IFERROR(INDEX('CPI Data'!$J:$J,MATCH($B46,'CPI Data'!$B:$B,0)),"")</f>
        <v/>
      </c>
      <c r="N46" s="80">
        <f>IFERROR(INDEX('CPI Data'!$T:$T,MATCH($B46,'CPI Data'!$B:$B,0))/100,"")</f>
        <v/>
      </c>
      <c r="O46" s="81">
        <f>'Seasonal Factors'!$L$7</f>
        <v/>
      </c>
      <c r="P46" s="69">
        <f>IFERROR(INDEX('CPI Data'!$E:$E,MATCH($B46,'CPI Data'!$B:$B,0)),"")</f>
        <v/>
      </c>
      <c r="Q46" s="69">
        <f>IFERROR(INDEX('CPI Data'!$E:$E,MATCH($B46,'CPI Data'!$B:$B,0)),"")</f>
        <v/>
      </c>
      <c r="R46" s="69">
        <f>IFERROR(INDEX('CPI Data'!$E:$E,MATCH($B46,'CPI Data'!$B:$B,0)),"")</f>
        <v/>
      </c>
      <c r="S46" s="69">
        <f>IFERROR(INDEX('CPI Data'!$E:$E,MATCH($B46,'CPI Data'!$B:$B,0)),"")</f>
        <v/>
      </c>
      <c r="T46" s="69">
        <f>IFERROR(INDEX('CPI Data'!$E:$E,MATCH($B46,'CPI Data'!$B:$B,0)),"")</f>
        <v/>
      </c>
      <c r="U46" s="69">
        <f>IFERROR(INDEX('CPI Data'!$E:$E,MATCH($B46,'CPI Data'!$B:$B,0)),"")</f>
        <v/>
      </c>
      <c r="V46" s="69">
        <f>IFERROR(INDEX('CPI Data'!$E:$E,MATCH($B46,'CPI Data'!$B:$B,0)),"")</f>
        <v/>
      </c>
      <c r="W46" s="69">
        <f>IFERROR(INDEX('CPI Data'!$E:$E,MATCH($B46,'CPI Data'!$B:$B,0)),"")</f>
        <v/>
      </c>
    </row>
    <row r="47">
      <c r="B47" s="13" t="inlineStr">
        <is>
          <t>2026-03</t>
        </is>
      </c>
      <c r="C47" s="14" t="n">
        <v>3</v>
      </c>
      <c r="D47" s="80">
        <f>IFERROR(IF(INDEX('CPI Data'!$I:$I,MATCH($B47,'CPI Data'!$B:$B,0))="","",INDEX('CPI Data'!$I:$I,MATCH($B47,'CPI Data'!$B:$B,0))),"")</f>
        <v/>
      </c>
      <c r="E47" s="80">
        <f>IFERROR(INDEX(Forecast!$D:$D,MATCH($B47,Forecast!$B:$B,0)),"")</f>
        <v/>
      </c>
      <c r="F47" s="80">
        <f>IFERROR(INDEX(Forecast!$E:$E,MATCH($B47,Forecast!$B:$B,0)),"")</f>
        <v/>
      </c>
      <c r="G47" s="80">
        <f>IFERROR(INDEX(Forecast!$F:$F,MATCH($B47,Forecast!$B:$B,0)),"")</f>
        <v/>
      </c>
      <c r="H47" s="80">
        <f>$D47</f>
        <v/>
      </c>
      <c r="I47" s="80">
        <f>$D47</f>
        <v/>
      </c>
      <c r="J47" s="80">
        <f>$D47</f>
        <v/>
      </c>
      <c r="K47" s="80">
        <f>$D47</f>
        <v/>
      </c>
      <c r="M47" s="80">
        <f>IFERROR(INDEX('CPI Data'!$J:$J,MATCH($B47,'CPI Data'!$B:$B,0)),"")</f>
        <v/>
      </c>
      <c r="N47" s="80">
        <f>IFERROR(INDEX('CPI Data'!$T:$T,MATCH($B47,'CPI Data'!$B:$B,0))/100,"")</f>
        <v/>
      </c>
      <c r="O47" s="81">
        <f>'Seasonal Factors'!$L$8</f>
        <v/>
      </c>
      <c r="P47" s="69">
        <f>IFERROR(INDEX('CPI Data'!$E:$E,MATCH($B47,'CPI Data'!$B:$B,0)),"")</f>
        <v/>
      </c>
      <c r="Q47" s="69">
        <f>IFERROR(INDEX('CPI Data'!$E:$E,MATCH($B47,'CPI Data'!$B:$B,0)),"")</f>
        <v/>
      </c>
      <c r="R47" s="69">
        <f>IFERROR(INDEX('CPI Data'!$E:$E,MATCH($B47,'CPI Data'!$B:$B,0)),"")</f>
        <v/>
      </c>
      <c r="S47" s="69">
        <f>IFERROR(INDEX('CPI Data'!$E:$E,MATCH($B47,'CPI Data'!$B:$B,0)),"")</f>
        <v/>
      </c>
      <c r="T47" s="69">
        <f>IFERROR(INDEX('CPI Data'!$E:$E,MATCH($B47,'CPI Data'!$B:$B,0)),"")</f>
        <v/>
      </c>
      <c r="U47" s="69">
        <f>IFERROR(INDEX('CPI Data'!$E:$E,MATCH($B47,'CPI Data'!$B:$B,0)),"")</f>
        <v/>
      </c>
      <c r="V47" s="69">
        <f>IFERROR(INDEX('CPI Data'!$E:$E,MATCH($B47,'CPI Data'!$B:$B,0)),"")</f>
        <v/>
      </c>
      <c r="W47" s="69">
        <f>IFERROR(INDEX('CPI Data'!$E:$E,MATCH($B47,'CPI Data'!$B:$B,0)),"")</f>
        <v/>
      </c>
    </row>
    <row r="48">
      <c r="B48" s="13" t="inlineStr">
        <is>
          <t>2026-04</t>
        </is>
      </c>
      <c r="C48" s="14" t="n">
        <v>4</v>
      </c>
      <c r="D48" s="80">
        <f>IFERROR(IF(INDEX('CPI Data'!$I:$I,MATCH($B48,'CPI Data'!$B:$B,0))="","",INDEX('CPI Data'!$I:$I,MATCH($B48,'CPI Data'!$B:$B,0))),"")</f>
        <v/>
      </c>
      <c r="E48" s="80">
        <f>IFERROR(INDEX(Forecast!$D:$D,MATCH($B48,Forecast!$B:$B,0)),"")</f>
        <v/>
      </c>
      <c r="F48" s="80">
        <f>IFERROR(INDEX(Forecast!$E:$E,MATCH($B48,Forecast!$B:$B,0)),"")</f>
        <v/>
      </c>
      <c r="G48" s="80">
        <f>IFERROR(INDEX(Forecast!$F:$F,MATCH($B48,Forecast!$B:$B,0)),"")</f>
        <v/>
      </c>
      <c r="H48" s="80">
        <f>$D48</f>
        <v/>
      </c>
      <c r="I48" s="80">
        <f>$D48</f>
        <v/>
      </c>
      <c r="J48" s="80">
        <f>$D48</f>
        <v/>
      </c>
      <c r="K48" s="80">
        <f>$D48</f>
        <v/>
      </c>
      <c r="M48" s="80">
        <f>IFERROR(INDEX('CPI Data'!$J:$J,MATCH($B48,'CPI Data'!$B:$B,0)),"")</f>
        <v/>
      </c>
      <c r="N48" s="80">
        <f>IFERROR(INDEX('CPI Data'!$T:$T,MATCH($B48,'CPI Data'!$B:$B,0))/100,"")</f>
        <v/>
      </c>
      <c r="O48" s="81">
        <f>'Seasonal Factors'!$L$9</f>
        <v/>
      </c>
      <c r="P48" s="69">
        <f>IFERROR(INDEX('CPI Data'!$E:$E,MATCH($B48,'CPI Data'!$B:$B,0)),"")</f>
        <v/>
      </c>
      <c r="Q48" s="69">
        <f>IFERROR(INDEX('CPI Data'!$E:$E,MATCH($B48,'CPI Data'!$B:$B,0)),"")</f>
        <v/>
      </c>
      <c r="R48" s="69">
        <f>IFERROR(INDEX('CPI Data'!$E:$E,MATCH($B48,'CPI Data'!$B:$B,0)),"")</f>
        <v/>
      </c>
      <c r="S48" s="69">
        <f>IFERROR(INDEX('CPI Data'!$E:$E,MATCH($B48,'CPI Data'!$B:$B,0)),"")</f>
        <v/>
      </c>
      <c r="T48" s="69">
        <f>IFERROR(INDEX('CPI Data'!$E:$E,MATCH($B48,'CPI Data'!$B:$B,0)),"")</f>
        <v/>
      </c>
      <c r="U48" s="69">
        <f>IFERROR(INDEX('CPI Data'!$E:$E,MATCH($B48,'CPI Data'!$B:$B,0)),"")</f>
        <v/>
      </c>
      <c r="V48" s="69">
        <f>IFERROR(INDEX('CPI Data'!$E:$E,MATCH($B48,'CPI Data'!$B:$B,0)),"")</f>
        <v/>
      </c>
      <c r="W48" s="69">
        <f>IFERROR(INDEX('CPI Data'!$E:$E,MATCH($B48,'CPI Data'!$B:$B,0)),"")</f>
        <v/>
      </c>
    </row>
    <row r="49">
      <c r="B49" s="13" t="inlineStr">
        <is>
          <t>2026-05</t>
        </is>
      </c>
      <c r="C49" s="14" t="n">
        <v>5</v>
      </c>
      <c r="D49" s="80">
        <f>IFERROR(IF(INDEX('CPI Data'!$I:$I,MATCH($B49,'CPI Data'!$B:$B,0))="","",INDEX('CPI Data'!$I:$I,MATCH($B49,'CPI Data'!$B:$B,0))),"")</f>
        <v/>
      </c>
      <c r="E49" s="80">
        <f>IFERROR(INDEX(Forecast!$D:$D,MATCH($B49,Forecast!$B:$B,0)),"")</f>
        <v/>
      </c>
      <c r="F49" s="80">
        <f>IFERROR(INDEX(Forecast!$E:$E,MATCH($B49,Forecast!$B:$B,0)),"")</f>
        <v/>
      </c>
      <c r="G49" s="80">
        <f>IFERROR(INDEX(Forecast!$F:$F,MATCH($B49,Forecast!$B:$B,0)),"")</f>
        <v/>
      </c>
      <c r="H49" s="80">
        <f>$D49</f>
        <v/>
      </c>
      <c r="I49" s="80">
        <f>$D49</f>
        <v/>
      </c>
      <c r="J49" s="80">
        <f>$D49</f>
        <v/>
      </c>
      <c r="K49" s="80">
        <f>$D49</f>
        <v/>
      </c>
      <c r="M49" s="80">
        <f>IFERROR(INDEX('CPI Data'!$J:$J,MATCH($B49,'CPI Data'!$B:$B,0)),"")</f>
        <v/>
      </c>
      <c r="N49" s="80">
        <f>IFERROR(INDEX('CPI Data'!$T:$T,MATCH($B49,'CPI Data'!$B:$B,0))/100,"")</f>
        <v/>
      </c>
      <c r="O49" s="81">
        <f>'Seasonal Factors'!$L$10</f>
        <v/>
      </c>
      <c r="P49" s="69">
        <f>IFERROR(INDEX('CPI Data'!$E:$E,MATCH($B49,'CPI Data'!$B:$B,0)),"")</f>
        <v/>
      </c>
      <c r="Q49" s="69">
        <f>IFERROR(INDEX('CPI Data'!$E:$E,MATCH($B49,'CPI Data'!$B:$B,0)),"")</f>
        <v/>
      </c>
      <c r="R49" s="69">
        <f>IFERROR(INDEX('CPI Data'!$E:$E,MATCH($B49,'CPI Data'!$B:$B,0)),"")</f>
        <v/>
      </c>
      <c r="S49" s="69">
        <f>IFERROR(INDEX('CPI Data'!$E:$E,MATCH($B49,'CPI Data'!$B:$B,0)),"")</f>
        <v/>
      </c>
      <c r="T49" s="69">
        <f>IFERROR(INDEX('CPI Data'!$E:$E,MATCH($B49,'CPI Data'!$B:$B,0)),"")</f>
        <v/>
      </c>
      <c r="U49" s="69">
        <f>IFERROR(INDEX('CPI Data'!$E:$E,MATCH($B49,'CPI Data'!$B:$B,0)),"")</f>
        <v/>
      </c>
      <c r="V49" s="69">
        <f>IFERROR(INDEX('CPI Data'!$E:$E,MATCH($B49,'CPI Data'!$B:$B,0)),"")</f>
        <v/>
      </c>
      <c r="W49" s="69">
        <f>IFERROR(INDEX('CPI Data'!$E:$E,MATCH($B49,'CPI Data'!$B:$B,0)),"")</f>
        <v/>
      </c>
    </row>
    <row r="50">
      <c r="B50" s="13" t="inlineStr">
        <is>
          <t>2026-06</t>
        </is>
      </c>
      <c r="C50" s="14" t="n">
        <v>6</v>
      </c>
      <c r="D50" s="80">
        <f>IFERROR(IF(INDEX('CPI Data'!$I:$I,MATCH($B50,'CPI Data'!$B:$B,0))="","",INDEX('CPI Data'!$I:$I,MATCH($B50,'CPI Data'!$B:$B,0))),"")</f>
        <v/>
      </c>
      <c r="E50" s="80">
        <f>IFERROR(INDEX(Forecast!$D:$D,MATCH($B50,Forecast!$B:$B,0)),"")</f>
        <v/>
      </c>
      <c r="F50" s="80">
        <f>IFERROR(INDEX(Forecast!$E:$E,MATCH($B50,Forecast!$B:$B,0)),"")</f>
        <v/>
      </c>
      <c r="G50" s="80">
        <f>IFERROR(INDEX(Forecast!$F:$F,MATCH($B50,Forecast!$B:$B,0)),"")</f>
        <v/>
      </c>
      <c r="H50" s="80">
        <f>$D50</f>
        <v/>
      </c>
      <c r="I50" s="80">
        <f>$D50</f>
        <v/>
      </c>
      <c r="J50" s="80">
        <f>$D50</f>
        <v/>
      </c>
      <c r="K50" s="80">
        <f>$D50</f>
        <v/>
      </c>
      <c r="M50" s="80">
        <f>IFERROR(INDEX('CPI Data'!$J:$J,MATCH($B50,'CPI Data'!$B:$B,0)),"")</f>
        <v/>
      </c>
      <c r="N50" s="80">
        <f>IFERROR(INDEX('CPI Data'!$T:$T,MATCH($B50,'CPI Data'!$B:$B,0))/100,"")</f>
        <v/>
      </c>
      <c r="O50" s="81">
        <f>'Seasonal Factors'!$L$11</f>
        <v/>
      </c>
      <c r="P50" s="69">
        <f>IFERROR(INDEX('CPI Data'!$E:$E,MATCH($B50,'CPI Data'!$B:$B,0)),"")</f>
        <v/>
      </c>
      <c r="Q50" s="69">
        <f>IFERROR(INDEX('CPI Data'!$E:$E,MATCH($B50,'CPI Data'!$B:$B,0)),"")</f>
        <v/>
      </c>
      <c r="R50" s="69">
        <f>IFERROR(INDEX('CPI Data'!$E:$E,MATCH($B50,'CPI Data'!$B:$B,0)),"")</f>
        <v/>
      </c>
      <c r="S50" s="69">
        <f>IFERROR(INDEX('CPI Data'!$E:$E,MATCH($B50,'CPI Data'!$B:$B,0)),"")</f>
        <v/>
      </c>
      <c r="T50" s="69">
        <f>IFERROR(INDEX('CPI Data'!$E:$E,MATCH($B50,'CPI Data'!$B:$B,0)),"")</f>
        <v/>
      </c>
      <c r="U50" s="69">
        <f>IFERROR(INDEX('CPI Data'!$E:$E,MATCH($B50,'CPI Data'!$B:$B,0)),"")</f>
        <v/>
      </c>
      <c r="V50" s="69">
        <f>IFERROR(INDEX('CPI Data'!$E:$E,MATCH($B50,'CPI Data'!$B:$B,0)),"")</f>
        <v/>
      </c>
      <c r="W50" s="69">
        <f>IFERROR(INDEX('CPI Data'!$E:$E,MATCH($B50,'CPI Data'!$B:$B,0)),"")</f>
        <v/>
      </c>
    </row>
    <row r="51">
      <c r="B51" s="13" t="inlineStr">
        <is>
          <t>2026-07</t>
        </is>
      </c>
      <c r="C51" s="14" t="n">
        <v>7</v>
      </c>
      <c r="D51" s="80">
        <f>IFERROR(IF(INDEX('CPI Data'!$I:$I,MATCH($B51,'CPI Data'!$B:$B,0))="","",INDEX('CPI Data'!$I:$I,MATCH($B51,'CPI Data'!$B:$B,0))),"")</f>
        <v/>
      </c>
      <c r="E51" s="80">
        <f>IFERROR(INDEX(Forecast!$D:$D,MATCH($B51,Forecast!$B:$B,0)),"")</f>
        <v/>
      </c>
      <c r="F51" s="80">
        <f>IFERROR(INDEX(Forecast!$E:$E,MATCH($B51,Forecast!$B:$B,0)),"")</f>
        <v/>
      </c>
      <c r="G51" s="80">
        <f>IFERROR(INDEX(Forecast!$F:$F,MATCH($B51,Forecast!$B:$B,0)),"")</f>
        <v/>
      </c>
      <c r="H51" s="80">
        <f>$D51</f>
        <v/>
      </c>
      <c r="I51" s="80">
        <f>$D51</f>
        <v/>
      </c>
      <c r="J51" s="80">
        <f>$D51</f>
        <v/>
      </c>
      <c r="K51" s="80">
        <f>$D51</f>
        <v/>
      </c>
      <c r="M51" s="80">
        <f>IFERROR(INDEX('CPI Data'!$J:$J,MATCH($B51,'CPI Data'!$B:$B,0)),"")</f>
        <v/>
      </c>
      <c r="N51" s="80">
        <f>IFERROR(INDEX('CPI Data'!$T:$T,MATCH($B51,'CPI Data'!$B:$B,0))/100,"")</f>
        <v/>
      </c>
      <c r="O51" s="81">
        <f>'Seasonal Factors'!$L$12</f>
        <v/>
      </c>
      <c r="P51" s="69">
        <f>IFERROR(INDEX('CPI Data'!$E:$E,MATCH($B51,'CPI Data'!$B:$B,0)),"")</f>
        <v/>
      </c>
      <c r="Q51" s="69">
        <f>IFERROR(INDEX('CPI Data'!$E:$E,MATCH($B51,'CPI Data'!$B:$B,0)),"")</f>
        <v/>
      </c>
      <c r="R51" s="69">
        <f>IFERROR(INDEX('CPI Data'!$E:$E,MATCH($B51,'CPI Data'!$B:$B,0)),"")</f>
        <v/>
      </c>
      <c r="S51" s="69">
        <f>IFERROR(INDEX('CPI Data'!$E:$E,MATCH($B51,'CPI Data'!$B:$B,0)),"")</f>
        <v/>
      </c>
      <c r="T51" s="69">
        <f>IFERROR(INDEX('CPI Data'!$E:$E,MATCH($B51,'CPI Data'!$B:$B,0)),"")</f>
        <v/>
      </c>
      <c r="U51" s="69">
        <f>IFERROR(INDEX('CPI Data'!$E:$E,MATCH($B51,'CPI Data'!$B:$B,0)),"")</f>
        <v/>
      </c>
      <c r="V51" s="69">
        <f>IFERROR(INDEX('CPI Data'!$E:$E,MATCH($B51,'CPI Data'!$B:$B,0)),"")</f>
        <v/>
      </c>
      <c r="W51" s="69">
        <f>IFERROR(INDEX('CPI Data'!$E:$E,MATCH($B51,'CPI Data'!$B:$B,0)),"")</f>
        <v/>
      </c>
    </row>
    <row r="52">
      <c r="B52" s="13" t="inlineStr">
        <is>
          <t>2026-08</t>
        </is>
      </c>
      <c r="C52" s="14" t="n">
        <v>8</v>
      </c>
      <c r="D52" s="80">
        <f>IFERROR(IF(INDEX('CPI Data'!$I:$I,MATCH($B52,'CPI Data'!$B:$B,0))="","",INDEX('CPI Data'!$I:$I,MATCH($B52,'CPI Data'!$B:$B,0))),"")</f>
        <v/>
      </c>
      <c r="E52" s="80">
        <f>IFERROR(INDEX(Forecast!$D:$D,MATCH($B52,Forecast!$B:$B,0)),"")</f>
        <v/>
      </c>
      <c r="F52" s="80">
        <f>IFERROR(INDEX(Forecast!$E:$E,MATCH($B52,Forecast!$B:$B,0)),"")</f>
        <v/>
      </c>
      <c r="G52" s="80">
        <f>IFERROR(INDEX(Forecast!$F:$F,MATCH($B52,Forecast!$B:$B,0)),"")</f>
        <v/>
      </c>
      <c r="H52" s="80">
        <f>$D52</f>
        <v/>
      </c>
      <c r="I52" s="80">
        <f>$D52</f>
        <v/>
      </c>
      <c r="J52" s="80">
        <f>$D52</f>
        <v/>
      </c>
      <c r="K52" s="80">
        <f>$D52</f>
        <v/>
      </c>
      <c r="M52" s="80">
        <f>IFERROR(INDEX('CPI Data'!$J:$J,MATCH($B52,'CPI Data'!$B:$B,0)),"")</f>
        <v/>
      </c>
      <c r="N52" s="80">
        <f>IFERROR(INDEX('CPI Data'!$T:$T,MATCH($B52,'CPI Data'!$B:$B,0))/100,"")</f>
        <v/>
      </c>
      <c r="O52" s="81">
        <f>'Seasonal Factors'!$L$13</f>
        <v/>
      </c>
      <c r="P52" s="69">
        <f>IFERROR(INDEX('CPI Data'!$E:$E,MATCH($B52,'CPI Data'!$B:$B,0)),"")</f>
        <v/>
      </c>
      <c r="Q52" s="69">
        <f>IFERROR(INDEX('CPI Data'!$E:$E,MATCH($B52,'CPI Data'!$B:$B,0)),"")</f>
        <v/>
      </c>
      <c r="R52" s="69">
        <f>IFERROR(INDEX('CPI Data'!$E:$E,MATCH($B52,'CPI Data'!$B:$B,0)),"")</f>
        <v/>
      </c>
      <c r="S52" s="69">
        <f>IFERROR(INDEX('CPI Data'!$E:$E,MATCH($B52,'CPI Data'!$B:$B,0)),"")</f>
        <v/>
      </c>
      <c r="T52" s="69">
        <f>IFERROR(INDEX('CPI Data'!$E:$E,MATCH($B52,'CPI Data'!$B:$B,0)),"")</f>
        <v/>
      </c>
      <c r="U52" s="69">
        <f>IFERROR(INDEX('CPI Data'!$E:$E,MATCH($B52,'CPI Data'!$B:$B,0)),"")</f>
        <v/>
      </c>
      <c r="V52" s="69">
        <f>IFERROR(INDEX('CPI Data'!$E:$E,MATCH($B52,'CPI Data'!$B:$B,0)),"")</f>
        <v/>
      </c>
      <c r="W52" s="69">
        <f>IFERROR(INDEX('CPI Data'!$E:$E,MATCH($B52,'CPI Data'!$B:$B,0)),"")</f>
        <v/>
      </c>
    </row>
    <row r="53">
      <c r="B53" s="13" t="inlineStr">
        <is>
          <t>2026-09</t>
        </is>
      </c>
      <c r="C53" s="14" t="n">
        <v>9</v>
      </c>
      <c r="D53" s="80">
        <f>IFERROR(IF(INDEX('CPI Data'!$I:$I,MATCH($B53,'CPI Data'!$B:$B,0))="","",INDEX('CPI Data'!$I:$I,MATCH($B53,'CPI Data'!$B:$B,0))),"")</f>
        <v/>
      </c>
      <c r="E53" s="17">
        <f>IFERROR(INDEX(Forecast!$D:$D,MATCH($B53,Forecast!$B:$B,0)),"")</f>
        <v/>
      </c>
      <c r="F53" s="17">
        <f>IFERROR(INDEX(Forecast!$E:$E,MATCH($B53,Forecast!$B:$B,0)),"")</f>
        <v/>
      </c>
      <c r="G53" s="17">
        <f>IFERROR(INDEX(Forecast!$F:$F,MATCH($B53,Forecast!$B:$B,0)),"")</f>
        <v/>
      </c>
      <c r="H53" s="17">
        <f>$D$14+($D$13-$D$14)*$D$15^(ROW()-52)</f>
        <v/>
      </c>
      <c r="I53" s="17">
        <f>(M53+$D$20*N53)*O53</f>
        <v/>
      </c>
      <c r="J53" s="17">
        <f>($D$31+($D$30-$D$31)*$D$32^(ROW()-52))*O53</f>
        <v/>
      </c>
      <c r="K53" s="17">
        <f>IF($B53&lt;="2026-10",$D$35,IF($B53&lt;="2027-05",$D$36,$D$36+$D$37*(ROW()-61)))</f>
        <v/>
      </c>
      <c r="L53" s="17">
        <f>((1+$D$40)*INDEX('CPI Data'!$E:$E,MATCH("2025-12",'CPI Data'!$B:$B,0))/INDEX('CPI Data'!$E:$E,MATCH("2026-08",'CPI Data'!$B:$B,0)))^(1/4)-1</f>
        <v/>
      </c>
      <c r="M53" s="17">
        <f>$D$22+$D$23*I51</f>
        <v/>
      </c>
      <c r="N53" s="17">
        <f>$D$26*$D$27^(ROW()-52)</f>
        <v/>
      </c>
      <c r="O53" s="81">
        <f>'Seasonal Factors'!$L$14</f>
        <v/>
      </c>
      <c r="P53" s="69">
        <f>P52*(1+E53)</f>
        <v/>
      </c>
      <c r="Q53" s="69">
        <f>Q52*(1+F53)</f>
        <v/>
      </c>
      <c r="R53" s="69">
        <f>R52*(1+G53)</f>
        <v/>
      </c>
      <c r="S53" s="69">
        <f>S52*(1+H53)</f>
        <v/>
      </c>
      <c r="T53" s="69">
        <f>T52*(1+I53)</f>
        <v/>
      </c>
      <c r="U53" s="69">
        <f>U52*(1+J53)</f>
        <v/>
      </c>
      <c r="V53" s="69">
        <f>V52*(1+K53)</f>
        <v/>
      </c>
      <c r="W53" s="69">
        <f>W52*(1+L53)</f>
        <v/>
      </c>
    </row>
    <row r="54">
      <c r="B54" s="13" t="inlineStr">
        <is>
          <t>2026-10</t>
        </is>
      </c>
      <c r="C54" s="14" t="n">
        <v>10</v>
      </c>
      <c r="D54" s="80">
        <f>IFERROR(IF(INDEX('CPI Data'!$I:$I,MATCH($B54,'CPI Data'!$B:$B,0))="","",INDEX('CPI Data'!$I:$I,MATCH($B54,'CPI Data'!$B:$B,0))),"")</f>
        <v/>
      </c>
      <c r="E54" s="17">
        <f>IFERROR(INDEX(Forecast!$D:$D,MATCH($B54,Forecast!$B:$B,0)),"")</f>
        <v/>
      </c>
      <c r="F54" s="17">
        <f>IFERROR(INDEX(Forecast!$E:$E,MATCH($B54,Forecast!$B:$B,0)),"")</f>
        <v/>
      </c>
      <c r="G54" s="17">
        <f>IFERROR(INDEX(Forecast!$F:$F,MATCH($B54,Forecast!$B:$B,0)),"")</f>
        <v/>
      </c>
      <c r="H54" s="17">
        <f>$D$14+($D$13-$D$14)*$D$15^(ROW()-52)</f>
        <v/>
      </c>
      <c r="I54" s="17">
        <f>(M54+$D$20*N54)*O54</f>
        <v/>
      </c>
      <c r="J54" s="17">
        <f>($D$31+($D$30-$D$31)*$D$32^(ROW()-52))*O54</f>
        <v/>
      </c>
      <c r="K54" s="17">
        <f>IF($B54&lt;="2026-10",$D$35,IF($B54&lt;="2027-05",$D$36,$D$36+$D$37*(ROW()-61)))</f>
        <v/>
      </c>
      <c r="L54" s="17">
        <f>((1+$D$40)*INDEX('CPI Data'!$E:$E,MATCH("2025-12",'CPI Data'!$B:$B,0))/INDEX('CPI Data'!$E:$E,MATCH("2026-08",'CPI Data'!$B:$B,0)))^(1/4)-1</f>
        <v/>
      </c>
      <c r="M54" s="17">
        <f>$D$22+$D$23*I52</f>
        <v/>
      </c>
      <c r="N54" s="17">
        <f>$D$26*$D$27^(ROW()-52)</f>
        <v/>
      </c>
      <c r="O54" s="81">
        <f>'Seasonal Factors'!$L$15</f>
        <v/>
      </c>
      <c r="P54" s="69">
        <f>P53*(1+E54)</f>
        <v/>
      </c>
      <c r="Q54" s="69">
        <f>Q53*(1+F54)</f>
        <v/>
      </c>
      <c r="R54" s="69">
        <f>R53*(1+G54)</f>
        <v/>
      </c>
      <c r="S54" s="69">
        <f>S53*(1+H54)</f>
        <v/>
      </c>
      <c r="T54" s="69">
        <f>T53*(1+I54)</f>
        <v/>
      </c>
      <c r="U54" s="69">
        <f>U53*(1+J54)</f>
        <v/>
      </c>
      <c r="V54" s="69">
        <f>V53*(1+K54)</f>
        <v/>
      </c>
      <c r="W54" s="69">
        <f>W53*(1+L54)</f>
        <v/>
      </c>
    </row>
    <row r="55">
      <c r="B55" s="13" t="inlineStr">
        <is>
          <t>2026-11</t>
        </is>
      </c>
      <c r="C55" s="14" t="n">
        <v>11</v>
      </c>
      <c r="D55" s="80">
        <f>IFERROR(IF(INDEX('CPI Data'!$I:$I,MATCH($B55,'CPI Data'!$B:$B,0))="","",INDEX('CPI Data'!$I:$I,MATCH($B55,'CPI Data'!$B:$B,0))),"")</f>
        <v/>
      </c>
      <c r="E55" s="17">
        <f>IFERROR(INDEX(Forecast!$D:$D,MATCH($B55,Forecast!$B:$B,0)),"")</f>
        <v/>
      </c>
      <c r="F55" s="17">
        <f>IFERROR(INDEX(Forecast!$E:$E,MATCH($B55,Forecast!$B:$B,0)),"")</f>
        <v/>
      </c>
      <c r="G55" s="17">
        <f>IFERROR(INDEX(Forecast!$F:$F,MATCH($B55,Forecast!$B:$B,0)),"")</f>
        <v/>
      </c>
      <c r="H55" s="17">
        <f>$D$14+($D$13-$D$14)*$D$15^(ROW()-52)</f>
        <v/>
      </c>
      <c r="I55" s="17">
        <f>(M55+$D$20*N55)*O55</f>
        <v/>
      </c>
      <c r="J55" s="17">
        <f>($D$31+($D$30-$D$31)*$D$32^(ROW()-52))*O55</f>
        <v/>
      </c>
      <c r="K55" s="17">
        <f>IF($B55&lt;="2026-10",$D$35,IF($B55&lt;="2027-05",$D$36,$D$36+$D$37*(ROW()-61)))</f>
        <v/>
      </c>
      <c r="L55" s="17">
        <f>((1+$D$40)*INDEX('CPI Data'!$E:$E,MATCH("2025-12",'CPI Data'!$B:$B,0))/INDEX('CPI Data'!$E:$E,MATCH("2026-08",'CPI Data'!$B:$B,0)))^(1/4)-1</f>
        <v/>
      </c>
      <c r="M55" s="17">
        <f>$D$22+$D$23*I53</f>
        <v/>
      </c>
      <c r="N55" s="17">
        <f>$D$26*$D$27^(ROW()-52)</f>
        <v/>
      </c>
      <c r="O55" s="81">
        <f>'Seasonal Factors'!$L$16</f>
        <v/>
      </c>
      <c r="P55" s="69">
        <f>P54*(1+E55)</f>
        <v/>
      </c>
      <c r="Q55" s="69">
        <f>Q54*(1+F55)</f>
        <v/>
      </c>
      <c r="R55" s="69">
        <f>R54*(1+G55)</f>
        <v/>
      </c>
      <c r="S55" s="69">
        <f>S54*(1+H55)</f>
        <v/>
      </c>
      <c r="T55" s="69">
        <f>T54*(1+I55)</f>
        <v/>
      </c>
      <c r="U55" s="69">
        <f>U54*(1+J55)</f>
        <v/>
      </c>
      <c r="V55" s="69">
        <f>V54*(1+K55)</f>
        <v/>
      </c>
      <c r="W55" s="69">
        <f>W54*(1+L55)</f>
        <v/>
      </c>
    </row>
    <row r="56">
      <c r="B56" s="13" t="inlineStr">
        <is>
          <t>2026-12</t>
        </is>
      </c>
      <c r="C56" s="14" t="n">
        <v>12</v>
      </c>
      <c r="D56" s="80">
        <f>IFERROR(IF(INDEX('CPI Data'!$I:$I,MATCH($B56,'CPI Data'!$B:$B,0))="","",INDEX('CPI Data'!$I:$I,MATCH($B56,'CPI Data'!$B:$B,0))),"")</f>
        <v/>
      </c>
      <c r="E56" s="17">
        <f>IFERROR(INDEX(Forecast!$D:$D,MATCH($B56,Forecast!$B:$B,0)),"")</f>
        <v/>
      </c>
      <c r="F56" s="17">
        <f>IFERROR(INDEX(Forecast!$E:$E,MATCH($B56,Forecast!$B:$B,0)),"")</f>
        <v/>
      </c>
      <c r="G56" s="17">
        <f>IFERROR(INDEX(Forecast!$F:$F,MATCH($B56,Forecast!$B:$B,0)),"")</f>
        <v/>
      </c>
      <c r="H56" s="17">
        <f>$D$14+($D$13-$D$14)*$D$15^(ROW()-52)</f>
        <v/>
      </c>
      <c r="I56" s="17">
        <f>(M56+$D$20*N56)*O56</f>
        <v/>
      </c>
      <c r="J56" s="17">
        <f>($D$31+($D$30-$D$31)*$D$32^(ROW()-52))*O56</f>
        <v/>
      </c>
      <c r="K56" s="17">
        <f>IF($B56&lt;="2026-10",$D$35,IF($B56&lt;="2027-05",$D$36,$D$36+$D$37*(ROW()-61)))</f>
        <v/>
      </c>
      <c r="L56" s="17">
        <f>((1+$D$40)*INDEX('CPI Data'!$E:$E,MATCH("2025-12",'CPI Data'!$B:$B,0))/INDEX('CPI Data'!$E:$E,MATCH("2026-08",'CPI Data'!$B:$B,0)))^(1/4)-1</f>
        <v/>
      </c>
      <c r="M56" s="17">
        <f>$D$22+$D$23*I54</f>
        <v/>
      </c>
      <c r="N56" s="17">
        <f>$D$26*$D$27^(ROW()-52)</f>
        <v/>
      </c>
      <c r="O56" s="81">
        <f>'Seasonal Factors'!$L$17</f>
        <v/>
      </c>
      <c r="P56" s="69">
        <f>P55*(1+E56)</f>
        <v/>
      </c>
      <c r="Q56" s="69">
        <f>Q55*(1+F56)</f>
        <v/>
      </c>
      <c r="R56" s="69">
        <f>R55*(1+G56)</f>
        <v/>
      </c>
      <c r="S56" s="69">
        <f>S55*(1+H56)</f>
        <v/>
      </c>
      <c r="T56" s="69">
        <f>T55*(1+I56)</f>
        <v/>
      </c>
      <c r="U56" s="69">
        <f>U55*(1+J56)</f>
        <v/>
      </c>
      <c r="V56" s="69">
        <f>V55*(1+K56)</f>
        <v/>
      </c>
      <c r="W56" s="69">
        <f>W55*(1+L56)</f>
        <v/>
      </c>
    </row>
    <row r="57">
      <c r="B57" s="13" t="inlineStr">
        <is>
          <t>2027-01</t>
        </is>
      </c>
      <c r="C57" s="14" t="n">
        <v>1</v>
      </c>
      <c r="D57" s="80">
        <f>IFERROR(IF(INDEX('CPI Data'!$I:$I,MATCH($B57,'CPI Data'!$B:$B,0))="","",INDEX('CPI Data'!$I:$I,MATCH($B57,'CPI Data'!$B:$B,0))),"")</f>
        <v/>
      </c>
      <c r="E57" s="17">
        <f>IFERROR(INDEX(Forecast!$D:$D,MATCH($B57,Forecast!$B:$B,0)),"")</f>
        <v/>
      </c>
      <c r="F57" s="17">
        <f>IFERROR(INDEX(Forecast!$E:$E,MATCH($B57,Forecast!$B:$B,0)),"")</f>
        <v/>
      </c>
      <c r="G57" s="17">
        <f>IFERROR(INDEX(Forecast!$F:$F,MATCH($B57,Forecast!$B:$B,0)),"")</f>
        <v/>
      </c>
      <c r="H57" s="17">
        <f>$D$14+($D$13-$D$14)*$D$15^(ROW()-52)</f>
        <v/>
      </c>
      <c r="I57" s="17">
        <f>(M57+$D$20*N57)*O57</f>
        <v/>
      </c>
      <c r="J57" s="17">
        <f>($D$31+($D$30-$D$31)*$D$32^(ROW()-52))*O57</f>
        <v/>
      </c>
      <c r="K57" s="17">
        <f>IF($B57&lt;="2026-10",$D$35,IF($B57&lt;="2027-05",$D$36,$D$36+$D$37*(ROW()-61)))</f>
        <v/>
      </c>
      <c r="L57" s="17">
        <f>(1+$D$41)^(1/12)-1</f>
        <v/>
      </c>
      <c r="M57" s="17">
        <f>$D$22+$D$23*I55</f>
        <v/>
      </c>
      <c r="N57" s="17">
        <f>$D$26*$D$27^(ROW()-52)</f>
        <v/>
      </c>
      <c r="O57" s="81">
        <f>'Seasonal Factors'!$L$6</f>
        <v/>
      </c>
      <c r="P57" s="69">
        <f>P56*(1+E57)</f>
        <v/>
      </c>
      <c r="Q57" s="69">
        <f>Q56*(1+F57)</f>
        <v/>
      </c>
      <c r="R57" s="69">
        <f>R56*(1+G57)</f>
        <v/>
      </c>
      <c r="S57" s="69">
        <f>S56*(1+H57)</f>
        <v/>
      </c>
      <c r="T57" s="69">
        <f>T56*(1+I57)</f>
        <v/>
      </c>
      <c r="U57" s="69">
        <f>U56*(1+J57)</f>
        <v/>
      </c>
      <c r="V57" s="69">
        <f>V56*(1+K57)</f>
        <v/>
      </c>
      <c r="W57" s="69">
        <f>W56*(1+L57)</f>
        <v/>
      </c>
    </row>
    <row r="58">
      <c r="B58" s="13" t="inlineStr">
        <is>
          <t>2027-02</t>
        </is>
      </c>
      <c r="C58" s="14" t="n">
        <v>2</v>
      </c>
      <c r="D58" s="80">
        <f>IFERROR(IF(INDEX('CPI Data'!$I:$I,MATCH($B58,'CPI Data'!$B:$B,0))="","",INDEX('CPI Data'!$I:$I,MATCH($B58,'CPI Data'!$B:$B,0))),"")</f>
        <v/>
      </c>
      <c r="E58" s="17">
        <f>IFERROR(INDEX(Forecast!$D:$D,MATCH($B58,Forecast!$B:$B,0)),"")</f>
        <v/>
      </c>
      <c r="F58" s="17">
        <f>IFERROR(INDEX(Forecast!$E:$E,MATCH($B58,Forecast!$B:$B,0)),"")</f>
        <v/>
      </c>
      <c r="G58" s="17">
        <f>IFERROR(INDEX(Forecast!$F:$F,MATCH($B58,Forecast!$B:$B,0)),"")</f>
        <v/>
      </c>
      <c r="H58" s="17">
        <f>$D$14+($D$13-$D$14)*$D$15^(ROW()-52)</f>
        <v/>
      </c>
      <c r="I58" s="17">
        <f>(M58+$D$20*N58)*O58</f>
        <v/>
      </c>
      <c r="J58" s="17">
        <f>($D$31+($D$30-$D$31)*$D$32^(ROW()-52))*O58</f>
        <v/>
      </c>
      <c r="K58" s="17">
        <f>IF($B58&lt;="2026-10",$D$35,IF($B58&lt;="2027-05",$D$36,$D$36+$D$37*(ROW()-61)))</f>
        <v/>
      </c>
      <c r="L58" s="17">
        <f>(1+$D$41)^(1/12)-1</f>
        <v/>
      </c>
      <c r="M58" s="17">
        <f>$D$22+$D$23*I56</f>
        <v/>
      </c>
      <c r="N58" s="17">
        <f>$D$26*$D$27^(ROW()-52)</f>
        <v/>
      </c>
      <c r="O58" s="81">
        <f>'Seasonal Factors'!$L$7</f>
        <v/>
      </c>
      <c r="P58" s="69">
        <f>P57*(1+E58)</f>
        <v/>
      </c>
      <c r="Q58" s="69">
        <f>Q57*(1+F58)</f>
        <v/>
      </c>
      <c r="R58" s="69">
        <f>R57*(1+G58)</f>
        <v/>
      </c>
      <c r="S58" s="69">
        <f>S57*(1+H58)</f>
        <v/>
      </c>
      <c r="T58" s="69">
        <f>T57*(1+I58)</f>
        <v/>
      </c>
      <c r="U58" s="69">
        <f>U57*(1+J58)</f>
        <v/>
      </c>
      <c r="V58" s="69">
        <f>V57*(1+K58)</f>
        <v/>
      </c>
      <c r="W58" s="69">
        <f>W57*(1+L58)</f>
        <v/>
      </c>
    </row>
    <row r="59">
      <c r="B59" s="13" t="inlineStr">
        <is>
          <t>2027-03</t>
        </is>
      </c>
      <c r="C59" s="14" t="n">
        <v>3</v>
      </c>
      <c r="D59" s="80">
        <f>IFERROR(IF(INDEX('CPI Data'!$I:$I,MATCH($B59,'CPI Data'!$B:$B,0))="","",INDEX('CPI Data'!$I:$I,MATCH($B59,'CPI Data'!$B:$B,0))),"")</f>
        <v/>
      </c>
      <c r="E59" s="17">
        <f>IFERROR(INDEX(Forecast!$D:$D,MATCH($B59,Forecast!$B:$B,0)),"")</f>
        <v/>
      </c>
      <c r="F59" s="17">
        <f>IFERROR(INDEX(Forecast!$E:$E,MATCH($B59,Forecast!$B:$B,0)),"")</f>
        <v/>
      </c>
      <c r="G59" s="17">
        <f>IFERROR(INDEX(Forecast!$F:$F,MATCH($B59,Forecast!$B:$B,0)),"")</f>
        <v/>
      </c>
      <c r="H59" s="17">
        <f>$D$14+($D$13-$D$14)*$D$15^(ROW()-52)</f>
        <v/>
      </c>
      <c r="I59" s="17">
        <f>(M59+$D$20*N59)*O59</f>
        <v/>
      </c>
      <c r="J59" s="17">
        <f>($D$31+($D$30-$D$31)*$D$32^(ROW()-52))*O59</f>
        <v/>
      </c>
      <c r="K59" s="17">
        <f>IF($B59&lt;="2026-10",$D$35,IF($B59&lt;="2027-05",$D$36,$D$36+$D$37*(ROW()-61)))</f>
        <v/>
      </c>
      <c r="L59" s="17">
        <f>(1+$D$41)^(1/12)-1</f>
        <v/>
      </c>
      <c r="M59" s="17">
        <f>$D$22+$D$23*I57</f>
        <v/>
      </c>
      <c r="N59" s="17">
        <f>$D$26*$D$27^(ROW()-52)</f>
        <v/>
      </c>
      <c r="O59" s="81">
        <f>'Seasonal Factors'!$L$8</f>
        <v/>
      </c>
      <c r="P59" s="69">
        <f>P58*(1+E59)</f>
        <v/>
      </c>
      <c r="Q59" s="69">
        <f>Q58*(1+F59)</f>
        <v/>
      </c>
      <c r="R59" s="69">
        <f>R58*(1+G59)</f>
        <v/>
      </c>
      <c r="S59" s="69">
        <f>S58*(1+H59)</f>
        <v/>
      </c>
      <c r="T59" s="69">
        <f>T58*(1+I59)</f>
        <v/>
      </c>
      <c r="U59" s="69">
        <f>U58*(1+J59)</f>
        <v/>
      </c>
      <c r="V59" s="69">
        <f>V58*(1+K59)</f>
        <v/>
      </c>
      <c r="W59" s="69">
        <f>W58*(1+L59)</f>
        <v/>
      </c>
    </row>
    <row r="60">
      <c r="B60" s="13" t="inlineStr">
        <is>
          <t>2027-04</t>
        </is>
      </c>
      <c r="C60" s="14" t="n">
        <v>4</v>
      </c>
      <c r="D60" s="80">
        <f>IFERROR(IF(INDEX('CPI Data'!$I:$I,MATCH($B60,'CPI Data'!$B:$B,0))="","",INDEX('CPI Data'!$I:$I,MATCH($B60,'CPI Data'!$B:$B,0))),"")</f>
        <v/>
      </c>
      <c r="E60" s="17">
        <f>IFERROR(INDEX(Forecast!$D:$D,MATCH($B60,Forecast!$B:$B,0)),"")</f>
        <v/>
      </c>
      <c r="F60" s="17">
        <f>IFERROR(INDEX(Forecast!$E:$E,MATCH($B60,Forecast!$B:$B,0)),"")</f>
        <v/>
      </c>
      <c r="G60" s="17">
        <f>IFERROR(INDEX(Forecast!$F:$F,MATCH($B60,Forecast!$B:$B,0)),"")</f>
        <v/>
      </c>
      <c r="H60" s="17">
        <f>$D$14+($D$13-$D$14)*$D$15^(ROW()-52)</f>
        <v/>
      </c>
      <c r="I60" s="17">
        <f>(M60+$D$20*N60)*O60</f>
        <v/>
      </c>
      <c r="J60" s="17">
        <f>($D$31+($D$30-$D$31)*$D$32^(ROW()-52))*O60</f>
        <v/>
      </c>
      <c r="K60" s="17">
        <f>IF($B60&lt;="2026-10",$D$35,IF($B60&lt;="2027-05",$D$36,$D$36+$D$37*(ROW()-61)))</f>
        <v/>
      </c>
      <c r="L60" s="17">
        <f>(1+$D$41)^(1/12)-1</f>
        <v/>
      </c>
      <c r="M60" s="17">
        <f>$D$22+$D$23*I58</f>
        <v/>
      </c>
      <c r="N60" s="17">
        <f>$D$26*$D$27^(ROW()-52)</f>
        <v/>
      </c>
      <c r="O60" s="81">
        <f>'Seasonal Factors'!$L$9</f>
        <v/>
      </c>
      <c r="P60" s="69">
        <f>P59*(1+E60)</f>
        <v/>
      </c>
      <c r="Q60" s="69">
        <f>Q59*(1+F60)</f>
        <v/>
      </c>
      <c r="R60" s="69">
        <f>R59*(1+G60)</f>
        <v/>
      </c>
      <c r="S60" s="69">
        <f>S59*(1+H60)</f>
        <v/>
      </c>
      <c r="T60" s="69">
        <f>T59*(1+I60)</f>
        <v/>
      </c>
      <c r="U60" s="69">
        <f>U59*(1+J60)</f>
        <v/>
      </c>
      <c r="V60" s="69">
        <f>V59*(1+K60)</f>
        <v/>
      </c>
      <c r="W60" s="69">
        <f>W59*(1+L60)</f>
        <v/>
      </c>
    </row>
    <row r="61">
      <c r="B61" s="13" t="inlineStr">
        <is>
          <t>2027-05</t>
        </is>
      </c>
      <c r="C61" s="14" t="n">
        <v>5</v>
      </c>
      <c r="D61" s="80">
        <f>IFERROR(IF(INDEX('CPI Data'!$I:$I,MATCH($B61,'CPI Data'!$B:$B,0))="","",INDEX('CPI Data'!$I:$I,MATCH($B61,'CPI Data'!$B:$B,0))),"")</f>
        <v/>
      </c>
      <c r="E61" s="17">
        <f>IFERROR(INDEX(Forecast!$D:$D,MATCH($B61,Forecast!$B:$B,0)),"")</f>
        <v/>
      </c>
      <c r="F61" s="17">
        <f>IFERROR(INDEX(Forecast!$E:$E,MATCH($B61,Forecast!$B:$B,0)),"")</f>
        <v/>
      </c>
      <c r="G61" s="17">
        <f>IFERROR(INDEX(Forecast!$F:$F,MATCH($B61,Forecast!$B:$B,0)),"")</f>
        <v/>
      </c>
      <c r="H61" s="17">
        <f>$D$14+($D$13-$D$14)*$D$15^(ROW()-52)</f>
        <v/>
      </c>
      <c r="I61" s="17">
        <f>(M61+$D$20*N61)*O61</f>
        <v/>
      </c>
      <c r="J61" s="17">
        <f>($D$31+($D$30-$D$31)*$D$32^(ROW()-52))*O61</f>
        <v/>
      </c>
      <c r="K61" s="17">
        <f>IF($B61&lt;="2026-10",$D$35,IF($B61&lt;="2027-05",$D$36,$D$36+$D$37*(ROW()-61)))</f>
        <v/>
      </c>
      <c r="L61" s="17">
        <f>(1+$D$41)^(1/12)-1</f>
        <v/>
      </c>
      <c r="M61" s="17">
        <f>$D$22+$D$23*I59</f>
        <v/>
      </c>
      <c r="N61" s="17">
        <f>$D$26*$D$27^(ROW()-52)</f>
        <v/>
      </c>
      <c r="O61" s="81">
        <f>'Seasonal Factors'!$L$10</f>
        <v/>
      </c>
      <c r="P61" s="69">
        <f>P60*(1+E61)</f>
        <v/>
      </c>
      <c r="Q61" s="69">
        <f>Q60*(1+F61)</f>
        <v/>
      </c>
      <c r="R61" s="69">
        <f>R60*(1+G61)</f>
        <v/>
      </c>
      <c r="S61" s="69">
        <f>S60*(1+H61)</f>
        <v/>
      </c>
      <c r="T61" s="69">
        <f>T60*(1+I61)</f>
        <v/>
      </c>
      <c r="U61" s="69">
        <f>U60*(1+J61)</f>
        <v/>
      </c>
      <c r="V61" s="69">
        <f>V60*(1+K61)</f>
        <v/>
      </c>
      <c r="W61" s="69">
        <f>W60*(1+L61)</f>
        <v/>
      </c>
    </row>
    <row r="62">
      <c r="B62" s="13" t="inlineStr">
        <is>
          <t>2027-06</t>
        </is>
      </c>
      <c r="C62" s="14" t="n">
        <v>6</v>
      </c>
      <c r="D62" s="80">
        <f>IFERROR(IF(INDEX('CPI Data'!$I:$I,MATCH($B62,'CPI Data'!$B:$B,0))="","",INDEX('CPI Data'!$I:$I,MATCH($B62,'CPI Data'!$B:$B,0))),"")</f>
        <v/>
      </c>
      <c r="E62" s="17">
        <f>IFERROR(INDEX(Forecast!$D:$D,MATCH($B62,Forecast!$B:$B,0)),"")</f>
        <v/>
      </c>
      <c r="F62" s="17">
        <f>IFERROR(INDEX(Forecast!$E:$E,MATCH($B62,Forecast!$B:$B,0)),"")</f>
        <v/>
      </c>
      <c r="G62" s="17">
        <f>IFERROR(INDEX(Forecast!$F:$F,MATCH($B62,Forecast!$B:$B,0)),"")</f>
        <v/>
      </c>
      <c r="H62" s="17">
        <f>$D$14+($D$13-$D$14)*$D$15^(ROW()-52)</f>
        <v/>
      </c>
      <c r="I62" s="17">
        <f>(M62+$D$20*N62)*O62</f>
        <v/>
      </c>
      <c r="J62" s="17">
        <f>($D$31+($D$30-$D$31)*$D$32^(ROW()-52))*O62</f>
        <v/>
      </c>
      <c r="K62" s="17">
        <f>IF($B62&lt;="2026-10",$D$35,IF($B62&lt;="2027-05",$D$36,$D$36+$D$37*(ROW()-61)))</f>
        <v/>
      </c>
      <c r="L62" s="17">
        <f>(1+$D$41)^(1/12)-1</f>
        <v/>
      </c>
      <c r="M62" s="17">
        <f>$D$22+$D$23*I60</f>
        <v/>
      </c>
      <c r="N62" s="17">
        <f>$D$26*$D$27^(ROW()-52)</f>
        <v/>
      </c>
      <c r="O62" s="81">
        <f>'Seasonal Factors'!$L$11</f>
        <v/>
      </c>
      <c r="P62" s="69">
        <f>P61*(1+E62)</f>
        <v/>
      </c>
      <c r="Q62" s="69">
        <f>Q61*(1+F62)</f>
        <v/>
      </c>
      <c r="R62" s="69">
        <f>R61*(1+G62)</f>
        <v/>
      </c>
      <c r="S62" s="69">
        <f>S61*(1+H62)</f>
        <v/>
      </c>
      <c r="T62" s="69">
        <f>T61*(1+I62)</f>
        <v/>
      </c>
      <c r="U62" s="69">
        <f>U61*(1+J62)</f>
        <v/>
      </c>
      <c r="V62" s="69">
        <f>V61*(1+K62)</f>
        <v/>
      </c>
      <c r="W62" s="69">
        <f>W61*(1+L62)</f>
        <v/>
      </c>
    </row>
    <row r="63">
      <c r="B63" s="13" t="inlineStr">
        <is>
          <t>2027-07</t>
        </is>
      </c>
      <c r="C63" s="14" t="n">
        <v>7</v>
      </c>
      <c r="D63" s="80">
        <f>IFERROR(IF(INDEX('CPI Data'!$I:$I,MATCH($B63,'CPI Data'!$B:$B,0))="","",INDEX('CPI Data'!$I:$I,MATCH($B63,'CPI Data'!$B:$B,0))),"")</f>
        <v/>
      </c>
      <c r="E63" s="17">
        <f>IFERROR(INDEX(Forecast!$D:$D,MATCH($B63,Forecast!$B:$B,0)),"")</f>
        <v/>
      </c>
      <c r="F63" s="17">
        <f>IFERROR(INDEX(Forecast!$E:$E,MATCH($B63,Forecast!$B:$B,0)),"")</f>
        <v/>
      </c>
      <c r="G63" s="17">
        <f>IFERROR(INDEX(Forecast!$F:$F,MATCH($B63,Forecast!$B:$B,0)),"")</f>
        <v/>
      </c>
      <c r="H63" s="17">
        <f>$D$14+($D$13-$D$14)*$D$15^(ROW()-52)</f>
        <v/>
      </c>
      <c r="I63" s="17">
        <f>(M63+$D$20*N63)*O63</f>
        <v/>
      </c>
      <c r="J63" s="17">
        <f>($D$31+($D$30-$D$31)*$D$32^(ROW()-52))*O63</f>
        <v/>
      </c>
      <c r="K63" s="17">
        <f>IF($B63&lt;="2026-10",$D$35,IF($B63&lt;="2027-05",$D$36,$D$36+$D$37*(ROW()-61)))</f>
        <v/>
      </c>
      <c r="L63" s="17">
        <f>(1+$D$41)^(1/12)-1</f>
        <v/>
      </c>
      <c r="M63" s="17">
        <f>$D$22+$D$23*I61</f>
        <v/>
      </c>
      <c r="N63" s="17">
        <f>$D$26*$D$27^(ROW()-52)</f>
        <v/>
      </c>
      <c r="O63" s="81">
        <f>'Seasonal Factors'!$L$12</f>
        <v/>
      </c>
      <c r="P63" s="69">
        <f>P62*(1+E63)</f>
        <v/>
      </c>
      <c r="Q63" s="69">
        <f>Q62*(1+F63)</f>
        <v/>
      </c>
      <c r="R63" s="69">
        <f>R62*(1+G63)</f>
        <v/>
      </c>
      <c r="S63" s="69">
        <f>S62*(1+H63)</f>
        <v/>
      </c>
      <c r="T63" s="69">
        <f>T62*(1+I63)</f>
        <v/>
      </c>
      <c r="U63" s="69">
        <f>U62*(1+J63)</f>
        <v/>
      </c>
      <c r="V63" s="69">
        <f>V62*(1+K63)</f>
        <v/>
      </c>
      <c r="W63" s="69">
        <f>W62*(1+L63)</f>
        <v/>
      </c>
    </row>
    <row r="64">
      <c r="B64" s="13" t="inlineStr">
        <is>
          <t>2027-08</t>
        </is>
      </c>
      <c r="C64" s="14" t="n">
        <v>8</v>
      </c>
      <c r="D64" s="80">
        <f>IFERROR(IF(INDEX('CPI Data'!$I:$I,MATCH($B64,'CPI Data'!$B:$B,0))="","",INDEX('CPI Data'!$I:$I,MATCH($B64,'CPI Data'!$B:$B,0))),"")</f>
        <v/>
      </c>
      <c r="E64" s="17">
        <f>IFERROR(INDEX(Forecast!$D:$D,MATCH($B64,Forecast!$B:$B,0)),"")</f>
        <v/>
      </c>
      <c r="F64" s="17">
        <f>IFERROR(INDEX(Forecast!$E:$E,MATCH($B64,Forecast!$B:$B,0)),"")</f>
        <v/>
      </c>
      <c r="G64" s="17">
        <f>IFERROR(INDEX(Forecast!$F:$F,MATCH($B64,Forecast!$B:$B,0)),"")</f>
        <v/>
      </c>
      <c r="H64" s="17">
        <f>$D$14+($D$13-$D$14)*$D$15^(ROW()-52)</f>
        <v/>
      </c>
      <c r="I64" s="17">
        <f>(M64+$D$20*N64)*O64</f>
        <v/>
      </c>
      <c r="J64" s="17">
        <f>($D$31+($D$30-$D$31)*$D$32^(ROW()-52))*O64</f>
        <v/>
      </c>
      <c r="K64" s="17">
        <f>IF($B64&lt;="2026-10",$D$35,IF($B64&lt;="2027-05",$D$36,$D$36+$D$37*(ROW()-61)))</f>
        <v/>
      </c>
      <c r="L64" s="17">
        <f>(1+$D$41)^(1/12)-1</f>
        <v/>
      </c>
      <c r="M64" s="17">
        <f>$D$22+$D$23*I62</f>
        <v/>
      </c>
      <c r="N64" s="17">
        <f>$D$26*$D$27^(ROW()-52)</f>
        <v/>
      </c>
      <c r="O64" s="81">
        <f>'Seasonal Factors'!$L$13</f>
        <v/>
      </c>
      <c r="P64" s="69">
        <f>P63*(1+E64)</f>
        <v/>
      </c>
      <c r="Q64" s="69">
        <f>Q63*(1+F64)</f>
        <v/>
      </c>
      <c r="R64" s="69">
        <f>R63*(1+G64)</f>
        <v/>
      </c>
      <c r="S64" s="69">
        <f>S63*(1+H64)</f>
        <v/>
      </c>
      <c r="T64" s="69">
        <f>T63*(1+I64)</f>
        <v/>
      </c>
      <c r="U64" s="69">
        <f>U63*(1+J64)</f>
        <v/>
      </c>
      <c r="V64" s="69">
        <f>V63*(1+K64)</f>
        <v/>
      </c>
      <c r="W64" s="69">
        <f>W63*(1+L64)</f>
        <v/>
      </c>
    </row>
    <row r="65">
      <c r="B65" s="13" t="inlineStr">
        <is>
          <t>2027-09</t>
        </is>
      </c>
      <c r="C65" s="14" t="n">
        <v>9</v>
      </c>
      <c r="D65" s="80">
        <f>IFERROR(IF(INDEX('CPI Data'!$I:$I,MATCH($B65,'CPI Data'!$B:$B,0))="","",INDEX('CPI Data'!$I:$I,MATCH($B65,'CPI Data'!$B:$B,0))),"")</f>
        <v/>
      </c>
      <c r="E65" s="17">
        <f>IFERROR(INDEX(Forecast!$D:$D,MATCH($B65,Forecast!$B:$B,0)),"")</f>
        <v/>
      </c>
      <c r="F65" s="17">
        <f>IFERROR(INDEX(Forecast!$E:$E,MATCH($B65,Forecast!$B:$B,0)),"")</f>
        <v/>
      </c>
      <c r="G65" s="17">
        <f>IFERROR(INDEX(Forecast!$F:$F,MATCH($B65,Forecast!$B:$B,0)),"")</f>
        <v/>
      </c>
      <c r="H65" s="17">
        <f>$D$14+($D$13-$D$14)*$D$15^(ROW()-52)</f>
        <v/>
      </c>
      <c r="I65" s="17">
        <f>(M65+$D$20*N65)*O65</f>
        <v/>
      </c>
      <c r="J65" s="17">
        <f>($D$31+($D$30-$D$31)*$D$32^(ROW()-52))*O65</f>
        <v/>
      </c>
      <c r="K65" s="17">
        <f>IF($B65&lt;="2026-10",$D$35,IF($B65&lt;="2027-05",$D$36,$D$36+$D$37*(ROW()-61)))</f>
        <v/>
      </c>
      <c r="L65" s="17">
        <f>(1+$D$41)^(1/12)-1</f>
        <v/>
      </c>
      <c r="M65" s="17">
        <f>$D$22+$D$23*I63</f>
        <v/>
      </c>
      <c r="N65" s="17">
        <f>$D$26*$D$27^(ROW()-52)</f>
        <v/>
      </c>
      <c r="O65" s="81">
        <f>'Seasonal Factors'!$L$14</f>
        <v/>
      </c>
      <c r="P65" s="69">
        <f>P64*(1+E65)</f>
        <v/>
      </c>
      <c r="Q65" s="69">
        <f>Q64*(1+F65)</f>
        <v/>
      </c>
      <c r="R65" s="69">
        <f>R64*(1+G65)</f>
        <v/>
      </c>
      <c r="S65" s="69">
        <f>S64*(1+H65)</f>
        <v/>
      </c>
      <c r="T65" s="69">
        <f>T64*(1+I65)</f>
        <v/>
      </c>
      <c r="U65" s="69">
        <f>U64*(1+J65)</f>
        <v/>
      </c>
      <c r="V65" s="69">
        <f>V64*(1+K65)</f>
        <v/>
      </c>
      <c r="W65" s="69">
        <f>W64*(1+L65)</f>
        <v/>
      </c>
    </row>
    <row r="66">
      <c r="B66" s="13" t="inlineStr">
        <is>
          <t>2027-10</t>
        </is>
      </c>
      <c r="C66" s="14" t="n">
        <v>10</v>
      </c>
      <c r="D66" s="80">
        <f>IFERROR(IF(INDEX('CPI Data'!$I:$I,MATCH($B66,'CPI Data'!$B:$B,0))="","",INDEX('CPI Data'!$I:$I,MATCH($B66,'CPI Data'!$B:$B,0))),"")</f>
        <v/>
      </c>
      <c r="E66" s="17">
        <f>IFERROR(INDEX(Forecast!$D:$D,MATCH($B66,Forecast!$B:$B,0)),"")</f>
        <v/>
      </c>
      <c r="F66" s="17">
        <f>IFERROR(INDEX(Forecast!$E:$E,MATCH($B66,Forecast!$B:$B,0)),"")</f>
        <v/>
      </c>
      <c r="G66" s="17">
        <f>IFERROR(INDEX(Forecast!$F:$F,MATCH($B66,Forecast!$B:$B,0)),"")</f>
        <v/>
      </c>
      <c r="H66" s="17">
        <f>$D$14+($D$13-$D$14)*$D$15^(ROW()-52)</f>
        <v/>
      </c>
      <c r="I66" s="17">
        <f>(M66+$D$20*N66)*O66</f>
        <v/>
      </c>
      <c r="J66" s="17">
        <f>($D$31+($D$30-$D$31)*$D$32^(ROW()-52))*O66</f>
        <v/>
      </c>
      <c r="K66" s="17">
        <f>IF($B66&lt;="2026-10",$D$35,IF($B66&lt;="2027-05",$D$36,$D$36+$D$37*(ROW()-61)))</f>
        <v/>
      </c>
      <c r="L66" s="17">
        <f>(1+$D$41)^(1/12)-1</f>
        <v/>
      </c>
      <c r="M66" s="17">
        <f>$D$22+$D$23*I64</f>
        <v/>
      </c>
      <c r="N66" s="17">
        <f>$D$26*$D$27^(ROW()-52)</f>
        <v/>
      </c>
      <c r="O66" s="81">
        <f>'Seasonal Factors'!$L$15</f>
        <v/>
      </c>
      <c r="P66" s="69">
        <f>P65*(1+E66)</f>
        <v/>
      </c>
      <c r="Q66" s="69">
        <f>Q65*(1+F66)</f>
        <v/>
      </c>
      <c r="R66" s="69">
        <f>R65*(1+G66)</f>
        <v/>
      </c>
      <c r="S66" s="69">
        <f>S65*(1+H66)</f>
        <v/>
      </c>
      <c r="T66" s="69">
        <f>T65*(1+I66)</f>
        <v/>
      </c>
      <c r="U66" s="69">
        <f>U65*(1+J66)</f>
        <v/>
      </c>
      <c r="V66" s="69">
        <f>V65*(1+K66)</f>
        <v/>
      </c>
      <c r="W66" s="69">
        <f>W65*(1+L66)</f>
        <v/>
      </c>
    </row>
    <row r="67">
      <c r="B67" s="13" t="inlineStr">
        <is>
          <t>2027-11</t>
        </is>
      </c>
      <c r="C67" s="14" t="n">
        <v>11</v>
      </c>
      <c r="D67" s="80">
        <f>IFERROR(IF(INDEX('CPI Data'!$I:$I,MATCH($B67,'CPI Data'!$B:$B,0))="","",INDEX('CPI Data'!$I:$I,MATCH($B67,'CPI Data'!$B:$B,0))),"")</f>
        <v/>
      </c>
      <c r="E67" s="17">
        <f>IFERROR(INDEX(Forecast!$D:$D,MATCH($B67,Forecast!$B:$B,0)),"")</f>
        <v/>
      </c>
      <c r="F67" s="17">
        <f>IFERROR(INDEX(Forecast!$E:$E,MATCH($B67,Forecast!$B:$B,0)),"")</f>
        <v/>
      </c>
      <c r="G67" s="17">
        <f>IFERROR(INDEX(Forecast!$F:$F,MATCH($B67,Forecast!$B:$B,0)),"")</f>
        <v/>
      </c>
      <c r="H67" s="17">
        <f>$D$14+($D$13-$D$14)*$D$15^(ROW()-52)</f>
        <v/>
      </c>
      <c r="I67" s="17">
        <f>(M67+$D$20*N67)*O67</f>
        <v/>
      </c>
      <c r="J67" s="17">
        <f>($D$31+($D$30-$D$31)*$D$32^(ROW()-52))*O67</f>
        <v/>
      </c>
      <c r="K67" s="17">
        <f>IF($B67&lt;="2026-10",$D$35,IF($B67&lt;="2027-05",$D$36,$D$36+$D$37*(ROW()-61)))</f>
        <v/>
      </c>
      <c r="L67" s="17">
        <f>(1+$D$41)^(1/12)-1</f>
        <v/>
      </c>
      <c r="M67" s="17">
        <f>$D$22+$D$23*I65</f>
        <v/>
      </c>
      <c r="N67" s="17">
        <f>$D$26*$D$27^(ROW()-52)</f>
        <v/>
      </c>
      <c r="O67" s="81">
        <f>'Seasonal Factors'!$L$16</f>
        <v/>
      </c>
      <c r="P67" s="69">
        <f>P66*(1+E67)</f>
        <v/>
      </c>
      <c r="Q67" s="69">
        <f>Q66*(1+F67)</f>
        <v/>
      </c>
      <c r="R67" s="69">
        <f>R66*(1+G67)</f>
        <v/>
      </c>
      <c r="S67" s="69">
        <f>S66*(1+H67)</f>
        <v/>
      </c>
      <c r="T67" s="69">
        <f>T66*(1+I67)</f>
        <v/>
      </c>
      <c r="U67" s="69">
        <f>U66*(1+J67)</f>
        <v/>
      </c>
      <c r="V67" s="69">
        <f>V66*(1+K67)</f>
        <v/>
      </c>
      <c r="W67" s="69">
        <f>W66*(1+L67)</f>
        <v/>
      </c>
    </row>
    <row r="68">
      <c r="B68" s="13" t="inlineStr">
        <is>
          <t>2027-12</t>
        </is>
      </c>
      <c r="C68" s="14" t="n">
        <v>12</v>
      </c>
      <c r="D68" s="80">
        <f>IFERROR(IF(INDEX('CPI Data'!$I:$I,MATCH($B68,'CPI Data'!$B:$B,0))="","",INDEX('CPI Data'!$I:$I,MATCH($B68,'CPI Data'!$B:$B,0))),"")</f>
        <v/>
      </c>
      <c r="E68" s="17">
        <f>IFERROR(INDEX(Forecast!$D:$D,MATCH($B68,Forecast!$B:$B,0)),"")</f>
        <v/>
      </c>
      <c r="F68" s="17">
        <f>IFERROR(INDEX(Forecast!$E:$E,MATCH($B68,Forecast!$B:$B,0)),"")</f>
        <v/>
      </c>
      <c r="G68" s="17">
        <f>IFERROR(INDEX(Forecast!$F:$F,MATCH($B68,Forecast!$B:$B,0)),"")</f>
        <v/>
      </c>
      <c r="H68" s="17">
        <f>$D$14+($D$13-$D$14)*$D$15^(ROW()-52)</f>
        <v/>
      </c>
      <c r="I68" s="17">
        <f>(M68+$D$20*N68)*O68</f>
        <v/>
      </c>
      <c r="J68" s="17">
        <f>($D$31+($D$30-$D$31)*$D$32^(ROW()-52))*O68</f>
        <v/>
      </c>
      <c r="K68" s="17">
        <f>IF($B68&lt;="2026-10",$D$35,IF($B68&lt;="2027-05",$D$36,$D$36+$D$37*(ROW()-61)))</f>
        <v/>
      </c>
      <c r="L68" s="17">
        <f>(1+$D$41)^(1/12)-1</f>
        <v/>
      </c>
      <c r="M68" s="17">
        <f>$D$22+$D$23*I66</f>
        <v/>
      </c>
      <c r="N68" s="17">
        <f>$D$26*$D$27^(ROW()-52)</f>
        <v/>
      </c>
      <c r="O68" s="81">
        <f>'Seasonal Factors'!$L$17</f>
        <v/>
      </c>
      <c r="P68" s="69">
        <f>P67*(1+E68)</f>
        <v/>
      </c>
      <c r="Q68" s="69">
        <f>Q67*(1+F68)</f>
        <v/>
      </c>
      <c r="R68" s="69">
        <f>R67*(1+G68)</f>
        <v/>
      </c>
      <c r="S68" s="69">
        <f>S67*(1+H68)</f>
        <v/>
      </c>
      <c r="T68" s="69">
        <f>T67*(1+I68)</f>
        <v/>
      </c>
      <c r="U68" s="69">
        <f>U67*(1+J68)</f>
        <v/>
      </c>
      <c r="V68" s="69">
        <f>V67*(1+K68)</f>
        <v/>
      </c>
      <c r="W68" s="69">
        <f>W67*(1+L68)</f>
        <v/>
      </c>
    </row>
    <row r="70">
      <c r="B70" s="11" t="inlineStr">
        <is>
          <t>THE ANSWER — where each model puts inflation in the election window</t>
        </is>
      </c>
    </row>
    <row r="71" ht="32" customHeight="1">
      <c r="B71" s="6" t="inlineStr">
        <is>
          <t>Model</t>
        </is>
      </c>
      <c r="C71" s="6" t="inlineStr">
        <is>
          <t>Avg m/m
Apr-Jul 2027</t>
        </is>
      </c>
      <c r="D71" s="6" t="inlineStr">
        <is>
          <t>Window
annualised</t>
        </is>
      </c>
      <c r="E71" s="6" t="inlineStr">
        <is>
          <t>y/y at
Jul-2027</t>
        </is>
      </c>
      <c r="F71" s="6" t="inlineStr">
        <is>
          <t>y/y at Sep-2027
(last print before the vote)</t>
        </is>
      </c>
      <c r="G71" s="6" t="inlineStr">
        <is>
          <t>Dec/Dec
2027</t>
        </is>
      </c>
      <c r="H71" s="6" t="inlineStr">
        <is>
          <t>What it assumes</t>
        </is>
      </c>
    </row>
    <row r="72" ht="26" customHeight="1">
      <c r="B72" s="7" t="inlineStr">
        <is>
          <t>M1 Bull scenario</t>
        </is>
      </c>
      <c r="C72" s="31">
        <f>AVERAGE(E60:E63)</f>
        <v/>
      </c>
      <c r="D72" s="18">
        <f>(P63/P59)^3-1</f>
        <v/>
      </c>
      <c r="E72" s="18">
        <f>P63/P51-1</f>
        <v/>
      </c>
      <c r="F72" s="82">
        <f>P65/P53-1</f>
        <v/>
      </c>
      <c r="G72" s="18">
        <f>P68/P56-1</f>
        <v/>
      </c>
      <c r="H72" s="35" t="inlineStr">
        <is>
          <t>Disinflation faster than any Argentine episode since convertibility.</t>
        </is>
      </c>
    </row>
    <row r="73" ht="26" customHeight="1">
      <c r="B73" s="7" t="inlineStr">
        <is>
          <t>M1 Base scenario</t>
        </is>
      </c>
      <c r="C73" s="31">
        <f>AVERAGE(F60:F63)</f>
        <v/>
      </c>
      <c r="D73" s="18">
        <f>(Q63/Q59)^3-1</f>
        <v/>
      </c>
      <c r="E73" s="18">
        <f>Q63/Q51-1</f>
        <v/>
      </c>
      <c r="F73" s="82">
        <f>Q65/Q53-1</f>
        <v/>
      </c>
      <c r="G73" s="18">
        <f>Q68/Q56-1</f>
        <v/>
      </c>
      <c r="H73" s="35" t="inlineStr">
        <is>
          <t>Inflation converges to the crawl, not below it. Regulated runs 50-80bp above core to mid-2027.</t>
        </is>
      </c>
    </row>
    <row r="74" ht="26" customHeight="1">
      <c r="B74" s="7" t="inlineStr">
        <is>
          <t>M1 Bear scenario</t>
        </is>
      </c>
      <c r="C74" s="31">
        <f>AVERAGE(G60:G63)</f>
        <v/>
      </c>
      <c r="D74" s="18">
        <f>(R63/R59)^3-1</f>
        <v/>
      </c>
      <c r="E74" s="18">
        <f>R63/R51-1</f>
        <v/>
      </c>
      <c r="F74" s="82">
        <f>R65/R53-1</f>
        <v/>
      </c>
      <c r="G74" s="18">
        <f>R68/R56-1</f>
        <v/>
      </c>
      <c r="H74" s="35" t="inlineStr">
        <is>
          <t>The band ceiling is tested; pass-through 0.30; subsidy removal re-accelerates.</t>
        </is>
      </c>
    </row>
    <row r="75" ht="26" customHeight="1">
      <c r="B75" s="7" t="inlineStr">
        <is>
          <t>M2 Inertia / mean reversion</t>
        </is>
      </c>
      <c r="C75" s="31">
        <f>AVERAGE(H60:H63)</f>
        <v/>
      </c>
      <c r="D75" s="18">
        <f>(S63/S59)^3-1</f>
        <v/>
      </c>
      <c r="E75" s="18">
        <f>S63/S51-1</f>
        <v/>
      </c>
      <c r="F75" s="82">
        <f>S65/S53-1</f>
        <v/>
      </c>
      <c r="G75" s="18">
        <f>S68/S56-1</f>
        <v/>
      </c>
      <c r="H75" s="35" t="inlineStr">
        <is>
          <t>Pure time-series: the gap to a terminal rate decays at a constant monthly rate. No economics, which is the point — it is the null.</t>
        </is>
      </c>
    </row>
    <row r="76" ht="26" customHeight="1">
      <c r="B76" s="7" t="inlineStr">
        <is>
          <t>M3 Bottom-up with band indexation</t>
        </is>
      </c>
      <c r="C76" s="31">
        <f>AVERAGE(I60:I63)</f>
        <v/>
      </c>
      <c r="D76" s="18">
        <f>(T63/T59)^3-1</f>
        <v/>
      </c>
      <c r="E76" s="18">
        <f>T63/T51-1</f>
        <v/>
      </c>
      <c r="F76" s="82">
        <f>T65/T53-1</f>
        <v/>
      </c>
      <c r="G76" s="18">
        <f>T68/T56-1</f>
        <v/>
      </c>
      <c r="H76" s="35" t="inlineStr">
        <is>
          <t>The band indexes to CPI at t-2, FX passes into core, regulated carries a decaying premium, and the month's seasonal factor is re-imposed.</t>
        </is>
      </c>
    </row>
    <row r="77" ht="26" customHeight="1">
      <c r="B77" s="7" t="inlineStr">
        <is>
          <t>M4 Seasonal carry-forward</t>
        </is>
      </c>
      <c r="C77" s="31">
        <f>AVERAGE(J60:J63)</f>
        <v/>
      </c>
      <c r="D77" s="18">
        <f>(U63/U59)^3-1</f>
        <v/>
      </c>
      <c r="E77" s="18">
        <f>U63/U51-1</f>
        <v/>
      </c>
      <c r="F77" s="82">
        <f>U65/U53-1</f>
        <v/>
      </c>
      <c r="G77" s="18">
        <f>U68/U56-1</f>
        <v/>
      </c>
      <c r="H77" s="35" t="inlineStr">
        <is>
          <t>Takes today's DESEASONALISED trend and re-imposes the calendar. The window is seasonally soft — factor 0.86x.</t>
        </is>
      </c>
    </row>
    <row r="78" ht="26" customHeight="1">
      <c r="B78" s="7" t="inlineStr">
        <is>
          <t>M5 Market-implied</t>
        </is>
      </c>
      <c r="C78" s="31">
        <f>AVERAGE(K60:K63)</f>
        <v/>
      </c>
      <c r="D78" s="18">
        <f>(V63/V59)^3-1</f>
        <v/>
      </c>
      <c r="E78" s="18">
        <f>V63/V51-1</f>
        <v/>
      </c>
      <c r="F78" s="82">
        <f>V65/V53-1</f>
        <v/>
      </c>
      <c r="G78" s="18">
        <f>V68/V56-1</f>
        <v/>
      </c>
      <c r="H78" s="35" t="inlineStr">
        <is>
          <t>The CER breakeven the market actually trades. Sourced to May-2027, flat thereafter.</t>
        </is>
      </c>
    </row>
    <row r="79" ht="26" customHeight="1">
      <c r="B79" s="7" t="inlineStr">
        <is>
          <t>M6 Consensus (REM)</t>
        </is>
      </c>
      <c r="C79" s="31">
        <f>AVERAGE(L60:L63)</f>
        <v/>
      </c>
      <c r="D79" s="18">
        <f>(W63/W59)^3-1</f>
        <v/>
      </c>
      <c r="E79" s="18">
        <f>W63/W51-1</f>
        <v/>
      </c>
      <c r="F79" s="82">
        <f>W65/W53-1</f>
        <v/>
      </c>
      <c r="G79" s="18">
        <f>W68/W56-1</f>
        <v/>
      </c>
      <c r="H79" s="35" t="inlineStr">
        <is>
          <t>The REM's own Dec/Dec targets, distributed smoothly.</t>
        </is>
      </c>
    </row>
    <row r="80">
      <c r="B80" s="25" t="inlineStr">
        <is>
          <t>Mean of the six independent models (M2-M6 plus M1 Base)</t>
        </is>
      </c>
      <c r="C80" s="83">
        <f>AVERAGE(C73,C75:C79)</f>
        <v/>
      </c>
      <c r="D80" s="72">
        <f>AVERAGE(D73,D75:D79)</f>
        <v/>
      </c>
      <c r="E80" s="72">
        <f>AVERAGE(E73,E75:E79)</f>
        <v/>
      </c>
      <c r="F80" s="72">
        <f>AVERAGE(F73,F75:F79)</f>
        <v/>
      </c>
      <c r="G80" s="72">
        <f>AVERAGE(G73,G75:G79)</f>
        <v/>
      </c>
      <c r="H80" s="35" t="inlineStr">
        <is>
          <t>Excludes the bull and bear tails, which are scenario bounds rather than central estimates.</t>
        </is>
      </c>
    </row>
    <row r="82">
      <c r="B82" s="24" t="inlineStr">
        <is>
          <t>Budget 2027 bill</t>
        </is>
      </c>
      <c r="G82" s="48" t="n">
        <v>0.18</v>
      </c>
      <c r="H82" s="35" t="inlineStr">
        <is>
          <t>Tabled 15-Sep-2026. 18.0% Dec/Dec, 21.1% average, ARS 1,847.6/USD at Dec-2027.</t>
        </is>
      </c>
    </row>
    <row r="83">
      <c r="B83" s="24" t="inlineStr">
        <is>
          <t>BCRA REM 2027 (Jul round)</t>
        </is>
      </c>
      <c r="G83" s="48" t="n">
        <v>0.2</v>
      </c>
      <c r="H83" s="35" t="inlineStr">
        <is>
          <t>The August round's 2027 median could not be obtained.</t>
        </is>
      </c>
    </row>
    <row r="84">
      <c r="B84" s="24" t="inlineStr">
        <is>
          <t>Market breakeven, annualised</t>
        </is>
      </c>
      <c r="G84" s="48" t="n">
        <v>0.246</v>
      </c>
      <c r="H84" s="35" t="inlineStr">
        <is>
          <t>Derived from 1.85%/month over Nov-2026 to May-2027 — the window that matters.</t>
        </is>
      </c>
    </row>
    <row r="85">
      <c r="B85" s="24" t="inlineStr">
        <is>
          <t>IMF Article IV, May-2026</t>
        </is>
      </c>
      <c r="G85" s="48" t="n">
        <v>0.125</v>
      </c>
      <c r="H85" s="35" t="inlineStr">
        <is>
          <t>Already stale: the IMF's 2026 figure of 25.0% has been exceeded by August's 21.3% YTD.</t>
        </is>
      </c>
    </row>
    <row r="86">
      <c r="B86" s="24" t="inlineStr">
        <is>
          <t>M3 fixed point of the indexation loop</t>
        </is>
      </c>
      <c r="G86" s="26">
        <f>$D$25</f>
        <v/>
      </c>
      <c r="H86" s="35" t="inlineStr">
        <is>
          <t>What a CPI-indexed band settles at mechanically. This is the number to argue from.</t>
        </is>
      </c>
    </row>
    <row r="88">
      <c r="B88" s="11" t="inlineStr">
        <is>
          <t>How to read this</t>
        </is>
      </c>
    </row>
    <row r="89" ht="39" customHeight="1">
      <c r="B89" s="7" t="inlineStr">
        <is>
          <t>The window flatters the government</t>
        </is>
      </c>
      <c r="D89" s="8" t="inlineStr">
        <is>
          <t>April to July 2027 carries an average seasonal factor of 0.86x — the coolest stretch of the Argentine calendar. Whatever the trend, the monthly prints voters see in the three-to-six months before the vote will be the best-looking of the year. Every model shows it, because the seasonality is in the data, not the assumptions.</t>
        </is>
      </c>
    </row>
    <row r="90" ht="26" customHeight="1">
      <c r="B90" s="7" t="inlineStr">
        <is>
          <t>The models disagree about the level, not the direction</t>
        </is>
      </c>
      <c r="D90" s="8" t="inlineStr">
        <is>
          <t>All six have inflation lower in mid-2027 than today. The spread is in how much lower, and it maps almost exactly onto one question: does the CPI-indexed band get broken, or does it run?</t>
        </is>
      </c>
    </row>
    <row r="91" ht="39" customHeight="1">
      <c r="B91" s="7" t="inlineStr">
        <is>
          <t>Model 3 is the one with a mechanism</t>
        </is>
      </c>
      <c r="D91" s="8" t="inlineStr">
        <is>
          <t>It is also the one with the weakest statistical fit — R-squared 0.156 on fourteen observations — and it must be presented that way. What survives the weak fit is the fixed point: three different estimation windows all put it between 30% and 33% a year. A CPI-indexed band does not deliver 18%; it delivers roughly what you already have.</t>
        </is>
      </c>
    </row>
    <row r="92" ht="26" customHeight="1">
      <c r="B92" s="7" t="inlineStr">
        <is>
          <t>The market is the outlier on the hawkish side</t>
        </is>
      </c>
      <c r="D92" s="8" t="inlineStr">
        <is>
          <t>At about 24.6% annualised over the pre-election window against a REM of 20.0% and a Budget of 18.0%, investors are paying real money to disagree with the official path. The steepest point on the entire peso curve is the May-2027 maturity.</t>
        </is>
      </c>
    </row>
    <row r="93" ht="26" customHeight="1">
      <c r="B93" s="7" t="inlineStr">
        <is>
          <t>What would change the answer</t>
        </is>
      </c>
      <c r="D93" s="8" t="inlineStr">
        <is>
          <t>A break in the band mechanism. Nothing else in these models moves the 2027 number much, because every channel that matters — wages, regulated prices, the FX crawl — now indexes to trailing CPI. That is the single point of leverage, and it is a policy choice, not a forecast.</t>
        </is>
      </c>
    </row>
  </sheetData>
  <mergeCells count="52">
    <mergeCell ref="E36:N36"/>
    <mergeCell ref="B91:C91"/>
    <mergeCell ref="E27:N27"/>
    <mergeCell ref="B16:C16"/>
    <mergeCell ref="B25:C25"/>
    <mergeCell ref="B90:C90"/>
    <mergeCell ref="E26:N26"/>
    <mergeCell ref="D90:N90"/>
    <mergeCell ref="B22:C22"/>
    <mergeCell ref="B93:C93"/>
    <mergeCell ref="E25:N25"/>
    <mergeCell ref="B31:C31"/>
    <mergeCell ref="B27:C27"/>
    <mergeCell ref="E16:N16"/>
    <mergeCell ref="E32:N32"/>
    <mergeCell ref="E41:N41"/>
    <mergeCell ref="B21:C21"/>
    <mergeCell ref="E37:N37"/>
    <mergeCell ref="E22:N22"/>
    <mergeCell ref="B23:C23"/>
    <mergeCell ref="E21:N21"/>
    <mergeCell ref="B14:C14"/>
    <mergeCell ref="E24:N24"/>
    <mergeCell ref="B13:C13"/>
    <mergeCell ref="E14:N14"/>
    <mergeCell ref="D91:N91"/>
    <mergeCell ref="E23:N23"/>
    <mergeCell ref="B19:C19"/>
    <mergeCell ref="B37:C37"/>
    <mergeCell ref="E35:N35"/>
    <mergeCell ref="E20:N20"/>
    <mergeCell ref="B40:C40"/>
    <mergeCell ref="D93:N93"/>
    <mergeCell ref="E13:N13"/>
    <mergeCell ref="E19:N19"/>
    <mergeCell ref="B92:C92"/>
    <mergeCell ref="B24:C24"/>
    <mergeCell ref="B30:C30"/>
    <mergeCell ref="B15:C15"/>
    <mergeCell ref="E31:N31"/>
    <mergeCell ref="D92:N92"/>
    <mergeCell ref="B20:C20"/>
    <mergeCell ref="E40:N40"/>
    <mergeCell ref="B89:C89"/>
    <mergeCell ref="E30:N30"/>
    <mergeCell ref="B36:C36"/>
    <mergeCell ref="E15:N15"/>
    <mergeCell ref="B32:C32"/>
    <mergeCell ref="B26:C26"/>
    <mergeCell ref="B41:C41"/>
    <mergeCell ref="D89:N89"/>
    <mergeCell ref="B35:C35"/>
  </mergeCells>
  <pageMargins left="0.75" right="0.75" top="1" bottom="1" header="0.5" footer="0.5"/>
  <drawing xmlns:r="http://schemas.openxmlformats.org/officeDocument/2006/relationships" r:id="rId1"/>
  <legacyDrawing xmlns:r="http://schemas.openxmlformats.org/officeDocument/2006/relationships" r:id="anysvml"/>
</worksheet>
</file>

<file path=xl/worksheets/sheet15.xml><?xml version="1.0" encoding="utf-8"?>
<worksheet xmlns="http://schemas.openxmlformats.org/spreadsheetml/2006/main">
  <sheetPr>
    <tabColor rgb="001F3B63"/>
    <outlinePr summaryBelow="1" summaryRight="1"/>
    <pageSetUpPr fitToPage="1"/>
  </sheetPr>
  <dimension ref="B2:L87"/>
  <sheetViews>
    <sheetView showGridLines="0" workbookViewId="0">
      <selection activeCell="A1" sqref="A1"/>
    </sheetView>
  </sheetViews>
  <sheetFormatPr baseColWidth="8" defaultRowHeight="15"/>
  <cols>
    <col width="2" customWidth="1" min="1" max="1"/>
    <col width="34" customWidth="1" min="2" max="2"/>
    <col width="12" customWidth="1" min="3" max="3"/>
    <col width="7" customWidth="1" min="4" max="4"/>
    <col width="7" customWidth="1" min="5" max="5"/>
    <col width="11" customWidth="1" min="6" max="6"/>
    <col width="72" customWidth="1" min="7" max="7"/>
    <col width="9" customWidth="1" min="8" max="8"/>
  </cols>
  <sheetData>
    <row r="2" ht="26" customHeight="1">
      <c r="B2" s="1" t="inlineStr">
        <is>
          <t>Does inflation decide the election? A transparent scoring device</t>
        </is>
      </c>
    </row>
    <row r="3">
      <c r="B3" s="2" t="inlineStr">
        <is>
          <t>NINE observations, three parameters. This organises priors. It is not a forecast, and it must not be sold as one.</t>
        </is>
      </c>
    </row>
    <row r="5">
      <c r="B5" s="11" t="inlineStr">
        <is>
          <t>Health warning — read before using any number on this tab</t>
        </is>
      </c>
    </row>
    <row r="6" ht="13" customHeight="1">
      <c r="B6" s="8" t="inlineStr">
        <is>
          <t>Nine usable observations against three fitted parameters. No standard errors are reportable. The specification was chosen after seeing the data.</t>
        </is>
      </c>
    </row>
    <row r="7" ht="26" customHeight="1">
      <c r="B7" s="8" t="inlineStr">
        <is>
          <t>THERE IS NO PRESIDENTIAL OBSERVATION IN THE 20-40% INFLATION BAND. Every Argentine presidential election has been fought either below 20% or above 40%. 2027 will almost certainly be fought between 13% and 29%. Every number this model produces for 2027 is extrapolation, not inference.</t>
        </is>
      </c>
    </row>
    <row r="8" ht="26" customHeight="1">
      <c r="B8" s="8" t="inlineStr">
        <is>
          <t>The residual is scandal and candidate quality, and it is the same order of magnitude as the macro term: the August-2025 audio scandal moved the confidence index 13.6% in a single month, more than inflation did over the same period.</t>
        </is>
      </c>
    </row>
    <row r="9" ht="26" customHeight="1">
      <c r="B9" s="8" t="inlineStr">
        <is>
          <t>The coding of 2003 is a judgement call — Duhalde was an unelected caretaker who did not stand, and Kirchner won as a Peronist. On strict party continuity the incumbent party retained. Coding it as a loss, as here, is defensible but it moves the headline base rate by 11pp on its own.</t>
        </is>
      </c>
    </row>
    <row r="11">
      <c r="B11" s="11" t="inlineStr">
        <is>
          <t>1. The specification</t>
        </is>
      </c>
    </row>
    <row r="12">
      <c r="B12" s="84" t="inlineStr">
        <is>
          <t>x  =  wL x [ ln(1+pi/100) - ln(1.20) ]  +  wD x D  +  wW x (-W)</t>
        </is>
      </c>
    </row>
    <row r="13">
      <c r="B13" s="84" t="inlineStr">
        <is>
          <t>P(incumbent coalition wins)  =  1 / ( 1 + exp( k x x ) )</t>
        </is>
      </c>
    </row>
    <row r="14">
      <c r="B14" s="28" t="inlineStr">
        <is>
          <t>Inflation enters in LOGS. A linear level term cannot span 3.4% and 3,610% — read literally, a linear coefficient would have implied an approval fall of sixteen thousand points in 1989. ln(1.20) centres the level term at 20% y/y, the empirical break in the record.</t>
        </is>
      </c>
    </row>
    <row r="16">
      <c r="B16" s="11" t="inlineStr">
        <is>
          <t>2. Inputs and the live calculation</t>
        </is>
      </c>
    </row>
    <row r="17">
      <c r="B17" s="22" t="inlineStr">
        <is>
          <t>Input</t>
        </is>
      </c>
      <c r="C17" s="22" t="inlineStr">
        <is>
          <t>Value</t>
        </is>
      </c>
      <c r="D17" s="6" t="inlineStr">
        <is>
          <t>Note</t>
        </is>
      </c>
    </row>
    <row r="18">
      <c r="B18" s="7" t="inlineStr">
        <is>
          <t>pi — y/y CPI at the last print before the vote (%)</t>
        </is>
      </c>
      <c r="C18" s="37" t="n">
        <v>18.7</v>
      </c>
      <c r="D18" s="74" t="inlineStr">
        <is>
          <t>Default is the base-case Dec/Dec 2027 from the Forecast tab.</t>
        </is>
      </c>
    </row>
    <row r="19">
      <c r="B19" s="7" t="inlineStr">
        <is>
          <t>D — direction of inflation</t>
        </is>
      </c>
      <c r="C19" s="63" t="n">
        <v>-1</v>
      </c>
      <c r="D19" s="74" t="inlineStr">
        <is>
          <t>+1 rising, 0 flat, -1 falling, over the prior three to six months.</t>
        </is>
      </c>
    </row>
    <row r="20">
      <c r="B20" s="7" t="inlineStr">
        <is>
          <t>W — direction of real wages</t>
        </is>
      </c>
      <c r="C20" s="63" t="n">
        <v>-1</v>
      </c>
      <c r="D20" s="74" t="inlineStr">
        <is>
          <t>+1 rising, 0 flat, -1 falling, over the prior twelve months. Currently minus 3.0% y/y and down three months running.</t>
        </is>
      </c>
    </row>
    <row r="21">
      <c r="B21" s="7" t="inlineStr">
        <is>
          <t>wL — weight on the inflation level</t>
        </is>
      </c>
      <c r="C21" s="37" t="n">
        <v>0.8</v>
      </c>
      <c r="D21" s="74" t="inlineStr">
        <is>
          <t>Fitted. Use 1.7 for the true-inflation variant.</t>
        </is>
      </c>
    </row>
    <row r="22">
      <c r="B22" s="7" t="inlineStr">
        <is>
          <t>wD — weight on inflation direction</t>
        </is>
      </c>
      <c r="C22" s="37" t="n">
        <v>0</v>
      </c>
      <c r="D22" s="74" t="inlineStr">
        <is>
          <t>FITTED TO EXACTLY ZERO in both variants. Retained so the term can be stressed, not because it earns its place.</t>
        </is>
      </c>
    </row>
    <row r="23">
      <c r="B23" s="7" t="inlineStr">
        <is>
          <t>wW — weight on real wages</t>
        </is>
      </c>
      <c r="C23" s="37" t="n">
        <v>0.7</v>
      </c>
      <c r="D23" s="74" t="inlineStr">
        <is>
          <t>Fitted. 0.6 in the true-inflation variant — barely moves, which is why this is the robust channel.</t>
        </is>
      </c>
    </row>
    <row r="24">
      <c r="B24" s="7" t="inlineStr">
        <is>
          <t>k — slope</t>
        </is>
      </c>
      <c r="C24" s="37" t="n">
        <v>2.5</v>
      </c>
      <c r="D24" s="74" t="inlineStr">
        <is>
          <t>3.0 in the true-inflation variant.</t>
        </is>
      </c>
    </row>
    <row r="26">
      <c r="B26" s="24" t="inlineStr">
        <is>
          <t>x (the score)</t>
        </is>
      </c>
      <c r="C26" s="85">
        <f>$C$21*(LN(1+$C$18/100)-LN(1.2))+$C$22*$C$19+$C$23*(-$C$20)</f>
        <v/>
      </c>
    </row>
    <row r="27">
      <c r="B27" s="3" t="inlineStr">
        <is>
          <t>P(incumbent coalition wins)</t>
        </is>
      </c>
      <c r="C27" s="86">
        <f>1/(1+EXP($C$24*$C$26))</f>
        <v/>
      </c>
    </row>
    <row r="28">
      <c r="B28" s="24" t="inlineStr">
        <is>
          <t>Unconditional base rate</t>
        </is>
      </c>
      <c r="C28" s="32">
        <f>3/9</f>
        <v/>
      </c>
      <c r="D28" s="74" t="inlineStr">
        <is>
          <t>Argentine incumbents retained the presidency in 3 of the 9 elections from 1989 to 2023. This is the benchmark any model output should be compared against.</t>
        </is>
      </c>
    </row>
    <row r="30">
      <c r="B30" s="11" t="inlineStr">
        <is>
          <t>3. Fit against the historical record</t>
        </is>
      </c>
    </row>
    <row r="31">
      <c r="B31" s="6" t="inlineStr">
        <is>
          <t>Election</t>
        </is>
      </c>
      <c r="C31" s="6" t="inlineStr">
        <is>
          <t>pi (y/y, %)</t>
        </is>
      </c>
      <c r="D31" s="6" t="inlineStr">
        <is>
          <t>D</t>
        </is>
      </c>
      <c r="E31" s="6" t="inlineStr">
        <is>
          <t>W</t>
        </is>
      </c>
      <c r="F31" s="6" t="inlineStr">
        <is>
          <t>P(win)</t>
        </is>
      </c>
      <c r="G31" s="6" t="inlineStr">
        <is>
          <t>Actual</t>
        </is>
      </c>
      <c r="H31" s="6" t="inlineStr">
        <is>
          <t>Hit?</t>
        </is>
      </c>
    </row>
    <row r="32">
      <c r="B32" s="24" t="n">
        <v>1989</v>
      </c>
      <c r="C32" s="40" t="n">
        <v>3610</v>
      </c>
      <c r="D32" s="87" t="n">
        <v>1</v>
      </c>
      <c r="E32" s="87" t="n">
        <v>-1</v>
      </c>
      <c r="F32" s="47">
        <f>1/(1+EXP($C$24*($C$21*(LN(1+C32/100)-LN(1.2))+$C$22*D32+$C$23*(-E32))))</f>
        <v/>
      </c>
      <c r="G32" s="63" t="n">
        <v>0</v>
      </c>
      <c r="H32" s="88">
        <f>IF((F32&gt;0.5)=(G32=1),"hit","MISS")</f>
        <v/>
      </c>
    </row>
    <row r="33">
      <c r="B33" s="24" t="n">
        <v>1995</v>
      </c>
      <c r="C33" s="40" t="n">
        <v>3.4</v>
      </c>
      <c r="D33" s="87" t="n">
        <v>-1</v>
      </c>
      <c r="E33" s="87" t="n">
        <v>1</v>
      </c>
      <c r="F33" s="47">
        <f>1/(1+EXP($C$24*($C$21*(LN(1+C33/100)-LN(1.2))+$C$22*D33+$C$23*(-E33))))</f>
        <v/>
      </c>
      <c r="G33" s="63" t="n">
        <v>1</v>
      </c>
      <c r="H33" s="88">
        <f>IF((F33&gt;0.5)=(G33=1),"hit","MISS")</f>
        <v/>
      </c>
    </row>
    <row r="34">
      <c r="B34" s="24" t="n">
        <v>1999</v>
      </c>
      <c r="C34" s="40" t="n">
        <v>-1.8</v>
      </c>
      <c r="D34" s="87" t="n">
        <v>-1</v>
      </c>
      <c r="E34" s="87" t="n">
        <v>-1</v>
      </c>
      <c r="F34" s="47">
        <f>1/(1+EXP($C$24*($C$21*(LN(1+C34/100)-LN(1.2))+$C$22*D34+$C$23*(-E34))))</f>
        <v/>
      </c>
      <c r="G34" s="63" t="n">
        <v>0</v>
      </c>
      <c r="H34" s="88">
        <f>IF((F34&gt;0.5)=(G34=1),"hit","MISS")</f>
        <v/>
      </c>
    </row>
    <row r="35">
      <c r="B35" s="24" t="n">
        <v>2003</v>
      </c>
      <c r="C35" s="40" t="n">
        <v>13.4</v>
      </c>
      <c r="D35" s="87" t="n">
        <v>-1</v>
      </c>
      <c r="E35" s="87" t="n">
        <v>-1</v>
      </c>
      <c r="F35" s="47">
        <f>1/(1+EXP($C$24*($C$21*(LN(1+C35/100)-LN(1.2))+$C$22*D35+$C$23*(-E35))))</f>
        <v/>
      </c>
      <c r="G35" s="63" t="n">
        <v>0</v>
      </c>
      <c r="H35" s="88">
        <f>IF((F35&gt;0.5)=(G35=1),"hit","MISS")</f>
        <v/>
      </c>
    </row>
    <row r="36">
      <c r="B36" s="24" t="n">
        <v>2007</v>
      </c>
      <c r="C36" s="40" t="n">
        <v>8.6</v>
      </c>
      <c r="D36" s="87" t="n">
        <v>1</v>
      </c>
      <c r="E36" s="87" t="n">
        <v>1</v>
      </c>
      <c r="F36" s="47">
        <f>1/(1+EXP($C$24*($C$21*(LN(1+C36/100)-LN(1.2))+$C$22*D36+$C$23*(-E36))))</f>
        <v/>
      </c>
      <c r="G36" s="63" t="n">
        <v>1</v>
      </c>
      <c r="H36" s="88">
        <f>IF((F36&gt;0.5)=(G36=1),"hit","MISS")</f>
        <v/>
      </c>
    </row>
    <row r="37">
      <c r="B37" s="24" t="n">
        <v>2011</v>
      </c>
      <c r="C37" s="40" t="n">
        <v>9.9</v>
      </c>
      <c r="D37" s="87" t="n">
        <v>0</v>
      </c>
      <c r="E37" s="87" t="n">
        <v>1</v>
      </c>
      <c r="F37" s="47">
        <f>1/(1+EXP($C$24*($C$21*(LN(1+C37/100)-LN(1.2))+$C$22*D37+$C$23*(-E37))))</f>
        <v/>
      </c>
      <c r="G37" s="63" t="n">
        <v>1</v>
      </c>
      <c r="H37" s="88">
        <f>IF((F37&gt;0.5)=(G37=1),"hit","MISS")</f>
        <v/>
      </c>
    </row>
    <row r="38">
      <c r="B38" s="25" t="n">
        <v>2015</v>
      </c>
      <c r="C38" s="40" t="n">
        <v>14.3</v>
      </c>
      <c r="D38" s="87" t="n">
        <v>0</v>
      </c>
      <c r="E38" s="87" t="n">
        <v>1</v>
      </c>
      <c r="F38" s="47">
        <f>1/(1+EXP($C$24*($C$21*(LN(1+C38/100)-LN(1.2))+$C$22*D38+$C$23*(-E38))))</f>
        <v/>
      </c>
      <c r="G38" s="63" t="n">
        <v>0</v>
      </c>
      <c r="H38" s="89">
        <f>IF((F38&gt;0.5)=(G38=1),"hit","MISS")</f>
        <v/>
      </c>
    </row>
    <row r="39">
      <c r="B39" s="24" t="n">
        <v>2019</v>
      </c>
      <c r="C39" s="40" t="n">
        <v>53.5</v>
      </c>
      <c r="D39" s="87" t="n">
        <v>1</v>
      </c>
      <c r="E39" s="87" t="n">
        <v>-1</v>
      </c>
      <c r="F39" s="47">
        <f>1/(1+EXP($C$24*($C$21*(LN(1+C39/100)-LN(1.2))+$C$22*D39+$C$23*(-E39))))</f>
        <v/>
      </c>
      <c r="G39" s="63" t="n">
        <v>0</v>
      </c>
      <c r="H39" s="88">
        <f>IF((F39&gt;0.5)=(G39=1),"hit","MISS")</f>
        <v/>
      </c>
    </row>
    <row r="40">
      <c r="B40" s="24" t="n">
        <v>2023</v>
      </c>
      <c r="C40" s="40" t="n">
        <v>138.3</v>
      </c>
      <c r="D40" s="87" t="n">
        <v>1</v>
      </c>
      <c r="E40" s="87" t="n">
        <v>-1</v>
      </c>
      <c r="F40" s="47">
        <f>1/(1+EXP($C$24*($C$21*(LN(1+C40/100)-LN(1.2))+$C$22*D40+$C$23*(-E40))))</f>
        <v/>
      </c>
      <c r="G40" s="63" t="n">
        <v>0</v>
      </c>
      <c r="H40" s="88">
        <f>IF((F40&gt;0.5)=(G40=1),"hit","MISS")</f>
        <v/>
      </c>
    </row>
    <row r="41">
      <c r="B41" s="24" t="inlineStr">
        <is>
          <t>Hit rate</t>
        </is>
      </c>
      <c r="F41" s="89">
        <f>COUNTIF(H32:H40,"hit")&amp;" / "&amp;9</f>
        <v/>
      </c>
    </row>
    <row r="42">
      <c r="B42" s="28" t="inlineStr">
        <is>
          <t>1983 is excluded: there was no civilian incumbent on the ballot, so it is not an economic-voting observation. Including it would inflate the 'high inflation beats the incumbent' count with a case that had nothing to do with inflation.</t>
        </is>
      </c>
    </row>
    <row r="43">
      <c r="B43" s="28" t="inlineStr">
        <is>
          <t>The model misses 2015, and it misses it the same way in every specification — it predicts an incumbent win at 0.86 and CFK's coalition lost. That miss IS the model's signature: it has no term for term limits, candidate quality or twelve years of incumbency fatigue. Say so in the note rather than fudging it.</t>
        </is>
      </c>
    </row>
    <row r="44">
      <c r="B44" s="28" t="inlineStr">
        <is>
          <t>1999 is the case that kills the simple inflation story. De la Rua won against an incumbent Peronist administration running DEFLATION of minus 1.8%. Inflation was as low and as falling as it has ever been in Argentine democratic history, and the incumbent lost anyway, because real wages and employment were collapsing into the convertibility endgame.</t>
        </is>
      </c>
    </row>
    <row r="45">
      <c r="B45" s="28" t="inlineStr">
        <is>
          <t>2011 is the measured-versus-perceived caveat. CFK was re-elected with 54.11% on an official print of 9.9% when Cavallo (2013, JME 60(2)) measured true inflation near 20%. Two readings: voters were fooled, or voters voted their wallets and real wages were rising. The second is the better reading, because the first cannot explain 2015 — same official inflation, same rising real wages, and the incumbent lost.</t>
        </is>
      </c>
    </row>
    <row r="47">
      <c r="B47" s="11" t="inlineStr">
        <is>
          <t>4. Single-variable benchmarks — the most defensible result on this tab</t>
        </is>
      </c>
    </row>
    <row r="48">
      <c r="B48" s="6" t="inlineStr">
        <is>
          <t>Rule</t>
        </is>
      </c>
      <c r="C48" s="6" t="inlineStr">
        <is>
          <t>Correct</t>
        </is>
      </c>
      <c r="D48" s="6" t="inlineStr">
        <is>
          <t>of</t>
        </is>
      </c>
      <c r="E48" s="6" t="inlineStr">
        <is>
          <t>Hit rate</t>
        </is>
      </c>
    </row>
    <row r="49">
      <c r="B49" s="7" t="inlineStr">
        <is>
          <t>Incumbent wins iff real wages rose over the prior 12m</t>
        </is>
      </c>
      <c r="C49" s="63" t="n">
        <v>8</v>
      </c>
      <c r="D49" s="63" t="n">
        <v>9</v>
      </c>
      <c r="E49" s="70">
        <f>C49/D49</f>
        <v/>
      </c>
    </row>
    <row r="50">
      <c r="B50" s="7" t="inlineStr">
        <is>
          <t>Incumbent wins iff y/y inflation &lt; 20%</t>
        </is>
      </c>
      <c r="C50" s="63" t="n">
        <v>6</v>
      </c>
      <c r="D50" s="63" t="n">
        <v>9</v>
      </c>
      <c r="E50" s="70">
        <f>C50/D50</f>
        <v/>
      </c>
    </row>
    <row r="51">
      <c r="B51" s="7" t="inlineStr">
        <is>
          <t>Incumbent wins iff inflation is not rising</t>
        </is>
      </c>
      <c r="C51" s="63" t="n">
        <v>5</v>
      </c>
      <c r="D51" s="63" t="n">
        <v>9</v>
      </c>
      <c r="E51" s="70">
        <f>C51/D51</f>
        <v/>
      </c>
    </row>
    <row r="52">
      <c r="B52" s="28" t="inlineStr">
        <is>
          <t>The one-variable real-wage rule matches the three-parameter model's hit rate with ZERO fitted parameters. If the note carries one number from this tab, it should be this one, not the logistic coefficients.</t>
        </is>
      </c>
    </row>
    <row r="54">
      <c r="B54" s="11" t="inlineStr">
        <is>
          <t>5. Base rates by inflation band</t>
        </is>
      </c>
    </row>
    <row r="55">
      <c r="B55" s="6" t="inlineStr">
        <is>
          <t>Condition</t>
        </is>
      </c>
      <c r="C55" s="6" t="inlineStr">
        <is>
          <t>Won</t>
        </is>
      </c>
      <c r="D55" s="6" t="inlineStr">
        <is>
          <t>of</t>
        </is>
      </c>
      <c r="E55" s="6" t="inlineStr">
        <is>
          <t>Rate</t>
        </is>
      </c>
      <c r="F55" s="6" t="inlineStr">
        <is>
          <t>Note</t>
        </is>
      </c>
    </row>
    <row r="56">
      <c r="B56" s="7" t="inlineStr">
        <is>
          <t>Incumbent retained the presidency</t>
        </is>
      </c>
      <c r="C56" s="63" t="n">
        <v>3</v>
      </c>
      <c r="D56" s="63" t="n">
        <v>9</v>
      </c>
      <c r="E56" s="70">
        <f>C56/D56</f>
        <v/>
      </c>
      <c r="F56" s="74" t="inlineStr">
        <is>
          <t>unconditional prior</t>
        </is>
      </c>
    </row>
    <row r="57">
      <c r="B57" s="7" t="inlineStr">
        <is>
          <t>Won with y/y inflation &gt;= 40%</t>
        </is>
      </c>
      <c r="C57" s="63" t="n">
        <v>0</v>
      </c>
      <c r="D57" s="63" t="n">
        <v>3</v>
      </c>
      <c r="E57" s="70">
        <f>C57/D57</f>
        <v/>
      </c>
      <c r="F57" s="74" t="inlineStr">
        <is>
          <t>no incumbent has ever survived 40%+</t>
        </is>
      </c>
    </row>
    <row r="58">
      <c r="B58" s="7" t="inlineStr">
        <is>
          <t>Won with y/y inflation 20-40%</t>
        </is>
      </c>
      <c r="C58" s="63" t="n">
        <v>0</v>
      </c>
      <c r="D58" s="63" t="n">
        <v>0</v>
      </c>
      <c r="E58" s="25" t="inlineStr">
        <is>
          <t>n/a</t>
        </is>
      </c>
      <c r="F58" s="90" t="inlineStr">
        <is>
          <t>NO PRESIDENTIAL OBSERVATION IN THIS BAND</t>
        </is>
      </c>
    </row>
    <row r="59">
      <c r="B59" s="7" t="inlineStr">
        <is>
          <t>Won with y/y inflation &lt; 20%</t>
        </is>
      </c>
      <c r="C59" s="63" t="n">
        <v>3</v>
      </c>
      <c r="D59" s="63" t="n">
        <v>6</v>
      </c>
      <c r="E59" s="70">
        <f>C59/D59</f>
        <v/>
      </c>
      <c r="F59" s="74" t="inlineStr">
        <is>
          <t>a coin flip</t>
        </is>
      </c>
    </row>
    <row r="60">
      <c r="B60" s="7" t="inlineStr">
        <is>
          <t>Won with real wages rising</t>
        </is>
      </c>
      <c r="C60" s="63" t="n">
        <v>3</v>
      </c>
      <c r="D60" s="63" t="n">
        <v>4</v>
      </c>
      <c r="E60" s="70">
        <f>C60/D60</f>
        <v/>
      </c>
      <c r="F60" s="74" t="inlineStr"/>
    </row>
    <row r="61">
      <c r="B61" s="7" t="inlineStr">
        <is>
          <t>Won with real wages falling</t>
        </is>
      </c>
      <c r="C61" s="63" t="n">
        <v>0</v>
      </c>
      <c r="D61" s="63" t="n">
        <v>5</v>
      </c>
      <c r="E61" s="70">
        <f>C61/D61</f>
        <v/>
      </c>
      <c r="F61" s="74" t="inlineStr"/>
    </row>
    <row r="62">
      <c r="B62" s="28" t="inlineStr">
        <is>
          <t>Inflation is a good VETO variable and a poor SELECTION variable. Above 40% it is close to dispositive — no Argentine incumbent has ever survived it. Below 20% it carries almost no information: the incumbent wins half the time, and the outcome is decided by real income, candidate and scandal.</t>
        </is>
      </c>
    </row>
    <row r="64">
      <c r="B64" s="11" t="inlineStr">
        <is>
          <t>6. Sensitivity — the grid that makes the argument</t>
        </is>
      </c>
    </row>
    <row r="65">
      <c r="B65" s="28" t="inlineStr">
        <is>
          <t>Rows: y/y inflation at the last print before the vote. Columns: the direction of real wages over the prior twelve months. Every cell is the live formula.</t>
        </is>
      </c>
    </row>
    <row r="66">
      <c r="B66" s="22" t="inlineStr">
        <is>
          <t>pi (y/y, %)</t>
        </is>
      </c>
      <c r="C66" s="6" t="inlineStr">
        <is>
          <t>Real wages FALLING</t>
        </is>
      </c>
      <c r="D66" s="6" t="inlineStr">
        <is>
          <t>Real wages FLAT</t>
        </is>
      </c>
      <c r="E66" s="6" t="inlineStr">
        <is>
          <t>Real wages RISING</t>
        </is>
      </c>
    </row>
    <row r="67">
      <c r="B67" s="41" t="inlineStr">
        <is>
          <t>W =</t>
        </is>
      </c>
      <c r="C67" s="91" t="n">
        <v>-1</v>
      </c>
      <c r="D67" s="91" t="n">
        <v>0</v>
      </c>
      <c r="E67" s="91" t="n">
        <v>1</v>
      </c>
    </row>
    <row r="68">
      <c r="B68" s="63" t="n">
        <v>10</v>
      </c>
      <c r="C68" s="92">
        <f>1/(1+EXP($C$24*($C$21*(LN(1+$B68/100)-LN(1.2))+$C$22*$C$19+$C$23*(-C$67))))</f>
        <v/>
      </c>
      <c r="D68" s="92">
        <f>1/(1+EXP($C$24*($C$21*(LN(1+$B68/100)-LN(1.2))+$C$22*$C$19+$C$23*(-D$67))))</f>
        <v/>
      </c>
      <c r="E68" s="92">
        <f>1/(1+EXP($C$24*($C$21*(LN(1+$B68/100)-LN(1.2))+$C$22*$C$19+$C$23*(-E$67))))</f>
        <v/>
      </c>
    </row>
    <row r="69">
      <c r="B69" s="63" t="n">
        <v>13</v>
      </c>
      <c r="C69" s="92">
        <f>1/(1+EXP($C$24*($C$21*(LN(1+$B69/100)-LN(1.2))+$C$22*$C$19+$C$23*(-C$67))))</f>
        <v/>
      </c>
      <c r="D69" s="92">
        <f>1/(1+EXP($C$24*($C$21*(LN(1+$B69/100)-LN(1.2))+$C$22*$C$19+$C$23*(-D$67))))</f>
        <v/>
      </c>
      <c r="E69" s="92">
        <f>1/(1+EXP($C$24*($C$21*(LN(1+$B69/100)-LN(1.2))+$C$22*$C$19+$C$23*(-E$67))))</f>
        <v/>
      </c>
    </row>
    <row r="70">
      <c r="B70" s="63" t="n">
        <v>15</v>
      </c>
      <c r="C70" s="92">
        <f>1/(1+EXP($C$24*($C$21*(LN(1+$B70/100)-LN(1.2))+$C$22*$C$19+$C$23*(-C$67))))</f>
        <v/>
      </c>
      <c r="D70" s="92">
        <f>1/(1+EXP($C$24*($C$21*(LN(1+$B70/100)-LN(1.2))+$C$22*$C$19+$C$23*(-D$67))))</f>
        <v/>
      </c>
      <c r="E70" s="92">
        <f>1/(1+EXP($C$24*($C$21*(LN(1+$B70/100)-LN(1.2))+$C$22*$C$19+$C$23*(-E$67))))</f>
        <v/>
      </c>
    </row>
    <row r="71">
      <c r="B71" s="63" t="n">
        <v>18</v>
      </c>
      <c r="C71" s="92">
        <f>1/(1+EXP($C$24*($C$21*(LN(1+$B71/100)-LN(1.2))+$C$22*$C$19+$C$23*(-C$67))))</f>
        <v/>
      </c>
      <c r="D71" s="92">
        <f>1/(1+EXP($C$24*($C$21*(LN(1+$B71/100)-LN(1.2))+$C$22*$C$19+$C$23*(-D$67))))</f>
        <v/>
      </c>
      <c r="E71" s="92">
        <f>1/(1+EXP($C$24*($C$21*(LN(1+$B71/100)-LN(1.2))+$C$22*$C$19+$C$23*(-E$67))))</f>
        <v/>
      </c>
    </row>
    <row r="72">
      <c r="B72" s="63" t="n">
        <v>20</v>
      </c>
      <c r="C72" s="92">
        <f>1/(1+EXP($C$24*($C$21*(LN(1+$B72/100)-LN(1.2))+$C$22*$C$19+$C$23*(-C$67))))</f>
        <v/>
      </c>
      <c r="D72" s="92">
        <f>1/(1+EXP($C$24*($C$21*(LN(1+$B72/100)-LN(1.2))+$C$22*$C$19+$C$23*(-D$67))))</f>
        <v/>
      </c>
      <c r="E72" s="92">
        <f>1/(1+EXP($C$24*($C$21*(LN(1+$B72/100)-LN(1.2))+$C$22*$C$19+$C$23*(-E$67))))</f>
        <v/>
      </c>
    </row>
    <row r="73">
      <c r="B73" s="63" t="n">
        <v>22</v>
      </c>
      <c r="C73" s="92">
        <f>1/(1+EXP($C$24*($C$21*(LN(1+$B73/100)-LN(1.2))+$C$22*$C$19+$C$23*(-C$67))))</f>
        <v/>
      </c>
      <c r="D73" s="92">
        <f>1/(1+EXP($C$24*($C$21*(LN(1+$B73/100)-LN(1.2))+$C$22*$C$19+$C$23*(-D$67))))</f>
        <v/>
      </c>
      <c r="E73" s="92">
        <f>1/(1+EXP($C$24*($C$21*(LN(1+$B73/100)-LN(1.2))+$C$22*$C$19+$C$23*(-E$67))))</f>
        <v/>
      </c>
    </row>
    <row r="74">
      <c r="B74" s="63" t="n">
        <v>25</v>
      </c>
      <c r="C74" s="92">
        <f>1/(1+EXP($C$24*($C$21*(LN(1+$B74/100)-LN(1.2))+$C$22*$C$19+$C$23*(-C$67))))</f>
        <v/>
      </c>
      <c r="D74" s="92">
        <f>1/(1+EXP($C$24*($C$21*(LN(1+$B74/100)-LN(1.2))+$C$22*$C$19+$C$23*(-D$67))))</f>
        <v/>
      </c>
      <c r="E74" s="92">
        <f>1/(1+EXP($C$24*($C$21*(LN(1+$B74/100)-LN(1.2))+$C$22*$C$19+$C$23*(-E$67))))</f>
        <v/>
      </c>
    </row>
    <row r="75">
      <c r="B75" s="63" t="n">
        <v>29</v>
      </c>
      <c r="C75" s="92">
        <f>1/(1+EXP($C$24*($C$21*(LN(1+$B75/100)-LN(1.2))+$C$22*$C$19+$C$23*(-C$67))))</f>
        <v/>
      </c>
      <c r="D75" s="92">
        <f>1/(1+EXP($C$24*($C$21*(LN(1+$B75/100)-LN(1.2))+$C$22*$C$19+$C$23*(-D$67))))</f>
        <v/>
      </c>
      <c r="E75" s="92">
        <f>1/(1+EXP($C$24*($C$21*(LN(1+$B75/100)-LN(1.2))+$C$22*$C$19+$C$23*(-E$67))))</f>
        <v/>
      </c>
    </row>
    <row r="76">
      <c r="B76" s="63" t="n">
        <v>33</v>
      </c>
      <c r="C76" s="92">
        <f>1/(1+EXP($C$24*($C$21*(LN(1+$B76/100)-LN(1.2))+$C$22*$C$19+$C$23*(-C$67))))</f>
        <v/>
      </c>
      <c r="D76" s="92">
        <f>1/(1+EXP($C$24*($C$21*(LN(1+$B76/100)-LN(1.2))+$C$22*$C$19+$C$23*(-D$67))))</f>
        <v/>
      </c>
      <c r="E76" s="92">
        <f>1/(1+EXP($C$24*($C$21*(LN(1+$B76/100)-LN(1.2))+$C$22*$C$19+$C$23*(-E$67))))</f>
        <v/>
      </c>
    </row>
    <row r="77">
      <c r="B77" s="63" t="n">
        <v>40</v>
      </c>
      <c r="C77" s="92">
        <f>1/(1+EXP($C$24*($C$21*(LN(1+$B77/100)-LN(1.2))+$C$22*$C$19+$C$23*(-C$67))))</f>
        <v/>
      </c>
      <c r="D77" s="92">
        <f>1/(1+EXP($C$24*($C$21*(LN(1+$B77/100)-LN(1.2))+$C$22*$C$19+$C$23*(-D$67))))</f>
        <v/>
      </c>
      <c r="E77" s="92">
        <f>1/(1+EXP($C$24*($C$21*(LN(1+$B77/100)-LN(1.2))+$C$22*$C$19+$C$23*(-E$67))))</f>
        <v/>
      </c>
    </row>
    <row r="79">
      <c r="B79" s="28" t="inlineStr">
        <is>
          <t>READ THE GRID SIDEWAYS, NOT DOWNWARD. Holding the base case of about 19% inflation, moving real wages from falling to rising swings the win probability from roughly 0.15 to roughly 0.87. Holding real wages at falling, moving inflation across the entire bull-to-bear range — 13% to 29% — moves it by about two points.</t>
        </is>
      </c>
    </row>
    <row r="80">
      <c r="B80" s="28" t="inlineStr">
        <is>
          <t>THAT COMPARISON IS THE SECTION'S THESIS. For 2027 the inflation path is close to irrelevant to the electoral outcome and the real-wage path is close to decisive. With real wages at minus 3.0% y/y and three consecutive monthly falls, the model's current reading is about 0.15, against an unconditional base rate of 0.33. The government's electoral problem is not inflation, and it cannot be solved by more disinflation.</t>
        </is>
      </c>
    </row>
    <row r="82">
      <c r="B82" s="11" t="inlineStr">
        <is>
          <t>7. 2027 scenarios</t>
        </is>
      </c>
    </row>
    <row r="83">
      <c r="B83" s="6" t="inlineStr">
        <is>
          <t>Scenario</t>
        </is>
      </c>
      <c r="C83" s="6" t="inlineStr">
        <is>
          <t>pi Dec-27</t>
        </is>
      </c>
      <c r="D83" s="6" t="inlineStr">
        <is>
          <t>D</t>
        </is>
      </c>
      <c r="E83" s="6" t="inlineStr">
        <is>
          <t>W</t>
        </is>
      </c>
      <c r="F83" s="6" t="inlineStr">
        <is>
          <t>P(win)</t>
        </is>
      </c>
      <c r="G83" s="6" t="inlineStr">
        <is>
          <t>Comment</t>
        </is>
      </c>
    </row>
    <row r="84">
      <c r="B84" s="7" t="inlineStr">
        <is>
          <t>Bull — 13%, falling, wages recovering</t>
        </is>
      </c>
      <c r="C84" s="37" t="n">
        <v>12.9</v>
      </c>
      <c r="D84" s="87" t="n">
        <v>-1</v>
      </c>
      <c r="E84" s="87" t="n">
        <v>1</v>
      </c>
      <c r="F84" s="72">
        <f>1/(1+EXP($C$24*($C$21*(LN(1+C84/100)-LN(1.2))+$C$22*D84+$C$23*(-E84))))</f>
        <v/>
      </c>
      <c r="G84" s="35" t="inlineStr">
        <is>
          <t>Requires a real wage recovery the current data do not show.</t>
        </is>
      </c>
    </row>
    <row r="85">
      <c r="B85" s="7" t="inlineStr">
        <is>
          <t>Base A — 19%, falling, wages flat</t>
        </is>
      </c>
      <c r="C85" s="37" t="n">
        <v>18.7</v>
      </c>
      <c r="D85" s="87" t="n">
        <v>-1</v>
      </c>
      <c r="E85" s="87" t="n">
        <v>0</v>
      </c>
      <c r="F85" s="72">
        <f>1/(1+EXP($C$24*($C$21*(LN(1+C85/100)-LN(1.2))+$C$22*D85+$C$23*(-E85))))</f>
        <v/>
      </c>
      <c r="G85" s="35" t="inlineStr">
        <is>
          <t>The knife edge. Everything turns on whether wages stabilise.</t>
        </is>
      </c>
    </row>
    <row r="86">
      <c r="B86" s="7" t="inlineStr">
        <is>
          <t>Base B — 19%, falling, wages still falling</t>
        </is>
      </c>
      <c r="C86" s="37" t="n">
        <v>18.7</v>
      </c>
      <c r="D86" s="87" t="n">
        <v>-1</v>
      </c>
      <c r="E86" s="87" t="n">
        <v>-1</v>
      </c>
      <c r="F86" s="72">
        <f>1/(1+EXP($C$24*($C$21*(LN(1+C86/100)-LN(1.2))+$C$22*D86+$C$23*(-E86))))</f>
        <v/>
      </c>
      <c r="G86" s="35" t="inlineStr">
        <is>
          <t>WHERE THE DATA CURRENTLY POINT.</t>
        </is>
      </c>
    </row>
    <row r="87">
      <c r="B87" s="7" t="inlineStr">
        <is>
          <t>Bear — 29%, rising, wages falling</t>
        </is>
      </c>
      <c r="C87" s="37" t="n">
        <v>28.7</v>
      </c>
      <c r="D87" s="87" t="n">
        <v>1</v>
      </c>
      <c r="E87" s="87" t="n">
        <v>-1</v>
      </c>
      <c r="F87" s="72">
        <f>1/(1+EXP($C$24*($C$21*(LN(1+C87/100)-LN(1.2))+$C$22*D87+$C$23*(-E87))))</f>
        <v/>
      </c>
      <c r="G87" s="35" t="inlineStr">
        <is>
          <t>Note it is barely worse than Base B. The inflation term adds almost nothing once wages are falling.</t>
        </is>
      </c>
    </row>
  </sheetData>
  <mergeCells count="4">
    <mergeCell ref="B8:L8"/>
    <mergeCell ref="B7:L7"/>
    <mergeCell ref="B9:L9"/>
    <mergeCell ref="B6:L6"/>
  </mergeCells>
  <conditionalFormatting sqref="C68:E77">
    <cfRule type="colorScale" priority="1">
      <colorScale>
        <cfvo type="num" val="0"/>
        <cfvo type="num" val="0.5"/>
        <cfvo type="num" val="1"/>
        <color rgb="00F8696B"/>
        <color rgb="00FFEB84"/>
        <color rgb="0063BE7B"/>
      </colorScale>
    </cfRule>
  </conditionalFormatting>
  <pageMargins left="0.75" right="0.75" top="1" bottom="1" header="0.5" footer="0.5"/>
</worksheet>
</file>

<file path=xl/worksheets/sheet16.xml><?xml version="1.0" encoding="utf-8"?>
<worksheet xmlns="http://schemas.openxmlformats.org/spreadsheetml/2006/main">
  <sheetPr>
    <tabColor rgb="001F3B63"/>
    <outlinePr summaryBelow="1" summaryRight="1"/>
    <pageSetUpPr fitToPage="1"/>
  </sheetPr>
  <dimension ref="B2:G70"/>
  <sheetViews>
    <sheetView showGridLines="0" workbookViewId="0">
      <selection activeCell="A1" sqref="A1"/>
    </sheetView>
  </sheetViews>
  <sheetFormatPr baseColWidth="8" defaultRowHeight="15"/>
  <cols>
    <col width="2" customWidth="1" min="1" max="1"/>
    <col width="24" customWidth="1" min="2" max="2"/>
    <col width="10" customWidth="1" min="3" max="3"/>
    <col width="22" customWidth="1" min="4" max="4"/>
    <col width="12" customWidth="1" min="5" max="5"/>
    <col width="14" customWidth="1" min="6" max="6"/>
    <col width="60" customWidth="1" min="7" max="7"/>
  </cols>
  <sheetData>
    <row r="2" ht="26" customHeight="1">
      <c r="B2" s="1" t="inlineStr">
        <is>
          <t>Sentiment by inflation regime — and the displacement that has already happened</t>
        </is>
      </c>
    </row>
    <row r="3">
      <c r="B3" s="2" t="inlineStr">
        <is>
          <t>A framework with anchors attached, NOT an estimated relationship. Unsourced cells are left empty.</t>
        </is>
      </c>
    </row>
    <row r="5">
      <c r="B5" s="11" t="inlineStr">
        <is>
          <t>1. What this can and cannot be</t>
        </is>
      </c>
    </row>
    <row r="6">
      <c r="B6" s="28" t="inlineStr">
        <is>
          <t>A true empirical mapping needs the UTDT confidence history back to 2001, which sits behind a blocked download. What follows is built from the anchors that could be sourced. Present it as indicative; do not present it as estimated.</t>
        </is>
      </c>
    </row>
    <row r="8" ht="24" customHeight="1">
      <c r="B8" s="6" t="inlineStr">
        <is>
          <t>Annual inflation</t>
        </is>
      </c>
      <c r="C8" s="6" t="inlineStr">
        <is>
          <t>ICG (0-5)</t>
        </is>
      </c>
      <c r="D8" s="6" t="inlineStr">
        <is>
          <t>ICC</t>
        </is>
      </c>
      <c r="E8" s="6" t="inlineStr">
        <is>
          <t>Character of sentiment</t>
        </is>
      </c>
      <c r="F8" s="6" t="inlineStr">
        <is>
          <t>Anchors</t>
        </is>
      </c>
    </row>
    <row r="9" ht="39" customHeight="1">
      <c r="B9" s="24" t="inlineStr">
        <is>
          <t>Under 10%</t>
        </is>
      </c>
      <c r="C9" s="36" t="inlineStr">
        <is>
          <t>unsourced</t>
        </is>
      </c>
      <c r="D9" s="36" t="inlineStr">
        <is>
          <t>unsourced</t>
        </is>
      </c>
      <c r="E9" s="8" t="inlineStr">
        <is>
          <t>Inflation absent from political discourse; sentiment driven wholly by employment and real wages. 1999 shows deflation with an incumbent defeat.</t>
        </is>
      </c>
      <c r="F9" s="74" t="inlineStr">
        <is>
          <t>1995-99 convertibility. No ICG — the series starts in 2001.</t>
        </is>
      </c>
    </row>
    <row r="10" ht="26" customHeight="1">
      <c r="B10" s="24" t="inlineStr">
        <is>
          <t>10-20%</t>
        </is>
      </c>
      <c r="C10" s="36" t="inlineStr">
        <is>
          <t>unsourced</t>
        </is>
      </c>
      <c r="D10" s="36" t="inlineStr">
        <is>
          <t>unsourced</t>
        </is>
      </c>
      <c r="E10" s="8" t="inlineStr">
        <is>
          <t>Inflation salient but not dominant; real wages decisive. 2007 and 2011 are incumbent wins.</t>
        </is>
      </c>
      <c r="F10" s="74" t="inlineStr">
        <is>
          <t>Nestor Kirchner ICG average 2.49, the highest of the series.</t>
        </is>
      </c>
    </row>
    <row r="11" ht="39" customHeight="1">
      <c r="B11" s="24" t="inlineStr">
        <is>
          <t>20-30%</t>
        </is>
      </c>
      <c r="C11" s="93" t="inlineStr">
        <is>
          <t>2.4 - 2.7</t>
        </is>
      </c>
      <c r="D11" s="93" t="inlineStr">
        <is>
          <t>43 - 47</t>
        </is>
      </c>
      <c r="E11" s="8" t="inlineStr">
        <is>
          <t>THE MILEI 2024-25 ZONE. Disinflation from a high base with real wages recovering; confidence holds up well relative to the inflation level.</t>
        </is>
      </c>
      <c r="F11" s="74" t="inlineStr">
        <is>
          <t>ICG 2.66 (Dec-2024), 2.45 (Jul-2025); ICC 47.38 (Jan-2025).</t>
        </is>
      </c>
    </row>
    <row r="12" ht="52" customHeight="1">
      <c r="B12" s="25" t="inlineStr">
        <is>
          <t>30-40%</t>
        </is>
      </c>
      <c r="C12" s="93" t="inlineStr">
        <is>
          <t>1.9 - 2.1</t>
        </is>
      </c>
      <c r="D12" s="93" t="inlineStr">
        <is>
          <t>~41</t>
        </is>
      </c>
      <c r="E12" s="8" t="inlineStr">
        <is>
          <t>WHERE ARGENTINA SITS NOW. Confidence at the administration low, consumer confidence 13% below peak. The SAME nominal band as 2024-25 and materially worse sentiment — because real wages turned.</t>
        </is>
      </c>
      <c r="F12" s="74" t="inlineStr">
        <is>
          <t>ICG 1.94 (Sep-2026); ICC 41.18; CPI 33.5% y/y.</t>
        </is>
      </c>
    </row>
    <row r="13" ht="26" customHeight="1">
      <c r="B13" s="24" t="inlineStr">
        <is>
          <t>Over 50%</t>
        </is>
      </c>
      <c r="C13" s="93" t="inlineStr">
        <is>
          <t>1.2 - 1.8</t>
        </is>
      </c>
      <c r="D13" s="93" t="inlineStr">
        <is>
          <t>35 - 40</t>
        </is>
      </c>
      <c r="E13" s="8" t="inlineStr">
        <is>
          <t>Inflation dominant in survey salience; incumbents structurally doomed. No incumbent has survived 40% or above.</t>
        </is>
      </c>
      <c r="F13" s="74" t="inlineStr">
        <is>
          <t>Alberto Fernandez ICG average 1.93, low 1.12; ICC 35.60 (Jan-2024).</t>
        </is>
      </c>
    </row>
    <row r="14" ht="26" customHeight="1">
      <c r="B14" s="24" t="inlineStr">
        <is>
          <t>Hyperinflation (&gt;1,000%)</t>
        </is>
      </c>
      <c r="C14" s="93" t="inlineStr">
        <is>
          <t>n/a</t>
        </is>
      </c>
      <c r="D14" s="93" t="inlineStr">
        <is>
          <t>n/a</t>
        </is>
      </c>
      <c r="E14" s="8" t="inlineStr">
        <is>
          <t>Regime-collapse politics. In 1989 the president left office five months early.</t>
        </is>
      </c>
      <c r="F14" s="74" t="inlineStr">
        <is>
          <t>1989: the Hanke-Krus peak is 197% m/m in July.</t>
        </is>
      </c>
    </row>
    <row r="16">
      <c r="B16" s="28" t="inlineStr">
        <is>
          <t>THE INTERESTING COMPARISON IS 20-30% AGAINST 30-40%. Those are adjacent bands, but the confidence index differs by about half a point — a quarter of its operating range. The nominal band barely moved between 2025 and 2026; sentiment fell off a cliff. The band label is not doing the work. Real wages are.</t>
        </is>
      </c>
    </row>
    <row r="18">
      <c r="B18" s="11" t="inlineStr">
        <is>
          <t>2. The displacement has already happened — and at a higher inflation rate than you would guess</t>
        </is>
      </c>
    </row>
    <row r="19">
      <c r="B19" s="6" t="inlineStr">
        <is>
          <t>Date</t>
        </is>
      </c>
      <c r="C19" s="6" t="inlineStr">
        <is>
          <t>% naming inflation the most important problem</t>
        </is>
      </c>
      <c r="D19" s="6" t="inlineStr">
        <is>
          <t>Measured inflation at the time</t>
        </is>
      </c>
      <c r="E19" s="6" t="inlineStr">
        <is>
          <t>Source</t>
        </is>
      </c>
    </row>
    <row r="20">
      <c r="B20" s="24" t="inlineStr">
        <is>
          <t>2024-05</t>
        </is>
      </c>
      <c r="C20" s="48" t="n">
        <v>0.44</v>
      </c>
      <c r="D20" s="41" t="inlineStr">
        <is>
          <t>~290% y/y</t>
        </is>
      </c>
      <c r="E20" s="41" t="inlineStr">
        <is>
          <t>AtlasIntel / Bloomberg Latam Pulse</t>
        </is>
      </c>
    </row>
    <row r="21">
      <c r="B21" s="24" t="inlineStr">
        <is>
          <t>2025-08</t>
        </is>
      </c>
      <c r="C21" s="48" t="n">
        <v>0.55</v>
      </c>
      <c r="D21" s="41" t="inlineStr">
        <is>
          <t>~34% y/y</t>
        </is>
      </c>
      <c r="E21" s="41" t="inlineStr">
        <is>
          <t>AtlasIntel / Bloomberg Latam Pulse</t>
        </is>
      </c>
    </row>
    <row r="22">
      <c r="B22" s="24" t="inlineStr">
        <is>
          <t>2026-06</t>
        </is>
      </c>
      <c r="C22" s="48" t="n">
        <v>0.208</v>
      </c>
      <c r="D22" s="41" t="inlineStr">
        <is>
          <t>33.5% y/y (Aug print)</t>
        </is>
      </c>
      <c r="E22" s="41" t="inlineStr">
        <is>
          <t>AtlasIntel / Bloomberg Latam Pulse</t>
        </is>
      </c>
    </row>
    <row r="24">
      <c r="B24" s="28" t="inlineStr">
        <is>
          <t>Inflation's salience MORE THAN HALVED, from 44% to 20.8%, while measured inflation was still running above 33% a year.</t>
        </is>
      </c>
    </row>
    <row r="26">
      <c r="B26" s="11" t="inlineStr">
        <is>
          <t>3. What replaced it — June 2026, 2,202 respondents</t>
        </is>
      </c>
    </row>
    <row r="27">
      <c r="B27" s="22" t="inlineStr">
        <is>
          <t>Problem</t>
        </is>
      </c>
      <c r="C27" s="22" t="inlineStr">
        <is>
          <t>% naming</t>
        </is>
      </c>
      <c r="D27" s="22" t="inlineStr"/>
    </row>
    <row r="28">
      <c r="B28" s="24" t="inlineStr">
        <is>
          <t>Corruption</t>
        </is>
      </c>
      <c r="C28" s="48" t="n">
        <v>0.479</v>
      </c>
    </row>
    <row r="29">
      <c r="B29" s="24" t="inlineStr">
        <is>
          <t>Unemployment</t>
        </is>
      </c>
      <c r="C29" s="48" t="n">
        <v>0.395</v>
      </c>
    </row>
    <row r="30">
      <c r="B30" s="24" t="inlineStr">
        <is>
          <t>Judicial impunity</t>
        </is>
      </c>
      <c r="C30" s="48" t="n">
        <v>0.3779999999999999</v>
      </c>
    </row>
    <row r="31">
      <c r="B31" s="24" t="inlineStr">
        <is>
          <t>Weakening of democracy</t>
        </is>
      </c>
      <c r="C31" s="48" t="n">
        <v>0.303</v>
      </c>
    </row>
    <row r="32">
      <c r="B32" s="24" t="inlineStr">
        <is>
          <t>Economic situation</t>
        </is>
      </c>
      <c r="C32" s="48" t="n">
        <v>0.301</v>
      </c>
    </row>
    <row r="33">
      <c r="B33" s="25" t="inlineStr">
        <is>
          <t>Inflation</t>
        </is>
      </c>
      <c r="C33" s="48" t="n">
        <v>0.208</v>
      </c>
    </row>
    <row r="35">
      <c r="B35" s="28" t="inlineStr">
        <is>
          <t>Corroborated by three independent instruments. Universidad de San Andres (Mar-2026): low salaries 37%, lack of employment 36%, corruption 33%, insecurity 30%, poverty 27%, INFLATION 20%. Proyeccion Consultores (May-2026): low incomes 49.9%, insecurity 40.1%, inflation 35.5%. Poliarquia (Sep-2026): 20% name low salaries the main problem, a record for that series.</t>
        </is>
      </c>
    </row>
    <row r="36">
      <c r="B36" s="28" t="inlineStr">
        <is>
          <t>THE STRATEGIC CONSEQUENCE. Milei's core achievement is disinflation, and disinflation has been devalued as an electoral asset by its own success. The 2027 election will be fought on wages, employment and corruption — three dimensions on which the government is currently losing: real wages minus 3.0% y/y, unemployment 7.9% and rising, corruption the single most-named problem at 47.9%.</t>
        </is>
      </c>
    </row>
    <row r="38">
      <c r="B38" s="11" t="inlineStr">
        <is>
          <t>4. Confidence against inflation — the natural experiment</t>
        </is>
      </c>
    </row>
    <row r="39">
      <c r="B39" s="6" t="inlineStr">
        <is>
          <t>Month</t>
        </is>
      </c>
      <c r="C39" s="6" t="inlineStr">
        <is>
          <t>ICG (0-5)</t>
        </is>
      </c>
      <c r="D39" s="6" t="inlineStr">
        <is>
          <t>CPI m/m</t>
        </is>
      </c>
      <c r="E39" s="6" t="inlineStr">
        <is>
          <t>CPI 3m ann.</t>
        </is>
      </c>
      <c r="F39" s="6" t="inlineStr">
        <is>
          <t>Real wages</t>
        </is>
      </c>
      <c r="G39" s="6" t="inlineStr">
        <is>
          <t>Note</t>
        </is>
      </c>
    </row>
    <row r="40">
      <c r="B40" s="13" t="inlineStr">
        <is>
          <t>2023-12</t>
        </is>
      </c>
      <c r="C40" s="54" t="n">
        <v>2.86</v>
      </c>
      <c r="D40" s="18">
        <f>IFERROR(INDEX('CPI Data'!$I:$I,MATCH($B40,'CPI Data'!$B:$B,0)),"")</f>
        <v/>
      </c>
      <c r="E40" s="32">
        <f>IFERROR(INDEX('CPI Data'!$P:$P,MATCH($B40,'CPI Data'!$B:$B,0)),"")</f>
        <v/>
      </c>
      <c r="F40" s="41" t="inlineStr">
        <is>
          <t>collapsing</t>
        </is>
      </c>
      <c r="G40" s="74" t="inlineStr"/>
    </row>
    <row r="41">
      <c r="B41" s="13" t="inlineStr">
        <is>
          <t>2024-12</t>
        </is>
      </c>
      <c r="C41" s="54" t="n">
        <v>2.66</v>
      </c>
      <c r="D41" s="18">
        <f>IFERROR(INDEX('CPI Data'!$I:$I,MATCH($B41,'CPI Data'!$B:$B,0)),"")</f>
        <v/>
      </c>
      <c r="E41" s="32">
        <f>IFERROR(INDEX('CPI Data'!$P:$P,MATCH($B41,'CPI Data'!$B:$B,0)),"")</f>
        <v/>
      </c>
      <c r="F41" s="41" t="inlineStr">
        <is>
          <t>recovering</t>
        </is>
      </c>
      <c r="G41" s="74" t="inlineStr"/>
    </row>
    <row r="42">
      <c r="B42" s="13" t="inlineStr">
        <is>
          <t>2025-07</t>
        </is>
      </c>
      <c r="C42" s="54" t="n">
        <v>2.45</v>
      </c>
      <c r="D42" s="18">
        <f>IFERROR(INDEX('CPI Data'!$I:$I,MATCH($B42,'CPI Data'!$B:$B,0)),"")</f>
        <v/>
      </c>
      <c r="E42" s="32">
        <f>IFERROR(INDEX('CPI Data'!$P:$P,MATCH($B42,'CPI Data'!$B:$B,0)),"")</f>
        <v/>
      </c>
      <c r="F42" s="41" t="inlineStr">
        <is>
          <t>rising</t>
        </is>
      </c>
      <c r="G42" s="74" t="inlineStr"/>
    </row>
    <row r="43">
      <c r="B43" s="13" t="inlineStr">
        <is>
          <t>2025-08</t>
        </is>
      </c>
      <c r="C43" s="54" t="n">
        <v>2.12</v>
      </c>
      <c r="D43" s="18">
        <f>IFERROR(INDEX('CPI Data'!$I:$I,MATCH($B43,'CPI Data'!$B:$B,0)),"")</f>
        <v/>
      </c>
      <c r="E43" s="32">
        <f>IFERROR(INDEX('CPI Data'!$P:$P,MATCH($B43,'CPI Data'!$B:$B,0)),"")</f>
        <v/>
      </c>
      <c r="F43" s="41" t="inlineStr">
        <is>
          <t>rising</t>
        </is>
      </c>
      <c r="G43" s="74" t="inlineStr">
        <is>
          <t>audio scandal month</t>
        </is>
      </c>
    </row>
    <row r="44">
      <c r="B44" s="13" t="inlineStr">
        <is>
          <t>2025-09</t>
        </is>
      </c>
      <c r="C44" s="54" t="n">
        <v>1.94</v>
      </c>
      <c r="D44" s="18">
        <f>IFERROR(INDEX('CPI Data'!$I:$I,MATCH($B44,'CPI Data'!$B:$B,0)),"")</f>
        <v/>
      </c>
      <c r="E44" s="32">
        <f>IFERROR(INDEX('CPI Data'!$P:$P,MATCH($B44,'CPI Data'!$B:$B,0)),"")</f>
        <v/>
      </c>
      <c r="F44" s="41" t="inlineStr">
        <is>
          <t>rising</t>
        </is>
      </c>
      <c r="G44" s="74" t="inlineStr">
        <is>
          <t>first sub-2.0 of the administration</t>
        </is>
      </c>
    </row>
    <row r="45">
      <c r="B45" s="13" t="inlineStr">
        <is>
          <t>2025-10</t>
        </is>
      </c>
      <c r="C45" s="54" t="n">
        <v>2.1</v>
      </c>
      <c r="D45" s="18">
        <f>IFERROR(INDEX('CPI Data'!$I:$I,MATCH($B45,'CPI Data'!$B:$B,0)),"")</f>
        <v/>
      </c>
      <c r="E45" s="32">
        <f>IFERROR(INDEX('CPI Data'!$P:$P,MATCH($B45,'CPI Data'!$B:$B,0)),"")</f>
        <v/>
      </c>
      <c r="F45" s="41" t="inlineStr">
        <is>
          <t>rising</t>
        </is>
      </c>
      <c r="G45" s="74" t="inlineStr">
        <is>
          <t>fieldwork 1-14 Oct; midterm 26 Oct</t>
        </is>
      </c>
    </row>
    <row r="46">
      <c r="B46" s="13" t="inlineStr">
        <is>
          <t>2025-11</t>
        </is>
      </c>
      <c r="C46" s="54" t="n">
        <v>2.47</v>
      </c>
      <c r="D46" s="18">
        <f>IFERROR(INDEX('CPI Data'!$I:$I,MATCH($B46,'CPI Data'!$B:$B,0)),"")</f>
        <v/>
      </c>
      <c r="E46" s="32">
        <f>IFERROR(INDEX('CPI Data'!$P:$P,MATCH($B46,'CPI Data'!$B:$B,0)),"")</f>
        <v/>
      </c>
      <c r="F46" s="41" t="inlineStr">
        <is>
          <t>rising</t>
        </is>
      </c>
      <c r="G46" s="74" t="inlineStr">
        <is>
          <t>post-midterm bounce</t>
        </is>
      </c>
    </row>
    <row r="47">
      <c r="B47" s="13" t="inlineStr">
        <is>
          <t>2025-12</t>
        </is>
      </c>
      <c r="C47" s="54" t="n">
        <v>2.46</v>
      </c>
      <c r="D47" s="18">
        <f>IFERROR(INDEX('CPI Data'!$I:$I,MATCH($B47,'CPI Data'!$B:$B,0)),"")</f>
        <v/>
      </c>
      <c r="E47" s="32">
        <f>IFERROR(INDEX('CPI Data'!$P:$P,MATCH($B47,'CPI Data'!$B:$B,0)),"")</f>
        <v/>
      </c>
      <c r="F47" s="41" t="inlineStr">
        <is>
          <t>rising</t>
        </is>
      </c>
      <c r="G47" s="74" t="inlineStr"/>
    </row>
    <row r="48">
      <c r="B48" s="13" t="inlineStr">
        <is>
          <t>2026-01</t>
        </is>
      </c>
      <c r="C48" s="54" t="n">
        <v>2.4</v>
      </c>
      <c r="D48" s="18">
        <f>IFERROR(INDEX('CPI Data'!$I:$I,MATCH($B48,'CPI Data'!$B:$B,0)),"")</f>
        <v/>
      </c>
      <c r="E48" s="32">
        <f>IFERROR(INDEX('CPI Data'!$P:$P,MATCH($B48,'CPI Data'!$B:$B,0)),"")</f>
        <v/>
      </c>
      <c r="F48" s="41" t="inlineStr">
        <is>
          <t>flat</t>
        </is>
      </c>
      <c r="G48" s="74" t="inlineStr"/>
    </row>
    <row r="49">
      <c r="B49" s="13" t="inlineStr">
        <is>
          <t>2026-02</t>
        </is>
      </c>
      <c r="C49" s="54" t="n">
        <v>2.38</v>
      </c>
      <c r="D49" s="18">
        <f>IFERROR(INDEX('CPI Data'!$I:$I,MATCH($B49,'CPI Data'!$B:$B,0)),"")</f>
        <v/>
      </c>
      <c r="E49" s="32">
        <f>IFERROR(INDEX('CPI Data'!$P:$P,MATCH($B49,'CPI Data'!$B:$B,0)),"")</f>
        <v/>
      </c>
      <c r="F49" s="41" t="inlineStr">
        <is>
          <t>flat</t>
        </is>
      </c>
      <c r="G49" s="74" t="inlineStr"/>
    </row>
    <row r="50">
      <c r="B50" s="13" t="inlineStr">
        <is>
          <t>2026-03</t>
        </is>
      </c>
      <c r="C50" s="54" t="n">
        <v>2.3</v>
      </c>
      <c r="D50" s="18">
        <f>IFERROR(INDEX('CPI Data'!$I:$I,MATCH($B50,'CPI Data'!$B:$B,0)),"")</f>
        <v/>
      </c>
      <c r="E50" s="32">
        <f>IFERROR(INDEX('CPI Data'!$P:$P,MATCH($B50,'CPI Data'!$B:$B,0)),"")</f>
        <v/>
      </c>
      <c r="F50" s="41" t="inlineStr">
        <is>
          <t>flat</t>
        </is>
      </c>
      <c r="G50" s="74" t="inlineStr"/>
    </row>
    <row r="51">
      <c r="B51" s="13" t="inlineStr">
        <is>
          <t>2026-04</t>
        </is>
      </c>
      <c r="C51" s="54" t="n">
        <v>2.02</v>
      </c>
      <c r="D51" s="18">
        <f>IFERROR(INDEX('CPI Data'!$I:$I,MATCH($B51,'CPI Data'!$B:$B,0)),"")</f>
        <v/>
      </c>
      <c r="E51" s="32">
        <f>IFERROR(INDEX('CPI Data'!$P:$P,MATCH($B51,'CPI Data'!$B:$B,0)),"")</f>
        <v/>
      </c>
      <c r="F51" s="57" t="inlineStr">
        <is>
          <t>falling</t>
        </is>
      </c>
      <c r="G51" s="74" t="inlineStr">
        <is>
          <t>largest single-month fall of 2026</t>
        </is>
      </c>
    </row>
    <row r="52">
      <c r="B52" s="13" t="inlineStr">
        <is>
          <t>2026-05</t>
        </is>
      </c>
      <c r="C52" s="54" t="n">
        <v>1.99</v>
      </c>
      <c r="D52" s="18">
        <f>IFERROR(INDEX('CPI Data'!$I:$I,MATCH($B52,'CPI Data'!$B:$B,0)),"")</f>
        <v/>
      </c>
      <c r="E52" s="32">
        <f>IFERROR(INDEX('CPI Data'!$P:$P,MATCH($B52,'CPI Data'!$B:$B,0)),"")</f>
        <v/>
      </c>
      <c r="F52" s="57" t="inlineStr">
        <is>
          <t>falling</t>
        </is>
      </c>
      <c r="G52" s="74" t="inlineStr"/>
    </row>
    <row r="53">
      <c r="B53" s="13" t="inlineStr">
        <is>
          <t>2026-06</t>
        </is>
      </c>
      <c r="C53" s="54" t="n">
        <v>2.07</v>
      </c>
      <c r="D53" s="18">
        <f>IFERROR(INDEX('CPI Data'!$I:$I,MATCH($B53,'CPI Data'!$B:$B,0)),"")</f>
        <v/>
      </c>
      <c r="E53" s="32">
        <f>IFERROR(INDEX('CPI Data'!$P:$P,MATCH($B53,'CPI Data'!$B:$B,0)),"")</f>
        <v/>
      </c>
      <c r="F53" s="57" t="inlineStr">
        <is>
          <t>falling</t>
        </is>
      </c>
      <c r="G53" s="74" t="inlineStr"/>
    </row>
    <row r="54">
      <c r="B54" s="13" t="inlineStr">
        <is>
          <t>2026-07</t>
        </is>
      </c>
      <c r="C54" s="54" t="n">
        <v>1.94</v>
      </c>
      <c r="D54" s="18">
        <f>IFERROR(INDEX('CPI Data'!$I:$I,MATCH($B54,'CPI Data'!$B:$B,0)),"")</f>
        <v/>
      </c>
      <c r="E54" s="32">
        <f>IFERROR(INDEX('CPI Data'!$P:$P,MATCH($B54,'CPI Data'!$B:$B,0)),"")</f>
        <v/>
      </c>
      <c r="F54" s="57" t="inlineStr">
        <is>
          <t>falling</t>
        </is>
      </c>
      <c r="G54" s="74" t="inlineStr"/>
    </row>
    <row r="55">
      <c r="B55" s="13" t="inlineStr">
        <is>
          <t>2026-08</t>
        </is>
      </c>
      <c r="C55" s="54" t="n">
        <v>2.06</v>
      </c>
      <c r="D55" s="18">
        <f>IFERROR(INDEX('CPI Data'!$I:$I,MATCH($B55,'CPI Data'!$B:$B,0)),"")</f>
        <v/>
      </c>
      <c r="E55" s="32">
        <f>IFERROR(INDEX('CPI Data'!$P:$P,MATCH($B55,'CPI Data'!$B:$B,0)),"")</f>
        <v/>
      </c>
      <c r="F55" s="57" t="inlineStr">
        <is>
          <t>falling</t>
        </is>
      </c>
      <c r="G55" s="74" t="inlineStr"/>
    </row>
    <row r="56">
      <c r="B56" s="13" t="inlineStr">
        <is>
          <t>2026-09</t>
        </is>
      </c>
      <c r="C56" s="54" t="n">
        <v>1.94</v>
      </c>
      <c r="D56" s="18">
        <f>IFERROR(INDEX('CPI Data'!$I:$I,MATCH($B56,'CPI Data'!$B:$B,0)),"")</f>
        <v/>
      </c>
      <c r="E56" s="32">
        <f>IFERROR(INDEX('CPI Data'!$P:$P,MATCH($B56,'CPI Data'!$B:$B,0)),"")</f>
        <v/>
      </c>
      <c r="F56" s="57" t="inlineStr">
        <is>
          <t>falling</t>
        </is>
      </c>
      <c r="G56" s="74" t="inlineStr">
        <is>
          <t>equals administration low; -21.4% YTD</t>
        </is>
      </c>
    </row>
    <row r="58">
      <c r="B58" s="28" t="inlineStr">
        <is>
          <t>Inflation fell from 25.5% a month to 1.67% a month — the largest disinflation in Argentine democratic history. Over exactly that window the confidence index fell from 2.86 to 1.94, a decline of 32%. MILEI'S APPROVAL HAS MOVED INVERSELY TO HIS SINGLE GREATEST POLICY ACHIEVEMENT.</t>
        </is>
      </c>
    </row>
    <row r="59">
      <c r="B59" s="28" t="inlineStr">
        <is>
          <t>What it did track: real income and activity. When real wages were rising through 2024-25, the index held in the 2.4-2.7 range with inflation at 25-30% y/y. When real wages turned in early 2026, the index broke to new lows with inflation at the BEST level of the administration. That is the cleanest natural experiment available on the question, and it answers it.</t>
        </is>
      </c>
    </row>
    <row r="60">
      <c r="B60" s="28" t="inlineStr">
        <is>
          <t>Caveat that must travel with this: the index is as sensitive to scandal as to macro. The August-2025 audio affair took 13.6% off in a month; April-2026 took 12.1%. And the October-to-November 2025 jump from 2.10 to 2.47 is the post-midterm bounce — causation runs both ways, so it is a compromised leading indicator.</t>
        </is>
      </c>
    </row>
    <row r="62">
      <c r="B62" s="11" t="inlineStr">
        <is>
          <t>5. Cross-president comparison at month 33 of the mandate</t>
        </is>
      </c>
    </row>
    <row r="63">
      <c r="B63" s="22" t="inlineStr">
        <is>
          <t>President</t>
        </is>
      </c>
      <c r="C63" s="22" t="inlineStr">
        <is>
          <t>ICG</t>
        </is>
      </c>
      <c r="D63" s="22" t="inlineStr">
        <is>
          <t>Administration average</t>
        </is>
      </c>
    </row>
    <row r="64">
      <c r="B64" s="24" t="inlineStr">
        <is>
          <t>Nestor Kirchner</t>
        </is>
      </c>
      <c r="C64" s="54" t="n">
        <v>2.62</v>
      </c>
      <c r="D64" s="54" t="n">
        <v>2.49</v>
      </c>
    </row>
    <row r="65">
      <c r="B65" s="25" t="inlineStr">
        <is>
          <t>Milei (Sep-2026)</t>
        </is>
      </c>
      <c r="C65" s="54" t="n">
        <v>1.94</v>
      </c>
      <c r="D65" s="54" t="n">
        <v>2.36</v>
      </c>
    </row>
    <row r="66">
      <c r="B66" s="24" t="inlineStr">
        <is>
          <t>CFK I</t>
        </is>
      </c>
      <c r="C66" s="54" t="n">
        <v>1.77</v>
      </c>
    </row>
    <row r="67">
      <c r="B67" s="24" t="inlineStr">
        <is>
          <t>Macri</t>
        </is>
      </c>
      <c r="C67" s="54" t="n">
        <v>1.75</v>
      </c>
      <c r="D67" s="54" t="n">
        <v>2.52</v>
      </c>
    </row>
    <row r="68">
      <c r="B68" s="24" t="inlineStr">
        <is>
          <t>CFK II</t>
        </is>
      </c>
      <c r="C68" s="54" t="n">
        <v>1.71</v>
      </c>
    </row>
    <row r="69">
      <c r="B69" s="24" t="inlineStr">
        <is>
          <t>Alberto Fernandez</t>
        </is>
      </c>
      <c r="C69" s="54" t="n">
        <v>1.23</v>
      </c>
      <c r="D69" s="54" t="n">
        <v>1.93</v>
      </c>
    </row>
    <row r="70">
      <c r="B70" s="28" t="inlineStr">
        <is>
          <t>Milei sits above every predecessor except Nestor Kirchner at the same point in the mandate. But his administration AVERAGE has now fallen below Macri's — 2.36 against 2.52, declining monotonically through 2026. Macri lost his re-election bid.</t>
        </is>
      </c>
    </row>
  </sheetData>
  <pageMargins left="0.75" right="0.75" top="1" bottom="1" header="0.5" footer="0.5"/>
  <drawing xmlns:r="http://schemas.openxmlformats.org/officeDocument/2006/relationships" r:id="rId1"/>
</worksheet>
</file>

<file path=xl/worksheets/sheet17.xml><?xml version="1.0" encoding="utf-8"?>
<worksheet xmlns="http://schemas.openxmlformats.org/spreadsheetml/2006/main">
  <sheetPr>
    <tabColor rgb="001F3B63"/>
    <outlinePr summaryBelow="1" summaryRight="1"/>
    <pageSetUpPr fitToPage="1"/>
  </sheetPr>
  <dimension ref="B2:K49"/>
  <sheetViews>
    <sheetView showGridLines="0" workbookViewId="0">
      <selection activeCell="A1" sqref="A1"/>
    </sheetView>
  </sheetViews>
  <sheetFormatPr baseColWidth="8" defaultRowHeight="15"/>
  <cols>
    <col width="2" customWidth="1" min="1" max="1"/>
    <col width="13" customWidth="1" min="2" max="2"/>
    <col width="24" customWidth="1" min="3" max="3"/>
    <col width="9" customWidth="1" min="4" max="4"/>
    <col width="11" customWidth="1" min="5" max="5"/>
    <col width="12" customWidth="1" min="6" max="6"/>
    <col width="11" customWidth="1" min="7" max="7"/>
    <col width="12" customWidth="1" min="8" max="8"/>
    <col width="42" customWidth="1" min="9" max="9"/>
    <col width="12" customWidth="1" min="10" max="10"/>
    <col width="56" customWidth="1" min="11" max="11"/>
  </cols>
  <sheetData>
    <row r="2" ht="26" customHeight="1">
      <c r="B2" s="1" t="inlineStr">
        <is>
          <t>The record — eleven elections against pre-vote inflation and real wages</t>
        </is>
      </c>
    </row>
    <row r="3">
      <c r="B3" s="2" t="inlineStr">
        <is>
          <t>Inflation is the last CPI print PUBLISHED before the vote: the information voters actually had.</t>
        </is>
      </c>
    </row>
    <row r="5" ht="30" customHeight="1">
      <c r="B5" s="6" t="inlineStr">
        <is>
          <t>Year</t>
        </is>
      </c>
      <c r="C5" s="6" t="inlineStr">
        <is>
          <t>Date</t>
        </is>
      </c>
      <c r="D5" s="6" t="inlineStr">
        <is>
          <t>Incumbent</t>
        </is>
      </c>
      <c r="E5" s="6" t="inlineStr">
        <is>
          <t>Inflation y/y
official (%)</t>
        </is>
      </c>
      <c r="F5" s="6" t="inlineStr">
        <is>
          <t>True estimate
(%)</t>
        </is>
      </c>
      <c r="G5" s="6" t="inlineStr">
        <is>
          <t>Direction</t>
        </is>
      </c>
      <c r="H5" s="6" t="inlineStr">
        <is>
          <t>Real wages</t>
        </is>
      </c>
      <c r="I5" s="6" t="inlineStr">
        <is>
          <t>Outcome</t>
        </is>
      </c>
      <c r="J5" s="6" t="inlineStr">
        <is>
          <t>Incumbent
retained</t>
        </is>
      </c>
      <c r="K5" s="6" t="inlineStr">
        <is>
          <t>Note</t>
        </is>
      </c>
    </row>
    <row r="6" ht="24" customHeight="1">
      <c r="B6" s="94" t="n">
        <v>1983</v>
      </c>
      <c r="C6" s="41" t="inlineStr">
        <is>
          <t>1983-10-30</t>
        </is>
      </c>
      <c r="D6" s="8" t="inlineStr">
        <is>
          <t>Military junta (Bignone)</t>
        </is>
      </c>
      <c r="E6" s="40" t="n">
        <v>433.7</v>
      </c>
      <c r="G6" s="57" t="inlineStr">
        <is>
          <t>rising</t>
        </is>
      </c>
      <c r="H6" s="57" t="inlineStr">
        <is>
          <t>falling</t>
        </is>
      </c>
      <c r="I6" s="35" t="inlineStr">
        <is>
          <t>Alfonsin (UCR) 51.75 v Luder 40.16</t>
        </is>
      </c>
      <c r="J6" s="36" t="inlineStr">
        <is>
          <t>n/a</t>
        </is>
      </c>
      <c r="K6" s="74" t="inlineStr">
        <is>
          <t>TRANSITION - exclude from base rates</t>
        </is>
      </c>
    </row>
    <row r="7" ht="24" customHeight="1">
      <c r="B7" s="24" t="n">
        <v>1989</v>
      </c>
      <c r="C7" s="41" t="inlineStr">
        <is>
          <t>1989-05-14</t>
        </is>
      </c>
      <c r="D7" s="8" t="inlineStr">
        <is>
          <t>Alfonsin (UCR)</t>
        </is>
      </c>
      <c r="E7" s="40" t="n">
        <v>3610</v>
      </c>
      <c r="G7" s="57" t="inlineStr">
        <is>
          <t>exploding</t>
        </is>
      </c>
      <c r="H7" s="57" t="inlineStr">
        <is>
          <t>falling</t>
        </is>
      </c>
      <c r="I7" s="35" t="inlineStr">
        <is>
          <t>Menem (PJ) 47.51 v Angeloz 37.10</t>
        </is>
      </c>
      <c r="J7" s="95" t="inlineStr">
        <is>
          <t>no</t>
        </is>
      </c>
      <c r="K7" s="74" t="inlineStr">
        <is>
          <t>Apr-89 +460%, May-89 +764% (cumulative/annualised, not m/m)</t>
        </is>
      </c>
    </row>
    <row r="8" ht="24" customHeight="1">
      <c r="B8" s="24" t="n">
        <v>1995</v>
      </c>
      <c r="C8" s="41" t="inlineStr">
        <is>
          <t>1995-05-14</t>
        </is>
      </c>
      <c r="D8" s="8" t="inlineStr">
        <is>
          <t>Menem (PJ)</t>
        </is>
      </c>
      <c r="E8" s="40" t="n">
        <v>3.4</v>
      </c>
      <c r="G8" s="96" t="inlineStr">
        <is>
          <t>falling</t>
        </is>
      </c>
      <c r="H8" s="96" t="inlineStr">
        <is>
          <t>rising</t>
        </is>
      </c>
      <c r="I8" s="35" t="inlineStr">
        <is>
          <t>Menem 49.94 v Bordon 29.30</t>
        </is>
      </c>
      <c r="J8" s="97" t="inlineStr">
        <is>
          <t>YES</t>
        </is>
      </c>
      <c r="K8" s="74" t="inlineStr">
        <is>
          <t>convertibility</t>
        </is>
      </c>
    </row>
    <row r="9" ht="24" customHeight="1">
      <c r="B9" s="24" t="n">
        <v>1999</v>
      </c>
      <c r="C9" s="41" t="inlineStr">
        <is>
          <t>1999-10-24</t>
        </is>
      </c>
      <c r="D9" s="8" t="inlineStr">
        <is>
          <t>Menem / PJ</t>
        </is>
      </c>
      <c r="E9" s="40" t="n">
        <v>-1.8</v>
      </c>
      <c r="G9" s="96" t="inlineStr">
        <is>
          <t>falling</t>
        </is>
      </c>
      <c r="H9" s="57" t="inlineStr">
        <is>
          <t>falling</t>
        </is>
      </c>
      <c r="I9" s="35" t="inlineStr">
        <is>
          <t>De la Rua (Alianza) 48.37 v Duhalde 38.27</t>
        </is>
      </c>
      <c r="J9" s="95" t="inlineStr">
        <is>
          <t>no</t>
        </is>
      </c>
      <c r="K9" s="74" t="inlineStr">
        <is>
          <t>DEFLATION and the incumbent still lost</t>
        </is>
      </c>
    </row>
    <row r="10" ht="24" customHeight="1">
      <c r="B10" s="24" t="n">
        <v>2003</v>
      </c>
      <c r="C10" s="41" t="inlineStr">
        <is>
          <t>2003-04-27</t>
        </is>
      </c>
      <c r="D10" s="8" t="inlineStr">
        <is>
          <t>Duhalde (caretaker, PJ)</t>
        </is>
      </c>
      <c r="E10" s="40" t="n">
        <v>13.4</v>
      </c>
      <c r="G10" s="96" t="inlineStr">
        <is>
          <t>falling</t>
        </is>
      </c>
      <c r="H10" s="57" t="inlineStr">
        <is>
          <t>falling</t>
        </is>
      </c>
      <c r="I10" s="35" t="inlineStr">
        <is>
          <t>N. Kirchner 22.25; Menem 24.45 withdrew</t>
        </is>
      </c>
      <c r="J10" s="95" t="inlineStr">
        <is>
          <t>no</t>
        </is>
      </c>
      <c r="K10" s="74" t="inlineStr">
        <is>
          <t>CODING JUDGEMENT - moves the base rate 11pp</t>
        </is>
      </c>
    </row>
    <row r="11" ht="24" customHeight="1">
      <c r="B11" s="24" t="n">
        <v>2007</v>
      </c>
      <c r="C11" s="41" t="inlineStr">
        <is>
          <t>2007-10-28</t>
        </is>
      </c>
      <c r="D11" s="8" t="inlineStr">
        <is>
          <t>N. Kirchner (FpV)</t>
        </is>
      </c>
      <c r="E11" s="40" t="n">
        <v>8.6</v>
      </c>
      <c r="F11" s="37" t="n">
        <v>17.5</v>
      </c>
      <c r="G11" s="57" t="inlineStr">
        <is>
          <t>rising</t>
        </is>
      </c>
      <c r="H11" s="96" t="inlineStr">
        <is>
          <t>rising</t>
        </is>
      </c>
      <c r="I11" s="35" t="inlineStr">
        <is>
          <t>CFK (FpV) 45.28 v Carrio 23.05</t>
        </is>
      </c>
      <c r="J11" s="97" t="inlineStr">
        <is>
          <t>YES</t>
        </is>
      </c>
      <c r="K11" s="74" t="inlineStr">
        <is>
          <t>official INDEC intervened; true est. 15-20%</t>
        </is>
      </c>
    </row>
    <row r="12" ht="24" customHeight="1">
      <c r="B12" s="24" t="n">
        <v>2011</v>
      </c>
      <c r="C12" s="41" t="inlineStr">
        <is>
          <t>2011-10-23</t>
        </is>
      </c>
      <c r="D12" s="8" t="inlineStr">
        <is>
          <t>CFK (FpV)</t>
        </is>
      </c>
      <c r="E12" s="40" t="n">
        <v>9.9</v>
      </c>
      <c r="F12" s="37" t="n">
        <v>23</v>
      </c>
      <c r="G12" s="96" t="inlineStr">
        <is>
          <t>flat</t>
        </is>
      </c>
      <c r="H12" s="96" t="inlineStr">
        <is>
          <t>rising</t>
        </is>
      </c>
      <c r="I12" s="35" t="inlineStr">
        <is>
          <t>CFK 54.11 v Binner 16.81</t>
        </is>
      </c>
      <c r="J12" s="97" t="inlineStr">
        <is>
          <t>YES</t>
        </is>
      </c>
      <c r="K12" s="74" t="inlineStr">
        <is>
          <t>official 9.9 vs true ~23 (Cavallo 2013 JME)</t>
        </is>
      </c>
    </row>
    <row r="13" ht="24" customHeight="1">
      <c r="B13" s="24" t="n">
        <v>2015</v>
      </c>
      <c r="C13" s="41" t="inlineStr">
        <is>
          <t>2015-10-25</t>
        </is>
      </c>
      <c r="D13" s="8" t="inlineStr">
        <is>
          <t>CFK (FpV)</t>
        </is>
      </c>
      <c r="E13" s="40" t="n">
        <v>14.3</v>
      </c>
      <c r="F13" s="37" t="n">
        <v>27</v>
      </c>
      <c r="G13" s="96" t="inlineStr">
        <is>
          <t>flat</t>
        </is>
      </c>
      <c r="H13" s="96" t="inlineStr">
        <is>
          <t>rising</t>
        </is>
      </c>
      <c r="I13" s="35" t="inlineStr">
        <is>
          <t>Macri 51.34 v Scioli 48.66 (runoff)</t>
        </is>
      </c>
      <c r="J13" s="95" t="inlineStr">
        <is>
          <t>no</t>
        </is>
      </c>
      <c r="K13" s="74" t="inlineStr">
        <is>
          <t>THE MODEL'S ONE MISS in every specification</t>
        </is>
      </c>
    </row>
    <row r="14" ht="24" customHeight="1">
      <c r="B14" s="24" t="n">
        <v>2019</v>
      </c>
      <c r="C14" s="41" t="inlineStr">
        <is>
          <t>2019-10-27</t>
        </is>
      </c>
      <c r="D14" s="8" t="inlineStr">
        <is>
          <t>Macri (JxC)</t>
        </is>
      </c>
      <c r="E14" s="40" t="n">
        <v>53.5</v>
      </c>
      <c r="G14" s="57" t="inlineStr">
        <is>
          <t>rising</t>
        </is>
      </c>
      <c r="H14" s="57" t="inlineStr">
        <is>
          <t>falling</t>
        </is>
      </c>
      <c r="I14" s="35" t="inlineStr">
        <is>
          <t>A. Fernandez 48.24 v Macri 40.28</t>
        </is>
      </c>
      <c r="J14" s="95" t="inlineStr">
        <is>
          <t>no</t>
        </is>
      </c>
      <c r="K14" s="74" t="inlineStr">
        <is>
          <t>Sep-19 +5.89% m/m; 3m ann. 60.1%</t>
        </is>
      </c>
    </row>
    <row r="15" ht="24" customHeight="1">
      <c r="B15" s="24" t="n">
        <v>2023</v>
      </c>
      <c r="C15" s="41" t="inlineStr">
        <is>
          <t>2023-10-22</t>
        </is>
      </c>
      <c r="D15" s="8" t="inlineStr">
        <is>
          <t>A. Fernandez (FdT)</t>
        </is>
      </c>
      <c r="E15" s="40" t="n">
        <v>138.3</v>
      </c>
      <c r="G15" s="57" t="inlineStr">
        <is>
          <t>exploding</t>
        </is>
      </c>
      <c r="H15" s="57" t="inlineStr">
        <is>
          <t>falling</t>
        </is>
      </c>
      <c r="I15" s="35" t="inlineStr">
        <is>
          <t>Milei 55.70 (runoff)</t>
        </is>
      </c>
      <c r="J15" s="95" t="inlineStr">
        <is>
          <t>no</t>
        </is>
      </c>
      <c r="K15" s="74" t="inlineStr">
        <is>
          <t>Sep-23 +12.75% m/m; 3m ann. 230.4%</t>
        </is>
      </c>
    </row>
    <row r="16" ht="24" customHeight="1">
      <c r="B16" s="94" t="n">
        <v>2025</v>
      </c>
      <c r="C16" s="41" t="inlineStr">
        <is>
          <t>2025-10-26</t>
        </is>
      </c>
      <c r="D16" s="8" t="inlineStr">
        <is>
          <t>Milei (LLA) - MIDTERM</t>
        </is>
      </c>
      <c r="E16" s="40" t="n">
        <v>31.8</v>
      </c>
      <c r="G16" s="96" t="inlineStr">
        <is>
          <t>falling</t>
        </is>
      </c>
      <c r="H16" s="96" t="inlineStr">
        <is>
          <t>rising</t>
        </is>
      </c>
      <c r="I16" s="35" t="inlineStr">
        <is>
          <t>LLA 40.66 Dep. / 42.01 Sen. v FP 33.70 / 36.28</t>
        </is>
      </c>
      <c r="J16" s="97" t="inlineStr">
        <is>
          <t>YES</t>
        </is>
      </c>
      <c r="K16" s="74" t="inlineStr">
        <is>
          <t>midterm, not a presidential observation</t>
        </is>
      </c>
    </row>
    <row r="18">
      <c r="B18" s="28" t="inlineStr">
        <is>
          <t>The 2007, 2011 and 2015 official figures come from the intervened INDEC. Cavallo (2013, Journal of Monetary Economics 60(2)) measured online prices against official over October 2007 to March 2011 and found official inflation running at roughly one third of the measured rate.</t>
        </is>
      </c>
    </row>
    <row r="20">
      <c r="B20" s="11" t="inlineStr">
        <is>
          <t>2027 — the field as it stands, 30 September 2026</t>
        </is>
      </c>
    </row>
    <row r="21" ht="13" customHeight="1">
      <c r="B21" s="7" t="inlineStr">
        <is>
          <t>General election</t>
        </is>
      </c>
      <c r="D21" s="8" t="inlineStr">
        <is>
          <t>Sunday 24 October 2027. Runoff within 30 days if needed — likely 21 November. Outright win at over 45%, or 40% with a 10-point margin.</t>
        </is>
      </c>
    </row>
    <row r="22" ht="39" customHeight="1">
      <c r="B22" s="7" t="inlineStr">
        <is>
          <t>PASO</t>
        </is>
      </c>
      <c r="D22" s="8" t="inlineStr">
        <is>
          <t>The legal default is that primaries happen on 8 August 2027. The statutory suspension covered 2025 and 2026 ONLY and does not reach 2027. The government's abolition bill has not passed — it needs 37 senators and LLA has roughly 21. The live compromise is another one-off suspension. If the PASO survives, a Milei-Bullrich primary becomes possible, which changes the shape of the race.</t>
        </is>
      </c>
    </row>
    <row r="23" ht="39" customHeight="1">
      <c r="B23" s="7" t="inlineStr">
        <is>
          <t>Incumbent</t>
        </is>
      </c>
      <c r="D23" s="8" t="inlineStr">
        <is>
          <t>Milei has not formally declared. Bullrich is running a visible dual track — vice-president on a Milei ticket, or the alternative if the administration deteriorates. Poliarquia has Bullrich's 2023 first-round voters down 8 points in a month and high-SES support down 10: that bloc is exactly what Milei's 2023 runoff majority was built on, and exactly what Bullrich is positioning to reclaim.</t>
        </is>
      </c>
    </row>
    <row r="24" ht="39" customHeight="1">
      <c r="B24" s="7" t="inlineStr">
        <is>
          <t>Peronism</t>
        </is>
      </c>
      <c r="D24" s="8" t="inlineStr">
        <is>
          <t>Kicillof leads every metric. CFK is legally barred — the Supreme Court ratified the Vialidad conviction with perpetual disqualification in June 2025 — and filed with the UN on 29 September 2026 seeking suspension of it. Polls still test her, so distinguish polling a barred candidate from a viable candidacy.</t>
        </is>
      </c>
    </row>
    <row r="25" ht="26" customHeight="1">
      <c r="B25" s="7" t="inlineStr">
        <is>
          <t>The centre</t>
        </is>
      </c>
      <c r="D25" s="8" t="inlineStr">
        <is>
          <t>Ernesto Sanz (UCR) is building an 'avenida del medio' with Lacunza. Schiaretti's Provincias Unidas and Manes are the other names. Macri polls 18% in Poliarquia's three-way.</t>
        </is>
      </c>
    </row>
    <row r="26" ht="26" customHeight="1">
      <c r="B26" s="7" t="inlineStr">
        <is>
          <t>The structural problem</t>
        </is>
      </c>
      <c r="D26" s="8" t="inlineStr">
        <is>
          <t>Hard rejection — 'would never vote for' — runs at 59.1% for Milei, but 67.9% for Villarruel, 61.4% for Macri, 52.6% for CFK and 49.0% for Kicillof. High mutual unelectability is a feature of the whole field, and that is what creates space for a centre project.</t>
        </is>
      </c>
    </row>
    <row r="27" ht="39" customHeight="1">
      <c r="B27" s="7" t="inlineStr">
        <is>
          <t>The trend</t>
        </is>
      </c>
      <c r="D27" s="8" t="inlineStr">
        <is>
          <t>Milei has gone from +36 over Kicillof in November 2025 to roughly level or slightly behind by late August 2026. House effects are large — Isasi-Burdman and Delfos differ by about ten points in overlapping months — so read the trend, not any single poll. The trend maps onto the confidence index.</t>
        </is>
      </c>
    </row>
    <row r="29">
      <c r="B29" s="11" t="inlineStr">
        <is>
          <t>Head-to-head polling, Milei against Kicillof</t>
        </is>
      </c>
    </row>
    <row r="30">
      <c r="B30" s="6" t="inlineStr">
        <is>
          <t>Field end</t>
        </is>
      </c>
      <c r="C30" s="6" t="inlineStr">
        <is>
          <t>Pollster</t>
        </is>
      </c>
      <c r="D30" s="6" t="inlineStr">
        <is>
          <t>n</t>
        </is>
      </c>
      <c r="E30" s="6" t="inlineStr">
        <is>
          <t>Milei %</t>
        </is>
      </c>
      <c r="F30" s="6" t="inlineStr">
        <is>
          <t>Kicillof %</t>
        </is>
      </c>
      <c r="G30" s="6" t="inlineStr">
        <is>
          <t>Margin</t>
        </is>
      </c>
    </row>
    <row r="31">
      <c r="B31" s="13" t="inlineStr">
        <is>
          <t>2025-11-27</t>
        </is>
      </c>
      <c r="C31" s="98" t="inlineStr">
        <is>
          <t>Isasi-Burdman</t>
        </is>
      </c>
      <c r="D31" s="34" t="n">
        <v>1136</v>
      </c>
      <c r="E31" s="37" t="n">
        <v>54</v>
      </c>
      <c r="F31" s="37" t="n">
        <v>18</v>
      </c>
      <c r="G31" s="99">
        <f>E31-F31</f>
        <v/>
      </c>
    </row>
    <row r="32">
      <c r="B32" s="13" t="inlineStr">
        <is>
          <t>2025-12-13</t>
        </is>
      </c>
      <c r="C32" s="98" t="inlineStr">
        <is>
          <t>CB Consultora</t>
        </is>
      </c>
      <c r="D32" s="34" t="n">
        <v>1503</v>
      </c>
      <c r="E32" s="37" t="n">
        <v>34.9</v>
      </c>
      <c r="F32" s="37" t="n">
        <v>23.5</v>
      </c>
      <c r="G32" s="99">
        <f>E32-F32</f>
        <v/>
      </c>
    </row>
    <row r="33">
      <c r="B33" s="13" t="inlineStr">
        <is>
          <t>2026-01-11</t>
        </is>
      </c>
      <c r="C33" s="98" t="inlineStr">
        <is>
          <t>Opina Argentina</t>
        </is>
      </c>
      <c r="D33" s="34" t="n">
        <v>3590</v>
      </c>
      <c r="E33" s="37" t="n">
        <v>44</v>
      </c>
      <c r="F33" s="37" t="n">
        <v>35</v>
      </c>
      <c r="G33" s="99">
        <f>E33-F33</f>
        <v/>
      </c>
    </row>
    <row r="34">
      <c r="B34" s="13" t="inlineStr">
        <is>
          <t>2026-01-16</t>
        </is>
      </c>
      <c r="C34" s="98" t="inlineStr">
        <is>
          <t>Consultora Trends</t>
        </is>
      </c>
      <c r="D34" s="34" t="n">
        <v>2000</v>
      </c>
      <c r="E34" s="37" t="n">
        <v>43</v>
      </c>
      <c r="F34" s="37" t="n">
        <v>32</v>
      </c>
      <c r="G34" s="99">
        <f>E34-F34</f>
        <v/>
      </c>
    </row>
    <row r="35">
      <c r="B35" s="13" t="inlineStr">
        <is>
          <t>2026-02-15</t>
        </is>
      </c>
      <c r="C35" s="98" t="inlineStr">
        <is>
          <t>CB Global Data</t>
        </is>
      </c>
      <c r="D35" s="34" t="n">
        <v>2588</v>
      </c>
      <c r="E35" s="37" t="n">
        <v>35.7</v>
      </c>
      <c r="F35" s="37" t="n">
        <v>22.5</v>
      </c>
      <c r="G35" s="99">
        <f>E35-F35</f>
        <v/>
      </c>
    </row>
    <row r="36">
      <c r="B36" s="13" t="inlineStr">
        <is>
          <t>2026-03-15</t>
        </is>
      </c>
      <c r="C36" s="98" t="inlineStr">
        <is>
          <t>Consultora Tendencias</t>
        </is>
      </c>
      <c r="D36" s="34" t="n">
        <v>3417</v>
      </c>
      <c r="E36" s="37" t="n">
        <v>38.1</v>
      </c>
      <c r="F36" s="37" t="n">
        <v>33</v>
      </c>
      <c r="G36" s="99">
        <f>E36-F36</f>
        <v/>
      </c>
    </row>
    <row r="37">
      <c r="B37" s="13" t="inlineStr">
        <is>
          <t>2026-03-28</t>
        </is>
      </c>
      <c r="C37" s="98" t="inlineStr">
        <is>
          <t>CB Global Data</t>
        </is>
      </c>
      <c r="D37" s="34" t="n">
        <v>2015</v>
      </c>
      <c r="E37" s="37" t="n">
        <v>28.3</v>
      </c>
      <c r="F37" s="37" t="n">
        <v>24.2</v>
      </c>
      <c r="G37" s="99">
        <f>E37-F37</f>
        <v/>
      </c>
    </row>
    <row r="38">
      <c r="B38" s="13" t="inlineStr">
        <is>
          <t>2026-04-14</t>
        </is>
      </c>
      <c r="C38" s="98" t="inlineStr">
        <is>
          <t>Consultora Delfos</t>
        </is>
      </c>
      <c r="D38" s="34" t="n">
        <v>3120</v>
      </c>
      <c r="E38" s="37" t="n">
        <v>29.6</v>
      </c>
      <c r="F38" s="37" t="n">
        <v>40.4</v>
      </c>
      <c r="G38" s="99">
        <f>E38-F38</f>
        <v/>
      </c>
    </row>
    <row r="39">
      <c r="B39" s="13" t="inlineStr">
        <is>
          <t>2026-05-05</t>
        </is>
      </c>
      <c r="C39" s="98" t="inlineStr">
        <is>
          <t>Opina Argentina</t>
        </is>
      </c>
      <c r="D39" s="34" t="n">
        <v>3714</v>
      </c>
      <c r="E39" s="37" t="n">
        <v>35</v>
      </c>
      <c r="F39" s="37" t="n">
        <v>34</v>
      </c>
      <c r="G39" s="99">
        <f>E39-F39</f>
        <v/>
      </c>
    </row>
    <row r="40">
      <c r="B40" s="13" t="inlineStr">
        <is>
          <t>2026-05-10</t>
        </is>
      </c>
      <c r="C40" s="98" t="inlineStr">
        <is>
          <t>Proyeccion Consultores</t>
        </is>
      </c>
      <c r="D40" s="34" t="n">
        <v>1846</v>
      </c>
      <c r="E40" s="37" t="n">
        <v>32.3</v>
      </c>
      <c r="F40" s="37" t="n">
        <v>36</v>
      </c>
      <c r="G40" s="99">
        <f>E40-F40</f>
        <v/>
      </c>
    </row>
    <row r="41">
      <c r="B41" s="13" t="inlineStr">
        <is>
          <t>2026-05-15</t>
        </is>
      </c>
      <c r="C41" s="98" t="inlineStr">
        <is>
          <t>Equipo Mide</t>
        </is>
      </c>
      <c r="D41" s="34" t="n">
        <v>1915</v>
      </c>
      <c r="E41" s="37" t="n">
        <v>29</v>
      </c>
      <c r="F41" s="37" t="n">
        <v>22</v>
      </c>
      <c r="G41" s="99">
        <f>E41-F41</f>
        <v/>
      </c>
    </row>
    <row r="42">
      <c r="B42" s="13" t="inlineStr">
        <is>
          <t>2026-05-25</t>
        </is>
      </c>
      <c r="C42" s="98" t="inlineStr">
        <is>
          <t>Isasi Burdman</t>
        </is>
      </c>
      <c r="D42" s="34" t="n">
        <v>3450</v>
      </c>
      <c r="E42" s="37" t="n">
        <v>39.1</v>
      </c>
      <c r="F42" s="37" t="n">
        <v>23</v>
      </c>
      <c r="G42" s="99">
        <f>E42-F42</f>
        <v/>
      </c>
    </row>
    <row r="43">
      <c r="B43" s="13" t="inlineStr">
        <is>
          <t>2026-05-27</t>
        </is>
      </c>
      <c r="C43" s="98" t="inlineStr">
        <is>
          <t>Consultora Tendencias</t>
        </is>
      </c>
      <c r="D43" s="34" t="n">
        <v>4740</v>
      </c>
      <c r="E43" s="37" t="n">
        <v>32.8</v>
      </c>
      <c r="F43" s="37" t="n">
        <v>26.3</v>
      </c>
      <c r="G43" s="99">
        <f>E43-F43</f>
        <v/>
      </c>
    </row>
    <row r="44">
      <c r="B44" s="13" t="inlineStr">
        <is>
          <t>2026-05-31</t>
        </is>
      </c>
      <c r="C44" s="98" t="inlineStr">
        <is>
          <t>RDT Consultores</t>
        </is>
      </c>
      <c r="D44" s="34" t="n">
        <v>1645</v>
      </c>
      <c r="E44" s="37" t="n">
        <v>28.8</v>
      </c>
      <c r="F44" s="37" t="n">
        <v>16.6</v>
      </c>
      <c r="G44" s="99">
        <f>E44-F44</f>
        <v/>
      </c>
    </row>
    <row r="45">
      <c r="B45" s="13" t="inlineStr">
        <is>
          <t>2026-07-03</t>
        </is>
      </c>
      <c r="C45" s="98" t="inlineStr">
        <is>
          <t>Explanans</t>
        </is>
      </c>
      <c r="D45" s="34" t="n">
        <v>7015</v>
      </c>
      <c r="E45" s="37" t="n">
        <v>38.2</v>
      </c>
      <c r="F45" s="37" t="n">
        <v>28</v>
      </c>
      <c r="G45" s="99">
        <f>E45-F45</f>
        <v/>
      </c>
    </row>
    <row r="46">
      <c r="B46" s="13" t="inlineStr">
        <is>
          <t>2026-07-26</t>
        </is>
      </c>
      <c r="C46" s="98" t="inlineStr">
        <is>
          <t>Delfos</t>
        </is>
      </c>
      <c r="D46" s="34" t="n">
        <v>5400</v>
      </c>
      <c r="E46" s="37" t="n">
        <v>30.3</v>
      </c>
      <c r="F46" s="37" t="n">
        <v>32.9</v>
      </c>
      <c r="G46" s="99">
        <f>E46-F46</f>
        <v/>
      </c>
    </row>
    <row r="47">
      <c r="B47" s="13" t="inlineStr">
        <is>
          <t>2026-07-28</t>
        </is>
      </c>
      <c r="C47" s="98" t="inlineStr">
        <is>
          <t>RDT Consultores</t>
        </is>
      </c>
      <c r="D47" s="34" t="n">
        <v>1139</v>
      </c>
      <c r="E47" s="37" t="n">
        <v>30.5</v>
      </c>
      <c r="F47" s="37" t="n">
        <v>14.8</v>
      </c>
      <c r="G47" s="99">
        <f>E47-F47</f>
        <v/>
      </c>
    </row>
    <row r="48">
      <c r="B48" s="13" t="inlineStr">
        <is>
          <t>2026-08-18</t>
        </is>
      </c>
      <c r="C48" s="98" t="inlineStr">
        <is>
          <t>Synopsis</t>
        </is>
      </c>
      <c r="D48" s="34" t="n">
        <v>1224</v>
      </c>
      <c r="E48" s="37" t="n">
        <v>35.5</v>
      </c>
      <c r="F48" s="37" t="n">
        <v>35.7</v>
      </c>
      <c r="G48" s="99">
        <f>E48-F48</f>
        <v/>
      </c>
    </row>
    <row r="49">
      <c r="B49" s="13" t="inlineStr">
        <is>
          <t>2026-08-29</t>
        </is>
      </c>
      <c r="C49" s="98" t="inlineStr">
        <is>
          <t>Consultora Tendencias</t>
        </is>
      </c>
      <c r="D49" s="34" t="n">
        <v>4958</v>
      </c>
      <c r="E49" s="37" t="n">
        <v>32.4</v>
      </c>
      <c r="F49" s="37" t="n">
        <v>33.7</v>
      </c>
      <c r="G49" s="99">
        <f>E49-F49</f>
        <v/>
      </c>
    </row>
  </sheetData>
  <mergeCells count="14">
    <mergeCell ref="D26:K26"/>
    <mergeCell ref="B21:C21"/>
    <mergeCell ref="B24:C24"/>
    <mergeCell ref="D21:K21"/>
    <mergeCell ref="B25:C25"/>
    <mergeCell ref="D25:K25"/>
    <mergeCell ref="B26:C26"/>
    <mergeCell ref="D24:K24"/>
    <mergeCell ref="B23:C23"/>
    <mergeCell ref="B22:C22"/>
    <mergeCell ref="D27:K27"/>
    <mergeCell ref="D22:K22"/>
    <mergeCell ref="D23:K23"/>
    <mergeCell ref="B27:C2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2026-09-30T16:16:53Z</dcterms:created>
  <dcterms:modified xmlns:dcterms="http://purl.org/dc/terms/" xmlns:xsi="http://www.w3.org/2001/XMLSchema-instance" xsi:type="dcterms:W3CDTF">2026-09-30T16:16:54Z</dcterms:modified>
</cp:coreProperties>
</file>