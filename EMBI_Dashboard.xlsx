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YTD_Summary" sheetId="2" state="visible" r:id="rId2"/>
    <sheet xmlns:r="http://schemas.openxmlformats.org/officeDocument/2006/relationships" name="By_Region" sheetId="3" state="visible" r:id="rId3"/>
    <sheet xmlns:r="http://schemas.openxmlformats.org/officeDocument/2006/relationships" name="By_Rating" sheetId="4" state="visible" r:id="rId4"/>
    <sheet xmlns:r="http://schemas.openxmlformats.org/officeDocument/2006/relationships" name="By_Country" sheetId="5" state="visible" r:id="rId5"/>
    <sheet xmlns:r="http://schemas.openxmlformats.org/officeDocument/2006/relationships" name="Spreads" sheetId="6" state="visible" r:id="rId6"/>
    <sheet xmlns:r="http://schemas.openxmlformats.org/officeDocument/2006/relationships" name="Yields" sheetId="7" state="visible" r:id="rId7"/>
    <sheet xmlns:r="http://schemas.openxmlformats.org/officeDocument/2006/relationships" name="Total_Return" sheetId="8" state="visible" r:id="rId8"/>
    <sheet xmlns:r="http://schemas.openxmlformats.org/officeDocument/2006/relationships" name="Basis_Breaks" sheetId="9" state="visible" r:id="rId9"/>
    <sheet xmlns:r="http://schemas.openxmlformats.org/officeDocument/2006/relationships" name="Forecast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Methodolog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;-0.00"/>
    <numFmt numFmtId="165" formatCode="+0;-0"/>
    <numFmt numFmtId="166" formatCode="+0.000;-0.000"/>
    <numFmt numFmtId="167" formatCode="+0.0;-0.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002B5C"/>
      <sz val="16"/>
    </font>
    <font>
      <name val="Arial"/>
      <b val="1"/>
      <color rgb="00000000"/>
      <sz val="10"/>
    </font>
    <font>
      <name val="Arial"/>
      <b val="1"/>
      <color rgb="000033A0"/>
      <sz val="10"/>
    </font>
    <font>
      <name val="Arial"/>
      <i val="1"/>
      <color rgb="006E6E6E"/>
      <sz val="10"/>
    </font>
    <font>
      <name val="Arial"/>
      <b val="1"/>
      <color rgb="00002B5C"/>
      <sz val="14"/>
    </font>
    <font>
      <name val="Arial"/>
      <color rgb="00000000"/>
      <sz val="10"/>
    </font>
    <font>
      <name val="Arial"/>
      <color rgb="000033A0"/>
      <sz val="10"/>
    </font>
    <font>
      <name val="Arial"/>
      <b val="1"/>
      <color rgb="00FFFFFF"/>
      <sz val="10"/>
    </font>
    <font>
      <name val="Arial"/>
      <color rgb="006E6E6E"/>
      <sz val="10"/>
    </font>
  </fonts>
  <fills count="7">
    <fill>
      <patternFill/>
    </fill>
    <fill>
      <patternFill patternType="gray125"/>
    </fill>
    <fill>
      <patternFill patternType="solid">
        <fgColor rgb="00DCE3EC"/>
      </patternFill>
    </fill>
    <fill>
      <patternFill patternType="solid">
        <fgColor rgb="00EDF2F8"/>
      </patternFill>
    </fill>
    <fill>
      <patternFill patternType="solid">
        <fgColor rgb="00002B5C"/>
      </patternFill>
    </fill>
    <fill>
      <patternFill patternType="solid">
        <fgColor rgb="00FBE7E9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1" pivotButton="0" quotePrefix="0" xfId="0"/>
    <xf numFmtId="0" fontId="2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6" fillId="0" borderId="1" pivotButton="0" quotePrefix="0" xfId="0"/>
    <xf numFmtId="164" fontId="7" fillId="0" borderId="1" pivotButton="0" quotePrefix="0" xfId="0"/>
    <xf numFmtId="166" fontId="6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2" fontId="6" fillId="0" borderId="1" pivotButton="0" quotePrefix="0" xfId="0"/>
    <xf numFmtId="165" fontId="6" fillId="0" borderId="1" pivotButton="0" quotePrefix="0" xfId="0"/>
    <xf numFmtId="2" fontId="7" fillId="0" borderId="1" pivotButton="0" quotePrefix="0" xfId="0"/>
    <xf numFmtId="1" fontId="7" fillId="0" borderId="1" pivotButton="0" quotePrefix="0" xfId="0"/>
    <xf numFmtId="164" fontId="7" fillId="5" borderId="1" pivotButton="0" quotePrefix="0" xfId="0"/>
    <xf numFmtId="164" fontId="7" fillId="3" borderId="1" pivotButton="0" quotePrefix="0" xfId="0"/>
    <xf numFmtId="164" fontId="3" fillId="3" borderId="1" pivotButton="0" quotePrefix="0" xfId="0"/>
    <xf numFmtId="0" fontId="4" fillId="0" borderId="1" applyAlignment="1" pivotButton="0" quotePrefix="0" xfId="0">
      <alignment horizontal="left"/>
    </xf>
    <xf numFmtId="164" fontId="3" fillId="5" borderId="1" pivotButton="0" quotePrefix="0" xfId="0"/>
    <xf numFmtId="1" fontId="3" fillId="0" borderId="1" pivotButton="0" quotePrefix="0" xfId="0"/>
    <xf numFmtId="165" fontId="2" fillId="5" borderId="1" pivotButton="0" quotePrefix="0" xfId="0"/>
    <xf numFmtId="165" fontId="2" fillId="3" borderId="1" pivotButton="0" quotePrefix="0" xfId="0"/>
    <xf numFmtId="165" fontId="6" fillId="3" borderId="1" pivotButton="0" quotePrefix="0" xfId="0"/>
    <xf numFmtId="165" fontId="6" fillId="5" borderId="1" pivotButton="0" quotePrefix="0" xfId="0"/>
    <xf numFmtId="2" fontId="3" fillId="0" borderId="1" pivotButton="0" quotePrefix="0" xfId="0"/>
    <xf numFmtId="164" fontId="2" fillId="5" borderId="1" pivotButton="0" quotePrefix="0" xfId="0"/>
    <xf numFmtId="164" fontId="2" fillId="3" borderId="1" pivotButton="0" quotePrefix="0" xfId="0"/>
    <xf numFmtId="164" fontId="6" fillId="3" borderId="1" pivotButton="0" quotePrefix="0" xfId="0"/>
    <xf numFmtId="164" fontId="6" fillId="5" borderId="1" pivotButton="0" quotePrefix="0" xfId="0"/>
    <xf numFmtId="164" fontId="6" fillId="0" borderId="1" pivotButton="0" quotePrefix="0" xfId="0"/>
    <xf numFmtId="2" fontId="6" fillId="5" borderId="1" pivotButton="0" quotePrefix="0" xfId="0"/>
    <xf numFmtId="2" fontId="3" fillId="6" borderId="1" pivotButton="0" quotePrefix="0" xfId="0"/>
    <xf numFmtId="165" fontId="2" fillId="6" borderId="1" pivotButton="0" quotePrefix="0" xfId="0"/>
    <xf numFmtId="2" fontId="9" fillId="0" borderId="1" pivotButton="0" quotePrefix="0" xfId="0"/>
    <xf numFmtId="167" fontId="6" fillId="0" borderId="1" pivotButton="0" quotePrefix="0" xfId="0"/>
    <xf numFmtId="167" fontId="2" fillId="6" borderId="1" pivotButton="0" quotePrefix="0" xfId="0"/>
    <xf numFmtId="164" fontId="2" fillId="6" borderId="1" pivotButton="0" quotePrefix="0" xfId="0"/>
    <xf numFmtId="167" fontId="2" fillId="0" borderId="1" pivotButton="0" quotePrefix="0" xfId="0"/>
    <xf numFmtId="168" fontId="3" fillId="0" borderId="1" pivotButton="0" quotePrefix="0" xfId="0"/>
    <xf numFmtId="167" fontId="7" fillId="0" borderId="1" pivotButton="0" quotePrefix="0" xfId="0"/>
    <xf numFmtId="2" fontId="2" fillId="6" borderId="1" pivotButton="0" quotePrefix="0" xfId="0"/>
    <xf numFmtId="1" fontId="6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2" fontId="2" fillId="3" borderId="1" pivotButton="0" quotePrefix="0" xfId="0"/>
    <xf numFmtId="0" fontId="6" fillId="2" borderId="1" pivotButton="0" quotePrefix="0" xfId="0"/>
    <xf numFmtId="2" fontId="2" fillId="5" borderId="1" pivotButton="0" quotePrefix="0" xfId="0"/>
    <xf numFmtId="2" fontId="6" fillId="3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6" customWidth="1" min="2" max="2"/>
  </cols>
  <sheetData>
    <row r="1">
      <c r="A1" s="1" t="inlineStr">
        <is>
          <t>EMBI Global Diversified — history, attribution and forecast</t>
        </is>
      </c>
    </row>
    <row r="3">
      <c r="A3" s="2" t="inlineStr">
        <is>
          <t>Latest observation</t>
        </is>
      </c>
      <c r="B3" s="3" t="inlineStr">
        <is>
          <t>2026-09-08</t>
        </is>
      </c>
    </row>
    <row r="4">
      <c r="A4" s="2" t="inlineStr">
        <is>
          <t>YTD measured from</t>
        </is>
      </c>
      <c r="B4" s="3" t="inlineStr">
        <is>
          <t>2025-12-31 (last print of 2025)</t>
        </is>
      </c>
    </row>
    <row r="5">
      <c r="A5" s="2" t="inlineStr">
        <is>
          <t>Observations in history</t>
        </is>
      </c>
      <c r="B5" s="3" t="inlineStr">
        <is>
          <t>1,249 from 2021-09-08</t>
        </is>
      </c>
    </row>
    <row r="6">
      <c r="A6" s="2" t="inlineStr">
        <is>
          <t>Index spread (STW Trsy)</t>
        </is>
      </c>
      <c r="B6" s="3" t="inlineStr">
        <is>
          <t>173bp</t>
        </is>
      </c>
    </row>
    <row r="7">
      <c r="A7" s="2" t="inlineStr">
        <is>
          <t>Index yield</t>
        </is>
      </c>
      <c r="B7" s="3" t="inlineStr">
        <is>
          <t>6.65%</t>
        </is>
      </c>
    </row>
    <row r="8">
      <c r="A8" s="2" t="inlineStr">
        <is>
          <t>Spread duration</t>
        </is>
      </c>
      <c r="B8" s="3" t="inlineStr">
        <is>
          <t>6.22  (published)</t>
        </is>
      </c>
    </row>
    <row r="10">
      <c r="A10" s="2" t="inlineStr">
        <is>
          <t>YTD total return</t>
        </is>
      </c>
      <c r="B10" s="3" t="inlineStr">
        <is>
          <t>+2.68%</t>
        </is>
      </c>
    </row>
    <row r="11">
      <c r="A11" s="2" t="inlineStr">
        <is>
          <t>YTD spread move</t>
        </is>
      </c>
      <c r="B11" s="3" t="inlineStr">
        <is>
          <t>-17bp</t>
        </is>
      </c>
    </row>
    <row r="12">
      <c r="A12" s="2" t="inlineStr">
        <is>
          <t>YTD move in the underlying Treasury</t>
        </is>
      </c>
      <c r="B12" s="3" t="inlineStr">
        <is>
          <t>+61bp</t>
        </is>
      </c>
    </row>
    <row r="14">
      <c r="A14" s="2" t="inlineStr">
        <is>
          <t>Countries tracked</t>
        </is>
      </c>
      <c r="B14" s="3" t="n">
        <v>75</v>
      </c>
    </row>
    <row r="15">
      <c r="A15" s="2" t="inlineStr">
        <is>
          <t>Generated</t>
        </is>
      </c>
      <c r="B15" s="3" t="inlineStr">
        <is>
          <t>2026-09-09 20:17</t>
        </is>
      </c>
    </row>
    <row r="17">
      <c r="A17" s="4" t="inlineStr">
        <is>
          <t>Your history workbook is read-only and is never modified. Each run re-reads it,</t>
        </is>
      </c>
    </row>
    <row r="18">
      <c r="A18" s="4" t="inlineStr">
        <is>
          <t>adds any JPM downloads found in the folder, and writes the growing copy to</t>
        </is>
      </c>
    </row>
    <row r="19">
      <c r="A19" s="4" t="inlineStr">
        <is>
          <t>EMBI_history_extended.csv. This dashboard is rebuilt from scratch every time - delete it</t>
        </is>
      </c>
    </row>
    <row r="20">
      <c r="A20" s="4" t="inlineStr">
        <is>
          <t>and rerun and you lose nothing.</t>
        </is>
      </c>
    </row>
    <row r="21">
      <c r="A21" s="4" t="inlineStr"/>
    </row>
    <row r="22">
      <c r="A22" s="4" t="inlineStr">
        <is>
          <t>Spread attribution uses JPM's published spread duration, not one estimated from</t>
        </is>
      </c>
    </row>
    <row r="23">
      <c r="A23" s="4" t="inlineStr">
        <is>
          <t>the history: the index YTM is distorted by distressed names whose quoted yields</t>
        </is>
      </c>
    </row>
    <row r="24">
      <c r="A24" s="4" t="inlineStr">
        <is>
          <t>are arithmetic artefacts, so a regression-based duration comes out near 3.3</t>
        </is>
      </c>
    </row>
    <row r="25">
      <c r="A25" s="4" t="inlineStr">
        <is>
          <t>against a published 6.22. See the Methodology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Year to date 2026 — 2025-12-31 to 2026-09-08</t>
        </is>
      </c>
    </row>
    <row r="2">
      <c r="A2" s="4" t="inlineStr">
        <is>
          <t>Total return is (end / start - 1) on the index's own total-return series. Spread and Treasury moves are shown in basis points. For a return attribution use JPM's published legs below — ours has been removed because a duration split misbehaves badly on this index.</t>
        </is>
      </c>
    </row>
    <row r="4">
      <c r="A4" s="2" t="inlineStr">
        <is>
          <t>EMBI Global Diversified</t>
        </is>
      </c>
      <c r="B4" s="6" t="n"/>
      <c r="C4" s="6" t="n"/>
    </row>
    <row r="5">
      <c r="A5" s="7" t="inlineStr">
        <is>
          <t>Total return</t>
        </is>
      </c>
      <c r="B5" s="8" t="n">
        <v>2.683231414603848</v>
      </c>
      <c r="C5" s="4" t="inlineStr"/>
    </row>
    <row r="6">
      <c r="A6" s="7" t="inlineStr">
        <is>
          <t>Spread move (bp)</t>
        </is>
      </c>
      <c r="B6" s="9" t="n">
        <v>-16.8963</v>
      </c>
      <c r="C6" s="4" t="inlineStr">
        <is>
          <t>253 -&gt; 173</t>
        </is>
      </c>
    </row>
    <row r="7">
      <c r="A7" s="7" t="inlineStr">
        <is>
          <t>Underlying Treasury move (bp)</t>
        </is>
      </c>
      <c r="B7" s="9" t="n">
        <v>60.80840000000018</v>
      </c>
      <c r="C7" s="4" t="inlineStr">
        <is>
          <t>yield less spread</t>
        </is>
      </c>
    </row>
    <row r="9">
      <c r="A9" s="2" t="inlineStr">
        <is>
          <t>JPM's own published attribution — cite this one externally</t>
        </is>
      </c>
      <c r="B9" s="6" t="n"/>
      <c r="C9" s="6" t="n"/>
    </row>
    <row r="10">
      <c r="A10" s="10" t="inlineStr">
        <is>
          <t>Total return</t>
        </is>
      </c>
      <c r="B10" s="11" t="n">
        <v>2.683231</v>
      </c>
    </row>
    <row r="11">
      <c r="A11" s="10" t="inlineStr">
        <is>
          <t>Spread return</t>
        </is>
      </c>
      <c r="B11" s="11" t="n">
        <v>3.821168</v>
      </c>
    </row>
    <row r="12">
      <c r="A12" s="10" t="inlineStr">
        <is>
          <t>UST return</t>
        </is>
      </c>
      <c r="B12" s="11" t="n">
        <v>-1.096055</v>
      </c>
    </row>
    <row r="13">
      <c r="A13" s="10" t="inlineStr">
        <is>
          <t xml:space="preserve">  our total vs JPM's</t>
        </is>
      </c>
      <c r="B13" s="12" t="n">
        <v>4.14603848142292e-07</v>
      </c>
      <c r="C13" s="4" t="inlineStr">
        <is>
          <t>reconciliation check on the total-return index</t>
        </is>
      </c>
    </row>
    <row r="15">
      <c r="A15" s="4" t="inlineStr">
        <is>
          <t>JPM's legs and ours differ: theirs are computed on the actual Treasury hedge and compound through the year, ours are a duration approximation at a single duration. Use JPM's in client work; ours travels across every date in the history, theirs does not.</t>
        </is>
      </c>
    </row>
    <row r="18">
      <c r="A18" s="2" t="inlineStr">
        <is>
          <t>Best YTD total return</t>
        </is>
      </c>
      <c r="B18" s="6" t="n"/>
      <c r="C18" s="6" t="n"/>
      <c r="D18" s="6" t="n"/>
    </row>
    <row r="19">
      <c r="B19" s="13" t="inlineStr">
        <is>
          <t>YTD return %</t>
        </is>
      </c>
      <c r="C19" s="13" t="inlineStr">
        <is>
          <t>weight %</t>
        </is>
      </c>
      <c r="D19" s="13" t="inlineStr">
        <is>
          <t>spread move bp</t>
        </is>
      </c>
    </row>
    <row r="20">
      <c r="A20" s="10" t="inlineStr">
        <is>
          <t>Venezuela</t>
        </is>
      </c>
      <c r="B20" s="11" t="n">
        <v>74.67798462944535</v>
      </c>
      <c r="C20" s="14" t="n">
        <v>1.764866</v>
      </c>
      <c r="D20" s="15" t="n">
        <v>-6624.52274</v>
      </c>
    </row>
    <row r="21">
      <c r="A21" s="10" t="inlineStr">
        <is>
          <t>Lebanon</t>
        </is>
      </c>
      <c r="B21" s="11" t="n">
        <v>21.67861521465342</v>
      </c>
      <c r="C21" s="14" t="n">
        <v>0.5675559999999999</v>
      </c>
      <c r="D21" s="15" t="n">
        <v>-1473.087850000001</v>
      </c>
    </row>
    <row r="22">
      <c r="A22" s="10" t="inlineStr">
        <is>
          <t>Mozambique</t>
        </is>
      </c>
      <c r="B22" s="11" t="n">
        <v>14.82120125318822</v>
      </c>
      <c r="C22" s="14" t="n">
        <v>0.114639</v>
      </c>
      <c r="D22" s="15" t="n">
        <v>-252.5605899999999</v>
      </c>
    </row>
    <row r="23">
      <c r="A23" s="10" t="inlineStr">
        <is>
          <t>Angola</t>
        </is>
      </c>
      <c r="B23" s="11" t="n">
        <v>13.36519219007906</v>
      </c>
      <c r="C23" s="14" t="n">
        <v>1.788995</v>
      </c>
      <c r="D23" s="15" t="n">
        <v>-170.03408</v>
      </c>
    </row>
    <row r="24">
      <c r="A24" s="10" t="inlineStr">
        <is>
          <t>Ukraine</t>
        </is>
      </c>
      <c r="B24" s="11" t="n">
        <v>13.11537278035448</v>
      </c>
      <c r="C24" s="14" t="n">
        <v>1.873797</v>
      </c>
      <c r="D24" s="15" t="n">
        <v>-134.18855</v>
      </c>
    </row>
    <row r="25">
      <c r="A25" s="10" t="inlineStr">
        <is>
          <t>Sri Lanka</t>
        </is>
      </c>
      <c r="B25" s="11" t="n">
        <v>12.54488897254977</v>
      </c>
      <c r="C25" s="14" t="n">
        <v>1.117507</v>
      </c>
      <c r="D25" s="15" t="n">
        <v>-192.9861600000001</v>
      </c>
    </row>
    <row r="26">
      <c r="A26" s="10" t="inlineStr">
        <is>
          <t>Bolivia</t>
        </is>
      </c>
      <c r="B26" s="11" t="n">
        <v>10.51331327223497</v>
      </c>
      <c r="C26" s="14" t="n">
        <v>0.332753</v>
      </c>
      <c r="D26" s="15" t="n">
        <v>-216.59129</v>
      </c>
    </row>
    <row r="27">
      <c r="A27" s="10" t="inlineStr">
        <is>
          <t>Cameroon</t>
        </is>
      </c>
      <c r="B27" s="11" t="n">
        <v>8.227558013618053</v>
      </c>
      <c r="C27" s="14" t="n">
        <v>0.07477</v>
      </c>
      <c r="D27" s="15" t="n">
        <v>-170.4578</v>
      </c>
    </row>
    <row r="29">
      <c r="A29" s="2" t="inlineStr">
        <is>
          <t>Worst YTD total return</t>
        </is>
      </c>
      <c r="B29" s="6" t="n"/>
      <c r="C29" s="6" t="n"/>
      <c r="D29" s="6" t="n"/>
    </row>
    <row r="30">
      <c r="B30" s="13" t="inlineStr">
        <is>
          <t>YTD return %</t>
        </is>
      </c>
      <c r="C30" s="13" t="inlineStr">
        <is>
          <t>weight %</t>
        </is>
      </c>
      <c r="D30" s="13" t="inlineStr">
        <is>
          <t>spread move bp</t>
        </is>
      </c>
    </row>
    <row r="31">
      <c r="A31" s="10" t="inlineStr">
        <is>
          <t>Bahrain</t>
        </is>
      </c>
      <c r="B31" s="11" t="n">
        <v>-1.916179827608333</v>
      </c>
      <c r="C31" s="14" t="n">
        <v>2.838575</v>
      </c>
      <c r="D31" s="15" t="n">
        <v>65.27902999999998</v>
      </c>
    </row>
    <row r="32">
      <c r="A32" s="10" t="inlineStr">
        <is>
          <t>Philippines</t>
        </is>
      </c>
      <c r="B32" s="11" t="n">
        <v>-1.899319447666092</v>
      </c>
      <c r="C32" s="14" t="n">
        <v>2.973885</v>
      </c>
      <c r="D32" s="15" t="n">
        <v>18.09157</v>
      </c>
    </row>
    <row r="33">
      <c r="A33" s="10" t="inlineStr">
        <is>
          <t>Indonesia</t>
        </is>
      </c>
      <c r="B33" s="11" t="n">
        <v>-1.756958748168425</v>
      </c>
      <c r="C33" s="14" t="n">
        <v>4.038554</v>
      </c>
      <c r="D33" s="15" t="n">
        <v>21.18778</v>
      </c>
    </row>
    <row r="34">
      <c r="A34" s="10" t="inlineStr">
        <is>
          <t>Paraguay</t>
        </is>
      </c>
      <c r="B34" s="11" t="n">
        <v>-1.612828321114113</v>
      </c>
      <c r="C34" s="14" t="n">
        <v>0.826901</v>
      </c>
      <c r="D34" s="15" t="n">
        <v>10.78513</v>
      </c>
    </row>
    <row r="35">
      <c r="A35" s="10" t="inlineStr">
        <is>
          <t>Malaysia</t>
        </is>
      </c>
      <c r="B35" s="11" t="n">
        <v>-1.31911894105734</v>
      </c>
      <c r="C35" s="14" t="n">
        <v>2.550414</v>
      </c>
      <c r="D35" s="15" t="n">
        <v>0.2689699999999959</v>
      </c>
    </row>
    <row r="36">
      <c r="A36" s="10" t="inlineStr">
        <is>
          <t>Bulgaria</t>
        </is>
      </c>
      <c r="B36" s="11" t="n">
        <v>-1.072360234373293</v>
      </c>
      <c r="C36" s="14" t="n">
        <v>0.189015</v>
      </c>
      <c r="D36" s="15" t="n">
        <v>-3.207719999999995</v>
      </c>
    </row>
    <row r="37">
      <c r="A37" s="10" t="inlineStr">
        <is>
          <t>Uruguay</t>
        </is>
      </c>
      <c r="B37" s="11" t="n">
        <v>-1.05932076479428</v>
      </c>
      <c r="C37" s="14" t="n">
        <v>2.279098</v>
      </c>
      <c r="D37" s="15" t="n">
        <v>-1.512950000000004</v>
      </c>
    </row>
    <row r="38">
      <c r="A38" s="10" t="inlineStr">
        <is>
          <t>Poland</t>
        </is>
      </c>
      <c r="B38" s="11" t="n">
        <v>-0.8257879691011549</v>
      </c>
      <c r="C38" s="14" t="n">
        <v>2.980228</v>
      </c>
      <c r="D38" s="15" t="n">
        <v>6.25676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9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4" customWidth="1" min="12" max="12"/>
    <col width="34" customWidth="1" min="13" max="13"/>
  </cols>
  <sheetData>
    <row r="1">
      <c r="A1" s="5" t="inlineStr">
        <is>
          <t>By region — YTD 2026 (2025-12-31 to 2026-09-08)</t>
        </is>
      </c>
    </row>
    <row r="2">
      <c r="A2" s="4" t="inlineStr">
        <is>
          <t>Every return here is (end / start - 1) on that sub-index's own total-return index. Nothing is derived from duration. Spread and Treasury moves are shown in basis points beside them; the duration decomposition has been removed because it produced figures like a +52% spread contribution for Credit C against an actual +17.9%.</t>
        </is>
      </c>
    </row>
    <row r="4" ht="30" customHeight="1">
      <c r="A4" s="13" t="inlineStr"/>
      <c r="B4" s="13" t="inlineStr">
        <is>
          <t>Weight %</t>
        </is>
      </c>
      <c r="C4" s="13" t="inlineStr">
        <is>
          <t>Spread now</t>
        </is>
      </c>
      <c r="D4" s="13" t="inlineStr">
        <is>
          <t>Yield %</t>
        </is>
      </c>
      <c r="E4" s="13" t="inlineStr">
        <is>
          <t>Duration</t>
        </is>
      </c>
      <c r="F4" s="13" t="inlineStr">
        <is>
          <t>Return 1m %
2026-08-07</t>
        </is>
      </c>
      <c r="G4" s="13" t="inlineStr">
        <is>
          <t>Return 3m %
2026-06-09</t>
        </is>
      </c>
      <c r="H4" s="13" t="inlineStr">
        <is>
          <t>Return YTD %
2025-12-31</t>
        </is>
      </c>
      <c r="I4" s="13" t="inlineStr">
        <is>
          <t>Return 12m %
2025-09-08</t>
        </is>
      </c>
      <c r="J4" s="13" t="inlineStr">
        <is>
          <t>Spread 1m bp</t>
        </is>
      </c>
      <c r="K4" s="13" t="inlineStr">
        <is>
          <t>Spread YTD bp</t>
        </is>
      </c>
      <c r="L4" s="13" t="inlineStr">
        <is>
          <t>Treasury YTD bp</t>
        </is>
      </c>
      <c r="M4" s="13" t="inlineStr">
        <is>
          <t>read with care</t>
        </is>
      </c>
    </row>
    <row r="5">
      <c r="A5" s="10" t="inlineStr">
        <is>
          <t>LATIN Region</t>
        </is>
      </c>
      <c r="B5" s="16" t="n">
        <v>37.201578</v>
      </c>
      <c r="C5" s="17" t="n">
        <v>172</v>
      </c>
      <c r="D5" s="16" t="n">
        <v>6.689736</v>
      </c>
      <c r="E5" s="14" t="n">
        <v>7.094123</v>
      </c>
      <c r="F5" s="18" t="n">
        <v>-0.06417977122401552</v>
      </c>
      <c r="G5" s="19" t="n">
        <v>0.1666985666678</v>
      </c>
      <c r="H5" s="20" t="n">
        <v>4.424909520031806</v>
      </c>
      <c r="I5" s="19" t="n">
        <v>10.11323532746462</v>
      </c>
      <c r="J5" s="15" t="n">
        <v>-2.615879999999976</v>
      </c>
      <c r="K5" s="15" t="n">
        <v>-58.69838000000001</v>
      </c>
      <c r="L5" s="15" t="n">
        <v>60.67298000000011</v>
      </c>
      <c r="M5" s="21" t="inlineStr">
        <is>
          <t>chain-linked across a basis break</t>
        </is>
      </c>
    </row>
    <row r="6">
      <c r="A6" s="10" t="inlineStr">
        <is>
          <t>EUROPE Region</t>
        </is>
      </c>
      <c r="B6" s="16" t="n">
        <v>19.269271</v>
      </c>
      <c r="C6" s="17" t="n">
        <v>188</v>
      </c>
      <c r="D6" s="16" t="n">
        <v>6.705056</v>
      </c>
      <c r="E6" s="14" t="n">
        <v>5.564653</v>
      </c>
      <c r="F6" s="18" t="n">
        <v>-0.5912596033024853</v>
      </c>
      <c r="G6" s="19" t="n">
        <v>0.321319340460291</v>
      </c>
      <c r="H6" s="20" t="n">
        <v>1.857301394858912</v>
      </c>
      <c r="I6" s="19" t="n">
        <v>5.643862239925168</v>
      </c>
      <c r="J6" s="15" t="n">
        <v>9.911319999999989</v>
      </c>
      <c r="K6" s="15" t="n">
        <v>-7.62008000000003</v>
      </c>
      <c r="L6" s="15" t="n">
        <v>64.15167999999997</v>
      </c>
      <c r="M6" s="21" t="inlineStr">
        <is>
          <t>chain-linked across a basis break</t>
        </is>
      </c>
    </row>
    <row r="7">
      <c r="A7" s="10" t="inlineStr">
        <is>
          <t>ASIA Region</t>
        </is>
      </c>
      <c r="B7" s="16" t="n">
        <v>15.759652</v>
      </c>
      <c r="C7" s="17" t="n">
        <v>77</v>
      </c>
      <c r="D7" s="16" t="n">
        <v>5.711429</v>
      </c>
      <c r="E7" s="14" t="n">
        <v>6.130849</v>
      </c>
      <c r="F7" s="18" t="n">
        <v>-0.03752324599946011</v>
      </c>
      <c r="G7" s="19" t="n">
        <v>0.07193859428784588</v>
      </c>
      <c r="H7" s="20" t="n">
        <v>0.163418774994506</v>
      </c>
      <c r="I7" s="19" t="n">
        <v>1.82094793757237</v>
      </c>
      <c r="J7" s="15" t="n">
        <v>-1.654099999999985</v>
      </c>
      <c r="K7" s="15" t="n">
        <v>-3.43419999999999</v>
      </c>
      <c r="L7" s="15" t="n">
        <v>61.59609999999984</v>
      </c>
      <c r="M7" s="21" t="inlineStr">
        <is>
          <t>chain-linked across a basis break</t>
        </is>
      </c>
    </row>
    <row r="8">
      <c r="A8" s="10" t="inlineStr">
        <is>
          <t>AFRICA Region</t>
        </is>
      </c>
      <c r="B8" s="16" t="n">
        <v>15.57426</v>
      </c>
      <c r="C8" s="17" t="n">
        <v>288</v>
      </c>
      <c r="D8" s="16" t="n">
        <v>7.75985</v>
      </c>
      <c r="E8" s="14" t="n">
        <v>5.685877</v>
      </c>
      <c r="F8" s="19" t="n">
        <v>0.3067056203248653</v>
      </c>
      <c r="G8" s="19" t="n">
        <v>1.709128502934787</v>
      </c>
      <c r="H8" s="20" t="n">
        <v>4.765696347444037</v>
      </c>
      <c r="I8" s="19" t="n">
        <v>12.1894674136336</v>
      </c>
      <c r="J8" s="15" t="n">
        <v>-5.567559999999958</v>
      </c>
      <c r="K8" s="15" t="n">
        <v>-28.23465999999996</v>
      </c>
      <c r="L8" s="15" t="n">
        <v>60.66765999999991</v>
      </c>
      <c r="M8" s="21" t="inlineStr">
        <is>
          <t>chain-linked across a basis break</t>
        </is>
      </c>
    </row>
    <row r="9">
      <c r="A9" s="10" t="inlineStr">
        <is>
          <t>MIDEAST Region</t>
        </is>
      </c>
      <c r="B9" s="16" t="n">
        <v>12.195239</v>
      </c>
      <c r="C9" s="17" t="n">
        <v>137</v>
      </c>
      <c r="D9" s="16" t="n">
        <v>6.25047</v>
      </c>
      <c r="E9" s="14" t="n">
        <v>5.456254</v>
      </c>
      <c r="F9" s="18" t="n">
        <v>-0.2225509045033713</v>
      </c>
      <c r="G9" s="18" t="n">
        <v>-0.05911714974172755</v>
      </c>
      <c r="H9" s="20" t="n">
        <v>0.04836897599607148</v>
      </c>
      <c r="I9" s="19" t="n">
        <v>1.659044532446763</v>
      </c>
      <c r="J9" s="15" t="n">
        <v>-0.5920700000000068</v>
      </c>
      <c r="K9" s="15" t="n">
        <v>123.15903</v>
      </c>
      <c r="L9" s="15" t="n">
        <v>57.86097000000005</v>
      </c>
      <c r="M9" s="21" t="inlineStr">
        <is>
          <t>chain-linked across a basis break; carry plug exceeds the yield — legs are indicative only</t>
        </is>
      </c>
    </row>
    <row r="11">
      <c r="A11" s="4" t="inlineStr">
        <is>
          <t>Each return column header carries the date it is measured from, so there is never a question of which window a number belongs to. Returns are from the total-return sub-indices; spread and Treasury moves are chain-linked across basis breaks.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9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4" customWidth="1" min="12" max="12"/>
    <col width="34" customWidth="1" min="13" max="13"/>
  </cols>
  <sheetData>
    <row r="1">
      <c r="A1" s="5" t="inlineStr">
        <is>
          <t>By rating bucket — YTD 2026 (2025-12-31 to 2026-09-08)</t>
        </is>
      </c>
    </row>
    <row r="2">
      <c r="A2" s="4" t="inlineStr">
        <is>
          <t>Every return here is (end / start - 1) on that sub-index's own total-return index. Nothing is derived from duration. Spread and Treasury moves are shown in basis points beside them; the duration decomposition has been removed because it produced figures like a +52% spread contribution for Credit C against an actual +17.9%.</t>
        </is>
      </c>
    </row>
    <row r="4" ht="30" customHeight="1">
      <c r="A4" s="13" t="inlineStr"/>
      <c r="B4" s="13" t="inlineStr">
        <is>
          <t>Weight %</t>
        </is>
      </c>
      <c r="C4" s="13" t="inlineStr">
        <is>
          <t>Spread now</t>
        </is>
      </c>
      <c r="D4" s="13" t="inlineStr">
        <is>
          <t>Yield %</t>
        </is>
      </c>
      <c r="E4" s="13" t="inlineStr">
        <is>
          <t>Duration</t>
        </is>
      </c>
      <c r="F4" s="13" t="inlineStr">
        <is>
          <t>Return 1m %
2026-08-07</t>
        </is>
      </c>
      <c r="G4" s="13" t="inlineStr">
        <is>
          <t>Return 3m %
2026-06-09</t>
        </is>
      </c>
      <c r="H4" s="13" t="inlineStr">
        <is>
          <t>Return YTD %
2025-12-31</t>
        </is>
      </c>
      <c r="I4" s="13" t="inlineStr">
        <is>
          <t>Return 12m %
2025-09-08</t>
        </is>
      </c>
      <c r="J4" s="13" t="inlineStr">
        <is>
          <t>Spread 1m bp</t>
        </is>
      </c>
      <c r="K4" s="13" t="inlineStr">
        <is>
          <t>Spread YTD bp</t>
        </is>
      </c>
      <c r="L4" s="13" t="inlineStr">
        <is>
          <t>Treasury YTD bp</t>
        </is>
      </c>
      <c r="M4" s="13" t="inlineStr">
        <is>
          <t>read with care</t>
        </is>
      </c>
    </row>
    <row r="5">
      <c r="A5" s="10" t="inlineStr">
        <is>
          <t>Credit Non-IG</t>
        </is>
      </c>
      <c r="B5" s="16" t="n">
        <v>52.862307</v>
      </c>
      <c r="C5" s="17" t="n">
        <v>261</v>
      </c>
      <c r="D5" s="16" t="n">
        <v>7.468113</v>
      </c>
      <c r="E5" s="14" t="n">
        <v>5.611607</v>
      </c>
      <c r="F5" s="19" t="n">
        <v>0.01421648335069303</v>
      </c>
      <c r="G5" s="19" t="n">
        <v>1.3001862498351</v>
      </c>
      <c r="H5" s="20" t="n">
        <v>5.600487699190304</v>
      </c>
      <c r="I5" s="19" t="n">
        <v>12.2980999837893</v>
      </c>
      <c r="J5" s="15" t="n">
        <v>-0.1699999999999591</v>
      </c>
      <c r="K5" s="15" t="n">
        <v>-54.03059999999999</v>
      </c>
      <c r="L5" s="15" t="n">
        <v>65.02089999999994</v>
      </c>
      <c r="M5" s="21" t="inlineStr">
        <is>
          <t>chain-linked across a basis break</t>
        </is>
      </c>
    </row>
    <row r="6">
      <c r="A6" s="10" t="inlineStr">
        <is>
          <t>Credit IG only</t>
        </is>
      </c>
      <c r="B6" s="16" t="n">
        <v>47.137693</v>
      </c>
      <c r="C6" s="17" t="n">
        <v>96</v>
      </c>
      <c r="D6" s="16" t="n">
        <v>5.928778</v>
      </c>
      <c r="E6" s="14" t="n">
        <v>6.866624</v>
      </c>
      <c r="F6" s="18" t="n">
        <v>-0.2777540857052618</v>
      </c>
      <c r="G6" s="18" t="n">
        <v>-0.6201720934099431</v>
      </c>
      <c r="H6" s="22" t="n">
        <v>-0.3530122094281385</v>
      </c>
      <c r="I6" s="19" t="n">
        <v>1.536609831772795</v>
      </c>
      <c r="J6" s="15" t="n">
        <v>0.7986700000000013</v>
      </c>
      <c r="K6" s="15" t="n">
        <v>3.182469999999995</v>
      </c>
      <c r="L6" s="15" t="n">
        <v>57.78433000000003</v>
      </c>
      <c r="M6" s="21" t="inlineStr">
        <is>
          <t>chain-linked across a basis break</t>
        </is>
      </c>
    </row>
    <row r="7">
      <c r="A7" s="10" t="inlineStr">
        <is>
          <t>Credit BBB only</t>
        </is>
      </c>
      <c r="B7" s="16" t="n">
        <v>31.802982</v>
      </c>
      <c r="C7" s="17" t="n">
        <v>107</v>
      </c>
      <c r="D7" s="16" t="n">
        <v>6.040569</v>
      </c>
      <c r="E7" s="14" t="n">
        <v>7.033178</v>
      </c>
      <c r="F7" s="18" t="n">
        <v>-0.2171303722890983</v>
      </c>
      <c r="G7" s="18" t="n">
        <v>-0.5142352329384314</v>
      </c>
      <c r="H7" s="22" t="n">
        <v>-0.01506108803881467</v>
      </c>
      <c r="I7" s="19" t="n">
        <v>2.218061741274902</v>
      </c>
      <c r="J7" s="15" t="n">
        <v>-0.1364100000000121</v>
      </c>
      <c r="K7" s="15" t="n">
        <v>-3.286110000000008</v>
      </c>
      <c r="L7" s="15" t="n">
        <v>57.39801</v>
      </c>
      <c r="M7" s="21" t="inlineStr">
        <is>
          <t>chain-linked across a basis break</t>
        </is>
      </c>
    </row>
    <row r="8">
      <c r="A8" s="10" t="inlineStr">
        <is>
          <t>Credit BB only</t>
        </is>
      </c>
      <c r="B8" s="16" t="n">
        <v>25.240719</v>
      </c>
      <c r="C8" s="17" t="n">
        <v>181</v>
      </c>
      <c r="D8" s="16" t="n">
        <v>6.715856</v>
      </c>
      <c r="E8" s="14" t="n">
        <v>6.154167</v>
      </c>
      <c r="F8" s="18" t="n">
        <v>-0.2170024651231284</v>
      </c>
      <c r="G8" s="19" t="n">
        <v>0.4198389578505157</v>
      </c>
      <c r="H8" s="20" t="n">
        <v>2.273637070471901</v>
      </c>
      <c r="I8" s="19" t="n">
        <v>5.431832979183771</v>
      </c>
      <c r="J8" s="15" t="n">
        <v>0.9267900000000111</v>
      </c>
      <c r="K8" s="15" t="n">
        <v>-22.06801000000002</v>
      </c>
      <c r="L8" s="15" t="n">
        <v>57.88261000000006</v>
      </c>
      <c r="M8" s="21" t="inlineStr">
        <is>
          <t>chain-linked across a basis break</t>
        </is>
      </c>
    </row>
    <row r="9">
      <c r="A9" s="10" t="inlineStr">
        <is>
          <t>Credit B only</t>
        </is>
      </c>
      <c r="B9" s="16" t="n">
        <v>20.383458</v>
      </c>
      <c r="C9" s="17" t="n">
        <v>330</v>
      </c>
      <c r="D9" s="16" t="n">
        <v>8.102579</v>
      </c>
      <c r="E9" s="14" t="n">
        <v>5.092871</v>
      </c>
      <c r="F9" s="18" t="n">
        <v>-0.04315187506250817</v>
      </c>
      <c r="G9" s="19" t="n">
        <v>1.010016327076535</v>
      </c>
      <c r="H9" s="20" t="n">
        <v>3.876538058771195</v>
      </c>
      <c r="I9" s="19" t="n">
        <v>10.21532887869319</v>
      </c>
      <c r="J9" s="15" t="n">
        <v>1.730140000000006</v>
      </c>
      <c r="K9" s="15" t="n">
        <v>-13.86646000000002</v>
      </c>
      <c r="L9" s="15" t="n">
        <v>62.34435999999991</v>
      </c>
      <c r="M9" s="21" t="inlineStr">
        <is>
          <t>chain-linked across a basis break</t>
        </is>
      </c>
    </row>
    <row r="10">
      <c r="A10" s="10" t="inlineStr">
        <is>
          <t>Credit A only</t>
        </is>
      </c>
      <c r="B10" s="16" t="n">
        <v>15.334711</v>
      </c>
      <c r="C10" s="17" t="n">
        <v>71</v>
      </c>
      <c r="D10" s="16" t="n">
        <v>5.67857</v>
      </c>
      <c r="E10" s="14" t="n">
        <v>6.521203</v>
      </c>
      <c r="F10" s="18" t="n">
        <v>-0.4046482471028345</v>
      </c>
      <c r="G10" s="18" t="n">
        <v>-0.8418497202976605</v>
      </c>
      <c r="H10" s="22" t="n">
        <v>-0.7024870910364411</v>
      </c>
      <c r="I10" s="19" t="n">
        <v>0.6153160606312769</v>
      </c>
      <c r="J10" s="15" t="n">
        <v>2.482619999999997</v>
      </c>
      <c r="K10" s="15" t="n">
        <v>5.612319999999997</v>
      </c>
      <c r="L10" s="15" t="n">
        <v>59.80067999999997</v>
      </c>
      <c r="M10" s="21" t="inlineStr">
        <is>
          <t>chain-linked across a basis break</t>
        </is>
      </c>
    </row>
    <row r="11">
      <c r="A11" s="10" t="inlineStr">
        <is>
          <t>Credit C only</t>
        </is>
      </c>
      <c r="B11" s="16" t="n">
        <v>6.468151</v>
      </c>
      <c r="C11" s="17" t="n">
        <v>496</v>
      </c>
      <c r="D11" s="16" t="n">
        <v>9.679141</v>
      </c>
      <c r="E11" s="14" t="n">
        <v>4.947637</v>
      </c>
      <c r="F11" s="19" t="n">
        <v>0.4846400570513554</v>
      </c>
      <c r="G11" s="19" t="n">
        <v>5.042588567823914</v>
      </c>
      <c r="H11" s="20" t="n">
        <v>17.89095993758125</v>
      </c>
      <c r="I11" s="19" t="n">
        <v>36.39179908905938</v>
      </c>
      <c r="J11" s="15" t="n">
        <v>15.51760999999999</v>
      </c>
      <c r="K11" s="15" t="n">
        <v>-18.46738999999991</v>
      </c>
      <c r="L11" s="15" t="n">
        <v>71.91548999999951</v>
      </c>
      <c r="M11" s="21" t="inlineStr">
        <is>
          <t>chain-linked across a basis break; carry plug exceeds the yield — legs are indicative only</t>
        </is>
      </c>
    </row>
    <row r="13">
      <c r="A13" s="4" t="inlineStr">
        <is>
          <t>Each return column header carries the date it is measured from, so there is never a question of which window a number belongs to. Returns are from the total-return sub-indices; spread and Treasury moves are chain-linked across basis breaks.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9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4" customWidth="1" min="12" max="12"/>
    <col width="34" customWidth="1" min="13" max="13"/>
  </cols>
  <sheetData>
    <row r="1">
      <c r="A1" s="5" t="inlineStr">
        <is>
          <t>By country — YTD 2026 (2025-12-31 to 2026-09-08)</t>
        </is>
      </c>
    </row>
    <row r="2">
      <c r="A2" s="4" t="inlineStr">
        <is>
          <t>Every return here is (end / start - 1) on that sub-index's own total-return index. Nothing is derived from duration. Spread and Treasury moves are shown in basis points beside them; the duration decomposition has been removed because it produced figures like a +52% spread contribution for Credit C against an actual +17.9%.</t>
        </is>
      </c>
    </row>
    <row r="4" ht="30" customHeight="1">
      <c r="A4" s="13" t="inlineStr"/>
      <c r="B4" s="13" t="inlineStr">
        <is>
          <t>Weight %</t>
        </is>
      </c>
      <c r="C4" s="13" t="inlineStr">
        <is>
          <t>Spread now</t>
        </is>
      </c>
      <c r="D4" s="13" t="inlineStr">
        <is>
          <t>Yield %</t>
        </is>
      </c>
      <c r="E4" s="13" t="inlineStr">
        <is>
          <t>Duration</t>
        </is>
      </c>
      <c r="F4" s="13" t="inlineStr">
        <is>
          <t>Return 1m %
2026-08-07</t>
        </is>
      </c>
      <c r="G4" s="13" t="inlineStr">
        <is>
          <t>Return 3m %
2026-06-09</t>
        </is>
      </c>
      <c r="H4" s="13" t="inlineStr">
        <is>
          <t>Return YTD %
2025-12-31</t>
        </is>
      </c>
      <c r="I4" s="13" t="inlineStr">
        <is>
          <t>Return 12m %
2025-09-08</t>
        </is>
      </c>
      <c r="J4" s="13" t="inlineStr">
        <is>
          <t>Spread 1m bp</t>
        </is>
      </c>
      <c r="K4" s="13" t="inlineStr">
        <is>
          <t>Spread YTD bp</t>
        </is>
      </c>
      <c r="L4" s="13" t="inlineStr">
        <is>
          <t>Treasury YTD bp</t>
        </is>
      </c>
      <c r="M4" s="13" t="inlineStr">
        <is>
          <t>read with care</t>
        </is>
      </c>
    </row>
    <row r="5">
      <c r="A5" s="10" t="inlineStr">
        <is>
          <t>Saudi Arabia</t>
        </is>
      </c>
      <c r="B5" s="16" t="n">
        <v>5.186043</v>
      </c>
      <c r="C5" s="17" t="n">
        <v>92</v>
      </c>
      <c r="D5" s="16" t="n">
        <v>5.853028</v>
      </c>
      <c r="E5" s="14" t="n">
        <v>5.963267</v>
      </c>
      <c r="F5" s="18" t="n">
        <v>-0.2985285473159793</v>
      </c>
      <c r="G5" s="18" t="n">
        <v>-0.5250218607870449</v>
      </c>
      <c r="H5" s="22" t="n">
        <v>-0.5907283709581157</v>
      </c>
      <c r="I5" s="19" t="n">
        <v>0.841563076253582</v>
      </c>
      <c r="J5" s="15" t="n">
        <v>-1.333010000000002</v>
      </c>
      <c r="K5" s="15" t="n">
        <v>8.039989999999989</v>
      </c>
      <c r="L5" s="15" t="n">
        <v>60.52580999999984</v>
      </c>
      <c r="M5" s="21" t="inlineStr">
        <is>
          <t>chain-linked across a basis break</t>
        </is>
      </c>
    </row>
    <row r="6">
      <c r="A6" s="10" t="inlineStr">
        <is>
          <t>Mexico</t>
        </is>
      </c>
      <c r="B6" s="16" t="n">
        <v>5.123428</v>
      </c>
      <c r="C6" s="17" t="n">
        <v>198</v>
      </c>
      <c r="D6" s="16" t="n">
        <v>6.960008</v>
      </c>
      <c r="E6" s="14" t="n">
        <v>7.199278</v>
      </c>
      <c r="F6" s="18" t="n">
        <v>-0.3669567979965205</v>
      </c>
      <c r="G6" s="18" t="n">
        <v>-0.198228709421755</v>
      </c>
      <c r="H6" s="20" t="n">
        <v>1.639985860522875</v>
      </c>
      <c r="I6" s="19" t="n">
        <v>3.758501453125351</v>
      </c>
      <c r="J6" s="15" t="n">
        <v>0.85745</v>
      </c>
      <c r="K6" s="15" t="n">
        <v>-22.60524999999998</v>
      </c>
      <c r="L6" s="15" t="n">
        <v>58.56204999999991</v>
      </c>
      <c r="M6" s="21" t="inlineStr">
        <is>
          <t>chain-linked across a basis break</t>
        </is>
      </c>
    </row>
    <row r="7">
      <c r="A7" s="10" t="inlineStr">
        <is>
          <t>Turkey</t>
        </is>
      </c>
      <c r="B7" s="16" t="n">
        <v>4.084789</v>
      </c>
      <c r="C7" s="17" t="n">
        <v>231</v>
      </c>
      <c r="D7" s="16" t="n">
        <v>7.074141</v>
      </c>
      <c r="E7" s="14" t="n">
        <v>4.679953</v>
      </c>
      <c r="F7" s="19" t="n">
        <v>0.002736036031736333</v>
      </c>
      <c r="G7" s="19" t="n">
        <v>1.220418549108815</v>
      </c>
      <c r="H7" s="20" t="n">
        <v>0.8435084222597755</v>
      </c>
      <c r="I7" s="19" t="n">
        <v>5.279691450793567</v>
      </c>
      <c r="J7" s="15" t="n">
        <v>-2.800919999999991</v>
      </c>
      <c r="K7" s="15" t="n">
        <v>17.50018</v>
      </c>
      <c r="L7" s="15" t="n">
        <v>65.52992000000009</v>
      </c>
      <c r="M7" s="21" t="inlineStr">
        <is>
          <t>chain-linked across a basis break</t>
        </is>
      </c>
    </row>
    <row r="8">
      <c r="A8" s="10" t="inlineStr">
        <is>
          <t>Indonesia</t>
        </is>
      </c>
      <c r="B8" s="16" t="n">
        <v>4.038554</v>
      </c>
      <c r="C8" s="17" t="n">
        <v>93</v>
      </c>
      <c r="D8" s="16" t="n">
        <v>5.931208</v>
      </c>
      <c r="E8" s="14" t="n">
        <v>6.965912</v>
      </c>
      <c r="F8" s="19" t="n">
        <v>0.2644233931184736</v>
      </c>
      <c r="G8" s="18" t="n">
        <v>-0.1106318890718661</v>
      </c>
      <c r="H8" s="22" t="n">
        <v>-1.756958748168425</v>
      </c>
      <c r="I8" s="19" t="n">
        <v>0.05748601826174315</v>
      </c>
      <c r="J8" s="15" t="n">
        <v>-3.678719999999998</v>
      </c>
      <c r="K8" s="15" t="n">
        <v>21.18778</v>
      </c>
      <c r="L8" s="15" t="n">
        <v>54.59702000000003</v>
      </c>
      <c r="M8" s="21" t="inlineStr">
        <is>
          <t>chain-linked across a basis break</t>
        </is>
      </c>
    </row>
    <row r="9">
      <c r="A9" s="10" t="inlineStr">
        <is>
          <t>China</t>
        </is>
      </c>
      <c r="B9" s="16" t="n">
        <v>3.236778</v>
      </c>
      <c r="C9" s="17" t="n">
        <v>2</v>
      </c>
      <c r="D9" s="16" t="n">
        <v>4.859323</v>
      </c>
      <c r="E9" s="14" t="n">
        <v>3.877586</v>
      </c>
      <c r="F9" s="18" t="n">
        <v>-0.1233297677466161</v>
      </c>
      <c r="G9" s="18" t="n">
        <v>-0.06258153821677714</v>
      </c>
      <c r="H9" s="20" t="n">
        <v>0.376345225698782</v>
      </c>
      <c r="I9" s="19" t="n">
        <v>1.279155615995431</v>
      </c>
      <c r="J9" s="15" t="n">
        <v>-0.6976500000000005</v>
      </c>
      <c r="K9" s="15" t="n">
        <v>-3.778849999999999</v>
      </c>
      <c r="L9" s="15" t="n">
        <v>93.92915000000005</v>
      </c>
      <c r="M9" s="21" t="inlineStr">
        <is>
          <t>chain-linked across a basis break</t>
        </is>
      </c>
    </row>
    <row r="10">
      <c r="A10" s="10" t="inlineStr">
        <is>
          <t>Brazil</t>
        </is>
      </c>
      <c r="B10" s="16" t="n">
        <v>3.21829</v>
      </c>
      <c r="C10" s="17" t="n">
        <v>170</v>
      </c>
      <c r="D10" s="16" t="n">
        <v>6.615152</v>
      </c>
      <c r="E10" s="14" t="n">
        <v>6.489121</v>
      </c>
      <c r="F10" s="19" t="n">
        <v>0.06174423952090002</v>
      </c>
      <c r="G10" s="19" t="n">
        <v>0.52130190521682</v>
      </c>
      <c r="H10" s="20" t="n">
        <v>2.306037337229361</v>
      </c>
      <c r="I10" s="19" t="n">
        <v>3.97025918283116</v>
      </c>
      <c r="J10" s="15" t="n">
        <v>-3.037409999999994</v>
      </c>
      <c r="K10" s="15" t="n">
        <v>-25.81671</v>
      </c>
      <c r="L10" s="15" t="n">
        <v>60.25790999999995</v>
      </c>
      <c r="M10" s="21" t="inlineStr">
        <is>
          <t>chain-linked across a basis break</t>
        </is>
      </c>
    </row>
    <row r="11">
      <c r="A11" s="10" t="inlineStr">
        <is>
          <t>Chile</t>
        </is>
      </c>
      <c r="B11" s="16" t="n">
        <v>3.00295</v>
      </c>
      <c r="C11" s="17" t="n">
        <v>88</v>
      </c>
      <c r="D11" s="16" t="n">
        <v>5.944234</v>
      </c>
      <c r="E11" s="14" t="n">
        <v>8.52966</v>
      </c>
      <c r="F11" s="18" t="n">
        <v>-0.1610266823767192</v>
      </c>
      <c r="G11" s="18" t="n">
        <v>-0.9667495660886982</v>
      </c>
      <c r="H11" s="22" t="n">
        <v>-0.7364247194313056</v>
      </c>
      <c r="I11" s="19" t="n">
        <v>1.777387324117319</v>
      </c>
      <c r="J11" s="15" t="n">
        <v>-4.97766</v>
      </c>
      <c r="K11" s="15" t="n">
        <v>-3.174760000000006</v>
      </c>
      <c r="L11" s="15" t="n">
        <v>53.43516000000001</v>
      </c>
      <c r="M11" s="21" t="inlineStr">
        <is>
          <t>chain-linked across a basis break</t>
        </is>
      </c>
    </row>
    <row r="12">
      <c r="A12" s="10" t="inlineStr">
        <is>
          <t>Poland</t>
        </is>
      </c>
      <c r="B12" s="16" t="n">
        <v>2.980228</v>
      </c>
      <c r="C12" s="17" t="n">
        <v>92</v>
      </c>
      <c r="D12" s="16" t="n">
        <v>5.875486</v>
      </c>
      <c r="E12" s="14" t="n">
        <v>7.247525</v>
      </c>
      <c r="F12" s="18" t="n">
        <v>-0.8240864282226701</v>
      </c>
      <c r="G12" s="18" t="n">
        <v>-0.852221775717954</v>
      </c>
      <c r="H12" s="22" t="n">
        <v>-0.8257879691011549</v>
      </c>
      <c r="I12" s="19" t="n">
        <v>0.8377967960396138</v>
      </c>
      <c r="J12" s="15" t="n">
        <v>7.11806</v>
      </c>
      <c r="K12" s="15" t="n">
        <v>6.25676</v>
      </c>
      <c r="L12" s="15" t="n">
        <v>59.94083999999998</v>
      </c>
      <c r="M12" s="21" t="inlineStr">
        <is>
          <t>chain-linked across a basis break</t>
        </is>
      </c>
    </row>
    <row r="13">
      <c r="A13" s="10" t="inlineStr">
        <is>
          <t>Philippines</t>
        </is>
      </c>
      <c r="B13" s="16" t="n">
        <v>2.973885</v>
      </c>
      <c r="C13" s="17" t="n">
        <v>78</v>
      </c>
      <c r="D13" s="16" t="n">
        <v>5.750072</v>
      </c>
      <c r="E13" s="14" t="n">
        <v>7.099961</v>
      </c>
      <c r="F13" s="18" t="n">
        <v>-0.198281846568471</v>
      </c>
      <c r="G13" s="18" t="n">
        <v>-0.5979941709226777</v>
      </c>
      <c r="H13" s="22" t="n">
        <v>-1.899319447666092</v>
      </c>
      <c r="I13" s="18" t="n">
        <v>-0.9709833508838916</v>
      </c>
      <c r="J13" s="15" t="n">
        <v>-0.3628299999999882</v>
      </c>
      <c r="K13" s="15" t="n">
        <v>18.09157</v>
      </c>
      <c r="L13" s="15" t="n">
        <v>56.18362999999995</v>
      </c>
      <c r="M13" s="21" t="inlineStr">
        <is>
          <t>chain-linked across a basis break</t>
        </is>
      </c>
    </row>
    <row r="14">
      <c r="A14" s="10" t="inlineStr">
        <is>
          <t>Dominican Republic</t>
        </is>
      </c>
      <c r="B14" s="16" t="n">
        <v>2.88623</v>
      </c>
      <c r="C14" s="17" t="n">
        <v>162</v>
      </c>
      <c r="D14" s="16" t="n">
        <v>6.594669</v>
      </c>
      <c r="E14" s="14" t="n">
        <v>7.343042</v>
      </c>
      <c r="F14" s="18" t="n">
        <v>-0.2772227603552113</v>
      </c>
      <c r="G14" s="19" t="n">
        <v>0.4041805004679766</v>
      </c>
      <c r="H14" s="20" t="n">
        <v>0.7567331283112821</v>
      </c>
      <c r="I14" s="19" t="n">
        <v>3.050280352714663</v>
      </c>
      <c r="J14" s="15" t="n">
        <v>-0.2298000000000116</v>
      </c>
      <c r="K14" s="15" t="n">
        <v>-8.006500000000017</v>
      </c>
      <c r="L14" s="15" t="n">
        <v>55.71939999999999</v>
      </c>
      <c r="M14" s="21" t="inlineStr">
        <is>
          <t>chain-linked across a basis break</t>
        </is>
      </c>
    </row>
    <row r="15">
      <c r="A15" s="10" t="inlineStr">
        <is>
          <t>Oman</t>
        </is>
      </c>
      <c r="B15" s="16" t="n">
        <v>2.880407</v>
      </c>
      <c r="C15" s="17" t="n">
        <v>96</v>
      </c>
      <c r="D15" s="16" t="n">
        <v>5.88296</v>
      </c>
      <c r="E15" s="14" t="n">
        <v>5.392383</v>
      </c>
      <c r="F15" s="18" t="n">
        <v>-0.3155520684460122</v>
      </c>
      <c r="G15" s="18" t="n">
        <v>-0.3302591980131608</v>
      </c>
      <c r="H15" s="20" t="n">
        <v>0.5426982016247583</v>
      </c>
      <c r="I15" s="19" t="n">
        <v>2.387687334624733</v>
      </c>
      <c r="J15" s="15" t="n">
        <v>1.807479999999998</v>
      </c>
      <c r="K15" s="15" t="n">
        <v>-6.716520000000003</v>
      </c>
      <c r="L15" s="15" t="n">
        <v>62.73751999999997</v>
      </c>
      <c r="M15" s="21" t="inlineStr">
        <is>
          <t>chain-linked across a basis break</t>
        </is>
      </c>
    </row>
    <row r="16">
      <c r="A16" s="10" t="inlineStr">
        <is>
          <t>Hungary</t>
        </is>
      </c>
      <c r="B16" s="16" t="n">
        <v>2.860849</v>
      </c>
      <c r="C16" s="17" t="n">
        <v>95</v>
      </c>
      <c r="D16" s="16" t="n">
        <v>5.849979</v>
      </c>
      <c r="E16" s="14" t="n">
        <v>5.90676</v>
      </c>
      <c r="F16" s="18" t="n">
        <v>-0.3121273903364363</v>
      </c>
      <c r="G16" s="18" t="n">
        <v>-0.03641240493130748</v>
      </c>
      <c r="H16" s="20" t="n">
        <v>2.190723465212274</v>
      </c>
      <c r="I16" s="19" t="n">
        <v>3.889668490991949</v>
      </c>
      <c r="J16" s="15" t="n">
        <v>1.393319999999989</v>
      </c>
      <c r="K16" s="15" t="n">
        <v>-33.94328</v>
      </c>
      <c r="L16" s="15" t="n">
        <v>60.98118000000004</v>
      </c>
      <c r="M16" s="21" t="inlineStr">
        <is>
          <t>chain-linked across a basis break</t>
        </is>
      </c>
    </row>
    <row r="17">
      <c r="A17" s="10" t="inlineStr">
        <is>
          <t>Egypt</t>
        </is>
      </c>
      <c r="B17" s="16" t="n">
        <v>2.847937</v>
      </c>
      <c r="C17" s="17" t="n">
        <v>329</v>
      </c>
      <c r="D17" s="16" t="n">
        <v>8.230349</v>
      </c>
      <c r="E17" s="14" t="n">
        <v>5.987502</v>
      </c>
      <c r="F17" s="18" t="n">
        <v>-0.01028444952460017</v>
      </c>
      <c r="G17" s="19" t="n">
        <v>2.94803978712872</v>
      </c>
      <c r="H17" s="20" t="n">
        <v>2.266733072432014</v>
      </c>
      <c r="I17" s="19" t="n">
        <v>14.20061213319253</v>
      </c>
      <c r="J17" s="15" t="n">
        <v>1.445749999999975</v>
      </c>
      <c r="K17" s="15" t="n">
        <v>-9.010850000000005</v>
      </c>
      <c r="L17" s="15" t="n">
        <v>59.0457500000001</v>
      </c>
      <c r="M17" s="21" t="inlineStr">
        <is>
          <t>chain-linked across a basis break</t>
        </is>
      </c>
    </row>
    <row r="18">
      <c r="A18" s="10" t="inlineStr">
        <is>
          <t>Colombia</t>
        </is>
      </c>
      <c r="B18" s="16" t="n">
        <v>2.844247</v>
      </c>
      <c r="C18" s="17" t="n">
        <v>202</v>
      </c>
      <c r="D18" s="16" t="n">
        <v>6.891822</v>
      </c>
      <c r="E18" s="14" t="n">
        <v>5.937888</v>
      </c>
      <c r="F18" s="18" t="n">
        <v>-1.006739569724735</v>
      </c>
      <c r="G18" s="19" t="n">
        <v>0.09504076913706694</v>
      </c>
      <c r="H18" s="20" t="n">
        <v>5.374636599402982</v>
      </c>
      <c r="I18" s="19" t="n">
        <v>5.827244961189249</v>
      </c>
      <c r="J18" s="15" t="n">
        <v>10.29928999999998</v>
      </c>
      <c r="K18" s="15" t="n">
        <v>-76.65331000000003</v>
      </c>
      <c r="L18" s="15" t="n">
        <v>50.47850999999993</v>
      </c>
      <c r="M18" s="21" t="inlineStr">
        <is>
          <t>chain-linked across a basis break</t>
        </is>
      </c>
    </row>
    <row r="19">
      <c r="A19" s="10" t="inlineStr">
        <is>
          <t>Bahrain</t>
        </is>
      </c>
      <c r="B19" s="16" t="n">
        <v>2.838575</v>
      </c>
      <c r="C19" s="17" t="n">
        <v>268</v>
      </c>
      <c r="D19" s="16" t="n">
        <v>7.430451</v>
      </c>
      <c r="E19" s="14" t="n">
        <v>4.963646</v>
      </c>
      <c r="F19" s="18" t="n">
        <v>-0.4300555014248642</v>
      </c>
      <c r="G19" s="18" t="n">
        <v>-0.9587556420637355</v>
      </c>
      <c r="H19" s="22" t="n">
        <v>-1.916179827608333</v>
      </c>
      <c r="I19" s="18" t="n">
        <v>-0.6311268255252633</v>
      </c>
      <c r="J19" s="15" t="n">
        <v>11.54442999999998</v>
      </c>
      <c r="K19" s="15" t="n">
        <v>65.27902999999998</v>
      </c>
      <c r="L19" s="15" t="n">
        <v>67.4320700000001</v>
      </c>
      <c r="M19" s="21" t="inlineStr">
        <is>
          <t>chain-linked across a basis break</t>
        </is>
      </c>
    </row>
    <row r="20">
      <c r="A20" s="10" t="inlineStr">
        <is>
          <t>South Africa</t>
        </is>
      </c>
      <c r="B20" s="16" t="n">
        <v>2.816591</v>
      </c>
      <c r="C20" s="17" t="n">
        <v>186</v>
      </c>
      <c r="D20" s="16" t="n">
        <v>6.893012</v>
      </c>
      <c r="E20" s="14" t="n">
        <v>6.908109</v>
      </c>
      <c r="F20" s="19" t="n">
        <v>0.4031548205369218</v>
      </c>
      <c r="G20" s="19" t="n">
        <v>0.6691135018011218</v>
      </c>
      <c r="H20" s="20" t="n">
        <v>2.470805435592505</v>
      </c>
      <c r="I20" s="19" t="n">
        <v>9.154121360872436</v>
      </c>
      <c r="J20" s="15" t="n">
        <v>-8.437829999999991</v>
      </c>
      <c r="K20" s="15" t="n">
        <v>-28.58162999999999</v>
      </c>
      <c r="L20" s="15" t="n">
        <v>57.0418299999999</v>
      </c>
      <c r="M20" s="21" t="inlineStr">
        <is>
          <t>chain-linked across a basis break</t>
        </is>
      </c>
    </row>
    <row r="21">
      <c r="A21" s="10" t="inlineStr">
        <is>
          <t>Romania</t>
        </is>
      </c>
      <c r="B21" s="16" t="n">
        <v>2.760468</v>
      </c>
      <c r="C21" s="17" t="n">
        <v>173</v>
      </c>
      <c r="D21" s="16" t="n">
        <v>6.594697</v>
      </c>
      <c r="E21" s="14" t="n">
        <v>5.990676</v>
      </c>
      <c r="F21" s="18" t="n">
        <v>-0.7291292845119646</v>
      </c>
      <c r="G21" s="18" t="n">
        <v>-0.06044649953124148</v>
      </c>
      <c r="H21" s="20" t="n">
        <v>0.304505381066944</v>
      </c>
      <c r="I21" s="19" t="n">
        <v>4.509378980138057</v>
      </c>
      <c r="J21" s="15" t="n">
        <v>9.292310000000015</v>
      </c>
      <c r="K21" s="15" t="n">
        <v>6.692209999999989</v>
      </c>
      <c r="L21" s="15" t="n">
        <v>61.54849000000002</v>
      </c>
      <c r="M21" s="21" t="inlineStr">
        <is>
          <t>chain-linked across a basis break</t>
        </is>
      </c>
    </row>
    <row r="22">
      <c r="A22" s="10" t="inlineStr">
        <is>
          <t>Panama</t>
        </is>
      </c>
      <c r="B22" s="16" t="n">
        <v>2.713131</v>
      </c>
      <c r="C22" s="17" t="n">
        <v>123</v>
      </c>
      <c r="D22" s="16" t="n">
        <v>6.252085</v>
      </c>
      <c r="E22" s="14" t="n">
        <v>8.204592</v>
      </c>
      <c r="F22" s="18" t="n">
        <v>-0.1006689100935376</v>
      </c>
      <c r="G22" s="18" t="n">
        <v>-1.27903296099956</v>
      </c>
      <c r="H22" s="20" t="n">
        <v>2.641895831914676</v>
      </c>
      <c r="I22" s="19" t="n">
        <v>8.323924432592712</v>
      </c>
      <c r="J22" s="15" t="n">
        <v>-0.3062200000000104</v>
      </c>
      <c r="K22" s="15" t="n">
        <v>-34.55012000000001</v>
      </c>
      <c r="L22" s="15" t="n">
        <v>53.06862000000004</v>
      </c>
      <c r="M22" s="21" t="inlineStr">
        <is>
          <t>chain-linked across a basis break</t>
        </is>
      </c>
    </row>
    <row r="23">
      <c r="A23" s="10" t="inlineStr">
        <is>
          <t>Argentina</t>
        </is>
      </c>
      <c r="B23" s="16" t="n">
        <v>2.698095</v>
      </c>
      <c r="C23" s="17" t="n">
        <v>497</v>
      </c>
      <c r="D23" s="16" t="n">
        <v>9.646461</v>
      </c>
      <c r="E23" s="14" t="n">
        <v>4.342971</v>
      </c>
      <c r="F23" s="18" t="n">
        <v>-1.945705584853619</v>
      </c>
      <c r="G23" s="19" t="n">
        <v>1.048018843095688</v>
      </c>
      <c r="H23" s="20" t="n">
        <v>6.319174442801057</v>
      </c>
      <c r="I23" s="19" t="n">
        <v>39.48294150088012</v>
      </c>
      <c r="J23" s="15" t="n">
        <v>45.68449999999996</v>
      </c>
      <c r="K23" s="15" t="n">
        <v>-63.00900000000001</v>
      </c>
      <c r="L23" s="15" t="n">
        <v>70.60510000000021</v>
      </c>
      <c r="M23" s="21" t="inlineStr">
        <is>
          <t>chain-linked across a basis break</t>
        </is>
      </c>
    </row>
    <row r="24">
      <c r="A24" s="10" t="inlineStr">
        <is>
          <t>Nigeria</t>
        </is>
      </c>
      <c r="B24" s="16" t="n">
        <v>2.639026</v>
      </c>
      <c r="C24" s="17" t="n">
        <v>251</v>
      </c>
      <c r="D24" s="16" t="n">
        <v>7.381058</v>
      </c>
      <c r="E24" s="14" t="n">
        <v>5.526497</v>
      </c>
      <c r="F24" s="19" t="n">
        <v>0.3852799042374677</v>
      </c>
      <c r="G24" s="19" t="n">
        <v>1.092966334864443</v>
      </c>
      <c r="H24" s="20" t="n">
        <v>6.079380556776615</v>
      </c>
      <c r="I24" s="19" t="n">
        <v>14.60070989456341</v>
      </c>
      <c r="J24" s="15" t="n">
        <v>-8.650200000000012</v>
      </c>
      <c r="K24" s="15" t="n">
        <v>-77.68690000000001</v>
      </c>
      <c r="L24" s="15" t="n">
        <v>64.96069999999995</v>
      </c>
      <c r="M24" s="21" t="inlineStr">
        <is>
          <t>chain-linked across a basis break</t>
        </is>
      </c>
    </row>
    <row r="25">
      <c r="A25" s="10" t="inlineStr">
        <is>
          <t>Malaysia</t>
        </is>
      </c>
      <c r="B25" s="16" t="n">
        <v>2.550414</v>
      </c>
      <c r="C25" s="17" t="n">
        <v>57</v>
      </c>
      <c r="D25" s="16" t="n">
        <v>5.619872</v>
      </c>
      <c r="E25" s="14" t="n">
        <v>8.139343999999999</v>
      </c>
      <c r="F25" s="18" t="n">
        <v>-0.3682804716032106</v>
      </c>
      <c r="G25" s="18" t="n">
        <v>-1.826512064593577</v>
      </c>
      <c r="H25" s="22" t="n">
        <v>-1.31911894105734</v>
      </c>
      <c r="I25" s="18" t="n">
        <v>-0.3965835411272045</v>
      </c>
      <c r="J25" s="15" t="n">
        <v>0.298569999999998</v>
      </c>
      <c r="K25" s="15" t="n">
        <v>0.2689699999999959</v>
      </c>
      <c r="L25" s="15" t="n">
        <v>52.13622999999996</v>
      </c>
      <c r="M25" s="21" t="inlineStr">
        <is>
          <t>chain-linked across a basis break</t>
        </is>
      </c>
    </row>
    <row r="26">
      <c r="A26" s="10" t="inlineStr">
        <is>
          <t>Peru</t>
        </is>
      </c>
      <c r="B26" s="16" t="n">
        <v>2.536391</v>
      </c>
      <c r="C26" s="17" t="n">
        <v>107</v>
      </c>
      <c r="D26" s="16" t="n">
        <v>6.115677</v>
      </c>
      <c r="E26" s="14" t="n">
        <v>9.049595</v>
      </c>
      <c r="F26" s="18" t="n">
        <v>-0.2932033146524571</v>
      </c>
      <c r="G26" s="18" t="n">
        <v>-0.7292432091636103</v>
      </c>
      <c r="H26" s="20" t="n">
        <v>1.654956661833751</v>
      </c>
      <c r="I26" s="19" t="n">
        <v>2.171610243613609</v>
      </c>
      <c r="J26" s="15" t="n">
        <v>-0.2810800000000029</v>
      </c>
      <c r="K26" s="15" t="n">
        <v>-27.40848</v>
      </c>
      <c r="L26" s="15" t="n">
        <v>54.54618000000004</v>
      </c>
      <c r="M26" s="21" t="inlineStr">
        <is>
          <t>chain-linked across a basis break</t>
        </is>
      </c>
    </row>
    <row r="27">
      <c r="A27" s="10" t="inlineStr">
        <is>
          <t>Uruguay</t>
        </is>
      </c>
      <c r="B27" s="16" t="n">
        <v>2.279098</v>
      </c>
      <c r="C27" s="17" t="n">
        <v>69</v>
      </c>
      <c r="D27" s="16" t="n">
        <v>5.754696</v>
      </c>
      <c r="E27" s="14" t="n">
        <v>8.625964</v>
      </c>
      <c r="F27" s="18" t="n">
        <v>-0.4094647834783527</v>
      </c>
      <c r="G27" s="18" t="n">
        <v>-1.278015826220413</v>
      </c>
      <c r="H27" s="22" t="n">
        <v>-1.05932076479428</v>
      </c>
      <c r="I27" s="18" t="n">
        <v>-0.1197357257758158</v>
      </c>
      <c r="J27" s="15" t="n">
        <v>0.64255</v>
      </c>
      <c r="K27" s="15" t="n">
        <v>-1.512950000000004</v>
      </c>
      <c r="L27" s="15" t="n">
        <v>53.20454999999991</v>
      </c>
      <c r="M27" s="21" t="inlineStr">
        <is>
          <t>chain-linked across a basis break</t>
        </is>
      </c>
    </row>
    <row r="28">
      <c r="A28" s="10" t="inlineStr">
        <is>
          <t>Ukraine</t>
        </is>
      </c>
      <c r="B28" s="16" t="n">
        <v>1.873797</v>
      </c>
      <c r="C28" s="17" t="n">
        <v>753</v>
      </c>
      <c r="D28" s="16" t="n">
        <v>12.191102</v>
      </c>
      <c r="E28" s="14" t="n">
        <v>5.07487</v>
      </c>
      <c r="F28" s="18" t="n">
        <v>-2.935742432492106</v>
      </c>
      <c r="G28" s="19" t="n">
        <v>2.267213855417882</v>
      </c>
      <c r="H28" s="20" t="n">
        <v>13.11537278035448</v>
      </c>
      <c r="I28" s="19" t="n">
        <v>30.59646712453699</v>
      </c>
      <c r="J28" s="15" t="n">
        <v>100.43285</v>
      </c>
      <c r="K28" s="15" t="n">
        <v>-134.18855</v>
      </c>
      <c r="L28" s="15" t="n">
        <v>65.67175000000009</v>
      </c>
      <c r="M28" s="21" t="inlineStr">
        <is>
          <t>chain-linked across a basis break</t>
        </is>
      </c>
    </row>
    <row r="29">
      <c r="A29" s="10" t="inlineStr">
        <is>
          <t>Kazakhstan</t>
        </is>
      </c>
      <c r="B29" s="16" t="n">
        <v>1.821772</v>
      </c>
      <c r="C29" s="17" t="n">
        <v>74</v>
      </c>
      <c r="D29" s="16" t="n">
        <v>5.592524</v>
      </c>
      <c r="E29" s="14" t="n">
        <v>5.956082</v>
      </c>
      <c r="F29" s="19" t="n">
        <v>0.1372259866698533</v>
      </c>
      <c r="G29" s="18" t="n">
        <v>-0.5350269293210363</v>
      </c>
      <c r="H29" s="20" t="n">
        <v>0.8661749077594427</v>
      </c>
      <c r="I29" s="19" t="n">
        <v>2.584243277254639</v>
      </c>
      <c r="J29" s="15" t="n">
        <v>-8.800880000000006</v>
      </c>
      <c r="K29" s="15" t="n">
        <v>-10.65988</v>
      </c>
      <c r="L29" s="15" t="n">
        <v>60.57627999999991</v>
      </c>
      <c r="M29" s="21" t="inlineStr">
        <is>
          <t>chain-linked across a basis break</t>
        </is>
      </c>
    </row>
    <row r="30">
      <c r="A30" s="10" t="inlineStr">
        <is>
          <t>Ecuador</t>
        </is>
      </c>
      <c r="B30" s="16" t="n">
        <v>1.798609</v>
      </c>
      <c r="C30" s="17" t="n">
        <v>424</v>
      </c>
      <c r="D30" s="16" t="n">
        <v>8.990176</v>
      </c>
      <c r="E30" s="14" t="n">
        <v>5.584254</v>
      </c>
      <c r="F30" s="18" t="n">
        <v>-0.07002510478008039</v>
      </c>
      <c r="G30" s="18" t="n">
        <v>-0.6396164088042777</v>
      </c>
      <c r="H30" s="20" t="n">
        <v>6.830408299963753</v>
      </c>
      <c r="I30" s="19" t="n">
        <v>22.60608792060808</v>
      </c>
      <c r="J30" s="15" t="n">
        <v>-3.872340000000008</v>
      </c>
      <c r="K30" s="15" t="n">
        <v>-70.63673999999997</v>
      </c>
      <c r="L30" s="15" t="n">
        <v>72.64634000000001</v>
      </c>
      <c r="M30" s="21" t="inlineStr">
        <is>
          <t>chain-linked across a basis break</t>
        </is>
      </c>
    </row>
    <row r="31">
      <c r="A31" s="10" t="inlineStr">
        <is>
          <t>Angola</t>
        </is>
      </c>
      <c r="B31" s="16" t="n">
        <v>1.788995</v>
      </c>
      <c r="C31" s="17" t="n">
        <v>392</v>
      </c>
      <c r="D31" s="16" t="n">
        <v>8.748721</v>
      </c>
      <c r="E31" s="14" t="n">
        <v>5.297822</v>
      </c>
      <c r="F31" s="19" t="n">
        <v>1.221003659065878</v>
      </c>
      <c r="G31" s="19" t="n">
        <v>2.689351983343702</v>
      </c>
      <c r="H31" s="20" t="n">
        <v>13.36519219007906</v>
      </c>
      <c r="I31" s="19" t="n">
        <v>20.23080079793078</v>
      </c>
      <c r="J31" s="15" t="n">
        <v>-22.89968000000005</v>
      </c>
      <c r="K31" s="15" t="n">
        <v>-170.03408</v>
      </c>
      <c r="L31" s="15" t="n">
        <v>67.74017999999992</v>
      </c>
      <c r="M31" s="21" t="inlineStr">
        <is>
          <t>chain-linked across a basis break</t>
        </is>
      </c>
    </row>
    <row r="32">
      <c r="A32" s="10" t="inlineStr">
        <is>
          <t>Venezuela</t>
        </is>
      </c>
      <c r="B32" s="16" t="n">
        <v>1.764866</v>
      </c>
      <c r="C32" s="17" t="n">
        <v>4023</v>
      </c>
      <c r="D32" s="16" t="n">
        <v>43.236069</v>
      </c>
      <c r="E32" s="14" t="n">
        <v>1.387009</v>
      </c>
      <c r="F32" s="19" t="n">
        <v>7.300445745536055</v>
      </c>
      <c r="G32" s="19" t="n">
        <v>5.881100436947606</v>
      </c>
      <c r="H32" s="20" t="n">
        <v>74.67798462944535</v>
      </c>
      <c r="I32" s="19" t="n">
        <v>137.0828231047821</v>
      </c>
      <c r="J32" s="15" t="n">
        <v>-341.6613400000001</v>
      </c>
      <c r="K32" s="15" t="n">
        <v>-6624.52274</v>
      </c>
      <c r="L32" s="15" t="n">
        <v>112.5246400000009</v>
      </c>
      <c r="M32" s="21" t="inlineStr">
        <is>
          <t>chain-linked across a basis break; spread moved 6625bp — too large for a duration split; negative carry — defaults or composition, not coupon</t>
        </is>
      </c>
    </row>
    <row r="33">
      <c r="A33" s="10" t="inlineStr">
        <is>
          <t>Kenya</t>
        </is>
      </c>
      <c r="B33" s="16" t="n">
        <v>1.290015</v>
      </c>
      <c r="C33" s="17" t="n">
        <v>363</v>
      </c>
      <c r="D33" s="16" t="n">
        <v>8.408358</v>
      </c>
      <c r="E33" s="14" t="n">
        <v>5.507169</v>
      </c>
      <c r="F33" s="18" t="n">
        <v>-0.002380838813875741</v>
      </c>
      <c r="G33" s="19" t="n">
        <v>3.430023010420347</v>
      </c>
      <c r="H33" s="20" t="n">
        <v>4.757742529271569</v>
      </c>
      <c r="I33" s="19" t="n">
        <v>12.52315210440287</v>
      </c>
      <c r="J33" s="15" t="n">
        <v>0.09494999999998299</v>
      </c>
      <c r="K33" s="15" t="n">
        <v>-30.05604999999997</v>
      </c>
      <c r="L33" s="15" t="n">
        <v>67.50985000000014</v>
      </c>
      <c r="M33" s="21" t="inlineStr">
        <is>
          <t>chain-linked across a basis break</t>
        </is>
      </c>
    </row>
    <row r="34">
      <c r="A34" s="10" t="inlineStr">
        <is>
          <t>Guatemala</t>
        </is>
      </c>
      <c r="B34" s="16" t="n">
        <v>1.27779</v>
      </c>
      <c r="C34" s="17" t="n">
        <v>116</v>
      </c>
      <c r="D34" s="16" t="n">
        <v>6.084055</v>
      </c>
      <c r="E34" s="14" t="n">
        <v>6.496506</v>
      </c>
      <c r="F34" s="18" t="n">
        <v>-0.1719913725006572</v>
      </c>
      <c r="G34" s="18" t="n">
        <v>-0.316914218069253</v>
      </c>
      <c r="H34" s="20" t="n">
        <v>1.887715988248173</v>
      </c>
      <c r="I34" s="19" t="n">
        <v>4.673611052454407</v>
      </c>
      <c r="J34" s="15" t="n">
        <v>-1.285470000000004</v>
      </c>
      <c r="K34" s="15" t="n">
        <v>-28.42416999999999</v>
      </c>
      <c r="L34" s="15" t="n">
        <v>59.72166999999998</v>
      </c>
      <c r="M34" s="21" t="inlineStr">
        <is>
          <t>chain-linked across a basis break</t>
        </is>
      </c>
    </row>
    <row r="35">
      <c r="A35" s="10" t="inlineStr">
        <is>
          <t>Sri Lanka</t>
        </is>
      </c>
      <c r="B35" s="16" t="n">
        <v>1.117507</v>
      </c>
      <c r="C35" s="17" t="n">
        <v>91</v>
      </c>
      <c r="D35" s="16" t="n">
        <v>5.654112</v>
      </c>
      <c r="E35" s="14" t="n">
        <v>5.635882</v>
      </c>
      <c r="F35" s="18" t="n">
        <v>-0.2405020232607913</v>
      </c>
      <c r="G35" s="19" t="n">
        <v>5.413232736642115</v>
      </c>
      <c r="H35" s="20" t="n">
        <v>12.54488897254977</v>
      </c>
      <c r="I35" s="19" t="n">
        <v>17.82728650808469</v>
      </c>
      <c r="J35" s="15" t="n">
        <v>-0.4440599999999932</v>
      </c>
      <c r="K35" s="15" t="n">
        <v>-192.9861600000001</v>
      </c>
      <c r="L35" s="15" t="n">
        <v>66.43935999999985</v>
      </c>
      <c r="M35" s="21" t="inlineStr">
        <is>
          <t>chain-linked across a basis break; carry plug exceeds the yield — legs are indicative only</t>
        </is>
      </c>
    </row>
    <row r="36">
      <c r="A36" s="10" t="inlineStr">
        <is>
          <t>Costa Rica</t>
        </is>
      </c>
      <c r="B36" s="16" t="n">
        <v>1.05795</v>
      </c>
      <c r="C36" s="17" t="n">
        <v>130</v>
      </c>
      <c r="D36" s="16" t="n">
        <v>6.372856</v>
      </c>
      <c r="E36" s="14" t="n">
        <v>8.358677</v>
      </c>
      <c r="F36" s="18" t="n">
        <v>-0.6010333088019681</v>
      </c>
      <c r="G36" s="18" t="n">
        <v>-0.663811963294958</v>
      </c>
      <c r="H36" s="20" t="n">
        <v>0.6284181205630013</v>
      </c>
      <c r="I36" s="19" t="n">
        <v>6.148257062824714</v>
      </c>
      <c r="J36" s="15" t="n">
        <v>5.213440000000006</v>
      </c>
      <c r="K36" s="15" t="n">
        <v>-11.86345999999999</v>
      </c>
      <c r="L36" s="15" t="n">
        <v>54.16805999999993</v>
      </c>
      <c r="M36" s="21" t="inlineStr">
        <is>
          <t>chain-linked across a basis break</t>
        </is>
      </c>
    </row>
    <row r="37">
      <c r="A37" s="10" t="inlineStr">
        <is>
          <t>Cote d Ivoire</t>
        </is>
      </c>
      <c r="B37" s="16" t="n">
        <v>0.958341</v>
      </c>
      <c r="C37" s="17" t="n">
        <v>215</v>
      </c>
      <c r="D37" s="16" t="n">
        <v>6.92774</v>
      </c>
      <c r="E37" s="14" t="n">
        <v>6.172773</v>
      </c>
      <c r="F37" s="18" t="n">
        <v>-0.3098703177034312</v>
      </c>
      <c r="G37" s="19" t="n">
        <v>0.6061374309160428</v>
      </c>
      <c r="H37" s="20" t="n">
        <v>3.667460343168272</v>
      </c>
      <c r="I37" s="19" t="n">
        <v>12.48115803643348</v>
      </c>
      <c r="J37" s="15" t="n">
        <v>-3.351609999999965</v>
      </c>
      <c r="K37" s="15" t="n">
        <v>-42.17260999999996</v>
      </c>
      <c r="L37" s="15" t="n">
        <v>73.75960999999978</v>
      </c>
      <c r="M37" s="21" t="inlineStr">
        <is>
          <t>chain-linked across a basis break</t>
        </is>
      </c>
    </row>
    <row r="38">
      <c r="A38" s="10" t="inlineStr">
        <is>
          <t>El Salvador</t>
        </is>
      </c>
      <c r="B38" s="16" t="n">
        <v>0.951193</v>
      </c>
      <c r="C38" s="17" t="n">
        <v>265</v>
      </c>
      <c r="D38" s="16" t="n">
        <v>7.635662</v>
      </c>
      <c r="E38" s="14" t="n">
        <v>6.887151</v>
      </c>
      <c r="F38" s="19" t="n">
        <v>0.2362103061508414</v>
      </c>
      <c r="G38" s="19" t="n">
        <v>3.41999432715705</v>
      </c>
      <c r="H38" s="20" t="n">
        <v>5.666238946197688</v>
      </c>
      <c r="I38" s="19" t="n">
        <v>14.08340978552283</v>
      </c>
      <c r="J38" s="15" t="n">
        <v>3.154860000000042</v>
      </c>
      <c r="K38" s="15" t="n">
        <v>-55.03813999999994</v>
      </c>
      <c r="L38" s="15" t="n">
        <v>59.19433999999988</v>
      </c>
      <c r="M38" s="21" t="inlineStr">
        <is>
          <t>chain-linked across a basis break</t>
        </is>
      </c>
    </row>
    <row r="39">
      <c r="A39" s="10" t="inlineStr">
        <is>
          <t>Uzbekistan</t>
        </is>
      </c>
      <c r="B39" s="16" t="n">
        <v>0.887701</v>
      </c>
      <c r="C39" s="17" t="n">
        <v>135</v>
      </c>
      <c r="D39" s="16" t="n">
        <v>5.879314</v>
      </c>
      <c r="E39" s="14" t="n">
        <v>3.209025</v>
      </c>
      <c r="F39" s="19" t="n">
        <v>0.09819177364105425</v>
      </c>
      <c r="G39" s="19" t="n">
        <v>0.6303191590578017</v>
      </c>
      <c r="H39" s="20" t="n">
        <v>2.991758239034437</v>
      </c>
      <c r="I39" s="19" t="n">
        <v>5.490979539230834</v>
      </c>
      <c r="J39" s="15" t="n">
        <v>-5.461920000000021</v>
      </c>
      <c r="K39" s="15" t="n">
        <v>-53.28092000000001</v>
      </c>
      <c r="L39" s="15" t="n">
        <v>79.83631999999983</v>
      </c>
      <c r="M39" s="21" t="inlineStr">
        <is>
          <t>chain-linked across a basis break</t>
        </is>
      </c>
    </row>
    <row r="40">
      <c r="A40" s="10" t="inlineStr">
        <is>
          <t>Paraguay</t>
        </is>
      </c>
      <c r="B40" s="16" t="n">
        <v>0.826901</v>
      </c>
      <c r="C40" s="17" t="n">
        <v>115</v>
      </c>
      <c r="D40" s="16" t="n">
        <v>6.21658</v>
      </c>
      <c r="E40" s="14" t="n">
        <v>8.617865</v>
      </c>
      <c r="F40" s="18" t="n">
        <v>-0.4853912104434865</v>
      </c>
      <c r="G40" s="18" t="n">
        <v>-1.561641334481056</v>
      </c>
      <c r="H40" s="22" t="n">
        <v>-1.612828321114113</v>
      </c>
      <c r="I40" s="19" t="n">
        <v>2.305011771770227</v>
      </c>
      <c r="J40" s="15" t="n">
        <v>7.719430000000003</v>
      </c>
      <c r="K40" s="15" t="n">
        <v>10.78513</v>
      </c>
      <c r="L40" s="15" t="n">
        <v>56.44886999999991</v>
      </c>
      <c r="M40" s="21" t="inlineStr">
        <is>
          <t>chain-linked across a basis break</t>
        </is>
      </c>
    </row>
    <row r="41">
      <c r="A41" s="10" t="inlineStr">
        <is>
          <t>Ghana</t>
        </is>
      </c>
      <c r="B41" s="16" t="n">
        <v>0.801104</v>
      </c>
      <c r="C41" s="17" t="n">
        <v>224</v>
      </c>
      <c r="D41" s="16" t="n">
        <v>6.854642</v>
      </c>
      <c r="E41" s="14" t="n">
        <v>3.743506</v>
      </c>
      <c r="F41" s="19" t="n">
        <v>0.8568041708116869</v>
      </c>
      <c r="G41" s="19" t="n">
        <v>1.119612206769816</v>
      </c>
      <c r="H41" s="20" t="n">
        <v>5.037924554027695</v>
      </c>
      <c r="I41" s="19" t="n">
        <v>13.1461508795284</v>
      </c>
      <c r="J41" s="15" t="n">
        <v>-23.43952999999999</v>
      </c>
      <c r="K41" s="15" t="n">
        <v>-73.02103000000002</v>
      </c>
      <c r="L41" s="15" t="n">
        <v>75.26923000000008</v>
      </c>
      <c r="M41" s="21" t="inlineStr">
        <is>
          <t>chain-linked across a basis break</t>
        </is>
      </c>
    </row>
    <row r="42">
      <c r="A42" s="10" t="inlineStr">
        <is>
          <t>India</t>
        </is>
      </c>
      <c r="B42" s="16" t="n">
        <v>0.76786</v>
      </c>
      <c r="C42" s="17" t="n">
        <v>82</v>
      </c>
      <c r="D42" s="16" t="n">
        <v>5.592623</v>
      </c>
      <c r="E42" s="14" t="n">
        <v>5.12192</v>
      </c>
      <c r="F42" s="18" t="n">
        <v>-0.3199665181509825</v>
      </c>
      <c r="G42" s="18" t="n">
        <v>-0.4169977127286839</v>
      </c>
      <c r="H42" s="22" t="n">
        <v>-0.3471137878000685</v>
      </c>
      <c r="I42" s="19" t="n">
        <v>0.6747292751776213</v>
      </c>
      <c r="J42" s="15" t="n">
        <v>1.229619999999997</v>
      </c>
      <c r="K42" s="15" t="n">
        <v>10.28241999999999</v>
      </c>
      <c r="L42" s="15" t="n">
        <v>91.53288000000002</v>
      </c>
      <c r="M42" s="21" t="inlineStr">
        <is>
          <t>chain-linked across a basis break</t>
        </is>
      </c>
    </row>
    <row r="43">
      <c r="A43" s="10" t="inlineStr">
        <is>
          <t>Morocco</t>
        </is>
      </c>
      <c r="B43" s="16" t="n">
        <v>0.7613490000000001</v>
      </c>
      <c r="C43" s="17" t="n">
        <v>111</v>
      </c>
      <c r="D43" s="16" t="n">
        <v>6.049719</v>
      </c>
      <c r="E43" s="14" t="n">
        <v>5.811128</v>
      </c>
      <c r="F43" s="18" t="n">
        <v>-0.4157808897299664</v>
      </c>
      <c r="G43" s="19" t="n">
        <v>0.1346048467170791</v>
      </c>
      <c r="H43" s="20" t="n">
        <v>0.5622843653002585</v>
      </c>
      <c r="I43" s="19" t="n">
        <v>2.838117394346207</v>
      </c>
      <c r="J43" s="15" t="n">
        <v>3.522189999999995</v>
      </c>
      <c r="K43" s="15" t="n">
        <v>-6.951510000000013</v>
      </c>
      <c r="L43" s="15" t="n">
        <v>60.19641000000001</v>
      </c>
      <c r="M43" s="21" t="inlineStr">
        <is>
          <t>chain-linked across a basis break</t>
        </is>
      </c>
    </row>
    <row r="44">
      <c r="A44" s="10" t="inlineStr">
        <is>
          <t>Serbia</t>
        </is>
      </c>
      <c r="B44" s="16" t="n">
        <v>0.744476</v>
      </c>
      <c r="C44" s="17" t="n">
        <v>128</v>
      </c>
      <c r="D44" s="16" t="n">
        <v>5.968939</v>
      </c>
      <c r="E44" s="14" t="n">
        <v>5.166878</v>
      </c>
      <c r="F44" s="18" t="n">
        <v>-0.6068649094823408</v>
      </c>
      <c r="G44" s="18" t="n">
        <v>-0.4297464616298763</v>
      </c>
      <c r="H44" s="20" t="n">
        <v>0.6836953017524516</v>
      </c>
      <c r="I44" s="19" t="n">
        <v>2.357403067471031</v>
      </c>
      <c r="J44" s="15" t="n">
        <v>3.347040000000007</v>
      </c>
      <c r="K44" s="15" t="n">
        <v>-4.127559999999988</v>
      </c>
      <c r="L44" s="15" t="n">
        <v>76.3244599999999</v>
      </c>
      <c r="M44" s="21" t="inlineStr">
        <is>
          <t>chain-linked across a basis break</t>
        </is>
      </c>
    </row>
    <row r="45">
      <c r="A45" s="10" t="inlineStr">
        <is>
          <t>Pakistan</t>
        </is>
      </c>
      <c r="B45" s="16" t="n">
        <v>0.706639</v>
      </c>
      <c r="C45" s="17" t="n">
        <v>316</v>
      </c>
      <c r="D45" s="16" t="n">
        <v>7.909398</v>
      </c>
      <c r="E45" s="14" t="n">
        <v>3.575225</v>
      </c>
      <c r="F45" s="19" t="n">
        <v>0.8886092489885256</v>
      </c>
      <c r="G45" s="19" t="n">
        <v>3.480873296457299</v>
      </c>
      <c r="H45" s="20" t="n">
        <v>5.611903727791212</v>
      </c>
      <c r="I45" s="19" t="n">
        <v>11.62424123584826</v>
      </c>
      <c r="J45" s="15" t="n">
        <v>-22.32529</v>
      </c>
      <c r="K45" s="15" t="n">
        <v>-77.31918999999999</v>
      </c>
      <c r="L45" s="15" t="n">
        <v>72.57598999999996</v>
      </c>
      <c r="M45" s="21" t="inlineStr">
        <is>
          <t>chain-linked across a basis break</t>
        </is>
      </c>
    </row>
    <row r="46">
      <c r="A46" s="10" t="inlineStr">
        <is>
          <t>Jordan</t>
        </is>
      </c>
      <c r="B46" s="16" t="n">
        <v>0.655478</v>
      </c>
      <c r="C46" s="17" t="n">
        <v>191</v>
      </c>
      <c r="D46" s="16" t="n">
        <v>6.735942</v>
      </c>
      <c r="E46" s="14" t="n">
        <v>4.335664</v>
      </c>
      <c r="F46" s="19" t="n">
        <v>0.04386904691933147</v>
      </c>
      <c r="G46" s="19" t="n">
        <v>0.971222838418373</v>
      </c>
      <c r="H46" s="20" t="n">
        <v>2.874302046814003</v>
      </c>
      <c r="I46" s="19" t="n">
        <v>6.609395076286217</v>
      </c>
      <c r="J46" s="15" t="n">
        <v>-5.901209999999992</v>
      </c>
      <c r="K46" s="15" t="n">
        <v>-31.52870999999999</v>
      </c>
      <c r="L46" s="15" t="n">
        <v>70.67690999999994</v>
      </c>
      <c r="M46" s="21" t="inlineStr">
        <is>
          <t>chain-linked across a basis break</t>
        </is>
      </c>
    </row>
    <row r="47">
      <c r="A47" s="10" t="inlineStr">
        <is>
          <t>Trinidad &amp; Tobago</t>
        </is>
      </c>
      <c r="B47" s="16" t="n">
        <v>0.623089</v>
      </c>
      <c r="C47" s="17" t="n">
        <v>153</v>
      </c>
      <c r="D47" s="16" t="n">
        <v>6.262891</v>
      </c>
      <c r="E47" s="14" t="n">
        <v>5.461004</v>
      </c>
      <c r="F47" s="19" t="n">
        <v>0.05160414358609255</v>
      </c>
      <c r="G47" s="19" t="n">
        <v>0.6225750612786074</v>
      </c>
      <c r="H47" s="20" t="n">
        <v>4.652851624388732</v>
      </c>
      <c r="I47" s="19" t="n">
        <v>6.077956224016945</v>
      </c>
      <c r="J47" s="15" t="n">
        <v>-6.656499999999994</v>
      </c>
      <c r="K47" s="15" t="n">
        <v>-61.32079999999999</v>
      </c>
      <c r="L47" s="15" t="n">
        <v>63.53789999999983</v>
      </c>
      <c r="M47" s="21" t="inlineStr">
        <is>
          <t>chain-linked across a basis break</t>
        </is>
      </c>
    </row>
    <row r="48">
      <c r="A48" s="10" t="inlineStr">
        <is>
          <t>Jamaica</t>
        </is>
      </c>
      <c r="B48" s="16" t="n">
        <v>0.5995200000000001</v>
      </c>
      <c r="C48" s="17" t="n">
        <v>106</v>
      </c>
      <c r="D48" s="16" t="n">
        <v>6.117339</v>
      </c>
      <c r="E48" s="14" t="n">
        <v>7.602573</v>
      </c>
      <c r="F48" s="18" t="n">
        <v>-0.0860047821703791</v>
      </c>
      <c r="G48" s="19" t="n">
        <v>0.02588223097674813</v>
      </c>
      <c r="H48" s="20" t="n">
        <v>1.75388857488934</v>
      </c>
      <c r="I48" s="19" t="n">
        <v>4.076041595147961</v>
      </c>
      <c r="J48" s="15" t="n">
        <v>-0.9759099999999989</v>
      </c>
      <c r="K48" s="15" t="n">
        <v>-22.20010999999998</v>
      </c>
      <c r="L48" s="15" t="n">
        <v>55.49301</v>
      </c>
      <c r="M48" s="21" t="inlineStr">
        <is>
          <t>chain-linked across a basis break</t>
        </is>
      </c>
    </row>
    <row r="49">
      <c r="A49" s="10" t="inlineStr">
        <is>
          <t>Lebanon</t>
        </is>
      </c>
      <c r="B49" s="16" t="n">
        <v>0.5675559999999999</v>
      </c>
      <c r="C49" s="17" t="n">
        <v>7781</v>
      </c>
      <c r="D49" s="16" t="n">
        <v>80.311485</v>
      </c>
      <c r="E49" s="14" t="n">
        <v>1.171955</v>
      </c>
      <c r="F49" s="19" t="n">
        <v>1.679509856989014</v>
      </c>
      <c r="G49" s="19" t="n">
        <v>8.286501072107445</v>
      </c>
      <c r="H49" s="20" t="n">
        <v>21.67861521465342</v>
      </c>
      <c r="I49" s="19" t="n">
        <v>25.12260359141061</v>
      </c>
      <c r="J49" s="15" t="n">
        <v>-664.6145500000011</v>
      </c>
      <c r="K49" s="15" t="n">
        <v>-1473.087850000001</v>
      </c>
      <c r="L49" s="15" t="n">
        <v>71.74935000000318</v>
      </c>
      <c r="M49" s="21" t="inlineStr">
        <is>
          <t>chain-linked across a basis break; spread moved 1473bp — too large for a duration split</t>
        </is>
      </c>
    </row>
    <row r="50">
      <c r="A50" s="10" t="inlineStr">
        <is>
          <t>Bolivia</t>
        </is>
      </c>
      <c r="B50" s="16" t="n">
        <v>0.332753</v>
      </c>
      <c r="C50" s="17" t="n">
        <v>460</v>
      </c>
      <c r="D50" s="16" t="n">
        <v>9.084052</v>
      </c>
      <c r="E50" s="14" t="n">
        <v>2.444905</v>
      </c>
      <c r="F50" s="18" t="n">
        <v>-0.8442358323758059</v>
      </c>
      <c r="G50" s="19" t="n">
        <v>4.892109356371743</v>
      </c>
      <c r="H50" s="20" t="n">
        <v>10.51331327223497</v>
      </c>
      <c r="I50" s="19" t="n">
        <v>31.30839349528836</v>
      </c>
      <c r="J50" s="15" t="n">
        <v>51.21741000000003</v>
      </c>
      <c r="K50" s="15" t="n">
        <v>-216.59129</v>
      </c>
      <c r="L50" s="15" t="n">
        <v>91.78149000000002</v>
      </c>
      <c r="M50" s="21" t="inlineStr">
        <is>
          <t>chain-linked across a basis break; spread moved 217bp — too large for a duration split</t>
        </is>
      </c>
    </row>
    <row r="51">
      <c r="A51" s="10" t="inlineStr">
        <is>
          <t>Honduras</t>
        </is>
      </c>
      <c r="B51" s="16" t="n">
        <v>0.328913</v>
      </c>
      <c r="C51" s="17" t="n">
        <v>149</v>
      </c>
      <c r="D51" s="16" t="n">
        <v>6.200628</v>
      </c>
      <c r="E51" s="14" t="n">
        <v>5.70934</v>
      </c>
      <c r="F51" s="19" t="n">
        <v>0.3050643292534794</v>
      </c>
      <c r="G51" s="19" t="n">
        <v>1.945212385841311</v>
      </c>
      <c r="H51" s="20" t="n">
        <v>5.054830472708893</v>
      </c>
      <c r="I51" s="19" t="n">
        <v>9.827790446933005</v>
      </c>
      <c r="J51" s="15" t="n">
        <v>-13.38619999999997</v>
      </c>
      <c r="K51" s="15" t="n">
        <v>-83.97909999999999</v>
      </c>
      <c r="L51" s="15" t="n">
        <v>77.14189999999996</v>
      </c>
      <c r="M51" s="21" t="inlineStr">
        <is>
          <t>chain-linked across a basis break</t>
        </is>
      </c>
    </row>
    <row r="52">
      <c r="A52" s="10" t="inlineStr">
        <is>
          <t>Mongolia</t>
        </is>
      </c>
      <c r="B52" s="16" t="n">
        <v>0.296363</v>
      </c>
      <c r="C52" s="17" t="n">
        <v>178</v>
      </c>
      <c r="D52" s="16" t="n">
        <v>6.340952</v>
      </c>
      <c r="E52" s="14" t="n">
        <v>3.965246</v>
      </c>
      <c r="F52" s="19" t="n">
        <v>0.4404570044549194</v>
      </c>
      <c r="G52" s="19" t="n">
        <v>1.302954458965688</v>
      </c>
      <c r="H52" s="20" t="n">
        <v>4.974527149843766</v>
      </c>
      <c r="I52" s="19" t="n">
        <v>8.862176639104579</v>
      </c>
      <c r="J52" s="15" t="n">
        <v>-13.91640000000001</v>
      </c>
      <c r="K52" s="15" t="n">
        <v>-53.26419999999999</v>
      </c>
      <c r="L52" s="15" t="n">
        <v>90.37339999999996</v>
      </c>
      <c r="M52" s="21" t="inlineStr">
        <is>
          <t>chain-linked across a basis break; carry plug exceeds the yield — legs are indicative only</t>
        </is>
      </c>
    </row>
    <row r="53">
      <c r="A53" s="10" t="inlineStr">
        <is>
          <t>Benin</t>
        </is>
      </c>
      <c r="B53" s="16" t="n">
        <v>0.291473</v>
      </c>
      <c r="C53" s="17" t="n">
        <v>235</v>
      </c>
      <c r="D53" s="16" t="n">
        <v>7.183376</v>
      </c>
      <c r="E53" s="14" t="n">
        <v>6.881355</v>
      </c>
      <c r="F53" s="19" t="n">
        <v>0.3966966827069651</v>
      </c>
      <c r="G53" s="19" t="n">
        <v>2.354612821478286</v>
      </c>
      <c r="H53" s="20" t="n">
        <v>5.858390785123646</v>
      </c>
      <c r="I53" s="19" t="n">
        <v>13.07494818709674</v>
      </c>
      <c r="J53" s="15" t="n">
        <v>-11.19539</v>
      </c>
      <c r="K53" s="15" t="n">
        <v>-87.39149</v>
      </c>
      <c r="L53" s="15" t="n">
        <v>54.04808999999995</v>
      </c>
      <c r="M53" s="21" t="inlineStr">
        <is>
          <t>chain-linked across a basis break</t>
        </is>
      </c>
    </row>
    <row r="54">
      <c r="A54" s="10" t="inlineStr">
        <is>
          <t>Suriname</t>
        </is>
      </c>
      <c r="B54" s="16" t="n">
        <v>0.266633</v>
      </c>
      <c r="C54" s="17" t="n">
        <v>247</v>
      </c>
      <c r="D54" s="16" t="n">
        <v>7.184658</v>
      </c>
      <c r="E54" s="14" t="n">
        <v>5.48458</v>
      </c>
      <c r="F54" s="19" t="n">
        <v>0.367463068412599</v>
      </c>
      <c r="G54" s="19" t="n">
        <v>1.806790808011027</v>
      </c>
      <c r="H54" s="20" t="n">
        <v>5.071499221044795</v>
      </c>
      <c r="I54" s="19" t="n">
        <v>8.852675086092265</v>
      </c>
      <c r="J54" s="15" t="n">
        <v>-14.51176000000004</v>
      </c>
      <c r="K54" s="15" t="n">
        <v>-70.97275999999999</v>
      </c>
      <c r="L54" s="15" t="n">
        <v>69.08556</v>
      </c>
      <c r="M54" s="21" t="inlineStr">
        <is>
          <t>chain-linked across a basis break</t>
        </is>
      </c>
    </row>
    <row r="55">
      <c r="A55" s="10" t="inlineStr">
        <is>
          <t>Azerbaijan</t>
        </is>
      </c>
      <c r="B55" s="16" t="n">
        <v>0.241624</v>
      </c>
      <c r="C55" s="17" t="n">
        <v>50</v>
      </c>
      <c r="D55" s="16" t="n">
        <v>5.054487</v>
      </c>
      <c r="E55" s="14" t="n">
        <v>3.815823</v>
      </c>
      <c r="F55" s="19" t="n">
        <v>0.4763187494906118</v>
      </c>
      <c r="G55" s="19" t="n">
        <v>0.5011125104109393</v>
      </c>
      <c r="H55" s="20" t="n">
        <v>1.837632562719316</v>
      </c>
      <c r="I55" s="19" t="n">
        <v>4.814221639498606</v>
      </c>
      <c r="J55" s="15" t="n">
        <v>-20.59361</v>
      </c>
      <c r="K55" s="15" t="n">
        <v>-39.72901</v>
      </c>
      <c r="L55" s="15" t="n">
        <v>78.39771000000002</v>
      </c>
      <c r="M55" s="21" t="inlineStr">
        <is>
          <t>chain-linked across a basis break</t>
        </is>
      </c>
    </row>
    <row r="56">
      <c r="A56" s="10" t="inlineStr">
        <is>
          <t>Senegal</t>
        </is>
      </c>
      <c r="B56" s="16" t="n">
        <v>0.227754</v>
      </c>
      <c r="C56" s="17" t="n">
        <v>1405</v>
      </c>
      <c r="D56" s="16" t="n">
        <v>18.868924</v>
      </c>
      <c r="E56" s="14" t="n">
        <v>4.504388</v>
      </c>
      <c r="F56" s="18" t="n">
        <v>-1.198822390460141</v>
      </c>
      <c r="G56" s="19" t="n">
        <v>3.171331132465882</v>
      </c>
      <c r="H56" s="22" t="n">
        <v>-0.1098505155676555</v>
      </c>
      <c r="I56" s="18" t="n">
        <v>-19.51424528687746</v>
      </c>
      <c r="J56" s="15" t="n">
        <v>80.99651999999992</v>
      </c>
      <c r="K56" s="15" t="n">
        <v>272.5893199999998</v>
      </c>
      <c r="L56" s="15" t="n">
        <v>68.41808</v>
      </c>
      <c r="M56" s="21" t="inlineStr">
        <is>
          <t>chain-linked across a basis break; spread moved 273bp — too large for a duration split</t>
        </is>
      </c>
    </row>
    <row r="57">
      <c r="A57" s="10" t="inlineStr">
        <is>
          <t>Bulgaria</t>
        </is>
      </c>
      <c r="B57" s="16" t="n">
        <v>0.189015</v>
      </c>
      <c r="C57" s="17" t="n">
        <v>78</v>
      </c>
      <c r="D57" s="16" t="n">
        <v>5.614809</v>
      </c>
      <c r="E57" s="14" t="n">
        <v>7.987513</v>
      </c>
      <c r="F57" s="18" t="n">
        <v>-0.4940854601142908</v>
      </c>
      <c r="G57" s="18" t="n">
        <v>-0.6939050927794788</v>
      </c>
      <c r="H57" s="22" t="n">
        <v>-1.072360234373293</v>
      </c>
      <c r="I57" s="19" t="n">
        <v>0.3157669030964261</v>
      </c>
      <c r="J57" s="15" t="n">
        <v>-3.425020000000004</v>
      </c>
      <c r="K57" s="15" t="n">
        <v>-3.207719999999995</v>
      </c>
      <c r="L57" s="15" t="n">
        <v>57.67962000000005</v>
      </c>
      <c r="M57" s="21" t="inlineStr">
        <is>
          <t>chain-linked across a basis break</t>
        </is>
      </c>
    </row>
    <row r="58">
      <c r="A58" s="10" t="inlineStr">
        <is>
          <t>Ethiopia</t>
        </is>
      </c>
      <c r="B58" s="16" t="n">
        <v>0.142852</v>
      </c>
      <c r="C58" s="17" t="n">
        <v>-401</v>
      </c>
      <c r="D58" s="16" t="n">
        <v>-1.032917</v>
      </c>
      <c r="E58" s="14" t="n">
        <v>1.20786</v>
      </c>
      <c r="F58" s="18" t="n">
        <v>-0.4301590583255854</v>
      </c>
      <c r="G58" s="19" t="n">
        <v>2.509658724416108</v>
      </c>
      <c r="H58" s="20" t="n">
        <v>0.4638016570911674</v>
      </c>
      <c r="I58" s="19" t="n">
        <v>16.99483031367717</v>
      </c>
      <c r="J58" s="15" t="n">
        <v>29.93295000000001</v>
      </c>
      <c r="K58" s="15" t="n">
        <v>198.2479499999997</v>
      </c>
      <c r="L58" s="15" t="n">
        <v>69.28834999999987</v>
      </c>
      <c r="M58" s="21" t="inlineStr">
        <is>
          <t>chain-linked across a basis break; carry plug exceeds the yield — legs are indicative only</t>
        </is>
      </c>
    </row>
    <row r="59">
      <c r="A59" s="10" t="inlineStr">
        <is>
          <t>Georgia</t>
        </is>
      </c>
      <c r="B59" s="16" t="n">
        <v>0.128899</v>
      </c>
      <c r="C59" s="17" t="n">
        <v>151</v>
      </c>
      <c r="D59" s="16" t="n">
        <v>6.002669</v>
      </c>
      <c r="E59" s="14" t="n">
        <v>2.750249</v>
      </c>
      <c r="F59" s="19" t="n">
        <v>0.04965629971898089</v>
      </c>
      <c r="G59" s="19" t="n">
        <v>0.8166941225724145</v>
      </c>
      <c r="H59" s="20" t="n">
        <v>3.908343419105975</v>
      </c>
      <c r="I59" s="19" t="n">
        <v>6.018698951222556</v>
      </c>
      <c r="J59" s="15" t="n">
        <v>-4.294750000000022</v>
      </c>
      <c r="K59" s="15" t="n">
        <v>-136.50605</v>
      </c>
      <c r="L59" s="15" t="n">
        <v>95.71295000000001</v>
      </c>
      <c r="M59" s="21" t="inlineStr">
        <is>
          <t>chain-linked across a basis break</t>
        </is>
      </c>
    </row>
    <row r="60">
      <c r="A60" s="10" t="inlineStr">
        <is>
          <t>Mozambique</t>
        </is>
      </c>
      <c r="B60" s="16" t="n">
        <v>0.114639</v>
      </c>
      <c r="C60" s="17" t="n">
        <v>763</v>
      </c>
      <c r="D60" s="16" t="n">
        <v>12.112434</v>
      </c>
      <c r="E60" s="14" t="n">
        <v>2.53177</v>
      </c>
      <c r="F60" s="19" t="n">
        <v>1.58019925612094</v>
      </c>
      <c r="G60" s="19" t="n">
        <v>8.531009257558896</v>
      </c>
      <c r="H60" s="20" t="n">
        <v>14.82120125318822</v>
      </c>
      <c r="I60" s="19" t="n">
        <v>14.14693539625742</v>
      </c>
      <c r="J60" s="15" t="n">
        <v>-36.40068999999994</v>
      </c>
      <c r="K60" s="15" t="n">
        <v>-252.5605899999999</v>
      </c>
      <c r="L60" s="15" t="n">
        <v>82.01299</v>
      </c>
      <c r="M60" s="21" t="inlineStr">
        <is>
          <t>chain-linked across a basis break; spread moved 253bp — too large for a duration split</t>
        </is>
      </c>
    </row>
    <row r="61">
      <c r="A61" s="10" t="inlineStr">
        <is>
          <t>Montenegro</t>
        </is>
      </c>
      <c r="B61" s="16" t="n">
        <v>0.10719</v>
      </c>
      <c r="C61" s="17" t="n">
        <v>159</v>
      </c>
      <c r="D61" s="16" t="n">
        <v>6.129774</v>
      </c>
      <c r="E61" s="14" t="n">
        <v>3.695566</v>
      </c>
      <c r="F61" s="18" t="n">
        <v>-0.3339074057818525</v>
      </c>
      <c r="G61" s="19" t="n">
        <v>0.5100876621347172</v>
      </c>
      <c r="H61" s="20" t="n">
        <v>2.17032607703771</v>
      </c>
      <c r="I61" s="19" t="n">
        <v>5.127671388938371</v>
      </c>
      <c r="J61" s="15" t="n">
        <v>7.656319999999994</v>
      </c>
      <c r="K61" s="15" t="n">
        <v>-25.45358000000002</v>
      </c>
      <c r="L61" s="15" t="n">
        <v>78.12098000000006</v>
      </c>
      <c r="M61" s="21" t="inlineStr">
        <is>
          <t>chain-linked across a basis break</t>
        </is>
      </c>
    </row>
    <row r="62">
      <c r="A62" s="10" t="inlineStr">
        <is>
          <t>Cameroon</t>
        </is>
      </c>
      <c r="B62" s="16" t="n">
        <v>0.07477</v>
      </c>
      <c r="C62" s="17" t="n">
        <v>430</v>
      </c>
      <c r="D62" s="16" t="n">
        <v>8.774639000000001</v>
      </c>
      <c r="E62" s="14" t="n">
        <v>2.408453</v>
      </c>
      <c r="F62" s="19" t="n">
        <v>2.067857315864585</v>
      </c>
      <c r="G62" s="19" t="n">
        <v>1.500539406826507</v>
      </c>
      <c r="H62" s="20" t="n">
        <v>8.227558013618053</v>
      </c>
      <c r="I62" s="19" t="n">
        <v>15.60730753650488</v>
      </c>
      <c r="J62" s="15" t="n">
        <v>-102.9154</v>
      </c>
      <c r="K62" s="15" t="n">
        <v>-170.4578</v>
      </c>
      <c r="L62" s="15" t="n">
        <v>81.79770000000003</v>
      </c>
      <c r="M62" s="21" t="inlineStr">
        <is>
          <t>chain-linked across a basis break</t>
        </is>
      </c>
    </row>
    <row r="63">
      <c r="A63" s="10" t="inlineStr">
        <is>
          <t>Barbados</t>
        </is>
      </c>
      <c r="B63" s="16" t="n">
        <v>0.07149999999999999</v>
      </c>
      <c r="C63" s="17" t="n">
        <v>212</v>
      </c>
      <c r="D63" s="16" t="n">
        <v>6.767938</v>
      </c>
      <c r="E63" s="14" t="n">
        <v>4.98777</v>
      </c>
      <c r="F63" s="19" t="n">
        <v>0.4200381671404241</v>
      </c>
      <c r="G63" s="19" t="n">
        <v>1.938860045122759</v>
      </c>
      <c r="H63" s="20" t="n">
        <v>5.90374387103092</v>
      </c>
      <c r="I63" s="19" t="n">
        <v>11.92844423720974</v>
      </c>
      <c r="J63" s="15" t="n">
        <v>-9.718160000000012</v>
      </c>
      <c r="K63" s="15" t="n">
        <v>-83.77115999999998</v>
      </c>
      <c r="L63" s="15" t="n">
        <v>70.24796000000003</v>
      </c>
      <c r="M63" s="21" t="inlineStr">
        <is>
          <t>chain-linked across a basis break</t>
        </is>
      </c>
    </row>
    <row r="64">
      <c r="A64" s="10" t="inlineStr">
        <is>
          <t>Iraq</t>
        </is>
      </c>
      <c r="B64" s="16" t="n">
        <v>0.067179</v>
      </c>
      <c r="C64" s="17" t="n">
        <v>232</v>
      </c>
      <c r="D64" s="16" t="n">
        <v>6.516259</v>
      </c>
      <c r="E64" s="14" t="n">
        <v>0.803162</v>
      </c>
      <c r="F64" s="19" t="n">
        <v>0.2554383141339045</v>
      </c>
      <c r="G64" s="19" t="n">
        <v>2.246683647465675</v>
      </c>
      <c r="H64" s="20" t="n">
        <v>3.705929403513974</v>
      </c>
      <c r="I64" s="19" t="n">
        <v>6.077923880666658</v>
      </c>
      <c r="J64" s="15" t="n">
        <v>16.81517000000002</v>
      </c>
      <c r="K64" s="15" t="n">
        <v>515.2496699999995</v>
      </c>
      <c r="L64" s="15" t="n">
        <v>-425.3467700000002</v>
      </c>
      <c r="M64" s="21" t="inlineStr">
        <is>
          <t>chain-linked across a basis break; spread moved 515bp — too large for a duration split</t>
        </is>
      </c>
    </row>
    <row r="66">
      <c r="A66" s="4" t="inlineStr">
        <is>
          <t>Each return column header carries the date it is measured from, so there is never a question of which window a number belongs to. Returns are from the total-return sub-indices; spread and Treasury moves are chain-linked across basis breaks.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95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2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</cols>
  <sheetData>
    <row r="1">
      <c r="A1" s="5" t="inlineStr">
        <is>
          <t>Spreads — STW over Treasury — 2026-09-08</t>
        </is>
      </c>
    </row>
    <row r="2">
      <c r="A2" s="4" t="inlineStr">
        <is>
          <t>Sub-indices at the top: the index, then the five regions, then the rating buckets, then countries. The block on the left is how each one is doing (bp); the columns to the right are month-end history.</t>
        </is>
      </c>
    </row>
    <row r="4">
      <c r="A4" s="13" t="inlineStr">
        <is>
          <t>Sub-index</t>
        </is>
      </c>
      <c r="B4" s="13" t="inlineStr">
        <is>
          <t>Latest (bp)</t>
        </is>
      </c>
      <c r="C4" s="13" t="inlineStr">
        <is>
          <t>1 month</t>
        </is>
      </c>
      <c r="D4" s="13" t="inlineStr">
        <is>
          <t>3 months</t>
        </is>
      </c>
      <c r="E4" s="13" t="inlineStr">
        <is>
          <t>YTD 2026</t>
        </is>
      </c>
      <c r="F4" s="13" t="inlineStr">
        <is>
          <t>12 months</t>
        </is>
      </c>
      <c r="G4" s="13" t="inlineStr">
        <is>
          <t>2021-10</t>
        </is>
      </c>
      <c r="H4" s="13" t="inlineStr">
        <is>
          <t>2021-11</t>
        </is>
      </c>
      <c r="I4" s="13" t="inlineStr">
        <is>
          <t>2021-12</t>
        </is>
      </c>
      <c r="J4" s="13" t="inlineStr">
        <is>
          <t>2022-01</t>
        </is>
      </c>
      <c r="K4" s="13" t="inlineStr">
        <is>
          <t>2022-02</t>
        </is>
      </c>
      <c r="L4" s="13" t="inlineStr">
        <is>
          <t>2022-03</t>
        </is>
      </c>
      <c r="M4" s="13" t="inlineStr">
        <is>
          <t>2022-04</t>
        </is>
      </c>
      <c r="N4" s="13" t="inlineStr">
        <is>
          <t>2022-05</t>
        </is>
      </c>
      <c r="O4" s="13" t="inlineStr">
        <is>
          <t>2022-06</t>
        </is>
      </c>
      <c r="P4" s="13" t="inlineStr">
        <is>
          <t>2022-07</t>
        </is>
      </c>
      <c r="Q4" s="13" t="inlineStr">
        <is>
          <t>2022-08</t>
        </is>
      </c>
      <c r="R4" s="13" t="inlineStr">
        <is>
          <t>2022-09</t>
        </is>
      </c>
      <c r="S4" s="13" t="inlineStr">
        <is>
          <t>2022-10</t>
        </is>
      </c>
      <c r="T4" s="13" t="inlineStr">
        <is>
          <t>2022-11</t>
        </is>
      </c>
      <c r="U4" s="13" t="inlineStr">
        <is>
          <t>2022-12</t>
        </is>
      </c>
      <c r="V4" s="13" t="inlineStr">
        <is>
          <t>2023-01</t>
        </is>
      </c>
      <c r="W4" s="13" t="inlineStr">
        <is>
          <t>2023-02</t>
        </is>
      </c>
      <c r="X4" s="13" t="inlineStr">
        <is>
          <t>2023-03</t>
        </is>
      </c>
      <c r="Y4" s="13" t="inlineStr">
        <is>
          <t>2023-04</t>
        </is>
      </c>
      <c r="Z4" s="13" t="inlineStr">
        <is>
          <t>2023-05</t>
        </is>
      </c>
      <c r="AA4" s="13" t="inlineStr">
        <is>
          <t>2023-06</t>
        </is>
      </c>
      <c r="AB4" s="13" t="inlineStr">
        <is>
          <t>2023-07</t>
        </is>
      </c>
      <c r="AC4" s="13" t="inlineStr">
        <is>
          <t>2023-08</t>
        </is>
      </c>
      <c r="AD4" s="13" t="inlineStr">
        <is>
          <t>2023-09</t>
        </is>
      </c>
      <c r="AE4" s="13" t="inlineStr">
        <is>
          <t>2023-10</t>
        </is>
      </c>
      <c r="AF4" s="13" t="inlineStr">
        <is>
          <t>2023-11</t>
        </is>
      </c>
      <c r="AG4" s="13" t="inlineStr">
        <is>
          <t>2023-12</t>
        </is>
      </c>
      <c r="AH4" s="13" t="inlineStr">
        <is>
          <t>2024-01</t>
        </is>
      </c>
      <c r="AI4" s="13" t="inlineStr">
        <is>
          <t>2024-02</t>
        </is>
      </c>
      <c r="AJ4" s="13" t="inlineStr">
        <is>
          <t>2024-03</t>
        </is>
      </c>
      <c r="AK4" s="13" t="inlineStr">
        <is>
          <t>2024-04</t>
        </is>
      </c>
      <c r="AL4" s="13" t="inlineStr">
        <is>
          <t>2024-05</t>
        </is>
      </c>
      <c r="AM4" s="13" t="inlineStr">
        <is>
          <t>2024-06</t>
        </is>
      </c>
      <c r="AN4" s="13" t="inlineStr">
        <is>
          <t>2024-07</t>
        </is>
      </c>
      <c r="AO4" s="13" t="inlineStr">
        <is>
          <t>2024-08</t>
        </is>
      </c>
      <c r="AP4" s="13" t="inlineStr">
        <is>
          <t>2024-09</t>
        </is>
      </c>
      <c r="AQ4" s="13" t="inlineStr">
        <is>
          <t>2024-10</t>
        </is>
      </c>
      <c r="AR4" s="13" t="inlineStr">
        <is>
          <t>2024-11</t>
        </is>
      </c>
      <c r="AS4" s="13" t="inlineStr">
        <is>
          <t>2024-12</t>
        </is>
      </c>
      <c r="AT4" s="13" t="inlineStr">
        <is>
          <t>2025-01</t>
        </is>
      </c>
      <c r="AU4" s="13" t="inlineStr">
        <is>
          <t>2025-02</t>
        </is>
      </c>
      <c r="AV4" s="13" t="inlineStr">
        <is>
          <t>2025-03</t>
        </is>
      </c>
      <c r="AW4" s="13" t="inlineStr">
        <is>
          <t>2025-04</t>
        </is>
      </c>
      <c r="AX4" s="13" t="inlineStr">
        <is>
          <t>2025-05</t>
        </is>
      </c>
      <c r="AY4" s="13" t="inlineStr">
        <is>
          <t>2025-06</t>
        </is>
      </c>
      <c r="AZ4" s="13" t="inlineStr">
        <is>
          <t>2025-07</t>
        </is>
      </c>
      <c r="BA4" s="13" t="inlineStr">
        <is>
          <t>2025-08</t>
        </is>
      </c>
      <c r="BB4" s="13" t="inlineStr">
        <is>
          <t>2025-09</t>
        </is>
      </c>
      <c r="BC4" s="13" t="inlineStr">
        <is>
          <t>2025-10</t>
        </is>
      </c>
      <c r="BD4" s="13" t="inlineStr">
        <is>
          <t>2025-11</t>
        </is>
      </c>
      <c r="BE4" s="13" t="inlineStr">
        <is>
          <t>2025-12</t>
        </is>
      </c>
      <c r="BF4" s="13" t="inlineStr">
        <is>
          <t>2026-01</t>
        </is>
      </c>
      <c r="BG4" s="13" t="inlineStr">
        <is>
          <t>2026-02</t>
        </is>
      </c>
      <c r="BH4" s="13" t="inlineStr">
        <is>
          <t>2026-03</t>
        </is>
      </c>
      <c r="BI4" s="13" t="inlineStr">
        <is>
          <t>2026-04</t>
        </is>
      </c>
      <c r="BJ4" s="13" t="inlineStr">
        <is>
          <t>2026-05</t>
        </is>
      </c>
      <c r="BK4" s="13" t="inlineStr">
        <is>
          <t>2026-06</t>
        </is>
      </c>
      <c r="BL4" s="13" t="inlineStr">
        <is>
          <t>2026-07</t>
        </is>
      </c>
      <c r="BM4" s="13" t="inlineStr">
        <is>
          <t>2026-08</t>
        </is>
      </c>
      <c r="BN4" s="13" t="inlineStr">
        <is>
          <t>2026-09-08</t>
        </is>
      </c>
    </row>
    <row r="5">
      <c r="A5" s="2" t="inlineStr">
        <is>
          <t>INDEX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</row>
    <row r="6">
      <c r="A6" s="2" t="inlineStr">
        <is>
          <t>EMBIG Div</t>
        </is>
      </c>
      <c r="B6" s="23" t="n">
        <v>173</v>
      </c>
      <c r="C6" s="24" t="n">
        <v>0.06329999999999814</v>
      </c>
      <c r="D6" s="25" t="n">
        <v>-0.2695000000000221</v>
      </c>
      <c r="E6" s="25" t="n">
        <v>-16.8963</v>
      </c>
      <c r="F6" s="25" t="n">
        <v>-65.13020000000003</v>
      </c>
      <c r="G6" s="17" t="n">
        <v>356.8221</v>
      </c>
      <c r="H6" s="17" t="n">
        <v>390.4778</v>
      </c>
      <c r="I6" s="17" t="n">
        <v>366.9862</v>
      </c>
      <c r="J6" s="17" t="n">
        <v>383.2171</v>
      </c>
      <c r="K6" s="17" t="n">
        <v>469.3273</v>
      </c>
      <c r="L6" s="17" t="n">
        <v>398.6879</v>
      </c>
      <c r="M6" s="17" t="n">
        <v>438.2696</v>
      </c>
      <c r="N6" s="17" t="n">
        <v>447.2439</v>
      </c>
      <c r="O6" s="17" t="n">
        <v>541.9657</v>
      </c>
      <c r="P6" s="17" t="n">
        <v>532.5984999999999</v>
      </c>
      <c r="Q6" s="17" t="n">
        <v>501.1209</v>
      </c>
      <c r="R6" s="17" t="n">
        <v>559.5367</v>
      </c>
      <c r="S6" s="17" t="n">
        <v>542.4982</v>
      </c>
      <c r="T6" s="17" t="n">
        <v>467.7078</v>
      </c>
      <c r="U6" s="17" t="n">
        <v>451.9157</v>
      </c>
      <c r="V6" s="17" t="n">
        <v>438.058</v>
      </c>
      <c r="W6" s="17" t="n">
        <v>440.7841</v>
      </c>
      <c r="X6" s="17" t="n">
        <v>478.4237</v>
      </c>
      <c r="Y6" s="17" t="n">
        <v>477.3041</v>
      </c>
      <c r="Z6" s="17" t="n">
        <v>476.5581</v>
      </c>
      <c r="AA6" s="17" t="n">
        <v>431.5186</v>
      </c>
      <c r="AB6" s="17" t="n">
        <v>396.6921</v>
      </c>
      <c r="AC6" s="17" t="n">
        <v>421.0459</v>
      </c>
      <c r="AD6" s="17" t="n">
        <v>430.2104</v>
      </c>
      <c r="AE6" s="17" t="n">
        <v>435.5651</v>
      </c>
      <c r="AF6" s="17" t="n">
        <v>404.7993</v>
      </c>
      <c r="AG6" s="17" t="n">
        <v>383.2629</v>
      </c>
      <c r="AH6" s="17" t="n">
        <v>401.4692</v>
      </c>
      <c r="AI6" s="17" t="n">
        <v>367.97</v>
      </c>
      <c r="AJ6" s="17" t="n">
        <v>341.0716</v>
      </c>
      <c r="AK6" s="17" t="n">
        <v>372.6676</v>
      </c>
      <c r="AL6" s="17" t="n">
        <v>379.843</v>
      </c>
      <c r="AM6" s="17" t="n">
        <v>390.766</v>
      </c>
      <c r="AN6" s="17" t="n">
        <v>399.7734</v>
      </c>
      <c r="AO6" s="17" t="n">
        <v>387.7881</v>
      </c>
      <c r="AP6" s="17" t="n">
        <v>360.7666</v>
      </c>
      <c r="AQ6" s="17" t="n">
        <v>337.2067</v>
      </c>
      <c r="AR6" s="17" t="n">
        <v>335.7403</v>
      </c>
      <c r="AS6" s="17" t="n">
        <v>324.7819</v>
      </c>
      <c r="AT6" s="17" t="n">
        <v>315.721</v>
      </c>
      <c r="AU6" s="17" t="n">
        <v>327.9052</v>
      </c>
      <c r="AV6" s="17" t="n">
        <v>348.7533</v>
      </c>
      <c r="AW6" s="17" t="n">
        <v>367.7288</v>
      </c>
      <c r="AX6" s="17" t="n">
        <v>334.0463</v>
      </c>
      <c r="AY6" s="17" t="n">
        <v>321.8429</v>
      </c>
      <c r="AZ6" s="17" t="n">
        <v>298.6333</v>
      </c>
      <c r="BA6" s="17" t="n">
        <v>297.2017</v>
      </c>
      <c r="BB6" s="17" t="n">
        <v>283.3106</v>
      </c>
      <c r="BC6" s="17" t="n">
        <v>262.0301</v>
      </c>
      <c r="BD6" s="17" t="n">
        <v>269.5869</v>
      </c>
      <c r="BE6" s="17" t="n">
        <v>253.2094</v>
      </c>
      <c r="BF6" s="17" t="n">
        <v>244.1238</v>
      </c>
      <c r="BG6" s="17" t="n">
        <v>258.1486</v>
      </c>
      <c r="BH6" s="17" t="n">
        <v>288.5808</v>
      </c>
      <c r="BI6" s="17" t="n">
        <v>247.1579</v>
      </c>
      <c r="BJ6" s="17" t="n">
        <v>236.8663</v>
      </c>
      <c r="BK6" s="17" t="n">
        <v>234.9968</v>
      </c>
      <c r="BL6" s="17" t="n">
        <v>243.9999</v>
      </c>
      <c r="BM6" s="17" t="n">
        <v>234.0069</v>
      </c>
      <c r="BN6" s="17" t="n">
        <v>173</v>
      </c>
    </row>
    <row r="8">
      <c r="A8" s="2" t="inlineStr">
        <is>
          <t>REGIONS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</row>
    <row r="9">
      <c r="A9" s="7" t="inlineStr">
        <is>
          <t>LATIN Region</t>
        </is>
      </c>
      <c r="B9" s="23" t="n">
        <v>172</v>
      </c>
      <c r="C9" s="25" t="n">
        <v>-2.615879999999976</v>
      </c>
      <c r="D9" s="25" t="n">
        <v>-5.179279999999977</v>
      </c>
      <c r="E9" s="25" t="n">
        <v>-58.69838000000001</v>
      </c>
      <c r="F9" s="25" t="n">
        <v>-122.70678</v>
      </c>
      <c r="G9" s="17" t="n">
        <v>378.0323</v>
      </c>
      <c r="H9" s="17" t="n">
        <v>410.4392</v>
      </c>
      <c r="I9" s="17" t="n">
        <v>380.9451</v>
      </c>
      <c r="J9" s="17" t="n">
        <v>391.5471</v>
      </c>
      <c r="K9" s="17" t="n">
        <v>421.4031</v>
      </c>
      <c r="L9" s="17" t="n">
        <v>382.1178</v>
      </c>
      <c r="M9" s="17" t="n">
        <v>419.4428</v>
      </c>
      <c r="N9" s="17" t="n">
        <v>415.6491</v>
      </c>
      <c r="O9" s="17" t="n">
        <v>506.0286</v>
      </c>
      <c r="P9" s="17" t="n">
        <v>481.0709</v>
      </c>
      <c r="Q9" s="17" t="n">
        <v>480.3372</v>
      </c>
      <c r="R9" s="17" t="n">
        <v>525.3175</v>
      </c>
      <c r="S9" s="17" t="n">
        <v>491.4701</v>
      </c>
      <c r="T9" s="17" t="n">
        <v>433.2504</v>
      </c>
      <c r="U9" s="17" t="n">
        <v>415.5405</v>
      </c>
      <c r="V9" s="17" t="n">
        <v>402.3497</v>
      </c>
      <c r="W9" s="17" t="n">
        <v>417.1926</v>
      </c>
      <c r="X9" s="17" t="n">
        <v>447.4362</v>
      </c>
      <c r="Y9" s="17" t="n">
        <v>445.5704</v>
      </c>
      <c r="Z9" s="17" t="n">
        <v>442.1651</v>
      </c>
      <c r="AA9" s="17" t="n">
        <v>401.2961</v>
      </c>
      <c r="AB9" s="17" t="n">
        <v>374.5675</v>
      </c>
      <c r="AC9" s="17" t="n">
        <v>385.0398</v>
      </c>
      <c r="AD9" s="17" t="n">
        <v>404.4265</v>
      </c>
      <c r="AE9" s="17" t="n">
        <v>409.5327</v>
      </c>
      <c r="AF9" s="17" t="n">
        <v>381.6443</v>
      </c>
      <c r="AG9" s="17" t="n">
        <v>366.0783</v>
      </c>
      <c r="AH9" s="17" t="n">
        <v>377.6011</v>
      </c>
      <c r="AI9" s="17" t="n">
        <v>348.6866</v>
      </c>
      <c r="AJ9" s="17" t="n">
        <v>328.2402</v>
      </c>
      <c r="AK9" s="17" t="n">
        <v>410.0607</v>
      </c>
      <c r="AL9" s="17" t="n">
        <v>442.8337</v>
      </c>
      <c r="AM9" s="17" t="n">
        <v>471.0796</v>
      </c>
      <c r="AN9" s="17" t="n">
        <v>475.9413</v>
      </c>
      <c r="AO9" s="17" t="n">
        <v>459.7564</v>
      </c>
      <c r="AP9" s="17" t="n">
        <v>441.2452</v>
      </c>
      <c r="AQ9" s="17" t="n">
        <v>435.9154</v>
      </c>
      <c r="AR9" s="17" t="n">
        <v>428.2601</v>
      </c>
      <c r="AS9" s="17" t="n">
        <v>427.0442</v>
      </c>
      <c r="AT9" s="17" t="n">
        <v>413.2614</v>
      </c>
      <c r="AU9" s="17" t="n">
        <v>430.5806</v>
      </c>
      <c r="AV9" s="17" t="n">
        <v>446.0272</v>
      </c>
      <c r="AW9" s="17" t="n">
        <v>451.8437</v>
      </c>
      <c r="AX9" s="17" t="n">
        <v>422.0288</v>
      </c>
      <c r="AY9" s="17" t="n">
        <v>401.0786</v>
      </c>
      <c r="AZ9" s="17" t="n">
        <v>377.4266</v>
      </c>
      <c r="BA9" s="17" t="n">
        <v>367.031</v>
      </c>
      <c r="BB9" s="17" t="n">
        <v>359.9776</v>
      </c>
      <c r="BC9" s="17" t="n">
        <v>317.9811</v>
      </c>
      <c r="BD9" s="17" t="n">
        <v>323.7365</v>
      </c>
      <c r="BE9" s="17" t="n">
        <v>308.6951</v>
      </c>
      <c r="BF9" s="17" t="n">
        <v>287.4119</v>
      </c>
      <c r="BG9" s="17" t="n">
        <v>300.4685</v>
      </c>
      <c r="BH9" s="17" t="n">
        <v>308.673</v>
      </c>
      <c r="BI9" s="17" t="n">
        <v>261.8432</v>
      </c>
      <c r="BJ9" s="17" t="n">
        <v>259.6163</v>
      </c>
      <c r="BK9" s="17" t="n">
        <v>250.5824</v>
      </c>
      <c r="BL9" s="17" t="n">
        <v>260.1326</v>
      </c>
      <c r="BM9" s="17" t="n">
        <v>251.5007</v>
      </c>
      <c r="BN9" s="17" t="n">
        <v>172</v>
      </c>
    </row>
    <row r="10">
      <c r="A10" s="7" t="inlineStr">
        <is>
          <t>EUROPE Region</t>
        </is>
      </c>
      <c r="B10" s="23" t="n">
        <v>188</v>
      </c>
      <c r="C10" s="24" t="n">
        <v>9.911319999999989</v>
      </c>
      <c r="D10" s="24" t="n">
        <v>0.56771999999998</v>
      </c>
      <c r="E10" s="25" t="n">
        <v>-7.62008000000003</v>
      </c>
      <c r="F10" s="25" t="n">
        <v>-53.55098000000001</v>
      </c>
      <c r="G10" s="17" t="n">
        <v>283.254</v>
      </c>
      <c r="H10" s="17" t="n">
        <v>324.87</v>
      </c>
      <c r="I10" s="17" t="n">
        <v>323.5206</v>
      </c>
      <c r="J10" s="17" t="n">
        <v>363.6894</v>
      </c>
      <c r="K10" s="17" t="n">
        <v>822.8273</v>
      </c>
      <c r="L10" s="17" t="n">
        <v>560.3842</v>
      </c>
      <c r="M10" s="17" t="n">
        <v>614.2266</v>
      </c>
      <c r="N10" s="17" t="n">
        <v>631.9857</v>
      </c>
      <c r="O10" s="17" t="n">
        <v>766.1864</v>
      </c>
      <c r="P10" s="17" t="n">
        <v>786.3104</v>
      </c>
      <c r="Q10" s="17" t="n">
        <v>685.4313</v>
      </c>
      <c r="R10" s="17" t="n">
        <v>732.4293</v>
      </c>
      <c r="S10" s="17" t="n">
        <v>717.111</v>
      </c>
      <c r="T10" s="17" t="n">
        <v>602.5643</v>
      </c>
      <c r="U10" s="17" t="n">
        <v>590.6436</v>
      </c>
      <c r="V10" s="17" t="n">
        <v>579.7041</v>
      </c>
      <c r="W10" s="17" t="n">
        <v>575.5951</v>
      </c>
      <c r="X10" s="17" t="n">
        <v>605.8411</v>
      </c>
      <c r="Y10" s="17" t="n">
        <v>569.1666</v>
      </c>
      <c r="Z10" s="17" t="n">
        <v>576.5575</v>
      </c>
      <c r="AA10" s="17" t="n">
        <v>517.2292</v>
      </c>
      <c r="AB10" s="17" t="n">
        <v>449.7109</v>
      </c>
      <c r="AC10" s="17" t="n">
        <v>475.8815</v>
      </c>
      <c r="AD10" s="17" t="n">
        <v>483.63</v>
      </c>
      <c r="AE10" s="17" t="n">
        <v>488.0649</v>
      </c>
      <c r="AF10" s="17" t="n">
        <v>472.3237</v>
      </c>
      <c r="AG10" s="17" t="n">
        <v>446.1251</v>
      </c>
      <c r="AH10" s="17" t="n">
        <v>460.3607</v>
      </c>
      <c r="AI10" s="17" t="n">
        <v>427.3613</v>
      </c>
      <c r="AJ10" s="17" t="n">
        <v>377.1934</v>
      </c>
      <c r="AK10" s="17" t="n">
        <v>382.4656</v>
      </c>
      <c r="AL10" s="17" t="n">
        <v>375.4632</v>
      </c>
      <c r="AM10" s="17" t="n">
        <v>372.7676</v>
      </c>
      <c r="AN10" s="17" t="n">
        <v>376.8108</v>
      </c>
      <c r="AO10" s="17" t="n">
        <v>367.4662</v>
      </c>
      <c r="AP10" s="17" t="n">
        <v>272.7171</v>
      </c>
      <c r="AQ10" s="17" t="n">
        <v>258.8062</v>
      </c>
      <c r="AR10" s="17" t="n">
        <v>258.901</v>
      </c>
      <c r="AS10" s="17" t="n">
        <v>249.6912</v>
      </c>
      <c r="AT10" s="17" t="n">
        <v>243.8605</v>
      </c>
      <c r="AU10" s="17" t="n">
        <v>251.4194</v>
      </c>
      <c r="AV10" s="17" t="n">
        <v>282.5513</v>
      </c>
      <c r="AW10" s="17" t="n">
        <v>309.5141</v>
      </c>
      <c r="AX10" s="17" t="n">
        <v>287.9646</v>
      </c>
      <c r="AY10" s="17" t="n">
        <v>277.472</v>
      </c>
      <c r="AZ10" s="17" t="n">
        <v>247.6487</v>
      </c>
      <c r="BA10" s="17" t="n">
        <v>244.3925</v>
      </c>
      <c r="BB10" s="17" t="n">
        <v>231.4514</v>
      </c>
      <c r="BC10" s="17" t="n">
        <v>222.9265</v>
      </c>
      <c r="BD10" s="17" t="n">
        <v>227.2757</v>
      </c>
      <c r="BE10" s="17" t="n">
        <v>209.9532</v>
      </c>
      <c r="BF10" s="17" t="n">
        <v>214.3667</v>
      </c>
      <c r="BG10" s="17" t="n">
        <v>225.3615</v>
      </c>
      <c r="BH10" s="17" t="n">
        <v>271.5148</v>
      </c>
      <c r="BI10" s="17" t="n">
        <v>225.1341</v>
      </c>
      <c r="BJ10" s="17" t="n">
        <v>201.9007</v>
      </c>
      <c r="BK10" s="17" t="n">
        <v>190.8133</v>
      </c>
      <c r="BL10" s="17" t="n">
        <v>197.9199</v>
      </c>
      <c r="BM10" s="17" t="n">
        <v>193.7842</v>
      </c>
      <c r="BN10" s="17" t="n">
        <v>188</v>
      </c>
    </row>
    <row r="11">
      <c r="A11" s="7" t="inlineStr">
        <is>
          <t>AFRICA Region</t>
        </is>
      </c>
      <c r="B11" s="23" t="n">
        <v>288</v>
      </c>
      <c r="C11" s="25" t="n">
        <v>-5.567559999999958</v>
      </c>
      <c r="D11" s="25" t="n">
        <v>-7.241859999999974</v>
      </c>
      <c r="E11" s="25" t="n">
        <v>-28.23465999999996</v>
      </c>
      <c r="F11" s="25" t="n">
        <v>-114.77686</v>
      </c>
      <c r="G11" s="17" t="n">
        <v>590.0373</v>
      </c>
      <c r="H11" s="17" t="n">
        <v>669.8862</v>
      </c>
      <c r="I11" s="17" t="n">
        <v>612.3946999999999</v>
      </c>
      <c r="J11" s="17" t="n">
        <v>624.0789</v>
      </c>
      <c r="K11" s="17" t="n">
        <v>703.5432</v>
      </c>
      <c r="L11" s="17" t="n">
        <v>616.9725</v>
      </c>
      <c r="M11" s="17" t="n">
        <v>701.5853</v>
      </c>
      <c r="N11" s="17" t="n">
        <v>741.1082</v>
      </c>
      <c r="O11" s="17" t="n">
        <v>973.7723</v>
      </c>
      <c r="P11" s="17" t="n">
        <v>981.8324</v>
      </c>
      <c r="Q11" s="17" t="n">
        <v>908.5282999999999</v>
      </c>
      <c r="R11" s="17" t="n">
        <v>1026.6411</v>
      </c>
      <c r="S11" s="17" t="n">
        <v>985.9118</v>
      </c>
      <c r="T11" s="17" t="n">
        <v>800.7134</v>
      </c>
      <c r="U11" s="17" t="n">
        <v>817.8526000000001</v>
      </c>
      <c r="V11" s="17" t="n">
        <v>799.9146</v>
      </c>
      <c r="W11" s="17" t="n">
        <v>810.0081</v>
      </c>
      <c r="X11" s="17" t="n">
        <v>912.462</v>
      </c>
      <c r="Y11" s="17" t="n">
        <v>979.9336</v>
      </c>
      <c r="Z11" s="17" t="n">
        <v>938.9268</v>
      </c>
      <c r="AA11" s="17" t="n">
        <v>843.3625</v>
      </c>
      <c r="AB11" s="17" t="n">
        <v>751.84</v>
      </c>
      <c r="AC11" s="17" t="n">
        <v>861.7257</v>
      </c>
      <c r="AD11" s="17" t="n">
        <v>862.3896</v>
      </c>
      <c r="AE11" s="17" t="n">
        <v>851.7542999999999</v>
      </c>
      <c r="AF11" s="17" t="n">
        <v>791.5107</v>
      </c>
      <c r="AG11" s="17" t="n">
        <v>733.6729</v>
      </c>
      <c r="AH11" s="17" t="n">
        <v>759.9471</v>
      </c>
      <c r="AI11" s="17" t="n">
        <v>654.957</v>
      </c>
      <c r="AJ11" s="17" t="n">
        <v>605.2967</v>
      </c>
      <c r="AK11" s="17" t="n">
        <v>608.972</v>
      </c>
      <c r="AL11" s="17" t="n">
        <v>602.8004</v>
      </c>
      <c r="AM11" s="17" t="n">
        <v>605.5777</v>
      </c>
      <c r="AN11" s="17" t="n">
        <v>621.1038</v>
      </c>
      <c r="AO11" s="17" t="n">
        <v>602.2166</v>
      </c>
      <c r="AP11" s="17" t="n">
        <v>583.365</v>
      </c>
      <c r="AQ11" s="17" t="n">
        <v>464.7616</v>
      </c>
      <c r="AR11" s="17" t="n">
        <v>462.9645</v>
      </c>
      <c r="AS11" s="17" t="n">
        <v>464.287</v>
      </c>
      <c r="AT11" s="17" t="n">
        <v>447.7428</v>
      </c>
      <c r="AU11" s="17" t="n">
        <v>467.8785</v>
      </c>
      <c r="AV11" s="17" t="n">
        <v>522.8148</v>
      </c>
      <c r="AW11" s="17" t="n">
        <v>596.59</v>
      </c>
      <c r="AX11" s="17" t="n">
        <v>498.8124</v>
      </c>
      <c r="AY11" s="17" t="n">
        <v>462.2974</v>
      </c>
      <c r="AZ11" s="17" t="n">
        <v>422.4258</v>
      </c>
      <c r="BA11" s="17" t="n">
        <v>416.9576</v>
      </c>
      <c r="BB11" s="17" t="n">
        <v>381.3522</v>
      </c>
      <c r="BC11" s="17" t="n">
        <v>365.4819</v>
      </c>
      <c r="BD11" s="17" t="n">
        <v>369.1289</v>
      </c>
      <c r="BE11" s="17" t="n">
        <v>325.0707</v>
      </c>
      <c r="BF11" s="17" t="n">
        <v>328.56</v>
      </c>
      <c r="BG11" s="17" t="n">
        <v>350.599</v>
      </c>
      <c r="BH11" s="17" t="n">
        <v>405.0751</v>
      </c>
      <c r="BI11" s="17" t="n">
        <v>337.9628</v>
      </c>
      <c r="BJ11" s="17" t="n">
        <v>304.2733</v>
      </c>
      <c r="BK11" s="17" t="n">
        <v>314.2729</v>
      </c>
      <c r="BL11" s="17" t="n">
        <v>314.4405</v>
      </c>
      <c r="BM11" s="17" t="n">
        <v>296.058</v>
      </c>
      <c r="BN11" s="17" t="n">
        <v>288</v>
      </c>
    </row>
    <row r="12">
      <c r="A12" s="7" t="inlineStr">
        <is>
          <t>MIDEAST Region</t>
        </is>
      </c>
      <c r="B12" s="23" t="n">
        <v>137</v>
      </c>
      <c r="C12" s="25" t="n">
        <v>-0.5920700000000068</v>
      </c>
      <c r="D12" s="24" t="n">
        <v>42.10972999999998</v>
      </c>
      <c r="E12" s="24" t="n">
        <v>123.15903</v>
      </c>
      <c r="F12" s="24" t="n">
        <v>102.66233</v>
      </c>
      <c r="G12" s="17" t="n">
        <v>326.3728</v>
      </c>
      <c r="H12" s="17" t="n">
        <v>345.6423</v>
      </c>
      <c r="I12" s="17" t="n">
        <v>325.0279</v>
      </c>
      <c r="J12" s="17" t="n">
        <v>333.7177</v>
      </c>
      <c r="K12" s="17" t="n">
        <v>349.7637</v>
      </c>
      <c r="L12" s="17" t="n">
        <v>315.4146</v>
      </c>
      <c r="M12" s="17" t="n">
        <v>328.9353</v>
      </c>
      <c r="N12" s="17" t="n">
        <v>335.0428</v>
      </c>
      <c r="O12" s="17" t="n">
        <v>387.9571</v>
      </c>
      <c r="P12" s="17" t="n">
        <v>374.0066</v>
      </c>
      <c r="Q12" s="17" t="n">
        <v>342.2782</v>
      </c>
      <c r="R12" s="17" t="n">
        <v>382.8232</v>
      </c>
      <c r="S12" s="17" t="n">
        <v>375.1547</v>
      </c>
      <c r="T12" s="17" t="n">
        <v>341.2113</v>
      </c>
      <c r="U12" s="17" t="n">
        <v>312.4961</v>
      </c>
      <c r="V12" s="17" t="n">
        <v>299.8183</v>
      </c>
      <c r="W12" s="17" t="n">
        <v>291.213</v>
      </c>
      <c r="X12" s="17" t="n">
        <v>319.7051</v>
      </c>
      <c r="Y12" s="17" t="n">
        <v>309.5342</v>
      </c>
      <c r="Z12" s="17" t="n">
        <v>332.2418</v>
      </c>
      <c r="AA12" s="17" t="n">
        <v>312.9088</v>
      </c>
      <c r="AB12" s="17" t="n">
        <v>296.5299</v>
      </c>
      <c r="AC12" s="17" t="n">
        <v>309.5152</v>
      </c>
      <c r="AD12" s="17" t="n">
        <v>311.0453</v>
      </c>
      <c r="AE12" s="17" t="n">
        <v>332.6041</v>
      </c>
      <c r="AF12" s="17" t="n">
        <v>309.8256</v>
      </c>
      <c r="AG12" s="17" t="n">
        <v>292.7903</v>
      </c>
      <c r="AH12" s="17" t="n">
        <v>318.121</v>
      </c>
      <c r="AI12" s="17" t="n">
        <v>297.8372</v>
      </c>
      <c r="AJ12" s="17" t="n">
        <v>280.7134</v>
      </c>
      <c r="AK12" s="17" t="n">
        <v>277.3335</v>
      </c>
      <c r="AL12" s="17" t="n">
        <v>269.7912</v>
      </c>
      <c r="AM12" s="17" t="n">
        <v>269.2725</v>
      </c>
      <c r="AN12" s="17" t="n">
        <v>282.932</v>
      </c>
      <c r="AO12" s="17" t="n">
        <v>268.2655</v>
      </c>
      <c r="AP12" s="17" t="n">
        <v>267.4686</v>
      </c>
      <c r="AQ12" s="17" t="n">
        <v>265.012</v>
      </c>
      <c r="AR12" s="17" t="n">
        <v>268.6922</v>
      </c>
      <c r="AS12" s="17" t="n">
        <v>264.2972</v>
      </c>
      <c r="AT12" s="17" t="n">
        <v>258.4312</v>
      </c>
      <c r="AU12" s="17" t="n">
        <v>262.0467</v>
      </c>
      <c r="AV12" s="17" t="n">
        <v>268.8249</v>
      </c>
      <c r="AW12" s="17" t="n">
        <v>282.4518</v>
      </c>
      <c r="AX12" s="17" t="n">
        <v>266.7116</v>
      </c>
      <c r="AY12" s="17" t="n">
        <v>276.5236</v>
      </c>
      <c r="AZ12" s="17" t="n">
        <v>264.8031</v>
      </c>
      <c r="BA12" s="17" t="n">
        <v>287.8293</v>
      </c>
      <c r="BB12" s="17" t="n">
        <v>264.2555</v>
      </c>
      <c r="BC12" s="17" t="n">
        <v>252.7873</v>
      </c>
      <c r="BD12" s="17" t="n">
        <v>269.7432</v>
      </c>
      <c r="BE12" s="17" t="n">
        <v>265.1583</v>
      </c>
      <c r="BF12" s="17" t="n">
        <v>255.9338</v>
      </c>
      <c r="BG12" s="17" t="n">
        <v>265.9236</v>
      </c>
      <c r="BH12" s="17" t="n">
        <v>336.3219</v>
      </c>
      <c r="BI12" s="17" t="n">
        <v>323.1566</v>
      </c>
      <c r="BJ12" s="17" t="n">
        <v>338.1136</v>
      </c>
      <c r="BK12" s="17" t="n">
        <v>377.2342</v>
      </c>
      <c r="BL12" s="17" t="n">
        <v>402.1352</v>
      </c>
      <c r="BM12" s="17" t="n">
        <v>381.9538</v>
      </c>
      <c r="BN12" s="17" t="n">
        <v>137</v>
      </c>
    </row>
    <row r="13">
      <c r="A13" s="7" t="inlineStr">
        <is>
          <t>ASIA Region</t>
        </is>
      </c>
      <c r="B13" s="23" t="n">
        <v>77</v>
      </c>
      <c r="C13" s="25" t="n">
        <v>-1.654099999999985</v>
      </c>
      <c r="D13" s="25" t="n">
        <v>-3.441999999999993</v>
      </c>
      <c r="E13" s="25" t="n">
        <v>-3.43419999999999</v>
      </c>
      <c r="F13" s="25" t="n">
        <v>-18.78569999999999</v>
      </c>
      <c r="G13" s="17" t="n">
        <v>215.4514</v>
      </c>
      <c r="H13" s="17" t="n">
        <v>230.5014</v>
      </c>
      <c r="I13" s="17" t="n">
        <v>219.0857</v>
      </c>
      <c r="J13" s="17" t="n">
        <v>239.3275</v>
      </c>
      <c r="K13" s="17" t="n">
        <v>274.5558</v>
      </c>
      <c r="L13" s="17" t="n">
        <v>250.1173</v>
      </c>
      <c r="M13" s="17" t="n">
        <v>277.3913</v>
      </c>
      <c r="N13" s="17" t="n">
        <v>291.0687</v>
      </c>
      <c r="O13" s="17" t="n">
        <v>332.6568</v>
      </c>
      <c r="P13" s="17" t="n">
        <v>338.0026</v>
      </c>
      <c r="Q13" s="17" t="n">
        <v>297.8123</v>
      </c>
      <c r="R13" s="17" t="n">
        <v>375.4207</v>
      </c>
      <c r="S13" s="17" t="n">
        <v>400.4997</v>
      </c>
      <c r="T13" s="17" t="n">
        <v>334.7671</v>
      </c>
      <c r="U13" s="17" t="n">
        <v>316.6635</v>
      </c>
      <c r="V13" s="17" t="n">
        <v>304.3819</v>
      </c>
      <c r="W13" s="17" t="n">
        <v>293.6616</v>
      </c>
      <c r="X13" s="17" t="n">
        <v>320.8854</v>
      </c>
      <c r="Y13" s="17" t="n">
        <v>317.5256</v>
      </c>
      <c r="Z13" s="17" t="n">
        <v>306.3273</v>
      </c>
      <c r="AA13" s="17" t="n">
        <v>264.0151</v>
      </c>
      <c r="AB13" s="17" t="n">
        <v>248.5705</v>
      </c>
      <c r="AC13" s="17" t="n">
        <v>265.6805</v>
      </c>
      <c r="AD13" s="17" t="n">
        <v>265.0599</v>
      </c>
      <c r="AE13" s="17" t="n">
        <v>257.7961</v>
      </c>
      <c r="AF13" s="17" t="n">
        <v>223.9546</v>
      </c>
      <c r="AG13" s="17" t="n">
        <v>211.5502</v>
      </c>
      <c r="AH13" s="17" t="n">
        <v>225.5699</v>
      </c>
      <c r="AI13" s="17" t="n">
        <v>205.1313</v>
      </c>
      <c r="AJ13" s="17" t="n">
        <v>183.8284</v>
      </c>
      <c r="AK13" s="17" t="n">
        <v>183.9108</v>
      </c>
      <c r="AL13" s="17" t="n">
        <v>175.912</v>
      </c>
      <c r="AM13" s="17" t="n">
        <v>180.0271</v>
      </c>
      <c r="AN13" s="17" t="n">
        <v>191.5585</v>
      </c>
      <c r="AO13" s="17" t="n">
        <v>193.3292</v>
      </c>
      <c r="AP13" s="17" t="n">
        <v>179.6885</v>
      </c>
      <c r="AQ13" s="17" t="n">
        <v>161.7265</v>
      </c>
      <c r="AR13" s="17" t="n">
        <v>159.5638</v>
      </c>
      <c r="AS13" s="17" t="n">
        <v>115.4824</v>
      </c>
      <c r="AT13" s="17" t="n">
        <v>113.5836</v>
      </c>
      <c r="AU13" s="17" t="n">
        <v>121.5978</v>
      </c>
      <c r="AV13" s="17" t="n">
        <v>133.3877</v>
      </c>
      <c r="AW13" s="17" t="n">
        <v>147.2421</v>
      </c>
      <c r="AX13" s="17" t="n">
        <v>116.4031</v>
      </c>
      <c r="AY13" s="17" t="n">
        <v>111.271</v>
      </c>
      <c r="AZ13" s="17" t="n">
        <v>90.3426</v>
      </c>
      <c r="BA13" s="17" t="n">
        <v>91.05589999999999</v>
      </c>
      <c r="BB13" s="17" t="n">
        <v>84.4057</v>
      </c>
      <c r="BC13" s="17" t="n">
        <v>81.15900000000001</v>
      </c>
      <c r="BD13" s="17" t="n">
        <v>89.43210000000001</v>
      </c>
      <c r="BE13" s="17" t="n">
        <v>81.6348</v>
      </c>
      <c r="BF13" s="17" t="n">
        <v>76.91160000000001</v>
      </c>
      <c r="BG13" s="17" t="n">
        <v>90.0158</v>
      </c>
      <c r="BH13" s="17" t="n">
        <v>102.9524</v>
      </c>
      <c r="BI13" s="17" t="n">
        <v>83.86620000000001</v>
      </c>
      <c r="BJ13" s="17" t="n">
        <v>77.399</v>
      </c>
      <c r="BK13" s="17" t="n">
        <v>73.8674</v>
      </c>
      <c r="BL13" s="17" t="n">
        <v>82.9593</v>
      </c>
      <c r="BM13" s="17" t="n">
        <v>75.4255</v>
      </c>
      <c r="BN13" s="17" t="n">
        <v>77</v>
      </c>
    </row>
    <row r="15">
      <c r="A15" s="2" t="inlineStr">
        <is>
          <t>RATING BUCKETS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</row>
    <row r="16">
      <c r="A16" s="7" t="inlineStr">
        <is>
          <t>Credit A only</t>
        </is>
      </c>
      <c r="B16" s="23" t="n">
        <v>71</v>
      </c>
      <c r="C16" s="24" t="n">
        <v>2.482619999999997</v>
      </c>
      <c r="D16" s="24" t="n">
        <v>5.738819999999997</v>
      </c>
      <c r="E16" s="24" t="n">
        <v>5.612319999999997</v>
      </c>
      <c r="F16" s="25" t="n">
        <v>-5.163880000000006</v>
      </c>
      <c r="G16" s="17" t="n">
        <v>124.4406</v>
      </c>
      <c r="H16" s="17" t="n">
        <v>127.8594</v>
      </c>
      <c r="I16" s="17" t="n">
        <v>118.5274</v>
      </c>
      <c r="J16" s="17" t="n">
        <v>125.4152</v>
      </c>
      <c r="K16" s="17" t="n">
        <v>143.1966</v>
      </c>
      <c r="L16" s="17" t="n">
        <v>121.5593</v>
      </c>
      <c r="M16" s="17" t="n">
        <v>128.8402</v>
      </c>
      <c r="N16" s="17" t="n">
        <v>122.393</v>
      </c>
      <c r="O16" s="17" t="n">
        <v>139.8033</v>
      </c>
      <c r="P16" s="17" t="n">
        <v>133.3151</v>
      </c>
      <c r="Q16" s="17" t="n">
        <v>123.3552</v>
      </c>
      <c r="R16" s="17" t="n">
        <v>135.0086</v>
      </c>
      <c r="S16" s="17" t="n">
        <v>138.1764</v>
      </c>
      <c r="T16" s="17" t="n">
        <v>119.2603</v>
      </c>
      <c r="U16" s="17" t="n">
        <v>102.3543</v>
      </c>
      <c r="V16" s="17" t="n">
        <v>113.2866</v>
      </c>
      <c r="W16" s="17" t="n">
        <v>107.1374</v>
      </c>
      <c r="X16" s="17" t="n">
        <v>119.5639</v>
      </c>
      <c r="Y16" s="17" t="n">
        <v>113.7899</v>
      </c>
      <c r="Z16" s="17" t="n">
        <v>114.2612</v>
      </c>
      <c r="AA16" s="17" t="n">
        <v>106.9505</v>
      </c>
      <c r="AB16" s="17" t="n">
        <v>98.4907</v>
      </c>
      <c r="AC16" s="17" t="n">
        <v>106.0621</v>
      </c>
      <c r="AD16" s="17" t="n">
        <v>106.3346</v>
      </c>
      <c r="AE16" s="17" t="n">
        <v>107.4458</v>
      </c>
      <c r="AF16" s="17" t="n">
        <v>93.6665</v>
      </c>
      <c r="AG16" s="17" t="n">
        <v>88.5992</v>
      </c>
      <c r="AH16" s="17" t="n">
        <v>102.5822</v>
      </c>
      <c r="AI16" s="17" t="n">
        <v>89.1285</v>
      </c>
      <c r="AJ16" s="17" t="n">
        <v>87.8733</v>
      </c>
      <c r="AK16" s="17" t="n">
        <v>84.0782</v>
      </c>
      <c r="AL16" s="17" t="n">
        <v>81.6748</v>
      </c>
      <c r="AM16" s="17" t="n">
        <v>85.20010000000001</v>
      </c>
      <c r="AN16" s="17" t="n">
        <v>97.2568</v>
      </c>
      <c r="AO16" s="17" t="n">
        <v>89.5262</v>
      </c>
      <c r="AP16" s="17" t="n">
        <v>93.17959999999999</v>
      </c>
      <c r="AQ16" s="17" t="n">
        <v>87.0086</v>
      </c>
      <c r="AR16" s="17" t="n">
        <v>88.6378</v>
      </c>
      <c r="AS16" s="17" t="n">
        <v>87.9213</v>
      </c>
      <c r="AT16" s="17" t="n">
        <v>86.23739999999999</v>
      </c>
      <c r="AU16" s="17" t="n">
        <v>91.5086</v>
      </c>
      <c r="AV16" s="17" t="n">
        <v>97.58150000000001</v>
      </c>
      <c r="AW16" s="17" t="n">
        <v>100.9873</v>
      </c>
      <c r="AX16" s="17" t="n">
        <v>86.8865</v>
      </c>
      <c r="AY16" s="17" t="n">
        <v>84.7941</v>
      </c>
      <c r="AZ16" s="17" t="n">
        <v>70.1157</v>
      </c>
      <c r="BA16" s="17" t="n">
        <v>69.5761</v>
      </c>
      <c r="BB16" s="17" t="n">
        <v>64.32170000000001</v>
      </c>
      <c r="BC16" s="17" t="n">
        <v>61.6718</v>
      </c>
      <c r="BD16" s="17" t="n">
        <v>67.3108</v>
      </c>
      <c r="BE16" s="17" t="n">
        <v>63.5895</v>
      </c>
      <c r="BF16" s="17" t="n">
        <v>65.6632</v>
      </c>
      <c r="BG16" s="17" t="n">
        <v>72.664</v>
      </c>
      <c r="BH16" s="17" t="n">
        <v>77.4145</v>
      </c>
      <c r="BI16" s="17" t="n">
        <v>65.5566</v>
      </c>
      <c r="BJ16" s="17" t="n">
        <v>61.0314</v>
      </c>
      <c r="BK16" s="17" t="n">
        <v>61.8713</v>
      </c>
      <c r="BL16" s="17" t="n">
        <v>70.7265</v>
      </c>
      <c r="BM16" s="17" t="n">
        <v>66.4457</v>
      </c>
      <c r="BN16" s="17" t="n">
        <v>71</v>
      </c>
    </row>
    <row r="17">
      <c r="A17" s="7" t="inlineStr">
        <is>
          <t>Credit BBB only</t>
        </is>
      </c>
      <c r="B17" s="23" t="n">
        <v>107</v>
      </c>
      <c r="C17" s="25" t="n">
        <v>-0.1364100000000121</v>
      </c>
      <c r="D17" s="24" t="n">
        <v>2.451889999999992</v>
      </c>
      <c r="E17" s="25" t="n">
        <v>-3.286110000000008</v>
      </c>
      <c r="F17" s="25" t="n">
        <v>-21.92201</v>
      </c>
      <c r="G17" s="17" t="n">
        <v>171.1303</v>
      </c>
      <c r="H17" s="17" t="n">
        <v>185.1559</v>
      </c>
      <c r="I17" s="17" t="n">
        <v>164.3605</v>
      </c>
      <c r="J17" s="17" t="n">
        <v>188.7779</v>
      </c>
      <c r="K17" s="17" t="n">
        <v>291.3481</v>
      </c>
      <c r="L17" s="17" t="n">
        <v>176.8176</v>
      </c>
      <c r="M17" s="17" t="n">
        <v>201.028</v>
      </c>
      <c r="N17" s="17" t="n">
        <v>196.0145</v>
      </c>
      <c r="O17" s="17" t="n">
        <v>232.3965</v>
      </c>
      <c r="P17" s="17" t="n">
        <v>218.5036</v>
      </c>
      <c r="Q17" s="17" t="n">
        <v>202.8641</v>
      </c>
      <c r="R17" s="17" t="n">
        <v>241.7344</v>
      </c>
      <c r="S17" s="17" t="n">
        <v>224.1847</v>
      </c>
      <c r="T17" s="17" t="n">
        <v>183.0224</v>
      </c>
      <c r="U17" s="17" t="n">
        <v>167.7298</v>
      </c>
      <c r="V17" s="17" t="n">
        <v>173.711</v>
      </c>
      <c r="W17" s="17" t="n">
        <v>162.5978</v>
      </c>
      <c r="X17" s="17" t="n">
        <v>184.6939</v>
      </c>
      <c r="Y17" s="17" t="n">
        <v>173.7119</v>
      </c>
      <c r="Z17" s="17" t="n">
        <v>172.2678</v>
      </c>
      <c r="AA17" s="17" t="n">
        <v>155.2956</v>
      </c>
      <c r="AB17" s="17" t="n">
        <v>140.2074</v>
      </c>
      <c r="AC17" s="17" t="n">
        <v>147.0228</v>
      </c>
      <c r="AD17" s="17" t="n">
        <v>153.5601</v>
      </c>
      <c r="AE17" s="17" t="n">
        <v>154.9019</v>
      </c>
      <c r="AF17" s="17" t="n">
        <v>148.0698</v>
      </c>
      <c r="AG17" s="17" t="n">
        <v>141.0801</v>
      </c>
      <c r="AH17" s="17" t="n">
        <v>159.0844</v>
      </c>
      <c r="AI17" s="17" t="n">
        <v>148.7517</v>
      </c>
      <c r="AJ17" s="17" t="n">
        <v>141.2797</v>
      </c>
      <c r="AK17" s="17" t="n">
        <v>137.7139</v>
      </c>
      <c r="AL17" s="17" t="n">
        <v>133.7685</v>
      </c>
      <c r="AM17" s="17" t="n">
        <v>137.1517</v>
      </c>
      <c r="AN17" s="17" t="n">
        <v>147.1587</v>
      </c>
      <c r="AO17" s="17" t="n">
        <v>140.2095</v>
      </c>
      <c r="AP17" s="17" t="n">
        <v>138.7672</v>
      </c>
      <c r="AQ17" s="17" t="n">
        <v>140.4831</v>
      </c>
      <c r="AR17" s="17" t="n">
        <v>151.3306</v>
      </c>
      <c r="AS17" s="17" t="n">
        <v>149.7952</v>
      </c>
      <c r="AT17" s="17" t="n">
        <v>151.4222</v>
      </c>
      <c r="AU17" s="17" t="n">
        <v>157.9224</v>
      </c>
      <c r="AV17" s="17" t="n">
        <v>166.292</v>
      </c>
      <c r="AW17" s="17" t="n">
        <v>174.2479</v>
      </c>
      <c r="AX17" s="17" t="n">
        <v>152.5755</v>
      </c>
      <c r="AY17" s="17" t="n">
        <v>145.0108</v>
      </c>
      <c r="AZ17" s="17" t="n">
        <v>125.256</v>
      </c>
      <c r="BA17" s="17" t="n">
        <v>121.5346</v>
      </c>
      <c r="BB17" s="17" t="n">
        <v>111.9314</v>
      </c>
      <c r="BC17" s="17" t="n">
        <v>107.144</v>
      </c>
      <c r="BD17" s="17" t="n">
        <v>119.6295</v>
      </c>
      <c r="BE17" s="17" t="n">
        <v>109.1071</v>
      </c>
      <c r="BF17" s="17" t="n">
        <v>110.6102</v>
      </c>
      <c r="BG17" s="17" t="n">
        <v>118.7969</v>
      </c>
      <c r="BH17" s="17" t="n">
        <v>130.6813</v>
      </c>
      <c r="BI17" s="17" t="n">
        <v>104.5166</v>
      </c>
      <c r="BJ17" s="17" t="n">
        <v>102.4755</v>
      </c>
      <c r="BK17" s="17" t="n">
        <v>101.5006</v>
      </c>
      <c r="BL17" s="17" t="n">
        <v>110.0072</v>
      </c>
      <c r="BM17" s="17" t="n">
        <v>103.2804</v>
      </c>
      <c r="BN17" s="17" t="n">
        <v>107</v>
      </c>
    </row>
    <row r="18">
      <c r="A18" s="7" t="inlineStr">
        <is>
          <t>Credit BB only</t>
        </is>
      </c>
      <c r="B18" s="23" t="n">
        <v>181</v>
      </c>
      <c r="C18" s="24" t="n">
        <v>0.9267900000000111</v>
      </c>
      <c r="D18" s="25" t="n">
        <v>-6.210610000000003</v>
      </c>
      <c r="E18" s="25" t="n">
        <v>-22.06801000000002</v>
      </c>
      <c r="F18" s="25" t="n">
        <v>-47.55741</v>
      </c>
      <c r="G18" s="17" t="n">
        <v>348.3815</v>
      </c>
      <c r="H18" s="17" t="n">
        <v>386.405</v>
      </c>
      <c r="I18" s="17" t="n">
        <v>351.3964</v>
      </c>
      <c r="J18" s="17" t="n">
        <v>361.2516</v>
      </c>
      <c r="K18" s="17" t="n">
        <v>400.6822</v>
      </c>
      <c r="L18" s="17" t="n">
        <v>345.4899</v>
      </c>
      <c r="M18" s="17" t="n">
        <v>371.4913</v>
      </c>
      <c r="N18" s="17" t="n">
        <v>371.1991</v>
      </c>
      <c r="O18" s="17" t="n">
        <v>467.1632</v>
      </c>
      <c r="P18" s="17" t="n">
        <v>410.7177</v>
      </c>
      <c r="Q18" s="17" t="n">
        <v>394.9431</v>
      </c>
      <c r="R18" s="17" t="n">
        <v>431.9652</v>
      </c>
      <c r="S18" s="17" t="n">
        <v>386.5923</v>
      </c>
      <c r="T18" s="17" t="n">
        <v>346.8595</v>
      </c>
      <c r="U18" s="17" t="n">
        <v>328.2901</v>
      </c>
      <c r="V18" s="17" t="n">
        <v>328.4802</v>
      </c>
      <c r="W18" s="17" t="n">
        <v>325.2886</v>
      </c>
      <c r="X18" s="17" t="n">
        <v>349.2716</v>
      </c>
      <c r="Y18" s="17" t="n">
        <v>355.6859</v>
      </c>
      <c r="Z18" s="17" t="n">
        <v>361.393</v>
      </c>
      <c r="AA18" s="17" t="n">
        <v>328.1285</v>
      </c>
      <c r="AB18" s="17" t="n">
        <v>259.1238</v>
      </c>
      <c r="AC18" s="17" t="n">
        <v>273.8987</v>
      </c>
      <c r="AD18" s="17" t="n">
        <v>275.8753</v>
      </c>
      <c r="AE18" s="17" t="n">
        <v>262.9353</v>
      </c>
      <c r="AF18" s="17" t="n">
        <v>245.0281</v>
      </c>
      <c r="AG18" s="17" t="n">
        <v>229.0214</v>
      </c>
      <c r="AH18" s="17" t="n">
        <v>256.2115</v>
      </c>
      <c r="AI18" s="17" t="n">
        <v>236.9134</v>
      </c>
      <c r="AJ18" s="17" t="n">
        <v>229.674</v>
      </c>
      <c r="AK18" s="17" t="n">
        <v>224.7979</v>
      </c>
      <c r="AL18" s="17" t="n">
        <v>226.0809</v>
      </c>
      <c r="AM18" s="17" t="n">
        <v>231.5055</v>
      </c>
      <c r="AN18" s="17" t="n">
        <v>240.0776</v>
      </c>
      <c r="AO18" s="17" t="n">
        <v>227.2805</v>
      </c>
      <c r="AP18" s="17" t="n">
        <v>224.5735</v>
      </c>
      <c r="AQ18" s="17" t="n">
        <v>222.7124</v>
      </c>
      <c r="AR18" s="17" t="n">
        <v>233.6931</v>
      </c>
      <c r="AS18" s="17" t="n">
        <v>234.8714</v>
      </c>
      <c r="AT18" s="17" t="n">
        <v>230.0665</v>
      </c>
      <c r="AU18" s="17" t="n">
        <v>246.1678</v>
      </c>
      <c r="AV18" s="17" t="n">
        <v>260.6026</v>
      </c>
      <c r="AW18" s="17" t="n">
        <v>282.6551</v>
      </c>
      <c r="AX18" s="17" t="n">
        <v>251.1451</v>
      </c>
      <c r="AY18" s="17" t="n">
        <v>243.2726</v>
      </c>
      <c r="AZ18" s="17" t="n">
        <v>227.6297</v>
      </c>
      <c r="BA18" s="17" t="n">
        <v>229.2643</v>
      </c>
      <c r="BB18" s="17" t="n">
        <v>211.1976</v>
      </c>
      <c r="BC18" s="17" t="n">
        <v>203.7328</v>
      </c>
      <c r="BD18" s="17" t="n">
        <v>217.1554</v>
      </c>
      <c r="BE18" s="17" t="n">
        <v>202.9079</v>
      </c>
      <c r="BF18" s="17" t="n">
        <v>205.5867</v>
      </c>
      <c r="BG18" s="17" t="n">
        <v>223.819</v>
      </c>
      <c r="BH18" s="17" t="n">
        <v>244.0162</v>
      </c>
      <c r="BI18" s="17" t="n">
        <v>202.8891</v>
      </c>
      <c r="BJ18" s="17" t="n">
        <v>192.8787</v>
      </c>
      <c r="BK18" s="17" t="n">
        <v>181.3163</v>
      </c>
      <c r="BL18" s="17" t="n">
        <v>187.6809</v>
      </c>
      <c r="BM18" s="17" t="n">
        <v>176.6045</v>
      </c>
      <c r="BN18" s="17" t="n">
        <v>181</v>
      </c>
    </row>
    <row r="19">
      <c r="A19" s="7" t="inlineStr">
        <is>
          <t>Credit B only</t>
        </is>
      </c>
      <c r="B19" s="23" t="n">
        <v>330</v>
      </c>
      <c r="C19" s="24" t="n">
        <v>1.730140000000006</v>
      </c>
      <c r="D19" s="24" t="n">
        <v>5.668040000000019</v>
      </c>
      <c r="E19" s="25" t="n">
        <v>-13.86646000000002</v>
      </c>
      <c r="F19" s="25" t="n">
        <v>-82.84996000000001</v>
      </c>
      <c r="G19" s="17" t="n">
        <v>585.963</v>
      </c>
      <c r="H19" s="17" t="n">
        <v>662.8162</v>
      </c>
      <c r="I19" s="17" t="n">
        <v>644.1499</v>
      </c>
      <c r="J19" s="17" t="n">
        <v>656.5987</v>
      </c>
      <c r="K19" s="17" t="n">
        <v>795.0044</v>
      </c>
      <c r="L19" s="17" t="n">
        <v>606.6665</v>
      </c>
      <c r="M19" s="17" t="n">
        <v>650.2308</v>
      </c>
      <c r="N19" s="17" t="n">
        <v>690.5989</v>
      </c>
      <c r="O19" s="17" t="n">
        <v>872.5606</v>
      </c>
      <c r="P19" s="17" t="n">
        <v>929.5007000000001</v>
      </c>
      <c r="Q19" s="17" t="n">
        <v>781.0021</v>
      </c>
      <c r="R19" s="17" t="n">
        <v>870.4258</v>
      </c>
      <c r="S19" s="17" t="n">
        <v>739.1367</v>
      </c>
      <c r="T19" s="17" t="n">
        <v>628.2459</v>
      </c>
      <c r="U19" s="17" t="n">
        <v>604.2659</v>
      </c>
      <c r="V19" s="17" t="n">
        <v>608.9664</v>
      </c>
      <c r="W19" s="17" t="n">
        <v>633.1249</v>
      </c>
      <c r="X19" s="17" t="n">
        <v>722.1032</v>
      </c>
      <c r="Y19" s="17" t="n">
        <v>743.8469</v>
      </c>
      <c r="Z19" s="17" t="n">
        <v>726.8976</v>
      </c>
      <c r="AA19" s="17" t="n">
        <v>661.6002</v>
      </c>
      <c r="AB19" s="17" t="n">
        <v>600.7434</v>
      </c>
      <c r="AC19" s="17" t="n">
        <v>564.2652</v>
      </c>
      <c r="AD19" s="17" t="n">
        <v>562.2565</v>
      </c>
      <c r="AE19" s="17" t="n">
        <v>584.5017</v>
      </c>
      <c r="AF19" s="17" t="n">
        <v>534.8718</v>
      </c>
      <c r="AG19" s="17" t="n">
        <v>499.1215</v>
      </c>
      <c r="AH19" s="17" t="n">
        <v>534.4580999999999</v>
      </c>
      <c r="AI19" s="17" t="n">
        <v>447.8951</v>
      </c>
      <c r="AJ19" s="17" t="n">
        <v>437.6096</v>
      </c>
      <c r="AK19" s="17" t="n">
        <v>425.4481</v>
      </c>
      <c r="AL19" s="17" t="n">
        <v>425.6222</v>
      </c>
      <c r="AM19" s="17" t="n">
        <v>458.487</v>
      </c>
      <c r="AN19" s="17" t="n">
        <v>473.4896</v>
      </c>
      <c r="AO19" s="17" t="n">
        <v>466.4998</v>
      </c>
      <c r="AP19" s="17" t="n">
        <v>449.3414</v>
      </c>
      <c r="AQ19" s="17" t="n">
        <v>424.0104</v>
      </c>
      <c r="AR19" s="17" t="n">
        <v>471.4563</v>
      </c>
      <c r="AS19" s="17" t="n">
        <v>463.5264</v>
      </c>
      <c r="AT19" s="17" t="n">
        <v>453.4246</v>
      </c>
      <c r="AU19" s="17" t="n">
        <v>476.4673</v>
      </c>
      <c r="AV19" s="17" t="n">
        <v>519.5744</v>
      </c>
      <c r="AW19" s="17" t="n">
        <v>579.9714</v>
      </c>
      <c r="AX19" s="17" t="n">
        <v>499.7986</v>
      </c>
      <c r="AY19" s="17" t="n">
        <v>469.7966</v>
      </c>
      <c r="AZ19" s="17" t="n">
        <v>425.3983</v>
      </c>
      <c r="BA19" s="17" t="n">
        <v>420.207</v>
      </c>
      <c r="BB19" s="17" t="n">
        <v>387.1651</v>
      </c>
      <c r="BC19" s="17" t="n">
        <v>367.5703</v>
      </c>
      <c r="BD19" s="17" t="n">
        <v>385.6614</v>
      </c>
      <c r="BE19" s="17" t="n">
        <v>346.2155</v>
      </c>
      <c r="BF19" s="17" t="n">
        <v>343.1422</v>
      </c>
      <c r="BG19" s="17" t="n">
        <v>373.0124</v>
      </c>
      <c r="BH19" s="17" t="n">
        <v>423.5716</v>
      </c>
      <c r="BI19" s="17" t="n">
        <v>348.5895</v>
      </c>
      <c r="BJ19" s="17" t="n">
        <v>326.55</v>
      </c>
      <c r="BK19" s="17" t="n">
        <v>338.0714</v>
      </c>
      <c r="BL19" s="17" t="n">
        <v>340.0771</v>
      </c>
      <c r="BM19" s="17" t="n">
        <v>333.049</v>
      </c>
      <c r="BN19" s="17" t="n">
        <v>330</v>
      </c>
    </row>
    <row r="20">
      <c r="A20" s="7" t="inlineStr">
        <is>
          <t>Credit C only</t>
        </is>
      </c>
      <c r="B20" s="23" t="n">
        <v>496</v>
      </c>
      <c r="C20" s="24" t="n">
        <v>15.51760999999999</v>
      </c>
      <c r="D20" s="24" t="n">
        <v>363.8298100000001</v>
      </c>
      <c r="E20" s="25" t="n">
        <v>-18.46738999999991</v>
      </c>
      <c r="F20" s="25" t="n">
        <v>-132.6886900000001</v>
      </c>
      <c r="G20" s="17" t="n">
        <v>1899.97</v>
      </c>
      <c r="H20" s="17" t="n">
        <v>2150.4557</v>
      </c>
      <c r="I20" s="17" t="n">
        <v>2064.9023</v>
      </c>
      <c r="J20" s="17" t="n">
        <v>2534.4245</v>
      </c>
      <c r="K20" s="17" t="n">
        <v>2538.4096</v>
      </c>
      <c r="L20" s="17" t="n">
        <v>2566.623</v>
      </c>
      <c r="M20" s="17" t="n">
        <v>2907.5259</v>
      </c>
      <c r="N20" s="17" t="n">
        <v>3066.8625</v>
      </c>
      <c r="O20" s="17" t="n">
        <v>4108.5405</v>
      </c>
      <c r="P20" s="17" t="n">
        <v>4320.0147</v>
      </c>
      <c r="Q20" s="17" t="n">
        <v>3546.0862</v>
      </c>
      <c r="R20" s="17" t="n">
        <v>3903.4391</v>
      </c>
      <c r="S20" s="17" t="n">
        <v>4143.7821</v>
      </c>
      <c r="T20" s="17" t="n">
        <v>3464.518</v>
      </c>
      <c r="U20" s="17" t="n">
        <v>3623.6336</v>
      </c>
      <c r="V20" s="17" t="n">
        <v>2834.1446</v>
      </c>
      <c r="W20" s="17" t="n">
        <v>2919.3874</v>
      </c>
      <c r="X20" s="17" t="n">
        <v>3255.6742</v>
      </c>
      <c r="Y20" s="17" t="n">
        <v>3411.2141</v>
      </c>
      <c r="Z20" s="17" t="n">
        <v>3876.626</v>
      </c>
      <c r="AA20" s="17" t="n">
        <v>3223.1183</v>
      </c>
      <c r="AB20" s="17" t="n">
        <v>2969.3188</v>
      </c>
      <c r="AC20" s="17" t="n">
        <v>2932.2385</v>
      </c>
      <c r="AD20" s="17" t="n">
        <v>2920.3766</v>
      </c>
      <c r="AE20" s="17" t="n">
        <v>2941.5812</v>
      </c>
      <c r="AF20" s="17" t="n">
        <v>2834.7426</v>
      </c>
      <c r="AG20" s="17" t="n">
        <v>2838.3118</v>
      </c>
      <c r="AH20" s="17" t="n">
        <v>2823.0785</v>
      </c>
      <c r="AI20" s="17" t="n">
        <v>2592.0173</v>
      </c>
      <c r="AJ20" s="17" t="n">
        <v>2209.6463</v>
      </c>
      <c r="AK20" s="17" t="n">
        <v>2498.0898</v>
      </c>
      <c r="AL20" s="17" t="n">
        <v>2598.1779</v>
      </c>
      <c r="AM20" s="17" t="n">
        <v>2685.0789</v>
      </c>
      <c r="AN20" s="17" t="n">
        <v>2713.0231</v>
      </c>
      <c r="AO20" s="17" t="n">
        <v>2735.4223</v>
      </c>
      <c r="AP20" s="17" t="n">
        <v>2149.2873</v>
      </c>
      <c r="AQ20" s="17" t="n">
        <v>1872.3065</v>
      </c>
      <c r="AR20" s="17" t="n">
        <v>1843.2303</v>
      </c>
      <c r="AS20" s="17" t="n">
        <v>1538.6444</v>
      </c>
      <c r="AT20" s="17" t="n">
        <v>1420.4879</v>
      </c>
      <c r="AU20" s="17" t="n">
        <v>1525.7862</v>
      </c>
      <c r="AV20" s="17" t="n">
        <v>1716.736</v>
      </c>
      <c r="AW20" s="17" t="n">
        <v>1736.9717</v>
      </c>
      <c r="AX20" s="17" t="n">
        <v>1609.9564</v>
      </c>
      <c r="AY20" s="17" t="n">
        <v>1526.375</v>
      </c>
      <c r="AZ20" s="17" t="n">
        <v>1572.7772</v>
      </c>
      <c r="BA20" s="17" t="n">
        <v>1581.1263</v>
      </c>
      <c r="BB20" s="17" t="n">
        <v>1697.3176</v>
      </c>
      <c r="BC20" s="17" t="n">
        <v>1392.4459</v>
      </c>
      <c r="BD20" s="17" t="n">
        <v>1620.4869</v>
      </c>
      <c r="BE20" s="17" t="n">
        <v>1555.3418</v>
      </c>
      <c r="BF20" s="17" t="n">
        <v>1255.5527</v>
      </c>
      <c r="BG20" s="17" t="n">
        <v>1297.4487</v>
      </c>
      <c r="BH20" s="17" t="n">
        <v>1439.413</v>
      </c>
      <c r="BI20" s="17" t="n">
        <v>1272.4889</v>
      </c>
      <c r="BJ20" s="17" t="n">
        <v>1159.9363</v>
      </c>
      <c r="BK20" s="17" t="n">
        <v>1589.1978</v>
      </c>
      <c r="BL20" s="17" t="n">
        <v>1556.4321</v>
      </c>
      <c r="BM20" s="17" t="n">
        <v>1526.8402</v>
      </c>
      <c r="BN20" s="17" t="n">
        <v>496</v>
      </c>
    </row>
    <row r="21">
      <c r="A21" s="7" t="inlineStr">
        <is>
          <t>Credit IG only</t>
        </is>
      </c>
      <c r="B21" s="23" t="n">
        <v>96</v>
      </c>
      <c r="C21" s="24" t="n">
        <v>0.7986700000000013</v>
      </c>
      <c r="D21" s="24" t="n">
        <v>4.115669999999994</v>
      </c>
      <c r="E21" s="24" t="n">
        <v>3.182469999999995</v>
      </c>
      <c r="F21" s="25" t="n">
        <v>-12.65563</v>
      </c>
      <c r="G21" s="17" t="n">
        <v>150.4906</v>
      </c>
      <c r="H21" s="17" t="n">
        <v>160.1742</v>
      </c>
      <c r="I21" s="17" t="n">
        <v>143.2993</v>
      </c>
      <c r="J21" s="17" t="n">
        <v>160.3576</v>
      </c>
      <c r="K21" s="17" t="n">
        <v>224.5271</v>
      </c>
      <c r="L21" s="17" t="n">
        <v>149.5888</v>
      </c>
      <c r="M21" s="17" t="n">
        <v>165.4109</v>
      </c>
      <c r="N21" s="17" t="n">
        <v>159.981</v>
      </c>
      <c r="O21" s="17" t="n">
        <v>189.1008</v>
      </c>
      <c r="P21" s="17" t="n">
        <v>176.5584</v>
      </c>
      <c r="Q21" s="17" t="n">
        <v>162.5374</v>
      </c>
      <c r="R21" s="17" t="n">
        <v>190.8625</v>
      </c>
      <c r="S21" s="17" t="n">
        <v>181.3819</v>
      </c>
      <c r="T21" s="17" t="n">
        <v>151.7948</v>
      </c>
      <c r="U21" s="17" t="n">
        <v>134.3084</v>
      </c>
      <c r="V21" s="17" t="n">
        <v>144.2395</v>
      </c>
      <c r="W21" s="17" t="n">
        <v>135.4246</v>
      </c>
      <c r="X21" s="17" t="n">
        <v>153.43</v>
      </c>
      <c r="Y21" s="17" t="n">
        <v>143.6726</v>
      </c>
      <c r="Z21" s="17" t="n">
        <v>143.2781</v>
      </c>
      <c r="AA21" s="17" t="n">
        <v>130.7055</v>
      </c>
      <c r="AB21" s="17" t="n">
        <v>118.1894</v>
      </c>
      <c r="AC21" s="17" t="n">
        <v>125.4004</v>
      </c>
      <c r="AD21" s="17" t="n">
        <v>127.9514</v>
      </c>
      <c r="AE21" s="17" t="n">
        <v>130.0254</v>
      </c>
      <c r="AF21" s="17" t="n">
        <v>123.246</v>
      </c>
      <c r="AG21" s="17" t="n">
        <v>116.3937</v>
      </c>
      <c r="AH21" s="17" t="n">
        <v>133.944</v>
      </c>
      <c r="AI21" s="17" t="n">
        <v>121.6243</v>
      </c>
      <c r="AJ21" s="17" t="n">
        <v>115.7929</v>
      </c>
      <c r="AK21" s="17" t="n">
        <v>111.9209</v>
      </c>
      <c r="AL21" s="17" t="n">
        <v>108.5543</v>
      </c>
      <c r="AM21" s="17" t="n">
        <v>110.8662</v>
      </c>
      <c r="AN21" s="17" t="n">
        <v>121.8862</v>
      </c>
      <c r="AO21" s="17" t="n">
        <v>113.9842</v>
      </c>
      <c r="AP21" s="17" t="n">
        <v>115.4309</v>
      </c>
      <c r="AQ21" s="17" t="n">
        <v>113.9335</v>
      </c>
      <c r="AR21" s="17" t="n">
        <v>121.8589</v>
      </c>
      <c r="AS21" s="17" t="n">
        <v>119.2753</v>
      </c>
      <c r="AT21" s="17" t="n">
        <v>120.2489</v>
      </c>
      <c r="AU21" s="17" t="n">
        <v>127.2323</v>
      </c>
      <c r="AV21" s="17" t="n">
        <v>133.8202</v>
      </c>
      <c r="AW21" s="17" t="n">
        <v>139.4226</v>
      </c>
      <c r="AX21" s="17" t="n">
        <v>121.719</v>
      </c>
      <c r="AY21" s="17" t="n">
        <v>118.2207</v>
      </c>
      <c r="AZ21" s="17" t="n">
        <v>102.5007</v>
      </c>
      <c r="BA21" s="17" t="n">
        <v>101.3021</v>
      </c>
      <c r="BB21" s="17" t="n">
        <v>93.2444</v>
      </c>
      <c r="BC21" s="17" t="n">
        <v>89.0746</v>
      </c>
      <c r="BD21" s="17" t="n">
        <v>99.5625</v>
      </c>
      <c r="BE21" s="17" t="n">
        <v>91.6033</v>
      </c>
      <c r="BF21" s="17" t="n">
        <v>93.9562</v>
      </c>
      <c r="BG21" s="17" t="n">
        <v>102.0937</v>
      </c>
      <c r="BH21" s="17" t="n">
        <v>113.1985</v>
      </c>
      <c r="BI21" s="17" t="n">
        <v>91.7067</v>
      </c>
      <c r="BJ21" s="17" t="n">
        <v>89.25020000000001</v>
      </c>
      <c r="BK21" s="17" t="n">
        <v>89.3792</v>
      </c>
      <c r="BL21" s="17" t="n">
        <v>98.0194</v>
      </c>
      <c r="BM21" s="17" t="n">
        <v>92.063</v>
      </c>
      <c r="BN21" s="17" t="n">
        <v>96</v>
      </c>
    </row>
    <row r="22">
      <c r="A22" s="7" t="inlineStr">
        <is>
          <t>Credit Non-IG</t>
        </is>
      </c>
      <c r="B22" s="23" t="n">
        <v>261</v>
      </c>
      <c r="C22" s="25" t="n">
        <v>-0.1699999999999591</v>
      </c>
      <c r="D22" s="25" t="n">
        <v>-9.057099999999991</v>
      </c>
      <c r="E22" s="25" t="n">
        <v>-54.03059999999999</v>
      </c>
      <c r="F22" s="25" t="n">
        <v>-143.075</v>
      </c>
      <c r="G22" s="17" t="n">
        <v>600.1143</v>
      </c>
      <c r="H22" s="17" t="n">
        <v>671.825</v>
      </c>
      <c r="I22" s="17" t="n">
        <v>639.6273</v>
      </c>
      <c r="J22" s="17" t="n">
        <v>652.1902</v>
      </c>
      <c r="K22" s="17" t="n">
        <v>759.4079</v>
      </c>
      <c r="L22" s="17" t="n">
        <v>684.0659000000001</v>
      </c>
      <c r="M22" s="17" t="n">
        <v>743.7373</v>
      </c>
      <c r="N22" s="17" t="n">
        <v>774.8456</v>
      </c>
      <c r="O22" s="17" t="n">
        <v>966.7631</v>
      </c>
      <c r="P22" s="17" t="n">
        <v>961.3858</v>
      </c>
      <c r="Q22" s="17" t="n">
        <v>900.634</v>
      </c>
      <c r="R22" s="17" t="n">
        <v>992.5852</v>
      </c>
      <c r="S22" s="17" t="n">
        <v>957.1935999999999</v>
      </c>
      <c r="T22" s="17" t="n">
        <v>834.7713</v>
      </c>
      <c r="U22" s="17" t="n">
        <v>823.0536</v>
      </c>
      <c r="V22" s="17" t="n">
        <v>778.8055000000001</v>
      </c>
      <c r="W22" s="17" t="n">
        <v>794.8623</v>
      </c>
      <c r="X22" s="17" t="n">
        <v>865.2752</v>
      </c>
      <c r="Y22" s="17" t="n">
        <v>885.5225</v>
      </c>
      <c r="Z22" s="17" t="n">
        <v>895.0993999999999</v>
      </c>
      <c r="AA22" s="17" t="n">
        <v>802.3894</v>
      </c>
      <c r="AB22" s="17" t="n">
        <v>734.0257</v>
      </c>
      <c r="AC22" s="17" t="n">
        <v>780.0031</v>
      </c>
      <c r="AD22" s="17" t="n">
        <v>788.9978</v>
      </c>
      <c r="AE22" s="17" t="n">
        <v>791.891</v>
      </c>
      <c r="AF22" s="17" t="n">
        <v>734.2073</v>
      </c>
      <c r="AG22" s="17" t="n">
        <v>700.73</v>
      </c>
      <c r="AH22" s="17" t="n">
        <v>723.1468</v>
      </c>
      <c r="AI22" s="17" t="n">
        <v>654.7813</v>
      </c>
      <c r="AJ22" s="17" t="n">
        <v>607.0513999999999</v>
      </c>
      <c r="AK22" s="17" t="n">
        <v>680.5226</v>
      </c>
      <c r="AL22" s="17" t="n">
        <v>707.9076</v>
      </c>
      <c r="AM22" s="17" t="n">
        <v>731.1135</v>
      </c>
      <c r="AN22" s="17" t="n">
        <v>738.8284</v>
      </c>
      <c r="AO22" s="17" t="n">
        <v>725.9484</v>
      </c>
      <c r="AP22" s="17" t="n">
        <v>659.5948</v>
      </c>
      <c r="AQ22" s="17" t="n">
        <v>609.0512</v>
      </c>
      <c r="AR22" s="17" t="n">
        <v>589.4704</v>
      </c>
      <c r="AS22" s="17" t="n">
        <v>558.7322</v>
      </c>
      <c r="AT22" s="17" t="n">
        <v>537.5291</v>
      </c>
      <c r="AU22" s="17" t="n">
        <v>558.7114</v>
      </c>
      <c r="AV22" s="17" t="n">
        <v>596.9862000000001</v>
      </c>
      <c r="AW22" s="17" t="n">
        <v>634.2592</v>
      </c>
      <c r="AX22" s="17" t="n">
        <v>575.7517</v>
      </c>
      <c r="AY22" s="17" t="n">
        <v>549.4684999999999</v>
      </c>
      <c r="AZ22" s="17" t="n">
        <v>532.8847</v>
      </c>
      <c r="BA22" s="17" t="n">
        <v>525.0037</v>
      </c>
      <c r="BB22" s="17" t="n">
        <v>508.5171</v>
      </c>
      <c r="BC22" s="17" t="n">
        <v>466.0622</v>
      </c>
      <c r="BD22" s="17" t="n">
        <v>466.4076</v>
      </c>
      <c r="BE22" s="17" t="n">
        <v>439.7291</v>
      </c>
      <c r="BF22" s="17" t="n">
        <v>422.3399</v>
      </c>
      <c r="BG22" s="17" t="n">
        <v>442.6489</v>
      </c>
      <c r="BH22" s="17" t="n">
        <v>490.883</v>
      </c>
      <c r="BI22" s="17" t="n">
        <v>422.1841</v>
      </c>
      <c r="BJ22" s="17" t="n">
        <v>397.0004</v>
      </c>
      <c r="BK22" s="17" t="n">
        <v>391.7167</v>
      </c>
      <c r="BL22" s="17" t="n">
        <v>397.6058</v>
      </c>
      <c r="BM22" s="17" t="n">
        <v>384.1345</v>
      </c>
      <c r="BN22" s="17" t="n">
        <v>261</v>
      </c>
    </row>
    <row r="24">
      <c r="A24" s="2" t="inlineStr">
        <is>
          <t>COUNTRIES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</row>
    <row r="25">
      <c r="A25" s="10" t="inlineStr">
        <is>
          <t>Angola</t>
        </is>
      </c>
      <c r="B25" s="17" t="n">
        <v>392</v>
      </c>
      <c r="C25" s="26" t="n">
        <v>-22.89968000000005</v>
      </c>
      <c r="D25" s="26" t="n">
        <v>-35.35968000000003</v>
      </c>
      <c r="E25" s="26" t="n">
        <v>-170.03408</v>
      </c>
      <c r="F25" s="26" t="n">
        <v>-235.6448800000001</v>
      </c>
      <c r="G25" s="17" t="n">
        <v>715.1856</v>
      </c>
      <c r="H25" s="17" t="n">
        <v>830.5574</v>
      </c>
      <c r="I25" s="17" t="n">
        <v>722.4915</v>
      </c>
      <c r="J25" s="17" t="n">
        <v>685.8638999999999</v>
      </c>
      <c r="K25" s="17" t="n">
        <v>703.4267</v>
      </c>
      <c r="L25" s="17" t="n">
        <v>614.7287</v>
      </c>
      <c r="M25" s="17" t="n">
        <v>665.6402</v>
      </c>
      <c r="N25" s="17" t="n">
        <v>672.1958</v>
      </c>
      <c r="O25" s="17" t="n">
        <v>936.583</v>
      </c>
      <c r="P25" s="17" t="n">
        <v>923.1626</v>
      </c>
      <c r="Q25" s="17" t="n">
        <v>841.5494</v>
      </c>
      <c r="R25" s="17" t="n">
        <v>952.9872</v>
      </c>
      <c r="S25" s="17" t="n">
        <v>778.9549</v>
      </c>
      <c r="T25" s="17" t="n">
        <v>666.0988</v>
      </c>
      <c r="U25" s="17" t="n">
        <v>696.8931</v>
      </c>
      <c r="V25" s="17" t="n">
        <v>622.0622</v>
      </c>
      <c r="W25" s="17" t="n">
        <v>626.2188</v>
      </c>
      <c r="X25" s="17" t="n">
        <v>772.2224</v>
      </c>
      <c r="Y25" s="17" t="n">
        <v>813.7242</v>
      </c>
      <c r="Z25" s="17" t="n">
        <v>780.8642</v>
      </c>
      <c r="AA25" s="17" t="n">
        <v>748.2155</v>
      </c>
      <c r="AB25" s="17" t="n">
        <v>669.0416</v>
      </c>
      <c r="AC25" s="17" t="n">
        <v>770.2693</v>
      </c>
      <c r="AD25" s="17" t="n">
        <v>764.7682</v>
      </c>
      <c r="AE25" s="17" t="n">
        <v>781.1844</v>
      </c>
      <c r="AF25" s="17" t="n">
        <v>739.5791</v>
      </c>
      <c r="AG25" s="17" t="n">
        <v>684.5513</v>
      </c>
      <c r="AH25" s="17" t="n">
        <v>732.4952</v>
      </c>
      <c r="AI25" s="17" t="n">
        <v>662.0124</v>
      </c>
      <c r="AJ25" s="17" t="n">
        <v>586.7254</v>
      </c>
      <c r="AK25" s="17" t="n">
        <v>567.8618</v>
      </c>
      <c r="AL25" s="17" t="n">
        <v>596.2953</v>
      </c>
      <c r="AM25" s="17" t="n">
        <v>625.044</v>
      </c>
      <c r="AN25" s="17" t="n">
        <v>648.9271</v>
      </c>
      <c r="AO25" s="17" t="n">
        <v>641.8527</v>
      </c>
      <c r="AP25" s="17" t="n">
        <v>683.1749</v>
      </c>
      <c r="AQ25" s="17" t="n">
        <v>620.0589</v>
      </c>
      <c r="AR25" s="17" t="n">
        <v>652.7406999999999</v>
      </c>
      <c r="AS25" s="17" t="n">
        <v>648.962</v>
      </c>
      <c r="AT25" s="17" t="n">
        <v>643.7998</v>
      </c>
      <c r="AU25" s="17" t="n">
        <v>667.4066</v>
      </c>
      <c r="AV25" s="17" t="n">
        <v>735.1215999999999</v>
      </c>
      <c r="AW25" s="17" t="n">
        <v>969.7274</v>
      </c>
      <c r="AX25" s="17" t="n">
        <v>820.8549</v>
      </c>
      <c r="AY25" s="17" t="n">
        <v>710.5462</v>
      </c>
      <c r="AZ25" s="17" t="n">
        <v>649.6441</v>
      </c>
      <c r="BA25" s="17" t="n">
        <v>635.2362000000001</v>
      </c>
      <c r="BB25" s="17" t="n">
        <v>586.9918</v>
      </c>
      <c r="BC25" s="17" t="n">
        <v>611.7430000000001</v>
      </c>
      <c r="BD25" s="17" t="n">
        <v>598.2868999999999</v>
      </c>
      <c r="BE25" s="17" t="n">
        <v>560.3601</v>
      </c>
      <c r="BF25" s="17" t="n">
        <v>547.7074</v>
      </c>
      <c r="BG25" s="17" t="n">
        <v>552.6826</v>
      </c>
      <c r="BH25" s="17" t="n">
        <v>544.2441</v>
      </c>
      <c r="BI25" s="17" t="n">
        <v>421.3499</v>
      </c>
      <c r="BJ25" s="17" t="n">
        <v>431.9046</v>
      </c>
      <c r="BK25" s="17" t="n">
        <v>451.6184</v>
      </c>
      <c r="BL25" s="17" t="n">
        <v>418.7158</v>
      </c>
      <c r="BM25" s="17" t="n">
        <v>411.9603</v>
      </c>
      <c r="BN25" s="17" t="n">
        <v>392</v>
      </c>
    </row>
    <row r="26">
      <c r="A26" s="10" t="inlineStr">
        <is>
          <t>Argentina</t>
        </is>
      </c>
      <c r="B26" s="17" t="n">
        <v>497</v>
      </c>
      <c r="C26" s="27" t="n">
        <v>45.68449999999996</v>
      </c>
      <c r="D26" s="26" t="n">
        <v>-0.1677999999999997</v>
      </c>
      <c r="E26" s="26" t="n">
        <v>-63.00900000000001</v>
      </c>
      <c r="F26" s="26" t="n">
        <v>-610.3239999999996</v>
      </c>
      <c r="G26" s="17" t="n">
        <v>1712.1385</v>
      </c>
      <c r="H26" s="17" t="n">
        <v>1913.6114</v>
      </c>
      <c r="I26" s="17" t="n">
        <v>1687.7948</v>
      </c>
      <c r="J26" s="17" t="n">
        <v>1722.9907</v>
      </c>
      <c r="K26" s="17" t="n">
        <v>1815.5363</v>
      </c>
      <c r="L26" s="17" t="n">
        <v>1718.1292</v>
      </c>
      <c r="M26" s="17" t="n">
        <v>1801.401</v>
      </c>
      <c r="N26" s="17" t="n">
        <v>1917.5386</v>
      </c>
      <c r="O26" s="17" t="n">
        <v>2428.234</v>
      </c>
      <c r="P26" s="17" t="n">
        <v>2398.101</v>
      </c>
      <c r="Q26" s="17" t="n">
        <v>2384.8974</v>
      </c>
      <c r="R26" s="17" t="n">
        <v>2800.5387</v>
      </c>
      <c r="S26" s="17" t="n">
        <v>2624.3871</v>
      </c>
      <c r="T26" s="17" t="n">
        <v>2247.9629</v>
      </c>
      <c r="U26" s="17" t="n">
        <v>2195.8222</v>
      </c>
      <c r="V26" s="17" t="n">
        <v>1820.6747</v>
      </c>
      <c r="W26" s="17" t="n">
        <v>1958.1977</v>
      </c>
      <c r="X26" s="17" t="n">
        <v>2300.0814</v>
      </c>
      <c r="Y26" s="17" t="n">
        <v>2681.3703</v>
      </c>
      <c r="Z26" s="17" t="n">
        <v>2594.583</v>
      </c>
      <c r="AA26" s="17" t="n">
        <v>2037.0473</v>
      </c>
      <c r="AB26" s="17" t="n">
        <v>1982.2987</v>
      </c>
      <c r="AC26" s="17" t="n">
        <v>2096.607</v>
      </c>
      <c r="AD26" s="17" t="n">
        <v>2538.6507</v>
      </c>
      <c r="AE26" s="17" t="n">
        <v>2575.6119</v>
      </c>
      <c r="AF26" s="17" t="n">
        <v>1984.3862</v>
      </c>
      <c r="AG26" s="17" t="n">
        <v>1907.3283</v>
      </c>
      <c r="AH26" s="17" t="n">
        <v>1963.5837</v>
      </c>
      <c r="AI26" s="17" t="n">
        <v>1702.3499</v>
      </c>
      <c r="AJ26" s="17" t="n">
        <v>1452.3576</v>
      </c>
      <c r="AK26" s="17" t="n">
        <v>1215.4486</v>
      </c>
      <c r="AL26" s="17" t="n">
        <v>1340.6779</v>
      </c>
      <c r="AM26" s="17" t="n">
        <v>1455.2481</v>
      </c>
      <c r="AN26" s="17" t="n">
        <v>1510.4132</v>
      </c>
      <c r="AO26" s="17" t="n">
        <v>1433.2091</v>
      </c>
      <c r="AP26" s="17" t="n">
        <v>1283.6628</v>
      </c>
      <c r="AQ26" s="17" t="n">
        <v>983.9679</v>
      </c>
      <c r="AR26" s="17" t="n">
        <v>754.7496</v>
      </c>
      <c r="AS26" s="17" t="n">
        <v>634.9773</v>
      </c>
      <c r="AT26" s="17" t="n">
        <v>624.5923</v>
      </c>
      <c r="AU26" s="17" t="n">
        <v>784.1164</v>
      </c>
      <c r="AV26" s="17" t="n">
        <v>819.4018</v>
      </c>
      <c r="AW26" s="17" t="n">
        <v>722.2536</v>
      </c>
      <c r="AX26" s="17" t="n">
        <v>677.6842</v>
      </c>
      <c r="AY26" s="17" t="n">
        <v>700.9739</v>
      </c>
      <c r="AZ26" s="17" t="n">
        <v>729.5615</v>
      </c>
      <c r="BA26" s="17" t="n">
        <v>828.5319</v>
      </c>
      <c r="BB26" s="17" t="n">
        <v>1221.8445</v>
      </c>
      <c r="BC26" s="17" t="n">
        <v>661.5792</v>
      </c>
      <c r="BD26" s="17" t="n">
        <v>645.3842</v>
      </c>
      <c r="BE26" s="17" t="n">
        <v>560.5453</v>
      </c>
      <c r="BF26" s="17" t="n">
        <v>491.6939</v>
      </c>
      <c r="BG26" s="17" t="n">
        <v>576.0062</v>
      </c>
      <c r="BH26" s="17" t="n">
        <v>616.4815</v>
      </c>
      <c r="BI26" s="17" t="n">
        <v>555.6202</v>
      </c>
      <c r="BJ26" s="17" t="n">
        <v>494.167</v>
      </c>
      <c r="BK26" s="17" t="n">
        <v>424.4025</v>
      </c>
      <c r="BL26" s="17" t="n">
        <v>433.6833</v>
      </c>
      <c r="BM26" s="17" t="n">
        <v>514.0199</v>
      </c>
      <c r="BN26" s="17" t="n">
        <v>497</v>
      </c>
    </row>
    <row r="27">
      <c r="A27" s="10" t="inlineStr">
        <is>
          <t>Armenia</t>
        </is>
      </c>
      <c r="B27" s="17" t="n">
        <v>148</v>
      </c>
      <c r="C27" s="15" t="n">
        <v>0</v>
      </c>
      <c r="D27" s="15" t="n">
        <v>0</v>
      </c>
      <c r="E27" s="15" t="n">
        <v>0</v>
      </c>
      <c r="F27" s="15" t="n">
        <v>0</v>
      </c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  <c r="O27" s="17" t="inlineStr"/>
      <c r="P27" s="17" t="inlineStr"/>
      <c r="Q27" s="17" t="inlineStr"/>
      <c r="R27" s="17" t="inlineStr"/>
      <c r="S27" s="17" t="inlineStr"/>
      <c r="T27" s="17" t="inlineStr"/>
      <c r="U27" s="17" t="inlineStr"/>
      <c r="V27" s="17" t="inlineStr"/>
      <c r="W27" s="17" t="inlineStr"/>
      <c r="X27" s="17" t="inlineStr"/>
      <c r="Y27" s="17" t="inlineStr"/>
      <c r="Z27" s="17" t="inlineStr"/>
      <c r="AA27" s="17" t="inlineStr"/>
      <c r="AB27" s="17" t="inlineStr"/>
      <c r="AC27" s="17" t="inlineStr"/>
      <c r="AD27" s="17" t="inlineStr"/>
      <c r="AE27" s="17" t="inlineStr"/>
      <c r="AF27" s="17" t="inlineStr"/>
      <c r="AG27" s="17" t="inlineStr"/>
      <c r="AH27" s="17" t="inlineStr"/>
      <c r="AI27" s="17" t="inlineStr"/>
      <c r="AJ27" s="17" t="inlineStr"/>
      <c r="AK27" s="17" t="inlineStr"/>
      <c r="AL27" s="17" t="inlineStr"/>
      <c r="AM27" s="17" t="inlineStr"/>
      <c r="AN27" s="17" t="inlineStr"/>
      <c r="AO27" s="17" t="inlineStr"/>
      <c r="AP27" s="17" t="inlineStr"/>
      <c r="AQ27" s="17" t="inlineStr"/>
      <c r="AR27" s="17" t="inlineStr"/>
      <c r="AS27" s="17" t="inlineStr"/>
      <c r="AT27" s="17" t="inlineStr"/>
      <c r="AU27" s="17" t="inlineStr"/>
      <c r="AV27" s="17" t="inlineStr"/>
      <c r="AW27" s="17" t="inlineStr"/>
      <c r="AX27" s="17" t="inlineStr"/>
      <c r="AY27" s="17" t="inlineStr"/>
      <c r="AZ27" s="17" t="inlineStr"/>
      <c r="BA27" s="17" t="inlineStr"/>
      <c r="BB27" s="17" t="inlineStr"/>
      <c r="BC27" s="17" t="inlineStr"/>
      <c r="BD27" s="17" t="inlineStr"/>
      <c r="BE27" s="17" t="inlineStr"/>
      <c r="BF27" s="17" t="inlineStr"/>
      <c r="BG27" s="17" t="inlineStr"/>
      <c r="BH27" s="17" t="inlineStr"/>
      <c r="BI27" s="17" t="inlineStr"/>
      <c r="BJ27" s="17" t="inlineStr"/>
      <c r="BK27" s="17" t="inlineStr"/>
      <c r="BL27" s="17" t="inlineStr"/>
      <c r="BM27" s="17" t="inlineStr"/>
      <c r="BN27" s="17" t="n">
        <v>148</v>
      </c>
    </row>
    <row r="28">
      <c r="A28" s="10" t="inlineStr">
        <is>
          <t>Azerbaijan</t>
        </is>
      </c>
      <c r="B28" s="17" t="n">
        <v>50</v>
      </c>
      <c r="C28" s="26" t="n">
        <v>-20.59361</v>
      </c>
      <c r="D28" s="26" t="n">
        <v>-6.009509999999999</v>
      </c>
      <c r="E28" s="26" t="n">
        <v>-39.72901</v>
      </c>
      <c r="F28" s="26" t="n">
        <v>-81.13300999999997</v>
      </c>
      <c r="G28" s="17" t="n">
        <v>162.5923</v>
      </c>
      <c r="H28" s="17" t="n">
        <v>207.4234</v>
      </c>
      <c r="I28" s="17" t="n">
        <v>182.8305</v>
      </c>
      <c r="J28" s="17" t="n">
        <v>168.5362</v>
      </c>
      <c r="K28" s="17" t="n">
        <v>212.7778</v>
      </c>
      <c r="L28" s="17" t="n">
        <v>195.2996</v>
      </c>
      <c r="M28" s="17" t="n">
        <v>215.5297</v>
      </c>
      <c r="N28" s="17" t="n">
        <v>270.4652</v>
      </c>
      <c r="O28" s="17" t="n">
        <v>373.7464</v>
      </c>
      <c r="P28" s="17" t="n">
        <v>292.9149</v>
      </c>
      <c r="Q28" s="17" t="n">
        <v>204.1012</v>
      </c>
      <c r="R28" s="17" t="n">
        <v>281.1488</v>
      </c>
      <c r="S28" s="17" t="n">
        <v>260.3086</v>
      </c>
      <c r="T28" s="17" t="n">
        <v>205.7334</v>
      </c>
      <c r="U28" s="17" t="n">
        <v>181.2041</v>
      </c>
      <c r="V28" s="17" t="n">
        <v>188.828</v>
      </c>
      <c r="W28" s="17" t="n">
        <v>163.8661</v>
      </c>
      <c r="X28" s="17" t="n">
        <v>225.5633</v>
      </c>
      <c r="Y28" s="17" t="n">
        <v>198.2672</v>
      </c>
      <c r="Z28" s="17" t="n">
        <v>198.6222</v>
      </c>
      <c r="AA28" s="17" t="n">
        <v>170.4437</v>
      </c>
      <c r="AB28" s="17" t="n">
        <v>159.5674</v>
      </c>
      <c r="AC28" s="17" t="n">
        <v>178.5676</v>
      </c>
      <c r="AD28" s="17" t="n">
        <v>191.6879</v>
      </c>
      <c r="AE28" s="17" t="n">
        <v>230.5975</v>
      </c>
      <c r="AF28" s="17" t="n">
        <v>191.5156</v>
      </c>
      <c r="AG28" s="17" t="n">
        <v>173.1012</v>
      </c>
      <c r="AH28" s="17" t="n">
        <v>199.1863</v>
      </c>
      <c r="AI28" s="17" t="n">
        <v>173.0769</v>
      </c>
      <c r="AJ28" s="17" t="n">
        <v>173.6875</v>
      </c>
      <c r="AK28" s="17" t="n">
        <v>165.3405</v>
      </c>
      <c r="AL28" s="17" t="n">
        <v>162.8533</v>
      </c>
      <c r="AM28" s="17" t="n">
        <v>164.0715</v>
      </c>
      <c r="AN28" s="17" t="n">
        <v>181.549</v>
      </c>
      <c r="AO28" s="17" t="n">
        <v>156.7636</v>
      </c>
      <c r="AP28" s="17" t="n">
        <v>157.2464</v>
      </c>
      <c r="AQ28" s="17" t="n">
        <v>145.8612</v>
      </c>
      <c r="AR28" s="17" t="n">
        <v>152.4822</v>
      </c>
      <c r="AS28" s="17" t="n">
        <v>165.1196</v>
      </c>
      <c r="AT28" s="17" t="n">
        <v>156.9419</v>
      </c>
      <c r="AU28" s="17" t="n">
        <v>163.383</v>
      </c>
      <c r="AV28" s="17" t="n">
        <v>169.0626</v>
      </c>
      <c r="AW28" s="17" t="n">
        <v>194.0582</v>
      </c>
      <c r="AX28" s="17" t="n">
        <v>164.6781</v>
      </c>
      <c r="AY28" s="17" t="n">
        <v>144.8068</v>
      </c>
      <c r="AZ28" s="17" t="n">
        <v>108.3135</v>
      </c>
      <c r="BA28" s="17" t="n">
        <v>117.6541</v>
      </c>
      <c r="BB28" s="17" t="n">
        <v>107.8454</v>
      </c>
      <c r="BC28" s="17" t="n">
        <v>100.2674</v>
      </c>
      <c r="BD28" s="17" t="n">
        <v>112.1165</v>
      </c>
      <c r="BE28" s="17" t="n">
        <v>87.3695</v>
      </c>
      <c r="BF28" s="17" t="n">
        <v>93.61360000000001</v>
      </c>
      <c r="BG28" s="17" t="n">
        <v>110.8105</v>
      </c>
      <c r="BH28" s="17" t="n">
        <v>107.8073</v>
      </c>
      <c r="BI28" s="17" t="n">
        <v>65.5067</v>
      </c>
      <c r="BJ28" s="17" t="n">
        <v>58.8103</v>
      </c>
      <c r="BK28" s="17" t="n">
        <v>62.3121</v>
      </c>
      <c r="BL28" s="17" t="n">
        <v>71.86879999999999</v>
      </c>
      <c r="BM28" s="17" t="n">
        <v>53.9437</v>
      </c>
      <c r="BN28" s="17" t="n">
        <v>50</v>
      </c>
    </row>
    <row r="29">
      <c r="A29" s="10" t="inlineStr">
        <is>
          <t>Bahrain</t>
        </is>
      </c>
      <c r="B29" s="17" t="n">
        <v>268</v>
      </c>
      <c r="C29" s="27" t="n">
        <v>11.54442999999998</v>
      </c>
      <c r="D29" s="27" t="n">
        <v>30.68822999999998</v>
      </c>
      <c r="E29" s="27" t="n">
        <v>65.27902999999998</v>
      </c>
      <c r="F29" s="27" t="n">
        <v>66.13782999999998</v>
      </c>
      <c r="G29" s="17" t="n">
        <v>381.2545</v>
      </c>
      <c r="H29" s="17" t="n">
        <v>414.4931</v>
      </c>
      <c r="I29" s="17" t="n">
        <v>393.1719</v>
      </c>
      <c r="J29" s="17" t="n">
        <v>391.7344</v>
      </c>
      <c r="K29" s="17" t="n">
        <v>411.7578</v>
      </c>
      <c r="L29" s="17" t="n">
        <v>324.3574</v>
      </c>
      <c r="M29" s="17" t="n">
        <v>324.9949</v>
      </c>
      <c r="N29" s="17" t="n">
        <v>338.8949</v>
      </c>
      <c r="O29" s="17" t="n">
        <v>405.1731</v>
      </c>
      <c r="P29" s="17" t="n">
        <v>439.339</v>
      </c>
      <c r="Q29" s="17" t="n">
        <v>359.9936</v>
      </c>
      <c r="R29" s="17" t="n">
        <v>367.5396</v>
      </c>
      <c r="S29" s="17" t="n">
        <v>349.6892</v>
      </c>
      <c r="T29" s="17" t="n">
        <v>309.447</v>
      </c>
      <c r="U29" s="17" t="n">
        <v>277.3058</v>
      </c>
      <c r="V29" s="17" t="n">
        <v>284.2487</v>
      </c>
      <c r="W29" s="17" t="n">
        <v>253.2273</v>
      </c>
      <c r="X29" s="17" t="n">
        <v>310.6074</v>
      </c>
      <c r="Y29" s="17" t="n">
        <v>319.6593</v>
      </c>
      <c r="Z29" s="17" t="n">
        <v>327.9121</v>
      </c>
      <c r="AA29" s="17" t="n">
        <v>285.4403</v>
      </c>
      <c r="AB29" s="17" t="n">
        <v>253.0105</v>
      </c>
      <c r="AC29" s="17" t="n">
        <v>261.1105</v>
      </c>
      <c r="AD29" s="17" t="n">
        <v>249.8408</v>
      </c>
      <c r="AE29" s="17" t="n">
        <v>270.6948</v>
      </c>
      <c r="AF29" s="17" t="n">
        <v>252.582</v>
      </c>
      <c r="AG29" s="17" t="n">
        <v>258.6567</v>
      </c>
      <c r="AH29" s="17" t="n">
        <v>276.2266</v>
      </c>
      <c r="AI29" s="17" t="n">
        <v>246.6208</v>
      </c>
      <c r="AJ29" s="17" t="n">
        <v>233.458</v>
      </c>
      <c r="AK29" s="17" t="n">
        <v>220.7035</v>
      </c>
      <c r="AL29" s="17" t="n">
        <v>206.6763</v>
      </c>
      <c r="AM29" s="17" t="n">
        <v>221.9324</v>
      </c>
      <c r="AN29" s="17" t="n">
        <v>241.7961</v>
      </c>
      <c r="AO29" s="17" t="n">
        <v>232.3469</v>
      </c>
      <c r="AP29" s="17" t="n">
        <v>220.2931</v>
      </c>
      <c r="AQ29" s="17" t="n">
        <v>208.4872</v>
      </c>
      <c r="AR29" s="17" t="n">
        <v>219.9641</v>
      </c>
      <c r="AS29" s="17" t="n">
        <v>208.7418</v>
      </c>
      <c r="AT29" s="17" t="n">
        <v>202.2741</v>
      </c>
      <c r="AU29" s="17" t="n">
        <v>225.5462</v>
      </c>
      <c r="AV29" s="17" t="n">
        <v>229.3991</v>
      </c>
      <c r="AW29" s="17" t="n">
        <v>261.308</v>
      </c>
      <c r="AX29" s="17" t="n">
        <v>236.7101</v>
      </c>
      <c r="AY29" s="17" t="n">
        <v>248.4858</v>
      </c>
      <c r="AZ29" s="17" t="n">
        <v>205.9729</v>
      </c>
      <c r="BA29" s="17" t="n">
        <v>204.7792</v>
      </c>
      <c r="BB29" s="17" t="n">
        <v>179.1115</v>
      </c>
      <c r="BC29" s="17" t="n">
        <v>180.5871</v>
      </c>
      <c r="BD29" s="17" t="n">
        <v>207.2993</v>
      </c>
      <c r="BE29" s="17" t="n">
        <v>202.3012</v>
      </c>
      <c r="BF29" s="17" t="n">
        <v>226.6951</v>
      </c>
      <c r="BG29" s="17" t="n">
        <v>245.3208</v>
      </c>
      <c r="BH29" s="17" t="n">
        <v>314.7187</v>
      </c>
      <c r="BI29" s="17" t="n">
        <v>253.9236</v>
      </c>
      <c r="BJ29" s="17" t="n">
        <v>230.2122</v>
      </c>
      <c r="BK29" s="17" t="n">
        <v>249.6608</v>
      </c>
      <c r="BL29" s="17" t="n">
        <v>283.9627</v>
      </c>
      <c r="BM29" s="17" t="n">
        <v>258.5788</v>
      </c>
      <c r="BN29" s="17" t="n">
        <v>268</v>
      </c>
    </row>
    <row r="30">
      <c r="A30" s="10" t="inlineStr">
        <is>
          <t>Barbados</t>
        </is>
      </c>
      <c r="B30" s="17" t="n">
        <v>212</v>
      </c>
      <c r="C30" s="26" t="n">
        <v>-9.718160000000012</v>
      </c>
      <c r="D30" s="26" t="n">
        <v>-26.71476000000001</v>
      </c>
      <c r="E30" s="26" t="n">
        <v>-83.77115999999998</v>
      </c>
      <c r="F30" s="26" t="n">
        <v>-157.15336</v>
      </c>
      <c r="G30" s="17" t="n">
        <v>494.5488</v>
      </c>
      <c r="H30" s="17" t="n">
        <v>492.7577</v>
      </c>
      <c r="I30" s="17" t="n">
        <v>499.3767</v>
      </c>
      <c r="J30" s="17" t="n">
        <v>466.0488</v>
      </c>
      <c r="K30" s="17" t="n">
        <v>500.6607</v>
      </c>
      <c r="L30" s="17" t="n">
        <v>470.1609</v>
      </c>
      <c r="M30" s="17" t="n">
        <v>432.2838</v>
      </c>
      <c r="N30" s="17" t="n">
        <v>451.2213</v>
      </c>
      <c r="O30" s="17" t="n">
        <v>418.8715</v>
      </c>
      <c r="P30" s="17" t="n">
        <v>466.3189</v>
      </c>
      <c r="Q30" s="17" t="n">
        <v>423.0487</v>
      </c>
      <c r="R30" s="17" t="n">
        <v>409.9355</v>
      </c>
      <c r="S30" s="17" t="n">
        <v>415.4718</v>
      </c>
      <c r="T30" s="17" t="n">
        <v>432.0248</v>
      </c>
      <c r="U30" s="17" t="n">
        <v>417.1238</v>
      </c>
      <c r="V30" s="17" t="n">
        <v>437.9228</v>
      </c>
      <c r="W30" s="17" t="n">
        <v>397.0175</v>
      </c>
      <c r="X30" s="17" t="n">
        <v>455.8062</v>
      </c>
      <c r="Y30" s="17" t="n">
        <v>456.8037</v>
      </c>
      <c r="Z30" s="17" t="n">
        <v>436.3512</v>
      </c>
      <c r="AA30" s="17" t="n">
        <v>389.1445</v>
      </c>
      <c r="AB30" s="17" t="n">
        <v>387.0971</v>
      </c>
      <c r="AC30" s="17" t="n">
        <v>389.7097</v>
      </c>
      <c r="AD30" s="17" t="n">
        <v>365.1422</v>
      </c>
      <c r="AE30" s="17" t="n">
        <v>354.2742</v>
      </c>
      <c r="AF30" s="17" t="n">
        <v>380.5947</v>
      </c>
      <c r="AG30" s="17" t="n">
        <v>390.4764</v>
      </c>
      <c r="AH30" s="17" t="n">
        <v>400.3729</v>
      </c>
      <c r="AI30" s="17" t="n">
        <v>367.7602</v>
      </c>
      <c r="AJ30" s="17" t="n">
        <v>380.0811</v>
      </c>
      <c r="AK30" s="17" t="n">
        <v>347.7316</v>
      </c>
      <c r="AL30" s="17" t="n">
        <v>350.445</v>
      </c>
      <c r="AM30" s="17" t="n">
        <v>383.6666</v>
      </c>
      <c r="AN30" s="17" t="n">
        <v>415.5831</v>
      </c>
      <c r="AO30" s="17" t="n">
        <v>418.8139</v>
      </c>
      <c r="AP30" s="17" t="n">
        <v>452.56</v>
      </c>
      <c r="AQ30" s="17" t="n">
        <v>383.1797</v>
      </c>
      <c r="AR30" s="17" t="n">
        <v>328.7623</v>
      </c>
      <c r="AS30" s="17" t="n">
        <v>278.5232</v>
      </c>
      <c r="AT30" s="17" t="n">
        <v>313.5519</v>
      </c>
      <c r="AU30" s="17" t="n">
        <v>333.966</v>
      </c>
      <c r="AV30" s="17" t="inlineStr"/>
      <c r="AW30" s="17" t="inlineStr"/>
      <c r="AX30" s="17" t="inlineStr"/>
      <c r="AY30" s="17" t="n">
        <v>375.6352</v>
      </c>
      <c r="AZ30" s="17" t="n">
        <v>372.2235</v>
      </c>
      <c r="BA30" s="17" t="n">
        <v>376.6152</v>
      </c>
      <c r="BB30" s="17" t="n">
        <v>318.9603</v>
      </c>
      <c r="BC30" s="17" t="n">
        <v>316.9828</v>
      </c>
      <c r="BD30" s="17" t="n">
        <v>321.6991</v>
      </c>
      <c r="BE30" s="17" t="n">
        <v>297.1131</v>
      </c>
      <c r="BF30" s="17" t="n">
        <v>258.9182</v>
      </c>
      <c r="BG30" s="17" t="n">
        <v>291.8984</v>
      </c>
      <c r="BH30" s="17" t="n">
        <v>334.5349</v>
      </c>
      <c r="BI30" s="17" t="n">
        <v>242.0047</v>
      </c>
      <c r="BJ30" s="17" t="n">
        <v>248.4951</v>
      </c>
      <c r="BK30" s="17" t="n">
        <v>226.4675</v>
      </c>
      <c r="BL30" s="17" t="n">
        <v>212.5364</v>
      </c>
      <c r="BM30" s="17" t="n">
        <v>217.8706</v>
      </c>
      <c r="BN30" s="17" t="n">
        <v>212</v>
      </c>
    </row>
    <row r="31">
      <c r="A31" s="10" t="inlineStr">
        <is>
          <t>Benin</t>
        </is>
      </c>
      <c r="B31" s="17" t="n">
        <v>235</v>
      </c>
      <c r="C31" s="26" t="n">
        <v>-11.19539</v>
      </c>
      <c r="D31" s="26" t="n">
        <v>-35.10288999999997</v>
      </c>
      <c r="E31" s="26" t="n">
        <v>-87.39149</v>
      </c>
      <c r="F31" s="26" t="n">
        <v>-150.63669</v>
      </c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  <c r="O31" s="17" t="inlineStr"/>
      <c r="P31" s="17" t="inlineStr"/>
      <c r="Q31" s="17" t="inlineStr"/>
      <c r="R31" s="17" t="inlineStr"/>
      <c r="S31" s="17" t="inlineStr"/>
      <c r="T31" s="17" t="inlineStr"/>
      <c r="U31" s="17" t="inlineStr"/>
      <c r="V31" s="17" t="inlineStr"/>
      <c r="W31" s="17" t="inlineStr"/>
      <c r="X31" s="17" t="inlineStr"/>
      <c r="Y31" s="17" t="inlineStr"/>
      <c r="Z31" s="17" t="inlineStr"/>
      <c r="AA31" s="17" t="inlineStr"/>
      <c r="AB31" s="17" t="inlineStr"/>
      <c r="AC31" s="17" t="inlineStr"/>
      <c r="AD31" s="17" t="inlineStr"/>
      <c r="AE31" s="17" t="inlineStr"/>
      <c r="AF31" s="17" t="inlineStr"/>
      <c r="AG31" s="17" t="inlineStr"/>
      <c r="AH31" s="17" t="inlineStr"/>
      <c r="AI31" s="17" t="n">
        <v>395.1436</v>
      </c>
      <c r="AJ31" s="17" t="n">
        <v>394.9044</v>
      </c>
      <c r="AK31" s="17" t="n">
        <v>385.1679</v>
      </c>
      <c r="AL31" s="17" t="n">
        <v>412.2561</v>
      </c>
      <c r="AM31" s="17" t="n">
        <v>435.3726</v>
      </c>
      <c r="AN31" s="17" t="n">
        <v>463.1529</v>
      </c>
      <c r="AO31" s="17" t="n">
        <v>444.7749</v>
      </c>
      <c r="AP31" s="17" t="n">
        <v>410.8894</v>
      </c>
      <c r="AQ31" s="17" t="n">
        <v>379.6143</v>
      </c>
      <c r="AR31" s="17" t="n">
        <v>398.6057</v>
      </c>
      <c r="AS31" s="17" t="n">
        <v>401.422</v>
      </c>
      <c r="AT31" s="17" t="n">
        <v>403.3814</v>
      </c>
      <c r="AU31" s="17" t="n">
        <v>442.1644</v>
      </c>
      <c r="AV31" s="17" t="n">
        <v>453.2031</v>
      </c>
      <c r="AW31" s="17" t="n">
        <v>505.4647</v>
      </c>
      <c r="AX31" s="17" t="n">
        <v>460.2899</v>
      </c>
      <c r="AY31" s="17" t="n">
        <v>432.4974</v>
      </c>
      <c r="AZ31" s="17" t="n">
        <v>389.916</v>
      </c>
      <c r="BA31" s="17" t="n">
        <v>381.4784</v>
      </c>
      <c r="BB31" s="17" t="n">
        <v>338.7903</v>
      </c>
      <c r="BC31" s="17" t="n">
        <v>322.4553</v>
      </c>
      <c r="BD31" s="17" t="n">
        <v>361.6009</v>
      </c>
      <c r="BE31" s="17" t="n">
        <v>322.4481</v>
      </c>
      <c r="BF31" s="17" t="n">
        <v>292.0972</v>
      </c>
      <c r="BG31" s="17" t="n">
        <v>319.0598</v>
      </c>
      <c r="BH31" s="17" t="n">
        <v>377.1053</v>
      </c>
      <c r="BI31" s="17" t="n">
        <v>311.9776</v>
      </c>
      <c r="BJ31" s="17" t="n">
        <v>272.8509</v>
      </c>
      <c r="BK31" s="17" t="n">
        <v>261.5318</v>
      </c>
      <c r="BL31" s="17" t="n">
        <v>264.7219</v>
      </c>
      <c r="BM31" s="17" t="n">
        <v>231.0932</v>
      </c>
      <c r="BN31" s="17" t="n">
        <v>235</v>
      </c>
    </row>
    <row r="32">
      <c r="A32" s="10" t="inlineStr">
        <is>
          <t>Bolivia</t>
        </is>
      </c>
      <c r="B32" s="17" t="n">
        <v>460</v>
      </c>
      <c r="C32" s="27" t="n">
        <v>51.21741000000003</v>
      </c>
      <c r="D32" s="26" t="n">
        <v>-114.93619</v>
      </c>
      <c r="E32" s="26" t="n">
        <v>-216.59129</v>
      </c>
      <c r="F32" s="26" t="n">
        <v>-909.6280900000003</v>
      </c>
      <c r="G32" s="17" t="n">
        <v>471.5792</v>
      </c>
      <c r="H32" s="17" t="n">
        <v>487.0751</v>
      </c>
      <c r="I32" s="17" t="n">
        <v>411.766</v>
      </c>
      <c r="J32" s="17" t="n">
        <v>473.7565</v>
      </c>
      <c r="K32" s="17" t="n">
        <v>466.0538</v>
      </c>
      <c r="L32" s="17" t="n">
        <v>508.6327</v>
      </c>
      <c r="M32" s="17" t="n">
        <v>487.266</v>
      </c>
      <c r="N32" s="17" t="n">
        <v>595.3414</v>
      </c>
      <c r="O32" s="17" t="n">
        <v>665.8794</v>
      </c>
      <c r="P32" s="17" t="n">
        <v>641.1594</v>
      </c>
      <c r="Q32" s="17" t="n">
        <v>622.3924</v>
      </c>
      <c r="R32" s="17" t="n">
        <v>575.939</v>
      </c>
      <c r="S32" s="17" t="n">
        <v>596.9743999999999</v>
      </c>
      <c r="T32" s="17" t="n">
        <v>672.9696</v>
      </c>
      <c r="U32" s="17" t="n">
        <v>563.1154</v>
      </c>
      <c r="V32" s="17" t="n">
        <v>684.0359</v>
      </c>
      <c r="W32" s="17" t="n">
        <v>741.6509</v>
      </c>
      <c r="X32" s="17" t="n">
        <v>1561.249</v>
      </c>
      <c r="Y32" s="17" t="n">
        <v>1424.6011</v>
      </c>
      <c r="Z32" s="17" t="n">
        <v>1294.511</v>
      </c>
      <c r="AA32" s="17" t="n">
        <v>1109.7515</v>
      </c>
      <c r="AB32" s="17" t="n">
        <v>908.2817</v>
      </c>
      <c r="AC32" s="17" t="n">
        <v>1194.3278</v>
      </c>
      <c r="AD32" s="17" t="n">
        <v>1462.7007</v>
      </c>
      <c r="AE32" s="17" t="n">
        <v>1599.2085</v>
      </c>
      <c r="AF32" s="17" t="n">
        <v>2044.3826</v>
      </c>
      <c r="AG32" s="17" t="n">
        <v>2232.7192</v>
      </c>
      <c r="AH32" s="17" t="n">
        <v>1959.4391</v>
      </c>
      <c r="AI32" s="17" t="n">
        <v>1795.6255</v>
      </c>
      <c r="AJ32" s="17" t="n">
        <v>1796.4393</v>
      </c>
      <c r="AK32" s="17" t="n">
        <v>1916.9407</v>
      </c>
      <c r="AL32" s="17" t="n">
        <v>1962.478</v>
      </c>
      <c r="AM32" s="17" t="n">
        <v>2065.0634</v>
      </c>
      <c r="AN32" s="17" t="n">
        <v>2142.4634</v>
      </c>
      <c r="AO32" s="17" t="n">
        <v>2295.1118</v>
      </c>
      <c r="AP32" s="17" t="n">
        <v>2281.4601</v>
      </c>
      <c r="AQ32" s="17" t="n">
        <v>1853.3284</v>
      </c>
      <c r="AR32" s="17" t="n">
        <v>2002.7204</v>
      </c>
      <c r="AS32" s="17" t="n">
        <v>2087.2182</v>
      </c>
      <c r="AT32" s="17" t="n">
        <v>2036.3999</v>
      </c>
      <c r="AU32" s="17" t="n">
        <v>2037.1951</v>
      </c>
      <c r="AV32" s="17" t="n">
        <v>1890.8229</v>
      </c>
      <c r="AW32" s="17" t="n">
        <v>2108.8208</v>
      </c>
      <c r="AX32" s="17" t="n">
        <v>2002.278</v>
      </c>
      <c r="AY32" s="17" t="n">
        <v>1876.7342</v>
      </c>
      <c r="AZ32" s="17" t="n">
        <v>1468.5301</v>
      </c>
      <c r="BA32" s="17" t="n">
        <v>1327.3712</v>
      </c>
      <c r="BB32" s="17" t="n">
        <v>1394.3419</v>
      </c>
      <c r="BC32" s="17" t="n">
        <v>1209.9833</v>
      </c>
      <c r="BD32" s="17" t="n">
        <v>665.6554</v>
      </c>
      <c r="BE32" s="17" t="n">
        <v>672.7968</v>
      </c>
      <c r="BF32" s="17" t="n">
        <v>575.6583000000001</v>
      </c>
      <c r="BG32" s="17" t="n">
        <v>468.3518</v>
      </c>
      <c r="BH32" s="17" t="n">
        <v>561.2332</v>
      </c>
      <c r="BI32" s="17" t="n">
        <v>407.8573</v>
      </c>
      <c r="BJ32" s="17" t="n">
        <v>576.1811</v>
      </c>
      <c r="BK32" s="17" t="n">
        <v>423.174</v>
      </c>
      <c r="BL32" s="17" t="n">
        <v>428.0195</v>
      </c>
      <c r="BM32" s="17" t="n">
        <v>396.2874</v>
      </c>
      <c r="BN32" s="17" t="n">
        <v>460</v>
      </c>
    </row>
    <row r="33">
      <c r="A33" s="10" t="inlineStr">
        <is>
          <t>Brazil</t>
        </is>
      </c>
      <c r="B33" s="17" t="n">
        <v>170</v>
      </c>
      <c r="C33" s="26" t="n">
        <v>-3.037409999999994</v>
      </c>
      <c r="D33" s="26" t="n">
        <v>-8.307410000000004</v>
      </c>
      <c r="E33" s="26" t="n">
        <v>-25.81671</v>
      </c>
      <c r="F33" s="26" t="n">
        <v>-28.84691000000001</v>
      </c>
      <c r="G33" s="17" t="n">
        <v>337.8188</v>
      </c>
      <c r="H33" s="17" t="n">
        <v>344.4473</v>
      </c>
      <c r="I33" s="17" t="n">
        <v>305.738</v>
      </c>
      <c r="J33" s="17" t="n">
        <v>316.3189</v>
      </c>
      <c r="K33" s="17" t="n">
        <v>321.0834</v>
      </c>
      <c r="L33" s="17" t="n">
        <v>279.8925</v>
      </c>
      <c r="M33" s="17" t="n">
        <v>290.8389</v>
      </c>
      <c r="N33" s="17" t="n">
        <v>291.0526</v>
      </c>
      <c r="O33" s="17" t="n">
        <v>357.0472</v>
      </c>
      <c r="P33" s="17" t="n">
        <v>309.2859</v>
      </c>
      <c r="Q33" s="17" t="n">
        <v>294.5089</v>
      </c>
      <c r="R33" s="17" t="n">
        <v>295.2436</v>
      </c>
      <c r="S33" s="17" t="n">
        <v>269.3679</v>
      </c>
      <c r="T33" s="17" t="n">
        <v>249.4743</v>
      </c>
      <c r="U33" s="17" t="n">
        <v>257.9345</v>
      </c>
      <c r="V33" s="17" t="n">
        <v>256.5752</v>
      </c>
      <c r="W33" s="17" t="n">
        <v>243.7574</v>
      </c>
      <c r="X33" s="17" t="n">
        <v>253.9559</v>
      </c>
      <c r="Y33" s="17" t="n">
        <v>257.6397</v>
      </c>
      <c r="Z33" s="17" t="n">
        <v>247.5745</v>
      </c>
      <c r="AA33" s="17" t="n">
        <v>229.8609</v>
      </c>
      <c r="AB33" s="17" t="n">
        <v>197.3549</v>
      </c>
      <c r="AC33" s="17" t="n">
        <v>211.2701</v>
      </c>
      <c r="AD33" s="17" t="n">
        <v>205.6582</v>
      </c>
      <c r="AE33" s="17" t="n">
        <v>200.3162</v>
      </c>
      <c r="AF33" s="17" t="n">
        <v>195.7345</v>
      </c>
      <c r="AG33" s="17" t="n">
        <v>199.5326</v>
      </c>
      <c r="AH33" s="17" t="n">
        <v>224.259</v>
      </c>
      <c r="AI33" s="17" t="n">
        <v>201.9293</v>
      </c>
      <c r="AJ33" s="17" t="n">
        <v>201.1454</v>
      </c>
      <c r="AK33" s="17" t="n">
        <v>201.9307</v>
      </c>
      <c r="AL33" s="17" t="n">
        <v>202.3559</v>
      </c>
      <c r="AM33" s="17" t="n">
        <v>220.0216</v>
      </c>
      <c r="AN33" s="17" t="n">
        <v>222.4165</v>
      </c>
      <c r="AO33" s="17" t="n">
        <v>213.8882</v>
      </c>
      <c r="AP33" s="17" t="n">
        <v>210.9449</v>
      </c>
      <c r="AQ33" s="17" t="n">
        <v>200.8709</v>
      </c>
      <c r="AR33" s="17" t="n">
        <v>217.5525</v>
      </c>
      <c r="AS33" s="17" t="n">
        <v>245.531</v>
      </c>
      <c r="AT33" s="17" t="n">
        <v>224.492</v>
      </c>
      <c r="AU33" s="17" t="n">
        <v>234.7301</v>
      </c>
      <c r="AV33" s="17" t="n">
        <v>231.1669</v>
      </c>
      <c r="AW33" s="17" t="n">
        <v>229.9937</v>
      </c>
      <c r="AX33" s="17" t="n">
        <v>219.6916</v>
      </c>
      <c r="AY33" s="17" t="n">
        <v>213.9198</v>
      </c>
      <c r="AZ33" s="17" t="n">
        <v>203.8065</v>
      </c>
      <c r="BA33" s="17" t="n">
        <v>192.7529</v>
      </c>
      <c r="BB33" s="17" t="n">
        <v>184.3009</v>
      </c>
      <c r="BC33" s="17" t="n">
        <v>187.5223</v>
      </c>
      <c r="BD33" s="17" t="n">
        <v>200.7432</v>
      </c>
      <c r="BE33" s="17" t="n">
        <v>196.5863</v>
      </c>
      <c r="BF33" s="17" t="n">
        <v>185.988</v>
      </c>
      <c r="BG33" s="17" t="n">
        <v>199.6119</v>
      </c>
      <c r="BH33" s="17" t="n">
        <v>196.9032</v>
      </c>
      <c r="BI33" s="17" t="n">
        <v>174.6941</v>
      </c>
      <c r="BJ33" s="17" t="n">
        <v>175.6487</v>
      </c>
      <c r="BK33" s="17" t="n">
        <v>177.388</v>
      </c>
      <c r="BL33" s="17" t="n">
        <v>176.9792</v>
      </c>
      <c r="BM33" s="17" t="n">
        <v>174.8254</v>
      </c>
      <c r="BN33" s="17" t="n">
        <v>170</v>
      </c>
    </row>
    <row r="34">
      <c r="A34" s="10" t="inlineStr">
        <is>
          <t>Bulgaria</t>
        </is>
      </c>
      <c r="B34" s="17" t="n">
        <v>78</v>
      </c>
      <c r="C34" s="26" t="n">
        <v>-3.425020000000004</v>
      </c>
      <c r="D34" s="26" t="n">
        <v>-1.983819999999994</v>
      </c>
      <c r="E34" s="26" t="n">
        <v>-3.207719999999995</v>
      </c>
      <c r="F34" s="26" t="n">
        <v>-8.684920000000005</v>
      </c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  <c r="O34" s="17" t="inlineStr"/>
      <c r="P34" s="17" t="inlineStr"/>
      <c r="Q34" s="17" t="inlineStr"/>
      <c r="R34" s="17" t="inlineStr"/>
      <c r="S34" s="17" t="inlineStr"/>
      <c r="T34" s="17" t="inlineStr"/>
      <c r="U34" s="17" t="inlineStr"/>
      <c r="V34" s="17" t="inlineStr"/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7" t="inlineStr"/>
      <c r="AJ34" s="17" t="inlineStr"/>
      <c r="AK34" s="17" t="inlineStr"/>
      <c r="AL34" s="17" t="inlineStr"/>
      <c r="AM34" s="17" t="inlineStr"/>
      <c r="AN34" s="17" t="inlineStr"/>
      <c r="AO34" s="17" t="inlineStr"/>
      <c r="AP34" s="17" t="inlineStr"/>
      <c r="AQ34" s="17" t="n">
        <v>104.0583</v>
      </c>
      <c r="AR34" s="17" t="n">
        <v>122.6399</v>
      </c>
      <c r="AS34" s="17" t="n">
        <v>103.7484</v>
      </c>
      <c r="AT34" s="17" t="n">
        <v>102.5134</v>
      </c>
      <c r="AU34" s="17" t="n">
        <v>102.366</v>
      </c>
      <c r="AV34" s="17" t="n">
        <v>102.2219</v>
      </c>
      <c r="AW34" s="17" t="n">
        <v>105.9752</v>
      </c>
      <c r="AX34" s="17" t="n">
        <v>85.63030000000001</v>
      </c>
      <c r="AY34" s="17" t="n">
        <v>84.706</v>
      </c>
      <c r="AZ34" s="17" t="n">
        <v>75.8192</v>
      </c>
      <c r="BA34" s="17" t="n">
        <v>78.4238</v>
      </c>
      <c r="BB34" s="17" t="n">
        <v>68.32899999999999</v>
      </c>
      <c r="BC34" s="17" t="n">
        <v>76.10290000000001</v>
      </c>
      <c r="BD34" s="17" t="n">
        <v>80.8291</v>
      </c>
      <c r="BE34" s="17" t="n">
        <v>78.84699999999999</v>
      </c>
      <c r="BF34" s="17" t="n">
        <v>80.8661</v>
      </c>
      <c r="BG34" s="17" t="n">
        <v>83.8081</v>
      </c>
      <c r="BH34" s="17" t="n">
        <v>100.6297</v>
      </c>
      <c r="BI34" s="17" t="n">
        <v>84.2539</v>
      </c>
      <c r="BJ34" s="17" t="n">
        <v>75.39700000000001</v>
      </c>
      <c r="BK34" s="17" t="n">
        <v>75.5457</v>
      </c>
      <c r="BL34" s="17" t="n">
        <v>79.51519999999999</v>
      </c>
      <c r="BM34" s="17" t="n">
        <v>74.92319999999999</v>
      </c>
      <c r="BN34" s="17" t="n">
        <v>78</v>
      </c>
    </row>
    <row r="35">
      <c r="A35" s="10" t="inlineStr">
        <is>
          <t>Cameroon</t>
        </is>
      </c>
      <c r="B35" s="17" t="n">
        <v>430</v>
      </c>
      <c r="C35" s="26" t="n">
        <v>-102.9154</v>
      </c>
      <c r="D35" s="26" t="n">
        <v>-29.68560000000002</v>
      </c>
      <c r="E35" s="26" t="n">
        <v>-170.4578</v>
      </c>
      <c r="F35" s="26" t="n">
        <v>-296.4617</v>
      </c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  <c r="O35" s="17" t="inlineStr"/>
      <c r="P35" s="17" t="inlineStr"/>
      <c r="Q35" s="17" t="inlineStr"/>
      <c r="R35" s="17" t="inlineStr"/>
      <c r="S35" s="17" t="inlineStr"/>
      <c r="T35" s="17" t="inlineStr"/>
      <c r="U35" s="17" t="inlineStr"/>
      <c r="V35" s="17" t="inlineStr"/>
      <c r="W35" s="17" t="inlineStr"/>
      <c r="X35" s="17" t="inlineStr"/>
      <c r="Y35" s="17" t="inlineStr"/>
      <c r="Z35" s="17" t="inlineStr"/>
      <c r="AA35" s="17" t="inlineStr"/>
      <c r="AB35" s="17" t="inlineStr"/>
      <c r="AC35" s="17" t="inlineStr"/>
      <c r="AD35" s="17" t="inlineStr"/>
      <c r="AE35" s="17" t="inlineStr"/>
      <c r="AF35" s="17" t="inlineStr"/>
      <c r="AG35" s="17" t="inlineStr"/>
      <c r="AH35" s="17" t="inlineStr"/>
      <c r="AI35" s="17" t="inlineStr"/>
      <c r="AJ35" s="17" t="inlineStr"/>
      <c r="AK35" s="17" t="inlineStr"/>
      <c r="AL35" s="17" t="inlineStr"/>
      <c r="AM35" s="17" t="inlineStr"/>
      <c r="AN35" s="17" t="inlineStr"/>
      <c r="AO35" s="17" t="inlineStr"/>
      <c r="AP35" s="17" t="n">
        <v>624.1332</v>
      </c>
      <c r="AQ35" s="17" t="n">
        <v>626.5998</v>
      </c>
      <c r="AR35" s="17" t="n">
        <v>649.4232</v>
      </c>
      <c r="AS35" s="17" t="n">
        <v>640.9521</v>
      </c>
      <c r="AT35" s="17" t="n">
        <v>629.2093</v>
      </c>
      <c r="AU35" s="17" t="n">
        <v>653.1660000000001</v>
      </c>
      <c r="AV35" s="17" t="n">
        <v>714.4915999999999</v>
      </c>
      <c r="AW35" s="17" t="n">
        <v>933.9027</v>
      </c>
      <c r="AX35" s="17" t="n">
        <v>795.9217</v>
      </c>
      <c r="AY35" s="17" t="n">
        <v>774.1992</v>
      </c>
      <c r="AZ35" s="17" t="n">
        <v>726.0972</v>
      </c>
      <c r="BA35" s="17" t="n">
        <v>714.8535000000001</v>
      </c>
      <c r="BB35" s="17" t="n">
        <v>681.1029</v>
      </c>
      <c r="BC35" s="17" t="n">
        <v>730.71</v>
      </c>
      <c r="BD35" s="17" t="n">
        <v>711.6981</v>
      </c>
      <c r="BE35" s="17" t="n">
        <v>568.8086</v>
      </c>
      <c r="BF35" s="17" t="n">
        <v>547.8513</v>
      </c>
      <c r="BG35" s="17" t="n">
        <v>592.8108</v>
      </c>
      <c r="BH35" s="17" t="n">
        <v>631.3826</v>
      </c>
      <c r="BI35" s="17" t="n">
        <v>493.8278</v>
      </c>
      <c r="BJ35" s="17" t="n">
        <v>431.1309</v>
      </c>
      <c r="BK35" s="17" t="n">
        <v>480.9885</v>
      </c>
      <c r="BL35" s="17" t="n">
        <v>505.2931</v>
      </c>
      <c r="BM35" s="17" t="n">
        <v>435.382</v>
      </c>
      <c r="BN35" s="17" t="n">
        <v>430</v>
      </c>
    </row>
    <row r="36">
      <c r="A36" s="10" t="inlineStr">
        <is>
          <t>Chile</t>
        </is>
      </c>
      <c r="B36" s="17" t="n">
        <v>88</v>
      </c>
      <c r="C36" s="26" t="n">
        <v>-4.97766</v>
      </c>
      <c r="D36" s="26" t="n">
        <v>-1.483760000000004</v>
      </c>
      <c r="E36" s="26" t="n">
        <v>-3.174760000000006</v>
      </c>
      <c r="F36" s="26" t="n">
        <v>-24.96176</v>
      </c>
      <c r="G36" s="17" t="n">
        <v>160.9551</v>
      </c>
      <c r="H36" s="17" t="n">
        <v>165.6187</v>
      </c>
      <c r="I36" s="17" t="n">
        <v>152.9753</v>
      </c>
      <c r="J36" s="17" t="n">
        <v>167.3918</v>
      </c>
      <c r="K36" s="17" t="n">
        <v>195.347</v>
      </c>
      <c r="L36" s="17" t="n">
        <v>158.3767</v>
      </c>
      <c r="M36" s="17" t="n">
        <v>181.9</v>
      </c>
      <c r="N36" s="17" t="n">
        <v>166.394</v>
      </c>
      <c r="O36" s="17" t="n">
        <v>195.5134</v>
      </c>
      <c r="P36" s="17" t="n">
        <v>189.476</v>
      </c>
      <c r="Q36" s="17" t="n">
        <v>198.3837</v>
      </c>
      <c r="R36" s="17" t="n">
        <v>208.2814</v>
      </c>
      <c r="S36" s="17" t="n">
        <v>193.2173</v>
      </c>
      <c r="T36" s="17" t="n">
        <v>156.6863</v>
      </c>
      <c r="U36" s="17" t="n">
        <v>139.5808</v>
      </c>
      <c r="V36" s="17" t="n">
        <v>145.7564</v>
      </c>
      <c r="W36" s="17" t="n">
        <v>144.5596</v>
      </c>
      <c r="X36" s="17" t="n">
        <v>153.1872</v>
      </c>
      <c r="Y36" s="17" t="n">
        <v>142.5826</v>
      </c>
      <c r="Z36" s="17" t="n">
        <v>144.5664</v>
      </c>
      <c r="AA36" s="17" t="n">
        <v>132.3222</v>
      </c>
      <c r="AB36" s="17" t="n">
        <v>118.8811</v>
      </c>
      <c r="AC36" s="17" t="n">
        <v>130.9802</v>
      </c>
      <c r="AD36" s="17" t="n">
        <v>134.6032</v>
      </c>
      <c r="AE36" s="17" t="n">
        <v>146.8551</v>
      </c>
      <c r="AF36" s="17" t="n">
        <v>134.1772</v>
      </c>
      <c r="AG36" s="17" t="n">
        <v>132.2166</v>
      </c>
      <c r="AH36" s="17" t="n">
        <v>142.7752</v>
      </c>
      <c r="AI36" s="17" t="n">
        <v>134.4027</v>
      </c>
      <c r="AJ36" s="17" t="n">
        <v>126.6468</v>
      </c>
      <c r="AK36" s="17" t="n">
        <v>121.4383</v>
      </c>
      <c r="AL36" s="17" t="n">
        <v>115.4945</v>
      </c>
      <c r="AM36" s="17" t="n">
        <v>117.8805</v>
      </c>
      <c r="AN36" s="17" t="n">
        <v>128.6235</v>
      </c>
      <c r="AO36" s="17" t="n">
        <v>119.425</v>
      </c>
      <c r="AP36" s="17" t="n">
        <v>115.3765</v>
      </c>
      <c r="AQ36" s="17" t="n">
        <v>113.3735</v>
      </c>
      <c r="AR36" s="17" t="n">
        <v>120.923</v>
      </c>
      <c r="AS36" s="17" t="n">
        <v>114.3272</v>
      </c>
      <c r="AT36" s="17" t="n">
        <v>122.4939</v>
      </c>
      <c r="AU36" s="17" t="n">
        <v>127.8453</v>
      </c>
      <c r="AV36" s="17" t="n">
        <v>129.6562</v>
      </c>
      <c r="AW36" s="17" t="n">
        <v>130.8016</v>
      </c>
      <c r="AX36" s="17" t="n">
        <v>119.4193</v>
      </c>
      <c r="AY36" s="17" t="n">
        <v>115.3372</v>
      </c>
      <c r="AZ36" s="17" t="n">
        <v>103.5638</v>
      </c>
      <c r="BA36" s="17" t="n">
        <v>100.3849</v>
      </c>
      <c r="BB36" s="17" t="n">
        <v>93.15170000000001</v>
      </c>
      <c r="BC36" s="17" t="n">
        <v>88.9529</v>
      </c>
      <c r="BD36" s="17" t="n">
        <v>96.3322</v>
      </c>
      <c r="BE36" s="17" t="n">
        <v>85.82850000000001</v>
      </c>
      <c r="BF36" s="17" t="n">
        <v>84.71599999999999</v>
      </c>
      <c r="BG36" s="17" t="n">
        <v>91.7582</v>
      </c>
      <c r="BH36" s="17" t="n">
        <v>98.90689999999999</v>
      </c>
      <c r="BI36" s="17" t="n">
        <v>79.687</v>
      </c>
      <c r="BJ36" s="17" t="n">
        <v>82.85039999999999</v>
      </c>
      <c r="BK36" s="17" t="n">
        <v>80.8313</v>
      </c>
      <c r="BL36" s="17" t="n">
        <v>90.6767</v>
      </c>
      <c r="BM36" s="17" t="n">
        <v>83.3489</v>
      </c>
      <c r="BN36" s="17" t="n">
        <v>88</v>
      </c>
    </row>
    <row r="37">
      <c r="A37" s="10" t="inlineStr">
        <is>
          <t>China</t>
        </is>
      </c>
      <c r="B37" s="17" t="n">
        <v>2</v>
      </c>
      <c r="C37" s="26" t="n">
        <v>-0.6976500000000005</v>
      </c>
      <c r="D37" s="27" t="n">
        <v>3.711050000000001</v>
      </c>
      <c r="E37" s="26" t="n">
        <v>-3.778849999999999</v>
      </c>
      <c r="F37" s="26" t="n">
        <v>-7.589149999999998</v>
      </c>
      <c r="G37" s="17" t="n">
        <v>82.2418</v>
      </c>
      <c r="H37" s="17" t="n">
        <v>79.3848</v>
      </c>
      <c r="I37" s="17" t="n">
        <v>78.8409</v>
      </c>
      <c r="J37" s="17" t="n">
        <v>80.4166</v>
      </c>
      <c r="K37" s="17" t="n">
        <v>88.72199999999999</v>
      </c>
      <c r="L37" s="17" t="n">
        <v>95.86369999999999</v>
      </c>
      <c r="M37" s="17" t="n">
        <v>92.12860000000001</v>
      </c>
      <c r="N37" s="17" t="n">
        <v>93.3394</v>
      </c>
      <c r="O37" s="17" t="n">
        <v>82.85469999999999</v>
      </c>
      <c r="P37" s="17" t="n">
        <v>94.6007</v>
      </c>
      <c r="Q37" s="17" t="n">
        <v>81.5707</v>
      </c>
      <c r="R37" s="17" t="n">
        <v>78.0304</v>
      </c>
      <c r="S37" s="17" t="n">
        <v>98.5694</v>
      </c>
      <c r="T37" s="17" t="n">
        <v>94.7315</v>
      </c>
      <c r="U37" s="17" t="n">
        <v>80.68380000000001</v>
      </c>
      <c r="V37" s="17" t="n">
        <v>78.33499999999999</v>
      </c>
      <c r="W37" s="17" t="n">
        <v>66.6095</v>
      </c>
      <c r="X37" s="17" t="n">
        <v>79.0941</v>
      </c>
      <c r="Y37" s="17" t="n">
        <v>76.9562</v>
      </c>
      <c r="Z37" s="17" t="n">
        <v>73.4183</v>
      </c>
      <c r="AA37" s="17" t="n">
        <v>64.72580000000001</v>
      </c>
      <c r="AB37" s="17" t="n">
        <v>63.0508</v>
      </c>
      <c r="AC37" s="17" t="n">
        <v>71.5167</v>
      </c>
      <c r="AD37" s="17" t="n">
        <v>64.5848</v>
      </c>
      <c r="AE37" s="17" t="n">
        <v>64.75660000000001</v>
      </c>
      <c r="AF37" s="17" t="n">
        <v>56.4834</v>
      </c>
      <c r="AG37" s="17" t="n">
        <v>56.5616</v>
      </c>
      <c r="AH37" s="17" t="n">
        <v>59.9743</v>
      </c>
      <c r="AI37" s="17" t="n">
        <v>45.1921</v>
      </c>
      <c r="AJ37" s="17" t="n">
        <v>41.1937</v>
      </c>
      <c r="AK37" s="17" t="n">
        <v>36.1713</v>
      </c>
      <c r="AL37" s="17" t="n">
        <v>35.6551</v>
      </c>
      <c r="AM37" s="17" t="n">
        <v>37.7179</v>
      </c>
      <c r="AN37" s="17" t="n">
        <v>38.0141</v>
      </c>
      <c r="AO37" s="17" t="n">
        <v>41.8742</v>
      </c>
      <c r="AP37" s="17" t="n">
        <v>40.3466</v>
      </c>
      <c r="AQ37" s="17" t="n">
        <v>27.5609</v>
      </c>
      <c r="AR37" s="17" t="n">
        <v>21.5086</v>
      </c>
      <c r="AS37" s="17" t="n">
        <v>23.4127</v>
      </c>
      <c r="AT37" s="17" t="n">
        <v>19.258</v>
      </c>
      <c r="AU37" s="17" t="n">
        <v>15.0842</v>
      </c>
      <c r="AV37" s="17" t="n">
        <v>19.1398</v>
      </c>
      <c r="AW37" s="17" t="n">
        <v>31.6305</v>
      </c>
      <c r="AX37" s="17" t="n">
        <v>17.0173</v>
      </c>
      <c r="AY37" s="17" t="n">
        <v>14.9688</v>
      </c>
      <c r="AZ37" s="17" t="n">
        <v>6.3812</v>
      </c>
      <c r="BA37" s="17" t="n">
        <v>5.386</v>
      </c>
      <c r="BB37" s="17" t="n">
        <v>5.405</v>
      </c>
      <c r="BC37" s="17" t="n">
        <v>1.7178</v>
      </c>
      <c r="BD37" s="17" t="n">
        <v>7.0201</v>
      </c>
      <c r="BE37" s="17" t="n">
        <v>4.3627</v>
      </c>
      <c r="BF37" s="17" t="n">
        <v>4.1505</v>
      </c>
      <c r="BG37" s="17" t="n">
        <v>9.117000000000001</v>
      </c>
      <c r="BH37" s="17" t="n">
        <v>2.6397</v>
      </c>
      <c r="BI37" s="17" t="n">
        <v>0.9008</v>
      </c>
      <c r="BJ37" s="17" t="n">
        <v>-0.7612</v>
      </c>
      <c r="BK37" s="17" t="n">
        <v>-1.0765</v>
      </c>
      <c r="BL37" s="17" t="n">
        <v>-0.2924</v>
      </c>
      <c r="BM37" s="17" t="n">
        <v>0.5046</v>
      </c>
      <c r="BN37" s="17" t="n">
        <v>2</v>
      </c>
    </row>
    <row r="38">
      <c r="A38" s="10" t="inlineStr">
        <is>
          <t>Colombia</t>
        </is>
      </c>
      <c r="B38" s="17" t="n">
        <v>202</v>
      </c>
      <c r="C38" s="27" t="n">
        <v>10.29928999999998</v>
      </c>
      <c r="D38" s="26" t="n">
        <v>-3.677310000000034</v>
      </c>
      <c r="E38" s="26" t="n">
        <v>-76.65331000000003</v>
      </c>
      <c r="F38" s="26" t="n">
        <v>-66.13591000000002</v>
      </c>
      <c r="G38" s="17" t="n">
        <v>302.1884</v>
      </c>
      <c r="H38" s="17" t="n">
        <v>359.7998</v>
      </c>
      <c r="I38" s="17" t="n">
        <v>353.5715</v>
      </c>
      <c r="J38" s="17" t="n">
        <v>374.0716</v>
      </c>
      <c r="K38" s="17" t="n">
        <v>386.1167</v>
      </c>
      <c r="L38" s="17" t="n">
        <v>338.3463</v>
      </c>
      <c r="M38" s="17" t="n">
        <v>374.5494</v>
      </c>
      <c r="N38" s="17" t="n">
        <v>337.3504</v>
      </c>
      <c r="O38" s="17" t="n">
        <v>446.203</v>
      </c>
      <c r="P38" s="17" t="n">
        <v>402.7073</v>
      </c>
      <c r="Q38" s="17" t="n">
        <v>424.4619</v>
      </c>
      <c r="R38" s="17" t="n">
        <v>459.7177</v>
      </c>
      <c r="S38" s="17" t="n">
        <v>455.8938</v>
      </c>
      <c r="T38" s="17" t="n">
        <v>404.4221</v>
      </c>
      <c r="U38" s="17" t="n">
        <v>369.1939</v>
      </c>
      <c r="V38" s="17" t="n">
        <v>375.6081</v>
      </c>
      <c r="W38" s="17" t="n">
        <v>393.1886</v>
      </c>
      <c r="X38" s="17" t="n">
        <v>381.9695</v>
      </c>
      <c r="Y38" s="17" t="n">
        <v>422.1117</v>
      </c>
      <c r="Z38" s="17" t="n">
        <v>406.0353</v>
      </c>
      <c r="AA38" s="17" t="n">
        <v>365.5389</v>
      </c>
      <c r="AB38" s="17" t="n">
        <v>312.9936</v>
      </c>
      <c r="AC38" s="17" t="n">
        <v>321.2071</v>
      </c>
      <c r="AD38" s="17" t="n">
        <v>335.3174</v>
      </c>
      <c r="AE38" s="17" t="n">
        <v>323.4063</v>
      </c>
      <c r="AF38" s="17" t="n">
        <v>303.6702</v>
      </c>
      <c r="AG38" s="17" t="n">
        <v>271.5635</v>
      </c>
      <c r="AH38" s="17" t="n">
        <v>309.4384</v>
      </c>
      <c r="AI38" s="17" t="n">
        <v>299.1443</v>
      </c>
      <c r="AJ38" s="17" t="n">
        <v>291.8646</v>
      </c>
      <c r="AK38" s="17" t="n">
        <v>302.8438</v>
      </c>
      <c r="AL38" s="17" t="n">
        <v>302.0552</v>
      </c>
      <c r="AM38" s="17" t="n">
        <v>305.2873</v>
      </c>
      <c r="AN38" s="17" t="n">
        <v>315.0519</v>
      </c>
      <c r="AO38" s="17" t="n">
        <v>313.2805</v>
      </c>
      <c r="AP38" s="17" t="n">
        <v>316.988</v>
      </c>
      <c r="AQ38" s="17" t="n">
        <v>336.7259</v>
      </c>
      <c r="AR38" s="17" t="n">
        <v>330.3392</v>
      </c>
      <c r="AS38" s="17" t="n">
        <v>329.9087</v>
      </c>
      <c r="AT38" s="17" t="n">
        <v>326.6723</v>
      </c>
      <c r="AU38" s="17" t="n">
        <v>336.036</v>
      </c>
      <c r="AV38" s="17" t="n">
        <v>356.3147</v>
      </c>
      <c r="AW38" s="17" t="n">
        <v>388.7183</v>
      </c>
      <c r="AX38" s="17" t="n">
        <v>344.2038</v>
      </c>
      <c r="AY38" s="17" t="n">
        <v>349.5926</v>
      </c>
      <c r="AZ38" s="17" t="n">
        <v>306.4925</v>
      </c>
      <c r="BA38" s="17" t="n">
        <v>281.5887</v>
      </c>
      <c r="BB38" s="17" t="n">
        <v>262.4409</v>
      </c>
      <c r="BC38" s="17" t="n">
        <v>250.9408</v>
      </c>
      <c r="BD38" s="17" t="n">
        <v>276.5168</v>
      </c>
      <c r="BE38" s="17" t="n">
        <v>274.5937</v>
      </c>
      <c r="BF38" s="17" t="n">
        <v>261.7247</v>
      </c>
      <c r="BG38" s="17" t="n">
        <v>293.7998</v>
      </c>
      <c r="BH38" s="17" t="n">
        <v>281.7548</v>
      </c>
      <c r="BI38" s="17" t="n">
        <v>231.9144</v>
      </c>
      <c r="BJ38" s="17" t="n">
        <v>239.6637</v>
      </c>
      <c r="BK38" s="17" t="n">
        <v>189.5977</v>
      </c>
      <c r="BL38" s="17" t="n">
        <v>194.8784</v>
      </c>
      <c r="BM38" s="17" t="n">
        <v>188.733</v>
      </c>
      <c r="BN38" s="17" t="n">
        <v>202</v>
      </c>
    </row>
    <row r="39">
      <c r="A39" s="10" t="inlineStr">
        <is>
          <t>Costa Rica</t>
        </is>
      </c>
      <c r="B39" s="17" t="n">
        <v>130</v>
      </c>
      <c r="C39" s="27" t="n">
        <v>5.213440000000006</v>
      </c>
      <c r="D39" s="27" t="n">
        <v>0.6201400000000064</v>
      </c>
      <c r="E39" s="26" t="n">
        <v>-11.86345999999999</v>
      </c>
      <c r="F39" s="26" t="n">
        <v>-63.53785999999998</v>
      </c>
      <c r="G39" s="17" t="n">
        <v>492.9977</v>
      </c>
      <c r="H39" s="17" t="n">
        <v>535.0285</v>
      </c>
      <c r="I39" s="17" t="n">
        <v>503.9815</v>
      </c>
      <c r="J39" s="17" t="n">
        <v>521.4557</v>
      </c>
      <c r="K39" s="17" t="n">
        <v>488.4145</v>
      </c>
      <c r="L39" s="17" t="n">
        <v>427.448</v>
      </c>
      <c r="M39" s="17" t="n">
        <v>395.5499</v>
      </c>
      <c r="N39" s="17" t="n">
        <v>419.8423</v>
      </c>
      <c r="O39" s="17" t="n">
        <v>477.5886</v>
      </c>
      <c r="P39" s="17" t="n">
        <v>489.3827</v>
      </c>
      <c r="Q39" s="17" t="n">
        <v>449.6806</v>
      </c>
      <c r="R39" s="17" t="n">
        <v>442.8348</v>
      </c>
      <c r="S39" s="17" t="n">
        <v>397.3834</v>
      </c>
      <c r="T39" s="17" t="n">
        <v>356.1186</v>
      </c>
      <c r="U39" s="17" t="n">
        <v>326.9162</v>
      </c>
      <c r="V39" s="17" t="n">
        <v>341.7919</v>
      </c>
      <c r="W39" s="17" t="n">
        <v>315.6524</v>
      </c>
      <c r="X39" s="17" t="n">
        <v>328.8769</v>
      </c>
      <c r="Y39" s="17" t="n">
        <v>311.3006</v>
      </c>
      <c r="Z39" s="17" t="n">
        <v>296.7486</v>
      </c>
      <c r="AA39" s="17" t="n">
        <v>289.2442</v>
      </c>
      <c r="AB39" s="17" t="n">
        <v>261.9305</v>
      </c>
      <c r="AC39" s="17" t="n">
        <v>252.2945</v>
      </c>
      <c r="AD39" s="17" t="n">
        <v>247.3736</v>
      </c>
      <c r="AE39" s="17" t="n">
        <v>244.1647</v>
      </c>
      <c r="AF39" s="17" t="n">
        <v>232.1161</v>
      </c>
      <c r="AG39" s="17" t="n">
        <v>234.4946</v>
      </c>
      <c r="AH39" s="17" t="n">
        <v>250.9749</v>
      </c>
      <c r="AI39" s="17" t="n">
        <v>219.6732</v>
      </c>
      <c r="AJ39" s="17" t="n">
        <v>209.9617</v>
      </c>
      <c r="AK39" s="17" t="n">
        <v>192.7155</v>
      </c>
      <c r="AL39" s="17" t="n">
        <v>200.9911</v>
      </c>
      <c r="AM39" s="17" t="n">
        <v>212.4233</v>
      </c>
      <c r="AN39" s="17" t="n">
        <v>222.7422</v>
      </c>
      <c r="AO39" s="17" t="n">
        <v>221.0057</v>
      </c>
      <c r="AP39" s="17" t="n">
        <v>217.5091</v>
      </c>
      <c r="AQ39" s="17" t="n">
        <v>207.1905</v>
      </c>
      <c r="AR39" s="17" t="n">
        <v>218.534</v>
      </c>
      <c r="AS39" s="17" t="n">
        <v>197.4892</v>
      </c>
      <c r="AT39" s="17" t="n">
        <v>192.7455</v>
      </c>
      <c r="AU39" s="17" t="n">
        <v>217.0269</v>
      </c>
      <c r="AV39" s="17" t="n">
        <v>226.1095</v>
      </c>
      <c r="AW39" s="17" t="n">
        <v>233.0752</v>
      </c>
      <c r="AX39" s="17" t="n">
        <v>202.7809</v>
      </c>
      <c r="AY39" s="17" t="n">
        <v>205.642</v>
      </c>
      <c r="AZ39" s="17" t="n">
        <v>191.8579</v>
      </c>
      <c r="BA39" s="17" t="n">
        <v>180.7355</v>
      </c>
      <c r="BB39" s="17" t="n">
        <v>171.1804</v>
      </c>
      <c r="BC39" s="17" t="n">
        <v>161.1085</v>
      </c>
      <c r="BD39" s="17" t="n">
        <v>170.7942</v>
      </c>
      <c r="BE39" s="17" t="n">
        <v>140.7577</v>
      </c>
      <c r="BF39" s="17" t="n">
        <v>142.0308</v>
      </c>
      <c r="BG39" s="17" t="n">
        <v>155.4944</v>
      </c>
      <c r="BH39" s="17" t="n">
        <v>164.3303</v>
      </c>
      <c r="BI39" s="17" t="n">
        <v>128.6287</v>
      </c>
      <c r="BJ39" s="17" t="n">
        <v>133.1054</v>
      </c>
      <c r="BK39" s="17" t="n">
        <v>125.9343</v>
      </c>
      <c r="BL39" s="17" t="n">
        <v>126.1261</v>
      </c>
      <c r="BM39" s="17" t="n">
        <v>126.7209</v>
      </c>
      <c r="BN39" s="17" t="n">
        <v>130</v>
      </c>
    </row>
    <row r="40">
      <c r="A40" s="10" t="inlineStr">
        <is>
          <t>Cote d Ivoire</t>
        </is>
      </c>
      <c r="B40" s="17" t="n">
        <v>215</v>
      </c>
      <c r="C40" s="26" t="n">
        <v>-3.351609999999965</v>
      </c>
      <c r="D40" s="26" t="n">
        <v>-10.78150999999997</v>
      </c>
      <c r="E40" s="26" t="n">
        <v>-42.17260999999996</v>
      </c>
      <c r="F40" s="26" t="n">
        <v>-154.99101</v>
      </c>
      <c r="G40" s="17" t="n">
        <v>367.7188</v>
      </c>
      <c r="H40" s="17" t="n">
        <v>420.3795</v>
      </c>
      <c r="I40" s="17" t="n">
        <v>366.8728</v>
      </c>
      <c r="J40" s="17" t="n">
        <v>369.2324</v>
      </c>
      <c r="K40" s="17" t="n">
        <v>448.286</v>
      </c>
      <c r="L40" s="17" t="n">
        <v>383.7937</v>
      </c>
      <c r="M40" s="17" t="n">
        <v>397.1087</v>
      </c>
      <c r="N40" s="17" t="n">
        <v>446.885</v>
      </c>
      <c r="O40" s="17" t="n">
        <v>626.9160000000001</v>
      </c>
      <c r="P40" s="17" t="n">
        <v>605.9372</v>
      </c>
      <c r="Q40" s="17" t="n">
        <v>490.3136</v>
      </c>
      <c r="R40" s="17" t="n">
        <v>565.7349</v>
      </c>
      <c r="S40" s="17" t="n">
        <v>501.9227</v>
      </c>
      <c r="T40" s="17" t="n">
        <v>356.0973</v>
      </c>
      <c r="U40" s="17" t="n">
        <v>346.2786</v>
      </c>
      <c r="V40" s="17" t="n">
        <v>388.1177</v>
      </c>
      <c r="W40" s="17" t="n">
        <v>391.9198</v>
      </c>
      <c r="X40" s="17" t="n">
        <v>427.2183</v>
      </c>
      <c r="Y40" s="17" t="n">
        <v>467.7726</v>
      </c>
      <c r="Z40" s="17" t="n">
        <v>419.1284</v>
      </c>
      <c r="AA40" s="17" t="n">
        <v>378.5009</v>
      </c>
      <c r="AB40" s="17" t="n">
        <v>329.5876</v>
      </c>
      <c r="AC40" s="17" t="n">
        <v>404.9787</v>
      </c>
      <c r="AD40" s="17" t="n">
        <v>410.4017</v>
      </c>
      <c r="AE40" s="17" t="n">
        <v>403.2455</v>
      </c>
      <c r="AF40" s="17" t="n">
        <v>341.6745</v>
      </c>
      <c r="AG40" s="17" t="n">
        <v>325.4126</v>
      </c>
      <c r="AH40" s="17" t="n">
        <v>389.8745</v>
      </c>
      <c r="AI40" s="17" t="n">
        <v>388.0841</v>
      </c>
      <c r="AJ40" s="17" t="n">
        <v>352.3987</v>
      </c>
      <c r="AK40" s="17" t="n">
        <v>362.0185</v>
      </c>
      <c r="AL40" s="17" t="n">
        <v>356.1634</v>
      </c>
      <c r="AM40" s="17" t="n">
        <v>381.579</v>
      </c>
      <c r="AN40" s="17" t="n">
        <v>409.4421</v>
      </c>
      <c r="AO40" s="17" t="n">
        <v>381.9203</v>
      </c>
      <c r="AP40" s="17" t="n">
        <v>355.2131</v>
      </c>
      <c r="AQ40" s="17" t="n">
        <v>356.7342</v>
      </c>
      <c r="AR40" s="17" t="n">
        <v>357.5566</v>
      </c>
      <c r="AS40" s="17" t="n">
        <v>360.2535</v>
      </c>
      <c r="AT40" s="17" t="n">
        <v>361.1074</v>
      </c>
      <c r="AU40" s="17" t="n">
        <v>392.6247</v>
      </c>
      <c r="AV40" s="17" t="n">
        <v>409.4323</v>
      </c>
      <c r="AW40" s="17" t="n">
        <v>494.6303</v>
      </c>
      <c r="AX40" s="17" t="n">
        <v>429.1711</v>
      </c>
      <c r="AY40" s="17" t="n">
        <v>414.237</v>
      </c>
      <c r="AZ40" s="17" t="n">
        <v>367.6341</v>
      </c>
      <c r="BA40" s="17" t="n">
        <v>377.4423</v>
      </c>
      <c r="BB40" s="17" t="n">
        <v>320.0436</v>
      </c>
      <c r="BC40" s="17" t="n">
        <v>301.0334</v>
      </c>
      <c r="BD40" s="17" t="n">
        <v>327.2697</v>
      </c>
      <c r="BE40" s="17" t="n">
        <v>254.4525</v>
      </c>
      <c r="BF40" s="17" t="n">
        <v>264.5114</v>
      </c>
      <c r="BG40" s="17" t="n">
        <v>287.0577</v>
      </c>
      <c r="BH40" s="17" t="n">
        <v>343.6686</v>
      </c>
      <c r="BI40" s="17" t="n">
        <v>274.0329</v>
      </c>
      <c r="BJ40" s="17" t="n">
        <v>228.8278</v>
      </c>
      <c r="BK40" s="17" t="n">
        <v>215.705</v>
      </c>
      <c r="BL40" s="17" t="n">
        <v>233.0595</v>
      </c>
      <c r="BM40" s="17" t="n">
        <v>205.4461</v>
      </c>
      <c r="BN40" s="17" t="n">
        <v>215</v>
      </c>
    </row>
    <row r="41">
      <c r="A41" s="10" t="inlineStr">
        <is>
          <t>Democratic Republic of Congo</t>
        </is>
      </c>
      <c r="B41" s="17" t="n">
        <v>375</v>
      </c>
      <c r="C41" s="26" t="n">
        <v>-21.26804999999996</v>
      </c>
      <c r="D41" s="26" t="n">
        <v>-58.98284999999998</v>
      </c>
      <c r="E41" s="26" t="n">
        <v>-80.93464999999998</v>
      </c>
      <c r="F41" s="26" t="n">
        <v>-80.93464999999998</v>
      </c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  <c r="O41" s="17" t="inlineStr"/>
      <c r="P41" s="17" t="inlineStr"/>
      <c r="Q41" s="17" t="inlineStr"/>
      <c r="R41" s="17" t="inlineStr"/>
      <c r="S41" s="17" t="inlineStr"/>
      <c r="T41" s="17" t="inlineStr"/>
      <c r="U41" s="17" t="inlineStr"/>
      <c r="V41" s="17" t="inlineStr"/>
      <c r="W41" s="17" t="inlineStr"/>
      <c r="X41" s="17" t="inlineStr"/>
      <c r="Y41" s="17" t="inlineStr"/>
      <c r="Z41" s="17" t="inlineStr"/>
      <c r="AA41" s="17" t="inlineStr"/>
      <c r="AB41" s="17" t="inlineStr"/>
      <c r="AC41" s="17" t="inlineStr"/>
      <c r="AD41" s="17" t="inlineStr"/>
      <c r="AE41" s="17" t="inlineStr"/>
      <c r="AF41" s="17" t="inlineStr"/>
      <c r="AG41" s="17" t="inlineStr"/>
      <c r="AH41" s="17" t="inlineStr"/>
      <c r="AI41" s="17" t="inlineStr"/>
      <c r="AJ41" s="17" t="inlineStr"/>
      <c r="AK41" s="17" t="inlineStr"/>
      <c r="AL41" s="17" t="inlineStr"/>
      <c r="AM41" s="17" t="inlineStr"/>
      <c r="AN41" s="17" t="inlineStr"/>
      <c r="AO41" s="17" t="inlineStr"/>
      <c r="AP41" s="17" t="inlineStr"/>
      <c r="AQ41" s="17" t="inlineStr"/>
      <c r="AR41" s="17" t="inlineStr"/>
      <c r="AS41" s="17" t="inlineStr"/>
      <c r="AT41" s="17" t="inlineStr"/>
      <c r="AU41" s="17" t="inlineStr"/>
      <c r="AV41" s="17" t="inlineStr"/>
      <c r="AW41" s="17" t="inlineStr"/>
      <c r="AX41" s="17" t="inlineStr"/>
      <c r="AY41" s="17" t="inlineStr"/>
      <c r="AZ41" s="17" t="inlineStr"/>
      <c r="BA41" s="17" t="inlineStr"/>
      <c r="BB41" s="17" t="inlineStr"/>
      <c r="BC41" s="17" t="inlineStr"/>
      <c r="BD41" s="17" t="inlineStr"/>
      <c r="BE41" s="17" t="inlineStr"/>
      <c r="BF41" s="17" t="inlineStr"/>
      <c r="BG41" s="17" t="inlineStr"/>
      <c r="BH41" s="17" t="inlineStr"/>
      <c r="BI41" s="17" t="n">
        <v>456.322</v>
      </c>
      <c r="BJ41" s="17" t="n">
        <v>454.4855</v>
      </c>
      <c r="BK41" s="17" t="n">
        <v>407.7999</v>
      </c>
      <c r="BL41" s="17" t="n">
        <v>384.2929</v>
      </c>
      <c r="BM41" s="17" t="n">
        <v>374.9359</v>
      </c>
      <c r="BN41" s="17" t="n">
        <v>375</v>
      </c>
    </row>
    <row r="42">
      <c r="A42" s="10" t="inlineStr">
        <is>
          <t>Dominican Republic</t>
        </is>
      </c>
      <c r="B42" s="17" t="n">
        <v>162</v>
      </c>
      <c r="C42" s="26" t="n">
        <v>-0.2298000000000116</v>
      </c>
      <c r="D42" s="26" t="n">
        <v>-9.93210000000002</v>
      </c>
      <c r="E42" s="26" t="n">
        <v>-8.006500000000017</v>
      </c>
      <c r="F42" s="26" t="n">
        <v>-25.22240000000002</v>
      </c>
      <c r="G42" s="17" t="n">
        <v>365.2631</v>
      </c>
      <c r="H42" s="17" t="n">
        <v>396.3495</v>
      </c>
      <c r="I42" s="17" t="n">
        <v>365.7464</v>
      </c>
      <c r="J42" s="17" t="n">
        <v>378.017</v>
      </c>
      <c r="K42" s="17" t="n">
        <v>437.1987</v>
      </c>
      <c r="L42" s="17" t="n">
        <v>393.9334</v>
      </c>
      <c r="M42" s="17" t="n">
        <v>417.388</v>
      </c>
      <c r="N42" s="17" t="n">
        <v>410.754</v>
      </c>
      <c r="O42" s="17" t="n">
        <v>512.0962</v>
      </c>
      <c r="P42" s="17" t="n">
        <v>447.9367</v>
      </c>
      <c r="Q42" s="17" t="n">
        <v>441.1846</v>
      </c>
      <c r="R42" s="17" t="n">
        <v>473.8549</v>
      </c>
      <c r="S42" s="17" t="n">
        <v>431.2515</v>
      </c>
      <c r="T42" s="17" t="n">
        <v>374.2519</v>
      </c>
      <c r="U42" s="17" t="n">
        <v>357.9277</v>
      </c>
      <c r="V42" s="17" t="n">
        <v>352.847</v>
      </c>
      <c r="W42" s="17" t="n">
        <v>336.9769</v>
      </c>
      <c r="X42" s="17" t="n">
        <v>369.2286</v>
      </c>
      <c r="Y42" s="17" t="n">
        <v>359.5628</v>
      </c>
      <c r="Z42" s="17" t="n">
        <v>366.2607</v>
      </c>
      <c r="AA42" s="17" t="n">
        <v>330.2746</v>
      </c>
      <c r="AB42" s="17" t="n">
        <v>296.758</v>
      </c>
      <c r="AC42" s="17" t="n">
        <v>312.4604</v>
      </c>
      <c r="AD42" s="17" t="n">
        <v>318.6801</v>
      </c>
      <c r="AE42" s="17" t="n">
        <v>297.0158</v>
      </c>
      <c r="AF42" s="17" t="n">
        <v>266.3286</v>
      </c>
      <c r="AG42" s="17" t="n">
        <v>246.9827</v>
      </c>
      <c r="AH42" s="17" t="n">
        <v>256.0263</v>
      </c>
      <c r="AI42" s="17" t="n">
        <v>232.5909</v>
      </c>
      <c r="AJ42" s="17" t="n">
        <v>230.5335</v>
      </c>
      <c r="AK42" s="17" t="n">
        <v>219.7858</v>
      </c>
      <c r="AL42" s="17" t="n">
        <v>208.761</v>
      </c>
      <c r="AM42" s="17" t="n">
        <v>217.3123</v>
      </c>
      <c r="AN42" s="17" t="n">
        <v>222.4712</v>
      </c>
      <c r="AO42" s="17" t="n">
        <v>200.7941</v>
      </c>
      <c r="AP42" s="17" t="n">
        <v>197.0488</v>
      </c>
      <c r="AQ42" s="17" t="n">
        <v>203.7034</v>
      </c>
      <c r="AR42" s="17" t="n">
        <v>206.0237</v>
      </c>
      <c r="AS42" s="17" t="n">
        <v>206.4596</v>
      </c>
      <c r="AT42" s="17" t="n">
        <v>197.9993</v>
      </c>
      <c r="AU42" s="17" t="n">
        <v>218.1954</v>
      </c>
      <c r="AV42" s="17" t="n">
        <v>233.9462</v>
      </c>
      <c r="AW42" s="17" t="n">
        <v>253.4906</v>
      </c>
      <c r="AX42" s="17" t="n">
        <v>220.0296</v>
      </c>
      <c r="AY42" s="17" t="n">
        <v>217.18</v>
      </c>
      <c r="AZ42" s="17" t="n">
        <v>195.6406</v>
      </c>
      <c r="BA42" s="17" t="n">
        <v>186.9144</v>
      </c>
      <c r="BB42" s="17" t="n">
        <v>174.586</v>
      </c>
      <c r="BC42" s="17" t="n">
        <v>173.1459</v>
      </c>
      <c r="BD42" s="17" t="n">
        <v>191.8355</v>
      </c>
      <c r="BE42" s="17" t="n">
        <v>168.8477</v>
      </c>
      <c r="BF42" s="17" t="n">
        <v>164.0029</v>
      </c>
      <c r="BG42" s="17" t="n">
        <v>188.745</v>
      </c>
      <c r="BH42" s="17" t="n">
        <v>221.0536</v>
      </c>
      <c r="BI42" s="17" t="n">
        <v>181.9095</v>
      </c>
      <c r="BJ42" s="17" t="n">
        <v>169.9581</v>
      </c>
      <c r="BK42" s="17" t="n">
        <v>162.4579</v>
      </c>
      <c r="BL42" s="17" t="n">
        <v>171.3089</v>
      </c>
      <c r="BM42" s="17" t="n">
        <v>158.0677</v>
      </c>
      <c r="BN42" s="17" t="n">
        <v>162</v>
      </c>
    </row>
    <row r="43">
      <c r="A43" s="10" t="inlineStr">
        <is>
          <t>Ecuador</t>
        </is>
      </c>
      <c r="B43" s="17" t="n">
        <v>424</v>
      </c>
      <c r="C43" s="26" t="n">
        <v>-3.872340000000008</v>
      </c>
      <c r="D43" s="27" t="n">
        <v>24.59716000000003</v>
      </c>
      <c r="E43" s="26" t="n">
        <v>-70.63673999999997</v>
      </c>
      <c r="F43" s="26" t="n">
        <v>-303.1382399999999</v>
      </c>
      <c r="G43" s="17" t="n">
        <v>847.3809</v>
      </c>
      <c r="H43" s="17" t="n">
        <v>890.9644</v>
      </c>
      <c r="I43" s="17" t="n">
        <v>869.0700000000001</v>
      </c>
      <c r="J43" s="17" t="n">
        <v>767.5338</v>
      </c>
      <c r="K43" s="17" t="n">
        <v>755.1052</v>
      </c>
      <c r="L43" s="17" t="n">
        <v>810.3845</v>
      </c>
      <c r="M43" s="17" t="n">
        <v>815.5533</v>
      </c>
      <c r="N43" s="17" t="n">
        <v>801.9481</v>
      </c>
      <c r="O43" s="17" t="n">
        <v>1164.954</v>
      </c>
      <c r="P43" s="17" t="n">
        <v>1335.874</v>
      </c>
      <c r="Q43" s="17" t="n">
        <v>1550.0471</v>
      </c>
      <c r="R43" s="17" t="n">
        <v>1753.1033</v>
      </c>
      <c r="S43" s="17" t="n">
        <v>1569.9788</v>
      </c>
      <c r="T43" s="17" t="n">
        <v>1333.0986</v>
      </c>
      <c r="U43" s="17" t="n">
        <v>1250.2056</v>
      </c>
      <c r="V43" s="17" t="n">
        <v>1215.6582</v>
      </c>
      <c r="W43" s="17" t="n">
        <v>1764.6343</v>
      </c>
      <c r="X43" s="17" t="n">
        <v>1916.7678</v>
      </c>
      <c r="Y43" s="17" t="n">
        <v>1757.0163</v>
      </c>
      <c r="Z43" s="17" t="n">
        <v>1911.186</v>
      </c>
      <c r="AA43" s="17" t="n">
        <v>1902.3873</v>
      </c>
      <c r="AB43" s="17" t="n">
        <v>1933.7812</v>
      </c>
      <c r="AC43" s="17" t="n">
        <v>1850.245</v>
      </c>
      <c r="AD43" s="17" t="n">
        <v>1788.6734</v>
      </c>
      <c r="AE43" s="17" t="n">
        <v>1755.3052</v>
      </c>
      <c r="AF43" s="17" t="n">
        <v>2016.0712</v>
      </c>
      <c r="AG43" s="17" t="n">
        <v>2054.6948</v>
      </c>
      <c r="AH43" s="17" t="n">
        <v>1786.0249</v>
      </c>
      <c r="AI43" s="17" t="n">
        <v>1420.2585</v>
      </c>
      <c r="AJ43" s="17" t="n">
        <v>1232.5602</v>
      </c>
      <c r="AK43" s="17" t="n">
        <v>1120.4702</v>
      </c>
      <c r="AL43" s="17" t="n">
        <v>1273.6731</v>
      </c>
      <c r="AM43" s="17" t="n">
        <v>1391.1762</v>
      </c>
      <c r="AN43" s="17" t="n">
        <v>1305.2982</v>
      </c>
      <c r="AO43" s="17" t="n">
        <v>1239.8208</v>
      </c>
      <c r="AP43" s="17" t="n">
        <v>1211.146</v>
      </c>
      <c r="AQ43" s="17" t="n">
        <v>1250.1486</v>
      </c>
      <c r="AR43" s="17" t="n">
        <v>1286.4981</v>
      </c>
      <c r="AS43" s="17" t="n">
        <v>1199.5469</v>
      </c>
      <c r="AT43" s="17" t="n">
        <v>940.8744</v>
      </c>
      <c r="AU43" s="17" t="n">
        <v>1378.2249</v>
      </c>
      <c r="AV43" s="17" t="n">
        <v>1630.1469</v>
      </c>
      <c r="AW43" s="17" t="n">
        <v>1189.0787</v>
      </c>
      <c r="AX43" s="17" t="n">
        <v>1098.2438</v>
      </c>
      <c r="AY43" s="17" t="n">
        <v>813.9272999999999</v>
      </c>
      <c r="AZ43" s="17" t="n">
        <v>786.8984</v>
      </c>
      <c r="BA43" s="17" t="n">
        <v>756.2027</v>
      </c>
      <c r="BB43" s="17" t="n">
        <v>776.989</v>
      </c>
      <c r="BC43" s="17" t="n">
        <v>733.0404</v>
      </c>
      <c r="BD43" s="17" t="n">
        <v>554.1849999999999</v>
      </c>
      <c r="BE43" s="17" t="n">
        <v>491.9928</v>
      </c>
      <c r="BF43" s="17" t="n">
        <v>438.9501</v>
      </c>
      <c r="BG43" s="17" t="n">
        <v>483.5637</v>
      </c>
      <c r="BH43" s="17" t="n">
        <v>505.7406</v>
      </c>
      <c r="BI43" s="17" t="n">
        <v>410.5654</v>
      </c>
      <c r="BJ43" s="17" t="n">
        <v>415.1456</v>
      </c>
      <c r="BK43" s="17" t="n">
        <v>414.8234</v>
      </c>
      <c r="BL43" s="17" t="n">
        <v>435.583</v>
      </c>
      <c r="BM43" s="17" t="n">
        <v>409.6832</v>
      </c>
      <c r="BN43" s="17" t="n">
        <v>424</v>
      </c>
    </row>
    <row r="44">
      <c r="A44" s="10" t="inlineStr">
        <is>
          <t>Egypt</t>
        </is>
      </c>
      <c r="B44" s="17" t="n">
        <v>329</v>
      </c>
      <c r="C44" s="27" t="n">
        <v>1.445749999999975</v>
      </c>
      <c r="D44" s="26" t="n">
        <v>-39.35195000000004</v>
      </c>
      <c r="E44" s="26" t="n">
        <v>-9.010850000000005</v>
      </c>
      <c r="F44" s="26" t="n">
        <v>-163.55975</v>
      </c>
      <c r="G44" s="17" t="n">
        <v>664.0485</v>
      </c>
      <c r="H44" s="17" t="n">
        <v>746.0962</v>
      </c>
      <c r="I44" s="17" t="n">
        <v>680.9263999999999</v>
      </c>
      <c r="J44" s="17" t="n">
        <v>712.3347</v>
      </c>
      <c r="K44" s="17" t="n">
        <v>798.5353</v>
      </c>
      <c r="L44" s="17" t="n">
        <v>662.6988</v>
      </c>
      <c r="M44" s="17" t="n">
        <v>806.6017000000001</v>
      </c>
      <c r="N44" s="17" t="n">
        <v>784.8226</v>
      </c>
      <c r="O44" s="17" t="n">
        <v>1064.5009</v>
      </c>
      <c r="P44" s="17" t="n">
        <v>1161.4047</v>
      </c>
      <c r="Q44" s="17" t="n">
        <v>914.0469000000001</v>
      </c>
      <c r="R44" s="17" t="n">
        <v>1100.6658</v>
      </c>
      <c r="S44" s="17" t="n">
        <v>960.2747000000001</v>
      </c>
      <c r="T44" s="17" t="n">
        <v>793.8511</v>
      </c>
      <c r="U44" s="17" t="n">
        <v>796.6135</v>
      </c>
      <c r="V44" s="17" t="n">
        <v>788.8636</v>
      </c>
      <c r="W44" s="17" t="n">
        <v>864.0663</v>
      </c>
      <c r="X44" s="17" t="n">
        <v>1106.8931</v>
      </c>
      <c r="Y44" s="17" t="n">
        <v>1373.6002</v>
      </c>
      <c r="Z44" s="17" t="n">
        <v>1328.1111</v>
      </c>
      <c r="AA44" s="17" t="n">
        <v>1216.688</v>
      </c>
      <c r="AB44" s="17" t="n">
        <v>1020.4174</v>
      </c>
      <c r="AC44" s="17" t="n">
        <v>1220.0157</v>
      </c>
      <c r="AD44" s="17" t="n">
        <v>1175.8784</v>
      </c>
      <c r="AE44" s="17" t="n">
        <v>1197.4202</v>
      </c>
      <c r="AF44" s="17" t="n">
        <v>1042.7561</v>
      </c>
      <c r="AG44" s="17" t="n">
        <v>942.0377999999999</v>
      </c>
      <c r="AH44" s="17" t="n">
        <v>977.634</v>
      </c>
      <c r="AI44" s="17" t="n">
        <v>595.8617</v>
      </c>
      <c r="AJ44" s="17" t="n">
        <v>581.6844</v>
      </c>
      <c r="AK44" s="17" t="n">
        <v>587.6031</v>
      </c>
      <c r="AL44" s="17" t="n">
        <v>563.0698</v>
      </c>
      <c r="AM44" s="17" t="n">
        <v>640.4448</v>
      </c>
      <c r="AN44" s="17" t="n">
        <v>641.7173</v>
      </c>
      <c r="AO44" s="17" t="n">
        <v>633.5979</v>
      </c>
      <c r="AP44" s="17" t="n">
        <v>594.3667</v>
      </c>
      <c r="AQ44" s="17" t="n">
        <v>573.5714</v>
      </c>
      <c r="AR44" s="17" t="n">
        <v>564.1279</v>
      </c>
      <c r="AS44" s="17" t="n">
        <v>569.8558</v>
      </c>
      <c r="AT44" s="17" t="n">
        <v>543.6509</v>
      </c>
      <c r="AU44" s="17" t="n">
        <v>582.1318</v>
      </c>
      <c r="AV44" s="17" t="n">
        <v>642.2607</v>
      </c>
      <c r="AW44" s="17" t="n">
        <v>681.3166</v>
      </c>
      <c r="AX44" s="17" t="n">
        <v>576.4864</v>
      </c>
      <c r="AY44" s="17" t="n">
        <v>533.1817</v>
      </c>
      <c r="AZ44" s="17" t="n">
        <v>514.4869</v>
      </c>
      <c r="BA44" s="17" t="n">
        <v>506.8782</v>
      </c>
      <c r="BB44" s="17" t="n">
        <v>458.8217</v>
      </c>
      <c r="BC44" s="17" t="n">
        <v>411.377</v>
      </c>
      <c r="BD44" s="17" t="n">
        <v>402.8904</v>
      </c>
      <c r="BE44" s="17" t="n">
        <v>337.1013</v>
      </c>
      <c r="BF44" s="17" t="n">
        <v>360.0955</v>
      </c>
      <c r="BG44" s="17" t="n">
        <v>395.0311</v>
      </c>
      <c r="BH44" s="17" t="n">
        <v>470.0124</v>
      </c>
      <c r="BI44" s="17" t="n">
        <v>406.945</v>
      </c>
      <c r="BJ44" s="17" t="n">
        <v>354.6888</v>
      </c>
      <c r="BK44" s="17" t="n">
        <v>340.076</v>
      </c>
      <c r="BL44" s="17" t="n">
        <v>349.9766</v>
      </c>
      <c r="BM44" s="17" t="n">
        <v>324.2498</v>
      </c>
      <c r="BN44" s="17" t="n">
        <v>329</v>
      </c>
    </row>
    <row r="45">
      <c r="A45" s="10" t="inlineStr">
        <is>
          <t>El Salvador</t>
        </is>
      </c>
      <c r="B45" s="17" t="n">
        <v>265</v>
      </c>
      <c r="C45" s="27" t="n">
        <v>3.154860000000042</v>
      </c>
      <c r="D45" s="26" t="n">
        <v>-39.06943999999993</v>
      </c>
      <c r="E45" s="26" t="n">
        <v>-55.03813999999994</v>
      </c>
      <c r="F45" s="26" t="n">
        <v>-142.1154399999999</v>
      </c>
      <c r="G45" s="17" t="n">
        <v>1007.4891</v>
      </c>
      <c r="H45" s="17" t="n">
        <v>1314.7314</v>
      </c>
      <c r="I45" s="17" t="n">
        <v>1490.8709</v>
      </c>
      <c r="J45" s="17" t="n">
        <v>1571.1831</v>
      </c>
      <c r="K45" s="17" t="n">
        <v>1609.51</v>
      </c>
      <c r="L45" s="17" t="n">
        <v>1773.512</v>
      </c>
      <c r="M45" s="17" t="n">
        <v>2200.5471</v>
      </c>
      <c r="N45" s="17" t="n">
        <v>2288.7017</v>
      </c>
      <c r="O45" s="17" t="n">
        <v>2703.8206</v>
      </c>
      <c r="P45" s="17" t="n">
        <v>2428.0092</v>
      </c>
      <c r="Q45" s="17" t="n">
        <v>2300.6888</v>
      </c>
      <c r="R45" s="17" t="n">
        <v>2255.5031</v>
      </c>
      <c r="S45" s="17" t="n">
        <v>2071.6682</v>
      </c>
      <c r="T45" s="17" t="n">
        <v>1960.4105</v>
      </c>
      <c r="U45" s="17" t="n">
        <v>1839.4402</v>
      </c>
      <c r="V45" s="17" t="n">
        <v>1481.5926</v>
      </c>
      <c r="W45" s="17" t="n">
        <v>1512.8857</v>
      </c>
      <c r="X45" s="17" t="n">
        <v>1521.3528</v>
      </c>
      <c r="Y45" s="17" t="n">
        <v>1366.6814</v>
      </c>
      <c r="Z45" s="17" t="n">
        <v>1305.7151</v>
      </c>
      <c r="AA45" s="17" t="n">
        <v>1100.1061</v>
      </c>
      <c r="AB45" s="17" t="n">
        <v>934.5265000000001</v>
      </c>
      <c r="AC45" s="17" t="n">
        <v>791.6616</v>
      </c>
      <c r="AD45" s="17" t="n">
        <v>736.8476000000001</v>
      </c>
      <c r="AE45" s="17" t="n">
        <v>739.2056</v>
      </c>
      <c r="AF45" s="17" t="n">
        <v>709.8218000000001</v>
      </c>
      <c r="AG45" s="17" t="n">
        <v>683.9225</v>
      </c>
      <c r="AH45" s="17" t="n">
        <v>663.7347</v>
      </c>
      <c r="AI45" s="17" t="n">
        <v>691.2549</v>
      </c>
      <c r="AJ45" s="17" t="n">
        <v>677.6375</v>
      </c>
      <c r="AK45" s="17" t="n">
        <v>703.225</v>
      </c>
      <c r="AL45" s="17" t="n">
        <v>746.5293</v>
      </c>
      <c r="AM45" s="17" t="n">
        <v>750.9376999999999</v>
      </c>
      <c r="AN45" s="17" t="n">
        <v>727.9032</v>
      </c>
      <c r="AO45" s="17" t="n">
        <v>674.9173</v>
      </c>
      <c r="AP45" s="17" t="n">
        <v>569.2265</v>
      </c>
      <c r="AQ45" s="17" t="n">
        <v>522.793</v>
      </c>
      <c r="AR45" s="17" t="n">
        <v>432.7274</v>
      </c>
      <c r="AS45" s="17" t="n">
        <v>387.9095</v>
      </c>
      <c r="AT45" s="17" t="n">
        <v>380.9381</v>
      </c>
      <c r="AU45" s="17" t="n">
        <v>410.9255</v>
      </c>
      <c r="AV45" s="17" t="n">
        <v>464.1953</v>
      </c>
      <c r="AW45" s="17" t="n">
        <v>469.7847</v>
      </c>
      <c r="AX45" s="17" t="n">
        <v>430.4111</v>
      </c>
      <c r="AY45" s="17" t="n">
        <v>413.1653</v>
      </c>
      <c r="AZ45" s="17" t="n">
        <v>417.8832</v>
      </c>
      <c r="BA45" s="17" t="n">
        <v>399.6571</v>
      </c>
      <c r="BB45" s="17" t="n">
        <v>375.4704</v>
      </c>
      <c r="BC45" s="17" t="n">
        <v>347.8351</v>
      </c>
      <c r="BD45" s="17" t="n">
        <v>356.58</v>
      </c>
      <c r="BE45" s="17" t="n">
        <v>325.7104</v>
      </c>
      <c r="BF45" s="17" t="n">
        <v>317.6485</v>
      </c>
      <c r="BG45" s="17" t="n">
        <v>350.4372</v>
      </c>
      <c r="BH45" s="17" t="n">
        <v>384.6174</v>
      </c>
      <c r="BI45" s="17" t="n">
        <v>317.0362</v>
      </c>
      <c r="BJ45" s="17" t="n">
        <v>312.8946</v>
      </c>
      <c r="BK45" s="17" t="n">
        <v>299.1402</v>
      </c>
      <c r="BL45" s="17" t="n">
        <v>274.0503</v>
      </c>
      <c r="BM45" s="17" t="n">
        <v>270.6828</v>
      </c>
      <c r="BN45" s="17" t="n">
        <v>265</v>
      </c>
    </row>
    <row r="46">
      <c r="A46" s="10" t="inlineStr">
        <is>
          <t>Ethiopia</t>
        </is>
      </c>
      <c r="B46" s="17" t="n">
        <v>-401</v>
      </c>
      <c r="C46" s="27" t="n">
        <v>29.93295000000001</v>
      </c>
      <c r="D46" s="26" t="n">
        <v>-157.04425</v>
      </c>
      <c r="E46" s="27" t="n">
        <v>198.2479499999997</v>
      </c>
      <c r="F46" s="26" t="n">
        <v>-1382.60455</v>
      </c>
      <c r="G46" s="17" t="n">
        <v>1285.8083</v>
      </c>
      <c r="H46" s="17" t="n">
        <v>2107.784</v>
      </c>
      <c r="I46" s="17" t="n">
        <v>2029.6891</v>
      </c>
      <c r="J46" s="17" t="n">
        <v>1575.0108</v>
      </c>
      <c r="K46" s="17" t="n">
        <v>1630.127</v>
      </c>
      <c r="L46" s="17" t="n">
        <v>1727.3696</v>
      </c>
      <c r="M46" s="17" t="n">
        <v>1914.204</v>
      </c>
      <c r="N46" s="17" t="n">
        <v>2482.7377</v>
      </c>
      <c r="O46" s="17" t="n">
        <v>3021.4782</v>
      </c>
      <c r="P46" s="17" t="n">
        <v>3486.4998</v>
      </c>
      <c r="Q46" s="17" t="n">
        <v>3121.2384</v>
      </c>
      <c r="R46" s="17" t="n">
        <v>3849.8373</v>
      </c>
      <c r="S46" s="17" t="n">
        <v>3838.3014</v>
      </c>
      <c r="T46" s="17" t="n">
        <v>2828.3944</v>
      </c>
      <c r="U46" s="17" t="n">
        <v>2957.8695</v>
      </c>
      <c r="V46" s="17" t="n">
        <v>1444.4221</v>
      </c>
      <c r="W46" s="17" t="n">
        <v>1370.3315</v>
      </c>
      <c r="X46" s="17" t="n">
        <v>1378.3821</v>
      </c>
      <c r="Y46" s="17" t="n">
        <v>1410.7724</v>
      </c>
      <c r="Z46" s="17" t="n">
        <v>2910.6762</v>
      </c>
      <c r="AA46" s="17" t="n">
        <v>2947.4732</v>
      </c>
      <c r="AB46" s="17" t="n">
        <v>3191.9967</v>
      </c>
      <c r="AC46" s="17" t="n">
        <v>3757.1894</v>
      </c>
      <c r="AD46" s="17" t="n">
        <v>4256.0351</v>
      </c>
      <c r="AE46" s="17" t="n">
        <v>4751.9054</v>
      </c>
      <c r="AF46" s="17" t="n">
        <v>5511.8803</v>
      </c>
      <c r="AG46" s="17" t="n">
        <v>4945.7517</v>
      </c>
      <c r="AH46" s="17" t="n">
        <v>5316.2454</v>
      </c>
      <c r="AI46" s="17" t="n">
        <v>6030.7486</v>
      </c>
      <c r="AJ46" s="17" t="n">
        <v>5715.505</v>
      </c>
      <c r="AK46" s="17" t="n">
        <v>7387.5049</v>
      </c>
      <c r="AL46" s="17" t="n">
        <v>2974.8981</v>
      </c>
      <c r="AM46" s="17" t="n">
        <v>2614.2735</v>
      </c>
      <c r="AN46" s="17" t="n">
        <v>2073.4658</v>
      </c>
      <c r="AO46" s="17" t="n">
        <v>2558.1396</v>
      </c>
      <c r="AP46" s="17" t="n">
        <v>2773.555</v>
      </c>
      <c r="AQ46" s="17" t="n">
        <v>3000.4576</v>
      </c>
      <c r="AR46" s="17" t="n">
        <v>3185.4781</v>
      </c>
      <c r="AS46" s="17" t="n">
        <v>2910.9809</v>
      </c>
      <c r="AT46" s="17" t="n">
        <v>2792.7661</v>
      </c>
      <c r="AU46" s="17" t="n">
        <v>2474.5342</v>
      </c>
      <c r="AV46" s="17" t="n">
        <v>2936.3746</v>
      </c>
      <c r="AW46" s="17" t="n">
        <v>3812.8663</v>
      </c>
      <c r="AX46" s="17" t="n">
        <v>1238.7352</v>
      </c>
      <c r="AY46" s="17" t="n">
        <v>772.4986</v>
      </c>
      <c r="AZ46" s="17" t="n">
        <v>920.5139</v>
      </c>
      <c r="BA46" s="17" t="n">
        <v>1036.9403</v>
      </c>
      <c r="BB46" s="17" t="n">
        <v>787.5405</v>
      </c>
      <c r="BC46" s="17" t="n">
        <v>-20.526</v>
      </c>
      <c r="BD46" s="17" t="n">
        <v>-225.3386</v>
      </c>
      <c r="BE46" s="17" t="n">
        <v>-501.659</v>
      </c>
      <c r="BF46" s="17" t="n">
        <v>-336.4839</v>
      </c>
      <c r="BG46" s="17" t="n">
        <v>-88.05200000000001</v>
      </c>
      <c r="BH46" s="17" t="n">
        <v>147.4844</v>
      </c>
      <c r="BI46" s="17" t="n">
        <v>138.3274</v>
      </c>
      <c r="BJ46" s="17" t="n">
        <v>76.1983</v>
      </c>
      <c r="BK46" s="17" t="n">
        <v>-362.1459</v>
      </c>
      <c r="BL46" s="17" t="n">
        <v>-310.3288</v>
      </c>
      <c r="BM46" s="17" t="n">
        <v>-334.8415</v>
      </c>
      <c r="BN46" s="17" t="n">
        <v>-401</v>
      </c>
    </row>
    <row r="47">
      <c r="A47" s="10" t="inlineStr">
        <is>
          <t>Gabon</t>
        </is>
      </c>
      <c r="B47" s="17" t="n">
        <v>696</v>
      </c>
      <c r="C47" s="15" t="n">
        <v>0</v>
      </c>
      <c r="D47" s="15" t="n">
        <v>0</v>
      </c>
      <c r="E47" s="15" t="n">
        <v>0</v>
      </c>
      <c r="F47" s="15" t="n">
        <v>0</v>
      </c>
      <c r="G47" s="17" t="inlineStr"/>
      <c r="H47" s="17" t="inlineStr"/>
      <c r="I47" s="17" t="inlineStr"/>
      <c r="J47" s="17" t="inlineStr"/>
      <c r="K47" s="17" t="inlineStr"/>
      <c r="L47" s="17" t="inlineStr"/>
      <c r="M47" s="17" t="inlineStr"/>
      <c r="N47" s="17" t="inlineStr"/>
      <c r="O47" s="17" t="inlineStr"/>
      <c r="P47" s="17" t="inlineStr"/>
      <c r="Q47" s="17" t="inlineStr"/>
      <c r="R47" s="17" t="inlineStr"/>
      <c r="S47" s="17" t="inlineStr"/>
      <c r="T47" s="17" t="inlineStr"/>
      <c r="U47" s="17" t="inlineStr"/>
      <c r="V47" s="17" t="inlineStr"/>
      <c r="W47" s="17" t="inlineStr"/>
      <c r="X47" s="17" t="inlineStr"/>
      <c r="Y47" s="17" t="inlineStr"/>
      <c r="Z47" s="17" t="inlineStr"/>
      <c r="AA47" s="17" t="inlineStr"/>
      <c r="AB47" s="17" t="inlineStr"/>
      <c r="AC47" s="17" t="inlineStr"/>
      <c r="AD47" s="17" t="inlineStr"/>
      <c r="AE47" s="17" t="inlineStr"/>
      <c r="AF47" s="17" t="inlineStr"/>
      <c r="AG47" s="17" t="inlineStr"/>
      <c r="AH47" s="17" t="inlineStr"/>
      <c r="AI47" s="17" t="inlineStr"/>
      <c r="AJ47" s="17" t="inlineStr"/>
      <c r="AK47" s="17" t="inlineStr"/>
      <c r="AL47" s="17" t="inlineStr"/>
      <c r="AM47" s="17" t="inlineStr"/>
      <c r="AN47" s="17" t="inlineStr"/>
      <c r="AO47" s="17" t="inlineStr"/>
      <c r="AP47" s="17" t="inlineStr"/>
      <c r="AQ47" s="17" t="inlineStr"/>
      <c r="AR47" s="17" t="inlineStr"/>
      <c r="AS47" s="17" t="inlineStr"/>
      <c r="AT47" s="17" t="inlineStr"/>
      <c r="AU47" s="17" t="inlineStr"/>
      <c r="AV47" s="17" t="inlineStr"/>
      <c r="AW47" s="17" t="inlineStr"/>
      <c r="AX47" s="17" t="inlineStr"/>
      <c r="AY47" s="17" t="inlineStr"/>
      <c r="AZ47" s="17" t="inlineStr"/>
      <c r="BA47" s="17" t="inlineStr"/>
      <c r="BB47" s="17" t="inlineStr"/>
      <c r="BC47" s="17" t="inlineStr"/>
      <c r="BD47" s="17" t="inlineStr"/>
      <c r="BE47" s="17" t="inlineStr"/>
      <c r="BF47" s="17" t="inlineStr"/>
      <c r="BG47" s="17" t="inlineStr"/>
      <c r="BH47" s="17" t="inlineStr"/>
      <c r="BI47" s="17" t="inlineStr"/>
      <c r="BJ47" s="17" t="inlineStr"/>
      <c r="BK47" s="17" t="inlineStr"/>
      <c r="BL47" s="17" t="inlineStr"/>
      <c r="BM47" s="17" t="inlineStr"/>
      <c r="BN47" s="17" t="n">
        <v>696</v>
      </c>
    </row>
    <row r="48">
      <c r="A48" s="10" t="inlineStr">
        <is>
          <t>Georgia</t>
        </is>
      </c>
      <c r="B48" s="17" t="n">
        <v>151</v>
      </c>
      <c r="C48" s="26" t="n">
        <v>-4.294750000000022</v>
      </c>
      <c r="D48" s="26" t="n">
        <v>-4.086050000000029</v>
      </c>
      <c r="E48" s="26" t="n">
        <v>-136.50605</v>
      </c>
      <c r="F48" s="26" t="n">
        <v>-130.60105</v>
      </c>
      <c r="G48" s="17" t="n">
        <v>194.2774</v>
      </c>
      <c r="H48" s="17" t="n">
        <v>223.8833</v>
      </c>
      <c r="I48" s="17" t="n">
        <v>209.5334</v>
      </c>
      <c r="J48" s="17" t="n">
        <v>210.7514</v>
      </c>
      <c r="K48" s="17" t="n">
        <v>358.6062</v>
      </c>
      <c r="L48" s="17" t="n">
        <v>450.7199</v>
      </c>
      <c r="M48" s="17" t="n">
        <v>363.3669</v>
      </c>
      <c r="N48" s="17" t="n">
        <v>388.6007</v>
      </c>
      <c r="O48" s="17" t="n">
        <v>519.0076</v>
      </c>
      <c r="P48" s="17" t="n">
        <v>427.9776</v>
      </c>
      <c r="Q48" s="17" t="n">
        <v>358.113</v>
      </c>
      <c r="R48" s="17" t="n">
        <v>399.2142</v>
      </c>
      <c r="S48" s="17" t="n">
        <v>425.4141</v>
      </c>
      <c r="T48" s="17" t="n">
        <v>309.9762</v>
      </c>
      <c r="U48" s="17" t="n">
        <v>212.1026</v>
      </c>
      <c r="V48" s="17" t="n">
        <v>229.1262</v>
      </c>
      <c r="W48" s="17" t="n">
        <v>195.7491</v>
      </c>
      <c r="X48" s="17" t="n">
        <v>322.3765</v>
      </c>
      <c r="Y48" s="17" t="n">
        <v>329.4639</v>
      </c>
      <c r="Z48" s="17" t="n">
        <v>312.2579</v>
      </c>
      <c r="AA48" s="17" t="n">
        <v>268.7922</v>
      </c>
      <c r="AB48" s="17" t="n">
        <v>250.2481</v>
      </c>
      <c r="AC48" s="17" t="n">
        <v>263.7398</v>
      </c>
      <c r="AD48" s="17" t="n">
        <v>244.7673</v>
      </c>
      <c r="AE48" s="17" t="n">
        <v>276.3055</v>
      </c>
      <c r="AF48" s="17" t="n">
        <v>272.2058</v>
      </c>
      <c r="AG48" s="17" t="n">
        <v>177.9489</v>
      </c>
      <c r="AH48" s="17" t="n">
        <v>196.636</v>
      </c>
      <c r="AI48" s="17" t="n">
        <v>180.5606</v>
      </c>
      <c r="AJ48" s="17" t="n">
        <v>186.9949</v>
      </c>
      <c r="AK48" s="17" t="n">
        <v>170.4859</v>
      </c>
      <c r="AL48" s="17" t="n">
        <v>253.7695</v>
      </c>
      <c r="AM48" s="17" t="n">
        <v>281.39</v>
      </c>
      <c r="AN48" s="17" t="n">
        <v>303.2294</v>
      </c>
      <c r="AO48" s="17" t="n">
        <v>277.7502</v>
      </c>
      <c r="AP48" s="17" t="n">
        <v>285.33</v>
      </c>
      <c r="AQ48" s="17" t="n">
        <v>304.1879</v>
      </c>
      <c r="AR48" s="17" t="n">
        <v>295.8476</v>
      </c>
      <c r="AS48" s="17" t="n">
        <v>336.4041</v>
      </c>
      <c r="AT48" s="17" t="n">
        <v>339.1171</v>
      </c>
      <c r="AU48" s="17" t="n">
        <v>346.4131</v>
      </c>
      <c r="AV48" s="17" t="n">
        <v>357.5327</v>
      </c>
      <c r="AW48" s="17" t="n">
        <v>389.7348</v>
      </c>
      <c r="AX48" s="17" t="n">
        <v>361.0138</v>
      </c>
      <c r="AY48" s="17" t="n">
        <v>327.0881</v>
      </c>
      <c r="AZ48" s="17" t="n">
        <v>260.2325</v>
      </c>
      <c r="BA48" s="17" t="n">
        <v>274.927</v>
      </c>
      <c r="BB48" s="17" t="n">
        <v>272.3254</v>
      </c>
      <c r="BC48" s="17" t="n">
        <v>282.9939</v>
      </c>
      <c r="BD48" s="17" t="n">
        <v>298.6485</v>
      </c>
      <c r="BE48" s="17" t="n">
        <v>280.3714</v>
      </c>
      <c r="BF48" s="17" t="n">
        <v>184.3092</v>
      </c>
      <c r="BG48" s="17" t="n">
        <v>203.2327</v>
      </c>
      <c r="BH48" s="17" t="n">
        <v>207.8959</v>
      </c>
      <c r="BI48" s="17" t="n">
        <v>172.499</v>
      </c>
      <c r="BJ48" s="17" t="n">
        <v>158.6822</v>
      </c>
      <c r="BK48" s="17" t="n">
        <v>146.5728</v>
      </c>
      <c r="BL48" s="17" t="n">
        <v>150.0573</v>
      </c>
      <c r="BM48" s="17" t="n">
        <v>137.9566</v>
      </c>
      <c r="BN48" s="17" t="n">
        <v>151</v>
      </c>
    </row>
    <row r="49">
      <c r="A49" s="10" t="inlineStr">
        <is>
          <t>Ghana</t>
        </is>
      </c>
      <c r="B49" s="17" t="n">
        <v>224</v>
      </c>
      <c r="C49" s="26" t="n">
        <v>-23.43952999999999</v>
      </c>
      <c r="D49" s="26" t="n">
        <v>-2.882829999999984</v>
      </c>
      <c r="E49" s="26" t="n">
        <v>-73.02103000000002</v>
      </c>
      <c r="F49" s="26" t="n">
        <v>-216.91313</v>
      </c>
      <c r="G49" s="17" t="n">
        <v>858.6248000000001</v>
      </c>
      <c r="H49" s="17" t="n">
        <v>1023.9583</v>
      </c>
      <c r="I49" s="17" t="n">
        <v>955.2077</v>
      </c>
      <c r="J49" s="17" t="n">
        <v>1031.5595</v>
      </c>
      <c r="K49" s="17" t="n">
        <v>1271.9936</v>
      </c>
      <c r="L49" s="17" t="n">
        <v>1080.137</v>
      </c>
      <c r="M49" s="17" t="n">
        <v>1310.8613</v>
      </c>
      <c r="N49" s="17" t="n">
        <v>1595.1993</v>
      </c>
      <c r="O49" s="17" t="n">
        <v>1755.624</v>
      </c>
      <c r="P49" s="17" t="n">
        <v>1996.8997</v>
      </c>
      <c r="Q49" s="17" t="n">
        <v>2433.4546</v>
      </c>
      <c r="R49" s="17" t="n">
        <v>2456.3166</v>
      </c>
      <c r="S49" s="17" t="n">
        <v>3399.5487</v>
      </c>
      <c r="T49" s="17" t="n">
        <v>2755.8507</v>
      </c>
      <c r="U49" s="17" t="n">
        <v>2936.1207</v>
      </c>
      <c r="V49" s="17" t="n">
        <v>2915.1174</v>
      </c>
      <c r="W49" s="17" t="n">
        <v>2865.67</v>
      </c>
      <c r="X49" s="17" t="n">
        <v>3230.8871</v>
      </c>
      <c r="Y49" s="17" t="n">
        <v>3039.4845</v>
      </c>
      <c r="Z49" s="17" t="n">
        <v>2837.633</v>
      </c>
      <c r="AA49" s="17" t="n">
        <v>2650.5296</v>
      </c>
      <c r="AB49" s="17" t="n">
        <v>2402.6111</v>
      </c>
      <c r="AC49" s="17" t="n">
        <v>2619.0206</v>
      </c>
      <c r="AD49" s="17" t="n">
        <v>2559.6816</v>
      </c>
      <c r="AE49" s="17" t="n">
        <v>2656.968</v>
      </c>
      <c r="AF49" s="17" t="n">
        <v>2717.7749</v>
      </c>
      <c r="AG49" s="17" t="n">
        <v>2787.9864</v>
      </c>
      <c r="AH49" s="17" t="n">
        <v>2763.4957</v>
      </c>
      <c r="AI49" s="17" t="n">
        <v>2950.2626</v>
      </c>
      <c r="AJ49" s="17" t="n">
        <v>2265.1513</v>
      </c>
      <c r="AK49" s="17" t="n">
        <v>2455.5424</v>
      </c>
      <c r="AL49" s="17" t="n">
        <v>2290.115</v>
      </c>
      <c r="AM49" s="17" t="n">
        <v>2362.105</v>
      </c>
      <c r="AN49" s="17" t="n">
        <v>2450.283</v>
      </c>
      <c r="AO49" s="17" t="n">
        <v>2323.1991</v>
      </c>
      <c r="AP49" s="17" t="n">
        <v>2173.5902</v>
      </c>
      <c r="AQ49" s="17" t="n">
        <v>688.3851</v>
      </c>
      <c r="AR49" s="17" t="n">
        <v>645.7782999999999</v>
      </c>
      <c r="AS49" s="17" t="n">
        <v>658.9275</v>
      </c>
      <c r="AT49" s="17" t="n">
        <v>590.3963</v>
      </c>
      <c r="AU49" s="17" t="n">
        <v>616.2368</v>
      </c>
      <c r="AV49" s="17" t="n">
        <v>708.9701</v>
      </c>
      <c r="AW49" s="17" t="n">
        <v>842.8579999999999</v>
      </c>
      <c r="AX49" s="17" t="n">
        <v>597.5463</v>
      </c>
      <c r="AY49" s="17" t="n">
        <v>534.8265</v>
      </c>
      <c r="AZ49" s="17" t="n">
        <v>455.5345</v>
      </c>
      <c r="BA49" s="17" t="n">
        <v>453.343</v>
      </c>
      <c r="BB49" s="17" t="n">
        <v>405.6174</v>
      </c>
      <c r="BC49" s="17" t="n">
        <v>383.8925</v>
      </c>
      <c r="BD49" s="17" t="n">
        <v>353.6163</v>
      </c>
      <c r="BE49" s="17" t="n">
        <v>294.5214</v>
      </c>
      <c r="BF49" s="17" t="n">
        <v>302.5434</v>
      </c>
      <c r="BG49" s="17" t="n">
        <v>343.9005</v>
      </c>
      <c r="BH49" s="17" t="n">
        <v>422.5376</v>
      </c>
      <c r="BI49" s="17" t="n">
        <v>288.9596</v>
      </c>
      <c r="BJ49" s="17" t="n">
        <v>231.2637</v>
      </c>
      <c r="BK49" s="17" t="n">
        <v>250.6109</v>
      </c>
      <c r="BL49" s="17" t="n">
        <v>263.113</v>
      </c>
      <c r="BM49" s="17" t="n">
        <v>219.2453</v>
      </c>
      <c r="BN49" s="17" t="n">
        <v>224</v>
      </c>
    </row>
    <row r="50">
      <c r="A50" s="10" t="inlineStr">
        <is>
          <t>Guatemala</t>
        </is>
      </c>
      <c r="B50" s="17" t="n">
        <v>116</v>
      </c>
      <c r="C50" s="26" t="n">
        <v>-1.285470000000004</v>
      </c>
      <c r="D50" s="27" t="n">
        <v>0.4398300000000006</v>
      </c>
      <c r="E50" s="26" t="n">
        <v>-28.42416999999999</v>
      </c>
      <c r="F50" s="26" t="n">
        <v>-54.00677</v>
      </c>
      <c r="G50" s="17" t="n">
        <v>258.8804</v>
      </c>
      <c r="H50" s="17" t="n">
        <v>293.9928</v>
      </c>
      <c r="I50" s="17" t="n">
        <v>271.149</v>
      </c>
      <c r="J50" s="17" t="n">
        <v>280.2972</v>
      </c>
      <c r="K50" s="17" t="n">
        <v>323.3797</v>
      </c>
      <c r="L50" s="17" t="n">
        <v>259.8775</v>
      </c>
      <c r="M50" s="17" t="n">
        <v>267.1358</v>
      </c>
      <c r="N50" s="17" t="n">
        <v>302.2699</v>
      </c>
      <c r="O50" s="17" t="n">
        <v>360.9906</v>
      </c>
      <c r="P50" s="17" t="n">
        <v>292.3523</v>
      </c>
      <c r="Q50" s="17" t="n">
        <v>278.3888</v>
      </c>
      <c r="R50" s="17" t="n">
        <v>332.6867</v>
      </c>
      <c r="S50" s="17" t="n">
        <v>263.0264</v>
      </c>
      <c r="T50" s="17" t="n">
        <v>243.6642</v>
      </c>
      <c r="U50" s="17" t="n">
        <v>210.3668</v>
      </c>
      <c r="V50" s="17" t="n">
        <v>224.9243</v>
      </c>
      <c r="W50" s="17" t="n">
        <v>208.0737</v>
      </c>
      <c r="X50" s="17" t="n">
        <v>236.663</v>
      </c>
      <c r="Y50" s="17" t="n">
        <v>240.5441</v>
      </c>
      <c r="Z50" s="17" t="n">
        <v>260.6969</v>
      </c>
      <c r="AA50" s="17" t="n">
        <v>241.3025</v>
      </c>
      <c r="AB50" s="17" t="n">
        <v>219.8318</v>
      </c>
      <c r="AC50" s="17" t="n">
        <v>220.9033</v>
      </c>
      <c r="AD50" s="17" t="n">
        <v>228.4839</v>
      </c>
      <c r="AE50" s="17" t="n">
        <v>248.0667</v>
      </c>
      <c r="AF50" s="17" t="n">
        <v>249.3641</v>
      </c>
      <c r="AG50" s="17" t="n">
        <v>209.6804</v>
      </c>
      <c r="AH50" s="17" t="n">
        <v>225.589</v>
      </c>
      <c r="AI50" s="17" t="n">
        <v>199.7351</v>
      </c>
      <c r="AJ50" s="17" t="n">
        <v>192.8829</v>
      </c>
      <c r="AK50" s="17" t="n">
        <v>201.7826</v>
      </c>
      <c r="AL50" s="17" t="n">
        <v>190.6214</v>
      </c>
      <c r="AM50" s="17" t="n">
        <v>199.4058</v>
      </c>
      <c r="AN50" s="17" t="n">
        <v>213.301</v>
      </c>
      <c r="AO50" s="17" t="n">
        <v>198.5614</v>
      </c>
      <c r="AP50" s="17" t="n">
        <v>206.7011</v>
      </c>
      <c r="AQ50" s="17" t="n">
        <v>198.9171</v>
      </c>
      <c r="AR50" s="17" t="n">
        <v>209.8658</v>
      </c>
      <c r="AS50" s="17" t="n">
        <v>202.5666</v>
      </c>
      <c r="AT50" s="17" t="n">
        <v>202.4525</v>
      </c>
      <c r="AU50" s="17" t="n">
        <v>208.0745</v>
      </c>
      <c r="AV50" s="17" t="n">
        <v>212.1193</v>
      </c>
      <c r="AW50" s="17" t="n">
        <v>224.8466</v>
      </c>
      <c r="AX50" s="17" t="n">
        <v>195.3441</v>
      </c>
      <c r="AY50" s="17" t="n">
        <v>196.3218</v>
      </c>
      <c r="AZ50" s="17" t="n">
        <v>178.303</v>
      </c>
      <c r="BA50" s="17" t="n">
        <v>166.569</v>
      </c>
      <c r="BB50" s="17" t="n">
        <v>153.1928</v>
      </c>
      <c r="BC50" s="17" t="n">
        <v>142.3537</v>
      </c>
      <c r="BD50" s="17" t="n">
        <v>161.6322</v>
      </c>
      <c r="BE50" s="17" t="n">
        <v>141.2001</v>
      </c>
      <c r="BF50" s="17" t="n">
        <v>136.1081</v>
      </c>
      <c r="BG50" s="17" t="n">
        <v>141.8103</v>
      </c>
      <c r="BH50" s="17" t="n">
        <v>155.3808</v>
      </c>
      <c r="BI50" s="17" t="n">
        <v>117.8647</v>
      </c>
      <c r="BJ50" s="17" t="n">
        <v>116.4325</v>
      </c>
      <c r="BK50" s="17" t="n">
        <v>113.0967</v>
      </c>
      <c r="BL50" s="17" t="n">
        <v>122.2621</v>
      </c>
      <c r="BM50" s="17" t="n">
        <v>110.1685</v>
      </c>
      <c r="BN50" s="17" t="n">
        <v>116</v>
      </c>
    </row>
    <row r="51">
      <c r="A51" s="10" t="inlineStr">
        <is>
          <t>Honduras</t>
        </is>
      </c>
      <c r="B51" s="17" t="n">
        <v>149</v>
      </c>
      <c r="C51" s="26" t="n">
        <v>-13.38619999999997</v>
      </c>
      <c r="D51" s="26" t="n">
        <v>-30.91999999999999</v>
      </c>
      <c r="E51" s="26" t="n">
        <v>-83.97909999999999</v>
      </c>
      <c r="F51" s="26" t="n">
        <v>-142.8915</v>
      </c>
      <c r="G51" s="17" t="n">
        <v>390.9143</v>
      </c>
      <c r="H51" s="17" t="n">
        <v>391.2134</v>
      </c>
      <c r="I51" s="17" t="n">
        <v>311.8626</v>
      </c>
      <c r="J51" s="17" t="n">
        <v>422.4825</v>
      </c>
      <c r="K51" s="17" t="n">
        <v>613.6614</v>
      </c>
      <c r="L51" s="17" t="n">
        <v>466.4073</v>
      </c>
      <c r="M51" s="17" t="n">
        <v>629.6949</v>
      </c>
      <c r="N51" s="17" t="n">
        <v>796.2707</v>
      </c>
      <c r="O51" s="17" t="n">
        <v>898.602</v>
      </c>
      <c r="P51" s="17" t="n">
        <v>763.1889</v>
      </c>
      <c r="Q51" s="17" t="n">
        <v>672.8376</v>
      </c>
      <c r="R51" s="17" t="n">
        <v>697.0203</v>
      </c>
      <c r="S51" s="17" t="n">
        <v>799.7868</v>
      </c>
      <c r="T51" s="17" t="n">
        <v>645.0434</v>
      </c>
      <c r="U51" s="17" t="n">
        <v>529.2941</v>
      </c>
      <c r="V51" s="17" t="n">
        <v>552.4826</v>
      </c>
      <c r="W51" s="17" t="n">
        <v>538.1404</v>
      </c>
      <c r="X51" s="17" t="n">
        <v>585.3551</v>
      </c>
      <c r="Y51" s="17" t="n">
        <v>584.5594</v>
      </c>
      <c r="Z51" s="17" t="n">
        <v>546.0792</v>
      </c>
      <c r="AA51" s="17" t="n">
        <v>495.8035</v>
      </c>
      <c r="AB51" s="17" t="n">
        <v>471.3443</v>
      </c>
      <c r="AC51" s="17" t="n">
        <v>371.8222</v>
      </c>
      <c r="AD51" s="17" t="n">
        <v>354.8467</v>
      </c>
      <c r="AE51" s="17" t="n">
        <v>373.0728</v>
      </c>
      <c r="AF51" s="17" t="n">
        <v>393.4558</v>
      </c>
      <c r="AG51" s="17" t="n">
        <v>362.199</v>
      </c>
      <c r="AH51" s="17" t="n">
        <v>399.8003</v>
      </c>
      <c r="AI51" s="17" t="n">
        <v>355.5252</v>
      </c>
      <c r="AJ51" s="17" t="n">
        <v>326.0016</v>
      </c>
      <c r="AK51" s="17" t="n">
        <v>355.8268</v>
      </c>
      <c r="AL51" s="17" t="n">
        <v>349.8135</v>
      </c>
      <c r="AM51" s="17" t="n">
        <v>401.0284</v>
      </c>
      <c r="AN51" s="17" t="n">
        <v>412.0618</v>
      </c>
      <c r="AO51" s="17" t="n">
        <v>393.3056</v>
      </c>
      <c r="AP51" s="17" t="n">
        <v>426.971</v>
      </c>
      <c r="AQ51" s="17" t="n">
        <v>335.2596</v>
      </c>
      <c r="AR51" s="17" t="n">
        <v>404.9595</v>
      </c>
      <c r="AS51" s="17" t="n">
        <v>377.385</v>
      </c>
      <c r="AT51" s="17" t="n">
        <v>421.4902</v>
      </c>
      <c r="AU51" s="17" t="n">
        <v>417.2443</v>
      </c>
      <c r="AV51" s="17" t="n">
        <v>403.187</v>
      </c>
      <c r="AW51" s="17" t="n">
        <v>413.3761</v>
      </c>
      <c r="AX51" s="17" t="n">
        <v>357.7215</v>
      </c>
      <c r="AY51" s="17" t="n">
        <v>325.3242</v>
      </c>
      <c r="AZ51" s="17" t="n">
        <v>312.7295</v>
      </c>
      <c r="BA51" s="17" t="n">
        <v>298.7476</v>
      </c>
      <c r="BB51" s="17" t="n">
        <v>255.3281</v>
      </c>
      <c r="BC51" s="17" t="n">
        <v>298.7673</v>
      </c>
      <c r="BD51" s="17" t="n">
        <v>282.2033</v>
      </c>
      <c r="BE51" s="17" t="n">
        <v>232.109</v>
      </c>
      <c r="BF51" s="17" t="n">
        <v>192.1189</v>
      </c>
      <c r="BG51" s="17" t="n">
        <v>201.7445</v>
      </c>
      <c r="BH51" s="17" t="n">
        <v>219.7382</v>
      </c>
      <c r="BI51" s="17" t="n">
        <v>187.2727</v>
      </c>
      <c r="BJ51" s="17" t="n">
        <v>186.988</v>
      </c>
      <c r="BK51" s="17" t="n">
        <v>164.1653</v>
      </c>
      <c r="BL51" s="17" t="n">
        <v>162.7597</v>
      </c>
      <c r="BM51" s="17" t="n">
        <v>147.3055</v>
      </c>
      <c r="BN51" s="17" t="n">
        <v>149</v>
      </c>
    </row>
    <row r="52">
      <c r="A52" s="10" t="inlineStr">
        <is>
          <t>Hungary</t>
        </is>
      </c>
      <c r="B52" s="17" t="n">
        <v>95</v>
      </c>
      <c r="C52" s="27" t="n">
        <v>1.393319999999989</v>
      </c>
      <c r="D52" s="26" t="n">
        <v>-2.633380000000002</v>
      </c>
      <c r="E52" s="26" t="n">
        <v>-33.94328</v>
      </c>
      <c r="F52" s="26" t="n">
        <v>-44.24638</v>
      </c>
      <c r="G52" s="17" t="n">
        <v>113.1294</v>
      </c>
      <c r="H52" s="17" t="n">
        <v>132.1904</v>
      </c>
      <c r="I52" s="17" t="n">
        <v>110.3312</v>
      </c>
      <c r="J52" s="17" t="n">
        <v>117.8671</v>
      </c>
      <c r="K52" s="17" t="n">
        <v>163.9811</v>
      </c>
      <c r="L52" s="17" t="n">
        <v>131.9568</v>
      </c>
      <c r="M52" s="17" t="n">
        <v>191.0876</v>
      </c>
      <c r="N52" s="17" t="n">
        <v>201.6147</v>
      </c>
      <c r="O52" s="17" t="n">
        <v>230.0814</v>
      </c>
      <c r="P52" s="17" t="n">
        <v>202.8212</v>
      </c>
      <c r="Q52" s="17" t="n">
        <v>253.0575</v>
      </c>
      <c r="R52" s="17" t="n">
        <v>313.251</v>
      </c>
      <c r="S52" s="17" t="n">
        <v>257.5699</v>
      </c>
      <c r="T52" s="17" t="n">
        <v>221.9115</v>
      </c>
      <c r="U52" s="17" t="n">
        <v>213.0457</v>
      </c>
      <c r="V52" s="17" t="n">
        <v>213.0383</v>
      </c>
      <c r="W52" s="17" t="n">
        <v>197.7037</v>
      </c>
      <c r="X52" s="17" t="n">
        <v>233.0261</v>
      </c>
      <c r="Y52" s="17" t="n">
        <v>222.0358</v>
      </c>
      <c r="Z52" s="17" t="n">
        <v>230.8788</v>
      </c>
      <c r="AA52" s="17" t="n">
        <v>201.2971</v>
      </c>
      <c r="AB52" s="17" t="n">
        <v>179.846</v>
      </c>
      <c r="AC52" s="17" t="n">
        <v>191.1795</v>
      </c>
      <c r="AD52" s="17" t="n">
        <v>196.1457</v>
      </c>
      <c r="AE52" s="17" t="n">
        <v>189.7495</v>
      </c>
      <c r="AF52" s="17" t="n">
        <v>166.2065</v>
      </c>
      <c r="AG52" s="17" t="n">
        <v>143.668</v>
      </c>
      <c r="AH52" s="17" t="n">
        <v>168.6732</v>
      </c>
      <c r="AI52" s="17" t="n">
        <v>155.1066</v>
      </c>
      <c r="AJ52" s="17" t="n">
        <v>147.3795</v>
      </c>
      <c r="AK52" s="17" t="n">
        <v>144.3444</v>
      </c>
      <c r="AL52" s="17" t="n">
        <v>138.8683</v>
      </c>
      <c r="AM52" s="17" t="n">
        <v>141.0305</v>
      </c>
      <c r="AN52" s="17" t="n">
        <v>155.9026</v>
      </c>
      <c r="AO52" s="17" t="n">
        <v>142.7779</v>
      </c>
      <c r="AP52" s="17" t="n">
        <v>147.5922</v>
      </c>
      <c r="AQ52" s="17" t="n">
        <v>149.0054</v>
      </c>
      <c r="AR52" s="17" t="n">
        <v>162.3104</v>
      </c>
      <c r="AS52" s="17" t="n">
        <v>153.7039</v>
      </c>
      <c r="AT52" s="17" t="n">
        <v>144.3581</v>
      </c>
      <c r="AU52" s="17" t="n">
        <v>146.4727</v>
      </c>
      <c r="AV52" s="17" t="n">
        <v>167.4543</v>
      </c>
      <c r="AW52" s="17" t="n">
        <v>183.2837</v>
      </c>
      <c r="AX52" s="17" t="n">
        <v>155.4479</v>
      </c>
      <c r="AY52" s="17" t="n">
        <v>160.2727</v>
      </c>
      <c r="AZ52" s="17" t="n">
        <v>138.0167</v>
      </c>
      <c r="BA52" s="17" t="n">
        <v>132.4016</v>
      </c>
      <c r="BB52" s="17" t="n">
        <v>117.9147</v>
      </c>
      <c r="BC52" s="17" t="n">
        <v>115.4369</v>
      </c>
      <c r="BD52" s="17" t="n">
        <v>136.5525</v>
      </c>
      <c r="BE52" s="17" t="n">
        <v>127.6232</v>
      </c>
      <c r="BF52" s="17" t="n">
        <v>125.7562</v>
      </c>
      <c r="BG52" s="17" t="n">
        <v>129.3196</v>
      </c>
      <c r="BH52" s="17" t="n">
        <v>146.8064</v>
      </c>
      <c r="BI52" s="17" t="n">
        <v>102.0413</v>
      </c>
      <c r="BJ52" s="17" t="n">
        <v>99.67270000000001</v>
      </c>
      <c r="BK52" s="17" t="n">
        <v>90.33029999999999</v>
      </c>
      <c r="BL52" s="17" t="n">
        <v>98.5266</v>
      </c>
      <c r="BM52" s="17" t="n">
        <v>90.4472</v>
      </c>
      <c r="BN52" s="17" t="n">
        <v>95</v>
      </c>
    </row>
    <row r="53">
      <c r="A53" s="10" t="inlineStr">
        <is>
          <t>India</t>
        </is>
      </c>
      <c r="B53" s="17" t="n">
        <v>82</v>
      </c>
      <c r="C53" s="27" t="n">
        <v>1.229619999999997</v>
      </c>
      <c r="D53" s="27" t="n">
        <v>8.989019999999996</v>
      </c>
      <c r="E53" s="27" t="n">
        <v>10.28241999999999</v>
      </c>
      <c r="F53" s="27" t="n">
        <v>8.648820000000001</v>
      </c>
      <c r="G53" s="17" t="n">
        <v>127.4184</v>
      </c>
      <c r="H53" s="17" t="n">
        <v>137.3346</v>
      </c>
      <c r="I53" s="17" t="n">
        <v>129.3387</v>
      </c>
      <c r="J53" s="17" t="n">
        <v>138.7334</v>
      </c>
      <c r="K53" s="17" t="n">
        <v>169.8435</v>
      </c>
      <c r="L53" s="17" t="n">
        <v>153.8447</v>
      </c>
      <c r="M53" s="17" t="n">
        <v>171.9621</v>
      </c>
      <c r="N53" s="17" t="n">
        <v>168.7773</v>
      </c>
      <c r="O53" s="17" t="n">
        <v>193.9899</v>
      </c>
      <c r="P53" s="17" t="n">
        <v>189.3068</v>
      </c>
      <c r="Q53" s="17" t="n">
        <v>154.5587</v>
      </c>
      <c r="R53" s="17" t="n">
        <v>188.2745</v>
      </c>
      <c r="S53" s="17" t="n">
        <v>211.4895</v>
      </c>
      <c r="T53" s="17" t="n">
        <v>152.311</v>
      </c>
      <c r="U53" s="17" t="n">
        <v>141.2407</v>
      </c>
      <c r="V53" s="17" t="n">
        <v>153.9792</v>
      </c>
      <c r="W53" s="17" t="n">
        <v>149.8535</v>
      </c>
      <c r="X53" s="17" t="n">
        <v>166.857</v>
      </c>
      <c r="Y53" s="17" t="n">
        <v>156.4975</v>
      </c>
      <c r="Z53" s="17" t="n">
        <v>143.1987</v>
      </c>
      <c r="AA53" s="17" t="n">
        <v>130.2976</v>
      </c>
      <c r="AB53" s="17" t="n">
        <v>130.7695</v>
      </c>
      <c r="AC53" s="17" t="n">
        <v>139.1653</v>
      </c>
      <c r="AD53" s="17" t="n">
        <v>136.6717</v>
      </c>
      <c r="AE53" s="17" t="n">
        <v>133.3834</v>
      </c>
      <c r="AF53" s="17" t="n">
        <v>121.4016</v>
      </c>
      <c r="AG53" s="17" t="n">
        <v>111.6936</v>
      </c>
      <c r="AH53" s="17" t="n">
        <v>120.1892</v>
      </c>
      <c r="AI53" s="17" t="n">
        <v>95.80029999999999</v>
      </c>
      <c r="AJ53" s="17" t="n">
        <v>103.266</v>
      </c>
      <c r="AK53" s="17" t="n">
        <v>96.9337</v>
      </c>
      <c r="AL53" s="17" t="n">
        <v>87.4372</v>
      </c>
      <c r="AM53" s="17" t="n">
        <v>95.7075</v>
      </c>
      <c r="AN53" s="17" t="n">
        <v>98.94710000000001</v>
      </c>
      <c r="AO53" s="17" t="n">
        <v>104.6961</v>
      </c>
      <c r="AP53" s="17" t="n">
        <v>96.2157</v>
      </c>
      <c r="AQ53" s="17" t="n">
        <v>82.8819</v>
      </c>
      <c r="AR53" s="17" t="n">
        <v>77.8086</v>
      </c>
      <c r="AS53" s="17" t="n">
        <v>81.986</v>
      </c>
      <c r="AT53" s="17" t="n">
        <v>91.4962</v>
      </c>
      <c r="AU53" s="17" t="n">
        <v>93.20699999999999</v>
      </c>
      <c r="AV53" s="17" t="n">
        <v>106.1657</v>
      </c>
      <c r="AW53" s="17" t="n">
        <v>117.8235</v>
      </c>
      <c r="AX53" s="17" t="n">
        <v>92.79989999999999</v>
      </c>
      <c r="AY53" s="17" t="n">
        <v>87.0514</v>
      </c>
      <c r="AZ53" s="17" t="n">
        <v>75.7313</v>
      </c>
      <c r="BA53" s="17" t="n">
        <v>71.3621</v>
      </c>
      <c r="BB53" s="17" t="n">
        <v>72.0043</v>
      </c>
      <c r="BC53" s="17" t="n">
        <v>75.4195</v>
      </c>
      <c r="BD53" s="17" t="n">
        <v>77.9392</v>
      </c>
      <c r="BE53" s="17" t="n">
        <v>73.60680000000001</v>
      </c>
      <c r="BF53" s="17" t="n">
        <v>73.48009999999999</v>
      </c>
      <c r="BG53" s="17" t="n">
        <v>78.18470000000001</v>
      </c>
      <c r="BH53" s="17" t="n">
        <v>88.0629</v>
      </c>
      <c r="BI53" s="17" t="n">
        <v>79.3934</v>
      </c>
      <c r="BJ53" s="17" t="n">
        <v>69.33540000000001</v>
      </c>
      <c r="BK53" s="17" t="n">
        <v>77.9443</v>
      </c>
      <c r="BL53" s="17" t="n">
        <v>83.6122</v>
      </c>
      <c r="BM53" s="17" t="n">
        <v>81.2367</v>
      </c>
      <c r="BN53" s="17" t="n">
        <v>82</v>
      </c>
    </row>
    <row r="54">
      <c r="A54" s="10" t="inlineStr">
        <is>
          <t>Indonesia</t>
        </is>
      </c>
      <c r="B54" s="17" t="n">
        <v>93</v>
      </c>
      <c r="C54" s="26" t="n">
        <v>-3.678719999999998</v>
      </c>
      <c r="D54" s="26" t="n">
        <v>-0.6326200000000028</v>
      </c>
      <c r="E54" s="27" t="n">
        <v>21.18778</v>
      </c>
      <c r="F54" s="27" t="n">
        <v>6.654780000000002</v>
      </c>
      <c r="G54" s="17" t="n">
        <v>174.3914</v>
      </c>
      <c r="H54" s="17" t="n">
        <v>181.0804</v>
      </c>
      <c r="I54" s="17" t="n">
        <v>160.862</v>
      </c>
      <c r="J54" s="17" t="n">
        <v>182.4867</v>
      </c>
      <c r="K54" s="17" t="n">
        <v>203.5032</v>
      </c>
      <c r="L54" s="17" t="n">
        <v>164.1029</v>
      </c>
      <c r="M54" s="17" t="n">
        <v>185.9999</v>
      </c>
      <c r="N54" s="17" t="n">
        <v>181.5592</v>
      </c>
      <c r="O54" s="17" t="n">
        <v>211.6307</v>
      </c>
      <c r="P54" s="17" t="n">
        <v>191.9901</v>
      </c>
      <c r="Q54" s="17" t="n">
        <v>168.1361</v>
      </c>
      <c r="R54" s="17" t="n">
        <v>204.4147</v>
      </c>
      <c r="S54" s="17" t="n">
        <v>194.2982</v>
      </c>
      <c r="T54" s="17" t="n">
        <v>158.7605</v>
      </c>
      <c r="U54" s="17" t="n">
        <v>132.7378</v>
      </c>
      <c r="V54" s="17" t="n">
        <v>142.661</v>
      </c>
      <c r="W54" s="17" t="n">
        <v>130.5585</v>
      </c>
      <c r="X54" s="17" t="n">
        <v>149.6858</v>
      </c>
      <c r="Y54" s="17" t="n">
        <v>141.1568</v>
      </c>
      <c r="Z54" s="17" t="n">
        <v>135.3054</v>
      </c>
      <c r="AA54" s="17" t="n">
        <v>124.0515</v>
      </c>
      <c r="AB54" s="17" t="n">
        <v>109.7736</v>
      </c>
      <c r="AC54" s="17" t="n">
        <v>119.1098</v>
      </c>
      <c r="AD54" s="17" t="n">
        <v>121.187</v>
      </c>
      <c r="AE54" s="17" t="n">
        <v>115.7173</v>
      </c>
      <c r="AF54" s="17" t="n">
        <v>98.61199999999999</v>
      </c>
      <c r="AG54" s="17" t="n">
        <v>86.79170000000001</v>
      </c>
      <c r="AH54" s="17" t="n">
        <v>110.7986</v>
      </c>
      <c r="AI54" s="17" t="n">
        <v>99.1571</v>
      </c>
      <c r="AJ54" s="17" t="n">
        <v>92.0732</v>
      </c>
      <c r="AK54" s="17" t="n">
        <v>89.91</v>
      </c>
      <c r="AL54" s="17" t="n">
        <v>88.2441</v>
      </c>
      <c r="AM54" s="17" t="n">
        <v>91.4922</v>
      </c>
      <c r="AN54" s="17" t="n">
        <v>104.6255</v>
      </c>
      <c r="AO54" s="17" t="n">
        <v>90.7816</v>
      </c>
      <c r="AP54" s="17" t="n">
        <v>88.3903</v>
      </c>
      <c r="AQ54" s="17" t="n">
        <v>83.1454</v>
      </c>
      <c r="AR54" s="17" t="n">
        <v>97.42749999999999</v>
      </c>
      <c r="AS54" s="17" t="n">
        <v>88.20180000000001</v>
      </c>
      <c r="AT54" s="17" t="n">
        <v>90.0569</v>
      </c>
      <c r="AU54" s="17" t="n">
        <v>100.8038</v>
      </c>
      <c r="AV54" s="17" t="n">
        <v>117.8817</v>
      </c>
      <c r="AW54" s="17" t="n">
        <v>116.7973</v>
      </c>
      <c r="AX54" s="17" t="n">
        <v>92.836</v>
      </c>
      <c r="AY54" s="17" t="n">
        <v>89.4015</v>
      </c>
      <c r="AZ54" s="17" t="n">
        <v>72.4371</v>
      </c>
      <c r="BA54" s="17" t="n">
        <v>72.7015</v>
      </c>
      <c r="BB54" s="17" t="n">
        <v>76.6159</v>
      </c>
      <c r="BC54" s="17" t="n">
        <v>72.21429999999999</v>
      </c>
      <c r="BD54" s="17" t="n">
        <v>82.69329999999999</v>
      </c>
      <c r="BE54" s="17" t="n">
        <v>72.3056</v>
      </c>
      <c r="BF54" s="17" t="n">
        <v>81.22029999999999</v>
      </c>
      <c r="BG54" s="17" t="n">
        <v>98.7833</v>
      </c>
      <c r="BH54" s="17" t="n">
        <v>106.0619</v>
      </c>
      <c r="BI54" s="17" t="n">
        <v>85.48699999999999</v>
      </c>
      <c r="BJ54" s="17" t="n">
        <v>83.72499999999999</v>
      </c>
      <c r="BK54" s="17" t="n">
        <v>88.8974</v>
      </c>
      <c r="BL54" s="17" t="n">
        <v>100.8894</v>
      </c>
      <c r="BM54" s="17" t="n">
        <v>90.1554</v>
      </c>
      <c r="BN54" s="17" t="n">
        <v>93</v>
      </c>
    </row>
    <row r="55">
      <c r="A55" s="10" t="inlineStr">
        <is>
          <t>Iraq</t>
        </is>
      </c>
      <c r="B55" s="17" t="n">
        <v>232</v>
      </c>
      <c r="C55" s="27" t="n">
        <v>16.81517000000002</v>
      </c>
      <c r="D55" s="26" t="n">
        <v>-94.40892999999997</v>
      </c>
      <c r="E55" s="27" t="n">
        <v>515.2496699999995</v>
      </c>
      <c r="F55" s="27" t="n">
        <v>48.64417000000009</v>
      </c>
      <c r="G55" s="17" t="n">
        <v>535.1224</v>
      </c>
      <c r="H55" s="17" t="n">
        <v>761.309</v>
      </c>
      <c r="I55" s="17" t="n">
        <v>574.4262</v>
      </c>
      <c r="J55" s="17" t="n">
        <v>548.4548</v>
      </c>
      <c r="K55" s="17" t="n">
        <v>535.1076</v>
      </c>
      <c r="L55" s="17" t="n">
        <v>397.9338</v>
      </c>
      <c r="M55" s="17" t="n">
        <v>410.9006</v>
      </c>
      <c r="N55" s="17" t="n">
        <v>482.0261</v>
      </c>
      <c r="O55" s="17" t="n">
        <v>696.3502999999999</v>
      </c>
      <c r="P55" s="17" t="n">
        <v>865.226</v>
      </c>
      <c r="Q55" s="17" t="n">
        <v>936.9023999999999</v>
      </c>
      <c r="R55" s="17" t="n">
        <v>959.2121</v>
      </c>
      <c r="S55" s="17" t="n">
        <v>808.5312</v>
      </c>
      <c r="T55" s="17" t="n">
        <v>616.6505</v>
      </c>
      <c r="U55" s="17" t="n">
        <v>493.4444</v>
      </c>
      <c r="V55" s="17" t="n">
        <v>487.3211</v>
      </c>
      <c r="W55" s="17" t="n">
        <v>469.143</v>
      </c>
      <c r="X55" s="17" t="n">
        <v>480.3429</v>
      </c>
      <c r="Y55" s="17" t="n">
        <v>480.1983</v>
      </c>
      <c r="Z55" s="17" t="n">
        <v>499.1891</v>
      </c>
      <c r="AA55" s="17" t="n">
        <v>512.3446</v>
      </c>
      <c r="AB55" s="17" t="n">
        <v>427.974</v>
      </c>
      <c r="AC55" s="17" t="n">
        <v>478.9118</v>
      </c>
      <c r="AD55" s="17" t="n">
        <v>436.8625</v>
      </c>
      <c r="AE55" s="17" t="n">
        <v>641.7895</v>
      </c>
      <c r="AF55" s="17" t="n">
        <v>517.644</v>
      </c>
      <c r="AG55" s="17" t="n">
        <v>486.8715</v>
      </c>
      <c r="AH55" s="17" t="n">
        <v>473.4531</v>
      </c>
      <c r="AI55" s="17" t="n">
        <v>447.2932</v>
      </c>
      <c r="AJ55" s="17" t="n">
        <v>406.8955</v>
      </c>
      <c r="AK55" s="17" t="n">
        <v>443.103</v>
      </c>
      <c r="AL55" s="17" t="n">
        <v>357.8434</v>
      </c>
      <c r="AM55" s="17" t="n">
        <v>464.8049</v>
      </c>
      <c r="AN55" s="17" t="n">
        <v>413.3331</v>
      </c>
      <c r="AO55" s="17" t="n">
        <v>450.3469</v>
      </c>
      <c r="AP55" s="17" t="n">
        <v>348.056</v>
      </c>
      <c r="AQ55" s="17" t="n">
        <v>356.9649</v>
      </c>
      <c r="AR55" s="17" t="n">
        <v>312.6734</v>
      </c>
      <c r="AS55" s="17" t="n">
        <v>280.4998</v>
      </c>
      <c r="AT55" s="17" t="n">
        <v>212.1744</v>
      </c>
      <c r="AU55" s="17" t="n">
        <v>253.2025</v>
      </c>
      <c r="AV55" s="17" t="n">
        <v>287.6221</v>
      </c>
      <c r="AW55" s="17" t="n">
        <v>403.4993</v>
      </c>
      <c r="AX55" s="17" t="n">
        <v>267.7788</v>
      </c>
      <c r="AY55" s="17" t="n">
        <v>270.002</v>
      </c>
      <c r="AZ55" s="17" t="n">
        <v>198.4425</v>
      </c>
      <c r="BA55" s="17" t="n">
        <v>112.7938</v>
      </c>
      <c r="BB55" s="17" t="n">
        <v>217.0669</v>
      </c>
      <c r="BC55" s="17" t="n">
        <v>-176.7227</v>
      </c>
      <c r="BD55" s="17" t="n">
        <v>-21.2994</v>
      </c>
      <c r="BE55" s="17" t="n">
        <v>-313.8274</v>
      </c>
      <c r="BF55" s="17" t="n">
        <v>51.1858</v>
      </c>
      <c r="BG55" s="17" t="n">
        <v>102.4373</v>
      </c>
      <c r="BH55" s="17" t="n">
        <v>394.2217</v>
      </c>
      <c r="BI55" s="17" t="n">
        <v>368.462</v>
      </c>
      <c r="BJ55" s="17" t="n">
        <v>288.3365</v>
      </c>
      <c r="BK55" s="17" t="n">
        <v>217.0816</v>
      </c>
      <c r="BL55" s="17" t="n">
        <v>203.5601</v>
      </c>
      <c r="BM55" s="17" t="n">
        <v>169.8028</v>
      </c>
      <c r="BN55" s="17" t="n">
        <v>232</v>
      </c>
    </row>
    <row r="56">
      <c r="A56" s="10" t="inlineStr">
        <is>
          <t>Jamaica</t>
        </is>
      </c>
      <c r="B56" s="17" t="n">
        <v>106</v>
      </c>
      <c r="C56" s="26" t="n">
        <v>-0.9759099999999989</v>
      </c>
      <c r="D56" s="26" t="n">
        <v>-6.066109999999995</v>
      </c>
      <c r="E56" s="26" t="n">
        <v>-22.20010999999998</v>
      </c>
      <c r="F56" s="26" t="n">
        <v>-41.84201</v>
      </c>
      <c r="G56" s="17" t="n">
        <v>285.2213</v>
      </c>
      <c r="H56" s="17" t="n">
        <v>310.7334</v>
      </c>
      <c r="I56" s="17" t="n">
        <v>295.1581</v>
      </c>
      <c r="J56" s="17" t="n">
        <v>273.7033</v>
      </c>
      <c r="K56" s="17" t="n">
        <v>310.3902</v>
      </c>
      <c r="L56" s="17" t="n">
        <v>280.9496</v>
      </c>
      <c r="M56" s="17" t="n">
        <v>263.1291</v>
      </c>
      <c r="N56" s="17" t="n">
        <v>301.432</v>
      </c>
      <c r="O56" s="17" t="n">
        <v>374.2715</v>
      </c>
      <c r="P56" s="17" t="n">
        <v>358.3893</v>
      </c>
      <c r="Q56" s="17" t="n">
        <v>268.182</v>
      </c>
      <c r="R56" s="17" t="n">
        <v>284.2394</v>
      </c>
      <c r="S56" s="17" t="n">
        <v>253.7321</v>
      </c>
      <c r="T56" s="17" t="n">
        <v>267.5484</v>
      </c>
      <c r="U56" s="17" t="n">
        <v>226.4459</v>
      </c>
      <c r="V56" s="17" t="n">
        <v>235.58</v>
      </c>
      <c r="W56" s="17" t="n">
        <v>199.8872</v>
      </c>
      <c r="X56" s="17" t="n">
        <v>236.134</v>
      </c>
      <c r="Y56" s="17" t="n">
        <v>233.2339</v>
      </c>
      <c r="Z56" s="17" t="n">
        <v>221.5981</v>
      </c>
      <c r="AA56" s="17" t="n">
        <v>214.0104</v>
      </c>
      <c r="AB56" s="17" t="n">
        <v>184.5838</v>
      </c>
      <c r="AC56" s="17" t="n">
        <v>199.4887</v>
      </c>
      <c r="AD56" s="17" t="n">
        <v>186.3758</v>
      </c>
      <c r="AE56" s="17" t="n">
        <v>176.1514</v>
      </c>
      <c r="AF56" s="17" t="n">
        <v>137.1502</v>
      </c>
      <c r="AG56" s="17" t="n">
        <v>151.342</v>
      </c>
      <c r="AH56" s="17" t="n">
        <v>191.9241</v>
      </c>
      <c r="AI56" s="17" t="n">
        <v>177.8948</v>
      </c>
      <c r="AJ56" s="17" t="n">
        <v>169.3813</v>
      </c>
      <c r="AK56" s="17" t="n">
        <v>150.1263</v>
      </c>
      <c r="AL56" s="17" t="n">
        <v>157.7327</v>
      </c>
      <c r="AM56" s="17" t="n">
        <v>166.0324</v>
      </c>
      <c r="AN56" s="17" t="n">
        <v>173.2639</v>
      </c>
      <c r="AO56" s="17" t="n">
        <v>164.6044</v>
      </c>
      <c r="AP56" s="17" t="n">
        <v>158.2208</v>
      </c>
      <c r="AQ56" s="17" t="n">
        <v>152.0776</v>
      </c>
      <c r="AR56" s="17" t="n">
        <v>169.2384</v>
      </c>
      <c r="AS56" s="17" t="n">
        <v>150.4244</v>
      </c>
      <c r="AT56" s="17" t="n">
        <v>159.0047</v>
      </c>
      <c r="AU56" s="17" t="n">
        <v>178.5743</v>
      </c>
      <c r="AV56" s="17" t="n">
        <v>185.7238</v>
      </c>
      <c r="AW56" s="17" t="n">
        <v>205.5317</v>
      </c>
      <c r="AX56" s="17" t="n">
        <v>157.7625</v>
      </c>
      <c r="AY56" s="17" t="n">
        <v>152.2705</v>
      </c>
      <c r="AZ56" s="17" t="n">
        <v>141.3195</v>
      </c>
      <c r="BA56" s="17" t="n">
        <v>136.1671</v>
      </c>
      <c r="BB56" s="17" t="n">
        <v>128.1317</v>
      </c>
      <c r="BC56" s="17" t="n">
        <v>138.6641</v>
      </c>
      <c r="BD56" s="17" t="n">
        <v>148.7596</v>
      </c>
      <c r="BE56" s="17" t="n">
        <v>128.3904</v>
      </c>
      <c r="BF56" s="17" t="n">
        <v>118.7087</v>
      </c>
      <c r="BG56" s="17" t="n">
        <v>145.1457</v>
      </c>
      <c r="BH56" s="17" t="n">
        <v>165.2907</v>
      </c>
      <c r="BI56" s="17" t="n">
        <v>110.3821</v>
      </c>
      <c r="BJ56" s="17" t="n">
        <v>121.9681</v>
      </c>
      <c r="BK56" s="17" t="n">
        <v>109.3103</v>
      </c>
      <c r="BL56" s="17" t="n">
        <v>110.9129</v>
      </c>
      <c r="BM56" s="17" t="n">
        <v>106.6463</v>
      </c>
      <c r="BN56" s="17" t="n">
        <v>106</v>
      </c>
    </row>
    <row r="57">
      <c r="A57" s="10" t="inlineStr">
        <is>
          <t>Jordan</t>
        </is>
      </c>
      <c r="B57" s="17" t="n">
        <v>191</v>
      </c>
      <c r="C57" s="26" t="n">
        <v>-5.901209999999992</v>
      </c>
      <c r="D57" s="26" t="n">
        <v>-15.93990999999997</v>
      </c>
      <c r="E57" s="26" t="n">
        <v>-31.52870999999999</v>
      </c>
      <c r="F57" s="26" t="n">
        <v>-81.22470999999996</v>
      </c>
      <c r="G57" s="17" t="n">
        <v>413.3053</v>
      </c>
      <c r="H57" s="17" t="n">
        <v>479.2073</v>
      </c>
      <c r="I57" s="17" t="n">
        <v>431.8537</v>
      </c>
      <c r="J57" s="17" t="n">
        <v>429.2307</v>
      </c>
      <c r="K57" s="17" t="n">
        <v>491.4377</v>
      </c>
      <c r="L57" s="17" t="n">
        <v>449.443</v>
      </c>
      <c r="M57" s="17" t="n">
        <v>477.4369</v>
      </c>
      <c r="N57" s="17" t="n">
        <v>478.8192</v>
      </c>
      <c r="O57" s="17" t="n">
        <v>630.0785</v>
      </c>
      <c r="P57" s="17" t="n">
        <v>567.2106</v>
      </c>
      <c r="Q57" s="17" t="n">
        <v>468.1465</v>
      </c>
      <c r="R57" s="17" t="n">
        <v>515.6057</v>
      </c>
      <c r="S57" s="17" t="n">
        <v>452.3909</v>
      </c>
      <c r="T57" s="17" t="n">
        <v>379.3559</v>
      </c>
      <c r="U57" s="17" t="n">
        <v>357.5355</v>
      </c>
      <c r="V57" s="17" t="n">
        <v>353.1012</v>
      </c>
      <c r="W57" s="17" t="n">
        <v>328.9677</v>
      </c>
      <c r="X57" s="17" t="n">
        <v>414.1611</v>
      </c>
      <c r="Y57" s="17" t="n">
        <v>409.0129</v>
      </c>
      <c r="Z57" s="17" t="n">
        <v>405.2482</v>
      </c>
      <c r="AA57" s="17" t="n">
        <v>345.8953</v>
      </c>
      <c r="AB57" s="17" t="n">
        <v>309.7865</v>
      </c>
      <c r="AC57" s="17" t="n">
        <v>306.031</v>
      </c>
      <c r="AD57" s="17" t="n">
        <v>330.8562</v>
      </c>
      <c r="AE57" s="17" t="n">
        <v>426.636</v>
      </c>
      <c r="AF57" s="17" t="n">
        <v>319.3715</v>
      </c>
      <c r="AG57" s="17" t="n">
        <v>327.168</v>
      </c>
      <c r="AH57" s="17" t="n">
        <v>389.3992</v>
      </c>
      <c r="AI57" s="17" t="n">
        <v>346.4029</v>
      </c>
      <c r="AJ57" s="17" t="n">
        <v>321.9189</v>
      </c>
      <c r="AK57" s="17" t="n">
        <v>319.4225</v>
      </c>
      <c r="AL57" s="17" t="n">
        <v>299.7987</v>
      </c>
      <c r="AM57" s="17" t="n">
        <v>361.0869</v>
      </c>
      <c r="AN57" s="17" t="n">
        <v>360.5624</v>
      </c>
      <c r="AO57" s="17" t="n">
        <v>335.6263</v>
      </c>
      <c r="AP57" s="17" t="n">
        <v>346.3642</v>
      </c>
      <c r="AQ57" s="17" t="n">
        <v>298.462</v>
      </c>
      <c r="AR57" s="17" t="n">
        <v>286.6657</v>
      </c>
      <c r="AS57" s="17" t="n">
        <v>334.1995</v>
      </c>
      <c r="AT57" s="17" t="n">
        <v>316.307</v>
      </c>
      <c r="AU57" s="17" t="n">
        <v>332.8646</v>
      </c>
      <c r="AV57" s="17" t="n">
        <v>358.2539</v>
      </c>
      <c r="AW57" s="17" t="n">
        <v>383.5811</v>
      </c>
      <c r="AX57" s="17" t="n">
        <v>327.2826</v>
      </c>
      <c r="AY57" s="17" t="n">
        <v>318.5065</v>
      </c>
      <c r="AZ57" s="17" t="n">
        <v>276.2966</v>
      </c>
      <c r="BA57" s="17" t="n">
        <v>269.1336</v>
      </c>
      <c r="BB57" s="17" t="n">
        <v>253.42</v>
      </c>
      <c r="BC57" s="17" t="n">
        <v>217.598</v>
      </c>
      <c r="BD57" s="17" t="n">
        <v>234.9511</v>
      </c>
      <c r="BE57" s="17" t="n">
        <v>216.7742</v>
      </c>
      <c r="BF57" s="17" t="n">
        <v>219.1985</v>
      </c>
      <c r="BG57" s="17" t="n">
        <v>245.3279</v>
      </c>
      <c r="BH57" s="17" t="n">
        <v>262.7206</v>
      </c>
      <c r="BI57" s="17" t="n">
        <v>228.431</v>
      </c>
      <c r="BJ57" s="17" t="n">
        <v>200.9334</v>
      </c>
      <c r="BK57" s="17" t="n">
        <v>186.7903</v>
      </c>
      <c r="BL57" s="17" t="n">
        <v>196.8874</v>
      </c>
      <c r="BM57" s="17" t="n">
        <v>182.3873</v>
      </c>
      <c r="BN57" s="17" t="n">
        <v>191</v>
      </c>
    </row>
    <row r="58">
      <c r="A58" s="10" t="inlineStr">
        <is>
          <t>Kazakhstan</t>
        </is>
      </c>
      <c r="B58" s="17" t="n">
        <v>74</v>
      </c>
      <c r="C58" s="26" t="n">
        <v>-8.800880000000006</v>
      </c>
      <c r="D58" s="27" t="n">
        <v>3.850519999999989</v>
      </c>
      <c r="E58" s="26" t="n">
        <v>-10.65988</v>
      </c>
      <c r="F58" s="26" t="n">
        <v>-20.32308</v>
      </c>
      <c r="G58" s="17" t="n">
        <v>192.1678</v>
      </c>
      <c r="H58" s="17" t="n">
        <v>204.9878</v>
      </c>
      <c r="I58" s="17" t="n">
        <v>184.6169</v>
      </c>
      <c r="J58" s="17" t="n">
        <v>215.9305</v>
      </c>
      <c r="K58" s="17" t="n">
        <v>272.0233</v>
      </c>
      <c r="L58" s="17" t="n">
        <v>314.4792</v>
      </c>
      <c r="M58" s="17" t="n">
        <v>262.6704</v>
      </c>
      <c r="N58" s="17" t="n">
        <v>306.2195</v>
      </c>
      <c r="O58" s="17" t="n">
        <v>354.2337</v>
      </c>
      <c r="P58" s="17" t="n">
        <v>368.5989</v>
      </c>
      <c r="Q58" s="17" t="n">
        <v>298.9095</v>
      </c>
      <c r="R58" s="17" t="n">
        <v>351.7766</v>
      </c>
      <c r="S58" s="17" t="n">
        <v>333.8512</v>
      </c>
      <c r="T58" s="17" t="n">
        <v>266.8242</v>
      </c>
      <c r="U58" s="17" t="n">
        <v>237.5161</v>
      </c>
      <c r="V58" s="17" t="n">
        <v>149.925</v>
      </c>
      <c r="W58" s="17" t="n">
        <v>115.9229</v>
      </c>
      <c r="X58" s="17" t="n">
        <v>174.1899</v>
      </c>
      <c r="Y58" s="17" t="n">
        <v>150.6827</v>
      </c>
      <c r="Z58" s="17" t="n">
        <v>142.4803</v>
      </c>
      <c r="AA58" s="17" t="n">
        <v>123.8178</v>
      </c>
      <c r="AB58" s="17" t="n">
        <v>103.5949</v>
      </c>
      <c r="AC58" s="17" t="n">
        <v>111.6141</v>
      </c>
      <c r="AD58" s="17" t="n">
        <v>94.3768</v>
      </c>
      <c r="AE58" s="17" t="n">
        <v>100.0969</v>
      </c>
      <c r="AF58" s="17" t="n">
        <v>104.6775</v>
      </c>
      <c r="AG58" s="17" t="n">
        <v>87.2872</v>
      </c>
      <c r="AH58" s="17" t="n">
        <v>103.7064</v>
      </c>
      <c r="AI58" s="17" t="n">
        <v>81.2718</v>
      </c>
      <c r="AJ58" s="17" t="n">
        <v>80.086</v>
      </c>
      <c r="AK58" s="17" t="n">
        <v>62.7889</v>
      </c>
      <c r="AL58" s="17" t="n">
        <v>61.5253</v>
      </c>
      <c r="AM58" s="17" t="n">
        <v>54.2974</v>
      </c>
      <c r="AN58" s="17" t="n">
        <v>84.8807</v>
      </c>
      <c r="AO58" s="17" t="n">
        <v>79.5705</v>
      </c>
      <c r="AP58" s="17" t="n">
        <v>83.63120000000001</v>
      </c>
      <c r="AQ58" s="17" t="n">
        <v>85.2176</v>
      </c>
      <c r="AR58" s="17" t="n">
        <v>96.9545</v>
      </c>
      <c r="AS58" s="17" t="n">
        <v>84.79949999999999</v>
      </c>
      <c r="AT58" s="17" t="n">
        <v>89.2664</v>
      </c>
      <c r="AU58" s="17" t="n">
        <v>101.4791</v>
      </c>
      <c r="AV58" s="17" t="n">
        <v>102.2016</v>
      </c>
      <c r="AW58" s="17" t="n">
        <v>135.0428</v>
      </c>
      <c r="AX58" s="17" t="n">
        <v>109.5042</v>
      </c>
      <c r="AY58" s="17" t="n">
        <v>109.392</v>
      </c>
      <c r="AZ58" s="17" t="n">
        <v>88.3454</v>
      </c>
      <c r="BA58" s="17" t="n">
        <v>84.09780000000001</v>
      </c>
      <c r="BB58" s="17" t="n">
        <v>77.0548</v>
      </c>
      <c r="BC58" s="17" t="n">
        <v>86.84050000000001</v>
      </c>
      <c r="BD58" s="17" t="n">
        <v>93.9785</v>
      </c>
      <c r="BE58" s="17" t="n">
        <v>82.8389</v>
      </c>
      <c r="BF58" s="17" t="n">
        <v>87.4769</v>
      </c>
      <c r="BG58" s="17" t="n">
        <v>98.30670000000001</v>
      </c>
      <c r="BH58" s="17" t="n">
        <v>98.11669999999999</v>
      </c>
      <c r="BI58" s="17" t="n">
        <v>73.9379</v>
      </c>
      <c r="BJ58" s="17" t="n">
        <v>73.77419999999999</v>
      </c>
      <c r="BK58" s="17" t="n">
        <v>76.4876</v>
      </c>
      <c r="BL58" s="17" t="n">
        <v>83.5763</v>
      </c>
      <c r="BM58" s="17" t="n">
        <v>67.0702</v>
      </c>
      <c r="BN58" s="17" t="n">
        <v>74</v>
      </c>
    </row>
    <row r="59">
      <c r="A59" s="10" t="inlineStr">
        <is>
          <t>Kenya</t>
        </is>
      </c>
      <c r="B59" s="17" t="n">
        <v>363</v>
      </c>
      <c r="C59" s="27" t="n">
        <v>0.09494999999998299</v>
      </c>
      <c r="D59" s="26" t="n">
        <v>-47.77515</v>
      </c>
      <c r="E59" s="26" t="n">
        <v>-30.05604999999997</v>
      </c>
      <c r="F59" s="26" t="n">
        <v>-108.33695</v>
      </c>
      <c r="G59" s="17" t="n">
        <v>499.5092</v>
      </c>
      <c r="H59" s="17" t="n">
        <v>547.6384</v>
      </c>
      <c r="I59" s="17" t="n">
        <v>503.0614</v>
      </c>
      <c r="J59" s="17" t="n">
        <v>526.8002</v>
      </c>
      <c r="K59" s="17" t="n">
        <v>640.5468</v>
      </c>
      <c r="L59" s="17" t="n">
        <v>583.7577</v>
      </c>
      <c r="M59" s="17" t="n">
        <v>714.5834</v>
      </c>
      <c r="N59" s="17" t="n">
        <v>725.5555000000001</v>
      </c>
      <c r="O59" s="17" t="n">
        <v>1098.3396</v>
      </c>
      <c r="P59" s="17" t="n">
        <v>1107.486</v>
      </c>
      <c r="Q59" s="17" t="n">
        <v>916.566</v>
      </c>
      <c r="R59" s="17" t="n">
        <v>1025.5644</v>
      </c>
      <c r="S59" s="17" t="n">
        <v>938.0238000000001</v>
      </c>
      <c r="T59" s="17" t="n">
        <v>641.8271999999999</v>
      </c>
      <c r="U59" s="17" t="n">
        <v>636.7516000000001</v>
      </c>
      <c r="V59" s="17" t="n">
        <v>661.8972</v>
      </c>
      <c r="W59" s="17" t="n">
        <v>650.487</v>
      </c>
      <c r="X59" s="17" t="n">
        <v>788.9983</v>
      </c>
      <c r="Y59" s="17" t="n">
        <v>982.152</v>
      </c>
      <c r="Z59" s="17" t="n">
        <v>778.5663</v>
      </c>
      <c r="AA59" s="17" t="n">
        <v>660.2306</v>
      </c>
      <c r="AB59" s="17" t="n">
        <v>628.6346</v>
      </c>
      <c r="AC59" s="17" t="n">
        <v>694.1546</v>
      </c>
      <c r="AD59" s="17" t="n">
        <v>804.8704</v>
      </c>
      <c r="AE59" s="17" t="n">
        <v>712.3797</v>
      </c>
      <c r="AF59" s="17" t="n">
        <v>648.061</v>
      </c>
      <c r="AG59" s="17" t="n">
        <v>566.4525</v>
      </c>
      <c r="AH59" s="17" t="n">
        <v>625.1941</v>
      </c>
      <c r="AI59" s="17" t="n">
        <v>539.9866</v>
      </c>
      <c r="AJ59" s="17" t="n">
        <v>481.9754</v>
      </c>
      <c r="AK59" s="17" t="n">
        <v>473.4403</v>
      </c>
      <c r="AL59" s="17" t="n">
        <v>503.3577</v>
      </c>
      <c r="AM59" s="17" t="n">
        <v>609.9166</v>
      </c>
      <c r="AN59" s="17" t="n">
        <v>655.0534</v>
      </c>
      <c r="AO59" s="17" t="n">
        <v>633.3321</v>
      </c>
      <c r="AP59" s="17" t="n">
        <v>556.4521</v>
      </c>
      <c r="AQ59" s="17" t="n">
        <v>514.8529</v>
      </c>
      <c r="AR59" s="17" t="n">
        <v>528.1251999999999</v>
      </c>
      <c r="AS59" s="17" t="n">
        <v>524.579</v>
      </c>
      <c r="AT59" s="17" t="n">
        <v>522.7417</v>
      </c>
      <c r="AU59" s="17" t="n">
        <v>515.3067</v>
      </c>
      <c r="AV59" s="17" t="n">
        <v>627.0558</v>
      </c>
      <c r="AW59" s="17" t="n">
        <v>709.7396</v>
      </c>
      <c r="AX59" s="17" t="n">
        <v>591.0851</v>
      </c>
      <c r="AY59" s="17" t="n">
        <v>572.5867</v>
      </c>
      <c r="AZ59" s="17" t="n">
        <v>517.1871</v>
      </c>
      <c r="BA59" s="17" t="n">
        <v>492.0301</v>
      </c>
      <c r="BB59" s="17" t="n">
        <v>439.3184</v>
      </c>
      <c r="BC59" s="17" t="n">
        <v>452.3922</v>
      </c>
      <c r="BD59" s="17" t="n">
        <v>475.8473</v>
      </c>
      <c r="BE59" s="17" t="n">
        <v>394.3151</v>
      </c>
      <c r="BF59" s="17" t="n">
        <v>373.0873</v>
      </c>
      <c r="BG59" s="17" t="n">
        <v>441.8739</v>
      </c>
      <c r="BH59" s="17" t="n">
        <v>532.8106</v>
      </c>
      <c r="BI59" s="17" t="n">
        <v>471.7516</v>
      </c>
      <c r="BJ59" s="17" t="n">
        <v>397.8085</v>
      </c>
      <c r="BK59" s="17" t="n">
        <v>370.8953</v>
      </c>
      <c r="BL59" s="17" t="n">
        <v>398.5517</v>
      </c>
      <c r="BM59" s="17" t="n">
        <v>356.5227</v>
      </c>
      <c r="BN59" s="17" t="n">
        <v>363</v>
      </c>
    </row>
    <row r="60">
      <c r="A60" s="10" t="inlineStr">
        <is>
          <t>Kyrgyzstan</t>
        </is>
      </c>
      <c r="B60" s="17" t="n">
        <v>320</v>
      </c>
      <c r="C60" s="15" t="n">
        <v>0</v>
      </c>
      <c r="D60" s="15" t="n">
        <v>0</v>
      </c>
      <c r="E60" s="15" t="n">
        <v>0</v>
      </c>
      <c r="F60" s="15" t="n">
        <v>0</v>
      </c>
      <c r="G60" s="17" t="inlineStr"/>
      <c r="H60" s="17" t="inlineStr"/>
      <c r="I60" s="17" t="inlineStr"/>
      <c r="J60" s="17" t="inlineStr"/>
      <c r="K60" s="17" t="inlineStr"/>
      <c r="L60" s="17" t="inlineStr"/>
      <c r="M60" s="17" t="inlineStr"/>
      <c r="N60" s="17" t="inlineStr"/>
      <c r="O60" s="17" t="inlineStr"/>
      <c r="P60" s="17" t="inlineStr"/>
      <c r="Q60" s="17" t="inlineStr"/>
      <c r="R60" s="17" t="inlineStr"/>
      <c r="S60" s="17" t="inlineStr"/>
      <c r="T60" s="17" t="inlineStr"/>
      <c r="U60" s="17" t="inlineStr"/>
      <c r="V60" s="17" t="inlineStr"/>
      <c r="W60" s="17" t="inlineStr"/>
      <c r="X60" s="17" t="inlineStr"/>
      <c r="Y60" s="17" t="inlineStr"/>
      <c r="Z60" s="17" t="inlineStr"/>
      <c r="AA60" s="17" t="inlineStr"/>
      <c r="AB60" s="17" t="inlineStr"/>
      <c r="AC60" s="17" t="inlineStr"/>
      <c r="AD60" s="17" t="inlineStr"/>
      <c r="AE60" s="17" t="inlineStr"/>
      <c r="AF60" s="17" t="inlineStr"/>
      <c r="AG60" s="17" t="inlineStr"/>
      <c r="AH60" s="17" t="inlineStr"/>
      <c r="AI60" s="17" t="inlineStr"/>
      <c r="AJ60" s="17" t="inlineStr"/>
      <c r="AK60" s="17" t="inlineStr"/>
      <c r="AL60" s="17" t="inlineStr"/>
      <c r="AM60" s="17" t="inlineStr"/>
      <c r="AN60" s="17" t="inlineStr"/>
      <c r="AO60" s="17" t="inlineStr"/>
      <c r="AP60" s="17" t="inlineStr"/>
      <c r="AQ60" s="17" t="inlineStr"/>
      <c r="AR60" s="17" t="inlineStr"/>
      <c r="AS60" s="17" t="inlineStr"/>
      <c r="AT60" s="17" t="inlineStr"/>
      <c r="AU60" s="17" t="inlineStr"/>
      <c r="AV60" s="17" t="inlineStr"/>
      <c r="AW60" s="17" t="inlineStr"/>
      <c r="AX60" s="17" t="inlineStr"/>
      <c r="AY60" s="17" t="inlineStr"/>
      <c r="AZ60" s="17" t="inlineStr"/>
      <c r="BA60" s="17" t="inlineStr"/>
      <c r="BB60" s="17" t="inlineStr"/>
      <c r="BC60" s="17" t="inlineStr"/>
      <c r="BD60" s="17" t="inlineStr"/>
      <c r="BE60" s="17" t="inlineStr"/>
      <c r="BF60" s="17" t="inlineStr"/>
      <c r="BG60" s="17" t="inlineStr"/>
      <c r="BH60" s="17" t="inlineStr"/>
      <c r="BI60" s="17" t="inlineStr"/>
      <c r="BJ60" s="17" t="inlineStr"/>
      <c r="BK60" s="17" t="inlineStr"/>
      <c r="BL60" s="17" t="inlineStr"/>
      <c r="BM60" s="17" t="inlineStr"/>
      <c r="BN60" s="17" t="n">
        <v>320</v>
      </c>
    </row>
    <row r="61">
      <c r="A61" s="10" t="inlineStr">
        <is>
          <t>Latvia</t>
        </is>
      </c>
      <c r="B61" s="17" t="n">
        <v>69</v>
      </c>
      <c r="C61" s="15" t="n">
        <v>0</v>
      </c>
      <c r="D61" s="15" t="n">
        <v>0</v>
      </c>
      <c r="E61" s="15" t="n">
        <v>0</v>
      </c>
      <c r="F61" s="15" t="n">
        <v>0</v>
      </c>
      <c r="G61" s="17" t="inlineStr"/>
      <c r="H61" s="17" t="inlineStr"/>
      <c r="I61" s="17" t="inlineStr"/>
      <c r="J61" s="17" t="inlineStr"/>
      <c r="K61" s="17" t="inlineStr"/>
      <c r="L61" s="17" t="inlineStr"/>
      <c r="M61" s="17" t="inlineStr"/>
      <c r="N61" s="17" t="inlineStr"/>
      <c r="O61" s="17" t="inlineStr"/>
      <c r="P61" s="17" t="inlineStr"/>
      <c r="Q61" s="17" t="inlineStr"/>
      <c r="R61" s="17" t="inlineStr"/>
      <c r="S61" s="17" t="inlineStr"/>
      <c r="T61" s="17" t="inlineStr"/>
      <c r="U61" s="17" t="inlineStr"/>
      <c r="V61" s="17" t="inlineStr"/>
      <c r="W61" s="17" t="inlineStr"/>
      <c r="X61" s="17" t="inlineStr"/>
      <c r="Y61" s="17" t="inlineStr"/>
      <c r="Z61" s="17" t="inlineStr"/>
      <c r="AA61" s="17" t="inlineStr"/>
      <c r="AB61" s="17" t="inlineStr"/>
      <c r="AC61" s="17" t="inlineStr"/>
      <c r="AD61" s="17" t="inlineStr"/>
      <c r="AE61" s="17" t="inlineStr"/>
      <c r="AF61" s="17" t="inlineStr"/>
      <c r="AG61" s="17" t="inlineStr"/>
      <c r="AH61" s="17" t="inlineStr"/>
      <c r="AI61" s="17" t="inlineStr"/>
      <c r="AJ61" s="17" t="inlineStr"/>
      <c r="AK61" s="17" t="inlineStr"/>
      <c r="AL61" s="17" t="inlineStr"/>
      <c r="AM61" s="17" t="inlineStr"/>
      <c r="AN61" s="17" t="inlineStr"/>
      <c r="AO61" s="17" t="inlineStr"/>
      <c r="AP61" s="17" t="inlineStr"/>
      <c r="AQ61" s="17" t="inlineStr"/>
      <c r="AR61" s="17" t="inlineStr"/>
      <c r="AS61" s="17" t="inlineStr"/>
      <c r="AT61" s="17" t="inlineStr"/>
      <c r="AU61" s="17" t="inlineStr"/>
      <c r="AV61" s="17" t="inlineStr"/>
      <c r="AW61" s="17" t="inlineStr"/>
      <c r="AX61" s="17" t="inlineStr"/>
      <c r="AY61" s="17" t="inlineStr"/>
      <c r="AZ61" s="17" t="inlineStr"/>
      <c r="BA61" s="17" t="inlineStr"/>
      <c r="BB61" s="17" t="inlineStr"/>
      <c r="BC61" s="17" t="inlineStr"/>
      <c r="BD61" s="17" t="inlineStr"/>
      <c r="BE61" s="17" t="inlineStr"/>
      <c r="BF61" s="17" t="inlineStr"/>
      <c r="BG61" s="17" t="inlineStr"/>
      <c r="BH61" s="17" t="inlineStr"/>
      <c r="BI61" s="17" t="inlineStr"/>
      <c r="BJ61" s="17" t="inlineStr"/>
      <c r="BK61" s="17" t="inlineStr"/>
      <c r="BL61" s="17" t="inlineStr"/>
      <c r="BM61" s="17" t="inlineStr"/>
      <c r="BN61" s="17" t="n">
        <v>69</v>
      </c>
    </row>
    <row r="62">
      <c r="A62" s="10" t="inlineStr">
        <is>
          <t>Lebanon</t>
        </is>
      </c>
      <c r="B62" s="17" t="n">
        <v>7781</v>
      </c>
      <c r="C62" s="26" t="n">
        <v>-664.6145500000011</v>
      </c>
      <c r="D62" s="26" t="n">
        <v>-1192.44605</v>
      </c>
      <c r="E62" s="26" t="n">
        <v>-1473.087850000001</v>
      </c>
      <c r="F62" s="27" t="n">
        <v>1114.34075</v>
      </c>
      <c r="G62" s="17" t="n">
        <v>20935.2433</v>
      </c>
      <c r="H62" s="17" t="n">
        <v>17625.2557</v>
      </c>
      <c r="I62" s="17" t="n">
        <v>21600.2531</v>
      </c>
      <c r="J62" s="17" t="n">
        <v>23205.8522</v>
      </c>
      <c r="K62" s="17" t="n">
        <v>22657.1177</v>
      </c>
      <c r="L62" s="17" t="n">
        <v>25757.5309</v>
      </c>
      <c r="M62" s="17" t="n">
        <v>20213.8904</v>
      </c>
      <c r="N62" s="17" t="n">
        <v>26276.1267</v>
      </c>
      <c r="O62" s="17" t="n">
        <v>34734.5773</v>
      </c>
      <c r="P62" s="17" t="n">
        <v>40120.5473</v>
      </c>
      <c r="Q62" s="17" t="n">
        <v>42051.7941</v>
      </c>
      <c r="R62" s="17" t="n">
        <v>32866.3214</v>
      </c>
      <c r="S62" s="17" t="n">
        <v>33331.1743</v>
      </c>
      <c r="T62" s="17" t="n">
        <v>32886.9193</v>
      </c>
      <c r="U62" s="17" t="n">
        <v>39884.8971</v>
      </c>
      <c r="V62" s="17" t="n">
        <v>10107.3324</v>
      </c>
      <c r="W62" s="17" t="n">
        <v>9775.2307</v>
      </c>
      <c r="X62" s="17" t="n">
        <v>10124.8424</v>
      </c>
      <c r="Y62" s="17" t="n">
        <v>10355.5824</v>
      </c>
      <c r="Z62" s="17" t="n">
        <v>45484.3589</v>
      </c>
      <c r="AA62" s="17" t="n">
        <v>40591.9044</v>
      </c>
      <c r="AB62" s="17" t="n">
        <v>42510.6638</v>
      </c>
      <c r="AC62" s="17" t="n">
        <v>47746.2849</v>
      </c>
      <c r="AD62" s="17" t="n">
        <v>26132.9456</v>
      </c>
      <c r="AE62" s="17" t="n">
        <v>32319.4468</v>
      </c>
      <c r="AF62" s="17" t="n">
        <v>39340.3493</v>
      </c>
      <c r="AG62" s="17" t="n">
        <v>44708.7249</v>
      </c>
      <c r="AH62" s="17" t="n">
        <v>56020.1679</v>
      </c>
      <c r="AI62" s="17" t="n">
        <v>60572.5686</v>
      </c>
      <c r="AJ62" s="17" t="n">
        <v>34941.3631</v>
      </c>
      <c r="AK62" s="17" t="n">
        <v>36534.9065</v>
      </c>
      <c r="AL62" s="17" t="n">
        <v>40676.7637</v>
      </c>
      <c r="AM62" s="17" t="n">
        <v>40196.2842</v>
      </c>
      <c r="AN62" s="17" t="n">
        <v>40948.9998</v>
      </c>
      <c r="AO62" s="17" t="n">
        <v>52563.0116</v>
      </c>
      <c r="AP62" s="17" t="n">
        <v>25122.906</v>
      </c>
      <c r="AQ62" s="17" t="n">
        <v>26188.8434</v>
      </c>
      <c r="AR62" s="17" t="n">
        <v>25499.4155</v>
      </c>
      <c r="AS62" s="17" t="n">
        <v>21568.1685</v>
      </c>
      <c r="AT62" s="17" t="n">
        <v>19668.7904</v>
      </c>
      <c r="AU62" s="17" t="n">
        <v>18155.1082</v>
      </c>
      <c r="AV62" s="17" t="n">
        <v>19153.1332</v>
      </c>
      <c r="AW62" s="17" t="n">
        <v>18288.0977</v>
      </c>
      <c r="AX62" s="17" t="n">
        <v>19013.4762</v>
      </c>
      <c r="AY62" s="17" t="n">
        <v>16836.4406</v>
      </c>
      <c r="AZ62" s="17" t="n">
        <v>16772.6526</v>
      </c>
      <c r="BA62" s="17" t="n">
        <v>14041.5551</v>
      </c>
      <c r="BB62" s="17" t="n">
        <v>12378.1772</v>
      </c>
      <c r="BC62" s="17" t="n">
        <v>13134.7153</v>
      </c>
      <c r="BD62" s="17" t="n">
        <v>14913.6337</v>
      </c>
      <c r="BE62" s="17" t="n">
        <v>15146.0987</v>
      </c>
      <c r="BF62" s="17" t="n">
        <v>10541.3947</v>
      </c>
      <c r="BG62" s="17" t="n">
        <v>10935.7074</v>
      </c>
      <c r="BH62" s="17" t="n">
        <v>13133.9745</v>
      </c>
      <c r="BI62" s="17" t="n">
        <v>13348.8355</v>
      </c>
      <c r="BJ62" s="17" t="n">
        <v>14277.5162</v>
      </c>
      <c r="BK62" s="17" t="n">
        <v>14860.1988</v>
      </c>
      <c r="BL62" s="17" t="n">
        <v>14181.9536</v>
      </c>
      <c r="BM62" s="17" t="n">
        <v>13267.3947</v>
      </c>
      <c r="BN62" s="17" t="n">
        <v>7781</v>
      </c>
    </row>
    <row r="63">
      <c r="A63" s="10" t="inlineStr">
        <is>
          <t>Malaysia</t>
        </is>
      </c>
      <c r="B63" s="17" t="n">
        <v>57</v>
      </c>
      <c r="C63" s="27" t="n">
        <v>0.298569999999998</v>
      </c>
      <c r="D63" s="27" t="n">
        <v>9.707169999999998</v>
      </c>
      <c r="E63" s="27" t="n">
        <v>0.2689699999999959</v>
      </c>
      <c r="F63" s="26" t="n">
        <v>-6.745130000000003</v>
      </c>
      <c r="G63" s="17" t="n">
        <v>117.0838</v>
      </c>
      <c r="H63" s="17" t="n">
        <v>119.2116</v>
      </c>
      <c r="I63" s="17" t="n">
        <v>115.7562</v>
      </c>
      <c r="J63" s="17" t="n">
        <v>120.7018</v>
      </c>
      <c r="K63" s="17" t="n">
        <v>144.2266</v>
      </c>
      <c r="L63" s="17" t="n">
        <v>116.562</v>
      </c>
      <c r="M63" s="17" t="n">
        <v>124.404</v>
      </c>
      <c r="N63" s="17" t="n">
        <v>126.653</v>
      </c>
      <c r="O63" s="17" t="n">
        <v>131.4834</v>
      </c>
      <c r="P63" s="17" t="n">
        <v>131.5691</v>
      </c>
      <c r="Q63" s="17" t="n">
        <v>100.5018</v>
      </c>
      <c r="R63" s="17" t="n">
        <v>117.4187</v>
      </c>
      <c r="S63" s="17" t="n">
        <v>129.4286</v>
      </c>
      <c r="T63" s="17" t="n">
        <v>108.9806</v>
      </c>
      <c r="U63" s="17" t="n">
        <v>103.6362</v>
      </c>
      <c r="V63" s="17" t="n">
        <v>104.9976</v>
      </c>
      <c r="W63" s="17" t="n">
        <v>96.6354</v>
      </c>
      <c r="X63" s="17" t="n">
        <v>101.4706</v>
      </c>
      <c r="Y63" s="17" t="n">
        <v>100.6128</v>
      </c>
      <c r="Z63" s="17" t="n">
        <v>96.11020000000001</v>
      </c>
      <c r="AA63" s="17" t="n">
        <v>88.62090000000001</v>
      </c>
      <c r="AB63" s="17" t="n">
        <v>87.0172</v>
      </c>
      <c r="AC63" s="17" t="n">
        <v>95.1758</v>
      </c>
      <c r="AD63" s="17" t="n">
        <v>95.8107</v>
      </c>
      <c r="AE63" s="17" t="n">
        <v>97.1919</v>
      </c>
      <c r="AF63" s="17" t="n">
        <v>89.4362</v>
      </c>
      <c r="AG63" s="17" t="n">
        <v>83.3981</v>
      </c>
      <c r="AH63" s="17" t="n">
        <v>92.1878</v>
      </c>
      <c r="AI63" s="17" t="n">
        <v>78.7839</v>
      </c>
      <c r="AJ63" s="17" t="n">
        <v>79.7903</v>
      </c>
      <c r="AK63" s="17" t="n">
        <v>78.51260000000001</v>
      </c>
      <c r="AL63" s="17" t="n">
        <v>73.95780000000001</v>
      </c>
      <c r="AM63" s="17" t="n">
        <v>83.6611</v>
      </c>
      <c r="AN63" s="17" t="n">
        <v>83.5026</v>
      </c>
      <c r="AO63" s="17" t="n">
        <v>83.10120000000001</v>
      </c>
      <c r="AP63" s="17" t="n">
        <v>79.40519999999999</v>
      </c>
      <c r="AQ63" s="17" t="n">
        <v>71.76349999999999</v>
      </c>
      <c r="AR63" s="17" t="n">
        <v>68.5667</v>
      </c>
      <c r="AS63" s="17" t="n">
        <v>73.1493</v>
      </c>
      <c r="AT63" s="17" t="n">
        <v>74.9761</v>
      </c>
      <c r="AU63" s="17" t="n">
        <v>79.10509999999999</v>
      </c>
      <c r="AV63" s="17" t="n">
        <v>89.6159</v>
      </c>
      <c r="AW63" s="17" t="n">
        <v>96.643</v>
      </c>
      <c r="AX63" s="17" t="n">
        <v>82.0441</v>
      </c>
      <c r="AY63" s="17" t="n">
        <v>76.94589999999999</v>
      </c>
      <c r="AZ63" s="17" t="n">
        <v>64.8103</v>
      </c>
      <c r="BA63" s="17" t="n">
        <v>60.9553</v>
      </c>
      <c r="BB63" s="17" t="n">
        <v>55.3047</v>
      </c>
      <c r="BC63" s="17" t="n">
        <v>56.4689</v>
      </c>
      <c r="BD63" s="17" t="n">
        <v>59.4595</v>
      </c>
      <c r="BE63" s="17" t="n">
        <v>55.0477</v>
      </c>
      <c r="BF63" s="17" t="n">
        <v>52.7451</v>
      </c>
      <c r="BG63" s="17" t="n">
        <v>61.5711</v>
      </c>
      <c r="BH63" s="17" t="n">
        <v>57.5792</v>
      </c>
      <c r="BI63" s="17" t="n">
        <v>48.0352</v>
      </c>
      <c r="BJ63" s="17" t="n">
        <v>40.8212</v>
      </c>
      <c r="BK63" s="17" t="n">
        <v>46.2404</v>
      </c>
      <c r="BL63" s="17" t="n">
        <v>57.1013</v>
      </c>
      <c r="BM63" s="17" t="n">
        <v>54.8151</v>
      </c>
      <c r="BN63" s="17" t="n">
        <v>57</v>
      </c>
    </row>
    <row r="64">
      <c r="A64" s="10" t="inlineStr">
        <is>
          <t>Mexico</t>
        </is>
      </c>
      <c r="B64" s="17" t="n">
        <v>198</v>
      </c>
      <c r="C64" s="27" t="n">
        <v>0.85745</v>
      </c>
      <c r="D64" s="26" t="n">
        <v>-1.820850000000007</v>
      </c>
      <c r="E64" s="26" t="n">
        <v>-22.60524999999998</v>
      </c>
      <c r="F64" s="26" t="n">
        <v>-37.71775</v>
      </c>
      <c r="G64" s="17" t="n">
        <v>353.8596</v>
      </c>
      <c r="H64" s="17" t="n">
        <v>389.0662</v>
      </c>
      <c r="I64" s="17" t="n">
        <v>347.7085</v>
      </c>
      <c r="J64" s="17" t="n">
        <v>356.5473</v>
      </c>
      <c r="K64" s="17" t="n">
        <v>382.2554</v>
      </c>
      <c r="L64" s="17" t="n">
        <v>349.424</v>
      </c>
      <c r="M64" s="17" t="n">
        <v>391.3616</v>
      </c>
      <c r="N64" s="17" t="n">
        <v>381.6908</v>
      </c>
      <c r="O64" s="17" t="n">
        <v>473.2636</v>
      </c>
      <c r="P64" s="17" t="n">
        <v>437.3938</v>
      </c>
      <c r="Q64" s="17" t="n">
        <v>431.9682</v>
      </c>
      <c r="R64" s="17" t="n">
        <v>482.5408</v>
      </c>
      <c r="S64" s="17" t="n">
        <v>427.6503</v>
      </c>
      <c r="T64" s="17" t="n">
        <v>392.1088</v>
      </c>
      <c r="U64" s="17" t="n">
        <v>385.9562</v>
      </c>
      <c r="V64" s="17" t="n">
        <v>357.3534</v>
      </c>
      <c r="W64" s="17" t="n">
        <v>367.6504</v>
      </c>
      <c r="X64" s="17" t="n">
        <v>392.761</v>
      </c>
      <c r="Y64" s="17" t="n">
        <v>396.4088</v>
      </c>
      <c r="Z64" s="17" t="n">
        <v>406.4437</v>
      </c>
      <c r="AA64" s="17" t="n">
        <v>372.8911</v>
      </c>
      <c r="AB64" s="17" t="n">
        <v>354.0155</v>
      </c>
      <c r="AC64" s="17" t="n">
        <v>364.6381</v>
      </c>
      <c r="AD64" s="17" t="n">
        <v>378.2231</v>
      </c>
      <c r="AE64" s="17" t="n">
        <v>379.1581</v>
      </c>
      <c r="AF64" s="17" t="n">
        <v>358.4303</v>
      </c>
      <c r="AG64" s="17" t="n">
        <v>339.8072</v>
      </c>
      <c r="AH64" s="17" t="n">
        <v>340.6779</v>
      </c>
      <c r="AI64" s="17" t="n">
        <v>328.321</v>
      </c>
      <c r="AJ64" s="17" t="n">
        <v>313.9164</v>
      </c>
      <c r="AK64" s="17" t="n">
        <v>308.8852</v>
      </c>
      <c r="AL64" s="17" t="n">
        <v>299.1222</v>
      </c>
      <c r="AM64" s="17" t="n">
        <v>318.9031</v>
      </c>
      <c r="AN64" s="17" t="n">
        <v>323.9745</v>
      </c>
      <c r="AO64" s="17" t="n">
        <v>327.5579</v>
      </c>
      <c r="AP64" s="17" t="n">
        <v>315.5223</v>
      </c>
      <c r="AQ64" s="17" t="n">
        <v>306.6993</v>
      </c>
      <c r="AR64" s="17" t="n">
        <v>312.8204</v>
      </c>
      <c r="AS64" s="17" t="n">
        <v>319.0574</v>
      </c>
      <c r="AT64" s="17" t="n">
        <v>319.2745</v>
      </c>
      <c r="AU64" s="17" t="n">
        <v>322.631</v>
      </c>
      <c r="AV64" s="17" t="n">
        <v>326.0968</v>
      </c>
      <c r="AW64" s="17" t="n">
        <v>351.5047</v>
      </c>
      <c r="AX64" s="17" t="n">
        <v>314.7131</v>
      </c>
      <c r="AY64" s="17" t="n">
        <v>287.4016</v>
      </c>
      <c r="AZ64" s="17" t="n">
        <v>255.7979</v>
      </c>
      <c r="BA64" s="17" t="n">
        <v>245.5327</v>
      </c>
      <c r="BB64" s="17" t="n">
        <v>213.3083</v>
      </c>
      <c r="BC64" s="17" t="n">
        <v>211.8561</v>
      </c>
      <c r="BD64" s="17" t="n">
        <v>229.9335</v>
      </c>
      <c r="BE64" s="17" t="n">
        <v>222.0313</v>
      </c>
      <c r="BF64" s="17" t="n">
        <v>214.4731</v>
      </c>
      <c r="BG64" s="17" t="n">
        <v>226.5654</v>
      </c>
      <c r="BH64" s="17" t="n">
        <v>233.3419</v>
      </c>
      <c r="BI64" s="17" t="n">
        <v>204.4266</v>
      </c>
      <c r="BJ64" s="17" t="n">
        <v>204.9151</v>
      </c>
      <c r="BK64" s="17" t="n">
        <v>202.3161</v>
      </c>
      <c r="BL64" s="17" t="n">
        <v>209.4862</v>
      </c>
      <c r="BM64" s="17" t="n">
        <v>196.3707</v>
      </c>
      <c r="BN64" s="17" t="n">
        <v>198</v>
      </c>
    </row>
    <row r="65">
      <c r="A65" s="10" t="inlineStr">
        <is>
          <t>Mongolia</t>
        </is>
      </c>
      <c r="B65" s="17" t="n">
        <v>178</v>
      </c>
      <c r="C65" s="26" t="n">
        <v>-13.91640000000001</v>
      </c>
      <c r="D65" s="27" t="n">
        <v>16.892</v>
      </c>
      <c r="E65" s="26" t="n">
        <v>-53.26419999999999</v>
      </c>
      <c r="F65" s="26" t="n">
        <v>-117.7347</v>
      </c>
      <c r="G65" s="17" t="n">
        <v>291.267</v>
      </c>
      <c r="H65" s="17" t="n">
        <v>336.4434</v>
      </c>
      <c r="I65" s="17" t="n">
        <v>323.6244</v>
      </c>
      <c r="J65" s="17" t="n">
        <v>313.2411</v>
      </c>
      <c r="K65" s="17" t="n">
        <v>354.6468</v>
      </c>
      <c r="L65" s="17" t="n">
        <v>301.9989</v>
      </c>
      <c r="M65" s="17" t="n">
        <v>373.5278</v>
      </c>
      <c r="N65" s="17" t="n">
        <v>418.1234</v>
      </c>
      <c r="O65" s="17" t="n">
        <v>515.2844</v>
      </c>
      <c r="P65" s="17" t="n">
        <v>579.0255</v>
      </c>
      <c r="Q65" s="17" t="n">
        <v>423.3411</v>
      </c>
      <c r="R65" s="17" t="n">
        <v>815.5877</v>
      </c>
      <c r="S65" s="17" t="n">
        <v>812.8275</v>
      </c>
      <c r="T65" s="17" t="n">
        <v>692.3579999999999</v>
      </c>
      <c r="U65" s="17" t="n">
        <v>521.8083</v>
      </c>
      <c r="V65" s="17" t="n">
        <v>335.349</v>
      </c>
      <c r="W65" s="17" t="n">
        <v>357.1918</v>
      </c>
      <c r="X65" s="17" t="n">
        <v>519.1837</v>
      </c>
      <c r="Y65" s="17" t="n">
        <v>456.0281</v>
      </c>
      <c r="Z65" s="17" t="n">
        <v>498.4292</v>
      </c>
      <c r="AA65" s="17" t="n">
        <v>376.2568</v>
      </c>
      <c r="AB65" s="17" t="n">
        <v>330.5607</v>
      </c>
      <c r="AC65" s="17" t="n">
        <v>394.1104</v>
      </c>
      <c r="AD65" s="17" t="n">
        <v>364.8965</v>
      </c>
      <c r="AE65" s="17" t="n">
        <v>357.4912</v>
      </c>
      <c r="AF65" s="17" t="n">
        <v>300.9997</v>
      </c>
      <c r="AG65" s="17" t="n">
        <v>281.4676</v>
      </c>
      <c r="AH65" s="17" t="n">
        <v>304.1184</v>
      </c>
      <c r="AI65" s="17" t="n">
        <v>280.7574</v>
      </c>
      <c r="AJ65" s="17" t="n">
        <v>249.3047</v>
      </c>
      <c r="AK65" s="17" t="n">
        <v>246.4513</v>
      </c>
      <c r="AL65" s="17" t="n">
        <v>232.4607</v>
      </c>
      <c r="AM65" s="17" t="n">
        <v>251.2934</v>
      </c>
      <c r="AN65" s="17" t="n">
        <v>272.8393</v>
      </c>
      <c r="AO65" s="17" t="n">
        <v>281.7372</v>
      </c>
      <c r="AP65" s="17" t="n">
        <v>255.7819</v>
      </c>
      <c r="AQ65" s="17" t="n">
        <v>209.4921</v>
      </c>
      <c r="AR65" s="17" t="n">
        <v>239.1668</v>
      </c>
      <c r="AS65" s="17" t="n">
        <v>232.4976</v>
      </c>
      <c r="AT65" s="17" t="n">
        <v>227.942</v>
      </c>
      <c r="AU65" s="17" t="n">
        <v>272.5383</v>
      </c>
      <c r="AV65" s="17" t="n">
        <v>314.1613</v>
      </c>
      <c r="AW65" s="17" t="n">
        <v>364.6734</v>
      </c>
      <c r="AX65" s="17" t="n">
        <v>303.2873</v>
      </c>
      <c r="AY65" s="17" t="n">
        <v>302.2359</v>
      </c>
      <c r="AZ65" s="17" t="n">
        <v>242.9424</v>
      </c>
      <c r="BA65" s="17" t="n">
        <v>293.6511</v>
      </c>
      <c r="BB65" s="17" t="n">
        <v>258.1726</v>
      </c>
      <c r="BC65" s="17" t="n">
        <v>242.4438</v>
      </c>
      <c r="BD65" s="17" t="n">
        <v>246.8971</v>
      </c>
      <c r="BE65" s="17" t="n">
        <v>231.3207</v>
      </c>
      <c r="BF65" s="17" t="n">
        <v>183.1763</v>
      </c>
      <c r="BG65" s="17" t="n">
        <v>199.523</v>
      </c>
      <c r="BH65" s="17" t="n">
        <v>241.499</v>
      </c>
      <c r="BI65" s="17" t="n">
        <v>179.7568</v>
      </c>
      <c r="BJ65" s="17" t="n">
        <v>162.9167</v>
      </c>
      <c r="BK65" s="17" t="n">
        <v>159.1288</v>
      </c>
      <c r="BL65" s="17" t="n">
        <v>194.4079</v>
      </c>
      <c r="BM65" s="17" t="n">
        <v>176.76</v>
      </c>
      <c r="BN65" s="17" t="n">
        <v>178</v>
      </c>
    </row>
    <row r="66">
      <c r="A66" s="10" t="inlineStr">
        <is>
          <t>Montenegro</t>
        </is>
      </c>
      <c r="B66" s="17" t="n">
        <v>159</v>
      </c>
      <c r="C66" s="27" t="n">
        <v>7.656319999999994</v>
      </c>
      <c r="D66" s="27" t="n">
        <v>1.68101999999999</v>
      </c>
      <c r="E66" s="26" t="n">
        <v>-25.45358000000002</v>
      </c>
      <c r="F66" s="26" t="n">
        <v>-59.64628000000002</v>
      </c>
      <c r="G66" s="17" t="inlineStr"/>
      <c r="H66" s="17" t="inlineStr"/>
      <c r="I66" s="17" t="inlineStr"/>
      <c r="J66" s="17" t="inlineStr"/>
      <c r="K66" s="17" t="inlineStr"/>
      <c r="L66" s="17" t="inlineStr"/>
      <c r="M66" s="17" t="inlineStr"/>
      <c r="N66" s="17" t="inlineStr"/>
      <c r="O66" s="17" t="inlineStr"/>
      <c r="P66" s="17" t="inlineStr"/>
      <c r="Q66" s="17" t="inlineStr"/>
      <c r="R66" s="17" t="inlineStr"/>
      <c r="S66" s="17" t="inlineStr"/>
      <c r="T66" s="17" t="inlineStr"/>
      <c r="U66" s="17" t="inlineStr"/>
      <c r="V66" s="17" t="inlineStr"/>
      <c r="W66" s="17" t="inlineStr"/>
      <c r="X66" s="17" t="inlineStr"/>
      <c r="Y66" s="17" t="inlineStr"/>
      <c r="Z66" s="17" t="inlineStr"/>
      <c r="AA66" s="17" t="inlineStr"/>
      <c r="AB66" s="17" t="inlineStr"/>
      <c r="AC66" s="17" t="inlineStr"/>
      <c r="AD66" s="17" t="inlineStr"/>
      <c r="AE66" s="17" t="inlineStr"/>
      <c r="AF66" s="17" t="inlineStr"/>
      <c r="AG66" s="17" t="inlineStr"/>
      <c r="AH66" s="17" t="inlineStr"/>
      <c r="AI66" s="17" t="inlineStr"/>
      <c r="AJ66" s="17" t="n">
        <v>264.6928</v>
      </c>
      <c r="AK66" s="17" t="n">
        <v>241.6879</v>
      </c>
      <c r="AL66" s="17" t="n">
        <v>252.9443</v>
      </c>
      <c r="AM66" s="17" t="n">
        <v>272.001</v>
      </c>
      <c r="AN66" s="17" t="n">
        <v>284.6734</v>
      </c>
      <c r="AO66" s="17" t="n">
        <v>273.6381</v>
      </c>
      <c r="AP66" s="17" t="n">
        <v>270.6096</v>
      </c>
      <c r="AQ66" s="17" t="n">
        <v>218.9807</v>
      </c>
      <c r="AR66" s="17" t="n">
        <v>228.5219</v>
      </c>
      <c r="AS66" s="17" t="n">
        <v>218.7445</v>
      </c>
      <c r="AT66" s="17" t="n">
        <v>220.3031</v>
      </c>
      <c r="AU66" s="17" t="n">
        <v>234.8393</v>
      </c>
      <c r="AV66" s="17" t="n">
        <v>267.8256</v>
      </c>
      <c r="AW66" s="17" t="n">
        <v>318.7204</v>
      </c>
      <c r="AX66" s="17" t="n">
        <v>253.7169</v>
      </c>
      <c r="AY66" s="17" t="n">
        <v>251.9256</v>
      </c>
      <c r="AZ66" s="17" t="n">
        <v>226.8174</v>
      </c>
      <c r="BA66" s="17" t="n">
        <v>220.0143</v>
      </c>
      <c r="BB66" s="17" t="n">
        <v>198.3217</v>
      </c>
      <c r="BC66" s="17" t="n">
        <v>176.6122</v>
      </c>
      <c r="BD66" s="17" t="n">
        <v>190.9757</v>
      </c>
      <c r="BE66" s="17" t="n">
        <v>187.2492</v>
      </c>
      <c r="BF66" s="17" t="n">
        <v>189.5767</v>
      </c>
      <c r="BG66" s="17" t="n">
        <v>196.442</v>
      </c>
      <c r="BH66" s="17" t="n">
        <v>230.4101</v>
      </c>
      <c r="BI66" s="17" t="n">
        <v>195.3304</v>
      </c>
      <c r="BJ66" s="17" t="n">
        <v>168.6882</v>
      </c>
      <c r="BK66" s="17" t="n">
        <v>148.8852</v>
      </c>
      <c r="BL66" s="17" t="n">
        <v>151.1316</v>
      </c>
      <c r="BM66" s="17" t="n">
        <v>152.8025</v>
      </c>
      <c r="BN66" s="17" t="n">
        <v>159</v>
      </c>
    </row>
    <row r="67">
      <c r="A67" s="10" t="inlineStr">
        <is>
          <t>Morocco</t>
        </is>
      </c>
      <c r="B67" s="17" t="n">
        <v>111</v>
      </c>
      <c r="C67" s="27" t="n">
        <v>3.522189999999995</v>
      </c>
      <c r="D67" s="26" t="n">
        <v>-4.805710000000005</v>
      </c>
      <c r="E67" s="26" t="n">
        <v>-6.951510000000013</v>
      </c>
      <c r="F67" s="26" t="n">
        <v>-28.05311</v>
      </c>
      <c r="G67" s="17" t="n">
        <v>241.9215</v>
      </c>
      <c r="H67" s="17" t="n">
        <v>268.5954</v>
      </c>
      <c r="I67" s="17" t="n">
        <v>238.8681</v>
      </c>
      <c r="J67" s="17" t="n">
        <v>245.2254</v>
      </c>
      <c r="K67" s="17" t="n">
        <v>294.8157</v>
      </c>
      <c r="L67" s="17" t="n">
        <v>258.048</v>
      </c>
      <c r="M67" s="17" t="n">
        <v>298.3766</v>
      </c>
      <c r="N67" s="17" t="n">
        <v>312.3356</v>
      </c>
      <c r="O67" s="17" t="n">
        <v>428.3994</v>
      </c>
      <c r="P67" s="17" t="n">
        <v>335.3162</v>
      </c>
      <c r="Q67" s="17" t="n">
        <v>320.1056</v>
      </c>
      <c r="R67" s="17" t="n">
        <v>354.4955</v>
      </c>
      <c r="S67" s="17" t="n">
        <v>303.2404</v>
      </c>
      <c r="T67" s="17" t="n">
        <v>239.4117</v>
      </c>
      <c r="U67" s="17" t="n">
        <v>216.6778</v>
      </c>
      <c r="V67" s="17" t="n">
        <v>249.1454</v>
      </c>
      <c r="W67" s="17" t="n">
        <v>262.8093</v>
      </c>
      <c r="X67" s="17" t="n">
        <v>241.7673</v>
      </c>
      <c r="Y67" s="17" t="n">
        <v>238.1431</v>
      </c>
      <c r="Z67" s="17" t="n">
        <v>242.5195</v>
      </c>
      <c r="AA67" s="17" t="n">
        <v>220.0327</v>
      </c>
      <c r="AB67" s="17" t="n">
        <v>199.532</v>
      </c>
      <c r="AC67" s="17" t="n">
        <v>216.4493</v>
      </c>
      <c r="AD67" s="17" t="n">
        <v>205.4812</v>
      </c>
      <c r="AE67" s="17" t="n">
        <v>201.9058</v>
      </c>
      <c r="AF67" s="17" t="n">
        <v>188.0128</v>
      </c>
      <c r="AG67" s="17" t="n">
        <v>177.3287</v>
      </c>
      <c r="AH67" s="17" t="n">
        <v>198.2699</v>
      </c>
      <c r="AI67" s="17" t="n">
        <v>184.8386</v>
      </c>
      <c r="AJ67" s="17" t="n">
        <v>178.7696</v>
      </c>
      <c r="AK67" s="17" t="n">
        <v>169.2332</v>
      </c>
      <c r="AL67" s="17" t="n">
        <v>164.1793</v>
      </c>
      <c r="AM67" s="17" t="n">
        <v>165.4763</v>
      </c>
      <c r="AN67" s="17" t="n">
        <v>177.3962</v>
      </c>
      <c r="AO67" s="17" t="n">
        <v>160.6261</v>
      </c>
      <c r="AP67" s="17" t="n">
        <v>155.6711</v>
      </c>
      <c r="AQ67" s="17" t="n">
        <v>159.33</v>
      </c>
      <c r="AR67" s="17" t="n">
        <v>165.5158</v>
      </c>
      <c r="AS67" s="17" t="n">
        <v>152.1958</v>
      </c>
      <c r="AT67" s="17" t="n">
        <v>152.251</v>
      </c>
      <c r="AU67" s="17" t="n">
        <v>168.0715</v>
      </c>
      <c r="AV67" s="17" t="n">
        <v>177.2316</v>
      </c>
      <c r="AW67" s="17" t="n">
        <v>195.6542</v>
      </c>
      <c r="AX67" s="17" t="n">
        <v>167.7278</v>
      </c>
      <c r="AY67" s="17" t="n">
        <v>158.2642</v>
      </c>
      <c r="AZ67" s="17" t="n">
        <v>137.2278</v>
      </c>
      <c r="BA67" s="17" t="n">
        <v>130.9809</v>
      </c>
      <c r="BB67" s="17" t="n">
        <v>104.0016</v>
      </c>
      <c r="BC67" s="17" t="n">
        <v>107.754</v>
      </c>
      <c r="BD67" s="17" t="n">
        <v>129.6064</v>
      </c>
      <c r="BE67" s="17" t="n">
        <v>113.5121</v>
      </c>
      <c r="BF67" s="17" t="n">
        <v>120.2436</v>
      </c>
      <c r="BG67" s="17" t="n">
        <v>125.7495</v>
      </c>
      <c r="BH67" s="17" t="n">
        <v>143.0822</v>
      </c>
      <c r="BI67" s="17" t="n">
        <v>113.4232</v>
      </c>
      <c r="BJ67" s="17" t="n">
        <v>111.9587</v>
      </c>
      <c r="BK67" s="17" t="n">
        <v>105.1407</v>
      </c>
      <c r="BL67" s="17" t="n">
        <v>110.7238</v>
      </c>
      <c r="BM67" s="17" t="n">
        <v>103.2181</v>
      </c>
      <c r="BN67" s="17" t="n">
        <v>111</v>
      </c>
    </row>
    <row r="68">
      <c r="A68" s="10" t="inlineStr">
        <is>
          <t>Mozambique</t>
        </is>
      </c>
      <c r="B68" s="17" t="n">
        <v>763</v>
      </c>
      <c r="C68" s="26" t="n">
        <v>-36.40068999999994</v>
      </c>
      <c r="D68" s="26" t="n">
        <v>-200.3119899999999</v>
      </c>
      <c r="E68" s="26" t="n">
        <v>-252.5605899999999</v>
      </c>
      <c r="F68" s="26" t="n">
        <v>-109.07619</v>
      </c>
      <c r="G68" s="17" t="n">
        <v>891.2910000000001</v>
      </c>
      <c r="H68" s="17" t="n">
        <v>926.643</v>
      </c>
      <c r="I68" s="17" t="n">
        <v>925.4036</v>
      </c>
      <c r="J68" s="17" t="n">
        <v>896.4635</v>
      </c>
      <c r="K68" s="17" t="n">
        <v>870.5051</v>
      </c>
      <c r="L68" s="17" t="n">
        <v>791.9503</v>
      </c>
      <c r="M68" s="17" t="n">
        <v>726.5599</v>
      </c>
      <c r="N68" s="17" t="n">
        <v>825.5780999999999</v>
      </c>
      <c r="O68" s="17" t="n">
        <v>1041.1637</v>
      </c>
      <c r="P68" s="17" t="n">
        <v>1234.0403</v>
      </c>
      <c r="Q68" s="17" t="n">
        <v>1105.7643</v>
      </c>
      <c r="R68" s="17" t="n">
        <v>1110.9433</v>
      </c>
      <c r="S68" s="17" t="n">
        <v>1144.117</v>
      </c>
      <c r="T68" s="17" t="n">
        <v>978.3058</v>
      </c>
      <c r="U68" s="17" t="n">
        <v>932.9565</v>
      </c>
      <c r="V68" s="17" t="n">
        <v>901.4309</v>
      </c>
      <c r="W68" s="17" t="n">
        <v>944.8704</v>
      </c>
      <c r="X68" s="17" t="n">
        <v>1157.8451</v>
      </c>
      <c r="Y68" s="17" t="n">
        <v>1236.129</v>
      </c>
      <c r="Z68" s="17" t="n">
        <v>1189.8605</v>
      </c>
      <c r="AA68" s="17" t="n">
        <v>1027.7973</v>
      </c>
      <c r="AB68" s="17" t="n">
        <v>946.1455</v>
      </c>
      <c r="AC68" s="17" t="n">
        <v>1057.4765</v>
      </c>
      <c r="AD68" s="17" t="n">
        <v>948.639</v>
      </c>
      <c r="AE68" s="17" t="n">
        <v>957.7509</v>
      </c>
      <c r="AF68" s="17" t="n">
        <v>946.2795</v>
      </c>
      <c r="AG68" s="17" t="n">
        <v>852.2495</v>
      </c>
      <c r="AH68" s="17" t="n">
        <v>819.0322</v>
      </c>
      <c r="AI68" s="17" t="n">
        <v>857.8106</v>
      </c>
      <c r="AJ68" s="17" t="n">
        <v>807.2182</v>
      </c>
      <c r="AK68" s="17" t="n">
        <v>812.5267</v>
      </c>
      <c r="AL68" s="17" t="n">
        <v>887.6684</v>
      </c>
      <c r="AM68" s="17" t="n">
        <v>892.7674</v>
      </c>
      <c r="AN68" s="17" t="n">
        <v>875.7847</v>
      </c>
      <c r="AO68" s="17" t="n">
        <v>928.1856</v>
      </c>
      <c r="AP68" s="17" t="n">
        <v>876.6776</v>
      </c>
      <c r="AQ68" s="17" t="n">
        <v>915.5821999999999</v>
      </c>
      <c r="AR68" s="17" t="n">
        <v>947.5684</v>
      </c>
      <c r="AS68" s="17" t="n">
        <v>1082.2151</v>
      </c>
      <c r="AT68" s="17" t="n">
        <v>1004.6335</v>
      </c>
      <c r="AU68" s="17" t="n">
        <v>1035.391</v>
      </c>
      <c r="AV68" s="17" t="n">
        <v>1054.7955</v>
      </c>
      <c r="AW68" s="17" t="n">
        <v>1256.4613</v>
      </c>
      <c r="AX68" s="17" t="n">
        <v>1063.3569</v>
      </c>
      <c r="AY68" s="17" t="n">
        <v>1057.586</v>
      </c>
      <c r="AZ68" s="17" t="n">
        <v>880.4952</v>
      </c>
      <c r="BA68" s="17" t="n">
        <v>857.4434</v>
      </c>
      <c r="BB68" s="17" t="n">
        <v>845.6153</v>
      </c>
      <c r="BC68" s="17" t="n">
        <v>931.9162</v>
      </c>
      <c r="BD68" s="17" t="n">
        <v>1010.0884</v>
      </c>
      <c r="BE68" s="17" t="n">
        <v>1008.9023</v>
      </c>
      <c r="BF68" s="17" t="n">
        <v>959.701</v>
      </c>
      <c r="BG68" s="17" t="n">
        <v>1063.9808</v>
      </c>
      <c r="BH68" s="17" t="n">
        <v>1467.4474</v>
      </c>
      <c r="BI68" s="17" t="n">
        <v>1164.2124</v>
      </c>
      <c r="BJ68" s="17" t="n">
        <v>937.6059</v>
      </c>
      <c r="BK68" s="17" t="n">
        <v>910.035</v>
      </c>
      <c r="BL68" s="17" t="n">
        <v>800.1165</v>
      </c>
      <c r="BM68" s="17" t="n">
        <v>758.573</v>
      </c>
      <c r="BN68" s="17" t="n">
        <v>763</v>
      </c>
    </row>
    <row r="69">
      <c r="A69" s="10" t="inlineStr">
        <is>
          <t>Nigeria</t>
        </is>
      </c>
      <c r="B69" s="17" t="n">
        <v>251</v>
      </c>
      <c r="C69" s="26" t="n">
        <v>-8.650200000000012</v>
      </c>
      <c r="D69" s="26" t="n">
        <v>-13.91600000000003</v>
      </c>
      <c r="E69" s="26" t="n">
        <v>-77.68690000000001</v>
      </c>
      <c r="F69" s="26" t="n">
        <v>-181.0136</v>
      </c>
      <c r="G69" s="17" t="n">
        <v>595.8636</v>
      </c>
      <c r="H69" s="17" t="n">
        <v>693.1202</v>
      </c>
      <c r="I69" s="17" t="n">
        <v>637.5587</v>
      </c>
      <c r="J69" s="17" t="n">
        <v>625.1676</v>
      </c>
      <c r="K69" s="17" t="n">
        <v>689.2854</v>
      </c>
      <c r="L69" s="17" t="n">
        <v>622.4927</v>
      </c>
      <c r="M69" s="17" t="n">
        <v>724.0311</v>
      </c>
      <c r="N69" s="17" t="n">
        <v>770.5162</v>
      </c>
      <c r="O69" s="17" t="n">
        <v>1000.4651</v>
      </c>
      <c r="P69" s="17" t="n">
        <v>1012.3629</v>
      </c>
      <c r="Q69" s="17" t="n">
        <v>942.3501</v>
      </c>
      <c r="R69" s="17" t="n">
        <v>1043.5106</v>
      </c>
      <c r="S69" s="17" t="n">
        <v>1021.3695</v>
      </c>
      <c r="T69" s="17" t="n">
        <v>800.6444</v>
      </c>
      <c r="U69" s="17" t="n">
        <v>796.2331</v>
      </c>
      <c r="V69" s="17" t="n">
        <v>829.8592</v>
      </c>
      <c r="W69" s="17" t="n">
        <v>766.1568</v>
      </c>
      <c r="X69" s="17" t="n">
        <v>862.2333</v>
      </c>
      <c r="Y69" s="17" t="n">
        <v>894.471</v>
      </c>
      <c r="Z69" s="17" t="n">
        <v>781.7038</v>
      </c>
      <c r="AA69" s="17" t="n">
        <v>667.5295</v>
      </c>
      <c r="AB69" s="17" t="n">
        <v>587.8478</v>
      </c>
      <c r="AC69" s="17" t="n">
        <v>689.5078</v>
      </c>
      <c r="AD69" s="17" t="n">
        <v>702.5617</v>
      </c>
      <c r="AE69" s="17" t="n">
        <v>641.8638999999999</v>
      </c>
      <c r="AF69" s="17" t="n">
        <v>612.3222</v>
      </c>
      <c r="AG69" s="17" t="n">
        <v>562.0655</v>
      </c>
      <c r="AH69" s="17" t="n">
        <v>606.5229</v>
      </c>
      <c r="AI69" s="17" t="n">
        <v>550.8389</v>
      </c>
      <c r="AJ69" s="17" t="n">
        <v>517.9862000000001</v>
      </c>
      <c r="AK69" s="17" t="n">
        <v>525.8209000000001</v>
      </c>
      <c r="AL69" s="17" t="n">
        <v>534.7427</v>
      </c>
      <c r="AM69" s="17" t="n">
        <v>578.924</v>
      </c>
      <c r="AN69" s="17" t="n">
        <v>613.4462</v>
      </c>
      <c r="AO69" s="17" t="n">
        <v>588.9949</v>
      </c>
      <c r="AP69" s="17" t="n">
        <v>589.9983</v>
      </c>
      <c r="AQ69" s="17" t="n">
        <v>549.3275</v>
      </c>
      <c r="AR69" s="17" t="n">
        <v>555.1146</v>
      </c>
      <c r="AS69" s="17" t="n">
        <v>522.7994</v>
      </c>
      <c r="AT69" s="17" t="n">
        <v>501.8563</v>
      </c>
      <c r="AU69" s="17" t="n">
        <v>503.0583</v>
      </c>
      <c r="AV69" s="17" t="n">
        <v>583.3477</v>
      </c>
      <c r="AW69" s="17" t="n">
        <v>684.5605</v>
      </c>
      <c r="AX69" s="17" t="n">
        <v>557.9614</v>
      </c>
      <c r="AY69" s="17" t="n">
        <v>496.5201</v>
      </c>
      <c r="AZ69" s="17" t="n">
        <v>442.3265</v>
      </c>
      <c r="BA69" s="17" t="n">
        <v>428.7187</v>
      </c>
      <c r="BB69" s="17" t="n">
        <v>419.4788</v>
      </c>
      <c r="BC69" s="17" t="n">
        <v>403.4502</v>
      </c>
      <c r="BD69" s="17" t="n">
        <v>372.646</v>
      </c>
      <c r="BE69" s="17" t="n">
        <v>327.0535</v>
      </c>
      <c r="BF69" s="17" t="n">
        <v>326.8143</v>
      </c>
      <c r="BG69" s="17" t="n">
        <v>344.078</v>
      </c>
      <c r="BH69" s="17" t="n">
        <v>358.2678</v>
      </c>
      <c r="BI69" s="17" t="n">
        <v>283.4769</v>
      </c>
      <c r="BJ69" s="17" t="n">
        <v>267.2059</v>
      </c>
      <c r="BK69" s="17" t="n">
        <v>284.176</v>
      </c>
      <c r="BL69" s="17" t="n">
        <v>254.6613</v>
      </c>
      <c r="BM69" s="17" t="n">
        <v>253.0579</v>
      </c>
      <c r="BN69" s="17" t="n">
        <v>251</v>
      </c>
    </row>
    <row r="70">
      <c r="A70" s="10" t="inlineStr">
        <is>
          <t>Oman</t>
        </is>
      </c>
      <c r="B70" s="17" t="n">
        <v>96</v>
      </c>
      <c r="C70" s="27" t="n">
        <v>1.807479999999998</v>
      </c>
      <c r="D70" s="27" t="n">
        <v>5.022779999999997</v>
      </c>
      <c r="E70" s="26" t="n">
        <v>-6.716520000000003</v>
      </c>
      <c r="F70" s="26" t="n">
        <v>-24.33282</v>
      </c>
      <c r="G70" s="17" t="n">
        <v>374.6547</v>
      </c>
      <c r="H70" s="17" t="n">
        <v>417.4543</v>
      </c>
      <c r="I70" s="17" t="n">
        <v>368.8693</v>
      </c>
      <c r="J70" s="17" t="n">
        <v>367.6433</v>
      </c>
      <c r="K70" s="17" t="n">
        <v>385.4092</v>
      </c>
      <c r="L70" s="17" t="n">
        <v>310.7689</v>
      </c>
      <c r="M70" s="17" t="n">
        <v>305.9251</v>
      </c>
      <c r="N70" s="17" t="n">
        <v>314.3033</v>
      </c>
      <c r="O70" s="17" t="n">
        <v>368.0159</v>
      </c>
      <c r="P70" s="17" t="n">
        <v>359.8002</v>
      </c>
      <c r="Q70" s="17" t="n">
        <v>302.4365</v>
      </c>
      <c r="R70" s="17" t="n">
        <v>344.2635</v>
      </c>
      <c r="S70" s="17" t="n">
        <v>285.4823</v>
      </c>
      <c r="T70" s="17" t="n">
        <v>269.5443</v>
      </c>
      <c r="U70" s="17" t="n">
        <v>234.4396</v>
      </c>
      <c r="V70" s="17" t="n">
        <v>229.1509</v>
      </c>
      <c r="W70" s="17" t="n">
        <v>212.7255</v>
      </c>
      <c r="X70" s="17" t="n">
        <v>260.2008</v>
      </c>
      <c r="Y70" s="17" t="n">
        <v>241.4843</v>
      </c>
      <c r="Z70" s="17" t="n">
        <v>244.7718</v>
      </c>
      <c r="AA70" s="17" t="n">
        <v>220.5641</v>
      </c>
      <c r="AB70" s="17" t="n">
        <v>191.8624</v>
      </c>
      <c r="AC70" s="17" t="n">
        <v>197.1278</v>
      </c>
      <c r="AD70" s="17" t="n">
        <v>190.8193</v>
      </c>
      <c r="AE70" s="17" t="n">
        <v>188.8556</v>
      </c>
      <c r="AF70" s="17" t="n">
        <v>172.1839</v>
      </c>
      <c r="AG70" s="17" t="n">
        <v>168.9064</v>
      </c>
      <c r="AH70" s="17" t="n">
        <v>187.7336</v>
      </c>
      <c r="AI70" s="17" t="n">
        <v>168.4215</v>
      </c>
      <c r="AJ70" s="17" t="n">
        <v>156.2893</v>
      </c>
      <c r="AK70" s="17" t="n">
        <v>144.2397</v>
      </c>
      <c r="AL70" s="17" t="n">
        <v>147.3242</v>
      </c>
      <c r="AM70" s="17" t="n">
        <v>150.8235</v>
      </c>
      <c r="AN70" s="17" t="n">
        <v>163.3383</v>
      </c>
      <c r="AO70" s="17" t="n">
        <v>149.0823</v>
      </c>
      <c r="AP70" s="17" t="n">
        <v>153.6881</v>
      </c>
      <c r="AQ70" s="17" t="n">
        <v>144.0003</v>
      </c>
      <c r="AR70" s="17" t="n">
        <v>147.6079</v>
      </c>
      <c r="AS70" s="17" t="n">
        <v>138.6511</v>
      </c>
      <c r="AT70" s="17" t="n">
        <v>139.1182</v>
      </c>
      <c r="AU70" s="17" t="n">
        <v>150.8201</v>
      </c>
      <c r="AV70" s="17" t="n">
        <v>156.154</v>
      </c>
      <c r="AW70" s="17" t="n">
        <v>170.9281</v>
      </c>
      <c r="AX70" s="17" t="n">
        <v>147.8526</v>
      </c>
      <c r="AY70" s="17" t="n">
        <v>136.682</v>
      </c>
      <c r="AZ70" s="17" t="n">
        <v>96.25839999999999</v>
      </c>
      <c r="BA70" s="17" t="n">
        <v>106.2404</v>
      </c>
      <c r="BB70" s="17" t="n">
        <v>98.017</v>
      </c>
      <c r="BC70" s="17" t="n">
        <v>90.08320000000001</v>
      </c>
      <c r="BD70" s="17" t="n">
        <v>105.1493</v>
      </c>
      <c r="BE70" s="17" t="n">
        <v>97.2985</v>
      </c>
      <c r="BF70" s="17" t="n">
        <v>105.0284</v>
      </c>
      <c r="BG70" s="17" t="n">
        <v>114.3856</v>
      </c>
      <c r="BH70" s="17" t="n">
        <v>126.183</v>
      </c>
      <c r="BI70" s="17" t="n">
        <v>84.4417</v>
      </c>
      <c r="BJ70" s="17" t="n">
        <v>83.8467</v>
      </c>
      <c r="BK70" s="17" t="n">
        <v>82.16030000000001</v>
      </c>
      <c r="BL70" s="17" t="n">
        <v>94.1331</v>
      </c>
      <c r="BM70" s="17" t="n">
        <v>88.85850000000001</v>
      </c>
      <c r="BN70" s="17" t="n">
        <v>96</v>
      </c>
    </row>
    <row r="71">
      <c r="A71" s="10" t="inlineStr">
        <is>
          <t>Pakistan</t>
        </is>
      </c>
      <c r="B71" s="17" t="n">
        <v>316</v>
      </c>
      <c r="C71" s="26" t="n">
        <v>-22.32529</v>
      </c>
      <c r="D71" s="26" t="n">
        <v>-67.33599000000004</v>
      </c>
      <c r="E71" s="26" t="n">
        <v>-77.31918999999999</v>
      </c>
      <c r="F71" s="26" t="n">
        <v>-159.42319</v>
      </c>
      <c r="G71" s="17" t="n">
        <v>558.6374</v>
      </c>
      <c r="H71" s="17" t="n">
        <v>606.3539</v>
      </c>
      <c r="I71" s="17" t="n">
        <v>570.1692</v>
      </c>
      <c r="J71" s="17" t="n">
        <v>612.9895</v>
      </c>
      <c r="K71" s="17" t="n">
        <v>716.1881</v>
      </c>
      <c r="L71" s="17" t="n">
        <v>965.3387</v>
      </c>
      <c r="M71" s="17" t="n">
        <v>858.4619</v>
      </c>
      <c r="N71" s="17" t="n">
        <v>1113.5077</v>
      </c>
      <c r="O71" s="17" t="n">
        <v>1253.4493</v>
      </c>
      <c r="P71" s="17" t="n">
        <v>1912.4594</v>
      </c>
      <c r="Q71" s="17" t="n">
        <v>1461.5292</v>
      </c>
      <c r="R71" s="17" t="n">
        <v>2660.0122</v>
      </c>
      <c r="S71" s="17" t="n">
        <v>3328.586</v>
      </c>
      <c r="T71" s="17" t="n">
        <v>2623.4211</v>
      </c>
      <c r="U71" s="17" t="n">
        <v>2746.5112</v>
      </c>
      <c r="V71" s="17" t="n">
        <v>2467.4411</v>
      </c>
      <c r="W71" s="17" t="n">
        <v>2429.3601</v>
      </c>
      <c r="X71" s="17" t="n">
        <v>3331.7692</v>
      </c>
      <c r="Y71" s="17" t="n">
        <v>3378.8423</v>
      </c>
      <c r="Z71" s="17" t="n">
        <v>3211.8552</v>
      </c>
      <c r="AA71" s="17" t="n">
        <v>2243.0051</v>
      </c>
      <c r="AB71" s="17" t="n">
        <v>1948.0065</v>
      </c>
      <c r="AC71" s="17" t="n">
        <v>2101.4235</v>
      </c>
      <c r="AD71" s="17" t="n">
        <v>1975.4577</v>
      </c>
      <c r="AE71" s="17" t="n">
        <v>1853.703</v>
      </c>
      <c r="AF71" s="17" t="n">
        <v>1339.6882</v>
      </c>
      <c r="AG71" s="17" t="n">
        <v>1316.6199</v>
      </c>
      <c r="AH71" s="17" t="n">
        <v>1157.5379</v>
      </c>
      <c r="AI71" s="17" t="n">
        <v>989.1328</v>
      </c>
      <c r="AJ71" s="17" t="n">
        <v>733.5694</v>
      </c>
      <c r="AK71" s="17" t="n">
        <v>677.3522</v>
      </c>
      <c r="AL71" s="17" t="n">
        <v>658.6871</v>
      </c>
      <c r="AM71" s="17" t="n">
        <v>729.2883</v>
      </c>
      <c r="AN71" s="17" t="n">
        <v>757.5653</v>
      </c>
      <c r="AO71" s="17" t="n">
        <v>777.2712</v>
      </c>
      <c r="AP71" s="17" t="n">
        <v>676.2089999999999</v>
      </c>
      <c r="AQ71" s="17" t="n">
        <v>642.6843</v>
      </c>
      <c r="AR71" s="17" t="n">
        <v>678.6309</v>
      </c>
      <c r="AS71" s="17" t="n">
        <v>654.1802</v>
      </c>
      <c r="AT71" s="17" t="n">
        <v>588.4831</v>
      </c>
      <c r="AU71" s="17" t="n">
        <v>612.0026</v>
      </c>
      <c r="AV71" s="17" t="n">
        <v>680.15</v>
      </c>
      <c r="AW71" s="17" t="n">
        <v>853.1365</v>
      </c>
      <c r="AX71" s="17" t="n">
        <v>649.6374</v>
      </c>
      <c r="AY71" s="17" t="n">
        <v>594.3549</v>
      </c>
      <c r="AZ71" s="17" t="n">
        <v>467.053</v>
      </c>
      <c r="BA71" s="17" t="n">
        <v>472.7019</v>
      </c>
      <c r="BB71" s="17" t="n">
        <v>427.6367</v>
      </c>
      <c r="BC71" s="17" t="n">
        <v>416.646</v>
      </c>
      <c r="BD71" s="17" t="n">
        <v>424.3189</v>
      </c>
      <c r="BE71" s="17" t="n">
        <v>385.5343</v>
      </c>
      <c r="BF71" s="17" t="n">
        <v>349.1434</v>
      </c>
      <c r="BG71" s="17" t="n">
        <v>402.5321</v>
      </c>
      <c r="BH71" s="17" t="n">
        <v>500.0775</v>
      </c>
      <c r="BI71" s="17" t="n">
        <v>403.6659</v>
      </c>
      <c r="BJ71" s="17" t="n">
        <v>377.7557</v>
      </c>
      <c r="BK71" s="17" t="n">
        <v>319.9006</v>
      </c>
      <c r="BL71" s="17" t="n">
        <v>334.3124</v>
      </c>
      <c r="BM71" s="17" t="n">
        <v>293.7866</v>
      </c>
      <c r="BN71" s="17" t="n">
        <v>316</v>
      </c>
    </row>
    <row r="72">
      <c r="A72" s="10" t="inlineStr">
        <is>
          <t>Panama</t>
        </is>
      </c>
      <c r="B72" s="17" t="n">
        <v>123</v>
      </c>
      <c r="C72" s="26" t="n">
        <v>-0.3062200000000104</v>
      </c>
      <c r="D72" s="27" t="n">
        <v>6.652879999999996</v>
      </c>
      <c r="E72" s="26" t="n">
        <v>-34.55012000000001</v>
      </c>
      <c r="F72" s="26" t="n">
        <v>-88.60072000000001</v>
      </c>
      <c r="G72" s="17" t="n">
        <v>190.0041</v>
      </c>
      <c r="H72" s="17" t="n">
        <v>214.122</v>
      </c>
      <c r="I72" s="17" t="n">
        <v>186.7215</v>
      </c>
      <c r="J72" s="17" t="n">
        <v>207.4773</v>
      </c>
      <c r="K72" s="17" t="n">
        <v>237.765</v>
      </c>
      <c r="L72" s="17" t="n">
        <v>191.8515</v>
      </c>
      <c r="M72" s="17" t="n">
        <v>222.8148</v>
      </c>
      <c r="N72" s="17" t="n">
        <v>213.2937</v>
      </c>
      <c r="O72" s="17" t="n">
        <v>246.4071</v>
      </c>
      <c r="P72" s="17" t="n">
        <v>253.9885</v>
      </c>
      <c r="Q72" s="17" t="n">
        <v>243.8753</v>
      </c>
      <c r="R72" s="17" t="n">
        <v>286.2959</v>
      </c>
      <c r="S72" s="17" t="n">
        <v>274.3676</v>
      </c>
      <c r="T72" s="17" t="n">
        <v>224.014</v>
      </c>
      <c r="U72" s="17" t="n">
        <v>214.7181</v>
      </c>
      <c r="V72" s="17" t="n">
        <v>223.5204</v>
      </c>
      <c r="W72" s="17" t="n">
        <v>216.7205</v>
      </c>
      <c r="X72" s="17" t="n">
        <v>247.0752</v>
      </c>
      <c r="Y72" s="17" t="n">
        <v>235.0184</v>
      </c>
      <c r="Z72" s="17" t="n">
        <v>226.8413</v>
      </c>
      <c r="AA72" s="17" t="n">
        <v>214.2719</v>
      </c>
      <c r="AB72" s="17" t="n">
        <v>194.6241</v>
      </c>
      <c r="AC72" s="17" t="n">
        <v>203.4648</v>
      </c>
      <c r="AD72" s="17" t="n">
        <v>221.1418</v>
      </c>
      <c r="AE72" s="17" t="n">
        <v>259.3358</v>
      </c>
      <c r="AF72" s="17" t="n">
        <v>284.6172</v>
      </c>
      <c r="AG72" s="17" t="n">
        <v>282.3898</v>
      </c>
      <c r="AH72" s="17" t="n">
        <v>310.5438</v>
      </c>
      <c r="AI72" s="17" t="n">
        <v>303.9427</v>
      </c>
      <c r="AJ72" s="17" t="n">
        <v>283.0684</v>
      </c>
      <c r="AK72" s="17" t="n">
        <v>272.9422</v>
      </c>
      <c r="AL72" s="17" t="n">
        <v>261.4313</v>
      </c>
      <c r="AM72" s="17" t="n">
        <v>259.9396</v>
      </c>
      <c r="AN72" s="17" t="n">
        <v>262.6918</v>
      </c>
      <c r="AO72" s="17" t="n">
        <v>253.8598</v>
      </c>
      <c r="AP72" s="17" t="n">
        <v>237.696</v>
      </c>
      <c r="AQ72" s="17" t="n">
        <v>268.921</v>
      </c>
      <c r="AR72" s="17" t="n">
        <v>272.1429</v>
      </c>
      <c r="AS72" s="17" t="n">
        <v>303.3916</v>
      </c>
      <c r="AT72" s="17" t="n">
        <v>289.3408</v>
      </c>
      <c r="AU72" s="17" t="n">
        <v>290.9817</v>
      </c>
      <c r="AV72" s="17" t="n">
        <v>303.4513</v>
      </c>
      <c r="AW72" s="17" t="n">
        <v>303.6512</v>
      </c>
      <c r="AX72" s="17" t="n">
        <v>280.0021</v>
      </c>
      <c r="AY72" s="17" t="n">
        <v>255.0187</v>
      </c>
      <c r="AZ72" s="17" t="n">
        <v>231.0893</v>
      </c>
      <c r="BA72" s="17" t="n">
        <v>205.7073</v>
      </c>
      <c r="BB72" s="17" t="n">
        <v>176.3734</v>
      </c>
      <c r="BC72" s="17" t="n">
        <v>157.3321</v>
      </c>
      <c r="BD72" s="17" t="n">
        <v>178.8622</v>
      </c>
      <c r="BE72" s="17" t="n">
        <v>155.0309</v>
      </c>
      <c r="BF72" s="17" t="n">
        <v>156.0062</v>
      </c>
      <c r="BG72" s="17" t="n">
        <v>151.8603</v>
      </c>
      <c r="BH72" s="17" t="n">
        <v>158.7334</v>
      </c>
      <c r="BI72" s="17" t="n">
        <v>112.647</v>
      </c>
      <c r="BJ72" s="17" t="n">
        <v>114.5881</v>
      </c>
      <c r="BK72" s="17" t="n">
        <v>114.9334</v>
      </c>
      <c r="BL72" s="17" t="n">
        <v>123.1756</v>
      </c>
      <c r="BM72" s="17" t="n">
        <v>119.0196</v>
      </c>
      <c r="BN72" s="17" t="n">
        <v>123</v>
      </c>
    </row>
    <row r="73">
      <c r="A73" s="10" t="inlineStr">
        <is>
          <t>Papua New Guinea</t>
        </is>
      </c>
      <c r="B73" s="17" t="n">
        <v>148</v>
      </c>
      <c r="C73" s="15" t="n">
        <v>0</v>
      </c>
      <c r="D73" s="15" t="n">
        <v>0</v>
      </c>
      <c r="E73" s="15" t="n">
        <v>0</v>
      </c>
      <c r="F73" s="15" t="n">
        <v>0</v>
      </c>
      <c r="G73" s="17" t="inlineStr"/>
      <c r="H73" s="17" t="inlineStr"/>
      <c r="I73" s="17" t="inlineStr"/>
      <c r="J73" s="17" t="inlineStr"/>
      <c r="K73" s="17" t="inlineStr"/>
      <c r="L73" s="17" t="inlineStr"/>
      <c r="M73" s="17" t="inlineStr"/>
      <c r="N73" s="17" t="inlineStr"/>
      <c r="O73" s="17" t="inlineStr"/>
      <c r="P73" s="17" t="inlineStr"/>
      <c r="Q73" s="17" t="inlineStr"/>
      <c r="R73" s="17" t="inlineStr"/>
      <c r="S73" s="17" t="inlineStr"/>
      <c r="T73" s="17" t="inlineStr"/>
      <c r="U73" s="17" t="inlineStr"/>
      <c r="V73" s="17" t="inlineStr"/>
      <c r="W73" s="17" t="inlineStr"/>
      <c r="X73" s="17" t="inlineStr"/>
      <c r="Y73" s="17" t="inlineStr"/>
      <c r="Z73" s="17" t="inlineStr"/>
      <c r="AA73" s="17" t="inlineStr"/>
      <c r="AB73" s="17" t="inlineStr"/>
      <c r="AC73" s="17" t="inlineStr"/>
      <c r="AD73" s="17" t="inlineStr"/>
      <c r="AE73" s="17" t="inlineStr"/>
      <c r="AF73" s="17" t="inlineStr"/>
      <c r="AG73" s="17" t="inlineStr"/>
      <c r="AH73" s="17" t="inlineStr"/>
      <c r="AI73" s="17" t="inlineStr"/>
      <c r="AJ73" s="17" t="inlineStr"/>
      <c r="AK73" s="17" t="inlineStr"/>
      <c r="AL73" s="17" t="inlineStr"/>
      <c r="AM73" s="17" t="inlineStr"/>
      <c r="AN73" s="17" t="inlineStr"/>
      <c r="AO73" s="17" t="inlineStr"/>
      <c r="AP73" s="17" t="inlineStr"/>
      <c r="AQ73" s="17" t="inlineStr"/>
      <c r="AR73" s="17" t="inlineStr"/>
      <c r="AS73" s="17" t="inlineStr"/>
      <c r="AT73" s="17" t="inlineStr"/>
      <c r="AU73" s="17" t="inlineStr"/>
      <c r="AV73" s="17" t="inlineStr"/>
      <c r="AW73" s="17" t="inlineStr"/>
      <c r="AX73" s="17" t="inlineStr"/>
      <c r="AY73" s="17" t="inlineStr"/>
      <c r="AZ73" s="17" t="inlineStr"/>
      <c r="BA73" s="17" t="inlineStr"/>
      <c r="BB73" s="17" t="inlineStr"/>
      <c r="BC73" s="17" t="inlineStr"/>
      <c r="BD73" s="17" t="inlineStr"/>
      <c r="BE73" s="17" t="inlineStr"/>
      <c r="BF73" s="17" t="inlineStr"/>
      <c r="BG73" s="17" t="inlineStr"/>
      <c r="BH73" s="17" t="inlineStr"/>
      <c r="BI73" s="17" t="inlineStr"/>
      <c r="BJ73" s="17" t="inlineStr"/>
      <c r="BK73" s="17" t="inlineStr"/>
      <c r="BL73" s="17" t="inlineStr"/>
      <c r="BM73" s="17" t="inlineStr"/>
      <c r="BN73" s="17" t="n">
        <v>148</v>
      </c>
    </row>
    <row r="74">
      <c r="A74" s="10" t="inlineStr">
        <is>
          <t>Paraguay</t>
        </is>
      </c>
      <c r="B74" s="17" t="n">
        <v>115</v>
      </c>
      <c r="C74" s="27" t="n">
        <v>7.719430000000003</v>
      </c>
      <c r="D74" s="27" t="n">
        <v>9.121629999999996</v>
      </c>
      <c r="E74" s="27" t="n">
        <v>10.78513</v>
      </c>
      <c r="F74" s="26" t="n">
        <v>-24.85587</v>
      </c>
      <c r="G74" s="17" t="n">
        <v>244.5913</v>
      </c>
      <c r="H74" s="17" t="n">
        <v>266.3645</v>
      </c>
      <c r="I74" s="17" t="n">
        <v>228.3518</v>
      </c>
      <c r="J74" s="17" t="n">
        <v>242.3134</v>
      </c>
      <c r="K74" s="17" t="n">
        <v>300.066</v>
      </c>
      <c r="L74" s="17" t="n">
        <v>238.7037</v>
      </c>
      <c r="M74" s="17" t="n">
        <v>277.756</v>
      </c>
      <c r="N74" s="17" t="n">
        <v>294.1199</v>
      </c>
      <c r="O74" s="17" t="n">
        <v>357.1816</v>
      </c>
      <c r="P74" s="17" t="n">
        <v>282.3894</v>
      </c>
      <c r="Q74" s="17" t="n">
        <v>281.5295</v>
      </c>
      <c r="R74" s="17" t="n">
        <v>330.1526</v>
      </c>
      <c r="S74" s="17" t="n">
        <v>267.6925</v>
      </c>
      <c r="T74" s="17" t="n">
        <v>233.3994</v>
      </c>
      <c r="U74" s="17" t="n">
        <v>200.1718</v>
      </c>
      <c r="V74" s="17" t="n">
        <v>219.5419</v>
      </c>
      <c r="W74" s="17" t="n">
        <v>226.9399</v>
      </c>
      <c r="X74" s="17" t="n">
        <v>237.9465</v>
      </c>
      <c r="Y74" s="17" t="n">
        <v>245.7332</v>
      </c>
      <c r="Z74" s="17" t="n">
        <v>242.1423</v>
      </c>
      <c r="AA74" s="17" t="n">
        <v>215.8626</v>
      </c>
      <c r="AB74" s="17" t="n">
        <v>202.4382</v>
      </c>
      <c r="AC74" s="17" t="n">
        <v>212.4452</v>
      </c>
      <c r="AD74" s="17" t="n">
        <v>211.7982</v>
      </c>
      <c r="AE74" s="17" t="n">
        <v>216.9664</v>
      </c>
      <c r="AF74" s="17" t="n">
        <v>201.0807</v>
      </c>
      <c r="AG74" s="17" t="n">
        <v>185.7234</v>
      </c>
      <c r="AH74" s="17" t="n">
        <v>204.4742</v>
      </c>
      <c r="AI74" s="17" t="n">
        <v>180.7821</v>
      </c>
      <c r="AJ74" s="17" t="n">
        <v>170.1003</v>
      </c>
      <c r="AK74" s="17" t="n">
        <v>169.2633</v>
      </c>
      <c r="AL74" s="17" t="n">
        <v>164.3516</v>
      </c>
      <c r="AM74" s="17" t="n">
        <v>169.3734</v>
      </c>
      <c r="AN74" s="17" t="n">
        <v>168.0567</v>
      </c>
      <c r="AO74" s="17" t="n">
        <v>160.264</v>
      </c>
      <c r="AP74" s="17" t="n">
        <v>157.8172</v>
      </c>
      <c r="AQ74" s="17" t="n">
        <v>153.1215</v>
      </c>
      <c r="AR74" s="17" t="n">
        <v>159.1577</v>
      </c>
      <c r="AS74" s="17" t="n">
        <v>161.0282</v>
      </c>
      <c r="AT74" s="17" t="n">
        <v>162.6301</v>
      </c>
      <c r="AU74" s="17" t="n">
        <v>167.6783</v>
      </c>
      <c r="AV74" s="17" t="n">
        <v>185.7945</v>
      </c>
      <c r="AW74" s="17" t="n">
        <v>184.7394</v>
      </c>
      <c r="AX74" s="17" t="n">
        <v>168.4919</v>
      </c>
      <c r="AY74" s="17" t="n">
        <v>162.6546</v>
      </c>
      <c r="AZ74" s="17" t="n">
        <v>142.4124</v>
      </c>
      <c r="BA74" s="17" t="n">
        <v>134.7555</v>
      </c>
      <c r="BB74" s="17" t="n">
        <v>118.3062</v>
      </c>
      <c r="BC74" s="17" t="n">
        <v>116.0196</v>
      </c>
      <c r="BD74" s="17" t="n">
        <v>127.9333</v>
      </c>
      <c r="BE74" s="17" t="n">
        <v>100.8006</v>
      </c>
      <c r="BF74" s="17" t="n">
        <v>108.467</v>
      </c>
      <c r="BG74" s="17" t="n">
        <v>118.1208</v>
      </c>
      <c r="BH74" s="17" t="n">
        <v>129.3418</v>
      </c>
      <c r="BI74" s="17" t="n">
        <v>107.7933</v>
      </c>
      <c r="BJ74" s="17" t="n">
        <v>103.8819</v>
      </c>
      <c r="BK74" s="17" t="n">
        <v>97.837</v>
      </c>
      <c r="BL74" s="17" t="n">
        <v>105.5454</v>
      </c>
      <c r="BM74" s="17" t="n">
        <v>106.6436</v>
      </c>
      <c r="BN74" s="17" t="n">
        <v>115</v>
      </c>
    </row>
    <row r="75">
      <c r="A75" s="10" t="inlineStr">
        <is>
          <t>Peru</t>
        </is>
      </c>
      <c r="B75" s="17" t="n">
        <v>107</v>
      </c>
      <c r="C75" s="26" t="n">
        <v>-0.2810800000000029</v>
      </c>
      <c r="D75" s="26" t="n">
        <v>-1.792079999999999</v>
      </c>
      <c r="E75" s="26" t="n">
        <v>-27.40848</v>
      </c>
      <c r="F75" s="26" t="n">
        <v>-24.94468000000001</v>
      </c>
      <c r="G75" s="17" t="n">
        <v>180.7921</v>
      </c>
      <c r="H75" s="17" t="n">
        <v>194.3809</v>
      </c>
      <c r="I75" s="17" t="n">
        <v>170.0151</v>
      </c>
      <c r="J75" s="17" t="n">
        <v>185.5419</v>
      </c>
      <c r="K75" s="17" t="n">
        <v>212.9399</v>
      </c>
      <c r="L75" s="17" t="n">
        <v>171.1896</v>
      </c>
      <c r="M75" s="17" t="n">
        <v>218.2629</v>
      </c>
      <c r="N75" s="17" t="n">
        <v>194.2521</v>
      </c>
      <c r="O75" s="17" t="n">
        <v>234.6869</v>
      </c>
      <c r="P75" s="17" t="n">
        <v>218.8237</v>
      </c>
      <c r="Q75" s="17" t="n">
        <v>217.571</v>
      </c>
      <c r="R75" s="17" t="n">
        <v>246.3211</v>
      </c>
      <c r="S75" s="17" t="n">
        <v>227.954</v>
      </c>
      <c r="T75" s="17" t="n">
        <v>192.7964</v>
      </c>
      <c r="U75" s="17" t="n">
        <v>193.8948</v>
      </c>
      <c r="V75" s="17" t="n">
        <v>205.9432</v>
      </c>
      <c r="W75" s="17" t="n">
        <v>190.5286</v>
      </c>
      <c r="X75" s="17" t="n">
        <v>208.6011</v>
      </c>
      <c r="Y75" s="17" t="n">
        <v>193.2021</v>
      </c>
      <c r="Z75" s="17" t="n">
        <v>199.5678</v>
      </c>
      <c r="AA75" s="17" t="n">
        <v>172.2959</v>
      </c>
      <c r="AB75" s="17" t="n">
        <v>162.8527</v>
      </c>
      <c r="AC75" s="17" t="n">
        <v>163.5184</v>
      </c>
      <c r="AD75" s="17" t="n">
        <v>174.0876</v>
      </c>
      <c r="AE75" s="17" t="n">
        <v>176.3782</v>
      </c>
      <c r="AF75" s="17" t="n">
        <v>160.4871</v>
      </c>
      <c r="AG75" s="17" t="n">
        <v>159.7091</v>
      </c>
      <c r="AH75" s="17" t="n">
        <v>167.4196</v>
      </c>
      <c r="AI75" s="17" t="n">
        <v>152.5522</v>
      </c>
      <c r="AJ75" s="17" t="n">
        <v>152.3601</v>
      </c>
      <c r="AK75" s="17" t="n">
        <v>160.095</v>
      </c>
      <c r="AL75" s="17" t="n">
        <v>158.7921</v>
      </c>
      <c r="AM75" s="17" t="n">
        <v>153.639</v>
      </c>
      <c r="AN75" s="17" t="n">
        <v>164.4024</v>
      </c>
      <c r="AO75" s="17" t="n">
        <v>156.536</v>
      </c>
      <c r="AP75" s="17" t="n">
        <v>153.5601</v>
      </c>
      <c r="AQ75" s="17" t="n">
        <v>155.5105</v>
      </c>
      <c r="AR75" s="17" t="n">
        <v>156.9437</v>
      </c>
      <c r="AS75" s="17" t="n">
        <v>157.4843</v>
      </c>
      <c r="AT75" s="17" t="n">
        <v>158.5477</v>
      </c>
      <c r="AU75" s="17" t="n">
        <v>163.8528</v>
      </c>
      <c r="AV75" s="17" t="n">
        <v>170.1749</v>
      </c>
      <c r="AW75" s="17" t="n">
        <v>176.1823</v>
      </c>
      <c r="AX75" s="17" t="n">
        <v>157.5314</v>
      </c>
      <c r="AY75" s="17" t="n">
        <v>154.2717</v>
      </c>
      <c r="AZ75" s="17" t="n">
        <v>140.1609</v>
      </c>
      <c r="BA75" s="17" t="n">
        <v>131.6334</v>
      </c>
      <c r="BB75" s="17" t="n">
        <v>119.454</v>
      </c>
      <c r="BC75" s="17" t="n">
        <v>120.3781</v>
      </c>
      <c r="BD75" s="17" t="n">
        <v>128.5554</v>
      </c>
      <c r="BE75" s="17" t="n">
        <v>134.7697</v>
      </c>
      <c r="BF75" s="17" t="n">
        <v>128.8181</v>
      </c>
      <c r="BG75" s="17" t="n">
        <v>143.4028</v>
      </c>
      <c r="BH75" s="17" t="n">
        <v>138.8509</v>
      </c>
      <c r="BI75" s="17" t="n">
        <v>119.7062</v>
      </c>
      <c r="BJ75" s="17" t="n">
        <v>112.6728</v>
      </c>
      <c r="BK75" s="17" t="n">
        <v>109.3321</v>
      </c>
      <c r="BL75" s="17" t="n">
        <v>112.8521</v>
      </c>
      <c r="BM75" s="17" t="n">
        <v>105.6037</v>
      </c>
      <c r="BN75" s="17" t="n">
        <v>107</v>
      </c>
    </row>
    <row r="76">
      <c r="A76" s="10" t="inlineStr">
        <is>
          <t>Philippines</t>
        </is>
      </c>
      <c r="B76" s="17" t="n">
        <v>78</v>
      </c>
      <c r="C76" s="26" t="n">
        <v>-0.3628299999999882</v>
      </c>
      <c r="D76" s="27" t="n">
        <v>2.878570000000011</v>
      </c>
      <c r="E76" s="27" t="n">
        <v>18.09157</v>
      </c>
      <c r="F76" s="27" t="n">
        <v>14.61207</v>
      </c>
      <c r="G76" s="17" t="n">
        <v>109.8182</v>
      </c>
      <c r="H76" s="17" t="n">
        <v>115.9218</v>
      </c>
      <c r="I76" s="17" t="n">
        <v>93.35469999999999</v>
      </c>
      <c r="J76" s="17" t="n">
        <v>111.0688</v>
      </c>
      <c r="K76" s="17" t="n">
        <v>153.3074</v>
      </c>
      <c r="L76" s="17" t="n">
        <v>105.2828</v>
      </c>
      <c r="M76" s="17" t="n">
        <v>133.8745</v>
      </c>
      <c r="N76" s="17" t="n">
        <v>119.2679</v>
      </c>
      <c r="O76" s="17" t="n">
        <v>151.7589</v>
      </c>
      <c r="P76" s="17" t="n">
        <v>122.8656</v>
      </c>
      <c r="Q76" s="17" t="n">
        <v>107.2264</v>
      </c>
      <c r="R76" s="17" t="n">
        <v>145.4175</v>
      </c>
      <c r="S76" s="17" t="n">
        <v>145.2084</v>
      </c>
      <c r="T76" s="17" t="n">
        <v>118.5779</v>
      </c>
      <c r="U76" s="17" t="n">
        <v>84.7848</v>
      </c>
      <c r="V76" s="17" t="n">
        <v>110.2367</v>
      </c>
      <c r="W76" s="17" t="n">
        <v>105.0829</v>
      </c>
      <c r="X76" s="17" t="n">
        <v>117.8394</v>
      </c>
      <c r="Y76" s="17" t="n">
        <v>108.9839</v>
      </c>
      <c r="Z76" s="17" t="n">
        <v>102.5191</v>
      </c>
      <c r="AA76" s="17" t="n">
        <v>96.32259999999999</v>
      </c>
      <c r="AB76" s="17" t="n">
        <v>81.30670000000001</v>
      </c>
      <c r="AC76" s="17" t="n">
        <v>90.4709</v>
      </c>
      <c r="AD76" s="17" t="n">
        <v>93.4731</v>
      </c>
      <c r="AE76" s="17" t="n">
        <v>88.8267</v>
      </c>
      <c r="AF76" s="17" t="n">
        <v>73.81019999999999</v>
      </c>
      <c r="AG76" s="17" t="n">
        <v>67.3707</v>
      </c>
      <c r="AH76" s="17" t="n">
        <v>90.505</v>
      </c>
      <c r="AI76" s="17" t="n">
        <v>76.4521</v>
      </c>
      <c r="AJ76" s="17" t="n">
        <v>75.32129999999999</v>
      </c>
      <c r="AK76" s="17" t="n">
        <v>73.0775</v>
      </c>
      <c r="AL76" s="17" t="n">
        <v>76.66589999999999</v>
      </c>
      <c r="AM76" s="17" t="n">
        <v>72.9813</v>
      </c>
      <c r="AN76" s="17" t="n">
        <v>81.7559</v>
      </c>
      <c r="AO76" s="17" t="n">
        <v>77.5326</v>
      </c>
      <c r="AP76" s="17" t="n">
        <v>73.1662</v>
      </c>
      <c r="AQ76" s="17" t="n">
        <v>68.81789999999999</v>
      </c>
      <c r="AR76" s="17" t="n">
        <v>80.3747</v>
      </c>
      <c r="AS76" s="17" t="n">
        <v>73.4774</v>
      </c>
      <c r="AT76" s="17" t="n">
        <v>80.7362</v>
      </c>
      <c r="AU76" s="17" t="n">
        <v>92.73569999999999</v>
      </c>
      <c r="AV76" s="17" t="n">
        <v>91.2878</v>
      </c>
      <c r="AW76" s="17" t="n">
        <v>90.8775</v>
      </c>
      <c r="AX76" s="17" t="n">
        <v>73.5955</v>
      </c>
      <c r="AY76" s="17" t="n">
        <v>74.2028</v>
      </c>
      <c r="AZ76" s="17" t="n">
        <v>52.262</v>
      </c>
      <c r="BA76" s="17" t="n">
        <v>55.7266</v>
      </c>
      <c r="BB76" s="17" t="n">
        <v>51.1618</v>
      </c>
      <c r="BC76" s="17" t="n">
        <v>55.6903</v>
      </c>
      <c r="BD76" s="17" t="n">
        <v>66.6494</v>
      </c>
      <c r="BE76" s="17" t="n">
        <v>58.8211</v>
      </c>
      <c r="BF76" s="17" t="n">
        <v>65.37569999999999</v>
      </c>
      <c r="BG76" s="17" t="n">
        <v>76.5311</v>
      </c>
      <c r="BH76" s="17" t="n">
        <v>86.4443</v>
      </c>
      <c r="BI76" s="17" t="n">
        <v>71.9922</v>
      </c>
      <c r="BJ76" s="17" t="n">
        <v>72.91289999999999</v>
      </c>
      <c r="BK76" s="17" t="n">
        <v>68.01049999999999</v>
      </c>
      <c r="BL76" s="17" t="n">
        <v>78.76519999999999</v>
      </c>
      <c r="BM76" s="17" t="n">
        <v>74.44929999999999</v>
      </c>
      <c r="BN76" s="17" t="n">
        <v>78</v>
      </c>
    </row>
    <row r="77">
      <c r="A77" s="10" t="inlineStr">
        <is>
          <t>Poland</t>
        </is>
      </c>
      <c r="B77" s="17" t="n">
        <v>92</v>
      </c>
      <c r="C77" s="27" t="n">
        <v>7.11806</v>
      </c>
      <c r="D77" s="27" t="n">
        <v>2.904160000000005</v>
      </c>
      <c r="E77" s="27" t="n">
        <v>6.25676</v>
      </c>
      <c r="F77" s="26" t="n">
        <v>-6.881039999999999</v>
      </c>
      <c r="G77" s="17" t="n">
        <v>39.4623</v>
      </c>
      <c r="H77" s="17" t="n">
        <v>56.4175</v>
      </c>
      <c r="I77" s="17" t="n">
        <v>24.1222</v>
      </c>
      <c r="J77" s="17" t="n">
        <v>7.1451</v>
      </c>
      <c r="K77" s="17" t="n">
        <v>62.3741</v>
      </c>
      <c r="L77" s="17" t="n">
        <v>17.0697</v>
      </c>
      <c r="M77" s="17" t="n">
        <v>6.6913</v>
      </c>
      <c r="N77" s="17" t="n">
        <v>10.7039</v>
      </c>
      <c r="O77" s="17" t="n">
        <v>93.6448</v>
      </c>
      <c r="P77" s="17" t="n">
        <v>19.8643</v>
      </c>
      <c r="Q77" s="17" t="n">
        <v>22.2937</v>
      </c>
      <c r="R77" s="17" t="n">
        <v>73.0514</v>
      </c>
      <c r="S77" s="17" t="n">
        <v>59.5799</v>
      </c>
      <c r="T77" s="17" t="n">
        <v>93.077</v>
      </c>
      <c r="U77" s="17" t="n">
        <v>73.67610000000001</v>
      </c>
      <c r="V77" s="17" t="n">
        <v>82.2285</v>
      </c>
      <c r="W77" s="17" t="n">
        <v>74.9122</v>
      </c>
      <c r="X77" s="17" t="n">
        <v>80.4255</v>
      </c>
      <c r="Y77" s="17" t="n">
        <v>121.598</v>
      </c>
      <c r="Z77" s="17" t="n">
        <v>130.2503</v>
      </c>
      <c r="AA77" s="17" t="n">
        <v>128.2035</v>
      </c>
      <c r="AB77" s="17" t="n">
        <v>109.0645</v>
      </c>
      <c r="AC77" s="17" t="n">
        <v>119.0087</v>
      </c>
      <c r="AD77" s="17" t="n">
        <v>123.3446</v>
      </c>
      <c r="AE77" s="17" t="n">
        <v>104.9038</v>
      </c>
      <c r="AF77" s="17" t="n">
        <v>100.0358</v>
      </c>
      <c r="AG77" s="17" t="n">
        <v>91.7098</v>
      </c>
      <c r="AH77" s="17" t="n">
        <v>102.9325</v>
      </c>
      <c r="AI77" s="17" t="n">
        <v>88.6581</v>
      </c>
      <c r="AJ77" s="17" t="n">
        <v>98.15130000000001</v>
      </c>
      <c r="AK77" s="17" t="n">
        <v>91.36750000000001</v>
      </c>
      <c r="AL77" s="17" t="n">
        <v>93.77209999999999</v>
      </c>
      <c r="AM77" s="17" t="n">
        <v>93.8884</v>
      </c>
      <c r="AN77" s="17" t="n">
        <v>114.8426</v>
      </c>
      <c r="AO77" s="17" t="n">
        <v>103.0934</v>
      </c>
      <c r="AP77" s="17" t="n">
        <v>112.1483</v>
      </c>
      <c r="AQ77" s="17" t="n">
        <v>111.5651</v>
      </c>
      <c r="AR77" s="17" t="n">
        <v>119.8237</v>
      </c>
      <c r="AS77" s="17" t="n">
        <v>115.029</v>
      </c>
      <c r="AT77" s="17" t="n">
        <v>110.029</v>
      </c>
      <c r="AU77" s="17" t="n">
        <v>114.5461</v>
      </c>
      <c r="AV77" s="17" t="n">
        <v>119.3589</v>
      </c>
      <c r="AW77" s="17" t="n">
        <v>117.6519</v>
      </c>
      <c r="AX77" s="17" t="n">
        <v>110.539</v>
      </c>
      <c r="AY77" s="17" t="n">
        <v>107.4663</v>
      </c>
      <c r="AZ77" s="17" t="n">
        <v>89.8026</v>
      </c>
      <c r="BA77" s="17" t="n">
        <v>92.8703</v>
      </c>
      <c r="BB77" s="17" t="n">
        <v>85.5615</v>
      </c>
      <c r="BC77" s="17" t="n">
        <v>82.07559999999999</v>
      </c>
      <c r="BD77" s="17" t="n">
        <v>89.6764</v>
      </c>
      <c r="BE77" s="17" t="n">
        <v>85.0552</v>
      </c>
      <c r="BF77" s="17" t="n">
        <v>85.759</v>
      </c>
      <c r="BG77" s="17" t="n">
        <v>88.5484</v>
      </c>
      <c r="BH77" s="17" t="n">
        <v>98.4474</v>
      </c>
      <c r="BI77" s="17" t="n">
        <v>88.30500000000001</v>
      </c>
      <c r="BJ77" s="17" t="n">
        <v>89.24639999999999</v>
      </c>
      <c r="BK77" s="17" t="n">
        <v>78.71129999999999</v>
      </c>
      <c r="BL77" s="17" t="n">
        <v>88.0133</v>
      </c>
      <c r="BM77" s="17" t="n">
        <v>86.73609999999999</v>
      </c>
      <c r="BN77" s="17" t="n">
        <v>92</v>
      </c>
    </row>
    <row r="78">
      <c r="A78" s="10" t="inlineStr">
        <is>
          <t>Republic of Congo</t>
        </is>
      </c>
      <c r="B78" s="17" t="n">
        <v>514</v>
      </c>
      <c r="C78" s="26" t="n">
        <v>-26.18918000000008</v>
      </c>
      <c r="D78" s="27" t="n">
        <v>5.912319999999966</v>
      </c>
      <c r="E78" s="26" t="n">
        <v>-235.1946800000001</v>
      </c>
      <c r="F78" s="26" t="n">
        <v>-235.1946800000001</v>
      </c>
      <c r="G78" s="17" t="inlineStr"/>
      <c r="H78" s="17" t="inlineStr"/>
      <c r="I78" s="17" t="inlineStr"/>
      <c r="J78" s="17" t="inlineStr"/>
      <c r="K78" s="17" t="inlineStr"/>
      <c r="L78" s="17" t="inlineStr"/>
      <c r="M78" s="17" t="inlineStr"/>
      <c r="N78" s="17" t="inlineStr"/>
      <c r="O78" s="17" t="inlineStr"/>
      <c r="P78" s="17" t="inlineStr"/>
      <c r="Q78" s="17" t="inlineStr"/>
      <c r="R78" s="17" t="inlineStr"/>
      <c r="S78" s="17" t="inlineStr"/>
      <c r="T78" s="17" t="inlineStr"/>
      <c r="U78" s="17" t="inlineStr"/>
      <c r="V78" s="17" t="inlineStr"/>
      <c r="W78" s="17" t="inlineStr"/>
      <c r="X78" s="17" t="inlineStr"/>
      <c r="Y78" s="17" t="inlineStr"/>
      <c r="Z78" s="17" t="inlineStr"/>
      <c r="AA78" s="17" t="inlineStr"/>
      <c r="AB78" s="17" t="inlineStr"/>
      <c r="AC78" s="17" t="inlineStr"/>
      <c r="AD78" s="17" t="inlineStr"/>
      <c r="AE78" s="17" t="inlineStr"/>
      <c r="AF78" s="17" t="inlineStr"/>
      <c r="AG78" s="17" t="inlineStr"/>
      <c r="AH78" s="17" t="inlineStr"/>
      <c r="AI78" s="17" t="inlineStr"/>
      <c r="AJ78" s="17" t="inlineStr"/>
      <c r="AK78" s="17" t="inlineStr"/>
      <c r="AL78" s="17" t="inlineStr"/>
      <c r="AM78" s="17" t="inlineStr"/>
      <c r="AN78" s="17" t="inlineStr"/>
      <c r="AO78" s="17" t="inlineStr"/>
      <c r="AP78" s="17" t="inlineStr"/>
      <c r="AQ78" s="17" t="inlineStr"/>
      <c r="AR78" s="17" t="inlineStr"/>
      <c r="AS78" s="17" t="inlineStr"/>
      <c r="AT78" s="17" t="inlineStr"/>
      <c r="AU78" s="17" t="inlineStr"/>
      <c r="AV78" s="17" t="inlineStr"/>
      <c r="AW78" s="17" t="inlineStr"/>
      <c r="AX78" s="17" t="inlineStr"/>
      <c r="AY78" s="17" t="inlineStr"/>
      <c r="AZ78" s="17" t="inlineStr"/>
      <c r="BA78" s="17" t="inlineStr"/>
      <c r="BB78" s="17" t="inlineStr"/>
      <c r="BC78" s="17" t="inlineStr"/>
      <c r="BD78" s="17" t="inlineStr"/>
      <c r="BE78" s="17" t="inlineStr"/>
      <c r="BF78" s="17" t="inlineStr"/>
      <c r="BG78" s="17" t="inlineStr"/>
      <c r="BH78" s="17" t="n">
        <v>747.0343</v>
      </c>
      <c r="BI78" s="17" t="n">
        <v>593.1733</v>
      </c>
      <c r="BJ78" s="17" t="n">
        <v>494.8271</v>
      </c>
      <c r="BK78" s="17" t="n">
        <v>553.6962</v>
      </c>
      <c r="BL78" s="17" t="n">
        <v>565.5927</v>
      </c>
      <c r="BM78" s="17" t="n">
        <v>515.4942</v>
      </c>
      <c r="BN78" s="17" t="n">
        <v>514</v>
      </c>
    </row>
    <row r="79">
      <c r="A79" s="10" t="inlineStr">
        <is>
          <t>Romania</t>
        </is>
      </c>
      <c r="B79" s="17" t="n">
        <v>173</v>
      </c>
      <c r="C79" s="27" t="n">
        <v>9.292310000000015</v>
      </c>
      <c r="D79" s="27" t="n">
        <v>3.088909999999998</v>
      </c>
      <c r="E79" s="27" t="n">
        <v>6.692209999999989</v>
      </c>
      <c r="F79" s="26" t="n">
        <v>-40.83949000000001</v>
      </c>
      <c r="G79" s="17" t="n">
        <v>196.7307</v>
      </c>
      <c r="H79" s="17" t="n">
        <v>220.6626</v>
      </c>
      <c r="I79" s="17" t="n">
        <v>192.417</v>
      </c>
      <c r="J79" s="17" t="n">
        <v>201.4991</v>
      </c>
      <c r="K79" s="17" t="n">
        <v>252.5455</v>
      </c>
      <c r="L79" s="17" t="n">
        <v>204.4057</v>
      </c>
      <c r="M79" s="17" t="n">
        <v>241.3548</v>
      </c>
      <c r="N79" s="17" t="n">
        <v>247.2383</v>
      </c>
      <c r="O79" s="17" t="n">
        <v>344.1302</v>
      </c>
      <c r="P79" s="17" t="n">
        <v>310.3098</v>
      </c>
      <c r="Q79" s="17" t="n">
        <v>283.0077</v>
      </c>
      <c r="R79" s="17" t="n">
        <v>372.8562</v>
      </c>
      <c r="S79" s="17" t="n">
        <v>323.1376</v>
      </c>
      <c r="T79" s="17" t="n">
        <v>258.7245</v>
      </c>
      <c r="U79" s="17" t="n">
        <v>247.3904</v>
      </c>
      <c r="V79" s="17" t="n">
        <v>252.7495</v>
      </c>
      <c r="W79" s="17" t="n">
        <v>230.9316</v>
      </c>
      <c r="X79" s="17" t="n">
        <v>259.1075</v>
      </c>
      <c r="Y79" s="17" t="n">
        <v>254.5872</v>
      </c>
      <c r="Z79" s="17" t="n">
        <v>251.9529</v>
      </c>
      <c r="AA79" s="17" t="n">
        <v>220.2618</v>
      </c>
      <c r="AB79" s="17" t="n">
        <v>192.1445</v>
      </c>
      <c r="AC79" s="17" t="n">
        <v>207.9412</v>
      </c>
      <c r="AD79" s="17" t="n">
        <v>206.0035</v>
      </c>
      <c r="AE79" s="17" t="n">
        <v>207.6429</v>
      </c>
      <c r="AF79" s="17" t="n">
        <v>208.9182</v>
      </c>
      <c r="AG79" s="17" t="n">
        <v>198.6073</v>
      </c>
      <c r="AH79" s="17" t="n">
        <v>195.4248</v>
      </c>
      <c r="AI79" s="17" t="n">
        <v>192.1385</v>
      </c>
      <c r="AJ79" s="17" t="n">
        <v>178.1136</v>
      </c>
      <c r="AK79" s="17" t="n">
        <v>176.1986</v>
      </c>
      <c r="AL79" s="17" t="n">
        <v>171.659</v>
      </c>
      <c r="AM79" s="17" t="n">
        <v>181.2663</v>
      </c>
      <c r="AN79" s="17" t="n">
        <v>190.8801</v>
      </c>
      <c r="AO79" s="17" t="n">
        <v>192.0891</v>
      </c>
      <c r="AP79" s="17" t="n">
        <v>191.7838</v>
      </c>
      <c r="AQ79" s="17" t="n">
        <v>197.9717</v>
      </c>
      <c r="AR79" s="17" t="n">
        <v>233.3519</v>
      </c>
      <c r="AS79" s="17" t="n">
        <v>234.6006</v>
      </c>
      <c r="AT79" s="17" t="n">
        <v>237.6636</v>
      </c>
      <c r="AU79" s="17" t="n">
        <v>248.8602</v>
      </c>
      <c r="AV79" s="17" t="n">
        <v>263.9629</v>
      </c>
      <c r="AW79" s="17" t="n">
        <v>294.0755</v>
      </c>
      <c r="AX79" s="17" t="n">
        <v>259.7342</v>
      </c>
      <c r="AY79" s="17" t="n">
        <v>236.8575</v>
      </c>
      <c r="AZ79" s="17" t="n">
        <v>195.4781</v>
      </c>
      <c r="BA79" s="17" t="n">
        <v>207.1258</v>
      </c>
      <c r="BB79" s="17" t="n">
        <v>196.7612</v>
      </c>
      <c r="BC79" s="17" t="n">
        <v>181.4774</v>
      </c>
      <c r="BD79" s="17" t="n">
        <v>186.3589</v>
      </c>
      <c r="BE79" s="17" t="n">
        <v>165.2906</v>
      </c>
      <c r="BF79" s="17" t="n">
        <v>152.565</v>
      </c>
      <c r="BG79" s="17" t="n">
        <v>156.4062</v>
      </c>
      <c r="BH79" s="17" t="n">
        <v>214.4309</v>
      </c>
      <c r="BI79" s="17" t="n">
        <v>186.1315</v>
      </c>
      <c r="BJ79" s="17" t="n">
        <v>168.5928</v>
      </c>
      <c r="BK79" s="17" t="n">
        <v>167.4123</v>
      </c>
      <c r="BL79" s="17" t="n">
        <v>167.8035</v>
      </c>
      <c r="BM79" s="17" t="n">
        <v>166.7118</v>
      </c>
      <c r="BN79" s="17" t="n">
        <v>173</v>
      </c>
    </row>
    <row r="80">
      <c r="A80" s="10" t="inlineStr">
        <is>
          <t>Rwanda</t>
        </is>
      </c>
      <c r="B80" s="17" t="n">
        <v>182</v>
      </c>
      <c r="C80" s="15" t="n">
        <v>0</v>
      </c>
      <c r="D80" s="15" t="n">
        <v>0</v>
      </c>
      <c r="E80" s="15" t="n">
        <v>0</v>
      </c>
      <c r="F80" s="15" t="n">
        <v>0</v>
      </c>
      <c r="G80" s="17" t="inlineStr"/>
      <c r="H80" s="17" t="inlineStr"/>
      <c r="I80" s="17" t="inlineStr"/>
      <c r="J80" s="17" t="inlineStr"/>
      <c r="K80" s="17" t="inlineStr"/>
      <c r="L80" s="17" t="inlineStr"/>
      <c r="M80" s="17" t="inlineStr"/>
      <c r="N80" s="17" t="inlineStr"/>
      <c r="O80" s="17" t="inlineStr"/>
      <c r="P80" s="17" t="inlineStr"/>
      <c r="Q80" s="17" t="inlineStr"/>
      <c r="R80" s="17" t="inlineStr"/>
      <c r="S80" s="17" t="inlineStr"/>
      <c r="T80" s="17" t="inlineStr"/>
      <c r="U80" s="17" t="inlineStr"/>
      <c r="V80" s="17" t="inlineStr"/>
      <c r="W80" s="17" t="inlineStr"/>
      <c r="X80" s="17" t="inlineStr"/>
      <c r="Y80" s="17" t="inlineStr"/>
      <c r="Z80" s="17" t="inlineStr"/>
      <c r="AA80" s="17" t="inlineStr"/>
      <c r="AB80" s="17" t="inlineStr"/>
      <c r="AC80" s="17" t="inlineStr"/>
      <c r="AD80" s="17" t="inlineStr"/>
      <c r="AE80" s="17" t="inlineStr"/>
      <c r="AF80" s="17" t="inlineStr"/>
      <c r="AG80" s="17" t="inlineStr"/>
      <c r="AH80" s="17" t="inlineStr"/>
      <c r="AI80" s="17" t="inlineStr"/>
      <c r="AJ80" s="17" t="inlineStr"/>
      <c r="AK80" s="17" t="inlineStr"/>
      <c r="AL80" s="17" t="inlineStr"/>
      <c r="AM80" s="17" t="inlineStr"/>
      <c r="AN80" s="17" t="inlineStr"/>
      <c r="AO80" s="17" t="inlineStr"/>
      <c r="AP80" s="17" t="inlineStr"/>
      <c r="AQ80" s="17" t="inlineStr"/>
      <c r="AR80" s="17" t="inlineStr"/>
      <c r="AS80" s="17" t="inlineStr"/>
      <c r="AT80" s="17" t="inlineStr"/>
      <c r="AU80" s="17" t="inlineStr"/>
      <c r="AV80" s="17" t="inlineStr"/>
      <c r="AW80" s="17" t="inlineStr"/>
      <c r="AX80" s="17" t="inlineStr"/>
      <c r="AY80" s="17" t="inlineStr"/>
      <c r="AZ80" s="17" t="inlineStr"/>
      <c r="BA80" s="17" t="inlineStr"/>
      <c r="BB80" s="17" t="inlineStr"/>
      <c r="BC80" s="17" t="inlineStr"/>
      <c r="BD80" s="17" t="inlineStr"/>
      <c r="BE80" s="17" t="inlineStr"/>
      <c r="BF80" s="17" t="inlineStr"/>
      <c r="BG80" s="17" t="inlineStr"/>
      <c r="BH80" s="17" t="inlineStr"/>
      <c r="BI80" s="17" t="inlineStr"/>
      <c r="BJ80" s="17" t="inlineStr"/>
      <c r="BK80" s="17" t="inlineStr"/>
      <c r="BL80" s="17" t="inlineStr"/>
      <c r="BM80" s="17" t="inlineStr"/>
      <c r="BN80" s="17" t="n">
        <v>182</v>
      </c>
    </row>
    <row r="81">
      <c r="A81" s="10" t="inlineStr">
        <is>
          <t>Saudi Arabia</t>
        </is>
      </c>
      <c r="B81" s="17" t="n">
        <v>92</v>
      </c>
      <c r="C81" s="26" t="n">
        <v>-1.333010000000002</v>
      </c>
      <c r="D81" s="27" t="n">
        <v>3.666389999999993</v>
      </c>
      <c r="E81" s="27" t="n">
        <v>8.039989999999989</v>
      </c>
      <c r="F81" s="26" t="n">
        <v>-2.507610000000014</v>
      </c>
      <c r="G81" s="17" t="n">
        <v>137.2068</v>
      </c>
      <c r="H81" s="17" t="n">
        <v>141.2188</v>
      </c>
      <c r="I81" s="17" t="n">
        <v>126.2748</v>
      </c>
      <c r="J81" s="17" t="n">
        <v>130.1798</v>
      </c>
      <c r="K81" s="17" t="n">
        <v>142.4692</v>
      </c>
      <c r="L81" s="17" t="n">
        <v>123.4957</v>
      </c>
      <c r="M81" s="17" t="n">
        <v>123.4019</v>
      </c>
      <c r="N81" s="17" t="n">
        <v>116.2444</v>
      </c>
      <c r="O81" s="17" t="n">
        <v>144.7819</v>
      </c>
      <c r="P81" s="17" t="n">
        <v>125.451</v>
      </c>
      <c r="Q81" s="17" t="n">
        <v>112.1089</v>
      </c>
      <c r="R81" s="17" t="n">
        <v>130.0742</v>
      </c>
      <c r="S81" s="17" t="n">
        <v>139.027</v>
      </c>
      <c r="T81" s="17" t="n">
        <v>121.0823</v>
      </c>
      <c r="U81" s="17" t="n">
        <v>94.3009</v>
      </c>
      <c r="V81" s="17" t="n">
        <v>119.9967</v>
      </c>
      <c r="W81" s="17" t="n">
        <v>115.1118</v>
      </c>
      <c r="X81" s="17" t="n">
        <v>136.2689</v>
      </c>
      <c r="Y81" s="17" t="n">
        <v>122.8612</v>
      </c>
      <c r="Z81" s="17" t="n">
        <v>124.805</v>
      </c>
      <c r="AA81" s="17" t="n">
        <v>118.9954</v>
      </c>
      <c r="AB81" s="17" t="n">
        <v>108.0546</v>
      </c>
      <c r="AC81" s="17" t="n">
        <v>114.316</v>
      </c>
      <c r="AD81" s="17" t="n">
        <v>109.295</v>
      </c>
      <c r="AE81" s="17" t="n">
        <v>111.64</v>
      </c>
      <c r="AF81" s="17" t="n">
        <v>107.6948</v>
      </c>
      <c r="AG81" s="17" t="n">
        <v>97.97239999999999</v>
      </c>
      <c r="AH81" s="17" t="n">
        <v>125.1002</v>
      </c>
      <c r="AI81" s="17" t="n">
        <v>109.5187</v>
      </c>
      <c r="AJ81" s="17" t="n">
        <v>101.9696</v>
      </c>
      <c r="AK81" s="17" t="n">
        <v>98.2561</v>
      </c>
      <c r="AL81" s="17" t="n">
        <v>94.9485</v>
      </c>
      <c r="AM81" s="17" t="n">
        <v>97.5694</v>
      </c>
      <c r="AN81" s="17" t="n">
        <v>114.1423</v>
      </c>
      <c r="AO81" s="17" t="n">
        <v>99.7445</v>
      </c>
      <c r="AP81" s="17" t="n">
        <v>109.9831</v>
      </c>
      <c r="AQ81" s="17" t="n">
        <v>103.0244</v>
      </c>
      <c r="AR81" s="17" t="n">
        <v>103.0743</v>
      </c>
      <c r="AS81" s="17" t="n">
        <v>104.0368</v>
      </c>
      <c r="AT81" s="17" t="n">
        <v>99.1464</v>
      </c>
      <c r="AU81" s="17" t="n">
        <v>108.3646</v>
      </c>
      <c r="AV81" s="17" t="n">
        <v>116.0479</v>
      </c>
      <c r="AW81" s="17" t="n">
        <v>120.0301</v>
      </c>
      <c r="AX81" s="17" t="n">
        <v>99.87430000000001</v>
      </c>
      <c r="AY81" s="17" t="n">
        <v>101.5004</v>
      </c>
      <c r="AZ81" s="17" t="n">
        <v>81.789</v>
      </c>
      <c r="BA81" s="17" t="n">
        <v>81.6317</v>
      </c>
      <c r="BB81" s="17" t="n">
        <v>74.4761</v>
      </c>
      <c r="BC81" s="17" t="n">
        <v>71.571</v>
      </c>
      <c r="BD81" s="17" t="n">
        <v>80.52249999999999</v>
      </c>
      <c r="BE81" s="17" t="n">
        <v>79.7146</v>
      </c>
      <c r="BF81" s="17" t="n">
        <v>86.57080000000001</v>
      </c>
      <c r="BG81" s="17" t="n">
        <v>94.4308</v>
      </c>
      <c r="BH81" s="17" t="n">
        <v>107.8676</v>
      </c>
      <c r="BI81" s="17" t="n">
        <v>89.00409999999999</v>
      </c>
      <c r="BJ81" s="17" t="n">
        <v>78.37350000000001</v>
      </c>
      <c r="BK81" s="17" t="n">
        <v>85.7199</v>
      </c>
      <c r="BL81" s="17" t="n">
        <v>94.7617</v>
      </c>
      <c r="BM81" s="17" t="n">
        <v>85.4803</v>
      </c>
      <c r="BN81" s="17" t="n">
        <v>92</v>
      </c>
    </row>
    <row r="82">
      <c r="A82" s="10" t="inlineStr">
        <is>
          <t>Senegal</t>
        </is>
      </c>
      <c r="B82" s="17" t="n">
        <v>1405</v>
      </c>
      <c r="C82" s="27" t="n">
        <v>80.99651999999992</v>
      </c>
      <c r="D82" s="27" t="n">
        <v>41.10111999999981</v>
      </c>
      <c r="E82" s="27" t="n">
        <v>272.5893199999998</v>
      </c>
      <c r="F82" s="27" t="n">
        <v>809.3046199999999</v>
      </c>
      <c r="G82" s="17" t="n">
        <v>471.6272</v>
      </c>
      <c r="H82" s="17" t="n">
        <v>499.4499</v>
      </c>
      <c r="I82" s="17" t="n">
        <v>473.6354</v>
      </c>
      <c r="J82" s="17" t="n">
        <v>483.4331</v>
      </c>
      <c r="K82" s="17" t="n">
        <v>571.717</v>
      </c>
      <c r="L82" s="17" t="n">
        <v>507.4212</v>
      </c>
      <c r="M82" s="17" t="n">
        <v>523.3162</v>
      </c>
      <c r="N82" s="17" t="n">
        <v>555.8595</v>
      </c>
      <c r="O82" s="17" t="n">
        <v>734.7147</v>
      </c>
      <c r="P82" s="17" t="n">
        <v>671.9156</v>
      </c>
      <c r="Q82" s="17" t="n">
        <v>617.4569</v>
      </c>
      <c r="R82" s="17" t="n">
        <v>679.2842000000001</v>
      </c>
      <c r="S82" s="17" t="n">
        <v>643.7633</v>
      </c>
      <c r="T82" s="17" t="n">
        <v>541.9897</v>
      </c>
      <c r="U82" s="17" t="n">
        <v>540.7373</v>
      </c>
      <c r="V82" s="17" t="n">
        <v>515.902</v>
      </c>
      <c r="W82" s="17" t="n">
        <v>542.9799</v>
      </c>
      <c r="X82" s="17" t="n">
        <v>622.8603000000001</v>
      </c>
      <c r="Y82" s="17" t="n">
        <v>646.7208000000001</v>
      </c>
      <c r="Z82" s="17" t="n">
        <v>625.7113000000001</v>
      </c>
      <c r="AA82" s="17" t="n">
        <v>535.5218</v>
      </c>
      <c r="AB82" s="17" t="n">
        <v>479.1211</v>
      </c>
      <c r="AC82" s="17" t="n">
        <v>541.3912</v>
      </c>
      <c r="AD82" s="17" t="n">
        <v>530.7784</v>
      </c>
      <c r="AE82" s="17" t="n">
        <v>512.2109</v>
      </c>
      <c r="AF82" s="17" t="n">
        <v>504.0932</v>
      </c>
      <c r="AG82" s="17" t="n">
        <v>442.0076</v>
      </c>
      <c r="AH82" s="17" t="n">
        <v>487.2495</v>
      </c>
      <c r="AI82" s="17" t="n">
        <v>499.0086</v>
      </c>
      <c r="AJ82" s="17" t="n">
        <v>478.4728</v>
      </c>
      <c r="AK82" s="17" t="n">
        <v>441.5107</v>
      </c>
      <c r="AL82" s="17" t="n">
        <v>467.8013</v>
      </c>
      <c r="AM82" s="17" t="n">
        <v>493.9845</v>
      </c>
      <c r="AN82" s="17" t="n">
        <v>509.4955</v>
      </c>
      <c r="AO82" s="17" t="n">
        <v>490.7858</v>
      </c>
      <c r="AP82" s="17" t="n">
        <v>520.1161</v>
      </c>
      <c r="AQ82" s="17" t="n">
        <v>537.7102</v>
      </c>
      <c r="AR82" s="17" t="n">
        <v>514.0382</v>
      </c>
      <c r="AS82" s="17" t="n">
        <v>561.2859</v>
      </c>
      <c r="AT82" s="17" t="n">
        <v>524.7375</v>
      </c>
      <c r="AU82" s="17" t="n">
        <v>636.1983</v>
      </c>
      <c r="AV82" s="17" t="n">
        <v>714.9015000000001</v>
      </c>
      <c r="AW82" s="17" t="n">
        <v>856.641</v>
      </c>
      <c r="AX82" s="17" t="n">
        <v>769.6083</v>
      </c>
      <c r="AY82" s="17" t="n">
        <v>940.1681</v>
      </c>
      <c r="AZ82" s="17" t="n">
        <v>731.5081</v>
      </c>
      <c r="BA82" s="17" t="n">
        <v>755.0932</v>
      </c>
      <c r="BB82" s="17" t="n">
        <v>810.8145</v>
      </c>
      <c r="BC82" s="17" t="n">
        <v>835.8206</v>
      </c>
      <c r="BD82" s="17" t="n">
        <v>1168.9016</v>
      </c>
      <c r="BE82" s="17" t="n">
        <v>1309.8755</v>
      </c>
      <c r="BF82" s="17" t="n">
        <v>1301.6716</v>
      </c>
      <c r="BG82" s="17" t="n">
        <v>1176.8496</v>
      </c>
      <c r="BH82" s="17" t="n">
        <v>1461.9033</v>
      </c>
      <c r="BI82" s="17" t="n">
        <v>1346.3296</v>
      </c>
      <c r="BJ82" s="17" t="n">
        <v>1545.0459</v>
      </c>
      <c r="BK82" s="17" t="n">
        <v>1525.663</v>
      </c>
      <c r="BL82" s="17" t="n">
        <v>1539.8282</v>
      </c>
      <c r="BM82" s="17" t="n">
        <v>1650.6116</v>
      </c>
      <c r="BN82" s="17" t="n">
        <v>1405</v>
      </c>
    </row>
    <row r="83">
      <c r="A83" s="10" t="inlineStr">
        <is>
          <t>Serbia</t>
        </is>
      </c>
      <c r="B83" s="17" t="n">
        <v>128</v>
      </c>
      <c r="C83" s="27" t="n">
        <v>3.347040000000007</v>
      </c>
      <c r="D83" s="27" t="n">
        <v>6.657240000000002</v>
      </c>
      <c r="E83" s="26" t="n">
        <v>-4.127559999999988</v>
      </c>
      <c r="F83" s="26" t="n">
        <v>-14.65696</v>
      </c>
      <c r="G83" s="17" t="n">
        <v>137.4659</v>
      </c>
      <c r="H83" s="17" t="n">
        <v>179.4288</v>
      </c>
      <c r="I83" s="17" t="n">
        <v>139.3735</v>
      </c>
      <c r="J83" s="17" t="n">
        <v>166.2659</v>
      </c>
      <c r="K83" s="17" t="n">
        <v>254.2092</v>
      </c>
      <c r="L83" s="17" t="n">
        <v>194.8654</v>
      </c>
      <c r="M83" s="17" t="n">
        <v>291.8735</v>
      </c>
      <c r="N83" s="17" t="n">
        <v>256.0528</v>
      </c>
      <c r="O83" s="17" t="n">
        <v>312.3068</v>
      </c>
      <c r="P83" s="17" t="n">
        <v>346.734</v>
      </c>
      <c r="Q83" s="17" t="n">
        <v>317.0621</v>
      </c>
      <c r="R83" s="17" t="n">
        <v>386.9292</v>
      </c>
      <c r="S83" s="17" t="n">
        <v>294.3121</v>
      </c>
      <c r="T83" s="17" t="n">
        <v>257.6371</v>
      </c>
      <c r="U83" s="17" t="n">
        <v>269.7031</v>
      </c>
      <c r="V83" s="17" t="n">
        <v>253.0195</v>
      </c>
      <c r="W83" s="17" t="n">
        <v>243.741</v>
      </c>
      <c r="X83" s="17" t="n">
        <v>266.8998</v>
      </c>
      <c r="Y83" s="17" t="n">
        <v>242.9703</v>
      </c>
      <c r="Z83" s="17" t="n">
        <v>281.5014</v>
      </c>
      <c r="AA83" s="17" t="n">
        <v>239.5274</v>
      </c>
      <c r="AB83" s="17" t="n">
        <v>207.4465</v>
      </c>
      <c r="AC83" s="17" t="n">
        <v>220.2987</v>
      </c>
      <c r="AD83" s="17" t="n">
        <v>225.6748</v>
      </c>
      <c r="AE83" s="17" t="n">
        <v>213.585</v>
      </c>
      <c r="AF83" s="17" t="n">
        <v>195.309</v>
      </c>
      <c r="AG83" s="17" t="n">
        <v>187.5565</v>
      </c>
      <c r="AH83" s="17" t="n">
        <v>190.1732</v>
      </c>
      <c r="AI83" s="17" t="n">
        <v>167.0067</v>
      </c>
      <c r="AJ83" s="17" t="n">
        <v>167.5549</v>
      </c>
      <c r="AK83" s="17" t="n">
        <v>155.8674</v>
      </c>
      <c r="AL83" s="17" t="n">
        <v>158.7428</v>
      </c>
      <c r="AM83" s="17" t="n">
        <v>167.6154</v>
      </c>
      <c r="AN83" s="17" t="n">
        <v>178.6755</v>
      </c>
      <c r="AO83" s="17" t="n">
        <v>178.1531</v>
      </c>
      <c r="AP83" s="17" t="n">
        <v>165.9389</v>
      </c>
      <c r="AQ83" s="17" t="n">
        <v>146.1053</v>
      </c>
      <c r="AR83" s="17" t="n">
        <v>158.5233</v>
      </c>
      <c r="AS83" s="17" t="n">
        <v>146.7982</v>
      </c>
      <c r="AT83" s="17" t="n">
        <v>141.7027</v>
      </c>
      <c r="AU83" s="17" t="n">
        <v>161.5001</v>
      </c>
      <c r="AV83" s="17" t="n">
        <v>181.331</v>
      </c>
      <c r="AW83" s="17" t="n">
        <v>188.1689</v>
      </c>
      <c r="AX83" s="17" t="n">
        <v>164.9708</v>
      </c>
      <c r="AY83" s="17" t="n">
        <v>156.434</v>
      </c>
      <c r="AZ83" s="17" t="n">
        <v>125.9042</v>
      </c>
      <c r="BA83" s="17" t="n">
        <v>139.7895</v>
      </c>
      <c r="BB83" s="17" t="n">
        <v>116.5266</v>
      </c>
      <c r="BC83" s="17" t="n">
        <v>111.3005</v>
      </c>
      <c r="BD83" s="17" t="n">
        <v>134.8307</v>
      </c>
      <c r="BE83" s="17" t="n">
        <v>130.9459</v>
      </c>
      <c r="BF83" s="17" t="n">
        <v>115.4475</v>
      </c>
      <c r="BG83" s="17" t="n">
        <v>121.5391</v>
      </c>
      <c r="BH83" s="17" t="n">
        <v>157.6865</v>
      </c>
      <c r="BI83" s="17" t="n">
        <v>119.3448</v>
      </c>
      <c r="BJ83" s="17" t="n">
        <v>123.25</v>
      </c>
      <c r="BK83" s="17" t="n">
        <v>117.307</v>
      </c>
      <c r="BL83" s="17" t="n">
        <v>128.9627</v>
      </c>
      <c r="BM83" s="17" t="n">
        <v>121.8853</v>
      </c>
      <c r="BN83" s="17" t="n">
        <v>128</v>
      </c>
    </row>
    <row r="84">
      <c r="A84" s="10" t="inlineStr">
        <is>
          <t>South Africa</t>
        </is>
      </c>
      <c r="B84" s="17" t="n">
        <v>186</v>
      </c>
      <c r="C84" s="26" t="n">
        <v>-8.437829999999991</v>
      </c>
      <c r="D84" s="26" t="n">
        <v>-13.26912999999999</v>
      </c>
      <c r="E84" s="26" t="n">
        <v>-28.58162999999999</v>
      </c>
      <c r="F84" s="26" t="n">
        <v>-96.72852999999998</v>
      </c>
      <c r="G84" s="17" t="n">
        <v>363.8528</v>
      </c>
      <c r="H84" s="17" t="n">
        <v>393.5126</v>
      </c>
      <c r="I84" s="17" t="n">
        <v>352.6079</v>
      </c>
      <c r="J84" s="17" t="n">
        <v>362.2968</v>
      </c>
      <c r="K84" s="17" t="n">
        <v>404.6419</v>
      </c>
      <c r="L84" s="17" t="n">
        <v>354.2035</v>
      </c>
      <c r="M84" s="17" t="n">
        <v>389.15</v>
      </c>
      <c r="N84" s="17" t="n">
        <v>379.7262</v>
      </c>
      <c r="O84" s="17" t="n">
        <v>518.8514</v>
      </c>
      <c r="P84" s="17" t="n">
        <v>434.5912</v>
      </c>
      <c r="Q84" s="17" t="n">
        <v>429.2879</v>
      </c>
      <c r="R84" s="17" t="n">
        <v>481.2935</v>
      </c>
      <c r="S84" s="17" t="n">
        <v>409.601</v>
      </c>
      <c r="T84" s="17" t="n">
        <v>345.9891</v>
      </c>
      <c r="U84" s="17" t="n">
        <v>354.9743</v>
      </c>
      <c r="V84" s="17" t="n">
        <v>352.972</v>
      </c>
      <c r="W84" s="17" t="n">
        <v>354.8473</v>
      </c>
      <c r="X84" s="17" t="n">
        <v>388.0543</v>
      </c>
      <c r="Y84" s="17" t="n">
        <v>402.7086</v>
      </c>
      <c r="Z84" s="17" t="n">
        <v>447.5506</v>
      </c>
      <c r="AA84" s="17" t="n">
        <v>392.933</v>
      </c>
      <c r="AB84" s="17" t="n">
        <v>334.1299</v>
      </c>
      <c r="AC84" s="17" t="n">
        <v>369.3001</v>
      </c>
      <c r="AD84" s="17" t="n">
        <v>379.8207</v>
      </c>
      <c r="AE84" s="17" t="n">
        <v>365.797</v>
      </c>
      <c r="AF84" s="17" t="n">
        <v>328.5557</v>
      </c>
      <c r="AG84" s="17" t="n">
        <v>296.4528</v>
      </c>
      <c r="AH84" s="17" t="n">
        <v>343.8926</v>
      </c>
      <c r="AI84" s="17" t="n">
        <v>335.4295</v>
      </c>
      <c r="AJ84" s="17" t="n">
        <v>347.2766</v>
      </c>
      <c r="AK84" s="17" t="n">
        <v>323.7345</v>
      </c>
      <c r="AL84" s="17" t="n">
        <v>326.3033</v>
      </c>
      <c r="AM84" s="17" t="n">
        <v>298.059</v>
      </c>
      <c r="AN84" s="17" t="n">
        <v>303.3844</v>
      </c>
      <c r="AO84" s="17" t="n">
        <v>281.1907</v>
      </c>
      <c r="AP84" s="17" t="n">
        <v>264.6377</v>
      </c>
      <c r="AQ84" s="17" t="n">
        <v>275.5956</v>
      </c>
      <c r="AR84" s="17" t="n">
        <v>284.2706</v>
      </c>
      <c r="AS84" s="17" t="n">
        <v>290.877</v>
      </c>
      <c r="AT84" s="17" t="n">
        <v>292.8545</v>
      </c>
      <c r="AU84" s="17" t="n">
        <v>312.5558</v>
      </c>
      <c r="AV84" s="17" t="n">
        <v>333.0518</v>
      </c>
      <c r="AW84" s="17" t="n">
        <v>362.1822</v>
      </c>
      <c r="AX84" s="17" t="n">
        <v>316.0871</v>
      </c>
      <c r="AY84" s="17" t="n">
        <v>299.619</v>
      </c>
      <c r="AZ84" s="17" t="n">
        <v>285.7595</v>
      </c>
      <c r="BA84" s="17" t="n">
        <v>279.3364</v>
      </c>
      <c r="BB84" s="17" t="n">
        <v>249.3114</v>
      </c>
      <c r="BC84" s="17" t="n">
        <v>218.7526</v>
      </c>
      <c r="BD84" s="17" t="n">
        <v>220.8318</v>
      </c>
      <c r="BE84" s="17" t="n">
        <v>211.9505</v>
      </c>
      <c r="BF84" s="17" t="n">
        <v>225.077</v>
      </c>
      <c r="BG84" s="17" t="n">
        <v>232.8943</v>
      </c>
      <c r="BH84" s="17" t="n">
        <v>268.6342</v>
      </c>
      <c r="BI84" s="17" t="n">
        <v>233.171</v>
      </c>
      <c r="BJ84" s="17" t="n">
        <v>197.247</v>
      </c>
      <c r="BK84" s="17" t="n">
        <v>193.2397</v>
      </c>
      <c r="BL84" s="17" t="n">
        <v>197.9774</v>
      </c>
      <c r="BM84" s="17" t="n">
        <v>177.4017</v>
      </c>
      <c r="BN84" s="17" t="n">
        <v>186</v>
      </c>
    </row>
    <row r="85">
      <c r="A85" s="10" t="inlineStr">
        <is>
          <t>Sri Lanka</t>
        </is>
      </c>
      <c r="B85" s="17" t="n">
        <v>91</v>
      </c>
      <c r="C85" s="26" t="n">
        <v>-0.4440599999999932</v>
      </c>
      <c r="D85" s="26" t="n">
        <v>-89.42536</v>
      </c>
      <c r="E85" s="26" t="n">
        <v>-192.9861600000001</v>
      </c>
      <c r="F85" s="26" t="n">
        <v>-240.8301600000001</v>
      </c>
      <c r="G85" s="17" t="n">
        <v>1754.3747</v>
      </c>
      <c r="H85" s="17" t="n">
        <v>2201.4238</v>
      </c>
      <c r="I85" s="17" t="n">
        <v>2422.9498</v>
      </c>
      <c r="J85" s="17" t="n">
        <v>2545.7053</v>
      </c>
      <c r="K85" s="17" t="n">
        <v>2840.7668</v>
      </c>
      <c r="L85" s="17" t="n">
        <v>2687.7667</v>
      </c>
      <c r="M85" s="17" t="n">
        <v>3270.7064</v>
      </c>
      <c r="N85" s="17" t="n">
        <v>3797.8959</v>
      </c>
      <c r="O85" s="17" t="n">
        <v>5344.6249</v>
      </c>
      <c r="P85" s="17" t="n">
        <v>5467.8299</v>
      </c>
      <c r="Q85" s="17" t="n">
        <v>4997.8923</v>
      </c>
      <c r="R85" s="17" t="n">
        <v>6145.6711</v>
      </c>
      <c r="S85" s="17" t="n">
        <v>6912.6178</v>
      </c>
      <c r="T85" s="17" t="n">
        <v>5090.1634</v>
      </c>
      <c r="U85" s="17" t="n">
        <v>5400.8265</v>
      </c>
      <c r="V85" s="17" t="n">
        <v>3889.6778</v>
      </c>
      <c r="W85" s="17" t="n">
        <v>3674.2151</v>
      </c>
      <c r="X85" s="17" t="n">
        <v>3861.5266</v>
      </c>
      <c r="Y85" s="17" t="n">
        <v>4171.8184</v>
      </c>
      <c r="Z85" s="17" t="n">
        <v>5075.6263</v>
      </c>
      <c r="AA85" s="17" t="n">
        <v>4003.8893</v>
      </c>
      <c r="AB85" s="17" t="n">
        <v>4107.3139</v>
      </c>
      <c r="AC85" s="17" t="n">
        <v>3979.3413</v>
      </c>
      <c r="AD85" s="17" t="n">
        <v>3535.1148</v>
      </c>
      <c r="AE85" s="17" t="n">
        <v>3202.177</v>
      </c>
      <c r="AF85" s="17" t="n">
        <v>3193.2439</v>
      </c>
      <c r="AG85" s="17" t="n">
        <v>3385.7945</v>
      </c>
      <c r="AH85" s="17" t="n">
        <v>3443.713</v>
      </c>
      <c r="AI85" s="17" t="n">
        <v>3301.397</v>
      </c>
      <c r="AJ85" s="17" t="n">
        <v>2816.7772</v>
      </c>
      <c r="AK85" s="17" t="n">
        <v>3071.8615</v>
      </c>
      <c r="AL85" s="17" t="n">
        <v>3010.2189</v>
      </c>
      <c r="AM85" s="17" t="n">
        <v>3191.6862</v>
      </c>
      <c r="AN85" s="17" t="n">
        <v>3677.6576</v>
      </c>
      <c r="AO85" s="17" t="n">
        <v>4126.9634</v>
      </c>
      <c r="AP85" s="17" t="n">
        <v>3497.1861</v>
      </c>
      <c r="AQ85" s="17" t="n">
        <v>2825.2703</v>
      </c>
      <c r="AR85" s="17" t="n">
        <v>2313.8103</v>
      </c>
      <c r="AS85" s="17" t="n">
        <v>366.4978</v>
      </c>
      <c r="AT85" s="17" t="n">
        <v>331.6506</v>
      </c>
      <c r="AU85" s="17" t="n">
        <v>361.3638</v>
      </c>
      <c r="AV85" s="17" t="n">
        <v>408.3333</v>
      </c>
      <c r="AW85" s="17" t="n">
        <v>547.8364</v>
      </c>
      <c r="AX85" s="17" t="n">
        <v>405.8787</v>
      </c>
      <c r="AY85" s="17" t="n">
        <v>379.2292</v>
      </c>
      <c r="AZ85" s="17" t="n">
        <v>337.8855</v>
      </c>
      <c r="BA85" s="17" t="n">
        <v>343.6357</v>
      </c>
      <c r="BB85" s="17" t="n">
        <v>303.6065</v>
      </c>
      <c r="BC85" s="17" t="n">
        <v>271.018</v>
      </c>
      <c r="BD85" s="17" t="n">
        <v>295.422</v>
      </c>
      <c r="BE85" s="17" t="n">
        <v>291.4777</v>
      </c>
      <c r="BF85" s="17" t="n">
        <v>178.8826</v>
      </c>
      <c r="BG85" s="17" t="n">
        <v>202.2459</v>
      </c>
      <c r="BH85" s="17" t="n">
        <v>315.3938</v>
      </c>
      <c r="BI85" s="17" t="n">
        <v>239.0589</v>
      </c>
      <c r="BJ85" s="17" t="n">
        <v>187.089</v>
      </c>
      <c r="BK85" s="17" t="n">
        <v>126.5253</v>
      </c>
      <c r="BL85" s="17" t="n">
        <v>118.8662</v>
      </c>
      <c r="BM85" s="17" t="n">
        <v>94.5395</v>
      </c>
      <c r="BN85" s="17" t="n">
        <v>91</v>
      </c>
    </row>
    <row r="86">
      <c r="A86" s="10" t="inlineStr">
        <is>
          <t>Suriname</t>
        </is>
      </c>
      <c r="B86" s="17" t="n">
        <v>247</v>
      </c>
      <c r="C86" s="26" t="n">
        <v>-14.51176000000004</v>
      </c>
      <c r="D86" s="26" t="n">
        <v>-29.30966000000001</v>
      </c>
      <c r="E86" s="26" t="n">
        <v>-70.97275999999999</v>
      </c>
      <c r="F86" s="26" t="n">
        <v>-98.45436000000007</v>
      </c>
      <c r="G86" s="17" t="n">
        <v>1696.4623</v>
      </c>
      <c r="H86" s="17" t="n">
        <v>1637.351</v>
      </c>
      <c r="I86" s="17" t="n">
        <v>1695.4958</v>
      </c>
      <c r="J86" s="17" t="n">
        <v>1511.9663</v>
      </c>
      <c r="K86" s="17" t="n">
        <v>1726.6757</v>
      </c>
      <c r="L86" s="17" t="n">
        <v>1689.6042</v>
      </c>
      <c r="M86" s="17" t="n">
        <v>1495.1648</v>
      </c>
      <c r="N86" s="17" t="n">
        <v>1566.1754</v>
      </c>
      <c r="O86" s="17" t="n">
        <v>1664.5853</v>
      </c>
      <c r="P86" s="17" t="n">
        <v>1761.1934</v>
      </c>
      <c r="Q86" s="17" t="n">
        <v>1763.6222</v>
      </c>
      <c r="R86" s="17" t="n">
        <v>1322.9513</v>
      </c>
      <c r="S86" s="17" t="n">
        <v>1536.2122</v>
      </c>
      <c r="T86" s="17" t="n">
        <v>1626.844</v>
      </c>
      <c r="U86" s="17" t="n">
        <v>1656.5685</v>
      </c>
      <c r="V86" s="17" t="n">
        <v>1812.0784</v>
      </c>
      <c r="W86" s="17" t="n">
        <v>1956.0896</v>
      </c>
      <c r="X86" s="17" t="n">
        <v>2209.3072</v>
      </c>
      <c r="Y86" s="17" t="n">
        <v>2137.7911</v>
      </c>
      <c r="Z86" s="17" t="n">
        <v>1587.5698</v>
      </c>
      <c r="AA86" s="17" t="n">
        <v>1611.7085</v>
      </c>
      <c r="AB86" s="17" t="n">
        <v>1264.2102</v>
      </c>
      <c r="AC86" s="17" t="n">
        <v>1286.7755</v>
      </c>
      <c r="AD86" s="17" t="n">
        <v>1151.0564</v>
      </c>
      <c r="AE86" s="17" t="n">
        <v>725.8206</v>
      </c>
      <c r="AF86" s="17" t="n">
        <v>783.2495</v>
      </c>
      <c r="AG86" s="17" t="n">
        <v>655.2296</v>
      </c>
      <c r="AH86" s="17" t="n">
        <v>704.6102</v>
      </c>
      <c r="AI86" s="17" t="n">
        <v>604.3518</v>
      </c>
      <c r="AJ86" s="17" t="n">
        <v>538.6565000000001</v>
      </c>
      <c r="AK86" s="17" t="n">
        <v>469.9314</v>
      </c>
      <c r="AL86" s="17" t="n">
        <v>483.9738</v>
      </c>
      <c r="AM86" s="17" t="n">
        <v>484.8586</v>
      </c>
      <c r="AN86" s="17" t="n">
        <v>448.3393</v>
      </c>
      <c r="AO86" s="17" t="n">
        <v>470.5174</v>
      </c>
      <c r="AP86" s="17" t="n">
        <v>489.6696</v>
      </c>
      <c r="AQ86" s="17" t="n">
        <v>497.5246</v>
      </c>
      <c r="AR86" s="17" t="n">
        <v>550.0928</v>
      </c>
      <c r="AS86" s="17" t="n">
        <v>585.579</v>
      </c>
      <c r="AT86" s="17" t="n">
        <v>446.308</v>
      </c>
      <c r="AU86" s="17" t="n">
        <v>446.2332</v>
      </c>
      <c r="AV86" s="17" t="n">
        <v>491.4973</v>
      </c>
      <c r="AW86" s="17" t="n">
        <v>611.0394</v>
      </c>
      <c r="AX86" s="17" t="n">
        <v>512.5167</v>
      </c>
      <c r="AY86" s="17" t="n">
        <v>-80.7654</v>
      </c>
      <c r="AZ86" s="17" t="n">
        <v>69.0107</v>
      </c>
      <c r="BA86" s="17" t="n">
        <v>325.4928</v>
      </c>
      <c r="BB86" s="17" t="n">
        <v>409.3347</v>
      </c>
      <c r="BC86" s="17" t="n">
        <v>13.2857</v>
      </c>
      <c r="BD86" s="17" t="n">
        <v>332.6979</v>
      </c>
      <c r="BE86" s="17" t="n">
        <v>313.0603</v>
      </c>
      <c r="BF86" s="17" t="n">
        <v>304.0771</v>
      </c>
      <c r="BG86" s="17" t="n">
        <v>349.0346</v>
      </c>
      <c r="BH86" s="17" t="n">
        <v>359.3143</v>
      </c>
      <c r="BI86" s="17" t="n">
        <v>270.8913</v>
      </c>
      <c r="BJ86" s="17" t="n">
        <v>289.5043</v>
      </c>
      <c r="BK86" s="17" t="n">
        <v>257.7592</v>
      </c>
      <c r="BL86" s="17" t="n">
        <v>256.1988</v>
      </c>
      <c r="BM86" s="17" t="n">
        <v>248.4666</v>
      </c>
      <c r="BN86" s="17" t="n">
        <v>247</v>
      </c>
    </row>
    <row r="87">
      <c r="A87" s="10" t="inlineStr">
        <is>
          <t>Trinidad &amp; Tobago</t>
        </is>
      </c>
      <c r="B87" s="17" t="n">
        <v>153</v>
      </c>
      <c r="C87" s="26" t="n">
        <v>-6.656499999999994</v>
      </c>
      <c r="D87" s="26" t="n">
        <v>-7.328800000000001</v>
      </c>
      <c r="E87" s="26" t="n">
        <v>-61.32079999999999</v>
      </c>
      <c r="F87" s="26" t="n">
        <v>-54.0789</v>
      </c>
      <c r="G87" s="17" t="n">
        <v>255.113</v>
      </c>
      <c r="H87" s="17" t="n">
        <v>299.7472</v>
      </c>
      <c r="I87" s="17" t="n">
        <v>285.3019</v>
      </c>
      <c r="J87" s="17" t="n">
        <v>302.0046</v>
      </c>
      <c r="K87" s="17" t="n">
        <v>325.1401</v>
      </c>
      <c r="L87" s="17" t="n">
        <v>274.4413</v>
      </c>
      <c r="M87" s="17" t="n">
        <v>262.3699</v>
      </c>
      <c r="N87" s="17" t="n">
        <v>340.4009</v>
      </c>
      <c r="O87" s="17" t="n">
        <v>332.8575</v>
      </c>
      <c r="P87" s="17" t="n">
        <v>325.0563</v>
      </c>
      <c r="Q87" s="17" t="n">
        <v>210.7371</v>
      </c>
      <c r="R87" s="17" t="n">
        <v>190.8096</v>
      </c>
      <c r="S87" s="17" t="n">
        <v>183.2242</v>
      </c>
      <c r="T87" s="17" t="n">
        <v>185.9658</v>
      </c>
      <c r="U87" s="17" t="n">
        <v>156.9791</v>
      </c>
      <c r="V87" s="17" t="n">
        <v>182.7637</v>
      </c>
      <c r="W87" s="17" t="n">
        <v>142.2806</v>
      </c>
      <c r="X87" s="17" t="n">
        <v>196.6937</v>
      </c>
      <c r="Y87" s="17" t="n">
        <v>186.0093</v>
      </c>
      <c r="Z87" s="17" t="n">
        <v>181.2868</v>
      </c>
      <c r="AA87" s="17" t="n">
        <v>158.8327</v>
      </c>
      <c r="AB87" s="17" t="n">
        <v>152.0128</v>
      </c>
      <c r="AC87" s="17" t="n">
        <v>161.998</v>
      </c>
      <c r="AD87" s="17" t="n">
        <v>153.32</v>
      </c>
      <c r="AE87" s="17" t="n">
        <v>154.1701</v>
      </c>
      <c r="AF87" s="17" t="n">
        <v>155.1713</v>
      </c>
      <c r="AG87" s="17" t="n">
        <v>130.8508</v>
      </c>
      <c r="AH87" s="17" t="n">
        <v>164.4982</v>
      </c>
      <c r="AI87" s="17" t="n">
        <v>154.4486</v>
      </c>
      <c r="AJ87" s="17" t="n">
        <v>152.4412</v>
      </c>
      <c r="AK87" s="17" t="n">
        <v>142.4298</v>
      </c>
      <c r="AL87" s="17" t="n">
        <v>147.3369</v>
      </c>
      <c r="AM87" s="17" t="n">
        <v>177.2035</v>
      </c>
      <c r="AN87" s="17" t="n">
        <v>195.0867</v>
      </c>
      <c r="AO87" s="17" t="n">
        <v>201.5197</v>
      </c>
      <c r="AP87" s="17" t="n">
        <v>203.0505</v>
      </c>
      <c r="AQ87" s="17" t="n">
        <v>174.6939</v>
      </c>
      <c r="AR87" s="17" t="n">
        <v>212.4922</v>
      </c>
      <c r="AS87" s="17" t="n">
        <v>186.7304</v>
      </c>
      <c r="AT87" s="17" t="n">
        <v>180.5419</v>
      </c>
      <c r="AU87" s="17" t="n">
        <v>221.8031</v>
      </c>
      <c r="AV87" s="17" t="n">
        <v>234.3224</v>
      </c>
      <c r="AW87" s="17" t="n">
        <v>301.8921</v>
      </c>
      <c r="AX87" s="17" t="n">
        <v>251.2082</v>
      </c>
      <c r="AY87" s="17" t="n">
        <v>238.6712</v>
      </c>
      <c r="AZ87" s="17" t="n">
        <v>214.9451</v>
      </c>
      <c r="BA87" s="17" t="n">
        <v>208.3459</v>
      </c>
      <c r="BB87" s="17" t="n">
        <v>187.9201</v>
      </c>
      <c r="BC87" s="17" t="n">
        <v>236.106</v>
      </c>
      <c r="BD87" s="17" t="n">
        <v>227.4445</v>
      </c>
      <c r="BE87" s="17" t="n">
        <v>213.183</v>
      </c>
      <c r="BF87" s="17" t="n">
        <v>214.8832</v>
      </c>
      <c r="BG87" s="17" t="n">
        <v>226.2524</v>
      </c>
      <c r="BH87" s="17" t="n">
        <v>221.7819</v>
      </c>
      <c r="BI87" s="17" t="n">
        <v>174.5196</v>
      </c>
      <c r="BJ87" s="17" t="n">
        <v>156.9821</v>
      </c>
      <c r="BK87" s="17" t="n">
        <v>160.6928</v>
      </c>
      <c r="BL87" s="17" t="n">
        <v>159.4625</v>
      </c>
      <c r="BM87" s="17" t="n">
        <v>150.2857</v>
      </c>
      <c r="BN87" s="17" t="n">
        <v>153</v>
      </c>
    </row>
    <row r="88">
      <c r="A88" s="10" t="inlineStr">
        <is>
          <t>Turkey</t>
        </is>
      </c>
      <c r="B88" s="17" t="n">
        <v>231</v>
      </c>
      <c r="C88" s="26" t="n">
        <v>-2.800919999999991</v>
      </c>
      <c r="D88" s="26" t="n">
        <v>-15.44741999999999</v>
      </c>
      <c r="E88" s="27" t="n">
        <v>17.50018</v>
      </c>
      <c r="F88" s="26" t="n">
        <v>-38.72691999999998</v>
      </c>
      <c r="G88" s="17" t="n">
        <v>514.5505000000001</v>
      </c>
      <c r="H88" s="17" t="n">
        <v>565.1289</v>
      </c>
      <c r="I88" s="17" t="n">
        <v>579.3469</v>
      </c>
      <c r="J88" s="17" t="n">
        <v>554.9422</v>
      </c>
      <c r="K88" s="17" t="n">
        <v>592.9452</v>
      </c>
      <c r="L88" s="17" t="n">
        <v>522.0307</v>
      </c>
      <c r="M88" s="17" t="n">
        <v>510.7449</v>
      </c>
      <c r="N88" s="17" t="n">
        <v>581.7289</v>
      </c>
      <c r="O88" s="17" t="n">
        <v>706.7759</v>
      </c>
      <c r="P88" s="17" t="n">
        <v>720.6014</v>
      </c>
      <c r="Q88" s="17" t="n">
        <v>643.6345</v>
      </c>
      <c r="R88" s="17" t="n">
        <v>600.8255</v>
      </c>
      <c r="S88" s="17" t="n">
        <v>528.0333000000001</v>
      </c>
      <c r="T88" s="17" t="n">
        <v>451.5114</v>
      </c>
      <c r="U88" s="17" t="n">
        <v>426.76</v>
      </c>
      <c r="V88" s="17" t="n">
        <v>493.5286</v>
      </c>
      <c r="W88" s="17" t="n">
        <v>475.7659</v>
      </c>
      <c r="X88" s="17" t="n">
        <v>463.7509</v>
      </c>
      <c r="Y88" s="17" t="n">
        <v>487.5896</v>
      </c>
      <c r="Z88" s="17" t="n">
        <v>548.2204</v>
      </c>
      <c r="AA88" s="17" t="n">
        <v>459.9821</v>
      </c>
      <c r="AB88" s="17" t="n">
        <v>366.7397</v>
      </c>
      <c r="AC88" s="17" t="n">
        <v>377.86</v>
      </c>
      <c r="AD88" s="17" t="n">
        <v>375.2265</v>
      </c>
      <c r="AE88" s="17" t="n">
        <v>368.583</v>
      </c>
      <c r="AF88" s="17" t="n">
        <v>344.3987</v>
      </c>
      <c r="AG88" s="17" t="n">
        <v>299.6155</v>
      </c>
      <c r="AH88" s="17" t="n">
        <v>354.4679</v>
      </c>
      <c r="AI88" s="17" t="n">
        <v>298.1965</v>
      </c>
      <c r="AJ88" s="17" t="n">
        <v>287.9111</v>
      </c>
      <c r="AK88" s="17" t="n">
        <v>261.3328</v>
      </c>
      <c r="AL88" s="17" t="n">
        <v>265.3547</v>
      </c>
      <c r="AM88" s="17" t="n">
        <v>273.2423</v>
      </c>
      <c r="AN88" s="17" t="n">
        <v>286.9315</v>
      </c>
      <c r="AO88" s="17" t="n">
        <v>283.4909</v>
      </c>
      <c r="AP88" s="17" t="n">
        <v>262.9181</v>
      </c>
      <c r="AQ88" s="17" t="n">
        <v>259.0389</v>
      </c>
      <c r="AR88" s="17" t="n">
        <v>251.8231</v>
      </c>
      <c r="AS88" s="17" t="n">
        <v>253.1113</v>
      </c>
      <c r="AT88" s="17" t="n">
        <v>247.9511</v>
      </c>
      <c r="AU88" s="17" t="n">
        <v>272.2109</v>
      </c>
      <c r="AV88" s="17" t="n">
        <v>311.4702</v>
      </c>
      <c r="AW88" s="17" t="n">
        <v>344.8877</v>
      </c>
      <c r="AX88" s="17" t="n">
        <v>311.9345</v>
      </c>
      <c r="AY88" s="17" t="n">
        <v>292.004</v>
      </c>
      <c r="AZ88" s="17" t="n">
        <v>260.2754</v>
      </c>
      <c r="BA88" s="17" t="n">
        <v>254.5633</v>
      </c>
      <c r="BB88" s="17" t="n">
        <v>244.9028</v>
      </c>
      <c r="BC88" s="17" t="n">
        <v>234.2978</v>
      </c>
      <c r="BD88" s="17" t="n">
        <v>232.7832</v>
      </c>
      <c r="BE88" s="17" t="n">
        <v>212.7999</v>
      </c>
      <c r="BF88" s="17" t="n">
        <v>230.6188</v>
      </c>
      <c r="BG88" s="17" t="n">
        <v>252.5521</v>
      </c>
      <c r="BH88" s="17" t="n">
        <v>302.8729</v>
      </c>
      <c r="BI88" s="17" t="n">
        <v>258.0802</v>
      </c>
      <c r="BJ88" s="17" t="n">
        <v>247.9337</v>
      </c>
      <c r="BK88" s="17" t="n">
        <v>231.476</v>
      </c>
      <c r="BL88" s="17" t="n">
        <v>245.0231</v>
      </c>
      <c r="BM88" s="17" t="n">
        <v>224.4965</v>
      </c>
      <c r="BN88" s="17" t="n">
        <v>231</v>
      </c>
    </row>
    <row r="89">
      <c r="A89" s="10" t="inlineStr">
        <is>
          <t>Ukraine</t>
        </is>
      </c>
      <c r="B89" s="17" t="n">
        <v>753</v>
      </c>
      <c r="C89" s="27" t="n">
        <v>100.43285</v>
      </c>
      <c r="D89" s="27" t="n">
        <v>20.92015000000004</v>
      </c>
      <c r="E89" s="26" t="n">
        <v>-134.18855</v>
      </c>
      <c r="F89" s="26" t="n">
        <v>-371.2860499999998</v>
      </c>
      <c r="G89" s="17" t="n">
        <v>510.6005</v>
      </c>
      <c r="H89" s="17" t="n">
        <v>670.0841</v>
      </c>
      <c r="I89" s="17" t="n">
        <v>764.5386999999999</v>
      </c>
      <c r="J89" s="17" t="n">
        <v>897.8194999999999</v>
      </c>
      <c r="K89" s="17" t="n">
        <v>3210.3137</v>
      </c>
      <c r="L89" s="17" t="n">
        <v>2807.1029</v>
      </c>
      <c r="M89" s="17" t="n">
        <v>3748.9243</v>
      </c>
      <c r="N89" s="17" t="n">
        <v>3295.1409</v>
      </c>
      <c r="O89" s="17" t="n">
        <v>5095.5422</v>
      </c>
      <c r="P89" s="17" t="n">
        <v>6595.1366</v>
      </c>
      <c r="Q89" s="17" t="n">
        <v>3805.3392</v>
      </c>
      <c r="R89" s="17" t="n">
        <v>3817.3146</v>
      </c>
      <c r="S89" s="17" t="n">
        <v>4389.8018</v>
      </c>
      <c r="T89" s="17" t="n">
        <v>3694.8738</v>
      </c>
      <c r="U89" s="17" t="n">
        <v>4064.7349</v>
      </c>
      <c r="V89" s="17" t="n">
        <v>3803.9208</v>
      </c>
      <c r="W89" s="17" t="n">
        <v>4226.8855</v>
      </c>
      <c r="X89" s="17" t="n">
        <v>4485.4539</v>
      </c>
      <c r="Y89" s="17" t="n">
        <v>4766.6413</v>
      </c>
      <c r="Z89" s="17" t="n">
        <v>4957.7929</v>
      </c>
      <c r="AA89" s="17" t="n">
        <v>4127.3231</v>
      </c>
      <c r="AB89" s="17" t="n">
        <v>3324.3071</v>
      </c>
      <c r="AC89" s="17" t="n">
        <v>3402.75</v>
      </c>
      <c r="AD89" s="17" t="n">
        <v>3394.2792</v>
      </c>
      <c r="AE89" s="17" t="n">
        <v>3544.2588</v>
      </c>
      <c r="AF89" s="17" t="n">
        <v>3781.9096</v>
      </c>
      <c r="AG89" s="17" t="n">
        <v>3988.834</v>
      </c>
      <c r="AH89" s="17" t="n">
        <v>4318.6109</v>
      </c>
      <c r="AI89" s="17" t="n">
        <v>3951.8388</v>
      </c>
      <c r="AJ89" s="17" t="n">
        <v>3507.8981</v>
      </c>
      <c r="AK89" s="17" t="n">
        <v>4150.9973</v>
      </c>
      <c r="AL89" s="17" t="n">
        <v>4171.2882</v>
      </c>
      <c r="AM89" s="17" t="n">
        <v>4064.3801</v>
      </c>
      <c r="AN89" s="17" t="n">
        <v>3824.1825</v>
      </c>
      <c r="AO89" s="17" t="n">
        <v>3842.6412</v>
      </c>
      <c r="AP89" s="17" t="n">
        <v>1211.7847</v>
      </c>
      <c r="AQ89" s="17" t="n">
        <v>1076.8817</v>
      </c>
      <c r="AR89" s="17" t="n">
        <v>934.3535000000001</v>
      </c>
      <c r="AS89" s="17" t="n">
        <v>840.4502</v>
      </c>
      <c r="AT89" s="17" t="n">
        <v>810.3212</v>
      </c>
      <c r="AU89" s="17" t="n">
        <v>791.2011</v>
      </c>
      <c r="AV89" s="17" t="n">
        <v>975.0081</v>
      </c>
      <c r="AW89" s="17" t="n">
        <v>1102.6143</v>
      </c>
      <c r="AX89" s="17" t="n">
        <v>1108.4746</v>
      </c>
      <c r="AY89" s="17" t="n">
        <v>1111.3765</v>
      </c>
      <c r="AZ89" s="17" t="n">
        <v>1115.6747</v>
      </c>
      <c r="BA89" s="17" t="n">
        <v>1064.0756</v>
      </c>
      <c r="BB89" s="17" t="n">
        <v>1065.6958</v>
      </c>
      <c r="BC89" s="17" t="n">
        <v>1056.7624</v>
      </c>
      <c r="BD89" s="17" t="n">
        <v>983.346</v>
      </c>
      <c r="BE89" s="17" t="n">
        <v>909.6937</v>
      </c>
      <c r="BF89" s="17" t="n">
        <v>846.9942</v>
      </c>
      <c r="BG89" s="17" t="n">
        <v>897.7042</v>
      </c>
      <c r="BH89" s="17" t="n">
        <v>1110.3543</v>
      </c>
      <c r="BI89" s="17" t="n">
        <v>922.5895</v>
      </c>
      <c r="BJ89" s="17" t="n">
        <v>731.9345</v>
      </c>
      <c r="BK89" s="17" t="n">
        <v>692.4111</v>
      </c>
      <c r="BL89" s="17" t="n">
        <v>676.1314</v>
      </c>
      <c r="BM89" s="17" t="n">
        <v>714.6657</v>
      </c>
      <c r="BN89" s="17" t="n">
        <v>753</v>
      </c>
    </row>
    <row r="90">
      <c r="A90" s="10" t="inlineStr">
        <is>
          <t>Uruguay</t>
        </is>
      </c>
      <c r="B90" s="17" t="n">
        <v>69</v>
      </c>
      <c r="C90" s="27" t="n">
        <v>0.64255</v>
      </c>
      <c r="D90" s="27" t="n">
        <v>3.830149999999996</v>
      </c>
      <c r="E90" s="26" t="n">
        <v>-1.512950000000004</v>
      </c>
      <c r="F90" s="26" t="n">
        <v>-5.391149999999996</v>
      </c>
      <c r="G90" s="17" t="n">
        <v>137.5229</v>
      </c>
      <c r="H90" s="17" t="n">
        <v>150.2709</v>
      </c>
      <c r="I90" s="17" t="n">
        <v>127.1765</v>
      </c>
      <c r="J90" s="17" t="n">
        <v>139.4899</v>
      </c>
      <c r="K90" s="17" t="n">
        <v>160.6235</v>
      </c>
      <c r="L90" s="17" t="n">
        <v>127.0241</v>
      </c>
      <c r="M90" s="17" t="n">
        <v>150.8497</v>
      </c>
      <c r="N90" s="17" t="n">
        <v>136.4813</v>
      </c>
      <c r="O90" s="17" t="n">
        <v>162.2111</v>
      </c>
      <c r="P90" s="17" t="n">
        <v>141.0113</v>
      </c>
      <c r="Q90" s="17" t="n">
        <v>131.8938</v>
      </c>
      <c r="R90" s="17" t="n">
        <v>157.8211</v>
      </c>
      <c r="S90" s="17" t="n">
        <v>140.754</v>
      </c>
      <c r="T90" s="17" t="n">
        <v>105.8553</v>
      </c>
      <c r="U90" s="17" t="n">
        <v>91.2717</v>
      </c>
      <c r="V90" s="17" t="n">
        <v>110.9748</v>
      </c>
      <c r="W90" s="17" t="n">
        <v>102.6024</v>
      </c>
      <c r="X90" s="17" t="n">
        <v>118.8192</v>
      </c>
      <c r="Y90" s="17" t="n">
        <v>104.4918</v>
      </c>
      <c r="Z90" s="17" t="n">
        <v>110.6417</v>
      </c>
      <c r="AA90" s="17" t="n">
        <v>98.91800000000001</v>
      </c>
      <c r="AB90" s="17" t="n">
        <v>89.3806</v>
      </c>
      <c r="AC90" s="17" t="n">
        <v>87.96510000000001</v>
      </c>
      <c r="AD90" s="17" t="n">
        <v>97.7144</v>
      </c>
      <c r="AE90" s="17" t="n">
        <v>85.66379999999999</v>
      </c>
      <c r="AF90" s="17" t="n">
        <v>84.3364</v>
      </c>
      <c r="AG90" s="17" t="n">
        <v>84.92959999999999</v>
      </c>
      <c r="AH90" s="17" t="n">
        <v>97.1003</v>
      </c>
      <c r="AI90" s="17" t="n">
        <v>85.4314</v>
      </c>
      <c r="AJ90" s="17" t="n">
        <v>82.0142</v>
      </c>
      <c r="AK90" s="17" t="n">
        <v>80.0536</v>
      </c>
      <c r="AL90" s="17" t="n">
        <v>77.693</v>
      </c>
      <c r="AM90" s="17" t="n">
        <v>79.8048</v>
      </c>
      <c r="AN90" s="17" t="n">
        <v>88.5004</v>
      </c>
      <c r="AO90" s="17" t="n">
        <v>78.74679999999999</v>
      </c>
      <c r="AP90" s="17" t="n">
        <v>89.7753</v>
      </c>
      <c r="AQ90" s="17" t="n">
        <v>84.9464</v>
      </c>
      <c r="AR90" s="17" t="n">
        <v>91.9943</v>
      </c>
      <c r="AS90" s="17" t="n">
        <v>84.3275</v>
      </c>
      <c r="AT90" s="17" t="n">
        <v>92.36620000000001</v>
      </c>
      <c r="AU90" s="17" t="n">
        <v>102.2618</v>
      </c>
      <c r="AV90" s="17" t="n">
        <v>101.1978</v>
      </c>
      <c r="AW90" s="17" t="n">
        <v>102.4079</v>
      </c>
      <c r="AX90" s="17" t="n">
        <v>91.3896</v>
      </c>
      <c r="AY90" s="17" t="n">
        <v>86.2753</v>
      </c>
      <c r="AZ90" s="17" t="n">
        <v>78.2145</v>
      </c>
      <c r="BA90" s="17" t="n">
        <v>74.5384</v>
      </c>
      <c r="BB90" s="17" t="n">
        <v>69.6901</v>
      </c>
      <c r="BC90" s="17" t="n">
        <v>65.55119999999999</v>
      </c>
      <c r="BD90" s="17" t="n">
        <v>74.9783</v>
      </c>
      <c r="BE90" s="17" t="n">
        <v>67.7929</v>
      </c>
      <c r="BF90" s="17" t="n">
        <v>69.6442</v>
      </c>
      <c r="BG90" s="17" t="n">
        <v>77.0284</v>
      </c>
      <c r="BH90" s="17" t="n">
        <v>78.4525</v>
      </c>
      <c r="BI90" s="17" t="n">
        <v>61.8077</v>
      </c>
      <c r="BJ90" s="17" t="n">
        <v>60.709</v>
      </c>
      <c r="BK90" s="17" t="n">
        <v>58.2525</v>
      </c>
      <c r="BL90" s="17" t="n">
        <v>67.8236</v>
      </c>
      <c r="BM90" s="17" t="n">
        <v>65.4906</v>
      </c>
      <c r="BN90" s="17" t="n">
        <v>69</v>
      </c>
    </row>
    <row r="91">
      <c r="A91" s="10" t="inlineStr">
        <is>
          <t>Uzbekistan</t>
        </is>
      </c>
      <c r="B91" s="17" t="n">
        <v>135</v>
      </c>
      <c r="C91" s="26" t="n">
        <v>-5.461920000000021</v>
      </c>
      <c r="D91" s="26" t="n">
        <v>-2.866520000000008</v>
      </c>
      <c r="E91" s="26" t="n">
        <v>-53.28092000000001</v>
      </c>
      <c r="F91" s="26" t="n">
        <v>-78.97142000000002</v>
      </c>
      <c r="G91" s="17" t="n">
        <v>249.3933</v>
      </c>
      <c r="H91" s="17" t="n">
        <v>321.9924</v>
      </c>
      <c r="I91" s="17" t="n">
        <v>299.3646</v>
      </c>
      <c r="J91" s="17" t="n">
        <v>307.4877</v>
      </c>
      <c r="K91" s="17" t="n">
        <v>370.7334</v>
      </c>
      <c r="L91" s="17" t="n">
        <v>328.9041</v>
      </c>
      <c r="M91" s="17" t="n">
        <v>374.5791</v>
      </c>
      <c r="N91" s="17" t="n">
        <v>410.2972</v>
      </c>
      <c r="O91" s="17" t="n">
        <v>531.4441</v>
      </c>
      <c r="P91" s="17" t="n">
        <v>581.8655</v>
      </c>
      <c r="Q91" s="17" t="n">
        <v>464.0743</v>
      </c>
      <c r="R91" s="17" t="n">
        <v>490.5461</v>
      </c>
      <c r="S91" s="17" t="n">
        <v>469.2179</v>
      </c>
      <c r="T91" s="17" t="n">
        <v>360.5029</v>
      </c>
      <c r="U91" s="17" t="n">
        <v>302.4322</v>
      </c>
      <c r="V91" s="17" t="n">
        <v>323.7817</v>
      </c>
      <c r="W91" s="17" t="n">
        <v>317.3536</v>
      </c>
      <c r="X91" s="17" t="n">
        <v>394.4305</v>
      </c>
      <c r="Y91" s="17" t="n">
        <v>371.4125</v>
      </c>
      <c r="Z91" s="17" t="n">
        <v>378.979</v>
      </c>
      <c r="AA91" s="17" t="n">
        <v>327.4759</v>
      </c>
      <c r="AB91" s="17" t="n">
        <v>294.8647</v>
      </c>
      <c r="AC91" s="17" t="n">
        <v>334.7823</v>
      </c>
      <c r="AD91" s="17" t="n">
        <v>340.3304</v>
      </c>
      <c r="AE91" s="17" t="n">
        <v>352.3463</v>
      </c>
      <c r="AF91" s="17" t="n">
        <v>345.7882</v>
      </c>
      <c r="AG91" s="17" t="n">
        <v>307.6321</v>
      </c>
      <c r="AH91" s="17" t="n">
        <v>341.4177</v>
      </c>
      <c r="AI91" s="17" t="n">
        <v>279.6684</v>
      </c>
      <c r="AJ91" s="17" t="n">
        <v>283.7367</v>
      </c>
      <c r="AK91" s="17" t="n">
        <v>288.6777</v>
      </c>
      <c r="AL91" s="17" t="n">
        <v>283.0806</v>
      </c>
      <c r="AM91" s="17" t="n">
        <v>300.313</v>
      </c>
      <c r="AN91" s="17" t="n">
        <v>332.5171</v>
      </c>
      <c r="AO91" s="17" t="n">
        <v>308.6704</v>
      </c>
      <c r="AP91" s="17" t="n">
        <v>298.8681</v>
      </c>
      <c r="AQ91" s="17" t="n">
        <v>278.1696</v>
      </c>
      <c r="AR91" s="17" t="n">
        <v>273.4068</v>
      </c>
      <c r="AS91" s="17" t="n">
        <v>271.5246</v>
      </c>
      <c r="AT91" s="17" t="n">
        <v>266.4244</v>
      </c>
      <c r="AU91" s="17" t="n">
        <v>269.6731</v>
      </c>
      <c r="AV91" s="17" t="n">
        <v>295.9522</v>
      </c>
      <c r="AW91" s="17" t="n">
        <v>293.7422</v>
      </c>
      <c r="AX91" s="17" t="n">
        <v>301.6737</v>
      </c>
      <c r="AY91" s="17" t="n">
        <v>259.6132</v>
      </c>
      <c r="AZ91" s="17" t="n">
        <v>219.6034</v>
      </c>
      <c r="BA91" s="17" t="n">
        <v>209.6659</v>
      </c>
      <c r="BB91" s="17" t="n">
        <v>183.4219</v>
      </c>
      <c r="BC91" s="17" t="n">
        <v>178.7029</v>
      </c>
      <c r="BD91" s="17" t="n">
        <v>208.0175</v>
      </c>
      <c r="BE91" s="17" t="n">
        <v>184.0777</v>
      </c>
      <c r="BF91" s="17" t="n">
        <v>162.7505</v>
      </c>
      <c r="BG91" s="17" t="n">
        <v>169.8245</v>
      </c>
      <c r="BH91" s="17" t="n">
        <v>214.6829</v>
      </c>
      <c r="BI91" s="17" t="n">
        <v>151.2387</v>
      </c>
      <c r="BJ91" s="17" t="n">
        <v>137.0046</v>
      </c>
      <c r="BK91" s="17" t="n">
        <v>133.2621</v>
      </c>
      <c r="BL91" s="17" t="n">
        <v>136.3038</v>
      </c>
      <c r="BM91" s="17" t="n">
        <v>127.1087</v>
      </c>
      <c r="BN91" s="17" t="n">
        <v>135</v>
      </c>
    </row>
    <row r="92">
      <c r="A92" s="10" t="inlineStr">
        <is>
          <t>Venezuela</t>
        </is>
      </c>
      <c r="B92" s="17" t="n">
        <v>4023</v>
      </c>
      <c r="C92" s="26" t="n">
        <v>-341.6613400000001</v>
      </c>
      <c r="D92" s="27" t="n">
        <v>312.5605599999994</v>
      </c>
      <c r="E92" s="26" t="n">
        <v>-6624.52274</v>
      </c>
      <c r="F92" s="26" t="n">
        <v>-9943.76604</v>
      </c>
      <c r="G92" s="17" t="n">
        <v>32197.9894</v>
      </c>
      <c r="H92" s="17" t="n">
        <v>31857.1777</v>
      </c>
      <c r="I92" s="17" t="n">
        <v>55310.1043</v>
      </c>
      <c r="J92" s="17" t="n">
        <v>51958.5319</v>
      </c>
      <c r="K92" s="17" t="n">
        <v>64522.7885</v>
      </c>
      <c r="L92" s="17" t="n">
        <v>37944.8348</v>
      </c>
      <c r="M92" s="17" t="n">
        <v>32691.1232</v>
      </c>
      <c r="N92" s="17" t="n">
        <v>30794.6036</v>
      </c>
      <c r="O92" s="17" t="n">
        <v>36397.9286</v>
      </c>
      <c r="P92" s="17" t="n">
        <v>41341.565</v>
      </c>
      <c r="Q92" s="17" t="n">
        <v>40089.9879</v>
      </c>
      <c r="R92" s="17" t="n">
        <v>50129.8554</v>
      </c>
      <c r="S92" s="17" t="n">
        <v>51157.4432</v>
      </c>
      <c r="T92" s="17" t="n">
        <v>34698.4937</v>
      </c>
      <c r="U92" s="17" t="n">
        <v>44839.9788</v>
      </c>
      <c r="V92" s="17" t="n">
        <v>11219.1794</v>
      </c>
      <c r="W92" s="17" t="n">
        <v>10792.8255</v>
      </c>
      <c r="X92" s="17" t="n">
        <v>11053.9974</v>
      </c>
      <c r="Y92" s="17" t="n">
        <v>11900.894</v>
      </c>
      <c r="Z92" s="17" t="n">
        <v>37552.0838</v>
      </c>
      <c r="AA92" s="17" t="n">
        <v>42752.6915</v>
      </c>
      <c r="AB92" s="17" t="n">
        <v>38800.1588</v>
      </c>
      <c r="AC92" s="17" t="n">
        <v>34220.4732</v>
      </c>
      <c r="AD92" s="17" t="n">
        <v>38912.0481</v>
      </c>
      <c r="AE92" s="17" t="n">
        <v>15867.454</v>
      </c>
      <c r="AF92" s="17" t="n">
        <v>18054.3743</v>
      </c>
      <c r="AG92" s="17" t="n">
        <v>21422.3898</v>
      </c>
      <c r="AH92" s="17" t="n">
        <v>22197.6631</v>
      </c>
      <c r="AI92" s="17" t="n">
        <v>21928.4419</v>
      </c>
      <c r="AJ92" s="17" t="n">
        <v>21720.1751</v>
      </c>
      <c r="AK92" s="17" t="n">
        <v>14799.4652</v>
      </c>
      <c r="AL92" s="17" t="n">
        <v>15228.1502</v>
      </c>
      <c r="AM92" s="17" t="n">
        <v>16877.7322</v>
      </c>
      <c r="AN92" s="17" t="n">
        <v>18715.6953</v>
      </c>
      <c r="AO92" s="17" t="n">
        <v>22664.6545</v>
      </c>
      <c r="AP92" s="17" t="n">
        <v>19495.1061</v>
      </c>
      <c r="AQ92" s="17" t="n">
        <v>19680.7609</v>
      </c>
      <c r="AR92" s="17" t="n">
        <v>22384.5138</v>
      </c>
      <c r="AS92" s="17" t="n">
        <v>23773.4717</v>
      </c>
      <c r="AT92" s="17" t="n">
        <v>20504.9357</v>
      </c>
      <c r="AU92" s="17" t="n">
        <v>17285.0742</v>
      </c>
      <c r="AV92" s="17" t="n">
        <v>16000.2329</v>
      </c>
      <c r="AW92" s="17" t="n">
        <v>19852.8733</v>
      </c>
      <c r="AX92" s="17" t="n">
        <v>17086.1032</v>
      </c>
      <c r="AY92" s="17" t="n">
        <v>18155.7384</v>
      </c>
      <c r="AZ92" s="17" t="n">
        <v>19002.2343</v>
      </c>
      <c r="BA92" s="17" t="n">
        <v>16401.7956</v>
      </c>
      <c r="BB92" s="17" t="n">
        <v>16190.0939</v>
      </c>
      <c r="BC92" s="17" t="n">
        <v>12620.3042</v>
      </c>
      <c r="BD92" s="17" t="n">
        <v>11500.3954</v>
      </c>
      <c r="BE92" s="17" t="n">
        <v>12740.9904</v>
      </c>
      <c r="BF92" s="17" t="n">
        <v>9006.090899999999</v>
      </c>
      <c r="BG92" s="17" t="n">
        <v>8027.0206</v>
      </c>
      <c r="BH92" s="17" t="n">
        <v>6371.0939</v>
      </c>
      <c r="BI92" s="17" t="n">
        <v>5556.5476</v>
      </c>
      <c r="BJ92" s="17" t="n">
        <v>5722.0856</v>
      </c>
      <c r="BK92" s="17" t="n">
        <v>6625.289</v>
      </c>
      <c r="BL92" s="17" t="n">
        <v>6686.2178</v>
      </c>
      <c r="BM92" s="17" t="n">
        <v>6389.4668</v>
      </c>
      <c r="BN92" s="17" t="n">
        <v>4023</v>
      </c>
    </row>
    <row r="93">
      <c r="A93" s="10" t="inlineStr">
        <is>
          <t>Zambia</t>
        </is>
      </c>
      <c r="B93" s="17" t="n">
        <v>187</v>
      </c>
      <c r="C93" s="15" t="n">
        <v>0</v>
      </c>
      <c r="D93" s="15" t="n">
        <v>0</v>
      </c>
      <c r="E93" s="15" t="n">
        <v>0</v>
      </c>
      <c r="F93" s="15" t="n">
        <v>0</v>
      </c>
      <c r="G93" s="17" t="inlineStr"/>
      <c r="H93" s="17" t="inlineStr"/>
      <c r="I93" s="17" t="inlineStr"/>
      <c r="J93" s="17" t="inlineStr"/>
      <c r="K93" s="17" t="inlineStr"/>
      <c r="L93" s="17" t="inlineStr"/>
      <c r="M93" s="17" t="inlineStr"/>
      <c r="N93" s="17" t="inlineStr"/>
      <c r="O93" s="17" t="inlineStr"/>
      <c r="P93" s="17" t="inlineStr"/>
      <c r="Q93" s="17" t="inlineStr"/>
      <c r="R93" s="17" t="inlineStr"/>
      <c r="S93" s="17" t="inlineStr"/>
      <c r="T93" s="17" t="inlineStr"/>
      <c r="U93" s="17" t="inlineStr"/>
      <c r="V93" s="17" t="inlineStr"/>
      <c r="W93" s="17" t="inlineStr"/>
      <c r="X93" s="17" t="inlineStr"/>
      <c r="Y93" s="17" t="inlineStr"/>
      <c r="Z93" s="17" t="inlineStr"/>
      <c r="AA93" s="17" t="inlineStr"/>
      <c r="AB93" s="17" t="inlineStr"/>
      <c r="AC93" s="17" t="inlineStr"/>
      <c r="AD93" s="17" t="inlineStr"/>
      <c r="AE93" s="17" t="inlineStr"/>
      <c r="AF93" s="17" t="inlineStr"/>
      <c r="AG93" s="17" t="inlineStr"/>
      <c r="AH93" s="17" t="inlineStr"/>
      <c r="AI93" s="17" t="inlineStr"/>
      <c r="AJ93" s="17" t="inlineStr"/>
      <c r="AK93" s="17" t="inlineStr"/>
      <c r="AL93" s="17" t="inlineStr"/>
      <c r="AM93" s="17" t="inlineStr"/>
      <c r="AN93" s="17" t="inlineStr"/>
      <c r="AO93" s="17" t="inlineStr"/>
      <c r="AP93" s="17" t="inlineStr"/>
      <c r="AQ93" s="17" t="inlineStr"/>
      <c r="AR93" s="17" t="inlineStr"/>
      <c r="AS93" s="17" t="inlineStr"/>
      <c r="AT93" s="17" t="inlineStr"/>
      <c r="AU93" s="17" t="inlineStr"/>
      <c r="AV93" s="17" t="inlineStr"/>
      <c r="AW93" s="17" t="inlineStr"/>
      <c r="AX93" s="17" t="inlineStr"/>
      <c r="AY93" s="17" t="inlineStr"/>
      <c r="AZ93" s="17" t="inlineStr"/>
      <c r="BA93" s="17" t="inlineStr"/>
      <c r="BB93" s="17" t="inlineStr"/>
      <c r="BC93" s="17" t="inlineStr"/>
      <c r="BD93" s="17" t="inlineStr"/>
      <c r="BE93" s="17" t="inlineStr"/>
      <c r="BF93" s="17" t="inlineStr"/>
      <c r="BG93" s="17" t="inlineStr"/>
      <c r="BH93" s="17" t="inlineStr"/>
      <c r="BI93" s="17" t="inlineStr"/>
      <c r="BJ93" s="17" t="inlineStr"/>
      <c r="BK93" s="17" t="inlineStr"/>
      <c r="BL93" s="17" t="inlineStr"/>
      <c r="BM93" s="17" t="inlineStr"/>
      <c r="BN93" s="17" t="n">
        <v>187</v>
      </c>
    </row>
    <row r="95">
      <c r="A95" s="4" t="inlineStr">
        <is>
          <t>Green is tightening, red is widening.  Levels in the history block are month ends.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95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2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</cols>
  <sheetData>
    <row r="1">
      <c r="A1" s="5" t="inlineStr">
        <is>
          <t>Yields to maturity — 2026-09-08</t>
        </is>
      </c>
    </row>
    <row r="2">
      <c r="A2" s="4" t="inlineStr">
        <is>
          <t>Sub-indices at the top: the index, then the five regions, then the rating buckets, then countries. The block on the left is how each one is doing (%); the columns to the right are month-end history.</t>
        </is>
      </c>
    </row>
    <row r="4">
      <c r="A4" s="13" t="inlineStr">
        <is>
          <t>Sub-index</t>
        </is>
      </c>
      <c r="B4" s="13" t="inlineStr">
        <is>
          <t>Latest (%)</t>
        </is>
      </c>
      <c r="C4" s="13" t="inlineStr">
        <is>
          <t>1 month</t>
        </is>
      </c>
      <c r="D4" s="13" t="inlineStr">
        <is>
          <t>3 months</t>
        </is>
      </c>
      <c r="E4" s="13" t="inlineStr">
        <is>
          <t>YTD 2026</t>
        </is>
      </c>
      <c r="F4" s="13" t="inlineStr">
        <is>
          <t>12 months</t>
        </is>
      </c>
      <c r="G4" s="13" t="inlineStr">
        <is>
          <t>2021-10</t>
        </is>
      </c>
      <c r="H4" s="13" t="inlineStr">
        <is>
          <t>2021-11</t>
        </is>
      </c>
      <c r="I4" s="13" t="inlineStr">
        <is>
          <t>2021-12</t>
        </is>
      </c>
      <c r="J4" s="13" t="inlineStr">
        <is>
          <t>2022-01</t>
        </is>
      </c>
      <c r="K4" s="13" t="inlineStr">
        <is>
          <t>2022-02</t>
        </is>
      </c>
      <c r="L4" s="13" t="inlineStr">
        <is>
          <t>2022-03</t>
        </is>
      </c>
      <c r="M4" s="13" t="inlineStr">
        <is>
          <t>2022-04</t>
        </is>
      </c>
      <c r="N4" s="13" t="inlineStr">
        <is>
          <t>2022-05</t>
        </is>
      </c>
      <c r="O4" s="13" t="inlineStr">
        <is>
          <t>2022-06</t>
        </is>
      </c>
      <c r="P4" s="13" t="inlineStr">
        <is>
          <t>2022-07</t>
        </is>
      </c>
      <c r="Q4" s="13" t="inlineStr">
        <is>
          <t>2022-08</t>
        </is>
      </c>
      <c r="R4" s="13" t="inlineStr">
        <is>
          <t>2022-09</t>
        </is>
      </c>
      <c r="S4" s="13" t="inlineStr">
        <is>
          <t>2022-10</t>
        </is>
      </c>
      <c r="T4" s="13" t="inlineStr">
        <is>
          <t>2022-11</t>
        </is>
      </c>
      <c r="U4" s="13" t="inlineStr">
        <is>
          <t>2022-12</t>
        </is>
      </c>
      <c r="V4" s="13" t="inlineStr">
        <is>
          <t>2023-01</t>
        </is>
      </c>
      <c r="W4" s="13" t="inlineStr">
        <is>
          <t>2023-02</t>
        </is>
      </c>
      <c r="X4" s="13" t="inlineStr">
        <is>
          <t>2023-03</t>
        </is>
      </c>
      <c r="Y4" s="13" t="inlineStr">
        <is>
          <t>2023-04</t>
        </is>
      </c>
      <c r="Z4" s="13" t="inlineStr">
        <is>
          <t>2023-05</t>
        </is>
      </c>
      <c r="AA4" s="13" t="inlineStr">
        <is>
          <t>2023-06</t>
        </is>
      </c>
      <c r="AB4" s="13" t="inlineStr">
        <is>
          <t>2023-07</t>
        </is>
      </c>
      <c r="AC4" s="13" t="inlineStr">
        <is>
          <t>2023-08</t>
        </is>
      </c>
      <c r="AD4" s="13" t="inlineStr">
        <is>
          <t>2023-09</t>
        </is>
      </c>
      <c r="AE4" s="13" t="inlineStr">
        <is>
          <t>2023-10</t>
        </is>
      </c>
      <c r="AF4" s="13" t="inlineStr">
        <is>
          <t>2023-11</t>
        </is>
      </c>
      <c r="AG4" s="13" t="inlineStr">
        <is>
          <t>2023-12</t>
        </is>
      </c>
      <c r="AH4" s="13" t="inlineStr">
        <is>
          <t>2024-01</t>
        </is>
      </c>
      <c r="AI4" s="13" t="inlineStr">
        <is>
          <t>2024-02</t>
        </is>
      </c>
      <c r="AJ4" s="13" t="inlineStr">
        <is>
          <t>2024-03</t>
        </is>
      </c>
      <c r="AK4" s="13" t="inlineStr">
        <is>
          <t>2024-04</t>
        </is>
      </c>
      <c r="AL4" s="13" t="inlineStr">
        <is>
          <t>2024-05</t>
        </is>
      </c>
      <c r="AM4" s="13" t="inlineStr">
        <is>
          <t>2024-06</t>
        </is>
      </c>
      <c r="AN4" s="13" t="inlineStr">
        <is>
          <t>2024-07</t>
        </is>
      </c>
      <c r="AO4" s="13" t="inlineStr">
        <is>
          <t>2024-08</t>
        </is>
      </c>
      <c r="AP4" s="13" t="inlineStr">
        <is>
          <t>2024-09</t>
        </is>
      </c>
      <c r="AQ4" s="13" t="inlineStr">
        <is>
          <t>2024-10</t>
        </is>
      </c>
      <c r="AR4" s="13" t="inlineStr">
        <is>
          <t>2024-11</t>
        </is>
      </c>
      <c r="AS4" s="13" t="inlineStr">
        <is>
          <t>2024-12</t>
        </is>
      </c>
      <c r="AT4" s="13" t="inlineStr">
        <is>
          <t>2025-01</t>
        </is>
      </c>
      <c r="AU4" s="13" t="inlineStr">
        <is>
          <t>2025-02</t>
        </is>
      </c>
      <c r="AV4" s="13" t="inlineStr">
        <is>
          <t>2025-03</t>
        </is>
      </c>
      <c r="AW4" s="13" t="inlineStr">
        <is>
          <t>2025-04</t>
        </is>
      </c>
      <c r="AX4" s="13" t="inlineStr">
        <is>
          <t>2025-05</t>
        </is>
      </c>
      <c r="AY4" s="13" t="inlineStr">
        <is>
          <t>2025-06</t>
        </is>
      </c>
      <c r="AZ4" s="13" t="inlineStr">
        <is>
          <t>2025-07</t>
        </is>
      </c>
      <c r="BA4" s="13" t="inlineStr">
        <is>
          <t>2025-08</t>
        </is>
      </c>
      <c r="BB4" s="13" t="inlineStr">
        <is>
          <t>2025-09</t>
        </is>
      </c>
      <c r="BC4" s="13" t="inlineStr">
        <is>
          <t>2025-10</t>
        </is>
      </c>
      <c r="BD4" s="13" t="inlineStr">
        <is>
          <t>2025-11</t>
        </is>
      </c>
      <c r="BE4" s="13" t="inlineStr">
        <is>
          <t>2025-12</t>
        </is>
      </c>
      <c r="BF4" s="13" t="inlineStr">
        <is>
          <t>2026-01</t>
        </is>
      </c>
      <c r="BG4" s="13" t="inlineStr">
        <is>
          <t>2026-02</t>
        </is>
      </c>
      <c r="BH4" s="13" t="inlineStr">
        <is>
          <t>2026-03</t>
        </is>
      </c>
      <c r="BI4" s="13" t="inlineStr">
        <is>
          <t>2026-04</t>
        </is>
      </c>
      <c r="BJ4" s="13" t="inlineStr">
        <is>
          <t>2026-05</t>
        </is>
      </c>
      <c r="BK4" s="13" t="inlineStr">
        <is>
          <t>2026-06</t>
        </is>
      </c>
      <c r="BL4" s="13" t="inlineStr">
        <is>
          <t>2026-07</t>
        </is>
      </c>
      <c r="BM4" s="13" t="inlineStr">
        <is>
          <t>2026-08</t>
        </is>
      </c>
      <c r="BN4" s="13" t="inlineStr">
        <is>
          <t>2026-09-08</t>
        </is>
      </c>
    </row>
    <row r="5">
      <c r="A5" s="2" t="inlineStr">
        <is>
          <t>INDEX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</row>
    <row r="6">
      <c r="A6" s="2" t="inlineStr">
        <is>
          <t>EMBIG Div</t>
        </is>
      </c>
      <c r="B6" s="28" t="n">
        <v>6.645691</v>
      </c>
      <c r="C6" s="24" t="n">
        <v>12.07910000000005</v>
      </c>
      <c r="D6" s="24" t="n">
        <v>25.34410000000005</v>
      </c>
      <c r="E6" s="24" t="n">
        <v>43.91210000000012</v>
      </c>
      <c r="F6" s="24" t="n">
        <v>8.413100000000089</v>
      </c>
      <c r="G6" s="16" t="n">
        <v>5.14412</v>
      </c>
      <c r="H6" s="16" t="n">
        <v>5.42391</v>
      </c>
      <c r="I6" s="16" t="n">
        <v>5.29255</v>
      </c>
      <c r="J6" s="16" t="n">
        <v>5.72298</v>
      </c>
      <c r="K6" s="16" t="n">
        <v>6.64159</v>
      </c>
      <c r="L6" s="16" t="n">
        <v>6.43765</v>
      </c>
      <c r="M6" s="16" t="n">
        <v>7.37689</v>
      </c>
      <c r="N6" s="16" t="n">
        <v>7.45078</v>
      </c>
      <c r="O6" s="16" t="n">
        <v>8.56551</v>
      </c>
      <c r="P6" s="16" t="n">
        <v>8.1951</v>
      </c>
      <c r="Q6" s="16" t="n">
        <v>8.37134</v>
      </c>
      <c r="R6" s="16" t="n">
        <v>9.57086</v>
      </c>
      <c r="S6" s="16" t="n">
        <v>9.657439999999999</v>
      </c>
      <c r="T6" s="16" t="n">
        <v>8.507379999999999</v>
      </c>
      <c r="U6" s="16" t="n">
        <v>8.55611</v>
      </c>
      <c r="V6" s="16" t="n">
        <v>8.061260000000001</v>
      </c>
      <c r="W6" s="16" t="n">
        <v>8.52411</v>
      </c>
      <c r="X6" s="16" t="n">
        <v>8.44739</v>
      </c>
      <c r="Y6" s="16" t="n">
        <v>8.406280000000001</v>
      </c>
      <c r="Z6" s="16" t="n">
        <v>8.622680000000001</v>
      </c>
      <c r="AA6" s="16" t="n">
        <v>8.366580000000001</v>
      </c>
      <c r="AB6" s="16" t="n">
        <v>8.132339999999999</v>
      </c>
      <c r="AC6" s="16" t="n">
        <v>8.504670000000001</v>
      </c>
      <c r="AD6" s="16" t="n">
        <v>9.03778</v>
      </c>
      <c r="AE6" s="16" t="n">
        <v>9.37763</v>
      </c>
      <c r="AF6" s="16" t="n">
        <v>8.52609</v>
      </c>
      <c r="AG6" s="16" t="n">
        <v>7.85113</v>
      </c>
      <c r="AH6" s="16" t="n">
        <v>8.085050000000001</v>
      </c>
      <c r="AI6" s="16" t="n">
        <v>8.06901</v>
      </c>
      <c r="AJ6" s="16" t="n">
        <v>7.75062</v>
      </c>
      <c r="AK6" s="16" t="n">
        <v>8.527749999999999</v>
      </c>
      <c r="AL6" s="16" t="n">
        <v>8.421810000000001</v>
      </c>
      <c r="AM6" s="16" t="n">
        <v>8.41489</v>
      </c>
      <c r="AN6" s="16" t="n">
        <v>8.18413</v>
      </c>
      <c r="AO6" s="16" t="n">
        <v>7.88791</v>
      </c>
      <c r="AP6" s="16" t="n">
        <v>7.49086</v>
      </c>
      <c r="AQ6" s="16" t="n">
        <v>7.72642</v>
      </c>
      <c r="AR6" s="16" t="n">
        <v>7.62881</v>
      </c>
      <c r="AS6" s="16" t="n">
        <v>7.86805</v>
      </c>
      <c r="AT6" s="16" t="n">
        <v>7.74327</v>
      </c>
      <c r="AU6" s="16" t="n">
        <v>7.56542</v>
      </c>
      <c r="AV6" s="16" t="n">
        <v>7.77716</v>
      </c>
      <c r="AW6" s="16" t="n">
        <v>7.89965</v>
      </c>
      <c r="AX6" s="16" t="n">
        <v>7.81815</v>
      </c>
      <c r="AY6" s="16" t="n">
        <v>7.54271</v>
      </c>
      <c r="AZ6" s="16" t="n">
        <v>7.45163</v>
      </c>
      <c r="BA6" s="16" t="n">
        <v>7.30361</v>
      </c>
      <c r="BB6" s="16" t="n">
        <v>7.08284</v>
      </c>
      <c r="BC6" s="16" t="n">
        <v>6.8273</v>
      </c>
      <c r="BD6" s="16" t="n">
        <v>6.83529</v>
      </c>
      <c r="BE6" s="16" t="n">
        <v>6.80751</v>
      </c>
      <c r="BF6" s="16" t="n">
        <v>6.79005</v>
      </c>
      <c r="BG6" s="16" t="n">
        <v>6.65874</v>
      </c>
      <c r="BH6" s="16" t="n">
        <v>7.31266</v>
      </c>
      <c r="BI6" s="16" t="n">
        <v>6.96991</v>
      </c>
      <c r="BJ6" s="16" t="n">
        <v>6.9171</v>
      </c>
      <c r="BK6" s="16" t="n">
        <v>6.92331</v>
      </c>
      <c r="BL6" s="16" t="n">
        <v>7.26368</v>
      </c>
      <c r="BM6" s="16" t="n">
        <v>7.20266</v>
      </c>
      <c r="BN6" s="16" t="n">
        <v>6.645691</v>
      </c>
    </row>
    <row r="8">
      <c r="A8" s="2" t="inlineStr">
        <is>
          <t>REGIONS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</row>
    <row r="9">
      <c r="A9" s="7" t="inlineStr">
        <is>
          <t>LATIN Region</t>
        </is>
      </c>
      <c r="B9" s="28" t="n">
        <v>6.689736</v>
      </c>
      <c r="C9" s="24" t="n">
        <v>9.532600000000002</v>
      </c>
      <c r="D9" s="24" t="n">
        <v>21.14760000000002</v>
      </c>
      <c r="E9" s="24" t="n">
        <v>1.974600000000063</v>
      </c>
      <c r="F9" s="25" t="n">
        <v>-48.11839999999998</v>
      </c>
      <c r="G9" s="16" t="n">
        <v>5.39882</v>
      </c>
      <c r="H9" s="16" t="n">
        <v>5.66716</v>
      </c>
      <c r="I9" s="16" t="n">
        <v>5.47065</v>
      </c>
      <c r="J9" s="16" t="n">
        <v>5.83689</v>
      </c>
      <c r="K9" s="16" t="n">
        <v>6.20104</v>
      </c>
      <c r="L9" s="16" t="n">
        <v>6.2636</v>
      </c>
      <c r="M9" s="16" t="n">
        <v>7.19838</v>
      </c>
      <c r="N9" s="16" t="n">
        <v>7.16209</v>
      </c>
      <c r="O9" s="16" t="n">
        <v>8.228579999999999</v>
      </c>
      <c r="P9" s="16" t="n">
        <v>7.70278</v>
      </c>
      <c r="Q9" s="16" t="n">
        <v>8.153219999999999</v>
      </c>
      <c r="R9" s="16" t="n">
        <v>9.205719999999999</v>
      </c>
      <c r="S9" s="16" t="n">
        <v>9.13232</v>
      </c>
      <c r="T9" s="16" t="n">
        <v>8.13625</v>
      </c>
      <c r="U9" s="16" t="n">
        <v>8.16865</v>
      </c>
      <c r="V9" s="16" t="n">
        <v>7.68162</v>
      </c>
      <c r="W9" s="16" t="n">
        <v>8.240500000000001</v>
      </c>
      <c r="X9" s="16" t="n">
        <v>8.119440000000001</v>
      </c>
      <c r="Y9" s="16" t="n">
        <v>8.07404</v>
      </c>
      <c r="Z9" s="16" t="n">
        <v>8.25484</v>
      </c>
      <c r="AA9" s="16" t="n">
        <v>8.00666</v>
      </c>
      <c r="AB9" s="16" t="n">
        <v>7.86231</v>
      </c>
      <c r="AC9" s="16" t="n">
        <v>8.11032</v>
      </c>
      <c r="AD9" s="16" t="n">
        <v>8.766640000000001</v>
      </c>
      <c r="AE9" s="16" t="n">
        <v>9.12551</v>
      </c>
      <c r="AF9" s="16" t="n">
        <v>8.291399999999999</v>
      </c>
      <c r="AG9" s="16" t="n">
        <v>7.6714</v>
      </c>
      <c r="AH9" s="16" t="n">
        <v>7.84952</v>
      </c>
      <c r="AI9" s="16" t="n">
        <v>7.86225</v>
      </c>
      <c r="AJ9" s="16" t="n">
        <v>7.60781</v>
      </c>
      <c r="AK9" s="16" t="n">
        <v>8.886979999999999</v>
      </c>
      <c r="AL9" s="16" t="n">
        <v>9.03786</v>
      </c>
      <c r="AM9" s="16" t="n">
        <v>9.204280000000001</v>
      </c>
      <c r="AN9" s="16" t="n">
        <v>8.938650000000001</v>
      </c>
      <c r="AO9" s="16" t="n">
        <v>8.60909</v>
      </c>
      <c r="AP9" s="16" t="n">
        <v>8.297330000000001</v>
      </c>
      <c r="AQ9" s="16" t="n">
        <v>8.71062</v>
      </c>
      <c r="AR9" s="16" t="n">
        <v>8.54928</v>
      </c>
      <c r="AS9" s="16" t="n">
        <v>8.89152</v>
      </c>
      <c r="AT9" s="16" t="n">
        <v>8.70729</v>
      </c>
      <c r="AU9" s="16" t="n">
        <v>8.57873</v>
      </c>
      <c r="AV9" s="16" t="n">
        <v>8.75559</v>
      </c>
      <c r="AW9" s="16" t="n">
        <v>8.760400000000001</v>
      </c>
      <c r="AX9" s="16" t="n">
        <v>8.715170000000001</v>
      </c>
      <c r="AY9" s="16" t="n">
        <v>8.35464</v>
      </c>
      <c r="AZ9" s="16" t="n">
        <v>8.25919</v>
      </c>
      <c r="BA9" s="16" t="n">
        <v>8.03158</v>
      </c>
      <c r="BB9" s="16" t="n">
        <v>7.87264</v>
      </c>
      <c r="BC9" s="16" t="n">
        <v>7.41919</v>
      </c>
      <c r="BD9" s="16" t="n">
        <v>7.41174</v>
      </c>
      <c r="BE9" s="16" t="n">
        <v>7.39927</v>
      </c>
      <c r="BF9" s="16" t="n">
        <v>7.25849</v>
      </c>
      <c r="BG9" s="16" t="n">
        <v>7.11279</v>
      </c>
      <c r="BH9" s="16" t="n">
        <v>7.55418</v>
      </c>
      <c r="BI9" s="16" t="n">
        <v>7.15601</v>
      </c>
      <c r="BJ9" s="16" t="n">
        <v>7.1752</v>
      </c>
      <c r="BK9" s="16" t="n">
        <v>7.10729</v>
      </c>
      <c r="BL9" s="16" t="n">
        <v>7.46008</v>
      </c>
      <c r="BM9" s="16" t="n">
        <v>7.40876</v>
      </c>
      <c r="BN9" s="16" t="n">
        <v>6.689736</v>
      </c>
    </row>
    <row r="10">
      <c r="A10" s="7" t="inlineStr">
        <is>
          <t>EUROPE Region</t>
        </is>
      </c>
      <c r="B10" s="28" t="n">
        <v>6.705056</v>
      </c>
      <c r="C10" s="24" t="n">
        <v>23.47859999999997</v>
      </c>
      <c r="D10" s="24" t="n">
        <v>26.77459999999998</v>
      </c>
      <c r="E10" s="24" t="n">
        <v>56.53160000000001</v>
      </c>
      <c r="F10" s="24" t="n">
        <v>24.34760000000002</v>
      </c>
      <c r="G10" s="16" t="n">
        <v>4.30825</v>
      </c>
      <c r="H10" s="16" t="n">
        <v>4.68051</v>
      </c>
      <c r="I10" s="16" t="n">
        <v>4.76515</v>
      </c>
      <c r="J10" s="16" t="n">
        <v>5.44471</v>
      </c>
      <c r="K10" s="16" t="n">
        <v>10.0475</v>
      </c>
      <c r="L10" s="16" t="n">
        <v>8.011240000000001</v>
      </c>
      <c r="M10" s="16" t="n">
        <v>9.07423</v>
      </c>
      <c r="N10" s="16" t="n">
        <v>9.201739999999999</v>
      </c>
      <c r="O10" s="16" t="n">
        <v>10.74912</v>
      </c>
      <c r="P10" s="16" t="n">
        <v>10.66774</v>
      </c>
      <c r="Q10" s="16" t="n">
        <v>10.20404</v>
      </c>
      <c r="R10" s="16" t="n">
        <v>11.32666</v>
      </c>
      <c r="S10" s="16" t="n">
        <v>11.4129</v>
      </c>
      <c r="T10" s="16" t="n">
        <v>9.86519</v>
      </c>
      <c r="U10" s="16" t="n">
        <v>9.948869999999999</v>
      </c>
      <c r="V10" s="16" t="n">
        <v>9.4739</v>
      </c>
      <c r="W10" s="16" t="n">
        <v>9.90222</v>
      </c>
      <c r="X10" s="16" t="n">
        <v>9.709289999999999</v>
      </c>
      <c r="Y10" s="16" t="n">
        <v>9.30054</v>
      </c>
      <c r="Z10" s="16" t="n">
        <v>9.60122</v>
      </c>
      <c r="AA10" s="16" t="n">
        <v>9.238799999999999</v>
      </c>
      <c r="AB10" s="16" t="n">
        <v>8.662050000000001</v>
      </c>
      <c r="AC10" s="16" t="n">
        <v>9.03431</v>
      </c>
      <c r="AD10" s="16" t="n">
        <v>9.53895</v>
      </c>
      <c r="AE10" s="16" t="n">
        <v>9.85051</v>
      </c>
      <c r="AF10" s="16" t="n">
        <v>9.152509999999999</v>
      </c>
      <c r="AG10" s="16" t="n">
        <v>8.434939999999999</v>
      </c>
      <c r="AH10" s="16" t="n">
        <v>8.610989999999999</v>
      </c>
      <c r="AI10" s="16" t="n">
        <v>8.627520000000001</v>
      </c>
      <c r="AJ10" s="16" t="n">
        <v>8.072319999999999</v>
      </c>
      <c r="AK10" s="16" t="n">
        <v>8.595409999999999</v>
      </c>
      <c r="AL10" s="16" t="n">
        <v>8.34539</v>
      </c>
      <c r="AM10" s="16" t="n">
        <v>8.197660000000001</v>
      </c>
      <c r="AN10" s="16" t="n">
        <v>7.89868</v>
      </c>
      <c r="AO10" s="16" t="n">
        <v>7.62237</v>
      </c>
      <c r="AP10" s="16" t="n">
        <v>6.5606</v>
      </c>
      <c r="AQ10" s="16" t="n">
        <v>6.90171</v>
      </c>
      <c r="AR10" s="16" t="n">
        <v>6.82189</v>
      </c>
      <c r="AS10" s="16" t="n">
        <v>7.07671</v>
      </c>
      <c r="AT10" s="16" t="n">
        <v>6.9832</v>
      </c>
      <c r="AU10" s="16" t="n">
        <v>6.75058</v>
      </c>
      <c r="AV10" s="16" t="n">
        <v>7.04981</v>
      </c>
      <c r="AW10" s="16" t="n">
        <v>7.22849</v>
      </c>
      <c r="AX10" s="16" t="n">
        <v>7.25955</v>
      </c>
      <c r="AY10" s="16" t="n">
        <v>6.99768</v>
      </c>
      <c r="AZ10" s="16" t="n">
        <v>6.83893</v>
      </c>
      <c r="BA10" s="16" t="n">
        <v>6.65224</v>
      </c>
      <c r="BB10" s="16" t="n">
        <v>6.46447</v>
      </c>
      <c r="BC10" s="16" t="n">
        <v>6.32897</v>
      </c>
      <c r="BD10" s="16" t="n">
        <v>6.30968</v>
      </c>
      <c r="BE10" s="16" t="n">
        <v>6.26711</v>
      </c>
      <c r="BF10" s="16" t="n">
        <v>6.37574</v>
      </c>
      <c r="BG10" s="16" t="n">
        <v>6.21243</v>
      </c>
      <c r="BH10" s="16" t="n">
        <v>7.03201</v>
      </c>
      <c r="BI10" s="16" t="n">
        <v>6.6444</v>
      </c>
      <c r="BJ10" s="16" t="n">
        <v>6.47786</v>
      </c>
      <c r="BK10" s="16" t="n">
        <v>6.40365</v>
      </c>
      <c r="BL10" s="16" t="n">
        <v>6.71711</v>
      </c>
      <c r="BM10" s="16" t="n">
        <v>6.72061</v>
      </c>
      <c r="BN10" s="16" t="n">
        <v>6.705056</v>
      </c>
    </row>
    <row r="11">
      <c r="A11" s="7" t="inlineStr">
        <is>
          <t>AFRICA Region</t>
        </is>
      </c>
      <c r="B11" s="28" t="n">
        <v>7.75985</v>
      </c>
      <c r="C11" s="24" t="n">
        <v>6.522999999999968</v>
      </c>
      <c r="D11" s="24" t="n">
        <v>18.05500000000002</v>
      </c>
      <c r="E11" s="24" t="n">
        <v>32.43300000000001</v>
      </c>
      <c r="F11" s="25" t="n">
        <v>-38.50700000000002</v>
      </c>
      <c r="G11" s="16" t="n">
        <v>7.38166</v>
      </c>
      <c r="H11" s="16" t="n">
        <v>8.119730000000001</v>
      </c>
      <c r="I11" s="16" t="n">
        <v>7.64933</v>
      </c>
      <c r="J11" s="16" t="n">
        <v>8.04829</v>
      </c>
      <c r="K11" s="16" t="n">
        <v>8.92282</v>
      </c>
      <c r="L11" s="16" t="n">
        <v>8.591010000000001</v>
      </c>
      <c r="M11" s="16" t="n">
        <v>9.9701</v>
      </c>
      <c r="N11" s="16" t="n">
        <v>10.32712</v>
      </c>
      <c r="O11" s="16" t="n">
        <v>12.82319</v>
      </c>
      <c r="P11" s="16" t="n">
        <v>12.60826</v>
      </c>
      <c r="Q11" s="16" t="n">
        <v>12.41533</v>
      </c>
      <c r="R11" s="16" t="n">
        <v>14.24561</v>
      </c>
      <c r="S11" s="16" t="n">
        <v>14.07287</v>
      </c>
      <c r="T11" s="16" t="n">
        <v>11.82612</v>
      </c>
      <c r="U11" s="16" t="n">
        <v>12.20374</v>
      </c>
      <c r="V11" s="16" t="n">
        <v>11.67224</v>
      </c>
      <c r="W11" s="16" t="n">
        <v>12.24199</v>
      </c>
      <c r="X11" s="16" t="n">
        <v>12.77318</v>
      </c>
      <c r="Y11" s="16" t="n">
        <v>13.41198</v>
      </c>
      <c r="Z11" s="16" t="n">
        <v>13.24019</v>
      </c>
      <c r="AA11" s="16" t="n">
        <v>12.5258</v>
      </c>
      <c r="AB11" s="16" t="n">
        <v>11.70476</v>
      </c>
      <c r="AC11" s="16" t="n">
        <v>12.91831</v>
      </c>
      <c r="AD11" s="16" t="n">
        <v>13.34292</v>
      </c>
      <c r="AE11" s="16" t="n">
        <v>13.49626</v>
      </c>
      <c r="AF11" s="16" t="n">
        <v>12.36228</v>
      </c>
      <c r="AG11" s="16" t="n">
        <v>11.33179</v>
      </c>
      <c r="AH11" s="16" t="n">
        <v>11.63284</v>
      </c>
      <c r="AI11" s="16" t="n">
        <v>10.92517</v>
      </c>
      <c r="AJ11" s="16" t="n">
        <v>10.37869</v>
      </c>
      <c r="AK11" s="16" t="n">
        <v>10.88204</v>
      </c>
      <c r="AL11" s="16" t="n">
        <v>10.64308</v>
      </c>
      <c r="AM11" s="16" t="n">
        <v>10.55113</v>
      </c>
      <c r="AN11" s="16" t="n">
        <v>10.37124</v>
      </c>
      <c r="AO11" s="16" t="n">
        <v>10.00235</v>
      </c>
      <c r="AP11" s="16" t="n">
        <v>9.67413</v>
      </c>
      <c r="AQ11" s="16" t="n">
        <v>8.981249999999999</v>
      </c>
      <c r="AR11" s="16" t="n">
        <v>8.883839999999999</v>
      </c>
      <c r="AS11" s="16" t="n">
        <v>9.23137</v>
      </c>
      <c r="AT11" s="16" t="n">
        <v>9.03543</v>
      </c>
      <c r="AU11" s="16" t="n">
        <v>8.93723</v>
      </c>
      <c r="AV11" s="16" t="n">
        <v>9.47151</v>
      </c>
      <c r="AW11" s="16" t="n">
        <v>10.10566</v>
      </c>
      <c r="AX11" s="16" t="n">
        <v>9.4025</v>
      </c>
      <c r="AY11" s="16" t="n">
        <v>8.890319999999999</v>
      </c>
      <c r="AZ11" s="16" t="n">
        <v>8.64498</v>
      </c>
      <c r="BA11" s="16" t="n">
        <v>8.45266</v>
      </c>
      <c r="BB11" s="16" t="n">
        <v>8.038639999999999</v>
      </c>
      <c r="BC11" s="16" t="n">
        <v>7.82984</v>
      </c>
      <c r="BD11" s="16" t="n">
        <v>7.80511</v>
      </c>
      <c r="BE11" s="16" t="n">
        <v>7.51426</v>
      </c>
      <c r="BF11" s="16" t="n">
        <v>7.61794</v>
      </c>
      <c r="BG11" s="16" t="n">
        <v>7.56724</v>
      </c>
      <c r="BH11" s="16" t="n">
        <v>8.45486</v>
      </c>
      <c r="BI11" s="16" t="n">
        <v>7.86004</v>
      </c>
      <c r="BJ11" s="16" t="n">
        <v>7.58</v>
      </c>
      <c r="BK11" s="16" t="n">
        <v>7.70189</v>
      </c>
      <c r="BL11" s="16" t="n">
        <v>7.95473</v>
      </c>
      <c r="BM11" s="16" t="n">
        <v>7.81142</v>
      </c>
      <c r="BN11" s="16" t="n">
        <v>7.75985</v>
      </c>
    </row>
    <row r="12">
      <c r="A12" s="7" t="inlineStr">
        <is>
          <t>MIDEAST Region</t>
        </is>
      </c>
      <c r="B12" s="28" t="n">
        <v>6.25047</v>
      </c>
      <c r="C12" s="24" t="n">
        <v>12.45399999999997</v>
      </c>
      <c r="D12" s="24" t="n">
        <v>66.09500000000003</v>
      </c>
      <c r="E12" s="24" t="n">
        <v>181.02</v>
      </c>
      <c r="F12" s="24" t="n">
        <v>169.5160000000001</v>
      </c>
      <c r="G12" s="16" t="n">
        <v>4.82534</v>
      </c>
      <c r="H12" s="16" t="n">
        <v>4.96147</v>
      </c>
      <c r="I12" s="16" t="n">
        <v>4.85973</v>
      </c>
      <c r="J12" s="16" t="n">
        <v>5.22045</v>
      </c>
      <c r="K12" s="16" t="n">
        <v>5.46252</v>
      </c>
      <c r="L12" s="16" t="n">
        <v>5.61206</v>
      </c>
      <c r="M12" s="16" t="n">
        <v>6.28933</v>
      </c>
      <c r="N12" s="16" t="n">
        <v>6.33857</v>
      </c>
      <c r="O12" s="16" t="n">
        <v>7.04485</v>
      </c>
      <c r="P12" s="16" t="n">
        <v>6.64017</v>
      </c>
      <c r="Q12" s="16" t="n">
        <v>6.80409</v>
      </c>
      <c r="R12" s="16" t="n">
        <v>7.82219</v>
      </c>
      <c r="S12" s="16" t="n">
        <v>8.007099999999999</v>
      </c>
      <c r="T12" s="16" t="n">
        <v>7.26274</v>
      </c>
      <c r="U12" s="16" t="n">
        <v>7.18304</v>
      </c>
      <c r="V12" s="16" t="n">
        <v>6.69641</v>
      </c>
      <c r="W12" s="16" t="n">
        <v>7.04596</v>
      </c>
      <c r="X12" s="16" t="n">
        <v>6.88579</v>
      </c>
      <c r="Y12" s="16" t="n">
        <v>6.75743</v>
      </c>
      <c r="Z12" s="16" t="n">
        <v>7.20922</v>
      </c>
      <c r="AA12" s="16" t="n">
        <v>7.20936</v>
      </c>
      <c r="AB12" s="16" t="n">
        <v>7.15582</v>
      </c>
      <c r="AC12" s="16" t="n">
        <v>7.41583</v>
      </c>
      <c r="AD12" s="16" t="n">
        <v>7.8697</v>
      </c>
      <c r="AE12" s="16" t="n">
        <v>8.3653</v>
      </c>
      <c r="AF12" s="16" t="n">
        <v>7.59774</v>
      </c>
      <c r="AG12" s="16" t="n">
        <v>6.96707</v>
      </c>
      <c r="AH12" s="16" t="n">
        <v>7.27475</v>
      </c>
      <c r="AI12" s="16" t="n">
        <v>7.38677</v>
      </c>
      <c r="AJ12" s="16" t="n">
        <v>7.166</v>
      </c>
      <c r="AK12" s="16" t="n">
        <v>7.59459</v>
      </c>
      <c r="AL12" s="16" t="n">
        <v>7.34333</v>
      </c>
      <c r="AM12" s="16" t="n">
        <v>7.22535</v>
      </c>
      <c r="AN12" s="16" t="n">
        <v>7.04361</v>
      </c>
      <c r="AO12" s="16" t="n">
        <v>6.72435</v>
      </c>
      <c r="AP12" s="16" t="n">
        <v>6.58255</v>
      </c>
      <c r="AQ12" s="16" t="n">
        <v>7.02134</v>
      </c>
      <c r="AR12" s="16" t="n">
        <v>6.9763</v>
      </c>
      <c r="AS12" s="16" t="n">
        <v>7.27102</v>
      </c>
      <c r="AT12" s="16" t="n">
        <v>7.18048</v>
      </c>
      <c r="AU12" s="16" t="n">
        <v>6.92656</v>
      </c>
      <c r="AV12" s="16" t="n">
        <v>6.99566</v>
      </c>
      <c r="AW12" s="16" t="n">
        <v>7.06446</v>
      </c>
      <c r="AX12" s="16" t="n">
        <v>7.15768</v>
      </c>
      <c r="AY12" s="16" t="n">
        <v>7.08919</v>
      </c>
      <c r="AZ12" s="16" t="n">
        <v>7.10174</v>
      </c>
      <c r="BA12" s="16" t="n">
        <v>7.16085</v>
      </c>
      <c r="BB12" s="16" t="n">
        <v>6.83355</v>
      </c>
      <c r="BC12" s="16" t="n">
        <v>6.67671</v>
      </c>
      <c r="BD12" s="16" t="n">
        <v>6.7722</v>
      </c>
      <c r="BE12" s="16" t="n">
        <v>6.84942</v>
      </c>
      <c r="BF12" s="16" t="n">
        <v>6.83114</v>
      </c>
      <c r="BG12" s="16" t="n">
        <v>6.67257</v>
      </c>
      <c r="BH12" s="16" t="n">
        <v>7.71352</v>
      </c>
      <c r="BI12" s="16" t="n">
        <v>7.63835</v>
      </c>
      <c r="BJ12" s="16" t="n">
        <v>7.83481</v>
      </c>
      <c r="BK12" s="16" t="n">
        <v>8.25198</v>
      </c>
      <c r="BL12" s="16" t="n">
        <v>8.72878</v>
      </c>
      <c r="BM12" s="16" t="n">
        <v>8.5769</v>
      </c>
      <c r="BN12" s="16" t="n">
        <v>6.25047</v>
      </c>
    </row>
    <row r="13">
      <c r="A13" s="7" t="inlineStr">
        <is>
          <t>ASIA Region</t>
        </is>
      </c>
      <c r="B13" s="28" t="n">
        <v>5.711429</v>
      </c>
      <c r="C13" s="24" t="n">
        <v>9.586899999999954</v>
      </c>
      <c r="D13" s="24" t="n">
        <v>21.87889999999992</v>
      </c>
      <c r="E13" s="24" t="n">
        <v>58.16189999999995</v>
      </c>
      <c r="F13" s="24" t="n">
        <v>51.65489999999991</v>
      </c>
      <c r="G13" s="16" t="n">
        <v>3.86894</v>
      </c>
      <c r="H13" s="16" t="n">
        <v>3.9674</v>
      </c>
      <c r="I13" s="16" t="n">
        <v>3.96344</v>
      </c>
      <c r="J13" s="16" t="n">
        <v>4.42515</v>
      </c>
      <c r="K13" s="16" t="n">
        <v>4.84424</v>
      </c>
      <c r="L13" s="16" t="n">
        <v>5.09418</v>
      </c>
      <c r="M13" s="16" t="n">
        <v>5.89228</v>
      </c>
      <c r="N13" s="16" t="n">
        <v>6.01076</v>
      </c>
      <c r="O13" s="16" t="n">
        <v>6.5928</v>
      </c>
      <c r="P13" s="16" t="n">
        <v>6.38184</v>
      </c>
      <c r="Q13" s="16" t="n">
        <v>6.47448</v>
      </c>
      <c r="R13" s="16" t="n">
        <v>7.82721</v>
      </c>
      <c r="S13" s="16" t="n">
        <v>8.322329999999999</v>
      </c>
      <c r="T13" s="16" t="n">
        <v>7.28095</v>
      </c>
      <c r="U13" s="16" t="n">
        <v>7.29926</v>
      </c>
      <c r="V13" s="16" t="n">
        <v>6.82625</v>
      </c>
      <c r="W13" s="16" t="n">
        <v>7.1617</v>
      </c>
      <c r="X13" s="16" t="n">
        <v>6.97963</v>
      </c>
      <c r="Y13" s="16" t="n">
        <v>6.92516</v>
      </c>
      <c r="Z13" s="16" t="n">
        <v>7.04712</v>
      </c>
      <c r="AA13" s="16" t="n">
        <v>6.82406</v>
      </c>
      <c r="AB13" s="16" t="n">
        <v>6.78768</v>
      </c>
      <c r="AC13" s="16" t="n">
        <v>7.08058</v>
      </c>
      <c r="AD13" s="16" t="n">
        <v>7.50485</v>
      </c>
      <c r="AE13" s="16" t="n">
        <v>7.71358</v>
      </c>
      <c r="AF13" s="16" t="n">
        <v>6.83645</v>
      </c>
      <c r="AG13" s="16" t="n">
        <v>6.25326</v>
      </c>
      <c r="AH13" s="16" t="n">
        <v>6.45003</v>
      </c>
      <c r="AI13" s="16" t="n">
        <v>6.56284</v>
      </c>
      <c r="AJ13" s="16" t="n">
        <v>6.30813</v>
      </c>
      <c r="AK13" s="16" t="n">
        <v>6.76399</v>
      </c>
      <c r="AL13" s="16" t="n">
        <v>6.50182</v>
      </c>
      <c r="AM13" s="16" t="n">
        <v>6.4333</v>
      </c>
      <c r="AN13" s="16" t="n">
        <v>6.23936</v>
      </c>
      <c r="AO13" s="16" t="n">
        <v>6.04179</v>
      </c>
      <c r="AP13" s="16" t="n">
        <v>5.77808</v>
      </c>
      <c r="AQ13" s="16" t="n">
        <v>6.06208</v>
      </c>
      <c r="AR13" s="16" t="n">
        <v>5.95471</v>
      </c>
      <c r="AS13" s="16" t="n">
        <v>5.87826</v>
      </c>
      <c r="AT13" s="16" t="n">
        <v>5.83024</v>
      </c>
      <c r="AU13" s="16" t="n">
        <v>5.61401</v>
      </c>
      <c r="AV13" s="16" t="n">
        <v>5.74667</v>
      </c>
      <c r="AW13" s="16" t="n">
        <v>5.83833</v>
      </c>
      <c r="AX13" s="16" t="n">
        <v>5.78011</v>
      </c>
      <c r="AY13" s="16" t="n">
        <v>5.57955</v>
      </c>
      <c r="AZ13" s="16" t="n">
        <v>5.5114</v>
      </c>
      <c r="BA13" s="16" t="n">
        <v>5.41243</v>
      </c>
      <c r="BB13" s="16" t="n">
        <v>5.23507</v>
      </c>
      <c r="BC13" s="16" t="n">
        <v>5.15585</v>
      </c>
      <c r="BD13" s="16" t="n">
        <v>5.15809</v>
      </c>
      <c r="BE13" s="16" t="n">
        <v>5.21369</v>
      </c>
      <c r="BF13" s="16" t="n">
        <v>5.279</v>
      </c>
      <c r="BG13" s="16" t="n">
        <v>5.14179</v>
      </c>
      <c r="BH13" s="16" t="n">
        <v>5.60675</v>
      </c>
      <c r="BI13" s="16" t="n">
        <v>5.48621</v>
      </c>
      <c r="BJ13" s="16" t="n">
        <v>5.46461</v>
      </c>
      <c r="BK13" s="16" t="n">
        <v>5.44459</v>
      </c>
      <c r="BL13" s="16" t="n">
        <v>5.79119</v>
      </c>
      <c r="BM13" s="16" t="n">
        <v>5.75111</v>
      </c>
      <c r="BN13" s="16" t="n">
        <v>5.711429</v>
      </c>
    </row>
    <row r="15">
      <c r="A15" s="2" t="inlineStr">
        <is>
          <t>RATING BUCKETS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</row>
    <row r="16">
      <c r="A16" s="7" t="inlineStr">
        <is>
          <t>Credit A only</t>
        </is>
      </c>
      <c r="B16" s="28" t="n">
        <v>5.67857</v>
      </c>
      <c r="C16" s="24" t="n">
        <v>11.94799999999994</v>
      </c>
      <c r="D16" s="24" t="n">
        <v>30.8489999999999</v>
      </c>
      <c r="E16" s="24" t="n">
        <v>65.41299999999995</v>
      </c>
      <c r="F16" s="24" t="n">
        <v>65.18299999999994</v>
      </c>
      <c r="G16" s="16" t="n">
        <v>2.96448</v>
      </c>
      <c r="H16" s="16" t="n">
        <v>2.93397</v>
      </c>
      <c r="I16" s="16" t="n">
        <v>2.94581</v>
      </c>
      <c r="J16" s="16" t="n">
        <v>3.26434</v>
      </c>
      <c r="K16" s="16" t="n">
        <v>3.5159</v>
      </c>
      <c r="L16" s="16" t="n">
        <v>3.73237</v>
      </c>
      <c r="M16" s="16" t="n">
        <v>4.33884</v>
      </c>
      <c r="N16" s="16" t="n">
        <v>4.29666</v>
      </c>
      <c r="O16" s="16" t="n">
        <v>4.63506</v>
      </c>
      <c r="P16" s="16" t="n">
        <v>4.33621</v>
      </c>
      <c r="Q16" s="16" t="n">
        <v>4.6524</v>
      </c>
      <c r="R16" s="16" t="n">
        <v>5.34256</v>
      </c>
      <c r="S16" s="16" t="n">
        <v>5.6712</v>
      </c>
      <c r="T16" s="16" t="n">
        <v>5.06982</v>
      </c>
      <c r="U16" s="16" t="n">
        <v>5.10708</v>
      </c>
      <c r="V16" s="16" t="n">
        <v>4.86802</v>
      </c>
      <c r="W16" s="16" t="n">
        <v>5.20545</v>
      </c>
      <c r="X16" s="16" t="n">
        <v>4.92958</v>
      </c>
      <c r="Y16" s="16" t="n">
        <v>4.85163</v>
      </c>
      <c r="Z16" s="16" t="n">
        <v>5.05855</v>
      </c>
      <c r="AA16" s="16" t="n">
        <v>5.12307</v>
      </c>
      <c r="AB16" s="16" t="n">
        <v>5.16336</v>
      </c>
      <c r="AC16" s="16" t="n">
        <v>5.38912</v>
      </c>
      <c r="AD16" s="16" t="n">
        <v>5.85282</v>
      </c>
      <c r="AE16" s="16" t="n">
        <v>6.17321</v>
      </c>
      <c r="AF16" s="16" t="n">
        <v>5.47344</v>
      </c>
      <c r="AG16" s="16" t="n">
        <v>4.95819</v>
      </c>
      <c r="AH16" s="16" t="n">
        <v>5.17165</v>
      </c>
      <c r="AI16" s="16" t="n">
        <v>5.32712</v>
      </c>
      <c r="AJ16" s="16" t="n">
        <v>5.25739</v>
      </c>
      <c r="AK16" s="16" t="n">
        <v>5.66697</v>
      </c>
      <c r="AL16" s="16" t="n">
        <v>5.47642</v>
      </c>
      <c r="AM16" s="16" t="n">
        <v>5.40149</v>
      </c>
      <c r="AN16" s="16" t="n">
        <v>5.23417</v>
      </c>
      <c r="AO16" s="16" t="n">
        <v>5.0047</v>
      </c>
      <c r="AP16" s="16" t="n">
        <v>4.92261</v>
      </c>
      <c r="AQ16" s="16" t="n">
        <v>5.29701</v>
      </c>
      <c r="AR16" s="16" t="n">
        <v>5.22527</v>
      </c>
      <c r="AS16" s="16" t="n">
        <v>5.57784</v>
      </c>
      <c r="AT16" s="16" t="n">
        <v>5.5361</v>
      </c>
      <c r="AU16" s="16" t="n">
        <v>5.29172</v>
      </c>
      <c r="AV16" s="16" t="n">
        <v>5.36942</v>
      </c>
      <c r="AW16" s="16" t="n">
        <v>5.37502</v>
      </c>
      <c r="AX16" s="16" t="n">
        <v>5.47567</v>
      </c>
      <c r="AY16" s="16" t="n">
        <v>5.30497</v>
      </c>
      <c r="AZ16" s="16" t="n">
        <v>5.29666</v>
      </c>
      <c r="BA16" s="16" t="n">
        <v>5.2033</v>
      </c>
      <c r="BB16" s="16" t="n">
        <v>5.0451</v>
      </c>
      <c r="BC16" s="16" t="n">
        <v>4.97128</v>
      </c>
      <c r="BD16" s="16" t="n">
        <v>4.95232</v>
      </c>
      <c r="BE16" s="16" t="n">
        <v>5.05366</v>
      </c>
      <c r="BF16" s="16" t="n">
        <v>5.15786</v>
      </c>
      <c r="BG16" s="16" t="n">
        <v>4.96589</v>
      </c>
      <c r="BH16" s="16" t="n">
        <v>5.36344</v>
      </c>
      <c r="BI16" s="16" t="n">
        <v>5.31579</v>
      </c>
      <c r="BJ16" s="16" t="n">
        <v>5.30993</v>
      </c>
      <c r="BK16" s="16" t="n">
        <v>5.33112</v>
      </c>
      <c r="BL16" s="16" t="n">
        <v>5.68169</v>
      </c>
      <c r="BM16" s="16" t="n">
        <v>5.66528</v>
      </c>
      <c r="BN16" s="16" t="n">
        <v>5.67857</v>
      </c>
    </row>
    <row r="17">
      <c r="A17" s="7" t="inlineStr">
        <is>
          <t>Credit BBB only</t>
        </is>
      </c>
      <c r="B17" s="28" t="n">
        <v>6.040569</v>
      </c>
      <c r="C17" s="24" t="n">
        <v>10.62889999999994</v>
      </c>
      <c r="D17" s="24" t="n">
        <v>27.95389999999998</v>
      </c>
      <c r="E17" s="24" t="n">
        <v>54.11189999999992</v>
      </c>
      <c r="F17" s="24" t="n">
        <v>46.28389999999999</v>
      </c>
      <c r="G17" s="16" t="n">
        <v>3.43942</v>
      </c>
      <c r="H17" s="16" t="n">
        <v>3.5265</v>
      </c>
      <c r="I17" s="16" t="n">
        <v>3.42517</v>
      </c>
      <c r="J17" s="16" t="n">
        <v>3.91284</v>
      </c>
      <c r="K17" s="16" t="n">
        <v>4.97809</v>
      </c>
      <c r="L17" s="16" t="n">
        <v>4.29149</v>
      </c>
      <c r="M17" s="16" t="n">
        <v>5.09179</v>
      </c>
      <c r="N17" s="16" t="n">
        <v>5.06232</v>
      </c>
      <c r="O17" s="16" t="n">
        <v>5.58015</v>
      </c>
      <c r="P17" s="16" t="n">
        <v>5.19877</v>
      </c>
      <c r="Q17" s="16" t="n">
        <v>5.45998</v>
      </c>
      <c r="R17" s="16" t="n">
        <v>6.41668</v>
      </c>
      <c r="S17" s="16" t="n">
        <v>6.53066</v>
      </c>
      <c r="T17" s="16" t="n">
        <v>5.70564</v>
      </c>
      <c r="U17" s="16" t="n">
        <v>5.75284</v>
      </c>
      <c r="V17" s="16" t="n">
        <v>5.45504</v>
      </c>
      <c r="W17" s="16" t="n">
        <v>5.73328</v>
      </c>
      <c r="X17" s="16" t="n">
        <v>5.56001</v>
      </c>
      <c r="Y17" s="16" t="n">
        <v>5.43707</v>
      </c>
      <c r="Z17" s="16" t="n">
        <v>5.6349</v>
      </c>
      <c r="AA17" s="16" t="n">
        <v>5.58933</v>
      </c>
      <c r="AB17" s="16" t="n">
        <v>5.57421</v>
      </c>
      <c r="AC17" s="16" t="n">
        <v>5.79199</v>
      </c>
      <c r="AD17" s="16" t="n">
        <v>6.32548</v>
      </c>
      <c r="AE17" s="16" t="n">
        <v>6.65322</v>
      </c>
      <c r="AF17" s="16" t="n">
        <v>6.02541</v>
      </c>
      <c r="AG17" s="16" t="n">
        <v>5.48765</v>
      </c>
      <c r="AH17" s="16" t="n">
        <v>5.73684</v>
      </c>
      <c r="AI17" s="16" t="n">
        <v>5.91721</v>
      </c>
      <c r="AJ17" s="16" t="n">
        <v>5.79178</v>
      </c>
      <c r="AK17" s="16" t="n">
        <v>6.21898</v>
      </c>
      <c r="AL17" s="16" t="n">
        <v>6.00765</v>
      </c>
      <c r="AM17" s="16" t="n">
        <v>5.9349</v>
      </c>
      <c r="AN17" s="16" t="n">
        <v>5.7507</v>
      </c>
      <c r="AO17" s="16" t="n">
        <v>5.50298</v>
      </c>
      <c r="AP17" s="16" t="n">
        <v>5.37255</v>
      </c>
      <c r="AQ17" s="16" t="n">
        <v>5.82678</v>
      </c>
      <c r="AR17" s="16" t="n">
        <v>5.83964</v>
      </c>
      <c r="AS17" s="16" t="n">
        <v>6.19487</v>
      </c>
      <c r="AT17" s="16" t="n">
        <v>6.1885</v>
      </c>
      <c r="AU17" s="16" t="n">
        <v>5.95174</v>
      </c>
      <c r="AV17" s="16" t="n">
        <v>6.05572</v>
      </c>
      <c r="AW17" s="16" t="n">
        <v>6.11483</v>
      </c>
      <c r="AX17" s="16" t="n">
        <v>6.15229</v>
      </c>
      <c r="AY17" s="16" t="n">
        <v>5.92854</v>
      </c>
      <c r="AZ17" s="16" t="n">
        <v>5.85394</v>
      </c>
      <c r="BA17" s="16" t="n">
        <v>5.72363</v>
      </c>
      <c r="BB17" s="16" t="n">
        <v>5.51181</v>
      </c>
      <c r="BC17" s="16" t="n">
        <v>5.40804</v>
      </c>
      <c r="BD17" s="16" t="n">
        <v>5.47751</v>
      </c>
      <c r="BE17" s="16" t="n">
        <v>5.50992</v>
      </c>
      <c r="BF17" s="16" t="n">
        <v>5.59988</v>
      </c>
      <c r="BG17" s="16" t="n">
        <v>5.40893</v>
      </c>
      <c r="BH17" s="16" t="n">
        <v>5.87204</v>
      </c>
      <c r="BI17" s="16" t="n">
        <v>5.67861</v>
      </c>
      <c r="BJ17" s="16" t="n">
        <v>5.69393</v>
      </c>
      <c r="BK17" s="16" t="n">
        <v>5.69356</v>
      </c>
      <c r="BL17" s="16" t="n">
        <v>6.04587</v>
      </c>
      <c r="BM17" s="16" t="n">
        <v>6.00844</v>
      </c>
      <c r="BN17" s="16" t="n">
        <v>6.040569</v>
      </c>
    </row>
    <row r="18">
      <c r="A18" s="7" t="inlineStr">
        <is>
          <t>Credit BB only</t>
        </is>
      </c>
      <c r="B18" s="28" t="n">
        <v>6.715856</v>
      </c>
      <c r="C18" s="24" t="n">
        <v>12.08159999999996</v>
      </c>
      <c r="D18" s="24" t="n">
        <v>18.92259999999997</v>
      </c>
      <c r="E18" s="24" t="n">
        <v>35.81459999999997</v>
      </c>
      <c r="F18" s="24" t="n">
        <v>21.70959999999998</v>
      </c>
      <c r="G18" s="16" t="n">
        <v>5.07911</v>
      </c>
      <c r="H18" s="16" t="n">
        <v>5.40507</v>
      </c>
      <c r="I18" s="16" t="n">
        <v>5.16212</v>
      </c>
      <c r="J18" s="16" t="n">
        <v>5.52512</v>
      </c>
      <c r="K18" s="16" t="n">
        <v>5.9861</v>
      </c>
      <c r="L18" s="16" t="n">
        <v>5.91759</v>
      </c>
      <c r="M18" s="16" t="n">
        <v>6.7292</v>
      </c>
      <c r="N18" s="16" t="n">
        <v>6.72736</v>
      </c>
      <c r="O18" s="16" t="n">
        <v>7.85145</v>
      </c>
      <c r="P18" s="16" t="n">
        <v>7.02929</v>
      </c>
      <c r="Q18" s="16" t="n">
        <v>7.33499</v>
      </c>
      <c r="R18" s="16" t="n">
        <v>8.30608</v>
      </c>
      <c r="S18" s="16" t="n">
        <v>8.12388</v>
      </c>
      <c r="T18" s="16" t="n">
        <v>7.31838</v>
      </c>
      <c r="U18" s="16" t="n">
        <v>7.33799</v>
      </c>
      <c r="V18" s="16" t="n">
        <v>6.98526</v>
      </c>
      <c r="W18" s="16" t="n">
        <v>7.37049</v>
      </c>
      <c r="X18" s="16" t="n">
        <v>7.18221</v>
      </c>
      <c r="Y18" s="16" t="n">
        <v>7.22056</v>
      </c>
      <c r="Z18" s="16" t="n">
        <v>7.49483</v>
      </c>
      <c r="AA18" s="16" t="n">
        <v>7.3328</v>
      </c>
      <c r="AB18" s="16" t="n">
        <v>6.76553</v>
      </c>
      <c r="AC18" s="16" t="n">
        <v>7.05168</v>
      </c>
      <c r="AD18" s="16" t="n">
        <v>7.52453</v>
      </c>
      <c r="AE18" s="16" t="n">
        <v>7.69725</v>
      </c>
      <c r="AF18" s="16" t="n">
        <v>6.96732</v>
      </c>
      <c r="AG18" s="16" t="n">
        <v>6.34302</v>
      </c>
      <c r="AH18" s="16" t="n">
        <v>6.67139</v>
      </c>
      <c r="AI18" s="16" t="n">
        <v>6.78211</v>
      </c>
      <c r="AJ18" s="16" t="n">
        <v>6.66157</v>
      </c>
      <c r="AK18" s="16" t="n">
        <v>7.0717</v>
      </c>
      <c r="AL18" s="16" t="n">
        <v>6.90901</v>
      </c>
      <c r="AM18" s="16" t="n">
        <v>6.85014</v>
      </c>
      <c r="AN18" s="16" t="n">
        <v>6.63043</v>
      </c>
      <c r="AO18" s="16" t="n">
        <v>6.33944</v>
      </c>
      <c r="AP18" s="16" t="n">
        <v>6.18514</v>
      </c>
      <c r="AQ18" s="16" t="n">
        <v>6.62535</v>
      </c>
      <c r="AR18" s="16" t="n">
        <v>6.63563</v>
      </c>
      <c r="AS18" s="16" t="n">
        <v>6.99744</v>
      </c>
      <c r="AT18" s="16" t="n">
        <v>6.91994</v>
      </c>
      <c r="AU18" s="16" t="n">
        <v>6.77929</v>
      </c>
      <c r="AV18" s="16" t="n">
        <v>6.93119</v>
      </c>
      <c r="AW18" s="16" t="n">
        <v>7.09039</v>
      </c>
      <c r="AX18" s="16" t="n">
        <v>7.03006</v>
      </c>
      <c r="AY18" s="16" t="n">
        <v>6.79563</v>
      </c>
      <c r="AZ18" s="16" t="n">
        <v>6.7811</v>
      </c>
      <c r="BA18" s="16" t="n">
        <v>6.68692</v>
      </c>
      <c r="BB18" s="16" t="n">
        <v>6.40945</v>
      </c>
      <c r="BC18" s="16" t="n">
        <v>6.28577</v>
      </c>
      <c r="BD18" s="16" t="n">
        <v>6.35165</v>
      </c>
      <c r="BE18" s="16" t="n">
        <v>6.35194</v>
      </c>
      <c r="BF18" s="16" t="n">
        <v>6.43269</v>
      </c>
      <c r="BG18" s="16" t="n">
        <v>6.34087</v>
      </c>
      <c r="BH18" s="16" t="n">
        <v>6.90115</v>
      </c>
      <c r="BI18" s="16" t="n">
        <v>6.55211</v>
      </c>
      <c r="BJ18" s="16" t="n">
        <v>6.4997</v>
      </c>
      <c r="BK18" s="16" t="n">
        <v>6.40922</v>
      </c>
      <c r="BL18" s="16" t="n">
        <v>6.72854</v>
      </c>
      <c r="BM18" s="16" t="n">
        <v>6.65204</v>
      </c>
      <c r="BN18" s="16" t="n">
        <v>6.715856</v>
      </c>
    </row>
    <row r="19">
      <c r="A19" s="7" t="inlineStr">
        <is>
          <t>Credit B only</t>
        </is>
      </c>
      <c r="B19" s="28" t="n">
        <v>8.102579</v>
      </c>
      <c r="C19" s="24" t="n">
        <v>15.8148999999999</v>
      </c>
      <c r="D19" s="24" t="n">
        <v>30.19289999999994</v>
      </c>
      <c r="E19" s="24" t="n">
        <v>48.4778999999999</v>
      </c>
      <c r="F19" s="25" t="n">
        <v>-8.194100000000024</v>
      </c>
      <c r="G19" s="16" t="n">
        <v>7.30236</v>
      </c>
      <c r="H19" s="16" t="n">
        <v>8.010820000000001</v>
      </c>
      <c r="I19" s="16" t="n">
        <v>7.92195</v>
      </c>
      <c r="J19" s="16" t="n">
        <v>8.34361</v>
      </c>
      <c r="K19" s="16" t="n">
        <v>9.79372</v>
      </c>
      <c r="L19" s="16" t="n">
        <v>8.48678</v>
      </c>
      <c r="M19" s="16" t="n">
        <v>9.45988</v>
      </c>
      <c r="N19" s="16" t="n">
        <v>9.819430000000001</v>
      </c>
      <c r="O19" s="16" t="n">
        <v>11.81976</v>
      </c>
      <c r="P19" s="16" t="n">
        <v>12.08197</v>
      </c>
      <c r="Q19" s="16" t="n">
        <v>11.14712</v>
      </c>
      <c r="R19" s="16" t="n">
        <v>12.69344</v>
      </c>
      <c r="S19" s="16" t="n">
        <v>11.62081</v>
      </c>
      <c r="T19" s="16" t="n">
        <v>10.10781</v>
      </c>
      <c r="U19" s="16" t="n">
        <v>10.07586</v>
      </c>
      <c r="V19" s="16" t="n">
        <v>9.7666</v>
      </c>
      <c r="W19" s="16" t="n">
        <v>10.47308</v>
      </c>
      <c r="X19" s="16" t="n">
        <v>10.87783</v>
      </c>
      <c r="Y19" s="16" t="n">
        <v>11.05543</v>
      </c>
      <c r="Z19" s="16" t="n">
        <v>11.11537</v>
      </c>
      <c r="AA19" s="16" t="n">
        <v>10.70281</v>
      </c>
      <c r="AB19" s="16" t="n">
        <v>10.18752</v>
      </c>
      <c r="AC19" s="16" t="n">
        <v>9.9481</v>
      </c>
      <c r="AD19" s="16" t="n">
        <v>10.35754</v>
      </c>
      <c r="AE19" s="16" t="n">
        <v>10.84728</v>
      </c>
      <c r="AF19" s="16" t="n">
        <v>9.81462</v>
      </c>
      <c r="AG19" s="16" t="n">
        <v>9.00062</v>
      </c>
      <c r="AH19" s="16" t="n">
        <v>9.396660000000001</v>
      </c>
      <c r="AI19" s="16" t="n">
        <v>8.86429</v>
      </c>
      <c r="AJ19" s="16" t="n">
        <v>8.708019999999999</v>
      </c>
      <c r="AK19" s="16" t="n">
        <v>9.05321</v>
      </c>
      <c r="AL19" s="16" t="n">
        <v>8.874689999999999</v>
      </c>
      <c r="AM19" s="16" t="n">
        <v>9.08616</v>
      </c>
      <c r="AN19" s="16" t="n">
        <v>8.897930000000001</v>
      </c>
      <c r="AO19" s="16" t="n">
        <v>8.643789999999999</v>
      </c>
      <c r="AP19" s="16" t="n">
        <v>8.33278</v>
      </c>
      <c r="AQ19" s="16" t="n">
        <v>8.564859999999999</v>
      </c>
      <c r="AR19" s="16" t="n">
        <v>8.964700000000001</v>
      </c>
      <c r="AS19" s="16" t="n">
        <v>9.21801</v>
      </c>
      <c r="AT19" s="16" t="n">
        <v>9.08394</v>
      </c>
      <c r="AU19" s="16" t="n">
        <v>9.013780000000001</v>
      </c>
      <c r="AV19" s="16" t="n">
        <v>9.434570000000001</v>
      </c>
      <c r="AW19" s="16" t="n">
        <v>9.93676</v>
      </c>
      <c r="AX19" s="16" t="n">
        <v>9.40361</v>
      </c>
      <c r="AY19" s="16" t="n">
        <v>8.951449999999999</v>
      </c>
      <c r="AZ19" s="16" t="n">
        <v>8.654719999999999</v>
      </c>
      <c r="BA19" s="16" t="n">
        <v>8.42131</v>
      </c>
      <c r="BB19" s="16" t="n">
        <v>8.044600000000001</v>
      </c>
      <c r="BC19" s="16" t="n">
        <v>7.7998</v>
      </c>
      <c r="BD19" s="16" t="n">
        <v>7.88836</v>
      </c>
      <c r="BE19" s="16" t="n">
        <v>7.63426</v>
      </c>
      <c r="BF19" s="16" t="n">
        <v>7.67089</v>
      </c>
      <c r="BG19" s="16" t="n">
        <v>7.69385</v>
      </c>
      <c r="BH19" s="16" t="n">
        <v>8.55878</v>
      </c>
      <c r="BI19" s="16" t="n">
        <v>7.88804</v>
      </c>
      <c r="BJ19" s="16" t="n">
        <v>7.7292</v>
      </c>
      <c r="BK19" s="16" t="n">
        <v>7.85966</v>
      </c>
      <c r="BL19" s="16" t="n">
        <v>8.11961</v>
      </c>
      <c r="BM19" s="16" t="n">
        <v>8.09491</v>
      </c>
      <c r="BN19" s="16" t="n">
        <v>8.102579</v>
      </c>
    </row>
    <row r="20">
      <c r="A20" s="7" t="inlineStr">
        <is>
          <t>Credit C only</t>
        </is>
      </c>
      <c r="B20" s="28" t="n">
        <v>9.679141</v>
      </c>
      <c r="C20" s="24" t="n">
        <v>31.8170999999996</v>
      </c>
      <c r="D20" s="24" t="n">
        <v>386.4430999999998</v>
      </c>
      <c r="E20" s="24" t="n">
        <v>53.44809999999958</v>
      </c>
      <c r="F20" s="25" t="n">
        <v>-40.13290000000045</v>
      </c>
      <c r="G20" s="16" t="n">
        <v>20.17666</v>
      </c>
      <c r="H20" s="16" t="n">
        <v>22.62202</v>
      </c>
      <c r="I20" s="16" t="n">
        <v>21.88397</v>
      </c>
      <c r="J20" s="16" t="n">
        <v>26.87176</v>
      </c>
      <c r="K20" s="16" t="n">
        <v>27.05438</v>
      </c>
      <c r="L20" s="16" t="n">
        <v>28.01401</v>
      </c>
      <c r="M20" s="16" t="n">
        <v>31.89902</v>
      </c>
      <c r="N20" s="16" t="n">
        <v>33.38059</v>
      </c>
      <c r="O20" s="16" t="n">
        <v>44.0681</v>
      </c>
      <c r="P20" s="16" t="n">
        <v>45.96983</v>
      </c>
      <c r="Q20" s="16" t="n">
        <v>38.84112</v>
      </c>
      <c r="R20" s="16" t="n">
        <v>43.13375</v>
      </c>
      <c r="S20" s="16" t="n">
        <v>45.5679</v>
      </c>
      <c r="T20" s="16" t="n">
        <v>38.48653</v>
      </c>
      <c r="U20" s="16" t="n">
        <v>40.24111</v>
      </c>
      <c r="V20" s="16" t="n">
        <v>31.991</v>
      </c>
      <c r="W20" s="16" t="n">
        <v>33.39672</v>
      </c>
      <c r="X20" s="16" t="n">
        <v>36.14898</v>
      </c>
      <c r="Y20" s="16" t="n">
        <v>37.66009</v>
      </c>
      <c r="Z20" s="16" t="n">
        <v>42.6837</v>
      </c>
      <c r="AA20" s="16" t="n">
        <v>36.52004</v>
      </c>
      <c r="AB20" s="16" t="n">
        <v>34.02717</v>
      </c>
      <c r="AC20" s="16" t="n">
        <v>33.69558</v>
      </c>
      <c r="AD20" s="16" t="n">
        <v>33.91193</v>
      </c>
      <c r="AE20" s="16" t="n">
        <v>34.296</v>
      </c>
      <c r="AF20" s="16" t="n">
        <v>32.74863</v>
      </c>
      <c r="AG20" s="16" t="n">
        <v>32.35127</v>
      </c>
      <c r="AH20" s="16" t="n">
        <v>32.20538</v>
      </c>
      <c r="AI20" s="16" t="n">
        <v>30.2945</v>
      </c>
      <c r="AJ20" s="16" t="n">
        <v>26.4298</v>
      </c>
      <c r="AK20" s="16" t="n">
        <v>29.78435</v>
      </c>
      <c r="AL20" s="16" t="n">
        <v>30.60107</v>
      </c>
      <c r="AM20" s="16" t="n">
        <v>31.34039</v>
      </c>
      <c r="AN20" s="16" t="n">
        <v>31.21661</v>
      </c>
      <c r="AO20" s="16" t="n">
        <v>31.18828</v>
      </c>
      <c r="AP20" s="16" t="n">
        <v>25.15722</v>
      </c>
      <c r="AQ20" s="16" t="n">
        <v>22.92542</v>
      </c>
      <c r="AR20" s="16" t="n">
        <v>22.58819</v>
      </c>
      <c r="AS20" s="16" t="n">
        <v>19.82077</v>
      </c>
      <c r="AT20" s="16" t="n">
        <v>18.59604</v>
      </c>
      <c r="AU20" s="16" t="n">
        <v>19.36698</v>
      </c>
      <c r="AV20" s="16" t="n">
        <v>21.21578</v>
      </c>
      <c r="AW20" s="16" t="n">
        <v>21.24563</v>
      </c>
      <c r="AX20" s="16" t="n">
        <v>20.23169</v>
      </c>
      <c r="AY20" s="16" t="n">
        <v>19.13595</v>
      </c>
      <c r="AZ20" s="16" t="n">
        <v>19.74636</v>
      </c>
      <c r="BA20" s="16" t="n">
        <v>19.59862</v>
      </c>
      <c r="BB20" s="16" t="n">
        <v>20.7154</v>
      </c>
      <c r="BC20" s="16" t="n">
        <v>17.69371</v>
      </c>
      <c r="BD20" s="16" t="n">
        <v>19.94277</v>
      </c>
      <c r="BE20" s="16" t="n">
        <v>19.37591</v>
      </c>
      <c r="BF20" s="16" t="n">
        <v>16.4807</v>
      </c>
      <c r="BG20" s="16" t="n">
        <v>16.65015</v>
      </c>
      <c r="BH20" s="16" t="n">
        <v>18.43797</v>
      </c>
      <c r="BI20" s="16" t="n">
        <v>16.84558</v>
      </c>
      <c r="BJ20" s="16" t="n">
        <v>15.81394</v>
      </c>
      <c r="BK20" s="16" t="n">
        <v>20.14428</v>
      </c>
      <c r="BL20" s="16" t="n">
        <v>20.0066</v>
      </c>
      <c r="BM20" s="16" t="n">
        <v>19.77971</v>
      </c>
      <c r="BN20" s="16" t="n">
        <v>9.679141</v>
      </c>
    </row>
    <row r="21">
      <c r="A21" s="7" t="inlineStr">
        <is>
          <t>Credit IG only</t>
        </is>
      </c>
      <c r="B21" s="28" t="n">
        <v>5.928778</v>
      </c>
      <c r="C21" s="24" t="n">
        <v>11.04979999999998</v>
      </c>
      <c r="D21" s="24" t="n">
        <v>29.36380000000005</v>
      </c>
      <c r="E21" s="24" t="n">
        <v>60.96679999999996</v>
      </c>
      <c r="F21" s="24" t="n">
        <v>55.9688</v>
      </c>
      <c r="G21" s="16" t="n">
        <v>3.22921</v>
      </c>
      <c r="H21" s="16" t="n">
        <v>3.26906</v>
      </c>
      <c r="I21" s="16" t="n">
        <v>3.20612</v>
      </c>
      <c r="J21" s="16" t="n">
        <v>3.62267</v>
      </c>
      <c r="K21" s="16" t="n">
        <v>4.31959</v>
      </c>
      <c r="L21" s="16" t="n">
        <v>4.01148</v>
      </c>
      <c r="M21" s="16" t="n">
        <v>4.72194</v>
      </c>
      <c r="N21" s="16" t="n">
        <v>4.69152</v>
      </c>
      <c r="O21" s="16" t="n">
        <v>5.14074</v>
      </c>
      <c r="P21" s="16" t="n">
        <v>4.77691</v>
      </c>
      <c r="Q21" s="16" t="n">
        <v>5.04959</v>
      </c>
      <c r="R21" s="16" t="n">
        <v>5.90119</v>
      </c>
      <c r="S21" s="16" t="n">
        <v>6.09944</v>
      </c>
      <c r="T21" s="16" t="n">
        <v>5.38957</v>
      </c>
      <c r="U21" s="16" t="n">
        <v>5.41714</v>
      </c>
      <c r="V21" s="16" t="n">
        <v>5.16273</v>
      </c>
      <c r="W21" s="16" t="n">
        <v>5.46468</v>
      </c>
      <c r="X21" s="16" t="n">
        <v>5.25274</v>
      </c>
      <c r="Y21" s="16" t="n">
        <v>5.14091</v>
      </c>
      <c r="Z21" s="16" t="n">
        <v>5.34529</v>
      </c>
      <c r="AA21" s="16" t="n">
        <v>5.34506</v>
      </c>
      <c r="AB21" s="16" t="n">
        <v>5.35237</v>
      </c>
      <c r="AC21" s="16" t="n">
        <v>5.57572</v>
      </c>
      <c r="AD21" s="16" t="n">
        <v>6.06794</v>
      </c>
      <c r="AE21" s="16" t="n">
        <v>6.40291</v>
      </c>
      <c r="AF21" s="16" t="n">
        <v>5.77512</v>
      </c>
      <c r="AG21" s="16" t="n">
        <v>5.23885</v>
      </c>
      <c r="AH21" s="16" t="n">
        <v>5.48709</v>
      </c>
      <c r="AI21" s="16" t="n">
        <v>5.647</v>
      </c>
      <c r="AJ21" s="16" t="n">
        <v>5.5362</v>
      </c>
      <c r="AK21" s="16" t="n">
        <v>5.95471</v>
      </c>
      <c r="AL21" s="16" t="n">
        <v>5.75061</v>
      </c>
      <c r="AM21" s="16" t="n">
        <v>5.66698</v>
      </c>
      <c r="AN21" s="16" t="n">
        <v>5.49335</v>
      </c>
      <c r="AO21" s="16" t="n">
        <v>5.24676</v>
      </c>
      <c r="AP21" s="16" t="n">
        <v>5.14452</v>
      </c>
      <c r="AQ21" s="16" t="n">
        <v>5.56516</v>
      </c>
      <c r="AR21" s="16" t="n">
        <v>5.55034</v>
      </c>
      <c r="AS21" s="16" t="n">
        <v>5.89246</v>
      </c>
      <c r="AT21" s="16" t="n">
        <v>5.8794</v>
      </c>
      <c r="AU21" s="16" t="n">
        <v>5.64895</v>
      </c>
      <c r="AV21" s="16" t="n">
        <v>5.73626</v>
      </c>
      <c r="AW21" s="16" t="n">
        <v>5.77239</v>
      </c>
      <c r="AX21" s="16" t="n">
        <v>5.84484</v>
      </c>
      <c r="AY21" s="16" t="n">
        <v>5.65927</v>
      </c>
      <c r="AZ21" s="16" t="n">
        <v>5.62722</v>
      </c>
      <c r="BA21" s="16" t="n">
        <v>5.52128</v>
      </c>
      <c r="BB21" s="16" t="n">
        <v>5.32821</v>
      </c>
      <c r="BC21" s="16" t="n">
        <v>5.23295</v>
      </c>
      <c r="BD21" s="16" t="n">
        <v>5.2771</v>
      </c>
      <c r="BE21" s="16" t="n">
        <v>5.33582</v>
      </c>
      <c r="BF21" s="16" t="n">
        <v>5.4356</v>
      </c>
      <c r="BG21" s="16" t="n">
        <v>5.24732</v>
      </c>
      <c r="BH21" s="16" t="n">
        <v>5.70365</v>
      </c>
      <c r="BI21" s="16" t="n">
        <v>5.55799</v>
      </c>
      <c r="BJ21" s="16" t="n">
        <v>5.57003</v>
      </c>
      <c r="BK21" s="16" t="n">
        <v>5.58162</v>
      </c>
      <c r="BL21" s="16" t="n">
        <v>5.93371</v>
      </c>
      <c r="BM21" s="16" t="n">
        <v>5.90295</v>
      </c>
      <c r="BN21" s="16" t="n">
        <v>5.928778</v>
      </c>
    </row>
    <row r="22">
      <c r="A22" s="7" t="inlineStr">
        <is>
          <t>Credit Non-IG</t>
        </is>
      </c>
      <c r="B22" s="28" t="n">
        <v>7.468113</v>
      </c>
      <c r="C22" s="24" t="n">
        <v>13.70129999999996</v>
      </c>
      <c r="D22" s="24" t="n">
        <v>17.53229999999988</v>
      </c>
      <c r="E22" s="24" t="n">
        <v>10.99029999999991</v>
      </c>
      <c r="F22" s="25" t="n">
        <v>-63.59269999999997</v>
      </c>
      <c r="G22" s="16" t="n">
        <v>7.45062</v>
      </c>
      <c r="H22" s="16" t="n">
        <v>8.10866</v>
      </c>
      <c r="I22" s="16" t="n">
        <v>7.88731</v>
      </c>
      <c r="J22" s="16" t="n">
        <v>8.303940000000001</v>
      </c>
      <c r="K22" s="16" t="n">
        <v>9.44781</v>
      </c>
      <c r="L22" s="16" t="n">
        <v>9.25145</v>
      </c>
      <c r="M22" s="16" t="n">
        <v>10.38306</v>
      </c>
      <c r="N22" s="16" t="n">
        <v>10.6473</v>
      </c>
      <c r="O22" s="16" t="n">
        <v>12.74685</v>
      </c>
      <c r="P22" s="16" t="n">
        <v>12.39562</v>
      </c>
      <c r="Q22" s="16" t="n">
        <v>12.33647</v>
      </c>
      <c r="R22" s="16" t="n">
        <v>13.91066</v>
      </c>
      <c r="S22" s="16" t="n">
        <v>13.79077</v>
      </c>
      <c r="T22" s="16" t="n">
        <v>12.16979</v>
      </c>
      <c r="U22" s="16" t="n">
        <v>12.25836</v>
      </c>
      <c r="V22" s="16" t="n">
        <v>11.45723</v>
      </c>
      <c r="W22" s="16" t="n">
        <v>12.09134</v>
      </c>
      <c r="X22" s="16" t="n">
        <v>12.29554</v>
      </c>
      <c r="Y22" s="16" t="n">
        <v>12.45833</v>
      </c>
      <c r="Z22" s="16" t="n">
        <v>12.79473</v>
      </c>
      <c r="AA22" s="16" t="n">
        <v>12.1166</v>
      </c>
      <c r="AB22" s="16" t="n">
        <v>11.52676</v>
      </c>
      <c r="AC22" s="16" t="n">
        <v>12.09492</v>
      </c>
      <c r="AD22" s="16" t="n">
        <v>12.60324</v>
      </c>
      <c r="AE22" s="16" t="n">
        <v>12.89092</v>
      </c>
      <c r="AF22" s="16" t="n">
        <v>11.7807</v>
      </c>
      <c r="AG22" s="16" t="n">
        <v>10.99245</v>
      </c>
      <c r="AH22" s="16" t="n">
        <v>11.25365</v>
      </c>
      <c r="AI22" s="16" t="n">
        <v>10.91592</v>
      </c>
      <c r="AJ22" s="16" t="n">
        <v>10.39169</v>
      </c>
      <c r="AK22" s="16" t="n">
        <v>11.59096</v>
      </c>
      <c r="AL22" s="16" t="n">
        <v>11.68457</v>
      </c>
      <c r="AM22" s="16" t="n">
        <v>11.7926</v>
      </c>
      <c r="AN22" s="16" t="n">
        <v>11.51868</v>
      </c>
      <c r="AO22" s="16" t="n">
        <v>11.1938</v>
      </c>
      <c r="AP22" s="16" t="n">
        <v>10.39344</v>
      </c>
      <c r="AQ22" s="16" t="n">
        <v>10.3827</v>
      </c>
      <c r="AR22" s="16" t="n">
        <v>10.11592</v>
      </c>
      <c r="AS22" s="16" t="n">
        <v>10.14057</v>
      </c>
      <c r="AT22" s="16" t="n">
        <v>9.893560000000001</v>
      </c>
      <c r="AU22" s="16" t="n">
        <v>9.80833</v>
      </c>
      <c r="AV22" s="16" t="n">
        <v>10.17452</v>
      </c>
      <c r="AW22" s="16" t="n">
        <v>10.43676</v>
      </c>
      <c r="AX22" s="16" t="n">
        <v>10.11098</v>
      </c>
      <c r="AY22" s="16" t="n">
        <v>9.69158</v>
      </c>
      <c r="AZ22" s="16" t="n">
        <v>9.671060000000001</v>
      </c>
      <c r="BA22" s="16" t="n">
        <v>9.426589999999999</v>
      </c>
      <c r="BB22" s="16" t="n">
        <v>9.209110000000001</v>
      </c>
      <c r="BC22" s="16" t="n">
        <v>8.74845</v>
      </c>
      <c r="BD22" s="16" t="n">
        <v>8.67938</v>
      </c>
      <c r="BE22" s="16" t="n">
        <v>8.54444</v>
      </c>
      <c r="BF22" s="16" t="n">
        <v>8.43962</v>
      </c>
      <c r="BG22" s="16" t="n">
        <v>8.373279999999999</v>
      </c>
      <c r="BH22" s="16" t="n">
        <v>9.21678</v>
      </c>
      <c r="BI22" s="16" t="n">
        <v>8.600300000000001</v>
      </c>
      <c r="BJ22" s="16" t="n">
        <v>8.41357</v>
      </c>
      <c r="BK22" s="16" t="n">
        <v>8.39884</v>
      </c>
      <c r="BL22" s="16" t="n">
        <v>8.69659</v>
      </c>
      <c r="BM22" s="16" t="n">
        <v>8.60833</v>
      </c>
      <c r="BN22" s="16" t="n">
        <v>7.468113</v>
      </c>
    </row>
    <row r="24">
      <c r="A24" s="2" t="inlineStr">
        <is>
          <t>COUNTRIES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</row>
    <row r="25">
      <c r="A25" s="10" t="inlineStr">
        <is>
          <t>Angola</t>
        </is>
      </c>
      <c r="B25" s="16" t="n">
        <v>8.748721</v>
      </c>
      <c r="C25" s="26" t="n">
        <v>-8.599900000000105</v>
      </c>
      <c r="D25" s="26" t="n">
        <v>-8.050900000000105</v>
      </c>
      <c r="E25" s="26" t="n">
        <v>-102.2939000000001</v>
      </c>
      <c r="F25" s="26" t="n">
        <v>-158.4478999999999</v>
      </c>
      <c r="G25" s="16" t="n">
        <v>8.6577</v>
      </c>
      <c r="H25" s="16" t="n">
        <v>9.739710000000001</v>
      </c>
      <c r="I25" s="16" t="n">
        <v>8.778449999999999</v>
      </c>
      <c r="J25" s="16" t="n">
        <v>8.70683</v>
      </c>
      <c r="K25" s="16" t="n">
        <v>8.966989999999999</v>
      </c>
      <c r="L25" s="16" t="n">
        <v>8.60116</v>
      </c>
      <c r="M25" s="16" t="n">
        <v>9.637600000000001</v>
      </c>
      <c r="N25" s="16" t="n">
        <v>9.677519999999999</v>
      </c>
      <c r="O25" s="16" t="n">
        <v>12.48025</v>
      </c>
      <c r="P25" s="16" t="n">
        <v>12.03993</v>
      </c>
      <c r="Q25" s="16" t="n">
        <v>11.75418</v>
      </c>
      <c r="R25" s="16" t="n">
        <v>13.51104</v>
      </c>
      <c r="S25" s="16" t="n">
        <v>12.00518</v>
      </c>
      <c r="T25" s="16" t="n">
        <v>10.46648</v>
      </c>
      <c r="U25" s="16" t="n">
        <v>10.9881</v>
      </c>
      <c r="V25" s="16" t="n">
        <v>9.88242</v>
      </c>
      <c r="W25" s="16" t="n">
        <v>10.3726</v>
      </c>
      <c r="X25" s="16" t="n">
        <v>11.3667</v>
      </c>
      <c r="Y25" s="16" t="n">
        <v>11.74445</v>
      </c>
      <c r="Z25" s="16" t="n">
        <v>11.64056</v>
      </c>
      <c r="AA25" s="16" t="n">
        <v>11.54068</v>
      </c>
      <c r="AB25" s="16" t="n">
        <v>10.85181</v>
      </c>
      <c r="AC25" s="16" t="n">
        <v>11.98673</v>
      </c>
      <c r="AD25" s="16" t="n">
        <v>12.36322</v>
      </c>
      <c r="AE25" s="16" t="n">
        <v>12.80079</v>
      </c>
      <c r="AF25" s="16" t="n">
        <v>11.84434</v>
      </c>
      <c r="AG25" s="16" t="n">
        <v>10.83912</v>
      </c>
      <c r="AH25" s="16" t="n">
        <v>11.35927</v>
      </c>
      <c r="AI25" s="16" t="n">
        <v>10.99502</v>
      </c>
      <c r="AJ25" s="16" t="n">
        <v>10.19126</v>
      </c>
      <c r="AK25" s="16" t="n">
        <v>10.47292</v>
      </c>
      <c r="AL25" s="16" t="n">
        <v>10.57635</v>
      </c>
      <c r="AM25" s="16" t="n">
        <v>10.74555</v>
      </c>
      <c r="AN25" s="16" t="n">
        <v>10.64974</v>
      </c>
      <c r="AO25" s="16" t="n">
        <v>10.39829</v>
      </c>
      <c r="AP25" s="16" t="n">
        <v>10.66277</v>
      </c>
      <c r="AQ25" s="16" t="n">
        <v>10.52776</v>
      </c>
      <c r="AR25" s="16" t="n">
        <v>10.77074</v>
      </c>
      <c r="AS25" s="16" t="n">
        <v>11.0609</v>
      </c>
      <c r="AT25" s="16" t="n">
        <v>10.97332</v>
      </c>
      <c r="AU25" s="16" t="n">
        <v>10.91514</v>
      </c>
      <c r="AV25" s="16" t="n">
        <v>11.56842</v>
      </c>
      <c r="AW25" s="16" t="n">
        <v>13.74524</v>
      </c>
      <c r="AX25" s="16" t="n">
        <v>12.54672</v>
      </c>
      <c r="AY25" s="16" t="n">
        <v>11.32094</v>
      </c>
      <c r="AZ25" s="16" t="n">
        <v>10.87507</v>
      </c>
      <c r="BA25" s="16" t="n">
        <v>10.58176</v>
      </c>
      <c r="BB25" s="16" t="n">
        <v>10.05761</v>
      </c>
      <c r="BC25" s="16" t="n">
        <v>10.20935</v>
      </c>
      <c r="BD25" s="16" t="n">
        <v>10.00731</v>
      </c>
      <c r="BE25" s="16" t="n">
        <v>9.759980000000001</v>
      </c>
      <c r="BF25" s="16" t="n">
        <v>9.707700000000001</v>
      </c>
      <c r="BG25" s="16" t="n">
        <v>9.49752</v>
      </c>
      <c r="BH25" s="16" t="n">
        <v>9.77051</v>
      </c>
      <c r="BI25" s="16" t="n">
        <v>8.63632</v>
      </c>
      <c r="BJ25" s="16" t="n">
        <v>8.79194</v>
      </c>
      <c r="BK25" s="16" t="n">
        <v>9.017440000000001</v>
      </c>
      <c r="BL25" s="16" t="n">
        <v>8.94242</v>
      </c>
      <c r="BM25" s="16" t="n">
        <v>8.91695</v>
      </c>
      <c r="BN25" s="16" t="n">
        <v>8.748721</v>
      </c>
    </row>
    <row r="26">
      <c r="A26" s="10" t="inlineStr">
        <is>
          <t>Argentina</t>
        </is>
      </c>
      <c r="B26" s="16" t="n">
        <v>9.646461</v>
      </c>
      <c r="C26" s="27" t="n">
        <v>61.21810000000016</v>
      </c>
      <c r="D26" s="27" t="n">
        <v>25.92210000000018</v>
      </c>
      <c r="E26" s="27" t="n">
        <v>7.596100000000099</v>
      </c>
      <c r="F26" s="26" t="n">
        <v>-524.9728999999998</v>
      </c>
      <c r="G26" s="16" t="n">
        <v>18.52952</v>
      </c>
      <c r="H26" s="16" t="n">
        <v>20.46441</v>
      </c>
      <c r="I26" s="16" t="n">
        <v>18.30695</v>
      </c>
      <c r="J26" s="16" t="n">
        <v>18.96124</v>
      </c>
      <c r="K26" s="16" t="n">
        <v>19.96512</v>
      </c>
      <c r="L26" s="16" t="n">
        <v>19.57399</v>
      </c>
      <c r="M26" s="16" t="n">
        <v>20.95033</v>
      </c>
      <c r="N26" s="16" t="n">
        <v>22.03622</v>
      </c>
      <c r="O26" s="16" t="n">
        <v>27.33272</v>
      </c>
      <c r="P26" s="16" t="n">
        <v>26.69654</v>
      </c>
      <c r="Q26" s="16" t="n">
        <v>27.15298</v>
      </c>
      <c r="R26" s="16" t="n">
        <v>32.01238</v>
      </c>
      <c r="S26" s="16" t="n">
        <v>30.44729</v>
      </c>
      <c r="T26" s="16" t="n">
        <v>26.26799</v>
      </c>
      <c r="U26" s="16" t="n">
        <v>25.9618</v>
      </c>
      <c r="V26" s="16" t="n">
        <v>21.83942</v>
      </c>
      <c r="W26" s="16" t="n">
        <v>23.71589</v>
      </c>
      <c r="X26" s="16" t="n">
        <v>26.61872</v>
      </c>
      <c r="Y26" s="16" t="n">
        <v>30.40467</v>
      </c>
      <c r="Z26" s="16" t="n">
        <v>29.77265</v>
      </c>
      <c r="AA26" s="16" t="n">
        <v>24.45842</v>
      </c>
      <c r="AB26" s="16" t="n">
        <v>23.99671</v>
      </c>
      <c r="AC26" s="16" t="n">
        <v>25.2416</v>
      </c>
      <c r="AD26" s="16" t="n">
        <v>30.0806</v>
      </c>
      <c r="AE26" s="16" t="n">
        <v>30.68243</v>
      </c>
      <c r="AF26" s="16" t="n">
        <v>24.23293</v>
      </c>
      <c r="AG26" s="16" t="n">
        <v>23.01171</v>
      </c>
      <c r="AH26" s="16" t="n">
        <v>23.5946</v>
      </c>
      <c r="AI26" s="16" t="n">
        <v>21.35405</v>
      </c>
      <c r="AJ26" s="16" t="n">
        <v>18.79358</v>
      </c>
      <c r="AK26" s="16" t="n">
        <v>16.89815</v>
      </c>
      <c r="AL26" s="16" t="n">
        <v>17.96703</v>
      </c>
      <c r="AM26" s="16" t="n">
        <v>18.98361</v>
      </c>
      <c r="AN26" s="16" t="n">
        <v>19.15725</v>
      </c>
      <c r="AO26" s="16" t="n">
        <v>18.18646</v>
      </c>
      <c r="AP26" s="16" t="n">
        <v>16.53692</v>
      </c>
      <c r="AQ26" s="16" t="n">
        <v>14.07087</v>
      </c>
      <c r="AR26" s="16" t="n">
        <v>11.71172</v>
      </c>
      <c r="AS26" s="16" t="n">
        <v>10.85176</v>
      </c>
      <c r="AT26" s="16" t="n">
        <v>10.69893</v>
      </c>
      <c r="AU26" s="16" t="n">
        <v>11.98197</v>
      </c>
      <c r="AV26" s="16" t="n">
        <v>12.2979</v>
      </c>
      <c r="AW26" s="16" t="n">
        <v>11.19355</v>
      </c>
      <c r="AX26" s="16" t="n">
        <v>10.99451</v>
      </c>
      <c r="AY26" s="16" t="n">
        <v>11.05495</v>
      </c>
      <c r="AZ26" s="16" t="n">
        <v>11.48787</v>
      </c>
      <c r="BA26" s="16" t="n">
        <v>12.25639</v>
      </c>
      <c r="BB26" s="16" t="n">
        <v>16.13498</v>
      </c>
      <c r="BC26" s="16" t="n">
        <v>10.52954</v>
      </c>
      <c r="BD26" s="16" t="n">
        <v>10.27171</v>
      </c>
      <c r="BE26" s="16" t="n">
        <v>9.54171</v>
      </c>
      <c r="BF26" s="16" t="n">
        <v>8.941549999999999</v>
      </c>
      <c r="BG26" s="16" t="n">
        <v>9.49736</v>
      </c>
      <c r="BH26" s="16" t="n">
        <v>10.29495</v>
      </c>
      <c r="BI26" s="16" t="n">
        <v>9.748900000000001</v>
      </c>
      <c r="BJ26" s="16" t="n">
        <v>9.221080000000001</v>
      </c>
      <c r="BK26" s="16" t="n">
        <v>8.58048</v>
      </c>
      <c r="BL26" s="16" t="n">
        <v>8.89429</v>
      </c>
      <c r="BM26" s="16" t="n">
        <v>9.750170000000001</v>
      </c>
      <c r="BN26" s="16" t="n">
        <v>9.646461</v>
      </c>
    </row>
    <row r="27">
      <c r="A27" s="10" t="inlineStr">
        <is>
          <t>Armenia</t>
        </is>
      </c>
      <c r="B27" s="16" t="n">
        <v>6.124205</v>
      </c>
      <c r="C27" s="15" t="n">
        <v>0</v>
      </c>
      <c r="D27" s="15" t="n">
        <v>0</v>
      </c>
      <c r="E27" s="15" t="n">
        <v>0</v>
      </c>
      <c r="F27" s="15" t="n">
        <v>0</v>
      </c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s="16" t="inlineStr"/>
      <c r="U27" s="16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s="16" t="inlineStr"/>
      <c r="AE27" s="16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s="16" t="inlineStr"/>
      <c r="AY27" s="16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s="16" t="inlineStr"/>
      <c r="BI27" s="16" t="inlineStr"/>
      <c r="BJ27" s="16" t="inlineStr"/>
      <c r="BK27" s="16" t="inlineStr"/>
      <c r="BL27" s="16" t="inlineStr"/>
      <c r="BM27" s="16" t="inlineStr"/>
      <c r="BN27" s="16" t="n">
        <v>6.124205</v>
      </c>
    </row>
    <row r="28">
      <c r="A28" s="10" t="inlineStr">
        <is>
          <t>Azerbaijan</t>
        </is>
      </c>
      <c r="B28" s="16" t="n">
        <v>5.054487</v>
      </c>
      <c r="C28" s="26" t="n">
        <v>-2.203299999999953</v>
      </c>
      <c r="D28" s="27" t="n">
        <v>21.21970000000007</v>
      </c>
      <c r="E28" s="27" t="n">
        <v>38.66870000000003</v>
      </c>
      <c r="F28" s="27" t="n">
        <v>8.993700000000082</v>
      </c>
      <c r="G28" s="16" t="n">
        <v>2.819</v>
      </c>
      <c r="H28" s="16" t="n">
        <v>3.21738</v>
      </c>
      <c r="I28" s="16" t="n">
        <v>3.07524</v>
      </c>
      <c r="J28" s="16" t="n">
        <v>3.26768</v>
      </c>
      <c r="K28" s="16" t="n">
        <v>3.83035</v>
      </c>
      <c r="L28" s="16" t="n">
        <v>4.30755</v>
      </c>
      <c r="M28" s="16" t="n">
        <v>5.01409</v>
      </c>
      <c r="N28" s="16" t="n">
        <v>5.4658</v>
      </c>
      <c r="O28" s="16" t="n">
        <v>6.74283</v>
      </c>
      <c r="P28" s="16" t="n">
        <v>5.64796</v>
      </c>
      <c r="Q28" s="16" t="n">
        <v>5.37254</v>
      </c>
      <c r="R28" s="16" t="n">
        <v>6.83552</v>
      </c>
      <c r="S28" s="16" t="n">
        <v>6.84489</v>
      </c>
      <c r="T28" s="16" t="n">
        <v>5.92631</v>
      </c>
      <c r="U28" s="16" t="n">
        <v>5.86742</v>
      </c>
      <c r="V28" s="16" t="n">
        <v>5.60405</v>
      </c>
      <c r="W28" s="16" t="n">
        <v>5.87953</v>
      </c>
      <c r="X28" s="16" t="n">
        <v>5.93296</v>
      </c>
      <c r="Y28" s="16" t="n">
        <v>5.61786</v>
      </c>
      <c r="Z28" s="16" t="n">
        <v>5.87075</v>
      </c>
      <c r="AA28" s="16" t="n">
        <v>5.91425</v>
      </c>
      <c r="AB28" s="16" t="n">
        <v>5.88228</v>
      </c>
      <c r="AC28" s="16" t="n">
        <v>6.1116</v>
      </c>
      <c r="AD28" s="16" t="n">
        <v>6.62702</v>
      </c>
      <c r="AE28" s="16" t="n">
        <v>7.23277</v>
      </c>
      <c r="AF28" s="16" t="n">
        <v>6.33362</v>
      </c>
      <c r="AG28" s="16" t="n">
        <v>5.69697</v>
      </c>
      <c r="AH28" s="16" t="n">
        <v>5.96217</v>
      </c>
      <c r="AI28" s="16" t="n">
        <v>6.10634</v>
      </c>
      <c r="AJ28" s="16" t="n">
        <v>6.06094</v>
      </c>
      <c r="AK28" s="16" t="n">
        <v>6.45334</v>
      </c>
      <c r="AL28" s="16" t="n">
        <v>6.24494</v>
      </c>
      <c r="AM28" s="16" t="n">
        <v>6.11992</v>
      </c>
      <c r="AN28" s="16" t="n">
        <v>5.88768</v>
      </c>
      <c r="AO28" s="16" t="n">
        <v>5.40971</v>
      </c>
      <c r="AP28" s="16" t="n">
        <v>5.22949</v>
      </c>
      <c r="AQ28" s="16" t="n">
        <v>5.64235</v>
      </c>
      <c r="AR28" s="16" t="n">
        <v>5.65627</v>
      </c>
      <c r="AS28" s="16" t="n">
        <v>6.03149</v>
      </c>
      <c r="AT28" s="16" t="n">
        <v>5.89695</v>
      </c>
      <c r="AU28" s="16" t="n">
        <v>5.70237</v>
      </c>
      <c r="AV28" s="16" t="n">
        <v>5.70391</v>
      </c>
      <c r="AW28" s="16" t="n">
        <v>5.76535</v>
      </c>
      <c r="AX28" s="16" t="n">
        <v>5.70564</v>
      </c>
      <c r="AY28" s="16" t="n">
        <v>5.3439</v>
      </c>
      <c r="AZ28" s="16" t="n">
        <v>5.12885</v>
      </c>
      <c r="BA28" s="16" t="n">
        <v>4.92894</v>
      </c>
      <c r="BB28" s="16" t="n">
        <v>4.85972</v>
      </c>
      <c r="BC28" s="16" t="n">
        <v>4.74569</v>
      </c>
      <c r="BD28" s="16" t="n">
        <v>4.74502</v>
      </c>
      <c r="BE28" s="16" t="n">
        <v>4.60456</v>
      </c>
      <c r="BF28" s="16" t="n">
        <v>4.7434</v>
      </c>
      <c r="BG28" s="16" t="n">
        <v>4.63123</v>
      </c>
      <c r="BH28" s="16" t="n">
        <v>5.02757</v>
      </c>
      <c r="BI28" s="16" t="n">
        <v>4.66481</v>
      </c>
      <c r="BJ28" s="16" t="n">
        <v>4.71398</v>
      </c>
      <c r="BK28" s="16" t="n">
        <v>4.83081</v>
      </c>
      <c r="BL28" s="16" t="n">
        <v>5.12265</v>
      </c>
      <c r="BM28" s="16" t="n">
        <v>5.01556</v>
      </c>
      <c r="BN28" s="16" t="n">
        <v>5.054487</v>
      </c>
    </row>
    <row r="29">
      <c r="A29" s="10" t="inlineStr">
        <is>
          <t>Bahrain</t>
        </is>
      </c>
      <c r="B29" s="16" t="n">
        <v>7.430451</v>
      </c>
      <c r="C29" s="27" t="n">
        <v>26.13909999999997</v>
      </c>
      <c r="D29" s="27" t="n">
        <v>56.6371</v>
      </c>
      <c r="E29" s="27" t="n">
        <v>132.7111</v>
      </c>
      <c r="F29" s="27" t="n">
        <v>145.2561000000001</v>
      </c>
      <c r="G29" s="16" t="n">
        <v>5.20523</v>
      </c>
      <c r="H29" s="16" t="n">
        <v>5.49706</v>
      </c>
      <c r="I29" s="16" t="n">
        <v>5.38809</v>
      </c>
      <c r="J29" s="16" t="n">
        <v>5.67612</v>
      </c>
      <c r="K29" s="16" t="n">
        <v>5.96796</v>
      </c>
      <c r="L29" s="16" t="n">
        <v>5.66334</v>
      </c>
      <c r="M29" s="16" t="n">
        <v>6.20563</v>
      </c>
      <c r="N29" s="16" t="n">
        <v>6.29354</v>
      </c>
      <c r="O29" s="16" t="n">
        <v>7.15336</v>
      </c>
      <c r="P29" s="16" t="n">
        <v>7.19139</v>
      </c>
      <c r="Q29" s="16" t="n">
        <v>6.94659</v>
      </c>
      <c r="R29" s="16" t="n">
        <v>7.67461</v>
      </c>
      <c r="S29" s="16" t="n">
        <v>7.72954</v>
      </c>
      <c r="T29" s="16" t="n">
        <v>6.92821</v>
      </c>
      <c r="U29" s="16" t="n">
        <v>6.81487</v>
      </c>
      <c r="V29" s="16" t="n">
        <v>6.52639</v>
      </c>
      <c r="W29" s="16" t="n">
        <v>6.68753</v>
      </c>
      <c r="X29" s="16" t="n">
        <v>6.769</v>
      </c>
      <c r="Y29" s="16" t="n">
        <v>6.8091</v>
      </c>
      <c r="Z29" s="16" t="n">
        <v>7.11124</v>
      </c>
      <c r="AA29" s="16" t="n">
        <v>6.9321</v>
      </c>
      <c r="AB29" s="16" t="n">
        <v>6.68875</v>
      </c>
      <c r="AC29" s="16" t="n">
        <v>6.88418</v>
      </c>
      <c r="AD29" s="16" t="n">
        <v>7.19981</v>
      </c>
      <c r="AE29" s="16" t="n">
        <v>7.67808</v>
      </c>
      <c r="AF29" s="16" t="n">
        <v>6.95501</v>
      </c>
      <c r="AG29" s="16" t="n">
        <v>6.55978</v>
      </c>
      <c r="AH29" s="16" t="n">
        <v>6.77011</v>
      </c>
      <c r="AI29" s="16" t="n">
        <v>6.81871</v>
      </c>
      <c r="AJ29" s="16" t="n">
        <v>6.63319</v>
      </c>
      <c r="AK29" s="16" t="n">
        <v>6.9768</v>
      </c>
      <c r="AL29" s="16" t="n">
        <v>6.65377</v>
      </c>
      <c r="AM29" s="16" t="n">
        <v>6.68365</v>
      </c>
      <c r="AN29" s="16" t="n">
        <v>6.52995</v>
      </c>
      <c r="AO29" s="16" t="n">
        <v>6.24783</v>
      </c>
      <c r="AP29" s="16" t="n">
        <v>5.98414</v>
      </c>
      <c r="AQ29" s="16" t="n">
        <v>6.3697</v>
      </c>
      <c r="AR29" s="16" t="n">
        <v>6.40813</v>
      </c>
      <c r="AS29" s="16" t="n">
        <v>6.62178</v>
      </c>
      <c r="AT29" s="16" t="n">
        <v>6.51509</v>
      </c>
      <c r="AU29" s="16" t="n">
        <v>6.44824</v>
      </c>
      <c r="AV29" s="16" t="n">
        <v>6.46468</v>
      </c>
      <c r="AW29" s="16" t="n">
        <v>6.6621</v>
      </c>
      <c r="AX29" s="16" t="n">
        <v>6.67105</v>
      </c>
      <c r="AY29" s="16" t="n">
        <v>6.62082</v>
      </c>
      <c r="AZ29" s="16" t="n">
        <v>6.34937</v>
      </c>
      <c r="BA29" s="16" t="n">
        <v>6.1558</v>
      </c>
      <c r="BB29" s="16" t="n">
        <v>5.86028</v>
      </c>
      <c r="BC29" s="16" t="n">
        <v>5.83495</v>
      </c>
      <c r="BD29" s="16" t="n">
        <v>6.01275</v>
      </c>
      <c r="BE29" s="16" t="n">
        <v>6.08156</v>
      </c>
      <c r="BF29" s="16" t="n">
        <v>6.39713</v>
      </c>
      <c r="BG29" s="16" t="n">
        <v>6.31819</v>
      </c>
      <c r="BH29" s="16" t="n">
        <v>7.38577</v>
      </c>
      <c r="BI29" s="16" t="n">
        <v>6.84682</v>
      </c>
      <c r="BJ29" s="16" t="n">
        <v>6.68258</v>
      </c>
      <c r="BK29" s="16" t="n">
        <v>6.91835</v>
      </c>
      <c r="BL29" s="16" t="n">
        <v>7.48975</v>
      </c>
      <c r="BM29" s="16" t="n">
        <v>7.29139</v>
      </c>
      <c r="BN29" s="16" t="n">
        <v>7.430451</v>
      </c>
    </row>
    <row r="30">
      <c r="A30" s="10" t="inlineStr">
        <is>
          <t>Barbados</t>
        </is>
      </c>
      <c r="B30" s="16" t="n">
        <v>6.767938</v>
      </c>
      <c r="C30" s="27" t="n">
        <v>6.683800000000062</v>
      </c>
      <c r="D30" s="26" t="n">
        <v>-0.541199999999975</v>
      </c>
      <c r="E30" s="26" t="n">
        <v>-13.52319999999993</v>
      </c>
      <c r="F30" s="26" t="n">
        <v>-75.44919999999988</v>
      </c>
      <c r="G30" s="16" t="n">
        <v>6.1718</v>
      </c>
      <c r="H30" s="16" t="n">
        <v>6.10741</v>
      </c>
      <c r="I30" s="16" t="n">
        <v>6.26794</v>
      </c>
      <c r="J30" s="16" t="n">
        <v>6.2787</v>
      </c>
      <c r="K30" s="16" t="n">
        <v>6.7422</v>
      </c>
      <c r="L30" s="16" t="n">
        <v>7.13654</v>
      </c>
      <c r="M30" s="16" t="n">
        <v>7.25391</v>
      </c>
      <c r="N30" s="16" t="n">
        <v>7.33042</v>
      </c>
      <c r="O30" s="16" t="n">
        <v>7.23489</v>
      </c>
      <c r="P30" s="16" t="n">
        <v>7.37224</v>
      </c>
      <c r="Q30" s="16" t="n">
        <v>7.59506</v>
      </c>
      <c r="R30" s="16" t="n">
        <v>8.19781</v>
      </c>
      <c r="S30" s="16" t="n">
        <v>8.42468</v>
      </c>
      <c r="T30" s="16" t="n">
        <v>8.181760000000001</v>
      </c>
      <c r="U30" s="16" t="n">
        <v>8.24226</v>
      </c>
      <c r="V30" s="16" t="n">
        <v>8.097390000000001</v>
      </c>
      <c r="W30" s="16" t="n">
        <v>8.266159999999999</v>
      </c>
      <c r="X30" s="16" t="n">
        <v>8.23903</v>
      </c>
      <c r="Y30" s="16" t="n">
        <v>8.19364</v>
      </c>
      <c r="Z30" s="16" t="n">
        <v>8.25155</v>
      </c>
      <c r="AA30" s="16" t="n">
        <v>8.194850000000001</v>
      </c>
      <c r="AB30" s="16" t="n">
        <v>8.222289999999999</v>
      </c>
      <c r="AC30" s="16" t="n">
        <v>8.29912</v>
      </c>
      <c r="AD30" s="16" t="n">
        <v>8.38462</v>
      </c>
      <c r="AE30" s="16" t="n">
        <v>8.440189999999999</v>
      </c>
      <c r="AF30" s="16" t="n">
        <v>8.21266</v>
      </c>
      <c r="AG30" s="16" t="n">
        <v>7.87996</v>
      </c>
      <c r="AH30" s="16" t="n">
        <v>7.97743</v>
      </c>
      <c r="AI30" s="16" t="n">
        <v>8.07836</v>
      </c>
      <c r="AJ30" s="16" t="n">
        <v>8.17287</v>
      </c>
      <c r="AK30" s="16" t="n">
        <v>8.31967</v>
      </c>
      <c r="AL30" s="16" t="n">
        <v>8.165279999999999</v>
      </c>
      <c r="AM30" s="16" t="n">
        <v>8.3682</v>
      </c>
      <c r="AN30" s="16" t="n">
        <v>8.25488</v>
      </c>
      <c r="AO30" s="16" t="n">
        <v>8.010719999999999</v>
      </c>
      <c r="AP30" s="16" t="n">
        <v>8.136609999999999</v>
      </c>
      <c r="AQ30" s="16" t="n">
        <v>7.97419</v>
      </c>
      <c r="AR30" s="16" t="n">
        <v>7.41189</v>
      </c>
      <c r="AS30" s="16" t="n">
        <v>7.08016</v>
      </c>
      <c r="AT30" s="16" t="n">
        <v>7.3714</v>
      </c>
      <c r="AU30" s="16" t="n">
        <v>7.34191</v>
      </c>
      <c r="AV30" s="16" t="inlineStr"/>
      <c r="AW30" s="16" t="inlineStr"/>
      <c r="AX30" s="16" t="inlineStr"/>
      <c r="AY30" s="16" t="n">
        <v>7.78863</v>
      </c>
      <c r="AZ30" s="16" t="n">
        <v>7.90184</v>
      </c>
      <c r="BA30" s="16" t="n">
        <v>7.72708</v>
      </c>
      <c r="BB30" s="16" t="n">
        <v>7.13442</v>
      </c>
      <c r="BC30" s="16" t="n">
        <v>7.06702</v>
      </c>
      <c r="BD30" s="16" t="n">
        <v>7.00889</v>
      </c>
      <c r="BE30" s="16" t="n">
        <v>6.88683</v>
      </c>
      <c r="BF30" s="16" t="n">
        <v>6.59319</v>
      </c>
      <c r="BG30" s="16" t="n">
        <v>6.62014</v>
      </c>
      <c r="BH30" s="16" t="n">
        <v>7.45205</v>
      </c>
      <c r="BI30" s="16" t="n">
        <v>6.58611</v>
      </c>
      <c r="BJ30" s="16" t="n">
        <v>6.73612</v>
      </c>
      <c r="BK30" s="16" t="n">
        <v>6.56701</v>
      </c>
      <c r="BL30" s="16" t="n">
        <v>6.65129</v>
      </c>
      <c r="BM30" s="16" t="n">
        <v>6.76401</v>
      </c>
      <c r="BN30" s="16" t="n">
        <v>6.767938</v>
      </c>
    </row>
    <row r="31">
      <c r="A31" s="10" t="inlineStr">
        <is>
          <t>Benin</t>
        </is>
      </c>
      <c r="B31" s="16" t="n">
        <v>7.183376</v>
      </c>
      <c r="C31" s="27" t="n">
        <v>2.655600000000025</v>
      </c>
      <c r="D31" s="26" t="n">
        <v>-9.600399999999976</v>
      </c>
      <c r="E31" s="26" t="n">
        <v>-33.34339999999994</v>
      </c>
      <c r="F31" s="26" t="n">
        <v>-87.21840000000012</v>
      </c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6" t="inlineStr"/>
      <c r="W31" s="16" t="inlineStr"/>
      <c r="X31" s="16" t="inlineStr"/>
      <c r="Y31" s="16" t="inlineStr"/>
      <c r="Z31" s="16" t="inlineStr"/>
      <c r="AA31" s="16" t="inlineStr"/>
      <c r="AB31" s="16" t="inlineStr"/>
      <c r="AC31" s="16" t="inlineStr"/>
      <c r="AD31" s="16" t="inlineStr"/>
      <c r="AE31" s="16" t="inlineStr"/>
      <c r="AF31" s="16" t="inlineStr"/>
      <c r="AG31" s="16" t="inlineStr"/>
      <c r="AH31" s="16" t="inlineStr"/>
      <c r="AI31" s="16" t="n">
        <v>8.268420000000001</v>
      </c>
      <c r="AJ31" s="16" t="n">
        <v>8.21181</v>
      </c>
      <c r="AK31" s="16" t="n">
        <v>8.584379999999999</v>
      </c>
      <c r="AL31" s="16" t="n">
        <v>8.677009999999999</v>
      </c>
      <c r="AM31" s="16" t="n">
        <v>8.800599999999999</v>
      </c>
      <c r="AN31" s="16" t="n">
        <v>8.768230000000001</v>
      </c>
      <c r="AO31" s="16" t="n">
        <v>8.42596</v>
      </c>
      <c r="AP31" s="16" t="n">
        <v>7.96487</v>
      </c>
      <c r="AQ31" s="16" t="n">
        <v>8.12335</v>
      </c>
      <c r="AR31" s="16" t="n">
        <v>8.22364</v>
      </c>
      <c r="AS31" s="16" t="n">
        <v>8.629189999999999</v>
      </c>
      <c r="AT31" s="16" t="n">
        <v>8.647040000000001</v>
      </c>
      <c r="AU31" s="16" t="n">
        <v>8.71312</v>
      </c>
      <c r="AV31" s="16" t="n">
        <v>8.831009999999999</v>
      </c>
      <c r="AW31" s="16" t="n">
        <v>9.313140000000001</v>
      </c>
      <c r="AX31" s="16" t="n">
        <v>9.110150000000001</v>
      </c>
      <c r="AY31" s="16" t="n">
        <v>8.673080000000001</v>
      </c>
      <c r="AZ31" s="16" t="n">
        <v>8.37729</v>
      </c>
      <c r="BA31" s="16" t="n">
        <v>8.169650000000001</v>
      </c>
      <c r="BB31" s="16" t="n">
        <v>7.64272</v>
      </c>
      <c r="BC31" s="16" t="n">
        <v>7.41653</v>
      </c>
      <c r="BD31" s="16" t="n">
        <v>7.73333</v>
      </c>
      <c r="BE31" s="16" t="n">
        <v>7.47739</v>
      </c>
      <c r="BF31" s="16" t="n">
        <v>7.18844</v>
      </c>
      <c r="BG31" s="16" t="n">
        <v>7.16111</v>
      </c>
      <c r="BH31" s="16" t="n">
        <v>8.10768</v>
      </c>
      <c r="BI31" s="16" t="n">
        <v>7.515</v>
      </c>
      <c r="BJ31" s="16" t="n">
        <v>7.17753</v>
      </c>
      <c r="BK31" s="16" t="n">
        <v>7.08406</v>
      </c>
      <c r="BL31" s="16" t="n">
        <v>7.36769</v>
      </c>
      <c r="BM31" s="16" t="n">
        <v>7.0789</v>
      </c>
      <c r="BN31" s="16" t="n">
        <v>7.183376</v>
      </c>
    </row>
    <row r="32">
      <c r="A32" s="10" t="inlineStr">
        <is>
          <t>Bolivia</t>
        </is>
      </c>
      <c r="B32" s="16" t="n">
        <v>9.084052</v>
      </c>
      <c r="C32" s="27" t="n">
        <v>68.50120000000004</v>
      </c>
      <c r="D32" s="26" t="n">
        <v>-88.20779999999999</v>
      </c>
      <c r="E32" s="26" t="n">
        <v>-124.8098</v>
      </c>
      <c r="F32" s="26" t="n">
        <v>-815.9447999999992</v>
      </c>
      <c r="G32" s="16" t="n">
        <v>5.71182</v>
      </c>
      <c r="H32" s="16" t="n">
        <v>5.84868</v>
      </c>
      <c r="I32" s="16" t="n">
        <v>5.22107</v>
      </c>
      <c r="J32" s="16" t="n">
        <v>6.19535</v>
      </c>
      <c r="K32" s="16" t="n">
        <v>6.26094</v>
      </c>
      <c r="L32" s="16" t="n">
        <v>7.5101</v>
      </c>
      <c r="M32" s="16" t="n">
        <v>7.81</v>
      </c>
      <c r="N32" s="16" t="n">
        <v>8.786</v>
      </c>
      <c r="O32" s="16" t="n">
        <v>9.70809</v>
      </c>
      <c r="P32" s="16" t="n">
        <v>9.103440000000001</v>
      </c>
      <c r="Q32" s="16" t="n">
        <v>9.562250000000001</v>
      </c>
      <c r="R32" s="16" t="n">
        <v>9.820740000000001</v>
      </c>
      <c r="S32" s="16" t="n">
        <v>10.20329</v>
      </c>
      <c r="T32" s="16" t="n">
        <v>10.54175</v>
      </c>
      <c r="U32" s="16" t="n">
        <v>9.66065</v>
      </c>
      <c r="V32" s="16" t="n">
        <v>10.50626</v>
      </c>
      <c r="W32" s="16" t="n">
        <v>11.64926</v>
      </c>
      <c r="X32" s="16" t="n">
        <v>19.2651</v>
      </c>
      <c r="Y32" s="16" t="n">
        <v>17.83528</v>
      </c>
      <c r="Z32" s="16" t="n">
        <v>16.78578</v>
      </c>
      <c r="AA32" s="16" t="n">
        <v>15.33076</v>
      </c>
      <c r="AB32" s="16" t="n">
        <v>13.36227</v>
      </c>
      <c r="AC32" s="16" t="n">
        <v>16.29007</v>
      </c>
      <c r="AD32" s="16" t="n">
        <v>19.32345</v>
      </c>
      <c r="AE32" s="16" t="n">
        <v>20.86749</v>
      </c>
      <c r="AF32" s="16" t="n">
        <v>24.8251</v>
      </c>
      <c r="AG32" s="16" t="n">
        <v>26.27905</v>
      </c>
      <c r="AH32" s="16" t="n">
        <v>23.54301</v>
      </c>
      <c r="AI32" s="16" t="n">
        <v>22.32828</v>
      </c>
      <c r="AJ32" s="16" t="n">
        <v>22.30431</v>
      </c>
      <c r="AK32" s="16" t="n">
        <v>23.9926</v>
      </c>
      <c r="AL32" s="16" t="n">
        <v>24.26207</v>
      </c>
      <c r="AM32" s="16" t="n">
        <v>25.15712</v>
      </c>
      <c r="AN32" s="16" t="n">
        <v>25.49873</v>
      </c>
      <c r="AO32" s="16" t="n">
        <v>26.74948</v>
      </c>
      <c r="AP32" s="16" t="n">
        <v>26.40376</v>
      </c>
      <c r="AQ32" s="16" t="n">
        <v>22.66494</v>
      </c>
      <c r="AR32" s="16" t="n">
        <v>24.14249</v>
      </c>
      <c r="AS32" s="16" t="n">
        <v>25.16172</v>
      </c>
      <c r="AT32" s="16" t="n">
        <v>24.59539</v>
      </c>
      <c r="AU32" s="16" t="n">
        <v>24.36782</v>
      </c>
      <c r="AV32" s="16" t="n">
        <v>22.81843</v>
      </c>
      <c r="AW32" s="16" t="n">
        <v>24.73946</v>
      </c>
      <c r="AX32" s="16" t="n">
        <v>23.93663</v>
      </c>
      <c r="AY32" s="16" t="n">
        <v>22.521</v>
      </c>
      <c r="AZ32" s="16" t="n">
        <v>18.62143</v>
      </c>
      <c r="BA32" s="16" t="n">
        <v>16.90724</v>
      </c>
      <c r="BB32" s="16" t="n">
        <v>17.58741</v>
      </c>
      <c r="BC32" s="16" t="n">
        <v>15.72195</v>
      </c>
      <c r="BD32" s="16" t="n">
        <v>10.17159</v>
      </c>
      <c r="BE32" s="16" t="n">
        <v>10.25384</v>
      </c>
      <c r="BF32" s="16" t="n">
        <v>9.334479999999999</v>
      </c>
      <c r="BG32" s="16" t="n">
        <v>8.09346</v>
      </c>
      <c r="BH32" s="16" t="n">
        <v>9.413869999999999</v>
      </c>
      <c r="BI32" s="16" t="n">
        <v>7.94922</v>
      </c>
      <c r="BJ32" s="16" t="n">
        <v>9.82375</v>
      </c>
      <c r="BK32" s="16" t="n">
        <v>8.408289999999999</v>
      </c>
      <c r="BL32" s="16" t="n">
        <v>8.6189</v>
      </c>
      <c r="BM32" s="16" t="n">
        <v>8.371499999999999</v>
      </c>
      <c r="BN32" s="16" t="n">
        <v>9.084052</v>
      </c>
    </row>
    <row r="33">
      <c r="A33" s="10" t="inlineStr">
        <is>
          <t>Brazil</t>
        </is>
      </c>
      <c r="B33" s="16" t="n">
        <v>6.615152</v>
      </c>
      <c r="C33" s="27" t="n">
        <v>8.494199999999985</v>
      </c>
      <c r="D33" s="27" t="n">
        <v>17.18320000000002</v>
      </c>
      <c r="E33" s="27" t="n">
        <v>34.4412</v>
      </c>
      <c r="F33" s="27" t="n">
        <v>43.84620000000002</v>
      </c>
      <c r="G33" s="16" t="n">
        <v>4.92543</v>
      </c>
      <c r="H33" s="16" t="n">
        <v>4.96242</v>
      </c>
      <c r="I33" s="16" t="n">
        <v>4.68106</v>
      </c>
      <c r="J33" s="16" t="n">
        <v>5.0586</v>
      </c>
      <c r="K33" s="16" t="n">
        <v>5.19257</v>
      </c>
      <c r="L33" s="16" t="n">
        <v>5.25764</v>
      </c>
      <c r="M33" s="16" t="n">
        <v>5.92068</v>
      </c>
      <c r="N33" s="16" t="n">
        <v>5.92606</v>
      </c>
      <c r="O33" s="16" t="n">
        <v>6.76545</v>
      </c>
      <c r="P33" s="16" t="n">
        <v>6.03477</v>
      </c>
      <c r="Q33" s="16" t="n">
        <v>6.34211</v>
      </c>
      <c r="R33" s="16" t="n">
        <v>6.94814</v>
      </c>
      <c r="S33" s="16" t="n">
        <v>6.96436</v>
      </c>
      <c r="T33" s="16" t="n">
        <v>6.35845</v>
      </c>
      <c r="U33" s="16" t="n">
        <v>6.64423</v>
      </c>
      <c r="V33" s="16" t="n">
        <v>6.27962</v>
      </c>
      <c r="W33" s="16" t="n">
        <v>6.56605</v>
      </c>
      <c r="X33" s="16" t="n">
        <v>6.24698</v>
      </c>
      <c r="Y33" s="16" t="n">
        <v>6.2502</v>
      </c>
      <c r="Z33" s="16" t="n">
        <v>6.37017</v>
      </c>
      <c r="AA33" s="16" t="n">
        <v>6.35395</v>
      </c>
      <c r="AB33" s="16" t="n">
        <v>6.15018</v>
      </c>
      <c r="AC33" s="16" t="n">
        <v>6.43152</v>
      </c>
      <c r="AD33" s="16" t="n">
        <v>6.83224</v>
      </c>
      <c r="AE33" s="16" t="n">
        <v>7.08405</v>
      </c>
      <c r="AF33" s="16" t="n">
        <v>6.47758</v>
      </c>
      <c r="AG33" s="16" t="n">
        <v>6.04658</v>
      </c>
      <c r="AH33" s="16" t="n">
        <v>6.34896</v>
      </c>
      <c r="AI33" s="16" t="n">
        <v>6.42033</v>
      </c>
      <c r="AJ33" s="16" t="n">
        <v>6.35861</v>
      </c>
      <c r="AK33" s="16" t="n">
        <v>6.82571</v>
      </c>
      <c r="AL33" s="16" t="n">
        <v>6.65722</v>
      </c>
      <c r="AM33" s="16" t="n">
        <v>6.71309</v>
      </c>
      <c r="AN33" s="16" t="n">
        <v>6.43815</v>
      </c>
      <c r="AO33" s="16" t="n">
        <v>6.19432</v>
      </c>
      <c r="AP33" s="16" t="n">
        <v>6.03957</v>
      </c>
      <c r="AQ33" s="16" t="n">
        <v>6.39847</v>
      </c>
      <c r="AR33" s="16" t="n">
        <v>6.46981</v>
      </c>
      <c r="AS33" s="16" t="n">
        <v>7.10808</v>
      </c>
      <c r="AT33" s="16" t="n">
        <v>6.87184</v>
      </c>
      <c r="AU33" s="16" t="n">
        <v>6.66368</v>
      </c>
      <c r="AV33" s="16" t="n">
        <v>6.64356</v>
      </c>
      <c r="AW33" s="16" t="n">
        <v>6.59593</v>
      </c>
      <c r="AX33" s="16" t="n">
        <v>6.73504</v>
      </c>
      <c r="AY33" s="16" t="n">
        <v>6.50193</v>
      </c>
      <c r="AZ33" s="16" t="n">
        <v>6.53436</v>
      </c>
      <c r="BA33" s="16" t="n">
        <v>6.31017</v>
      </c>
      <c r="BB33" s="16" t="n">
        <v>6.15356</v>
      </c>
      <c r="BC33" s="16" t="n">
        <v>6.13308</v>
      </c>
      <c r="BD33" s="16" t="n">
        <v>6.1886</v>
      </c>
      <c r="BE33" s="16" t="n">
        <v>6.28364</v>
      </c>
      <c r="BF33" s="16" t="n">
        <v>6.2511</v>
      </c>
      <c r="BG33" s="16" t="n">
        <v>6.11377</v>
      </c>
      <c r="BH33" s="16" t="n">
        <v>6.45086</v>
      </c>
      <c r="BI33" s="16" t="n">
        <v>6.29356</v>
      </c>
      <c r="BJ33" s="16" t="n">
        <v>6.34544</v>
      </c>
      <c r="BK33" s="16" t="n">
        <v>6.37789</v>
      </c>
      <c r="BL33" s="16" t="n">
        <v>6.63714</v>
      </c>
      <c r="BM33" s="16" t="n">
        <v>6.64754</v>
      </c>
      <c r="BN33" s="16" t="n">
        <v>6.615152</v>
      </c>
    </row>
    <row r="34">
      <c r="A34" s="10" t="inlineStr">
        <is>
          <t>Bulgaria</t>
        </is>
      </c>
      <c r="B34" s="16" t="n">
        <v>5.614809</v>
      </c>
      <c r="C34" s="27" t="n">
        <v>10.13990000000007</v>
      </c>
      <c r="D34" s="27" t="n">
        <v>22.99690000000006</v>
      </c>
      <c r="E34" s="27" t="n">
        <v>54.47190000000006</v>
      </c>
      <c r="F34" s="27" t="n">
        <v>57.00790000000008</v>
      </c>
      <c r="G34" s="16" t="inlineStr"/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s="16" t="inlineStr"/>
      <c r="U34" s="16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s="16" t="inlineStr"/>
      <c r="AE34" s="16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n">
        <v>5.38775</v>
      </c>
      <c r="AR34" s="16" t="n">
        <v>5.47977</v>
      </c>
      <c r="AS34" s="16" t="n">
        <v>5.67998</v>
      </c>
      <c r="AT34" s="16" t="n">
        <v>5.63299</v>
      </c>
      <c r="AU34" s="16" t="n">
        <v>5.3055</v>
      </c>
      <c r="AV34" s="16" t="n">
        <v>5.31312</v>
      </c>
      <c r="AW34" s="16" t="n">
        <v>5.32164</v>
      </c>
      <c r="AX34" s="16" t="n">
        <v>5.36229</v>
      </c>
      <c r="AY34" s="16" t="n">
        <v>5.18937</v>
      </c>
      <c r="AZ34" s="16" t="n">
        <v>5.22474</v>
      </c>
      <c r="BA34" s="16" t="n">
        <v>5.12736</v>
      </c>
      <c r="BB34" s="16" t="n">
        <v>4.91873</v>
      </c>
      <c r="BC34" s="16" t="n">
        <v>4.928</v>
      </c>
      <c r="BD34" s="16" t="n">
        <v>4.89999</v>
      </c>
      <c r="BE34" s="16" t="n">
        <v>5.01372</v>
      </c>
      <c r="BF34" s="16" t="n">
        <v>5.11875</v>
      </c>
      <c r="BG34" s="16" t="n">
        <v>4.84957</v>
      </c>
      <c r="BH34" s="16" t="n">
        <v>5.37476</v>
      </c>
      <c r="BI34" s="16" t="n">
        <v>5.26409</v>
      </c>
      <c r="BJ34" s="16" t="n">
        <v>5.2188</v>
      </c>
      <c r="BK34" s="16" t="n">
        <v>5.22942</v>
      </c>
      <c r="BL34" s="16" t="n">
        <v>5.52725</v>
      </c>
      <c r="BM34" s="16" t="n">
        <v>5.52765</v>
      </c>
      <c r="BN34" s="16" t="n">
        <v>5.614809</v>
      </c>
    </row>
    <row r="35">
      <c r="A35" s="10" t="inlineStr">
        <is>
          <t>Cameroon</t>
        </is>
      </c>
      <c r="B35" s="16" t="n">
        <v>8.774639000000001</v>
      </c>
      <c r="C35" s="26" t="n">
        <v>-84.8801</v>
      </c>
      <c r="D35" s="26" t="n">
        <v>-3.137100000000004</v>
      </c>
      <c r="E35" s="26" t="n">
        <v>-88.66009999999986</v>
      </c>
      <c r="F35" s="26" t="n">
        <v>-206.7551000000001</v>
      </c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s="16" t="inlineStr"/>
      <c r="U35" s="16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s="16" t="inlineStr"/>
      <c r="AE35" s="16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n">
        <v>9.829750000000001</v>
      </c>
      <c r="AQ35" s="16" t="n">
        <v>10.41911</v>
      </c>
      <c r="AR35" s="16" t="n">
        <v>10.59555</v>
      </c>
      <c r="AS35" s="16" t="n">
        <v>10.78152</v>
      </c>
      <c r="AT35" s="16" t="n">
        <v>10.59943</v>
      </c>
      <c r="AU35" s="16" t="n">
        <v>10.55523</v>
      </c>
      <c r="AV35" s="16" t="n">
        <v>11.09208</v>
      </c>
      <c r="AW35" s="16" t="n">
        <v>13.04153</v>
      </c>
      <c r="AX35" s="16" t="n">
        <v>11.91331</v>
      </c>
      <c r="AY35" s="16" t="n">
        <v>11.52442</v>
      </c>
      <c r="AZ35" s="16" t="n">
        <v>11.21932</v>
      </c>
      <c r="BA35" s="16" t="n">
        <v>10.81905</v>
      </c>
      <c r="BB35" s="16" t="n">
        <v>10.50964</v>
      </c>
      <c r="BC35" s="16" t="n">
        <v>10.97622</v>
      </c>
      <c r="BD35" s="16" t="n">
        <v>10.67294</v>
      </c>
      <c r="BE35" s="16" t="n">
        <v>9.306839999999999</v>
      </c>
      <c r="BF35" s="16" t="n">
        <v>9.16216</v>
      </c>
      <c r="BG35" s="16" t="n">
        <v>9.385059999999999</v>
      </c>
      <c r="BH35" s="16" t="n">
        <v>10.18144</v>
      </c>
      <c r="BI35" s="16" t="n">
        <v>8.871930000000001</v>
      </c>
      <c r="BJ35" s="16" t="n">
        <v>8.366</v>
      </c>
      <c r="BK35" s="16" t="n">
        <v>8.978009999999999</v>
      </c>
      <c r="BL35" s="16" t="n">
        <v>9.38007</v>
      </c>
      <c r="BM35" s="16" t="n">
        <v>8.755409999999999</v>
      </c>
      <c r="BN35" s="16" t="n">
        <v>8.774639000000001</v>
      </c>
    </row>
    <row r="36">
      <c r="A36" s="10" t="inlineStr">
        <is>
          <t>Chile</t>
        </is>
      </c>
      <c r="B36" s="16" t="n">
        <v>5.944234</v>
      </c>
      <c r="C36" s="27" t="n">
        <v>5.034399999999994</v>
      </c>
      <c r="D36" s="27" t="n">
        <v>24.79639999999996</v>
      </c>
      <c r="E36" s="27" t="n">
        <v>50.26039999999999</v>
      </c>
      <c r="F36" s="27" t="n">
        <v>42.41739999999997</v>
      </c>
      <c r="G36" s="16" t="n">
        <v>3.36423</v>
      </c>
      <c r="H36" s="16" t="n">
        <v>3.3482</v>
      </c>
      <c r="I36" s="16" t="n">
        <v>3.32145</v>
      </c>
      <c r="J36" s="16" t="n">
        <v>3.69339</v>
      </c>
      <c r="K36" s="16" t="n">
        <v>4.03343</v>
      </c>
      <c r="L36" s="16" t="n">
        <v>4.0547</v>
      </c>
      <c r="M36" s="16" t="n">
        <v>4.85546</v>
      </c>
      <c r="N36" s="16" t="n">
        <v>4.7448</v>
      </c>
      <c r="O36" s="16" t="n">
        <v>5.18509</v>
      </c>
      <c r="P36" s="16" t="n">
        <v>4.88912</v>
      </c>
      <c r="Q36" s="16" t="n">
        <v>5.35798</v>
      </c>
      <c r="R36" s="16" t="n">
        <v>6.00774</v>
      </c>
      <c r="S36" s="16" t="n">
        <v>6.16748</v>
      </c>
      <c r="T36" s="16" t="n">
        <v>5.38604</v>
      </c>
      <c r="U36" s="16" t="n">
        <v>5.42063</v>
      </c>
      <c r="V36" s="16" t="n">
        <v>5.1332</v>
      </c>
      <c r="W36" s="16" t="n">
        <v>5.48411</v>
      </c>
      <c r="X36" s="16" t="n">
        <v>5.21452</v>
      </c>
      <c r="Y36" s="16" t="n">
        <v>5.10017</v>
      </c>
      <c r="Z36" s="16" t="n">
        <v>5.31697</v>
      </c>
      <c r="AA36" s="16" t="n">
        <v>5.28775</v>
      </c>
      <c r="AB36" s="16" t="n">
        <v>5.28605</v>
      </c>
      <c r="AC36" s="16" t="n">
        <v>5.57459</v>
      </c>
      <c r="AD36" s="16" t="n">
        <v>6.09309</v>
      </c>
      <c r="AE36" s="16" t="n">
        <v>6.55214</v>
      </c>
      <c r="AF36" s="16" t="n">
        <v>5.86157</v>
      </c>
      <c r="AG36" s="16" t="n">
        <v>5.36962</v>
      </c>
      <c r="AH36" s="16" t="n">
        <v>5.55849</v>
      </c>
      <c r="AI36" s="16" t="n">
        <v>5.73906</v>
      </c>
      <c r="AJ36" s="16" t="n">
        <v>5.61141</v>
      </c>
      <c r="AK36" s="16" t="n">
        <v>6.01619</v>
      </c>
      <c r="AL36" s="16" t="n">
        <v>5.81804</v>
      </c>
      <c r="AM36" s="16" t="n">
        <v>5.73995</v>
      </c>
      <c r="AN36" s="16" t="n">
        <v>5.5802</v>
      </c>
      <c r="AO36" s="16" t="n">
        <v>5.34449</v>
      </c>
      <c r="AP36" s="16" t="n">
        <v>5.19835</v>
      </c>
      <c r="AQ36" s="16" t="n">
        <v>5.60157</v>
      </c>
      <c r="AR36" s="16" t="n">
        <v>5.57639</v>
      </c>
      <c r="AS36" s="16" t="n">
        <v>5.89355</v>
      </c>
      <c r="AT36" s="16" t="n">
        <v>5.9449</v>
      </c>
      <c r="AU36" s="16" t="n">
        <v>5.70251</v>
      </c>
      <c r="AV36" s="16" t="n">
        <v>5.75739</v>
      </c>
      <c r="AW36" s="16" t="n">
        <v>5.78298</v>
      </c>
      <c r="AX36" s="16" t="n">
        <v>5.9235</v>
      </c>
      <c r="AY36" s="16" t="n">
        <v>5.73437</v>
      </c>
      <c r="AZ36" s="16" t="n">
        <v>5.74321</v>
      </c>
      <c r="BA36" s="16" t="n">
        <v>5.65395</v>
      </c>
      <c r="BB36" s="16" t="n">
        <v>5.45068</v>
      </c>
      <c r="BC36" s="16" t="n">
        <v>5.3543</v>
      </c>
      <c r="BD36" s="16" t="n">
        <v>5.38771</v>
      </c>
      <c r="BE36" s="16" t="n">
        <v>5.43666</v>
      </c>
      <c r="BF36" s="16" t="n">
        <v>5.47784</v>
      </c>
      <c r="BG36" s="16" t="n">
        <v>5.27722</v>
      </c>
      <c r="BH36" s="16" t="n">
        <v>5.69292</v>
      </c>
      <c r="BI36" s="16" t="n">
        <v>5.56649</v>
      </c>
      <c r="BJ36" s="16" t="n">
        <v>5.61942</v>
      </c>
      <c r="BK36" s="16" t="n">
        <v>5.59841</v>
      </c>
      <c r="BL36" s="16" t="n">
        <v>5.97911</v>
      </c>
      <c r="BM36" s="16" t="n">
        <v>5.92547</v>
      </c>
      <c r="BN36" s="16" t="n">
        <v>5.944234</v>
      </c>
    </row>
    <row r="37">
      <c r="A37" s="10" t="inlineStr">
        <is>
          <t>China</t>
        </is>
      </c>
      <c r="B37" s="16" t="n">
        <v>4.859323</v>
      </c>
      <c r="C37" s="27" t="n">
        <v>12.42330000000003</v>
      </c>
      <c r="D37" s="27" t="n">
        <v>32.55430000000005</v>
      </c>
      <c r="E37" s="27" t="n">
        <v>90.15029999999997</v>
      </c>
      <c r="F37" s="27" t="n">
        <v>66.81329999999998</v>
      </c>
      <c r="G37" s="16" t="n">
        <v>3.44332</v>
      </c>
      <c r="H37" s="16" t="n">
        <v>3.37614</v>
      </c>
      <c r="I37" s="16" t="n">
        <v>3.49254</v>
      </c>
      <c r="J37" s="16" t="n">
        <v>3.78748</v>
      </c>
      <c r="K37" s="16" t="n">
        <v>3.96116</v>
      </c>
      <c r="L37" s="16" t="n">
        <v>4.50693</v>
      </c>
      <c r="M37" s="16" t="n">
        <v>4.95112</v>
      </c>
      <c r="N37" s="16" t="n">
        <v>4.92174</v>
      </c>
      <c r="O37" s="16" t="n">
        <v>5.04583</v>
      </c>
      <c r="P37" s="16" t="n">
        <v>4.91194</v>
      </c>
      <c r="Q37" s="16" t="n">
        <v>5.2854</v>
      </c>
      <c r="R37" s="16" t="n">
        <v>5.86225</v>
      </c>
      <c r="S37" s="16" t="n">
        <v>6.18423</v>
      </c>
      <c r="T37" s="16" t="n">
        <v>5.71397</v>
      </c>
      <c r="U37" s="16" t="n">
        <v>5.72787</v>
      </c>
      <c r="V37" s="16" t="n">
        <v>5.41147</v>
      </c>
      <c r="W37" s="16" t="n">
        <v>5.76966</v>
      </c>
      <c r="X37" s="16" t="n">
        <v>5.43274</v>
      </c>
      <c r="Y37" s="16" t="n">
        <v>5.4108</v>
      </c>
      <c r="Z37" s="16" t="n">
        <v>5.62449</v>
      </c>
      <c r="AA37" s="16" t="n">
        <v>5.76926</v>
      </c>
      <c r="AB37" s="16" t="n">
        <v>5.87309</v>
      </c>
      <c r="AC37" s="16" t="n">
        <v>6.0251</v>
      </c>
      <c r="AD37" s="16" t="n">
        <v>6.33429</v>
      </c>
      <c r="AE37" s="16" t="n">
        <v>6.54548</v>
      </c>
      <c r="AF37" s="16" t="n">
        <v>5.89874</v>
      </c>
      <c r="AG37" s="16" t="n">
        <v>5.45813</v>
      </c>
      <c r="AH37" s="16" t="n">
        <v>5.55784</v>
      </c>
      <c r="AI37" s="16" t="n">
        <v>5.76581</v>
      </c>
      <c r="AJ37" s="16" t="n">
        <v>5.70133</v>
      </c>
      <c r="AK37" s="16" t="n">
        <v>6.06621</v>
      </c>
      <c r="AL37" s="16" t="n">
        <v>5.82756</v>
      </c>
      <c r="AM37" s="16" t="n">
        <v>5.7422</v>
      </c>
      <c r="AN37" s="16" t="n">
        <v>5.44374</v>
      </c>
      <c r="AO37" s="16" t="n">
        <v>5.015</v>
      </c>
      <c r="AP37" s="16" t="n">
        <v>4.86065</v>
      </c>
      <c r="AQ37" s="16" t="n">
        <v>5.22853</v>
      </c>
      <c r="AR37" s="16" t="n">
        <v>5.09998</v>
      </c>
      <c r="AS37" s="16" t="n">
        <v>5.42891</v>
      </c>
      <c r="AT37" s="16" t="n">
        <v>5.37275</v>
      </c>
      <c r="AU37" s="16" t="n">
        <v>5.07995</v>
      </c>
      <c r="AV37" s="16" t="n">
        <v>5.12591</v>
      </c>
      <c r="AW37" s="16" t="n">
        <v>5.16538</v>
      </c>
      <c r="AX37" s="16" t="n">
        <v>5.19835</v>
      </c>
      <c r="AY37" s="16" t="n">
        <v>5.04512</v>
      </c>
      <c r="AZ37" s="16" t="n">
        <v>5.12693</v>
      </c>
      <c r="BA37" s="16" t="n">
        <v>4.99295</v>
      </c>
      <c r="BB37" s="16" t="n">
        <v>4.77662</v>
      </c>
      <c r="BC37" s="16" t="n">
        <v>4.72265</v>
      </c>
      <c r="BD37" s="16" t="n">
        <v>4.51635</v>
      </c>
      <c r="BE37" s="16" t="n">
        <v>4.60613</v>
      </c>
      <c r="BF37" s="16" t="n">
        <v>4.9961</v>
      </c>
      <c r="BG37" s="16" t="n">
        <v>4.81669</v>
      </c>
      <c r="BH37" s="16" t="n">
        <v>5.01446</v>
      </c>
      <c r="BI37" s="16" t="n">
        <v>5.07467</v>
      </c>
      <c r="BJ37" s="16" t="n">
        <v>5.12234</v>
      </c>
      <c r="BK37" s="16" t="n">
        <v>5.15875</v>
      </c>
      <c r="BL37" s="16" t="n">
        <v>5.42829</v>
      </c>
      <c r="BM37" s="16" t="n">
        <v>5.48142</v>
      </c>
      <c r="BN37" s="16" t="n">
        <v>4.859323</v>
      </c>
    </row>
    <row r="38">
      <c r="A38" s="10" t="inlineStr">
        <is>
          <t>Colombia</t>
        </is>
      </c>
      <c r="B38" s="16" t="n">
        <v>6.891822</v>
      </c>
      <c r="C38" s="27" t="n">
        <v>21.83720000000005</v>
      </c>
      <c r="D38" s="27" t="n">
        <v>21.24320000000006</v>
      </c>
      <c r="E38" s="26" t="n">
        <v>-26.1748</v>
      </c>
      <c r="F38" s="26" t="n">
        <v>-4.991799999999998</v>
      </c>
      <c r="G38" s="16" t="n">
        <v>4.67955</v>
      </c>
      <c r="H38" s="16" t="n">
        <v>5.20989</v>
      </c>
      <c r="I38" s="16" t="n">
        <v>5.24058</v>
      </c>
      <c r="J38" s="16" t="n">
        <v>5.70284</v>
      </c>
      <c r="K38" s="16" t="n">
        <v>5.89431</v>
      </c>
      <c r="L38" s="16" t="n">
        <v>5.85207</v>
      </c>
      <c r="M38" s="16" t="n">
        <v>6.78448</v>
      </c>
      <c r="N38" s="16" t="n">
        <v>6.43794</v>
      </c>
      <c r="O38" s="16" t="n">
        <v>7.68796</v>
      </c>
      <c r="P38" s="16" t="n">
        <v>7.00089</v>
      </c>
      <c r="Q38" s="16" t="n">
        <v>7.64358</v>
      </c>
      <c r="R38" s="16" t="n">
        <v>8.57456</v>
      </c>
      <c r="S38" s="16" t="n">
        <v>8.821210000000001</v>
      </c>
      <c r="T38" s="16" t="n">
        <v>7.89174</v>
      </c>
      <c r="U38" s="16" t="n">
        <v>7.73361</v>
      </c>
      <c r="V38" s="16" t="n">
        <v>7.44063</v>
      </c>
      <c r="W38" s="16" t="n">
        <v>8.003500000000001</v>
      </c>
      <c r="X38" s="16" t="n">
        <v>7.49123</v>
      </c>
      <c r="Y38" s="16" t="n">
        <v>7.86817</v>
      </c>
      <c r="Z38" s="16" t="n">
        <v>7.91946</v>
      </c>
      <c r="AA38" s="16" t="n">
        <v>7.65475</v>
      </c>
      <c r="AB38" s="16" t="n">
        <v>7.25791</v>
      </c>
      <c r="AC38" s="16" t="n">
        <v>7.49125</v>
      </c>
      <c r="AD38" s="16" t="n">
        <v>8.10703</v>
      </c>
      <c r="AE38" s="16" t="n">
        <v>8.310510000000001</v>
      </c>
      <c r="AF38" s="16" t="n">
        <v>7.54652</v>
      </c>
      <c r="AG38" s="16" t="n">
        <v>6.75798</v>
      </c>
      <c r="AH38" s="16" t="n">
        <v>7.20401</v>
      </c>
      <c r="AI38" s="16" t="n">
        <v>7.38785</v>
      </c>
      <c r="AJ38" s="16" t="n">
        <v>7.25963</v>
      </c>
      <c r="AK38" s="16" t="n">
        <v>7.82896</v>
      </c>
      <c r="AL38" s="16" t="n">
        <v>7.64703</v>
      </c>
      <c r="AM38" s="16" t="n">
        <v>7.57509</v>
      </c>
      <c r="AN38" s="16" t="n">
        <v>7.38568</v>
      </c>
      <c r="AO38" s="16" t="n">
        <v>7.21422</v>
      </c>
      <c r="AP38" s="16" t="n">
        <v>7.13093</v>
      </c>
      <c r="AQ38" s="16" t="n">
        <v>7.77423</v>
      </c>
      <c r="AR38" s="16" t="n">
        <v>7.61396</v>
      </c>
      <c r="AS38" s="16" t="n">
        <v>7.98226</v>
      </c>
      <c r="AT38" s="16" t="n">
        <v>7.92397</v>
      </c>
      <c r="AU38" s="16" t="n">
        <v>7.70792</v>
      </c>
      <c r="AV38" s="16" t="n">
        <v>7.93316</v>
      </c>
      <c r="AW38" s="16" t="n">
        <v>8.199630000000001</v>
      </c>
      <c r="AX38" s="16" t="n">
        <v>8.0123</v>
      </c>
      <c r="AY38" s="16" t="n">
        <v>7.91076</v>
      </c>
      <c r="AZ38" s="16" t="n">
        <v>7.61967</v>
      </c>
      <c r="BA38" s="16" t="n">
        <v>7.24967</v>
      </c>
      <c r="BB38" s="16" t="n">
        <v>6.96455</v>
      </c>
      <c r="BC38" s="16" t="n">
        <v>6.80001</v>
      </c>
      <c r="BD38" s="16" t="n">
        <v>6.98538</v>
      </c>
      <c r="BE38" s="16" t="n">
        <v>7.102</v>
      </c>
      <c r="BF38" s="16" t="n">
        <v>7.00421</v>
      </c>
      <c r="BG38" s="16" t="n">
        <v>7.04249</v>
      </c>
      <c r="BH38" s="16" t="n">
        <v>7.29329</v>
      </c>
      <c r="BI38" s="16" t="n">
        <v>6.80351</v>
      </c>
      <c r="BJ38" s="16" t="n">
        <v>6.91507</v>
      </c>
      <c r="BK38" s="16" t="n">
        <v>6.45318</v>
      </c>
      <c r="BL38" s="16" t="n">
        <v>6.75669</v>
      </c>
      <c r="BM38" s="16" t="n">
        <v>6.73449</v>
      </c>
      <c r="BN38" s="16" t="n">
        <v>6.891822</v>
      </c>
    </row>
    <row r="39">
      <c r="A39" s="10" t="inlineStr">
        <is>
          <t>Costa Rica</t>
        </is>
      </c>
      <c r="B39" s="16" t="n">
        <v>6.372856</v>
      </c>
      <c r="C39" s="27" t="n">
        <v>14.24459999999996</v>
      </c>
      <c r="D39" s="27" t="n">
        <v>25.59459999999998</v>
      </c>
      <c r="E39" s="27" t="n">
        <v>42.30460000000001</v>
      </c>
      <c r="F39" s="27" t="n">
        <v>4.818600000000039</v>
      </c>
      <c r="G39" s="16" t="n">
        <v>6.53267</v>
      </c>
      <c r="H39" s="16" t="n">
        <v>6.94127</v>
      </c>
      <c r="I39" s="16" t="n">
        <v>6.72931</v>
      </c>
      <c r="J39" s="16" t="n">
        <v>7.16952</v>
      </c>
      <c r="K39" s="16" t="n">
        <v>6.9277</v>
      </c>
      <c r="L39" s="16" t="n">
        <v>6.76347</v>
      </c>
      <c r="M39" s="16" t="n">
        <v>7.01949</v>
      </c>
      <c r="N39" s="16" t="n">
        <v>7.29364</v>
      </c>
      <c r="O39" s="16" t="n">
        <v>8.056570000000001</v>
      </c>
      <c r="P39" s="16" t="n">
        <v>7.91373</v>
      </c>
      <c r="Q39" s="16" t="n">
        <v>7.94799</v>
      </c>
      <c r="R39" s="16" t="n">
        <v>8.455</v>
      </c>
      <c r="S39" s="16" t="n">
        <v>8.28823</v>
      </c>
      <c r="T39" s="16" t="n">
        <v>7.45113</v>
      </c>
      <c r="U39" s="16" t="n">
        <v>7.36044</v>
      </c>
      <c r="V39" s="16" t="n">
        <v>7.14386</v>
      </c>
      <c r="W39" s="16" t="n">
        <v>7.27934</v>
      </c>
      <c r="X39" s="16" t="n">
        <v>7.02473</v>
      </c>
      <c r="Y39" s="16" t="n">
        <v>6.78259</v>
      </c>
      <c r="Z39" s="16" t="n">
        <v>6.85208</v>
      </c>
      <c r="AA39" s="16" t="n">
        <v>6.91193</v>
      </c>
      <c r="AB39" s="16" t="n">
        <v>6.77297</v>
      </c>
      <c r="AC39" s="16" t="n">
        <v>6.83001</v>
      </c>
      <c r="AD39" s="16" t="n">
        <v>7.26246</v>
      </c>
      <c r="AE39" s="16" t="n">
        <v>7.55777</v>
      </c>
      <c r="AF39" s="16" t="n">
        <v>6.86462</v>
      </c>
      <c r="AG39" s="16" t="n">
        <v>6.41261</v>
      </c>
      <c r="AH39" s="16" t="n">
        <v>6.65497</v>
      </c>
      <c r="AI39" s="16" t="n">
        <v>6.6157</v>
      </c>
      <c r="AJ39" s="16" t="n">
        <v>6.52849</v>
      </c>
      <c r="AK39" s="16" t="n">
        <v>6.74879</v>
      </c>
      <c r="AL39" s="16" t="n">
        <v>6.65925</v>
      </c>
      <c r="AM39" s="16" t="n">
        <v>6.67342</v>
      </c>
      <c r="AN39" s="16" t="n">
        <v>6.50525</v>
      </c>
      <c r="AO39" s="16" t="n">
        <v>6.34039</v>
      </c>
      <c r="AP39" s="16" t="n">
        <v>6.19016</v>
      </c>
      <c r="AQ39" s="16" t="n">
        <v>6.52494</v>
      </c>
      <c r="AR39" s="16" t="n">
        <v>6.53307</v>
      </c>
      <c r="AS39" s="16" t="n">
        <v>6.7058</v>
      </c>
      <c r="AT39" s="16" t="n">
        <v>6.6367</v>
      </c>
      <c r="AU39" s="16" t="n">
        <v>6.56887</v>
      </c>
      <c r="AV39" s="16" t="n">
        <v>6.69287</v>
      </c>
      <c r="AW39" s="16" t="n">
        <v>6.76628</v>
      </c>
      <c r="AX39" s="16" t="n">
        <v>6.71931</v>
      </c>
      <c r="AY39" s="16" t="n">
        <v>6.59379</v>
      </c>
      <c r="AZ39" s="16" t="n">
        <v>6.58055</v>
      </c>
      <c r="BA39" s="16" t="n">
        <v>6.3998</v>
      </c>
      <c r="BB39" s="16" t="n">
        <v>6.18144</v>
      </c>
      <c r="BC39" s="16" t="n">
        <v>6.02729</v>
      </c>
      <c r="BD39" s="16" t="n">
        <v>6.07805</v>
      </c>
      <c r="BE39" s="16" t="n">
        <v>5.93352</v>
      </c>
      <c r="BF39" s="16" t="n">
        <v>6.0079</v>
      </c>
      <c r="BG39" s="16" t="n">
        <v>5.86567</v>
      </c>
      <c r="BH39" s="16" t="n">
        <v>6.30868</v>
      </c>
      <c r="BI39" s="16" t="n">
        <v>6.01804</v>
      </c>
      <c r="BJ39" s="16" t="n">
        <v>6.08428</v>
      </c>
      <c r="BK39" s="16" t="n">
        <v>6.01284</v>
      </c>
      <c r="BL39" s="16" t="n">
        <v>6.30038</v>
      </c>
      <c r="BM39" s="16" t="n">
        <v>6.32033</v>
      </c>
      <c r="BN39" s="16" t="n">
        <v>6.372856</v>
      </c>
    </row>
    <row r="40">
      <c r="A40" s="10" t="inlineStr">
        <is>
          <t>Cote d Ivoire</t>
        </is>
      </c>
      <c r="B40" s="16" t="n">
        <v>6.92774</v>
      </c>
      <c r="C40" s="27" t="n">
        <v>11.66099999999997</v>
      </c>
      <c r="D40" s="27" t="n">
        <v>15.29699999999998</v>
      </c>
      <c r="E40" s="27" t="n">
        <v>31.58699999999993</v>
      </c>
      <c r="F40" s="26" t="n">
        <v>-70.49600000000001</v>
      </c>
      <c r="G40" s="16" t="n">
        <v>5.18349</v>
      </c>
      <c r="H40" s="16" t="n">
        <v>5.52092</v>
      </c>
      <c r="I40" s="16" t="n">
        <v>5.15747</v>
      </c>
      <c r="J40" s="16" t="n">
        <v>5.4415</v>
      </c>
      <c r="K40" s="16" t="n">
        <v>6.26667</v>
      </c>
      <c r="L40" s="16" t="n">
        <v>6.20487</v>
      </c>
      <c r="M40" s="16" t="n">
        <v>6.88537</v>
      </c>
      <c r="N40" s="16" t="n">
        <v>7.30644</v>
      </c>
      <c r="O40" s="16" t="n">
        <v>9.299609999999999</v>
      </c>
      <c r="P40" s="16" t="n">
        <v>8.74174</v>
      </c>
      <c r="Q40" s="16" t="n">
        <v>8.16849</v>
      </c>
      <c r="R40" s="16" t="n">
        <v>9.60521</v>
      </c>
      <c r="S40" s="16" t="n">
        <v>9.17198</v>
      </c>
      <c r="T40" s="16" t="n">
        <v>7.2985</v>
      </c>
      <c r="U40" s="16" t="n">
        <v>7.41317</v>
      </c>
      <c r="V40" s="16" t="n">
        <v>7.47176</v>
      </c>
      <c r="W40" s="16" t="n">
        <v>7.99585</v>
      </c>
      <c r="X40" s="16" t="n">
        <v>7.83141</v>
      </c>
      <c r="Y40" s="16" t="n">
        <v>8.190429999999999</v>
      </c>
      <c r="Z40" s="16" t="n">
        <v>7.92613</v>
      </c>
      <c r="AA40" s="16" t="n">
        <v>7.79546</v>
      </c>
      <c r="AB40" s="16" t="n">
        <v>7.4048</v>
      </c>
      <c r="AC40" s="16" t="n">
        <v>8.268520000000001</v>
      </c>
      <c r="AD40" s="16" t="n">
        <v>8.7453</v>
      </c>
      <c r="AE40" s="16" t="n">
        <v>8.938190000000001</v>
      </c>
      <c r="AF40" s="16" t="n">
        <v>7.7821</v>
      </c>
      <c r="AG40" s="16" t="n">
        <v>7.16449</v>
      </c>
      <c r="AH40" s="16" t="n">
        <v>7.85272</v>
      </c>
      <c r="AI40" s="16" t="n">
        <v>8.18422</v>
      </c>
      <c r="AJ40" s="16" t="n">
        <v>7.76835</v>
      </c>
      <c r="AK40" s="16" t="n">
        <v>8.344099999999999</v>
      </c>
      <c r="AL40" s="16" t="n">
        <v>8.1014</v>
      </c>
      <c r="AM40" s="16" t="n">
        <v>8.229810000000001</v>
      </c>
      <c r="AN40" s="16" t="n">
        <v>8.15452</v>
      </c>
      <c r="AO40" s="16" t="n">
        <v>7.70586</v>
      </c>
      <c r="AP40" s="16" t="n">
        <v>7.29536</v>
      </c>
      <c r="AQ40" s="16" t="n">
        <v>7.82116</v>
      </c>
      <c r="AR40" s="16" t="n">
        <v>7.75079</v>
      </c>
      <c r="AS40" s="16" t="n">
        <v>8.126720000000001</v>
      </c>
      <c r="AT40" s="16" t="n">
        <v>8.088100000000001</v>
      </c>
      <c r="AU40" s="16" t="n">
        <v>8.09079</v>
      </c>
      <c r="AV40" s="16" t="n">
        <v>8.23194</v>
      </c>
      <c r="AW40" s="16" t="n">
        <v>8.99183</v>
      </c>
      <c r="AX40" s="16" t="n">
        <v>8.582280000000001</v>
      </c>
      <c r="AY40" s="16" t="n">
        <v>8.261200000000001</v>
      </c>
      <c r="AZ40" s="16" t="n">
        <v>7.93806</v>
      </c>
      <c r="BA40" s="16" t="n">
        <v>7.84641</v>
      </c>
      <c r="BB40" s="16" t="n">
        <v>7.22937</v>
      </c>
      <c r="BC40" s="16" t="n">
        <v>6.98726</v>
      </c>
      <c r="BD40" s="16" t="n">
        <v>7.15329</v>
      </c>
      <c r="BE40" s="16" t="n">
        <v>6.55355</v>
      </c>
      <c r="BF40" s="16" t="n">
        <v>6.74006</v>
      </c>
      <c r="BG40" s="16" t="n">
        <v>6.761</v>
      </c>
      <c r="BH40" s="16" t="n">
        <v>7.70465</v>
      </c>
      <c r="BI40" s="16" t="n">
        <v>7.06794</v>
      </c>
      <c r="BJ40" s="16" t="n">
        <v>6.68007</v>
      </c>
      <c r="BK40" s="16" t="n">
        <v>6.57705</v>
      </c>
      <c r="BL40" s="16" t="n">
        <v>6.994</v>
      </c>
      <c r="BM40" s="16" t="n">
        <v>6.76915</v>
      </c>
      <c r="BN40" s="16" t="n">
        <v>6.92774</v>
      </c>
    </row>
    <row r="41">
      <c r="A41" s="10" t="inlineStr">
        <is>
          <t>Democratic Republic of Congo</t>
        </is>
      </c>
      <c r="B41" s="16" t="n">
        <v>8.44181</v>
      </c>
      <c r="C41" s="26" t="n">
        <v>-4.514000000000173</v>
      </c>
      <c r="D41" s="26" t="n">
        <v>-31.83200000000017</v>
      </c>
      <c r="E41" s="26" t="n">
        <v>-35.61500000000013</v>
      </c>
      <c r="F41" s="26" t="n">
        <v>-35.61500000000013</v>
      </c>
      <c r="G41" s="16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  <c r="P41" s="16" t="inlineStr"/>
      <c r="Q41" s="16" t="inlineStr"/>
      <c r="R41" s="16" t="inlineStr"/>
      <c r="S41" s="16" t="inlineStr"/>
      <c r="T41" s="16" t="inlineStr"/>
      <c r="U41" s="16" t="inlineStr"/>
      <c r="V41" s="16" t="inlineStr"/>
      <c r="W41" s="16" t="inlineStr"/>
      <c r="X41" s="16" t="inlineStr"/>
      <c r="Y41" s="16" t="inlineStr"/>
      <c r="Z41" s="16" t="inlineStr"/>
      <c r="AA41" s="16" t="inlineStr"/>
      <c r="AB41" s="16" t="inlineStr"/>
      <c r="AC41" s="16" t="inlineStr"/>
      <c r="AD41" s="16" t="inlineStr"/>
      <c r="AE41" s="16" t="inlineStr"/>
      <c r="AF41" s="16" t="inlineStr"/>
      <c r="AG41" s="16" t="inlineStr"/>
      <c r="AH41" s="16" t="inlineStr"/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  <c r="AT41" s="16" t="inlineStr"/>
      <c r="AU41" s="16" t="inlineStr"/>
      <c r="AV41" s="16" t="inlineStr"/>
      <c r="AW41" s="16" t="inlineStr"/>
      <c r="AX41" s="16" t="inlineStr"/>
      <c r="AY41" s="16" t="inlineStr"/>
      <c r="AZ41" s="16" t="inlineStr"/>
      <c r="BA41" s="16" t="inlineStr"/>
      <c r="BB41" s="16" t="inlineStr"/>
      <c r="BC41" s="16" t="inlineStr"/>
      <c r="BD41" s="16" t="inlineStr"/>
      <c r="BE41" s="16" t="inlineStr"/>
      <c r="BF41" s="16" t="inlineStr"/>
      <c r="BG41" s="16" t="inlineStr"/>
      <c r="BH41" s="16" t="inlineStr"/>
      <c r="BI41" s="16" t="n">
        <v>8.77407</v>
      </c>
      <c r="BJ41" s="16" t="n">
        <v>8.834720000000001</v>
      </c>
      <c r="BK41" s="16" t="n">
        <v>8.416130000000001</v>
      </c>
      <c r="BL41" s="16" t="n">
        <v>8.409039999999999</v>
      </c>
      <c r="BM41" s="16" t="n">
        <v>8.37495</v>
      </c>
      <c r="BN41" s="16" t="n">
        <v>8.44181</v>
      </c>
    </row>
    <row r="42">
      <c r="A42" s="10" t="inlineStr">
        <is>
          <t>Dominican Republic</t>
        </is>
      </c>
      <c r="B42" s="16" t="n">
        <v>6.594669</v>
      </c>
      <c r="C42" s="27" t="n">
        <v>10.7259</v>
      </c>
      <c r="D42" s="27" t="n">
        <v>16.10889999999996</v>
      </c>
      <c r="E42" s="27" t="n">
        <v>47.71289999999995</v>
      </c>
      <c r="F42" s="27" t="n">
        <v>41.69989999999994</v>
      </c>
      <c r="G42" s="16" t="n">
        <v>5.30033</v>
      </c>
      <c r="H42" s="16" t="n">
        <v>5.5595</v>
      </c>
      <c r="I42" s="16" t="n">
        <v>5.35485</v>
      </c>
      <c r="J42" s="16" t="n">
        <v>5.73445</v>
      </c>
      <c r="K42" s="16" t="n">
        <v>6.37003</v>
      </c>
      <c r="L42" s="16" t="n">
        <v>6.3928</v>
      </c>
      <c r="M42" s="16" t="n">
        <v>7.18672</v>
      </c>
      <c r="N42" s="16" t="n">
        <v>7.12642</v>
      </c>
      <c r="O42" s="16" t="n">
        <v>8.29913</v>
      </c>
      <c r="P42" s="16" t="n">
        <v>7.39134</v>
      </c>
      <c r="Q42" s="16" t="n">
        <v>7.77517</v>
      </c>
      <c r="R42" s="16" t="n">
        <v>8.69947</v>
      </c>
      <c r="S42" s="16" t="n">
        <v>8.54382</v>
      </c>
      <c r="T42" s="16" t="n">
        <v>7.55945</v>
      </c>
      <c r="U42" s="16" t="n">
        <v>7.60501</v>
      </c>
      <c r="V42" s="16" t="n">
        <v>7.19978</v>
      </c>
      <c r="W42" s="16" t="n">
        <v>7.44685</v>
      </c>
      <c r="X42" s="16" t="n">
        <v>7.35736</v>
      </c>
      <c r="Y42" s="16" t="n">
        <v>7.23962</v>
      </c>
      <c r="Z42" s="16" t="n">
        <v>7.51825</v>
      </c>
      <c r="AA42" s="16" t="n">
        <v>7.31167</v>
      </c>
      <c r="AB42" s="16" t="n">
        <v>7.10153</v>
      </c>
      <c r="AC42" s="16" t="n">
        <v>7.40533</v>
      </c>
      <c r="AD42" s="16" t="n">
        <v>7.93174</v>
      </c>
      <c r="AE42" s="16" t="n">
        <v>8.02739</v>
      </c>
      <c r="AF42" s="16" t="n">
        <v>7.16652</v>
      </c>
      <c r="AG42" s="16" t="n">
        <v>6.50574</v>
      </c>
      <c r="AH42" s="16" t="n">
        <v>6.66795</v>
      </c>
      <c r="AI42" s="16" t="n">
        <v>6.72446</v>
      </c>
      <c r="AJ42" s="16" t="n">
        <v>6.65064</v>
      </c>
      <c r="AK42" s="16" t="n">
        <v>7.00485</v>
      </c>
      <c r="AL42" s="16" t="n">
        <v>6.72317</v>
      </c>
      <c r="AM42" s="16" t="n">
        <v>6.69652</v>
      </c>
      <c r="AN42" s="16" t="n">
        <v>6.45448</v>
      </c>
      <c r="AO42" s="16" t="n">
        <v>6.08206</v>
      </c>
      <c r="AP42" s="16" t="n">
        <v>5.92671</v>
      </c>
      <c r="AQ42" s="16" t="n">
        <v>6.43826</v>
      </c>
      <c r="AR42" s="16" t="n">
        <v>6.36826</v>
      </c>
      <c r="AS42" s="16" t="n">
        <v>6.73634</v>
      </c>
      <c r="AT42" s="16" t="n">
        <v>6.62796</v>
      </c>
      <c r="AU42" s="16" t="n">
        <v>6.52952</v>
      </c>
      <c r="AV42" s="16" t="n">
        <v>6.70755</v>
      </c>
      <c r="AW42" s="16" t="n">
        <v>6.87732</v>
      </c>
      <c r="AX42" s="16" t="n">
        <v>6.79973</v>
      </c>
      <c r="AY42" s="16" t="n">
        <v>6.61874</v>
      </c>
      <c r="AZ42" s="16" t="n">
        <v>6.53694</v>
      </c>
      <c r="BA42" s="16" t="n">
        <v>6.36243</v>
      </c>
      <c r="BB42" s="16" t="n">
        <v>6.13331</v>
      </c>
      <c r="BC42" s="16" t="n">
        <v>6.05234</v>
      </c>
      <c r="BD42" s="16" t="n">
        <v>6.18233</v>
      </c>
      <c r="BE42" s="16" t="n">
        <v>6.09924</v>
      </c>
      <c r="BF42" s="16" t="n">
        <v>6.12038</v>
      </c>
      <c r="BG42" s="16" t="n">
        <v>6.06926</v>
      </c>
      <c r="BH42" s="16" t="n">
        <v>6.73764</v>
      </c>
      <c r="BI42" s="16" t="n">
        <v>6.4155</v>
      </c>
      <c r="BJ42" s="16" t="n">
        <v>6.33689</v>
      </c>
      <c r="BK42" s="16" t="n">
        <v>6.2765</v>
      </c>
      <c r="BL42" s="16" t="n">
        <v>6.6325</v>
      </c>
      <c r="BM42" s="16" t="n">
        <v>6.53077</v>
      </c>
      <c r="BN42" s="16" t="n">
        <v>6.594669</v>
      </c>
    </row>
    <row r="43">
      <c r="A43" s="10" t="inlineStr">
        <is>
          <t>Ecuador</t>
        </is>
      </c>
      <c r="B43" s="16" t="n">
        <v>8.990176</v>
      </c>
      <c r="C43" s="27" t="n">
        <v>11.72459999999997</v>
      </c>
      <c r="D43" s="27" t="n">
        <v>51.1216000000001</v>
      </c>
      <c r="E43" s="27" t="n">
        <v>2.009600000000049</v>
      </c>
      <c r="F43" s="26" t="n">
        <v>-218.2304000000001</v>
      </c>
      <c r="G43" s="16" t="n">
        <v>9.975770000000001</v>
      </c>
      <c r="H43" s="16" t="n">
        <v>10.3436</v>
      </c>
      <c r="I43" s="16" t="n">
        <v>10.20476</v>
      </c>
      <c r="J43" s="16" t="n">
        <v>9.483409999999999</v>
      </c>
      <c r="K43" s="16" t="n">
        <v>9.424289999999999</v>
      </c>
      <c r="L43" s="16" t="n">
        <v>10.49793</v>
      </c>
      <c r="M43" s="16" t="n">
        <v>11.11664</v>
      </c>
      <c r="N43" s="16" t="n">
        <v>10.93431</v>
      </c>
      <c r="O43" s="16" t="n">
        <v>14.73005</v>
      </c>
      <c r="P43" s="16" t="n">
        <v>16.09134</v>
      </c>
      <c r="Q43" s="16" t="n">
        <v>18.78698</v>
      </c>
      <c r="R43" s="16" t="n">
        <v>21.4891</v>
      </c>
      <c r="S43" s="16" t="n">
        <v>19.86647</v>
      </c>
      <c r="T43" s="16" t="n">
        <v>17.0761</v>
      </c>
      <c r="U43" s="16" t="n">
        <v>16.46821</v>
      </c>
      <c r="V43" s="16" t="n">
        <v>15.75856</v>
      </c>
      <c r="W43" s="16" t="n">
        <v>21.7476</v>
      </c>
      <c r="X43" s="16" t="n">
        <v>22.76048</v>
      </c>
      <c r="Y43" s="16" t="n">
        <v>21.11222</v>
      </c>
      <c r="Z43" s="16" t="n">
        <v>22.88709</v>
      </c>
      <c r="AA43" s="16" t="n">
        <v>23.07853</v>
      </c>
      <c r="AB43" s="16" t="n">
        <v>23.48985</v>
      </c>
      <c r="AC43" s="16" t="n">
        <v>22.75009</v>
      </c>
      <c r="AD43" s="16" t="n">
        <v>22.55009</v>
      </c>
      <c r="AE43" s="16" t="n">
        <v>22.47618</v>
      </c>
      <c r="AF43" s="16" t="n">
        <v>24.5451</v>
      </c>
      <c r="AG43" s="16" t="n">
        <v>24.4814</v>
      </c>
      <c r="AH43" s="16" t="n">
        <v>21.81393</v>
      </c>
      <c r="AI43" s="16" t="n">
        <v>18.52419</v>
      </c>
      <c r="AJ43" s="16" t="n">
        <v>16.58909</v>
      </c>
      <c r="AK43" s="16" t="n">
        <v>15.94759</v>
      </c>
      <c r="AL43" s="16" t="n">
        <v>17.2964</v>
      </c>
      <c r="AM43" s="16" t="n">
        <v>18.34405</v>
      </c>
      <c r="AN43" s="16" t="n">
        <v>17.11256</v>
      </c>
      <c r="AO43" s="16" t="n">
        <v>16.26579</v>
      </c>
      <c r="AP43" s="16" t="n">
        <v>15.82705</v>
      </c>
      <c r="AQ43" s="16" t="n">
        <v>16.73563</v>
      </c>
      <c r="AR43" s="16" t="n">
        <v>17.02931</v>
      </c>
      <c r="AS43" s="16" t="n">
        <v>16.4873</v>
      </c>
      <c r="AT43" s="16" t="n">
        <v>13.86485</v>
      </c>
      <c r="AU43" s="16" t="n">
        <v>17.91763</v>
      </c>
      <c r="AV43" s="16" t="n">
        <v>20.38709</v>
      </c>
      <c r="AW43" s="16" t="n">
        <v>15.85943</v>
      </c>
      <c r="AX43" s="16" t="n">
        <v>15.20349</v>
      </c>
      <c r="AY43" s="16" t="n">
        <v>12.21577</v>
      </c>
      <c r="AZ43" s="16" t="n">
        <v>12.09461</v>
      </c>
      <c r="BA43" s="16" t="n">
        <v>11.5891</v>
      </c>
      <c r="BB43" s="16" t="n">
        <v>11.75824</v>
      </c>
      <c r="BC43" s="16" t="n">
        <v>11.27575</v>
      </c>
      <c r="BD43" s="16" t="n">
        <v>9.408860000000001</v>
      </c>
      <c r="BE43" s="16" t="n">
        <v>8.90808</v>
      </c>
      <c r="BF43" s="16" t="n">
        <v>8.51896</v>
      </c>
      <c r="BG43" s="16" t="n">
        <v>8.66919</v>
      </c>
      <c r="BH43" s="16" t="n">
        <v>9.276619999999999</v>
      </c>
      <c r="BI43" s="16" t="n">
        <v>8.387359999999999</v>
      </c>
      <c r="BJ43" s="16" t="n">
        <v>8.50296</v>
      </c>
      <c r="BK43" s="16" t="n">
        <v>8.53575</v>
      </c>
      <c r="BL43" s="16" t="n">
        <v>8.9825</v>
      </c>
      <c r="BM43" s="16" t="n">
        <v>8.777670000000001</v>
      </c>
      <c r="BN43" s="16" t="n">
        <v>8.990176</v>
      </c>
    </row>
    <row r="44">
      <c r="A44" s="10" t="inlineStr">
        <is>
          <t>Egypt</t>
        </is>
      </c>
      <c r="B44" s="16" t="n">
        <v>8.230349</v>
      </c>
      <c r="C44" s="27" t="n">
        <v>12.34390000000012</v>
      </c>
      <c r="D44" s="26" t="n">
        <v>-11.7170999999999</v>
      </c>
      <c r="E44" s="27" t="n">
        <v>50.03490000000004</v>
      </c>
      <c r="F44" s="26" t="n">
        <v>-87.48510000000003</v>
      </c>
      <c r="G44" s="16" t="n">
        <v>8.161659999999999</v>
      </c>
      <c r="H44" s="16" t="n">
        <v>8.91474</v>
      </c>
      <c r="I44" s="16" t="n">
        <v>8.3764</v>
      </c>
      <c r="J44" s="16" t="n">
        <v>8.963699999999999</v>
      </c>
      <c r="K44" s="16" t="n">
        <v>9.896050000000001</v>
      </c>
      <c r="L44" s="16" t="n">
        <v>9.05804</v>
      </c>
      <c r="M44" s="16" t="n">
        <v>11.03124</v>
      </c>
      <c r="N44" s="16" t="n">
        <v>10.79044</v>
      </c>
      <c r="O44" s="16" t="n">
        <v>13.75296</v>
      </c>
      <c r="P44" s="16" t="n">
        <v>14.42769</v>
      </c>
      <c r="Q44" s="16" t="n">
        <v>12.49245</v>
      </c>
      <c r="R44" s="16" t="n">
        <v>15.00147</v>
      </c>
      <c r="S44" s="16" t="n">
        <v>13.84006</v>
      </c>
      <c r="T44" s="16" t="n">
        <v>11.77496</v>
      </c>
      <c r="U44" s="16" t="n">
        <v>12.00701</v>
      </c>
      <c r="V44" s="16" t="n">
        <v>11.58121</v>
      </c>
      <c r="W44" s="16" t="n">
        <v>12.79886</v>
      </c>
      <c r="X44" s="16" t="n">
        <v>14.75461</v>
      </c>
      <c r="Y44" s="16" t="n">
        <v>17.39245</v>
      </c>
      <c r="Z44" s="16" t="n">
        <v>17.17772</v>
      </c>
      <c r="AA44" s="16" t="n">
        <v>16.32137</v>
      </c>
      <c r="AB44" s="16" t="n">
        <v>14.43067</v>
      </c>
      <c r="AC44" s="16" t="n">
        <v>16.54055</v>
      </c>
      <c r="AD44" s="16" t="n">
        <v>16.50396</v>
      </c>
      <c r="AE44" s="16" t="n">
        <v>16.96034</v>
      </c>
      <c r="AF44" s="16" t="n">
        <v>14.89413</v>
      </c>
      <c r="AG44" s="16" t="n">
        <v>13.43434</v>
      </c>
      <c r="AH44" s="16" t="n">
        <v>13.83079</v>
      </c>
      <c r="AI44" s="16" t="n">
        <v>10.36091</v>
      </c>
      <c r="AJ44" s="16" t="n">
        <v>10.16926</v>
      </c>
      <c r="AK44" s="16" t="n">
        <v>10.69048</v>
      </c>
      <c r="AL44" s="16" t="n">
        <v>10.27161</v>
      </c>
      <c r="AM44" s="16" t="n">
        <v>10.9327</v>
      </c>
      <c r="AN44" s="16" t="n">
        <v>10.6288</v>
      </c>
      <c r="AO44" s="16" t="n">
        <v>10.37174</v>
      </c>
      <c r="AP44" s="16" t="n">
        <v>9.84897</v>
      </c>
      <c r="AQ44" s="16" t="n">
        <v>10.1041</v>
      </c>
      <c r="AR44" s="16" t="n">
        <v>9.927759999999999</v>
      </c>
      <c r="AS44" s="16" t="n">
        <v>10.32201</v>
      </c>
      <c r="AT44" s="16" t="n">
        <v>10.03651</v>
      </c>
      <c r="AU44" s="16" t="n">
        <v>10.1097</v>
      </c>
      <c r="AV44" s="16" t="n">
        <v>10.70272</v>
      </c>
      <c r="AW44" s="16" t="n">
        <v>11.01623</v>
      </c>
      <c r="AX44" s="16" t="n">
        <v>10.25175</v>
      </c>
      <c r="AY44" s="16" t="n">
        <v>9.681649999999999</v>
      </c>
      <c r="AZ44" s="16" t="n">
        <v>9.638109999999999</v>
      </c>
      <c r="BA44" s="16" t="n">
        <v>9.44552</v>
      </c>
      <c r="BB44" s="16" t="n">
        <v>8.89493</v>
      </c>
      <c r="BC44" s="16" t="n">
        <v>8.372859999999999</v>
      </c>
      <c r="BD44" s="16" t="n">
        <v>8.23742</v>
      </c>
      <c r="BE44" s="16" t="n">
        <v>7.73993</v>
      </c>
      <c r="BF44" s="16" t="n">
        <v>8.02453</v>
      </c>
      <c r="BG44" s="16" t="n">
        <v>8.10135</v>
      </c>
      <c r="BH44" s="16" t="n">
        <v>9.17839</v>
      </c>
      <c r="BI44" s="16" t="n">
        <v>8.63148</v>
      </c>
      <c r="BJ44" s="16" t="n">
        <v>8.16119</v>
      </c>
      <c r="BK44" s="16" t="n">
        <v>8.044560000000001</v>
      </c>
      <c r="BL44" s="16" t="n">
        <v>8.405060000000001</v>
      </c>
      <c r="BM44" s="16" t="n">
        <v>8.18328</v>
      </c>
      <c r="BN44" s="16" t="n">
        <v>8.230349</v>
      </c>
    </row>
    <row r="45">
      <c r="A45" s="10" t="inlineStr">
        <is>
          <t>El Salvador</t>
        </is>
      </c>
      <c r="B45" s="16" t="n">
        <v>7.635662</v>
      </c>
      <c r="C45" s="27" t="n">
        <v>12.80719999999995</v>
      </c>
      <c r="D45" s="26" t="n">
        <v>-12.81080000000001</v>
      </c>
      <c r="E45" s="27" t="n">
        <v>4.156199999999981</v>
      </c>
      <c r="F45" s="26" t="n">
        <v>-66.81580000000002</v>
      </c>
      <c r="G45" s="16" t="n">
        <v>11.51278</v>
      </c>
      <c r="H45" s="16" t="n">
        <v>14.4767</v>
      </c>
      <c r="I45" s="16" t="n">
        <v>16.29832</v>
      </c>
      <c r="J45" s="16" t="n">
        <v>17.39792</v>
      </c>
      <c r="K45" s="16" t="n">
        <v>17.88551</v>
      </c>
      <c r="L45" s="16" t="n">
        <v>20.103</v>
      </c>
      <c r="M45" s="16" t="n">
        <v>24.86075</v>
      </c>
      <c r="N45" s="16" t="n">
        <v>25.66053</v>
      </c>
      <c r="O45" s="16" t="n">
        <v>30.0768</v>
      </c>
      <c r="P45" s="16" t="n">
        <v>27.04127</v>
      </c>
      <c r="Q45" s="16" t="n">
        <v>26.3588</v>
      </c>
      <c r="R45" s="16" t="n">
        <v>26.56674</v>
      </c>
      <c r="S45" s="16" t="n">
        <v>24.94461</v>
      </c>
      <c r="T45" s="16" t="n">
        <v>23.43041</v>
      </c>
      <c r="U45" s="16" t="n">
        <v>22.4232</v>
      </c>
      <c r="V45" s="16" t="n">
        <v>18.48024</v>
      </c>
      <c r="W45" s="16" t="n">
        <v>19.263</v>
      </c>
      <c r="X45" s="16" t="n">
        <v>18.85397</v>
      </c>
      <c r="Y45" s="16" t="n">
        <v>17.26944</v>
      </c>
      <c r="Z45" s="16" t="n">
        <v>16.88375</v>
      </c>
      <c r="AA45" s="16" t="n">
        <v>15.03975</v>
      </c>
      <c r="AB45" s="16" t="n">
        <v>13.48255</v>
      </c>
      <c r="AC45" s="16" t="n">
        <v>12.17792</v>
      </c>
      <c r="AD45" s="16" t="n">
        <v>12.08359</v>
      </c>
      <c r="AE45" s="16" t="n">
        <v>12.40593</v>
      </c>
      <c r="AF45" s="16" t="n">
        <v>11.56084</v>
      </c>
      <c r="AG45" s="16" t="n">
        <v>10.84183</v>
      </c>
      <c r="AH45" s="16" t="n">
        <v>10.70294</v>
      </c>
      <c r="AI45" s="16" t="n">
        <v>11.28416</v>
      </c>
      <c r="AJ45" s="16" t="n">
        <v>11.0969</v>
      </c>
      <c r="AK45" s="16" t="n">
        <v>11.81268</v>
      </c>
      <c r="AL45" s="16" t="n">
        <v>12.06639</v>
      </c>
      <c r="AM45" s="16" t="n">
        <v>11.99592</v>
      </c>
      <c r="AN45" s="16" t="n">
        <v>11.44419</v>
      </c>
      <c r="AO45" s="16" t="n">
        <v>10.74542</v>
      </c>
      <c r="AP45" s="16" t="n">
        <v>9.57626</v>
      </c>
      <c r="AQ45" s="16" t="n">
        <v>9.579459999999999</v>
      </c>
      <c r="AR45" s="16" t="n">
        <v>8.623239999999999</v>
      </c>
      <c r="AS45" s="16" t="n">
        <v>8.547750000000001</v>
      </c>
      <c r="AT45" s="16" t="n">
        <v>8.454800000000001</v>
      </c>
      <c r="AU45" s="16" t="n">
        <v>8.44849</v>
      </c>
      <c r="AV45" s="16" t="n">
        <v>8.99029</v>
      </c>
      <c r="AW45" s="16" t="n">
        <v>9.0162</v>
      </c>
      <c r="AX45" s="16" t="n">
        <v>8.883570000000001</v>
      </c>
      <c r="AY45" s="16" t="n">
        <v>8.565149999999999</v>
      </c>
      <c r="AZ45" s="16" t="n">
        <v>8.71105</v>
      </c>
      <c r="BA45" s="16" t="n">
        <v>8.43303</v>
      </c>
      <c r="BB45" s="16" t="n">
        <v>8.10097</v>
      </c>
      <c r="BC45" s="16" t="n">
        <v>7.78392</v>
      </c>
      <c r="BD45" s="16" t="n">
        <v>7.81718</v>
      </c>
      <c r="BE45" s="16" t="n">
        <v>7.65874</v>
      </c>
      <c r="BF45" s="16" t="n">
        <v>7.64793</v>
      </c>
      <c r="BG45" s="16" t="n">
        <v>7.69703</v>
      </c>
      <c r="BH45" s="16" t="n">
        <v>8.38306</v>
      </c>
      <c r="BI45" s="16" t="n">
        <v>7.79276</v>
      </c>
      <c r="BJ45" s="16" t="n">
        <v>7.78962</v>
      </c>
      <c r="BK45" s="16" t="n">
        <v>7.66818</v>
      </c>
      <c r="BL45" s="16" t="n">
        <v>7.69723</v>
      </c>
      <c r="BM45" s="16" t="n">
        <v>7.68833</v>
      </c>
      <c r="BN45" s="16" t="n">
        <v>7.635662</v>
      </c>
    </row>
    <row r="46">
      <c r="A46" s="10" t="inlineStr">
        <is>
          <t>Ethiopia</t>
        </is>
      </c>
      <c r="B46" s="16" t="n">
        <v>-1.032917</v>
      </c>
      <c r="C46" s="27" t="n">
        <v>41.3593</v>
      </c>
      <c r="D46" s="26" t="n">
        <v>-137.2507</v>
      </c>
      <c r="E46" s="27" t="n">
        <v>267.5362999999997</v>
      </c>
      <c r="F46" s="26" t="n">
        <v>-1322.689699999999</v>
      </c>
      <c r="G46" s="16" t="n">
        <v>13.59912</v>
      </c>
      <c r="H46" s="16" t="n">
        <v>21.86422</v>
      </c>
      <c r="I46" s="16" t="n">
        <v>21.21302</v>
      </c>
      <c r="J46" s="16" t="n">
        <v>17.0726</v>
      </c>
      <c r="K46" s="16" t="n">
        <v>17.88453</v>
      </c>
      <c r="L46" s="16" t="n">
        <v>19.71212</v>
      </c>
      <c r="M46" s="16" t="n">
        <v>21.96743</v>
      </c>
      <c r="N46" s="16" t="n">
        <v>27.48371</v>
      </c>
      <c r="O46" s="16" t="n">
        <v>33.20284</v>
      </c>
      <c r="P46" s="16" t="n">
        <v>37.71848</v>
      </c>
      <c r="Q46" s="16" t="n">
        <v>34.68969</v>
      </c>
      <c r="R46" s="16" t="n">
        <v>42.7595</v>
      </c>
      <c r="S46" s="16" t="n">
        <v>42.85906</v>
      </c>
      <c r="T46" s="16" t="n">
        <v>32.60645</v>
      </c>
      <c r="U46" s="16" t="n">
        <v>34.01924</v>
      </c>
      <c r="V46" s="16" t="n">
        <v>18.20608</v>
      </c>
      <c r="W46" s="16" t="n">
        <v>18.06749</v>
      </c>
      <c r="X46" s="16" t="n">
        <v>17.51487</v>
      </c>
      <c r="Y46" s="16" t="n">
        <v>17.78872</v>
      </c>
      <c r="Z46" s="16" t="n">
        <v>33.8394</v>
      </c>
      <c r="AA46" s="16" t="n">
        <v>34.66434</v>
      </c>
      <c r="AB46" s="16" t="n">
        <v>37.13233</v>
      </c>
      <c r="AC46" s="16" t="n">
        <v>42.81112</v>
      </c>
      <c r="AD46" s="16" t="n">
        <v>47.94976</v>
      </c>
      <c r="AE46" s="16" t="n">
        <v>52.92413</v>
      </c>
      <c r="AF46" s="16" t="n">
        <v>60.26531</v>
      </c>
      <c r="AG46" s="16" t="n">
        <v>54.27875</v>
      </c>
      <c r="AH46" s="16" t="n">
        <v>57.973</v>
      </c>
      <c r="AI46" s="16" t="n">
        <v>65.45586</v>
      </c>
      <c r="AJ46" s="16" t="n">
        <v>62.35934</v>
      </c>
      <c r="AK46" s="16" t="n">
        <v>79.26871</v>
      </c>
      <c r="AL46" s="16" t="n">
        <v>34.75374</v>
      </c>
      <c r="AM46" s="16" t="n">
        <v>31.07628</v>
      </c>
      <c r="AN46" s="16" t="n">
        <v>25.29172</v>
      </c>
      <c r="AO46" s="16" t="n">
        <v>29.82016</v>
      </c>
      <c r="AP46" s="16" t="n">
        <v>31.64819</v>
      </c>
      <c r="AQ46" s="16" t="n">
        <v>34.2544</v>
      </c>
      <c r="AR46" s="16" t="n">
        <v>36.1591</v>
      </c>
      <c r="AS46" s="16" t="n">
        <v>33.27488</v>
      </c>
      <c r="AT46" s="16" t="n">
        <v>32.11012</v>
      </c>
      <c r="AU46" s="16" t="n">
        <v>28.92869</v>
      </c>
      <c r="AV46" s="16" t="n">
        <v>33.52327</v>
      </c>
      <c r="AW46" s="16" t="n">
        <v>42.25627</v>
      </c>
      <c r="AX46" s="16" t="n">
        <v>16.35354</v>
      </c>
      <c r="AY46" s="16" t="n">
        <v>11.55318</v>
      </c>
      <c r="AZ46" s="16" t="n">
        <v>13.23847</v>
      </c>
      <c r="BA46" s="16" t="n">
        <v>14.1413</v>
      </c>
      <c r="BB46" s="16" t="n">
        <v>11.48319</v>
      </c>
      <c r="BC46" s="16" t="n">
        <v>3.48068</v>
      </c>
      <c r="BD46" s="16" t="n">
        <v>1.34817</v>
      </c>
      <c r="BE46" s="16" t="n">
        <v>-1.52424</v>
      </c>
      <c r="BF46" s="16" t="n">
        <v>0.13969</v>
      </c>
      <c r="BG46" s="16" t="n">
        <v>2.67853</v>
      </c>
      <c r="BH46" s="16" t="n">
        <v>5.1832</v>
      </c>
      <c r="BI46" s="16" t="n">
        <v>5.13181</v>
      </c>
      <c r="BJ46" s="16" t="n">
        <v>4.66381</v>
      </c>
      <c r="BK46" s="16" t="n">
        <v>0.44693</v>
      </c>
      <c r="BL46" s="16" t="n">
        <v>1.02768</v>
      </c>
      <c r="BM46" s="16" t="n">
        <v>0.84761</v>
      </c>
      <c r="BN46" s="16" t="n">
        <v>-1.032917</v>
      </c>
    </row>
    <row r="47">
      <c r="A47" s="10" t="inlineStr">
        <is>
          <t>Gabon</t>
        </is>
      </c>
      <c r="B47" s="16" t="n">
        <v>11.453291</v>
      </c>
      <c r="C47" s="15" t="n">
        <v>0</v>
      </c>
      <c r="D47" s="15" t="n">
        <v>0</v>
      </c>
      <c r="E47" s="15" t="n">
        <v>0</v>
      </c>
      <c r="F47" s="15" t="n">
        <v>0</v>
      </c>
      <c r="G47" s="16" t="inlineStr"/>
      <c r="H47" s="16" t="inlineStr"/>
      <c r="I47" s="16" t="inlineStr"/>
      <c r="J47" s="16" t="inlineStr"/>
      <c r="K47" s="16" t="inlineStr"/>
      <c r="L47" s="16" t="inlineStr"/>
      <c r="M47" s="16" t="inlineStr"/>
      <c r="N47" s="16" t="inlineStr"/>
      <c r="O47" s="16" t="inlineStr"/>
      <c r="P47" s="16" t="inlineStr"/>
      <c r="Q47" s="16" t="inlineStr"/>
      <c r="R47" s="16" t="inlineStr"/>
      <c r="S47" s="16" t="inlineStr"/>
      <c r="T47" s="16" t="inlineStr"/>
      <c r="U47" s="16" t="inlineStr"/>
      <c r="V47" s="16" t="inlineStr"/>
      <c r="W47" s="16" t="inlineStr"/>
      <c r="X47" s="16" t="inlineStr"/>
      <c r="Y47" s="16" t="inlineStr"/>
      <c r="Z47" s="16" t="inlineStr"/>
      <c r="AA47" s="16" t="inlineStr"/>
      <c r="AB47" s="16" t="inlineStr"/>
      <c r="AC47" s="16" t="inlineStr"/>
      <c r="AD47" s="16" t="inlineStr"/>
      <c r="AE47" s="16" t="inlineStr"/>
      <c r="AF47" s="16" t="inlineStr"/>
      <c r="AG47" s="16" t="inlineStr"/>
      <c r="AH47" s="16" t="inlineStr"/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  <c r="AT47" s="16" t="inlineStr"/>
      <c r="AU47" s="16" t="inlineStr"/>
      <c r="AV47" s="16" t="inlineStr"/>
      <c r="AW47" s="16" t="inlineStr"/>
      <c r="AX47" s="16" t="inlineStr"/>
      <c r="AY47" s="16" t="inlineStr"/>
      <c r="AZ47" s="16" t="inlineStr"/>
      <c r="BA47" s="16" t="inlineStr"/>
      <c r="BB47" s="16" t="inlineStr"/>
      <c r="BC47" s="16" t="inlineStr"/>
      <c r="BD47" s="16" t="inlineStr"/>
      <c r="BE47" s="16" t="inlineStr"/>
      <c r="BF47" s="16" t="inlineStr"/>
      <c r="BG47" s="16" t="inlineStr"/>
      <c r="BH47" s="16" t="inlineStr"/>
      <c r="BI47" s="16" t="inlineStr"/>
      <c r="BJ47" s="16" t="inlineStr"/>
      <c r="BK47" s="16" t="inlineStr"/>
      <c r="BL47" s="16" t="inlineStr"/>
      <c r="BM47" s="16" t="inlineStr"/>
      <c r="BN47" s="16" t="n">
        <v>11.453291</v>
      </c>
    </row>
    <row r="48">
      <c r="A48" s="10" t="inlineStr">
        <is>
          <t>Georgia</t>
        </is>
      </c>
      <c r="B48" s="16" t="n">
        <v>6.002669</v>
      </c>
      <c r="C48" s="27" t="n">
        <v>13.41390000000002</v>
      </c>
      <c r="D48" s="27" t="n">
        <v>21.40589999999998</v>
      </c>
      <c r="E48" s="26" t="n">
        <v>-40.79309999999988</v>
      </c>
      <c r="F48" s="26" t="n">
        <v>-38.2260999999999</v>
      </c>
      <c r="G48" s="16" t="n">
        <v>3.19406</v>
      </c>
      <c r="H48" s="16" t="n">
        <v>3.43632</v>
      </c>
      <c r="I48" s="16" t="n">
        <v>3.38579</v>
      </c>
      <c r="J48" s="16" t="n">
        <v>3.73972</v>
      </c>
      <c r="K48" s="16" t="n">
        <v>5.3287</v>
      </c>
      <c r="L48" s="16" t="n">
        <v>6.95428</v>
      </c>
      <c r="M48" s="16" t="n">
        <v>6.57629</v>
      </c>
      <c r="N48" s="16" t="n">
        <v>6.71316</v>
      </c>
      <c r="O48" s="16" t="n">
        <v>8.23954</v>
      </c>
      <c r="P48" s="16" t="n">
        <v>6.98137</v>
      </c>
      <c r="Q48" s="16" t="n">
        <v>6.94917</v>
      </c>
      <c r="R48" s="16" t="n">
        <v>8.100910000000001</v>
      </c>
      <c r="S48" s="16" t="n">
        <v>8.53027</v>
      </c>
      <c r="T48" s="16" t="n">
        <v>6.94856</v>
      </c>
      <c r="U48" s="16" t="n">
        <v>6.17941</v>
      </c>
      <c r="V48" s="16" t="n">
        <v>5.9892</v>
      </c>
      <c r="W48" s="16" t="n">
        <v>6.24135</v>
      </c>
      <c r="X48" s="16" t="n">
        <v>6.89025</v>
      </c>
      <c r="Y48" s="16" t="n">
        <v>6.89917</v>
      </c>
      <c r="Z48" s="16" t="n">
        <v>6.99091</v>
      </c>
      <c r="AA48" s="16" t="n">
        <v>6.98826</v>
      </c>
      <c r="AB48" s="16" t="n">
        <v>6.84723</v>
      </c>
      <c r="AC48" s="16" t="n">
        <v>7.02796</v>
      </c>
      <c r="AD48" s="16" t="n">
        <v>7.16638</v>
      </c>
      <c r="AE48" s="16" t="n">
        <v>7.63733</v>
      </c>
      <c r="AF48" s="16" t="n">
        <v>7.11122</v>
      </c>
      <c r="AG48" s="16" t="n">
        <v>5.73956</v>
      </c>
      <c r="AH48" s="16" t="n">
        <v>5.92847</v>
      </c>
      <c r="AI48" s="16" t="n">
        <v>6.20219</v>
      </c>
      <c r="AJ48" s="16" t="n">
        <v>6.24346</v>
      </c>
      <c r="AK48" s="16" t="n">
        <v>6.55818</v>
      </c>
      <c r="AL48" s="16" t="n">
        <v>7.2102</v>
      </c>
      <c r="AM48" s="16" t="n">
        <v>7.36011</v>
      </c>
      <c r="AN48" s="16" t="n">
        <v>7.14472</v>
      </c>
      <c r="AO48" s="16" t="n">
        <v>6.59992</v>
      </c>
      <c r="AP48" s="16" t="n">
        <v>6.45493</v>
      </c>
      <c r="AQ48" s="16" t="n">
        <v>7.17458</v>
      </c>
      <c r="AR48" s="16" t="n">
        <v>7.08782</v>
      </c>
      <c r="AS48" s="16" t="n">
        <v>7.62044</v>
      </c>
      <c r="AT48" s="16" t="n">
        <v>7.59624</v>
      </c>
      <c r="AU48" s="16" t="n">
        <v>7.46104</v>
      </c>
      <c r="AV48" s="16" t="n">
        <v>7.49044</v>
      </c>
      <c r="AW48" s="16" t="n">
        <v>7.56115</v>
      </c>
      <c r="AX48" s="16" t="n">
        <v>7.53808</v>
      </c>
      <c r="AY48" s="16" t="n">
        <v>7.04726</v>
      </c>
      <c r="AZ48" s="16" t="n">
        <v>6.55414</v>
      </c>
      <c r="BA48" s="16" t="n">
        <v>6.39542</v>
      </c>
      <c r="BB48" s="16" t="n">
        <v>6.3409</v>
      </c>
      <c r="BC48" s="16" t="n">
        <v>6.41731</v>
      </c>
      <c r="BD48" s="16" t="n">
        <v>6.4705</v>
      </c>
      <c r="BE48" s="16" t="n">
        <v>6.29407</v>
      </c>
      <c r="BF48" s="16" t="n">
        <v>5.55209</v>
      </c>
      <c r="BG48" s="16" t="n">
        <v>5.49369</v>
      </c>
      <c r="BH48" s="16" t="n">
        <v>5.96945</v>
      </c>
      <c r="BI48" s="16" t="n">
        <v>5.67797</v>
      </c>
      <c r="BJ48" s="16" t="n">
        <v>5.66094</v>
      </c>
      <c r="BK48" s="16" t="n">
        <v>5.64686</v>
      </c>
      <c r="BL48" s="16" t="n">
        <v>5.8445</v>
      </c>
      <c r="BM48" s="16" t="n">
        <v>5.79455</v>
      </c>
      <c r="BN48" s="16" t="n">
        <v>6.002669</v>
      </c>
    </row>
    <row r="49">
      <c r="A49" s="10" t="inlineStr">
        <is>
          <t>Ghana</t>
        </is>
      </c>
      <c r="B49" s="16" t="n">
        <v>6.854642</v>
      </c>
      <c r="C49" s="26" t="n">
        <v>-6.207800000000052</v>
      </c>
      <c r="D49" s="27" t="n">
        <v>23.9592</v>
      </c>
      <c r="E49" s="27" t="n">
        <v>2.248200000000065</v>
      </c>
      <c r="F49" s="26" t="n">
        <v>-131.2327999999998</v>
      </c>
      <c r="G49" s="16" t="n">
        <v>9.943709999999999</v>
      </c>
      <c r="H49" s="16" t="n">
        <v>11.4913</v>
      </c>
      <c r="I49" s="16" t="n">
        <v>10.92044</v>
      </c>
      <c r="J49" s="16" t="n">
        <v>11.95831</v>
      </c>
      <c r="K49" s="16" t="n">
        <v>14.38377</v>
      </c>
      <c r="L49" s="16" t="n">
        <v>13.10015</v>
      </c>
      <c r="M49" s="16" t="n">
        <v>15.87033</v>
      </c>
      <c r="N49" s="16" t="n">
        <v>18.54813</v>
      </c>
      <c r="O49" s="16" t="n">
        <v>20.31587</v>
      </c>
      <c r="P49" s="16" t="n">
        <v>22.34362</v>
      </c>
      <c r="Q49" s="16" t="n">
        <v>27.13187</v>
      </c>
      <c r="R49" s="16" t="n">
        <v>28.03959</v>
      </c>
      <c r="S49" s="16" t="n">
        <v>37.20915</v>
      </c>
      <c r="T49" s="16" t="n">
        <v>30.75804</v>
      </c>
      <c r="U49" s="16" t="n">
        <v>32.64332</v>
      </c>
      <c r="V49" s="16" t="n">
        <v>32.11659</v>
      </c>
      <c r="W49" s="16" t="n">
        <v>32.18007</v>
      </c>
      <c r="X49" s="16" t="n">
        <v>35.04269</v>
      </c>
      <c r="Y49" s="16" t="n">
        <v>33.2086</v>
      </c>
      <c r="Z49" s="16" t="n">
        <v>31.57179</v>
      </c>
      <c r="AA49" s="16" t="n">
        <v>30.14519</v>
      </c>
      <c r="AB49" s="16" t="n">
        <v>27.83707</v>
      </c>
      <c r="AC49" s="16" t="n">
        <v>29.98852</v>
      </c>
      <c r="AD49" s="16" t="n">
        <v>29.76682</v>
      </c>
      <c r="AE49" s="16" t="n">
        <v>30.88877</v>
      </c>
      <c r="AF49" s="16" t="n">
        <v>31.01614</v>
      </c>
      <c r="AG49" s="16" t="n">
        <v>31.28257</v>
      </c>
      <c r="AH49" s="16" t="n">
        <v>31.0771</v>
      </c>
      <c r="AI49" s="16" t="n">
        <v>33.29264</v>
      </c>
      <c r="AJ49" s="16" t="n">
        <v>26.65821</v>
      </c>
      <c r="AK49" s="16" t="n">
        <v>28.97447</v>
      </c>
      <c r="AL49" s="16" t="n">
        <v>27.20948</v>
      </c>
      <c r="AM49" s="16" t="n">
        <v>27.80002</v>
      </c>
      <c r="AN49" s="16" t="n">
        <v>28.28581</v>
      </c>
      <c r="AO49" s="16" t="n">
        <v>26.82065</v>
      </c>
      <c r="AP49" s="16" t="n">
        <v>25.18196</v>
      </c>
      <c r="AQ49" s="16" t="n">
        <v>11.08434</v>
      </c>
      <c r="AR49" s="16" t="n">
        <v>10.59679</v>
      </c>
      <c r="AS49" s="16" t="n">
        <v>11.03164</v>
      </c>
      <c r="AT49" s="16" t="n">
        <v>10.29512</v>
      </c>
      <c r="AU49" s="16" t="n">
        <v>10.25911</v>
      </c>
      <c r="AV49" s="16" t="n">
        <v>11.13515</v>
      </c>
      <c r="AW49" s="16" t="n">
        <v>12.29456</v>
      </c>
      <c r="AX49" s="16" t="n">
        <v>10.0996</v>
      </c>
      <c r="AY49" s="16" t="n">
        <v>9.30453</v>
      </c>
      <c r="AZ49" s="16" t="n">
        <v>8.671530000000001</v>
      </c>
      <c r="BA49" s="16" t="n">
        <v>8.41386</v>
      </c>
      <c r="BB49" s="16" t="n">
        <v>7.92743</v>
      </c>
      <c r="BC49" s="16" t="n">
        <v>7.67212</v>
      </c>
      <c r="BD49" s="16" t="n">
        <v>7.26709</v>
      </c>
      <c r="BE49" s="16" t="n">
        <v>6.77823</v>
      </c>
      <c r="BF49" s="16" t="n">
        <v>6.94878</v>
      </c>
      <c r="BG49" s="16" t="n">
        <v>7.0882</v>
      </c>
      <c r="BH49" s="16" t="n">
        <v>8.27389</v>
      </c>
      <c r="BI49" s="16" t="n">
        <v>7.00434</v>
      </c>
      <c r="BJ49" s="16" t="n">
        <v>6.52219</v>
      </c>
      <c r="BK49" s="16" t="n">
        <v>6.78255</v>
      </c>
      <c r="BL49" s="16" t="n">
        <v>7.11421</v>
      </c>
      <c r="BM49" s="16" t="n">
        <v>6.73964</v>
      </c>
      <c r="BN49" s="16" t="n">
        <v>6.854642</v>
      </c>
    </row>
    <row r="50">
      <c r="A50" s="10" t="inlineStr">
        <is>
          <t>Guatemala</t>
        </is>
      </c>
      <c r="B50" s="16" t="n">
        <v>6.084055</v>
      </c>
      <c r="C50" s="27" t="n">
        <v>9.707500000000024</v>
      </c>
      <c r="D50" s="27" t="n">
        <v>25.49950000000001</v>
      </c>
      <c r="E50" s="27" t="n">
        <v>31.29749999999998</v>
      </c>
      <c r="F50" s="27" t="n">
        <v>18.72449999999999</v>
      </c>
      <c r="G50" s="16" t="n">
        <v>4.21122</v>
      </c>
      <c r="H50" s="16" t="n">
        <v>4.51442</v>
      </c>
      <c r="I50" s="16" t="n">
        <v>4.38264</v>
      </c>
      <c r="J50" s="16" t="n">
        <v>4.73772</v>
      </c>
      <c r="K50" s="16" t="n">
        <v>5.23267</v>
      </c>
      <c r="L50" s="16" t="n">
        <v>5.06252</v>
      </c>
      <c r="M50" s="16" t="n">
        <v>5.69027</v>
      </c>
      <c r="N50" s="16" t="n">
        <v>6.04287</v>
      </c>
      <c r="O50" s="16" t="n">
        <v>6.79386</v>
      </c>
      <c r="P50" s="16" t="n">
        <v>5.84332</v>
      </c>
      <c r="Q50" s="16" t="n">
        <v>6.15156</v>
      </c>
      <c r="R50" s="16" t="n">
        <v>7.29863</v>
      </c>
      <c r="S50" s="16" t="n">
        <v>6.86656</v>
      </c>
      <c r="T50" s="16" t="n">
        <v>6.25237</v>
      </c>
      <c r="U50" s="16" t="n">
        <v>6.13046</v>
      </c>
      <c r="V50" s="16" t="n">
        <v>5.91899</v>
      </c>
      <c r="W50" s="16" t="n">
        <v>6.17074</v>
      </c>
      <c r="X50" s="16" t="n">
        <v>6.03543</v>
      </c>
      <c r="Y50" s="16" t="n">
        <v>6.0484</v>
      </c>
      <c r="Z50" s="16" t="n">
        <v>6.46265</v>
      </c>
      <c r="AA50" s="16" t="n">
        <v>6.41302</v>
      </c>
      <c r="AB50" s="16" t="n">
        <v>6.32001</v>
      </c>
      <c r="AC50" s="16" t="n">
        <v>6.47005</v>
      </c>
      <c r="AD50" s="16" t="n">
        <v>7.00518</v>
      </c>
      <c r="AE50" s="16" t="n">
        <v>7.49328</v>
      </c>
      <c r="AF50" s="16" t="n">
        <v>6.95153</v>
      </c>
      <c r="AG50" s="16" t="n">
        <v>6.0967</v>
      </c>
      <c r="AH50" s="16" t="n">
        <v>6.31364</v>
      </c>
      <c r="AI50" s="16" t="n">
        <v>6.36842</v>
      </c>
      <c r="AJ50" s="16" t="n">
        <v>6.24719</v>
      </c>
      <c r="AK50" s="16" t="n">
        <v>6.80333</v>
      </c>
      <c r="AL50" s="16" t="n">
        <v>6.5153</v>
      </c>
      <c r="AM50" s="16" t="n">
        <v>6.49184</v>
      </c>
      <c r="AN50" s="16" t="n">
        <v>6.31846</v>
      </c>
      <c r="AO50" s="16" t="n">
        <v>5.98916</v>
      </c>
      <c r="AP50" s="16" t="n">
        <v>5.93961</v>
      </c>
      <c r="AQ50" s="16" t="n">
        <v>6.33483</v>
      </c>
      <c r="AR50" s="16" t="n">
        <v>6.35707</v>
      </c>
      <c r="AS50" s="16" t="n">
        <v>6.63819</v>
      </c>
      <c r="AT50" s="16" t="n">
        <v>6.60272</v>
      </c>
      <c r="AU50" s="16" t="n">
        <v>6.35508</v>
      </c>
      <c r="AV50" s="16" t="n">
        <v>6.39871</v>
      </c>
      <c r="AW50" s="16" t="n">
        <v>6.46353</v>
      </c>
      <c r="AX50" s="16" t="n">
        <v>6.41945</v>
      </c>
      <c r="AY50" s="16" t="n">
        <v>6.2718</v>
      </c>
      <c r="AZ50" s="16" t="n">
        <v>6.2765</v>
      </c>
      <c r="BA50" s="16" t="n">
        <v>6.04759</v>
      </c>
      <c r="BB50" s="16" t="n">
        <v>5.82645</v>
      </c>
      <c r="BC50" s="16" t="n">
        <v>5.67309</v>
      </c>
      <c r="BD50" s="16" t="n">
        <v>5.80011</v>
      </c>
      <c r="BE50" s="16" t="n">
        <v>5.73726</v>
      </c>
      <c r="BF50" s="16" t="n">
        <v>5.75854</v>
      </c>
      <c r="BG50" s="16" t="n">
        <v>5.54536</v>
      </c>
      <c r="BH50" s="16" t="n">
        <v>6.03613</v>
      </c>
      <c r="BI50" s="16" t="n">
        <v>5.73254</v>
      </c>
      <c r="BJ50" s="16" t="n">
        <v>5.76086</v>
      </c>
      <c r="BK50" s="16" t="n">
        <v>5.74499</v>
      </c>
      <c r="BL50" s="16" t="n">
        <v>6.09519</v>
      </c>
      <c r="BM50" s="16" t="n">
        <v>6.00963</v>
      </c>
      <c r="BN50" s="16" t="n">
        <v>6.084055</v>
      </c>
    </row>
    <row r="51">
      <c r="A51" s="10" t="inlineStr">
        <is>
          <t>Honduras</t>
        </is>
      </c>
      <c r="B51" s="16" t="n">
        <v>6.200628</v>
      </c>
      <c r="C51" s="27" t="n">
        <v>0.650800000000018</v>
      </c>
      <c r="D51" s="27" t="n">
        <v>0.2487999999999602</v>
      </c>
      <c r="E51" s="26" t="n">
        <v>-6.837200000000021</v>
      </c>
      <c r="F51" s="26" t="n">
        <v>-52.6381999999999</v>
      </c>
      <c r="G51" s="16" t="n">
        <v>5.16018</v>
      </c>
      <c r="H51" s="16" t="n">
        <v>5.11033</v>
      </c>
      <c r="I51" s="16" t="n">
        <v>4.42662</v>
      </c>
      <c r="J51" s="16" t="n">
        <v>5.84882</v>
      </c>
      <c r="K51" s="16" t="n">
        <v>7.89414</v>
      </c>
      <c r="L51" s="16" t="n">
        <v>7.06871</v>
      </c>
      <c r="M51" s="16" t="n">
        <v>9.22519</v>
      </c>
      <c r="N51" s="16" t="n">
        <v>10.79275</v>
      </c>
      <c r="O51" s="16" t="n">
        <v>12.02796</v>
      </c>
      <c r="P51" s="16" t="n">
        <v>10.3195</v>
      </c>
      <c r="Q51" s="16" t="n">
        <v>10.0512</v>
      </c>
      <c r="R51" s="16" t="n">
        <v>11.00329</v>
      </c>
      <c r="S51" s="16" t="n">
        <v>12.21748</v>
      </c>
      <c r="T51" s="16" t="n">
        <v>10.24777</v>
      </c>
      <c r="U51" s="16" t="n">
        <v>9.310689999999999</v>
      </c>
      <c r="V51" s="16" t="n">
        <v>9.17709</v>
      </c>
      <c r="W51" s="16" t="n">
        <v>9.5807</v>
      </c>
      <c r="X51" s="16" t="n">
        <v>9.477069999999999</v>
      </c>
      <c r="Y51" s="16" t="n">
        <v>9.41255</v>
      </c>
      <c r="Z51" s="16" t="n">
        <v>9.27089</v>
      </c>
      <c r="AA51" s="16" t="n">
        <v>9.124499999999999</v>
      </c>
      <c r="AB51" s="16" t="n">
        <v>8.94993</v>
      </c>
      <c r="AC51" s="16" t="n">
        <v>8.031140000000001</v>
      </c>
      <c r="AD51" s="16" t="n">
        <v>8.232290000000001</v>
      </c>
      <c r="AE51" s="16" t="n">
        <v>8.626200000000001</v>
      </c>
      <c r="AF51" s="16" t="n">
        <v>8.313689999999999</v>
      </c>
      <c r="AG51" s="16" t="n">
        <v>7.55111</v>
      </c>
      <c r="AH51" s="16" t="n">
        <v>7.93149</v>
      </c>
      <c r="AI51" s="16" t="n">
        <v>7.90703</v>
      </c>
      <c r="AJ51" s="16" t="n">
        <v>7.56297</v>
      </c>
      <c r="AK51" s="16" t="n">
        <v>8.350580000000001</v>
      </c>
      <c r="AL51" s="16" t="n">
        <v>8.09746</v>
      </c>
      <c r="AM51" s="16" t="n">
        <v>8.468819999999999</v>
      </c>
      <c r="AN51" s="16" t="n">
        <v>8.14945</v>
      </c>
      <c r="AO51" s="16" t="n">
        <v>7.71097</v>
      </c>
      <c r="AP51" s="16" t="n">
        <v>7.86392</v>
      </c>
      <c r="AQ51" s="16" t="n">
        <v>7.50423</v>
      </c>
      <c r="AR51" s="16" t="n">
        <v>8.198779999999999</v>
      </c>
      <c r="AS51" s="16" t="n">
        <v>8.237310000000001</v>
      </c>
      <c r="AT51" s="16" t="n">
        <v>8.62256</v>
      </c>
      <c r="AU51" s="16" t="n">
        <v>8.28539</v>
      </c>
      <c r="AV51" s="16" t="n">
        <v>8.10318</v>
      </c>
      <c r="AW51" s="16" t="n">
        <v>8.05119</v>
      </c>
      <c r="AX51" s="16" t="n">
        <v>7.74206</v>
      </c>
      <c r="AY51" s="16" t="n">
        <v>7.25617</v>
      </c>
      <c r="AZ51" s="16" t="n">
        <v>7.28687</v>
      </c>
      <c r="BA51" s="16" t="n">
        <v>6.92887</v>
      </c>
      <c r="BB51" s="16" t="n">
        <v>6.49524</v>
      </c>
      <c r="BC51" s="16" t="n">
        <v>6.88613</v>
      </c>
      <c r="BD51" s="16" t="n">
        <v>6.62471</v>
      </c>
      <c r="BE51" s="16" t="n">
        <v>6.23672</v>
      </c>
      <c r="BF51" s="16" t="n">
        <v>5.91843</v>
      </c>
      <c r="BG51" s="16" t="n">
        <v>5.75236</v>
      </c>
      <c r="BH51" s="16" t="n">
        <v>6.31565</v>
      </c>
      <c r="BI51" s="16" t="n">
        <v>6.05745</v>
      </c>
      <c r="BJ51" s="16" t="n">
        <v>6.14031</v>
      </c>
      <c r="BK51" s="16" t="n">
        <v>5.98562</v>
      </c>
      <c r="BL51" s="16" t="n">
        <v>6.24622</v>
      </c>
      <c r="BM51" s="16" t="n">
        <v>6.14575</v>
      </c>
      <c r="BN51" s="16" t="n">
        <v>6.200628</v>
      </c>
    </row>
    <row r="52">
      <c r="A52" s="10" t="inlineStr">
        <is>
          <t>Hungary</t>
        </is>
      </c>
      <c r="B52" s="16" t="n">
        <v>5.849979</v>
      </c>
      <c r="C52" s="27" t="n">
        <v>13.27990000000003</v>
      </c>
      <c r="D52" s="27" t="n">
        <v>23.26490000000003</v>
      </c>
      <c r="E52" s="27" t="n">
        <v>27.03790000000001</v>
      </c>
      <c r="F52" s="27" t="n">
        <v>29.03390000000004</v>
      </c>
      <c r="G52" s="16" t="n">
        <v>2.74817</v>
      </c>
      <c r="H52" s="16" t="n">
        <v>2.87653</v>
      </c>
      <c r="I52" s="16" t="n">
        <v>2.7695</v>
      </c>
      <c r="J52" s="16" t="n">
        <v>3.09898</v>
      </c>
      <c r="K52" s="16" t="n">
        <v>3.63018</v>
      </c>
      <c r="L52" s="16" t="n">
        <v>3.72976</v>
      </c>
      <c r="M52" s="16" t="n">
        <v>4.86772</v>
      </c>
      <c r="N52" s="16" t="n">
        <v>4.9907</v>
      </c>
      <c r="O52" s="16" t="n">
        <v>5.44305</v>
      </c>
      <c r="P52" s="16" t="n">
        <v>4.91016</v>
      </c>
      <c r="Q52" s="16" t="n">
        <v>5.85199</v>
      </c>
      <c r="R52" s="16" t="n">
        <v>7.04058</v>
      </c>
      <c r="S52" s="16" t="n">
        <v>6.76734</v>
      </c>
      <c r="T52" s="16" t="n">
        <v>6.01542</v>
      </c>
      <c r="U52" s="16" t="n">
        <v>6.13918</v>
      </c>
      <c r="V52" s="16" t="n">
        <v>5.76835</v>
      </c>
      <c r="W52" s="16" t="n">
        <v>6.00947</v>
      </c>
      <c r="X52" s="16" t="n">
        <v>5.95909</v>
      </c>
      <c r="Y52" s="16" t="n">
        <v>5.82156</v>
      </c>
      <c r="Z52" s="16" t="n">
        <v>6.11329</v>
      </c>
      <c r="AA52" s="16" t="n">
        <v>5.97511</v>
      </c>
      <c r="AB52" s="16" t="n">
        <v>5.89585</v>
      </c>
      <c r="AC52" s="16" t="n">
        <v>6.14123</v>
      </c>
      <c r="AD52" s="16" t="n">
        <v>6.6478</v>
      </c>
      <c r="AE52" s="16" t="n">
        <v>6.88924</v>
      </c>
      <c r="AF52" s="16" t="n">
        <v>6.09756</v>
      </c>
      <c r="AG52" s="16" t="n">
        <v>5.41602</v>
      </c>
      <c r="AH52" s="16" t="n">
        <v>5.71996</v>
      </c>
      <c r="AI52" s="16" t="n">
        <v>5.89494</v>
      </c>
      <c r="AJ52" s="16" t="n">
        <v>5.76608</v>
      </c>
      <c r="AK52" s="16" t="n">
        <v>6.20368</v>
      </c>
      <c r="AL52" s="16" t="n">
        <v>5.97325</v>
      </c>
      <c r="AM52" s="16" t="n">
        <v>5.88074</v>
      </c>
      <c r="AN52" s="16" t="n">
        <v>5.71466</v>
      </c>
      <c r="AO52" s="16" t="n">
        <v>5.41863</v>
      </c>
      <c r="AP52" s="16" t="n">
        <v>5.34005</v>
      </c>
      <c r="AQ52" s="16" t="n">
        <v>5.82424</v>
      </c>
      <c r="AR52" s="16" t="n">
        <v>5.87196</v>
      </c>
      <c r="AS52" s="16" t="n">
        <v>6.13937</v>
      </c>
      <c r="AT52" s="16" t="n">
        <v>6.01436</v>
      </c>
      <c r="AU52" s="16" t="n">
        <v>5.73461</v>
      </c>
      <c r="AV52" s="16" t="n">
        <v>5.942</v>
      </c>
      <c r="AW52" s="16" t="n">
        <v>6.0292</v>
      </c>
      <c r="AX52" s="16" t="n">
        <v>6.00613</v>
      </c>
      <c r="AY52" s="16" t="n">
        <v>5.93064</v>
      </c>
      <c r="AZ52" s="16" t="n">
        <v>5.85031</v>
      </c>
      <c r="BA52" s="16" t="n">
        <v>5.67679</v>
      </c>
      <c r="BB52" s="16" t="n">
        <v>5.45201</v>
      </c>
      <c r="BC52" s="16" t="n">
        <v>5.37798</v>
      </c>
      <c r="BD52" s="16" t="n">
        <v>5.52235</v>
      </c>
      <c r="BE52" s="16" t="n">
        <v>5.56669</v>
      </c>
      <c r="BF52" s="16" t="n">
        <v>5.61856</v>
      </c>
      <c r="BG52" s="16" t="n">
        <v>5.39091</v>
      </c>
      <c r="BH52" s="16" t="n">
        <v>5.909</v>
      </c>
      <c r="BI52" s="16" t="n">
        <v>5.53743</v>
      </c>
      <c r="BJ52" s="16" t="n">
        <v>5.56151</v>
      </c>
      <c r="BK52" s="16" t="n">
        <v>5.49244</v>
      </c>
      <c r="BL52" s="16" t="n">
        <v>5.82721</v>
      </c>
      <c r="BM52" s="16" t="n">
        <v>5.78399</v>
      </c>
      <c r="BN52" s="16" t="n">
        <v>5.849979</v>
      </c>
    </row>
    <row r="53">
      <c r="A53" s="10" t="inlineStr">
        <is>
          <t>India</t>
        </is>
      </c>
      <c r="B53" s="16" t="n">
        <v>5.592623</v>
      </c>
      <c r="C53" s="27" t="n">
        <v>16.0323</v>
      </c>
      <c r="D53" s="27" t="n">
        <v>35.47030000000007</v>
      </c>
      <c r="E53" s="27" t="n">
        <v>101.8153000000001</v>
      </c>
      <c r="F53" s="27" t="n">
        <v>110.3543</v>
      </c>
      <c r="G53" s="16" t="n">
        <v>2.59493</v>
      </c>
      <c r="H53" s="16" t="n">
        <v>2.62506</v>
      </c>
      <c r="I53" s="16" t="n">
        <v>2.63338</v>
      </c>
      <c r="J53" s="16" t="n">
        <v>3.04871</v>
      </c>
      <c r="K53" s="16" t="n">
        <v>3.44876</v>
      </c>
      <c r="L53" s="16" t="n">
        <v>3.91257</v>
      </c>
      <c r="M53" s="16" t="n">
        <v>4.62317</v>
      </c>
      <c r="N53" s="16" t="n">
        <v>4.50557</v>
      </c>
      <c r="O53" s="16" t="n">
        <v>4.98451</v>
      </c>
      <c r="P53" s="16" t="n">
        <v>4.57977</v>
      </c>
      <c r="Q53" s="16" t="n">
        <v>4.85095</v>
      </c>
      <c r="R53" s="16" t="n">
        <v>5.88272</v>
      </c>
      <c r="S53" s="16" t="n">
        <v>6.30743</v>
      </c>
      <c r="T53" s="16" t="n">
        <v>5.30356</v>
      </c>
      <c r="U53" s="16" t="n">
        <v>5.41842</v>
      </c>
      <c r="V53" s="16" t="n">
        <v>5.14677</v>
      </c>
      <c r="W53" s="16" t="n">
        <v>5.60524</v>
      </c>
      <c r="X53" s="16" t="n">
        <v>5.24536</v>
      </c>
      <c r="Y53" s="16" t="n">
        <v>5.0895</v>
      </c>
      <c r="Z53" s="16" t="n">
        <v>5.18203</v>
      </c>
      <c r="AA53" s="16" t="n">
        <v>5.34457</v>
      </c>
      <c r="AB53" s="16" t="n">
        <v>5.4416</v>
      </c>
      <c r="AC53" s="16" t="n">
        <v>5.61108</v>
      </c>
      <c r="AD53" s="16" t="n">
        <v>6.00154</v>
      </c>
      <c r="AE53" s="16" t="n">
        <v>6.22701</v>
      </c>
      <c r="AF53" s="16" t="n">
        <v>5.5635</v>
      </c>
      <c r="AG53" s="16" t="n">
        <v>5.01248</v>
      </c>
      <c r="AH53" s="16" t="n">
        <v>5.11238</v>
      </c>
      <c r="AI53" s="16" t="n">
        <v>5.26416</v>
      </c>
      <c r="AJ53" s="16" t="n">
        <v>5.28066</v>
      </c>
      <c r="AK53" s="16" t="n">
        <v>5.70924</v>
      </c>
      <c r="AL53" s="16" t="n">
        <v>5.42171</v>
      </c>
      <c r="AM53" s="16" t="n">
        <v>5.36254</v>
      </c>
      <c r="AN53" s="16" t="n">
        <v>4.99173</v>
      </c>
      <c r="AO53" s="16" t="n">
        <v>4.84034</v>
      </c>
      <c r="AP53" s="16" t="n">
        <v>4.59173</v>
      </c>
      <c r="AQ53" s="16" t="n">
        <v>5.01095</v>
      </c>
      <c r="AR53" s="16" t="n">
        <v>4.89791</v>
      </c>
      <c r="AS53" s="16" t="n">
        <v>5.23971</v>
      </c>
      <c r="AT53" s="16" t="n">
        <v>5.32283</v>
      </c>
      <c r="AU53" s="16" t="n">
        <v>5.03857</v>
      </c>
      <c r="AV53" s="16" t="n">
        <v>5.12329</v>
      </c>
      <c r="AW53" s="16" t="n">
        <v>5.07633</v>
      </c>
      <c r="AX53" s="16" t="n">
        <v>5.07116</v>
      </c>
      <c r="AY53" s="16" t="n">
        <v>4.84164</v>
      </c>
      <c r="AZ53" s="16" t="n">
        <v>4.88371</v>
      </c>
      <c r="BA53" s="16" t="n">
        <v>4.60707</v>
      </c>
      <c r="BB53" s="16" t="n">
        <v>4.60235</v>
      </c>
      <c r="BC53" s="16" t="n">
        <v>4.59592</v>
      </c>
      <c r="BD53" s="16" t="n">
        <v>4.51709</v>
      </c>
      <c r="BE53" s="16" t="n">
        <v>4.57774</v>
      </c>
      <c r="BF53" s="16" t="n">
        <v>4.909</v>
      </c>
      <c r="BG53" s="16" t="n">
        <v>4.68248</v>
      </c>
      <c r="BH53" s="16" t="n">
        <v>5.15278</v>
      </c>
      <c r="BI53" s="16" t="n">
        <v>5.12808</v>
      </c>
      <c r="BJ53" s="16" t="n">
        <v>5.09836</v>
      </c>
      <c r="BK53" s="16" t="n">
        <v>5.22098</v>
      </c>
      <c r="BL53" s="16" t="n">
        <v>5.51032</v>
      </c>
      <c r="BM53" s="16" t="n">
        <v>5.53757</v>
      </c>
      <c r="BN53" s="16" t="n">
        <v>5.592623</v>
      </c>
    </row>
    <row r="54">
      <c r="A54" s="10" t="inlineStr">
        <is>
          <t>Indonesia</t>
        </is>
      </c>
      <c r="B54" s="16" t="n">
        <v>5.931208</v>
      </c>
      <c r="C54" s="27" t="n">
        <v>7.197799999999965</v>
      </c>
      <c r="D54" s="27" t="n">
        <v>24.96479999999996</v>
      </c>
      <c r="E54" s="27" t="n">
        <v>75.78479999999999</v>
      </c>
      <c r="F54" s="27" t="n">
        <v>72.75479999999995</v>
      </c>
      <c r="G54" s="16" t="n">
        <v>3.4023</v>
      </c>
      <c r="H54" s="16" t="n">
        <v>3.42863</v>
      </c>
      <c r="I54" s="16" t="n">
        <v>3.32828</v>
      </c>
      <c r="J54" s="16" t="n">
        <v>3.79648</v>
      </c>
      <c r="K54" s="16" t="n">
        <v>4.08022</v>
      </c>
      <c r="L54" s="16" t="n">
        <v>4.11424</v>
      </c>
      <c r="M54" s="16" t="n">
        <v>4.89203</v>
      </c>
      <c r="N54" s="16" t="n">
        <v>4.87538</v>
      </c>
      <c r="O54" s="16" t="n">
        <v>5.3385</v>
      </c>
      <c r="P54" s="16" t="n">
        <v>4.8986</v>
      </c>
      <c r="Q54" s="16" t="n">
        <v>5.07849</v>
      </c>
      <c r="R54" s="16" t="n">
        <v>6.01254</v>
      </c>
      <c r="S54" s="16" t="n">
        <v>6.20159</v>
      </c>
      <c r="T54" s="16" t="n">
        <v>5.43176</v>
      </c>
      <c r="U54" s="16" t="n">
        <v>5.37537</v>
      </c>
      <c r="V54" s="16" t="n">
        <v>5.11982</v>
      </c>
      <c r="W54" s="16" t="n">
        <v>5.39163</v>
      </c>
      <c r="X54" s="16" t="n">
        <v>5.19358</v>
      </c>
      <c r="Y54" s="16" t="n">
        <v>5.09455</v>
      </c>
      <c r="Z54" s="16" t="n">
        <v>5.24771</v>
      </c>
      <c r="AA54" s="16" t="n">
        <v>5.26073</v>
      </c>
      <c r="AB54" s="16" t="n">
        <v>5.24884</v>
      </c>
      <c r="AC54" s="16" t="n">
        <v>5.49709</v>
      </c>
      <c r="AD54" s="16" t="n">
        <v>5.98818</v>
      </c>
      <c r="AE54" s="16" t="n">
        <v>6.25175</v>
      </c>
      <c r="AF54" s="16" t="n">
        <v>5.52182</v>
      </c>
      <c r="AG54" s="16" t="n">
        <v>4.93222</v>
      </c>
      <c r="AH54" s="16" t="n">
        <v>5.2474</v>
      </c>
      <c r="AI54" s="16" t="n">
        <v>5.40802</v>
      </c>
      <c r="AJ54" s="16" t="n">
        <v>5.28501</v>
      </c>
      <c r="AK54" s="16" t="n">
        <v>5.7214</v>
      </c>
      <c r="AL54" s="16" t="n">
        <v>5.53456</v>
      </c>
      <c r="AM54" s="16" t="n">
        <v>5.46464</v>
      </c>
      <c r="AN54" s="16" t="n">
        <v>5.31573</v>
      </c>
      <c r="AO54" s="16" t="n">
        <v>5.02313</v>
      </c>
      <c r="AP54" s="16" t="n">
        <v>4.88195</v>
      </c>
      <c r="AQ54" s="16" t="n">
        <v>5.26439</v>
      </c>
      <c r="AR54" s="16" t="n">
        <v>5.30647</v>
      </c>
      <c r="AS54" s="16" t="n">
        <v>5.58331</v>
      </c>
      <c r="AT54" s="16" t="n">
        <v>5.57647</v>
      </c>
      <c r="AU54" s="16" t="n">
        <v>5.38365</v>
      </c>
      <c r="AV54" s="16" t="n">
        <v>5.58176</v>
      </c>
      <c r="AW54" s="16" t="n">
        <v>5.5657</v>
      </c>
      <c r="AX54" s="16" t="n">
        <v>5.57942</v>
      </c>
      <c r="AY54" s="16" t="n">
        <v>5.39659</v>
      </c>
      <c r="AZ54" s="16" t="n">
        <v>5.3513</v>
      </c>
      <c r="BA54" s="16" t="n">
        <v>5.27567</v>
      </c>
      <c r="BB54" s="16" t="n">
        <v>5.19418</v>
      </c>
      <c r="BC54" s="16" t="n">
        <v>5.09388</v>
      </c>
      <c r="BD54" s="16" t="n">
        <v>5.1518</v>
      </c>
      <c r="BE54" s="16" t="n">
        <v>5.18136</v>
      </c>
      <c r="BF54" s="16" t="n">
        <v>5.32568</v>
      </c>
      <c r="BG54" s="16" t="n">
        <v>5.22643</v>
      </c>
      <c r="BH54" s="16" t="n">
        <v>5.65328</v>
      </c>
      <c r="BI54" s="16" t="n">
        <v>5.51265</v>
      </c>
      <c r="BJ54" s="16" t="n">
        <v>5.52197</v>
      </c>
      <c r="BK54" s="16" t="n">
        <v>5.57627</v>
      </c>
      <c r="BL54" s="16" t="n">
        <v>5.96555</v>
      </c>
      <c r="BM54" s="16" t="n">
        <v>5.88609</v>
      </c>
      <c r="BN54" s="16" t="n">
        <v>5.931208</v>
      </c>
    </row>
    <row r="55">
      <c r="A55" s="10" t="inlineStr">
        <is>
          <t>Iraq</t>
        </is>
      </c>
      <c r="B55" s="16" t="n">
        <v>6.516259</v>
      </c>
      <c r="C55" s="27" t="n">
        <v>28.04390000000003</v>
      </c>
      <c r="D55" s="26" t="n">
        <v>-72.30309999999992</v>
      </c>
      <c r="E55" s="27" t="n">
        <v>89.90290000000017</v>
      </c>
      <c r="F55" s="27" t="n">
        <v>39.89690000000013</v>
      </c>
      <c r="G55" s="16" t="n">
        <v>6.16982</v>
      </c>
      <c r="H55" s="16" t="n">
        <v>8.428879999999999</v>
      </c>
      <c r="I55" s="16" t="n">
        <v>6.70558</v>
      </c>
      <c r="J55" s="16" t="n">
        <v>6.82151</v>
      </c>
      <c r="K55" s="16" t="n">
        <v>6.86802</v>
      </c>
      <c r="L55" s="16" t="n">
        <v>6.22826</v>
      </c>
      <c r="M55" s="16" t="n">
        <v>6.8084</v>
      </c>
      <c r="N55" s="16" t="n">
        <v>7.41135</v>
      </c>
      <c r="O55" s="16" t="n">
        <v>9.910830000000001</v>
      </c>
      <c r="P55" s="16" t="n">
        <v>11.42447</v>
      </c>
      <c r="Q55" s="16" t="n">
        <v>12.78521</v>
      </c>
      <c r="R55" s="16" t="n">
        <v>13.73893</v>
      </c>
      <c r="S55" s="16" t="n">
        <v>12.45696</v>
      </c>
      <c r="T55" s="16" t="n">
        <v>10.21266</v>
      </c>
      <c r="U55" s="16" t="n">
        <v>9.140470000000001</v>
      </c>
      <c r="V55" s="16" t="n">
        <v>8.781700000000001</v>
      </c>
      <c r="W55" s="16" t="n">
        <v>9.182729999999999</v>
      </c>
      <c r="X55" s="16" t="n">
        <v>8.65912</v>
      </c>
      <c r="Y55" s="16" t="n">
        <v>8.63889</v>
      </c>
      <c r="Z55" s="16" t="n">
        <v>9.1302</v>
      </c>
      <c r="AA55" s="16" t="n">
        <v>9.69852</v>
      </c>
      <c r="AB55" s="16" t="n">
        <v>8.878080000000001</v>
      </c>
      <c r="AC55" s="16" t="n">
        <v>9.41193</v>
      </c>
      <c r="AD55" s="16" t="n">
        <v>9.256640000000001</v>
      </c>
      <c r="AE55" s="16" t="n">
        <v>11.40761</v>
      </c>
      <c r="AF55" s="16" t="n">
        <v>9.73751</v>
      </c>
      <c r="AG55" s="16" t="n">
        <v>9.01027</v>
      </c>
      <c r="AH55" s="16" t="n">
        <v>8.863630000000001</v>
      </c>
      <c r="AI55" s="16" t="n">
        <v>9.023529999999999</v>
      </c>
      <c r="AJ55" s="16" t="n">
        <v>8.60843</v>
      </c>
      <c r="AK55" s="16" t="n">
        <v>9.398490000000001</v>
      </c>
      <c r="AL55" s="16" t="n">
        <v>8.381489999999999</v>
      </c>
      <c r="AM55" s="16" t="n">
        <v>9.340669999999999</v>
      </c>
      <c r="AN55" s="16" t="n">
        <v>8.39387</v>
      </c>
      <c r="AO55" s="16" t="n">
        <v>8.45213</v>
      </c>
      <c r="AP55" s="16" t="n">
        <v>7.16312</v>
      </c>
      <c r="AQ55" s="16" t="n">
        <v>7.73209</v>
      </c>
      <c r="AR55" s="16" t="n">
        <v>7.30525</v>
      </c>
      <c r="AS55" s="16" t="n">
        <v>7.04862</v>
      </c>
      <c r="AT55" s="16" t="n">
        <v>6.31622</v>
      </c>
      <c r="AU55" s="16" t="n">
        <v>6.55016</v>
      </c>
      <c r="AV55" s="16" t="n">
        <v>6.80837</v>
      </c>
      <c r="AW55" s="16" t="n">
        <v>7.72327</v>
      </c>
      <c r="AX55" s="16" t="n">
        <v>6.6329</v>
      </c>
      <c r="AY55" s="16" t="n">
        <v>6.50916</v>
      </c>
      <c r="AZ55" s="16" t="n">
        <v>5.98213</v>
      </c>
      <c r="BA55" s="16" t="n">
        <v>5.74747</v>
      </c>
      <c r="BB55" s="16" t="n">
        <v>5.80814</v>
      </c>
      <c r="BC55" s="16" t="n">
        <v>5.41987</v>
      </c>
      <c r="BD55" s="16" t="n">
        <v>5.57874</v>
      </c>
      <c r="BE55" s="16" t="n">
        <v>5.27012</v>
      </c>
      <c r="BF55" s="16" t="n">
        <v>5.60776</v>
      </c>
      <c r="BG55" s="16" t="n">
        <v>5.68646</v>
      </c>
      <c r="BH55" s="16" t="n">
        <v>7.67374</v>
      </c>
      <c r="BI55" s="16" t="n">
        <v>7.47398</v>
      </c>
      <c r="BJ55" s="16" t="n">
        <v>6.74054</v>
      </c>
      <c r="BK55" s="16" t="n">
        <v>6.21812</v>
      </c>
      <c r="BL55" s="16" t="n">
        <v>6.12742</v>
      </c>
      <c r="BM55" s="16" t="n">
        <v>5.84966</v>
      </c>
      <c r="BN55" s="16" t="n">
        <v>6.516259</v>
      </c>
    </row>
    <row r="56">
      <c r="A56" s="10" t="inlineStr">
        <is>
          <t>Jamaica</t>
        </is>
      </c>
      <c r="B56" s="16" t="n">
        <v>6.117339</v>
      </c>
      <c r="C56" s="27" t="n">
        <v>9.085900000000002</v>
      </c>
      <c r="D56" s="27" t="n">
        <v>19.3149</v>
      </c>
      <c r="E56" s="27" t="n">
        <v>33.29290000000002</v>
      </c>
      <c r="F56" s="27" t="n">
        <v>24.91790000000006</v>
      </c>
      <c r="G56" s="16" t="n">
        <v>4.49259</v>
      </c>
      <c r="H56" s="16" t="n">
        <v>4.73503</v>
      </c>
      <c r="I56" s="16" t="n">
        <v>4.67074</v>
      </c>
      <c r="J56" s="16" t="n">
        <v>4.72407</v>
      </c>
      <c r="K56" s="16" t="n">
        <v>5.15856</v>
      </c>
      <c r="L56" s="16" t="n">
        <v>5.30344</v>
      </c>
      <c r="M56" s="16" t="n">
        <v>5.70088</v>
      </c>
      <c r="N56" s="16" t="n">
        <v>6.10554</v>
      </c>
      <c r="O56" s="16" t="n">
        <v>6.99766</v>
      </c>
      <c r="P56" s="16" t="n">
        <v>6.57452</v>
      </c>
      <c r="Q56" s="16" t="n">
        <v>6.11158</v>
      </c>
      <c r="R56" s="16" t="n">
        <v>6.85098</v>
      </c>
      <c r="S56" s="16" t="n">
        <v>6.83125</v>
      </c>
      <c r="T56" s="16" t="n">
        <v>6.53897</v>
      </c>
      <c r="U56" s="16" t="n">
        <v>6.32889</v>
      </c>
      <c r="V56" s="16" t="n">
        <v>6.05762</v>
      </c>
      <c r="W56" s="16" t="n">
        <v>6.09565</v>
      </c>
      <c r="X56" s="16" t="n">
        <v>6.0685</v>
      </c>
      <c r="Y56" s="16" t="n">
        <v>6.01996</v>
      </c>
      <c r="Z56" s="16" t="n">
        <v>6.11911</v>
      </c>
      <c r="AA56" s="16" t="n">
        <v>6.17273</v>
      </c>
      <c r="AB56" s="16" t="n">
        <v>6.01059</v>
      </c>
      <c r="AC56" s="16" t="n">
        <v>6.31215</v>
      </c>
      <c r="AD56" s="16" t="n">
        <v>6.66134</v>
      </c>
      <c r="AE56" s="16" t="n">
        <v>6.8832</v>
      </c>
      <c r="AF56" s="16" t="n">
        <v>5.93336</v>
      </c>
      <c r="AG56" s="16" t="n">
        <v>5.59724</v>
      </c>
      <c r="AH56" s="16" t="n">
        <v>6.07178</v>
      </c>
      <c r="AI56" s="16" t="n">
        <v>6.20943</v>
      </c>
      <c r="AJ56" s="16" t="n">
        <v>6.06995</v>
      </c>
      <c r="AK56" s="16" t="n">
        <v>6.33744</v>
      </c>
      <c r="AL56" s="16" t="n">
        <v>6.23622</v>
      </c>
      <c r="AM56" s="16" t="n">
        <v>6.22545</v>
      </c>
      <c r="AN56" s="16" t="n">
        <v>6.02149</v>
      </c>
      <c r="AO56" s="16" t="n">
        <v>5.78129</v>
      </c>
      <c r="AP56" s="16" t="n">
        <v>5.59604</v>
      </c>
      <c r="AQ56" s="16" t="n">
        <v>5.97641</v>
      </c>
      <c r="AR56" s="16" t="n">
        <v>6.0459</v>
      </c>
      <c r="AS56" s="16" t="n">
        <v>6.22802</v>
      </c>
      <c r="AT56" s="16" t="n">
        <v>6.28811</v>
      </c>
      <c r="AU56" s="16" t="n">
        <v>6.17623</v>
      </c>
      <c r="AV56" s="16" t="n">
        <v>6.27783</v>
      </c>
      <c r="AW56" s="16" t="n">
        <v>6.47656</v>
      </c>
      <c r="AX56" s="16" t="n">
        <v>6.26017</v>
      </c>
      <c r="AY56" s="16" t="n">
        <v>6.05425</v>
      </c>
      <c r="AZ56" s="16" t="n">
        <v>6.06876</v>
      </c>
      <c r="BA56" s="16" t="n">
        <v>5.93899</v>
      </c>
      <c r="BB56" s="16" t="n">
        <v>5.7285</v>
      </c>
      <c r="BC56" s="16" t="n">
        <v>5.77285</v>
      </c>
      <c r="BD56" s="16" t="n">
        <v>5.82558</v>
      </c>
      <c r="BE56" s="16" t="n">
        <v>5.76435</v>
      </c>
      <c r="BF56" s="16" t="n">
        <v>5.73626</v>
      </c>
      <c r="BG56" s="16" t="n">
        <v>5.72338</v>
      </c>
      <c r="BH56" s="16" t="n">
        <v>6.2789</v>
      </c>
      <c r="BI56" s="16" t="n">
        <v>5.79627</v>
      </c>
      <c r="BJ56" s="16" t="n">
        <v>5.93164</v>
      </c>
      <c r="BK56" s="16" t="n">
        <v>5.80755</v>
      </c>
      <c r="BL56" s="16" t="n">
        <v>6.10626</v>
      </c>
      <c r="BM56" s="16" t="n">
        <v>6.08166</v>
      </c>
      <c r="BN56" s="16" t="n">
        <v>6.117339</v>
      </c>
    </row>
    <row r="57">
      <c r="A57" s="10" t="inlineStr">
        <is>
          <t>Jordan</t>
        </is>
      </c>
      <c r="B57" s="16" t="n">
        <v>6.735942</v>
      </c>
      <c r="C57" s="27" t="n">
        <v>6.327199999999955</v>
      </c>
      <c r="D57" s="27" t="n">
        <v>11.82419999999995</v>
      </c>
      <c r="E57" s="27" t="n">
        <v>39.14819999999999</v>
      </c>
      <c r="F57" s="26" t="n">
        <v>-0.3778000000000752</v>
      </c>
      <c r="G57" s="16" t="n">
        <v>5.60494</v>
      </c>
      <c r="H57" s="16" t="n">
        <v>6.20943</v>
      </c>
      <c r="I57" s="16" t="n">
        <v>5.84271</v>
      </c>
      <c r="J57" s="16" t="n">
        <v>6.1101</v>
      </c>
      <c r="K57" s="16" t="n">
        <v>6.81666</v>
      </c>
      <c r="L57" s="16" t="n">
        <v>6.94998</v>
      </c>
      <c r="M57" s="16" t="n">
        <v>7.75899</v>
      </c>
      <c r="N57" s="16" t="n">
        <v>7.73432</v>
      </c>
      <c r="O57" s="16" t="n">
        <v>9.417909999999999</v>
      </c>
      <c r="P57" s="16" t="n">
        <v>8.500439999999999</v>
      </c>
      <c r="Q57" s="16" t="n">
        <v>8.065580000000001</v>
      </c>
      <c r="R57" s="16" t="n">
        <v>9.197990000000001</v>
      </c>
      <c r="S57" s="16" t="n">
        <v>8.794980000000001</v>
      </c>
      <c r="T57" s="16" t="n">
        <v>7.65288</v>
      </c>
      <c r="U57" s="16" t="n">
        <v>7.6412</v>
      </c>
      <c r="V57" s="16" t="n">
        <v>7.24243</v>
      </c>
      <c r="W57" s="16" t="n">
        <v>7.48082</v>
      </c>
      <c r="X57" s="16" t="n">
        <v>7.83751</v>
      </c>
      <c r="Y57" s="16" t="n">
        <v>7.72788</v>
      </c>
      <c r="Z57" s="16" t="n">
        <v>7.92823</v>
      </c>
      <c r="AA57" s="16" t="n">
        <v>7.60988</v>
      </c>
      <c r="AB57" s="16" t="n">
        <v>7.33802</v>
      </c>
      <c r="AC57" s="16" t="n">
        <v>7.4051</v>
      </c>
      <c r="AD57" s="16" t="n">
        <v>8.05894</v>
      </c>
      <c r="AE57" s="16" t="n">
        <v>9.25046</v>
      </c>
      <c r="AF57" s="16" t="n">
        <v>7.66336</v>
      </c>
      <c r="AG57" s="16" t="n">
        <v>7.28618</v>
      </c>
      <c r="AH57" s="16" t="n">
        <v>7.93887</v>
      </c>
      <c r="AI57" s="16" t="n">
        <v>7.86854</v>
      </c>
      <c r="AJ57" s="16" t="n">
        <v>7.57815</v>
      </c>
      <c r="AK57" s="16" t="n">
        <v>8.02251</v>
      </c>
      <c r="AL57" s="16" t="n">
        <v>7.64654</v>
      </c>
      <c r="AM57" s="16" t="n">
        <v>8.139799999999999</v>
      </c>
      <c r="AN57" s="16" t="n">
        <v>7.77948</v>
      </c>
      <c r="AO57" s="16" t="n">
        <v>7.3248</v>
      </c>
      <c r="AP57" s="16" t="n">
        <v>7.27307</v>
      </c>
      <c r="AQ57" s="16" t="n">
        <v>7.29165</v>
      </c>
      <c r="AR57" s="16" t="n">
        <v>7.11058</v>
      </c>
      <c r="AS57" s="16" t="n">
        <v>7.86589</v>
      </c>
      <c r="AT57" s="16" t="n">
        <v>7.65162</v>
      </c>
      <c r="AU57" s="16" t="n">
        <v>7.54281</v>
      </c>
      <c r="AV57" s="16" t="n">
        <v>7.7714</v>
      </c>
      <c r="AW57" s="16" t="n">
        <v>7.89946</v>
      </c>
      <c r="AX57" s="16" t="n">
        <v>7.60867</v>
      </c>
      <c r="AY57" s="16" t="n">
        <v>7.37495</v>
      </c>
      <c r="AZ57" s="16" t="n">
        <v>7.12033</v>
      </c>
      <c r="BA57" s="16" t="n">
        <v>6.89127</v>
      </c>
      <c r="BB57" s="16" t="n">
        <v>6.6822</v>
      </c>
      <c r="BC57" s="16" t="n">
        <v>6.3057</v>
      </c>
      <c r="BD57" s="16" t="n">
        <v>6.36985</v>
      </c>
      <c r="BE57" s="16" t="n">
        <v>6.30295</v>
      </c>
      <c r="BF57" s="16" t="n">
        <v>6.3912</v>
      </c>
      <c r="BG57" s="16" t="n">
        <v>6.40546</v>
      </c>
      <c r="BH57" s="16" t="n">
        <v>6.95199</v>
      </c>
      <c r="BI57" s="16" t="n">
        <v>6.68611</v>
      </c>
      <c r="BJ57" s="16" t="n">
        <v>6.48847</v>
      </c>
      <c r="BK57" s="16" t="n">
        <v>6.41462</v>
      </c>
      <c r="BL57" s="16" t="n">
        <v>6.7515</v>
      </c>
      <c r="BM57" s="16" t="n">
        <v>6.64774</v>
      </c>
      <c r="BN57" s="16" t="n">
        <v>6.735942</v>
      </c>
    </row>
    <row r="58">
      <c r="A58" s="10" t="inlineStr">
        <is>
          <t>Kazakhstan</t>
        </is>
      </c>
      <c r="B58" s="16" t="n">
        <v>5.592524</v>
      </c>
      <c r="C58" s="27" t="n">
        <v>4.071399999999947</v>
      </c>
      <c r="D58" s="27" t="n">
        <v>28.9104</v>
      </c>
      <c r="E58" s="27" t="n">
        <v>49.91639999999993</v>
      </c>
      <c r="F58" s="27" t="n">
        <v>43.18739999999996</v>
      </c>
      <c r="G58" s="16" t="n">
        <v>3.53542</v>
      </c>
      <c r="H58" s="16" t="n">
        <v>3.6444</v>
      </c>
      <c r="I58" s="16" t="n">
        <v>3.54177</v>
      </c>
      <c r="J58" s="16" t="n">
        <v>4.11339</v>
      </c>
      <c r="K58" s="16" t="n">
        <v>4.74929</v>
      </c>
      <c r="L58" s="16" t="n">
        <v>5.62605</v>
      </c>
      <c r="M58" s="16" t="n">
        <v>5.66581</v>
      </c>
      <c r="N58" s="16" t="n">
        <v>6.11533</v>
      </c>
      <c r="O58" s="16" t="n">
        <v>6.77046</v>
      </c>
      <c r="P58" s="16" t="n">
        <v>6.6636</v>
      </c>
      <c r="Q58" s="16" t="n">
        <v>6.42075</v>
      </c>
      <c r="R58" s="16" t="n">
        <v>7.54402</v>
      </c>
      <c r="S58" s="16" t="n">
        <v>7.64534</v>
      </c>
      <c r="T58" s="16" t="n">
        <v>6.56998</v>
      </c>
      <c r="U58" s="16" t="n">
        <v>6.47248</v>
      </c>
      <c r="V58" s="16" t="n">
        <v>5.31704</v>
      </c>
      <c r="W58" s="16" t="n">
        <v>5.40532</v>
      </c>
      <c r="X58" s="16" t="n">
        <v>5.55901</v>
      </c>
      <c r="Y58" s="16" t="n">
        <v>5.32014</v>
      </c>
      <c r="Z58" s="16" t="n">
        <v>5.48356</v>
      </c>
      <c r="AA58" s="16" t="n">
        <v>5.45954</v>
      </c>
      <c r="AB58" s="16" t="n">
        <v>5.3737</v>
      </c>
      <c r="AC58" s="16" t="n">
        <v>5.59341</v>
      </c>
      <c r="AD58" s="16" t="n">
        <v>5.86748</v>
      </c>
      <c r="AE58" s="16" t="n">
        <v>6.20968</v>
      </c>
      <c r="AF58" s="16" t="n">
        <v>5.72262</v>
      </c>
      <c r="AG58" s="16" t="n">
        <v>5.07047</v>
      </c>
      <c r="AH58" s="16" t="n">
        <v>5.30444</v>
      </c>
      <c r="AI58" s="16" t="n">
        <v>5.35292</v>
      </c>
      <c r="AJ58" s="16" t="n">
        <v>5.27506</v>
      </c>
      <c r="AK58" s="16" t="n">
        <v>5.53887</v>
      </c>
      <c r="AL58" s="16" t="n">
        <v>5.35535</v>
      </c>
      <c r="AM58" s="16" t="n">
        <v>5.19822</v>
      </c>
      <c r="AN58" s="16" t="n">
        <v>5.23581</v>
      </c>
      <c r="AO58" s="16" t="n">
        <v>5.02057</v>
      </c>
      <c r="AP58" s="16" t="n">
        <v>4.92528</v>
      </c>
      <c r="AQ58" s="16" t="n">
        <v>5.29569</v>
      </c>
      <c r="AR58" s="16" t="n">
        <v>5.31778</v>
      </c>
      <c r="AS58" s="16" t="n">
        <v>5.5614</v>
      </c>
      <c r="AT58" s="16" t="n">
        <v>5.5791</v>
      </c>
      <c r="AU58" s="16" t="n">
        <v>5.39584</v>
      </c>
      <c r="AV58" s="16" t="n">
        <v>5.43096</v>
      </c>
      <c r="AW58" s="16" t="n">
        <v>5.71564</v>
      </c>
      <c r="AX58" s="16" t="n">
        <v>5.69602</v>
      </c>
      <c r="AY58" s="16" t="n">
        <v>5.54179</v>
      </c>
      <c r="AZ58" s="16" t="n">
        <v>5.39319</v>
      </c>
      <c r="BA58" s="16" t="n">
        <v>5.23145</v>
      </c>
      <c r="BB58" s="16" t="n">
        <v>5.06653</v>
      </c>
      <c r="BC58" s="16" t="n">
        <v>5.03711</v>
      </c>
      <c r="BD58" s="16" t="n">
        <v>5.03741</v>
      </c>
      <c r="BE58" s="16" t="n">
        <v>5.0556</v>
      </c>
      <c r="BF58" s="16" t="n">
        <v>5.17197</v>
      </c>
      <c r="BG58" s="16" t="n">
        <v>5.00667</v>
      </c>
      <c r="BH58" s="16" t="n">
        <v>5.38382</v>
      </c>
      <c r="BI58" s="16" t="n">
        <v>5.18754</v>
      </c>
      <c r="BJ58" s="16" t="n">
        <v>5.23349</v>
      </c>
      <c r="BK58" s="16" t="n">
        <v>5.28605</v>
      </c>
      <c r="BL58" s="16" t="n">
        <v>5.60563</v>
      </c>
      <c r="BM58" s="16" t="n">
        <v>5.47989</v>
      </c>
      <c r="BN58" s="16" t="n">
        <v>5.592524</v>
      </c>
    </row>
    <row r="59">
      <c r="A59" s="10" t="inlineStr">
        <is>
          <t>Kenya</t>
        </is>
      </c>
      <c r="B59" s="16" t="n">
        <v>8.408358</v>
      </c>
      <c r="C59" s="27" t="n">
        <v>14.50680000000002</v>
      </c>
      <c r="D59" s="26" t="n">
        <v>-21.17419999999993</v>
      </c>
      <c r="E59" s="27" t="n">
        <v>37.45380000000009</v>
      </c>
      <c r="F59" s="26" t="n">
        <v>-24.59519999999992</v>
      </c>
      <c r="G59" s="16" t="n">
        <v>6.41146</v>
      </c>
      <c r="H59" s="16" t="n">
        <v>6.83688</v>
      </c>
      <c r="I59" s="16" t="n">
        <v>6.49717</v>
      </c>
      <c r="J59" s="16" t="n">
        <v>7.02794</v>
      </c>
      <c r="K59" s="16" t="n">
        <v>8.245419999999999</v>
      </c>
      <c r="L59" s="16" t="n">
        <v>8.245979999999999</v>
      </c>
      <c r="M59" s="16" t="n">
        <v>10.07785</v>
      </c>
      <c r="N59" s="16" t="n">
        <v>10.1265</v>
      </c>
      <c r="O59" s="16" t="n">
        <v>14.04112</v>
      </c>
      <c r="P59" s="16" t="n">
        <v>13.84489</v>
      </c>
      <c r="Q59" s="16" t="n">
        <v>12.49765</v>
      </c>
      <c r="R59" s="16" t="n">
        <v>14.25704</v>
      </c>
      <c r="S59" s="16" t="n">
        <v>13.61527</v>
      </c>
      <c r="T59" s="16" t="n">
        <v>10.27148</v>
      </c>
      <c r="U59" s="16" t="n">
        <v>10.42015</v>
      </c>
      <c r="V59" s="16" t="n">
        <v>10.33629</v>
      </c>
      <c r="W59" s="16" t="n">
        <v>10.6861</v>
      </c>
      <c r="X59" s="16" t="n">
        <v>11.58648</v>
      </c>
      <c r="Y59" s="16" t="n">
        <v>13.50673</v>
      </c>
      <c r="Z59" s="16" t="n">
        <v>11.70136</v>
      </c>
      <c r="AA59" s="16" t="n">
        <v>10.7482</v>
      </c>
      <c r="AB59" s="16" t="n">
        <v>10.52084</v>
      </c>
      <c r="AC59" s="16" t="n">
        <v>11.28507</v>
      </c>
      <c r="AD59" s="16" t="n">
        <v>12.79804</v>
      </c>
      <c r="AE59" s="16" t="n">
        <v>12.12341</v>
      </c>
      <c r="AF59" s="16" t="n">
        <v>10.9108</v>
      </c>
      <c r="AG59" s="16" t="n">
        <v>9.6419</v>
      </c>
      <c r="AH59" s="16" t="n">
        <v>10.26503</v>
      </c>
      <c r="AI59" s="16" t="n">
        <v>9.749510000000001</v>
      </c>
      <c r="AJ59" s="16" t="n">
        <v>9.11542</v>
      </c>
      <c r="AK59" s="16" t="n">
        <v>9.507059999999999</v>
      </c>
      <c r="AL59" s="16" t="n">
        <v>9.62106</v>
      </c>
      <c r="AM59" s="16" t="n">
        <v>10.55685</v>
      </c>
      <c r="AN59" s="16" t="n">
        <v>10.64074</v>
      </c>
      <c r="AO59" s="16" t="n">
        <v>10.23048</v>
      </c>
      <c r="AP59" s="16" t="n">
        <v>9.319279999999999</v>
      </c>
      <c r="AQ59" s="16" t="n">
        <v>9.41924</v>
      </c>
      <c r="AR59" s="16" t="n">
        <v>9.477930000000001</v>
      </c>
      <c r="AS59" s="16" t="n">
        <v>9.760400000000001</v>
      </c>
      <c r="AT59" s="16" t="n">
        <v>9.69614</v>
      </c>
      <c r="AU59" s="16" t="n">
        <v>9.33075</v>
      </c>
      <c r="AV59" s="16" t="n">
        <v>10.41647</v>
      </c>
      <c r="AW59" s="16" t="n">
        <v>11.10291</v>
      </c>
      <c r="AX59" s="16" t="n">
        <v>10.18169</v>
      </c>
      <c r="AY59" s="16" t="n">
        <v>9.834199999999999</v>
      </c>
      <c r="AZ59" s="16" t="n">
        <v>9.437569999999999</v>
      </c>
      <c r="BA59" s="16" t="n">
        <v>9.002750000000001</v>
      </c>
      <c r="BB59" s="16" t="n">
        <v>8.44919</v>
      </c>
      <c r="BC59" s="16" t="n">
        <v>8.558490000000001</v>
      </c>
      <c r="BD59" s="16" t="n">
        <v>8.703250000000001</v>
      </c>
      <c r="BE59" s="16" t="n">
        <v>8.028449999999999</v>
      </c>
      <c r="BF59" s="16" t="n">
        <v>7.8988</v>
      </c>
      <c r="BG59" s="16" t="n">
        <v>8.308310000000001</v>
      </c>
      <c r="BH59" s="16" t="n">
        <v>9.58855</v>
      </c>
      <c r="BI59" s="16" t="n">
        <v>9.04406</v>
      </c>
      <c r="BJ59" s="16" t="n">
        <v>8.38139</v>
      </c>
      <c r="BK59" s="16" t="n">
        <v>8.15006</v>
      </c>
      <c r="BL59" s="16" t="n">
        <v>8.664239999999999</v>
      </c>
      <c r="BM59" s="16" t="n">
        <v>8.2972</v>
      </c>
      <c r="BN59" s="16" t="n">
        <v>8.408358</v>
      </c>
    </row>
    <row r="60">
      <c r="A60" s="10" t="inlineStr">
        <is>
          <t>Kyrgyzstan</t>
        </is>
      </c>
      <c r="B60" s="16" t="n">
        <v>7.725717</v>
      </c>
      <c r="C60" s="15" t="n">
        <v>0</v>
      </c>
      <c r="D60" s="15" t="n">
        <v>0</v>
      </c>
      <c r="E60" s="15" t="n">
        <v>0</v>
      </c>
      <c r="F60" s="15" t="n">
        <v>0</v>
      </c>
      <c r="G60" s="16" t="inlineStr"/>
      <c r="H60" s="16" t="inlineStr"/>
      <c r="I60" s="16" t="inlineStr"/>
      <c r="J60" s="16" t="inlineStr"/>
      <c r="K60" s="16" t="inlineStr"/>
      <c r="L60" s="16" t="inlineStr"/>
      <c r="M60" s="16" t="inlineStr"/>
      <c r="N60" s="16" t="inlineStr"/>
      <c r="O60" s="16" t="inlineStr"/>
      <c r="P60" s="16" t="inlineStr"/>
      <c r="Q60" s="16" t="inlineStr"/>
      <c r="R60" s="16" t="inlineStr"/>
      <c r="S60" s="16" t="inlineStr"/>
      <c r="T60" s="16" t="inlineStr"/>
      <c r="U60" s="16" t="inlineStr"/>
      <c r="V60" s="16" t="inlineStr"/>
      <c r="W60" s="16" t="inlineStr"/>
      <c r="X60" s="16" t="inlineStr"/>
      <c r="Y60" s="16" t="inlineStr"/>
      <c r="Z60" s="16" t="inlineStr"/>
      <c r="AA60" s="16" t="inlineStr"/>
      <c r="AB60" s="16" t="inlineStr"/>
      <c r="AC60" s="16" t="inlineStr"/>
      <c r="AD60" s="16" t="inlineStr"/>
      <c r="AE60" s="16" t="inlineStr"/>
      <c r="AF60" s="16" t="inlineStr"/>
      <c r="AG60" s="16" t="inlineStr"/>
      <c r="AH60" s="16" t="inlineStr"/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  <c r="AT60" s="16" t="inlineStr"/>
      <c r="AU60" s="16" t="inlineStr"/>
      <c r="AV60" s="16" t="inlineStr"/>
      <c r="AW60" s="16" t="inlineStr"/>
      <c r="AX60" s="16" t="inlineStr"/>
      <c r="AY60" s="16" t="inlineStr"/>
      <c r="AZ60" s="16" t="inlineStr"/>
      <c r="BA60" s="16" t="inlineStr"/>
      <c r="BB60" s="16" t="inlineStr"/>
      <c r="BC60" s="16" t="inlineStr"/>
      <c r="BD60" s="16" t="inlineStr"/>
      <c r="BE60" s="16" t="inlineStr"/>
      <c r="BF60" s="16" t="inlineStr"/>
      <c r="BG60" s="16" t="inlineStr"/>
      <c r="BH60" s="16" t="inlineStr"/>
      <c r="BI60" s="16" t="inlineStr"/>
      <c r="BJ60" s="16" t="inlineStr"/>
      <c r="BK60" s="16" t="inlineStr"/>
      <c r="BL60" s="16" t="inlineStr"/>
      <c r="BM60" s="16" t="inlineStr"/>
      <c r="BN60" s="16" t="n">
        <v>7.725717</v>
      </c>
    </row>
    <row r="61">
      <c r="A61" s="10" t="inlineStr">
        <is>
          <t>Latvia</t>
        </is>
      </c>
      <c r="B61" s="16" t="n">
        <v>5.408019</v>
      </c>
      <c r="C61" s="15" t="n">
        <v>0</v>
      </c>
      <c r="D61" s="15" t="n">
        <v>0</v>
      </c>
      <c r="E61" s="15" t="n">
        <v>0</v>
      </c>
      <c r="F61" s="15" t="n">
        <v>0</v>
      </c>
      <c r="G61" s="16" t="inlineStr"/>
      <c r="H61" s="16" t="inlineStr"/>
      <c r="I61" s="16" t="inlineStr"/>
      <c r="J61" s="16" t="inlineStr"/>
      <c r="K61" s="16" t="inlineStr"/>
      <c r="L61" s="16" t="inlineStr"/>
      <c r="M61" s="16" t="inlineStr"/>
      <c r="N61" s="16" t="inlineStr"/>
      <c r="O61" s="16" t="inlineStr"/>
      <c r="P61" s="16" t="inlineStr"/>
      <c r="Q61" s="16" t="inlineStr"/>
      <c r="R61" s="16" t="inlineStr"/>
      <c r="S61" s="16" t="inlineStr"/>
      <c r="T61" s="16" t="inlineStr"/>
      <c r="U61" s="16" t="inlineStr"/>
      <c r="V61" s="16" t="inlineStr"/>
      <c r="W61" s="16" t="inlineStr"/>
      <c r="X61" s="16" t="inlineStr"/>
      <c r="Y61" s="16" t="inlineStr"/>
      <c r="Z61" s="16" t="inlineStr"/>
      <c r="AA61" s="16" t="inlineStr"/>
      <c r="AB61" s="16" t="inlineStr"/>
      <c r="AC61" s="16" t="inlineStr"/>
      <c r="AD61" s="16" t="inlineStr"/>
      <c r="AE61" s="16" t="inlineStr"/>
      <c r="AF61" s="16" t="inlineStr"/>
      <c r="AG61" s="16" t="inlineStr"/>
      <c r="AH61" s="16" t="inlineStr"/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  <c r="AT61" s="16" t="inlineStr"/>
      <c r="AU61" s="16" t="inlineStr"/>
      <c r="AV61" s="16" t="inlineStr"/>
      <c r="AW61" s="16" t="inlineStr"/>
      <c r="AX61" s="16" t="inlineStr"/>
      <c r="AY61" s="16" t="inlineStr"/>
      <c r="AZ61" s="16" t="inlineStr"/>
      <c r="BA61" s="16" t="inlineStr"/>
      <c r="BB61" s="16" t="inlineStr"/>
      <c r="BC61" s="16" t="inlineStr"/>
      <c r="BD61" s="16" t="inlineStr"/>
      <c r="BE61" s="16" t="inlineStr"/>
      <c r="BF61" s="16" t="inlineStr"/>
      <c r="BG61" s="16" t="inlineStr"/>
      <c r="BH61" s="16" t="inlineStr"/>
      <c r="BI61" s="16" t="inlineStr"/>
      <c r="BJ61" s="16" t="inlineStr"/>
      <c r="BK61" s="16" t="inlineStr"/>
      <c r="BL61" s="16" t="inlineStr"/>
      <c r="BM61" s="16" t="inlineStr"/>
      <c r="BN61" s="16" t="n">
        <v>5.408019</v>
      </c>
    </row>
    <row r="62">
      <c r="A62" s="10" t="inlineStr">
        <is>
          <t>Lebanon</t>
        </is>
      </c>
      <c r="B62" s="16" t="n">
        <v>80.311485</v>
      </c>
      <c r="C62" s="26" t="n">
        <v>-649.5965000000001</v>
      </c>
      <c r="D62" s="26" t="n">
        <v>-1164.014500000001</v>
      </c>
      <c r="E62" s="26" t="n">
        <v>-1401.3385</v>
      </c>
      <c r="F62" s="27" t="n">
        <v>1176.7865</v>
      </c>
      <c r="G62" s="16" t="n">
        <v>209.53023</v>
      </c>
      <c r="H62" s="16" t="n">
        <v>176.58987</v>
      </c>
      <c r="I62" s="16" t="n">
        <v>216.45521</v>
      </c>
      <c r="J62" s="16" t="n">
        <v>232.85572</v>
      </c>
      <c r="K62" s="16" t="n">
        <v>227.57198</v>
      </c>
      <c r="L62" s="16" t="n">
        <v>259.06906</v>
      </c>
      <c r="M62" s="16" t="n">
        <v>204.30869</v>
      </c>
      <c r="N62" s="16" t="n">
        <v>264.81449</v>
      </c>
      <c r="O62" s="16" t="n">
        <v>350.05072</v>
      </c>
      <c r="P62" s="16" t="n">
        <v>404.06893</v>
      </c>
      <c r="Q62" s="16" t="n">
        <v>423.93498</v>
      </c>
      <c r="R62" s="16" t="n">
        <v>332.67715</v>
      </c>
      <c r="S62" s="16" t="n">
        <v>337.85792</v>
      </c>
      <c r="T62" s="16" t="n">
        <v>333.47069</v>
      </c>
      <c r="U62" s="16" t="n">
        <v>403.48016</v>
      </c>
      <c r="V62" s="16" t="n">
        <v>104.90209</v>
      </c>
      <c r="W62" s="16" t="n">
        <v>102.14371</v>
      </c>
      <c r="X62" s="16" t="n">
        <v>105.02263</v>
      </c>
      <c r="Y62" s="16" t="n">
        <v>107.28512</v>
      </c>
      <c r="Z62" s="16" t="n">
        <v>460.04145</v>
      </c>
      <c r="AA62" s="16" t="n">
        <v>411.27747</v>
      </c>
      <c r="AB62" s="16" t="n">
        <v>430.48254</v>
      </c>
      <c r="AC62" s="16" t="n">
        <v>482.87435</v>
      </c>
      <c r="AD62" s="16" t="n">
        <v>266.67039</v>
      </c>
      <c r="AE62" s="16" t="n">
        <v>328.56401</v>
      </c>
      <c r="AF62" s="16" t="n">
        <v>398.51716</v>
      </c>
      <c r="AG62" s="16" t="n">
        <v>451.89817</v>
      </c>
      <c r="AH62" s="16" t="n">
        <v>565.02917</v>
      </c>
      <c r="AI62" s="16" t="n">
        <v>610.87145</v>
      </c>
      <c r="AJ62" s="16" t="n">
        <v>354.43811</v>
      </c>
      <c r="AK62" s="16" t="n">
        <v>370.59901</v>
      </c>
      <c r="AL62" s="16" t="n">
        <v>411.98571</v>
      </c>
      <c r="AM62" s="16" t="n">
        <v>407.09929</v>
      </c>
      <c r="AN62" s="16" t="n">
        <v>414.27594</v>
      </c>
      <c r="AO62" s="16" t="n">
        <v>530.18922</v>
      </c>
      <c r="AP62" s="16" t="n">
        <v>255.09161</v>
      </c>
      <c r="AQ62" s="16" t="n">
        <v>266.11811</v>
      </c>
      <c r="AR62" s="16" t="n">
        <v>259.26374</v>
      </c>
      <c r="AS62" s="16" t="n">
        <v>219.87261</v>
      </c>
      <c r="AT62" s="16" t="n">
        <v>200.8633</v>
      </c>
      <c r="AU62" s="16" t="n">
        <v>185.66244</v>
      </c>
      <c r="AV62" s="16" t="n">
        <v>195.54623</v>
      </c>
      <c r="AW62" s="16" t="n">
        <v>186.70299</v>
      </c>
      <c r="AX62" s="16" t="n">
        <v>194.21899</v>
      </c>
      <c r="AY62" s="16" t="n">
        <v>172.29388</v>
      </c>
      <c r="AZ62" s="16" t="n">
        <v>171.79847</v>
      </c>
      <c r="BA62" s="16" t="n">
        <v>144.15986</v>
      </c>
      <c r="BB62" s="16" t="n">
        <v>127.39723</v>
      </c>
      <c r="BC62" s="16" t="n">
        <v>135.00946</v>
      </c>
      <c r="BD62" s="16" t="n">
        <v>152.71046</v>
      </c>
      <c r="BE62" s="16" t="n">
        <v>154.94499</v>
      </c>
      <c r="BF62" s="16" t="n">
        <v>108.91493</v>
      </c>
      <c r="BG62" s="16" t="n">
        <v>112.82833</v>
      </c>
      <c r="BH62" s="16" t="n">
        <v>135.05756</v>
      </c>
      <c r="BI62" s="16" t="n">
        <v>137.267</v>
      </c>
      <c r="BJ62" s="16" t="n">
        <v>146.62073</v>
      </c>
      <c r="BK62" s="16" t="n">
        <v>152.64551</v>
      </c>
      <c r="BL62" s="16" t="n">
        <v>145.92187</v>
      </c>
      <c r="BM62" s="16" t="n">
        <v>136.86082</v>
      </c>
      <c r="BN62" s="16" t="n">
        <v>80.311485</v>
      </c>
    </row>
    <row r="63">
      <c r="A63" s="10" t="inlineStr">
        <is>
          <t>Malaysia</t>
        </is>
      </c>
      <c r="B63" s="16" t="n">
        <v>5.619872</v>
      </c>
      <c r="C63" s="27" t="n">
        <v>10.15620000000004</v>
      </c>
      <c r="D63" s="27" t="n">
        <v>33.25420000000001</v>
      </c>
      <c r="E63" s="27" t="n">
        <v>52.40520000000005</v>
      </c>
      <c r="F63" s="27" t="n">
        <v>59.33420000000002</v>
      </c>
      <c r="G63" s="16" t="n">
        <v>2.89772</v>
      </c>
      <c r="H63" s="16" t="n">
        <v>2.84989</v>
      </c>
      <c r="I63" s="16" t="n">
        <v>2.91831</v>
      </c>
      <c r="J63" s="16" t="n">
        <v>3.20904</v>
      </c>
      <c r="K63" s="16" t="n">
        <v>3.51246</v>
      </c>
      <c r="L63" s="16" t="n">
        <v>3.6245</v>
      </c>
      <c r="M63" s="16" t="n">
        <v>4.25403</v>
      </c>
      <c r="N63" s="16" t="n">
        <v>4.3146</v>
      </c>
      <c r="O63" s="16" t="n">
        <v>4.52079</v>
      </c>
      <c r="P63" s="16" t="n">
        <v>4.31065</v>
      </c>
      <c r="Q63" s="16" t="n">
        <v>4.37202</v>
      </c>
      <c r="R63" s="16" t="n">
        <v>5.08629</v>
      </c>
      <c r="S63" s="16" t="n">
        <v>5.52598</v>
      </c>
      <c r="T63" s="16" t="n">
        <v>4.91364</v>
      </c>
      <c r="U63" s="16" t="n">
        <v>5.06515</v>
      </c>
      <c r="V63" s="16" t="n">
        <v>4.7366</v>
      </c>
      <c r="W63" s="16" t="n">
        <v>5.01892</v>
      </c>
      <c r="X63" s="16" t="n">
        <v>4.71043</v>
      </c>
      <c r="Y63" s="16" t="n">
        <v>4.6981</v>
      </c>
      <c r="Z63" s="16" t="n">
        <v>4.85581</v>
      </c>
      <c r="AA63" s="16" t="n">
        <v>4.87135</v>
      </c>
      <c r="AB63" s="16" t="n">
        <v>4.99137</v>
      </c>
      <c r="AC63" s="16" t="n">
        <v>5.23718</v>
      </c>
      <c r="AD63" s="16" t="n">
        <v>5.71926</v>
      </c>
      <c r="AE63" s="16" t="n">
        <v>6.05883</v>
      </c>
      <c r="AF63" s="16" t="n">
        <v>5.42627</v>
      </c>
      <c r="AG63" s="16" t="n">
        <v>4.89291</v>
      </c>
      <c r="AH63" s="16" t="n">
        <v>5.07573</v>
      </c>
      <c r="AI63" s="16" t="n">
        <v>5.20293</v>
      </c>
      <c r="AJ63" s="16" t="n">
        <v>5.16339</v>
      </c>
      <c r="AK63" s="16" t="n">
        <v>5.60322</v>
      </c>
      <c r="AL63" s="16" t="n">
        <v>5.39578</v>
      </c>
      <c r="AM63" s="16" t="n">
        <v>5.38979</v>
      </c>
      <c r="AN63" s="16" t="n">
        <v>5.12797</v>
      </c>
      <c r="AO63" s="16" t="n">
        <v>4.96918</v>
      </c>
      <c r="AP63" s="16" t="n">
        <v>4.82547</v>
      </c>
      <c r="AQ63" s="16" t="n">
        <v>5.15654</v>
      </c>
      <c r="AR63" s="16" t="n">
        <v>5.02715</v>
      </c>
      <c r="AS63" s="16" t="n">
        <v>5.44949</v>
      </c>
      <c r="AT63" s="16" t="n">
        <v>5.45168</v>
      </c>
      <c r="AU63" s="16" t="n">
        <v>5.19582</v>
      </c>
      <c r="AV63" s="16" t="n">
        <v>5.34167</v>
      </c>
      <c r="AW63" s="16" t="n">
        <v>5.3936</v>
      </c>
      <c r="AX63" s="16" t="n">
        <v>5.50009</v>
      </c>
      <c r="AY63" s="16" t="n">
        <v>5.30296</v>
      </c>
      <c r="AZ63" s="16" t="n">
        <v>5.30908</v>
      </c>
      <c r="BA63" s="16" t="n">
        <v>5.21179</v>
      </c>
      <c r="BB63" s="16" t="n">
        <v>5.03315</v>
      </c>
      <c r="BC63" s="16" t="n">
        <v>4.9909</v>
      </c>
      <c r="BD63" s="16" t="n">
        <v>4.98357</v>
      </c>
      <c r="BE63" s="16" t="n">
        <v>5.08962</v>
      </c>
      <c r="BF63" s="16" t="n">
        <v>5.1283</v>
      </c>
      <c r="BG63" s="16" t="n">
        <v>4.94966</v>
      </c>
      <c r="BH63" s="16" t="n">
        <v>5.25626</v>
      </c>
      <c r="BI63" s="16" t="n">
        <v>5.22286</v>
      </c>
      <c r="BJ63" s="16" t="n">
        <v>5.17821</v>
      </c>
      <c r="BK63" s="16" t="n">
        <v>5.22809</v>
      </c>
      <c r="BL63" s="16" t="n">
        <v>5.59326</v>
      </c>
      <c r="BM63" s="16" t="n">
        <v>5.59024</v>
      </c>
      <c r="BN63" s="16" t="n">
        <v>5.619872</v>
      </c>
    </row>
    <row r="64">
      <c r="A64" s="10" t="inlineStr">
        <is>
          <t>Mexico</t>
        </is>
      </c>
      <c r="B64" s="16" t="n">
        <v>6.960008</v>
      </c>
      <c r="C64" s="27" t="n">
        <v>12.05080000000009</v>
      </c>
      <c r="D64" s="27" t="n">
        <v>24.56980000000009</v>
      </c>
      <c r="E64" s="27" t="n">
        <v>35.95680000000003</v>
      </c>
      <c r="F64" s="27" t="n">
        <v>32.79980000000009</v>
      </c>
      <c r="G64" s="16" t="n">
        <v>5.19269</v>
      </c>
      <c r="H64" s="16" t="n">
        <v>5.48866</v>
      </c>
      <c r="I64" s="16" t="n">
        <v>5.18048</v>
      </c>
      <c r="J64" s="16" t="n">
        <v>5.52426</v>
      </c>
      <c r="K64" s="16" t="n">
        <v>5.84717</v>
      </c>
      <c r="L64" s="16" t="n">
        <v>5.94982</v>
      </c>
      <c r="M64" s="16" t="n">
        <v>6.92908</v>
      </c>
      <c r="N64" s="16" t="n">
        <v>6.85266</v>
      </c>
      <c r="O64" s="16" t="n">
        <v>7.92473</v>
      </c>
      <c r="P64" s="16" t="n">
        <v>7.30731</v>
      </c>
      <c r="Q64" s="16" t="n">
        <v>7.68557</v>
      </c>
      <c r="R64" s="16" t="n">
        <v>8.77913</v>
      </c>
      <c r="S64" s="16" t="n">
        <v>8.509230000000001</v>
      </c>
      <c r="T64" s="16" t="n">
        <v>7.7387</v>
      </c>
      <c r="U64" s="16" t="n">
        <v>7.88533</v>
      </c>
      <c r="V64" s="16" t="n">
        <v>7.24257</v>
      </c>
      <c r="W64" s="16" t="n">
        <v>7.74354</v>
      </c>
      <c r="X64" s="16" t="n">
        <v>7.59207</v>
      </c>
      <c r="Y64" s="16" t="n">
        <v>7.60746</v>
      </c>
      <c r="Z64" s="16" t="n">
        <v>7.91669</v>
      </c>
      <c r="AA64" s="16" t="n">
        <v>7.72428</v>
      </c>
      <c r="AB64" s="16" t="n">
        <v>7.66391</v>
      </c>
      <c r="AC64" s="16" t="n">
        <v>7.91961</v>
      </c>
      <c r="AD64" s="16" t="n">
        <v>8.523199999999999</v>
      </c>
      <c r="AE64" s="16" t="n">
        <v>8.84642</v>
      </c>
      <c r="AF64" s="16" t="n">
        <v>8.083130000000001</v>
      </c>
      <c r="AG64" s="16" t="n">
        <v>7.42954</v>
      </c>
      <c r="AH64" s="16" t="n">
        <v>7.50775</v>
      </c>
      <c r="AI64" s="16" t="n">
        <v>7.67373</v>
      </c>
      <c r="AJ64" s="16" t="n">
        <v>7.47683</v>
      </c>
      <c r="AK64" s="16" t="n">
        <v>7.88981</v>
      </c>
      <c r="AL64" s="16" t="n">
        <v>7.62124</v>
      </c>
      <c r="AM64" s="16" t="n">
        <v>7.71065</v>
      </c>
      <c r="AN64" s="16" t="n">
        <v>7.4743</v>
      </c>
      <c r="AO64" s="16" t="n">
        <v>7.34995</v>
      </c>
      <c r="AP64" s="16" t="n">
        <v>7.11131</v>
      </c>
      <c r="AQ64" s="16" t="n">
        <v>7.46984</v>
      </c>
      <c r="AR64" s="16" t="n">
        <v>7.43739</v>
      </c>
      <c r="AS64" s="16" t="n">
        <v>7.86347</v>
      </c>
      <c r="AT64" s="16" t="n">
        <v>7.81257</v>
      </c>
      <c r="AU64" s="16" t="n">
        <v>7.55425</v>
      </c>
      <c r="AV64" s="16" t="n">
        <v>7.62881</v>
      </c>
      <c r="AW64" s="16" t="n">
        <v>7.85467</v>
      </c>
      <c r="AX64" s="16" t="n">
        <v>7.74601</v>
      </c>
      <c r="AY64" s="16" t="n">
        <v>7.33093</v>
      </c>
      <c r="AZ64" s="16" t="n">
        <v>7.14515</v>
      </c>
      <c r="BA64" s="16" t="n">
        <v>6.92806</v>
      </c>
      <c r="BB64" s="16" t="n">
        <v>6.50483</v>
      </c>
      <c r="BC64" s="16" t="n">
        <v>6.43855</v>
      </c>
      <c r="BD64" s="16" t="n">
        <v>6.56226</v>
      </c>
      <c r="BE64" s="16" t="n">
        <v>6.62429</v>
      </c>
      <c r="BF64" s="16" t="n">
        <v>6.6136</v>
      </c>
      <c r="BG64" s="16" t="n">
        <v>6.4611</v>
      </c>
      <c r="BH64" s="16" t="n">
        <v>6.88451</v>
      </c>
      <c r="BI64" s="16" t="n">
        <v>6.66385</v>
      </c>
      <c r="BJ64" s="16" t="n">
        <v>6.70439</v>
      </c>
      <c r="BK64" s="16" t="n">
        <v>6.68981</v>
      </c>
      <c r="BL64" s="16" t="n">
        <v>7.03157</v>
      </c>
      <c r="BM64" s="16" t="n">
        <v>6.93057</v>
      </c>
      <c r="BN64" s="16" t="n">
        <v>6.960008</v>
      </c>
    </row>
    <row r="65">
      <c r="A65" s="10" t="inlineStr">
        <is>
          <t>Mongolia</t>
        </is>
      </c>
      <c r="B65" s="16" t="n">
        <v>6.340952</v>
      </c>
      <c r="C65" s="27" t="n">
        <v>4.812199999999933</v>
      </c>
      <c r="D65" s="27" t="n">
        <v>46.19119999999991</v>
      </c>
      <c r="E65" s="27" t="n">
        <v>37.10919999999992</v>
      </c>
      <c r="F65" s="26" t="n">
        <v>-19.35680000000006</v>
      </c>
      <c r="G65" s="16" t="n">
        <v>3.99533</v>
      </c>
      <c r="H65" s="16" t="n">
        <v>4.40919</v>
      </c>
      <c r="I65" s="16" t="n">
        <v>4.39803</v>
      </c>
      <c r="J65" s="16" t="n">
        <v>4.64205</v>
      </c>
      <c r="K65" s="16" t="n">
        <v>5.19105</v>
      </c>
      <c r="L65" s="16" t="n">
        <v>5.34063</v>
      </c>
      <c r="M65" s="16" t="n">
        <v>6.5428</v>
      </c>
      <c r="N65" s="16" t="n">
        <v>6.88254</v>
      </c>
      <c r="O65" s="16" t="n">
        <v>8.13439</v>
      </c>
      <c r="P65" s="16" t="n">
        <v>8.52388</v>
      </c>
      <c r="Q65" s="16" t="n">
        <v>7.58346</v>
      </c>
      <c r="R65" s="16" t="n">
        <v>12.19461</v>
      </c>
      <c r="S65" s="16" t="n">
        <v>12.42721</v>
      </c>
      <c r="T65" s="16" t="n">
        <v>10.88436</v>
      </c>
      <c r="U65" s="16" t="n">
        <v>9.34221</v>
      </c>
      <c r="V65" s="16" t="n">
        <v>7.0139</v>
      </c>
      <c r="W65" s="16" t="n">
        <v>7.7868</v>
      </c>
      <c r="X65" s="16" t="n">
        <v>8.826079999999999</v>
      </c>
      <c r="Y65" s="16" t="n">
        <v>8.1363</v>
      </c>
      <c r="Z65" s="16" t="n">
        <v>8.812989999999999</v>
      </c>
      <c r="AA65" s="16" t="n">
        <v>7.96548</v>
      </c>
      <c r="AB65" s="16" t="n">
        <v>7.57035</v>
      </c>
      <c r="AC65" s="16" t="n">
        <v>8.27839</v>
      </c>
      <c r="AD65" s="16" t="n">
        <v>8.34441</v>
      </c>
      <c r="AE65" s="16" t="n">
        <v>8.464740000000001</v>
      </c>
      <c r="AF65" s="16" t="n">
        <v>7.39624</v>
      </c>
      <c r="AG65" s="16" t="n">
        <v>6.75897</v>
      </c>
      <c r="AH65" s="16" t="n">
        <v>6.99195</v>
      </c>
      <c r="AI65" s="16" t="n">
        <v>7.17936</v>
      </c>
      <c r="AJ65" s="16" t="n">
        <v>6.82607</v>
      </c>
      <c r="AK65" s="16" t="n">
        <v>7.27878</v>
      </c>
      <c r="AL65" s="16" t="n">
        <v>6.95098</v>
      </c>
      <c r="AM65" s="16" t="n">
        <v>7.00613</v>
      </c>
      <c r="AN65" s="16" t="n">
        <v>6.79719</v>
      </c>
      <c r="AO65" s="16" t="n">
        <v>6.63352</v>
      </c>
      <c r="AP65" s="16" t="n">
        <v>6.17062</v>
      </c>
      <c r="AQ65" s="16" t="n">
        <v>6.25178</v>
      </c>
      <c r="AR65" s="16" t="n">
        <v>6.52057</v>
      </c>
      <c r="AS65" s="16" t="n">
        <v>6.67846</v>
      </c>
      <c r="AT65" s="16" t="n">
        <v>6.57855</v>
      </c>
      <c r="AU65" s="16" t="n">
        <v>6.76042</v>
      </c>
      <c r="AV65" s="16" t="n">
        <v>7.10485</v>
      </c>
      <c r="AW65" s="16" t="n">
        <v>7.37741</v>
      </c>
      <c r="AX65" s="16" t="n">
        <v>7.0097</v>
      </c>
      <c r="AY65" s="16" t="n">
        <v>6.82445</v>
      </c>
      <c r="AZ65" s="16" t="n">
        <v>6.40448</v>
      </c>
      <c r="BA65" s="16" t="n">
        <v>6.60532</v>
      </c>
      <c r="BB65" s="16" t="n">
        <v>6.28458</v>
      </c>
      <c r="BC65" s="16" t="n">
        <v>6.09449</v>
      </c>
      <c r="BD65" s="16" t="n">
        <v>6.02634</v>
      </c>
      <c r="BE65" s="16" t="n">
        <v>5.93344</v>
      </c>
      <c r="BF65" s="16" t="n">
        <v>5.52073</v>
      </c>
      <c r="BG65" s="16" t="n">
        <v>5.45239</v>
      </c>
      <c r="BH65" s="16" t="n">
        <v>6.3547</v>
      </c>
      <c r="BI65" s="16" t="n">
        <v>5.79813</v>
      </c>
      <c r="BJ65" s="16" t="n">
        <v>5.74434</v>
      </c>
      <c r="BK65" s="16" t="n">
        <v>5.79627</v>
      </c>
      <c r="BL65" s="16" t="n">
        <v>6.35431</v>
      </c>
      <c r="BM65" s="16" t="n">
        <v>6.24915</v>
      </c>
      <c r="BN65" s="16" t="n">
        <v>6.340952</v>
      </c>
    </row>
    <row r="66">
      <c r="A66" s="10" t="inlineStr">
        <is>
          <t>Montenegro</t>
        </is>
      </c>
      <c r="B66" s="16" t="n">
        <v>6.129774</v>
      </c>
      <c r="C66" s="27" t="n">
        <v>26.00040000000003</v>
      </c>
      <c r="D66" s="27" t="n">
        <v>29.11039999999998</v>
      </c>
      <c r="E66" s="27" t="n">
        <v>52.66739999999996</v>
      </c>
      <c r="F66" s="27" t="n">
        <v>30.25239999999999</v>
      </c>
      <c r="G66" s="16" t="inlineStr"/>
      <c r="H66" s="16" t="inlineStr"/>
      <c r="I66" s="16" t="inlineStr"/>
      <c r="J66" s="16" t="inlineStr"/>
      <c r="K66" s="16" t="inlineStr"/>
      <c r="L66" s="16" t="inlineStr"/>
      <c r="M66" s="16" t="inlineStr"/>
      <c r="N66" s="16" t="inlineStr"/>
      <c r="O66" s="16" t="inlineStr"/>
      <c r="P66" s="16" t="inlineStr"/>
      <c r="Q66" s="16" t="inlineStr"/>
      <c r="R66" s="16" t="inlineStr"/>
      <c r="S66" s="16" t="inlineStr"/>
      <c r="T66" s="16" t="inlineStr"/>
      <c r="U66" s="16" t="inlineStr"/>
      <c r="V66" s="16" t="inlineStr"/>
      <c r="W66" s="16" t="inlineStr"/>
      <c r="X66" s="16" t="inlineStr"/>
      <c r="Y66" s="16" t="inlineStr"/>
      <c r="Z66" s="16" t="inlineStr"/>
      <c r="AA66" s="16" t="inlineStr"/>
      <c r="AB66" s="16" t="inlineStr"/>
      <c r="AC66" s="16" t="inlineStr"/>
      <c r="AD66" s="16" t="inlineStr"/>
      <c r="AE66" s="16" t="inlineStr"/>
      <c r="AF66" s="16" t="inlineStr"/>
      <c r="AG66" s="16" t="inlineStr"/>
      <c r="AH66" s="16" t="inlineStr"/>
      <c r="AI66" s="16" t="inlineStr"/>
      <c r="AJ66" s="16" t="n">
        <v>6.86515</v>
      </c>
      <c r="AK66" s="16" t="n">
        <v>7.12872</v>
      </c>
      <c r="AL66" s="16" t="n">
        <v>7.04488</v>
      </c>
      <c r="AM66" s="16" t="n">
        <v>7.08454</v>
      </c>
      <c r="AN66" s="16" t="n">
        <v>6.80707</v>
      </c>
      <c r="AO66" s="16" t="n">
        <v>6.50861</v>
      </c>
      <c r="AP66" s="16" t="n">
        <v>6.3244</v>
      </c>
      <c r="AQ66" s="16" t="n">
        <v>6.37309</v>
      </c>
      <c r="AR66" s="16" t="n">
        <v>6.38761</v>
      </c>
      <c r="AS66" s="16" t="n">
        <v>6.62889</v>
      </c>
      <c r="AT66" s="16" t="n">
        <v>6.57801</v>
      </c>
      <c r="AU66" s="16" t="n">
        <v>6.41158</v>
      </c>
      <c r="AV66" s="16" t="n">
        <v>6.68144</v>
      </c>
      <c r="AW66" s="16" t="n">
        <v>6.98509</v>
      </c>
      <c r="AX66" s="16" t="n">
        <v>6.56694</v>
      </c>
      <c r="AY66" s="16" t="n">
        <v>6.36945</v>
      </c>
      <c r="AZ66" s="16" t="n">
        <v>6.27719</v>
      </c>
      <c r="BA66" s="16" t="n">
        <v>5.93548</v>
      </c>
      <c r="BB66" s="16" t="n">
        <v>5.75153</v>
      </c>
      <c r="BC66" s="16" t="n">
        <v>5.49582</v>
      </c>
      <c r="BD66" s="16" t="n">
        <v>5.51779</v>
      </c>
      <c r="BE66" s="16" t="n">
        <v>5.58912</v>
      </c>
      <c r="BF66" s="16" t="n">
        <v>5.68944</v>
      </c>
      <c r="BG66" s="16" t="n">
        <v>5.46987</v>
      </c>
      <c r="BH66" s="16" t="n">
        <v>6.23772</v>
      </c>
      <c r="BI66" s="16" t="n">
        <v>5.94466</v>
      </c>
      <c r="BJ66" s="16" t="n">
        <v>5.79536</v>
      </c>
      <c r="BK66" s="16" t="n">
        <v>5.6817</v>
      </c>
      <c r="BL66" s="16" t="n">
        <v>5.89911</v>
      </c>
      <c r="BM66" s="16" t="n">
        <v>5.98994</v>
      </c>
      <c r="BN66" s="16" t="n">
        <v>6.129774</v>
      </c>
    </row>
    <row r="67">
      <c r="A67" s="10" t="inlineStr">
        <is>
          <t>Morocco</t>
        </is>
      </c>
      <c r="B67" s="16" t="n">
        <v>6.049719</v>
      </c>
      <c r="C67" s="27" t="n">
        <v>14.56289999999996</v>
      </c>
      <c r="D67" s="27" t="n">
        <v>21.2199</v>
      </c>
      <c r="E67" s="27" t="n">
        <v>53.24489999999997</v>
      </c>
      <c r="F67" s="27" t="n">
        <v>45.24989999999995</v>
      </c>
      <c r="G67" s="16" t="n">
        <v>4.08321</v>
      </c>
      <c r="H67" s="16" t="n">
        <v>4.29157</v>
      </c>
      <c r="I67" s="16" t="n">
        <v>4.09986</v>
      </c>
      <c r="J67" s="16" t="n">
        <v>4.41392</v>
      </c>
      <c r="K67" s="16" t="n">
        <v>4.96921</v>
      </c>
      <c r="L67" s="16" t="n">
        <v>5.00986</v>
      </c>
      <c r="M67" s="16" t="n">
        <v>5.97371</v>
      </c>
      <c r="N67" s="16" t="n">
        <v>6.17802</v>
      </c>
      <c r="O67" s="16" t="n">
        <v>7.48351</v>
      </c>
      <c r="P67" s="16" t="n">
        <v>6.30206</v>
      </c>
      <c r="Q67" s="16" t="n">
        <v>6.55814</v>
      </c>
      <c r="R67" s="16" t="n">
        <v>7.47009</v>
      </c>
      <c r="S67" s="16" t="n">
        <v>7.252</v>
      </c>
      <c r="T67" s="16" t="n">
        <v>6.19701</v>
      </c>
      <c r="U67" s="16" t="n">
        <v>6.17888</v>
      </c>
      <c r="V67" s="16" t="n">
        <v>6.14962</v>
      </c>
      <c r="W67" s="16" t="n">
        <v>6.66346</v>
      </c>
      <c r="X67" s="16" t="n">
        <v>6.04064</v>
      </c>
      <c r="Y67" s="16" t="n">
        <v>5.97825</v>
      </c>
      <c r="Z67" s="16" t="n">
        <v>6.22898</v>
      </c>
      <c r="AA67" s="16" t="n">
        <v>6.16615</v>
      </c>
      <c r="AB67" s="16" t="n">
        <v>6.08657</v>
      </c>
      <c r="AC67" s="16" t="n">
        <v>6.40001</v>
      </c>
      <c r="AD67" s="16" t="n">
        <v>6.7558</v>
      </c>
      <c r="AE67" s="16" t="n">
        <v>7.03281</v>
      </c>
      <c r="AF67" s="16" t="n">
        <v>6.33724</v>
      </c>
      <c r="AG67" s="16" t="n">
        <v>5.76862</v>
      </c>
      <c r="AH67" s="16" t="n">
        <v>6.04327</v>
      </c>
      <c r="AI67" s="16" t="n">
        <v>6.21394</v>
      </c>
      <c r="AJ67" s="16" t="n">
        <v>6.10126</v>
      </c>
      <c r="AK67" s="16" t="n">
        <v>6.47383</v>
      </c>
      <c r="AL67" s="16" t="n">
        <v>6.24839</v>
      </c>
      <c r="AM67" s="16" t="n">
        <v>6.15169</v>
      </c>
      <c r="AN67" s="16" t="n">
        <v>5.96671</v>
      </c>
      <c r="AO67" s="16" t="n">
        <v>5.64063</v>
      </c>
      <c r="AP67" s="16" t="n">
        <v>5.46523</v>
      </c>
      <c r="AQ67" s="16" t="n">
        <v>5.9636</v>
      </c>
      <c r="AR67" s="16" t="n">
        <v>5.93732</v>
      </c>
      <c r="AS67" s="16" t="n">
        <v>6.16162</v>
      </c>
      <c r="AT67" s="16" t="n">
        <v>6.13369</v>
      </c>
      <c r="AU67" s="16" t="n">
        <v>5.98899</v>
      </c>
      <c r="AV67" s="16" t="n">
        <v>6.09109</v>
      </c>
      <c r="AW67" s="16" t="n">
        <v>6.22495</v>
      </c>
      <c r="AX67" s="16" t="n">
        <v>6.20438</v>
      </c>
      <c r="AY67" s="16" t="n">
        <v>5.95629</v>
      </c>
      <c r="AZ67" s="16" t="n">
        <v>5.88707</v>
      </c>
      <c r="BA67" s="16" t="n">
        <v>5.71286</v>
      </c>
      <c r="BB67" s="16" t="n">
        <v>5.36149</v>
      </c>
      <c r="BC67" s="16" t="n">
        <v>5.34772</v>
      </c>
      <c r="BD67" s="16" t="n">
        <v>5.50405</v>
      </c>
      <c r="BE67" s="16" t="n">
        <v>5.48121</v>
      </c>
      <c r="BF67" s="16" t="n">
        <v>5.61394</v>
      </c>
      <c r="BG67" s="16" t="n">
        <v>5.4038</v>
      </c>
      <c r="BH67" s="16" t="n">
        <v>5.93939</v>
      </c>
      <c r="BI67" s="16" t="n">
        <v>5.71113</v>
      </c>
      <c r="BJ67" s="16" t="n">
        <v>5.73573</v>
      </c>
      <c r="BK67" s="16" t="n">
        <v>5.68848</v>
      </c>
      <c r="BL67" s="16" t="n">
        <v>6.00541</v>
      </c>
      <c r="BM67" s="16" t="n">
        <v>5.95859</v>
      </c>
      <c r="BN67" s="16" t="n">
        <v>6.049719</v>
      </c>
    </row>
    <row r="68">
      <c r="A68" s="10" t="inlineStr">
        <is>
          <t>Mozambique</t>
        </is>
      </c>
      <c r="B68" s="16" t="n">
        <v>12.112434</v>
      </c>
      <c r="C68" s="26" t="n">
        <v>-18.76459999999991</v>
      </c>
      <c r="D68" s="26" t="n">
        <v>-174.5305999999999</v>
      </c>
      <c r="E68" s="26" t="n">
        <v>-170.5475999999998</v>
      </c>
      <c r="F68" s="26" t="n">
        <v>-18.41859999999968</v>
      </c>
      <c r="G68" s="16" t="n">
        <v>10.30646</v>
      </c>
      <c r="H68" s="16" t="n">
        <v>10.57816</v>
      </c>
      <c r="I68" s="16" t="n">
        <v>10.64496</v>
      </c>
      <c r="J68" s="16" t="n">
        <v>10.67092</v>
      </c>
      <c r="K68" s="16" t="n">
        <v>10.49052</v>
      </c>
      <c r="L68" s="16" t="n">
        <v>10.31198</v>
      </c>
      <c r="M68" s="16" t="n">
        <v>10.20015</v>
      </c>
      <c r="N68" s="16" t="n">
        <v>11.10659</v>
      </c>
      <c r="O68" s="16" t="n">
        <v>13.45977</v>
      </c>
      <c r="P68" s="16" t="n">
        <v>15.02521</v>
      </c>
      <c r="Q68" s="16" t="n">
        <v>14.35167</v>
      </c>
      <c r="R68" s="16" t="n">
        <v>15.09434</v>
      </c>
      <c r="S68" s="16" t="n">
        <v>15.61291</v>
      </c>
      <c r="T68" s="16" t="n">
        <v>13.53759</v>
      </c>
      <c r="U68" s="16" t="n">
        <v>13.31545</v>
      </c>
      <c r="V68" s="16" t="n">
        <v>12.62904</v>
      </c>
      <c r="W68" s="16" t="n">
        <v>13.58845</v>
      </c>
      <c r="X68" s="16" t="n">
        <v>15.16856</v>
      </c>
      <c r="Y68" s="16" t="n">
        <v>15.89522</v>
      </c>
      <c r="Z68" s="16" t="n">
        <v>15.66404</v>
      </c>
      <c r="AA68" s="16" t="n">
        <v>14.36236</v>
      </c>
      <c r="AB68" s="16" t="n">
        <v>13.62195</v>
      </c>
      <c r="AC68" s="16" t="n">
        <v>14.82658</v>
      </c>
      <c r="AD68" s="16" t="n">
        <v>14.12994</v>
      </c>
      <c r="AE68" s="16" t="n">
        <v>14.46112</v>
      </c>
      <c r="AF68" s="16" t="n">
        <v>13.80325</v>
      </c>
      <c r="AG68" s="16" t="n">
        <v>12.4126</v>
      </c>
      <c r="AH68" s="16" t="n">
        <v>12.08766</v>
      </c>
      <c r="AI68" s="16" t="n">
        <v>12.88062</v>
      </c>
      <c r="AJ68" s="16" t="n">
        <v>12.31562</v>
      </c>
      <c r="AK68" s="16" t="n">
        <v>12.86273</v>
      </c>
      <c r="AL68" s="16" t="n">
        <v>13.41954</v>
      </c>
      <c r="AM68" s="16" t="n">
        <v>13.32394</v>
      </c>
      <c r="AN68" s="16" t="n">
        <v>12.73672</v>
      </c>
      <c r="AO68" s="16" t="n">
        <v>13.03498</v>
      </c>
      <c r="AP68" s="16" t="n">
        <v>12.35308</v>
      </c>
      <c r="AQ68" s="16" t="n">
        <v>13.30859</v>
      </c>
      <c r="AR68" s="16" t="n">
        <v>13.57009</v>
      </c>
      <c r="AS68" s="16" t="n">
        <v>15.19862</v>
      </c>
      <c r="AT68" s="16" t="n">
        <v>14.35838</v>
      </c>
      <c r="AU68" s="16" t="n">
        <v>14.37697</v>
      </c>
      <c r="AV68" s="16" t="n">
        <v>14.49612</v>
      </c>
      <c r="AW68" s="16" t="n">
        <v>16.27061</v>
      </c>
      <c r="AX68" s="16" t="n">
        <v>14.58663</v>
      </c>
      <c r="AY68" s="16" t="n">
        <v>14.35635</v>
      </c>
      <c r="AZ68" s="16" t="n">
        <v>12.75823</v>
      </c>
      <c r="BA68" s="16" t="n">
        <v>12.24013</v>
      </c>
      <c r="BB68" s="16" t="n">
        <v>12.15696</v>
      </c>
      <c r="BC68" s="16" t="n">
        <v>12.9876</v>
      </c>
      <c r="BD68" s="16" t="n">
        <v>13.65324</v>
      </c>
      <c r="BE68" s="16" t="n">
        <v>13.71072</v>
      </c>
      <c r="BF68" s="16" t="n">
        <v>13.28669</v>
      </c>
      <c r="BG68" s="16" t="n">
        <v>14.09031</v>
      </c>
      <c r="BH68" s="16" t="n">
        <v>18.54375</v>
      </c>
      <c r="BI68" s="16" t="n">
        <v>15.57922</v>
      </c>
      <c r="BJ68" s="16" t="n">
        <v>13.43979</v>
      </c>
      <c r="BK68" s="16" t="n">
        <v>13.27426</v>
      </c>
      <c r="BL68" s="16" t="n">
        <v>12.33914</v>
      </c>
      <c r="BM68" s="16" t="n">
        <v>11.99696</v>
      </c>
      <c r="BN68" s="16" t="n">
        <v>12.112434</v>
      </c>
    </row>
    <row r="69">
      <c r="A69" s="10" t="inlineStr">
        <is>
          <t>Nigeria</t>
        </is>
      </c>
      <c r="B69" s="16" t="n">
        <v>7.381058</v>
      </c>
      <c r="C69" s="27" t="n">
        <v>3.57580000000004</v>
      </c>
      <c r="D69" s="27" t="n">
        <v>11.91380000000004</v>
      </c>
      <c r="E69" s="26" t="n">
        <v>-12.7262</v>
      </c>
      <c r="F69" s="26" t="n">
        <v>-97.37819999999998</v>
      </c>
      <c r="G69" s="16" t="n">
        <v>7.49278</v>
      </c>
      <c r="H69" s="16" t="n">
        <v>8.39054</v>
      </c>
      <c r="I69" s="16" t="n">
        <v>7.93413</v>
      </c>
      <c r="J69" s="16" t="n">
        <v>8.09365</v>
      </c>
      <c r="K69" s="16" t="n">
        <v>8.801220000000001</v>
      </c>
      <c r="L69" s="16" t="n">
        <v>8.642799999999999</v>
      </c>
      <c r="M69" s="16" t="n">
        <v>10.2061</v>
      </c>
      <c r="N69" s="16" t="n">
        <v>10.63146</v>
      </c>
      <c r="O69" s="16" t="n">
        <v>13.10263</v>
      </c>
      <c r="P69" s="16" t="n">
        <v>12.9055</v>
      </c>
      <c r="Q69" s="16" t="n">
        <v>12.74552</v>
      </c>
      <c r="R69" s="16" t="n">
        <v>14.4077</v>
      </c>
      <c r="S69" s="16" t="n">
        <v>14.41414</v>
      </c>
      <c r="T69" s="16" t="n">
        <v>11.79582</v>
      </c>
      <c r="U69" s="16" t="n">
        <v>11.96482</v>
      </c>
      <c r="V69" s="16" t="n">
        <v>11.94191</v>
      </c>
      <c r="W69" s="16" t="n">
        <v>11.76308</v>
      </c>
      <c r="X69" s="16" t="n">
        <v>12.24495</v>
      </c>
      <c r="Y69" s="16" t="n">
        <v>12.52738</v>
      </c>
      <c r="Z69" s="16" t="n">
        <v>11.62349</v>
      </c>
      <c r="AA69" s="16" t="n">
        <v>10.70549</v>
      </c>
      <c r="AB69" s="16" t="n">
        <v>10.01365</v>
      </c>
      <c r="AC69" s="16" t="n">
        <v>11.15443</v>
      </c>
      <c r="AD69" s="16" t="n">
        <v>11.7212</v>
      </c>
      <c r="AE69" s="16" t="n">
        <v>11.39839</v>
      </c>
      <c r="AF69" s="16" t="n">
        <v>10.55588</v>
      </c>
      <c r="AG69" s="16" t="n">
        <v>9.59808</v>
      </c>
      <c r="AH69" s="16" t="n">
        <v>10.08519</v>
      </c>
      <c r="AI69" s="16" t="n">
        <v>9.86633</v>
      </c>
      <c r="AJ69" s="16" t="n">
        <v>9.484719999999999</v>
      </c>
      <c r="AK69" s="16" t="n">
        <v>10.03509</v>
      </c>
      <c r="AL69" s="16" t="n">
        <v>9.9435</v>
      </c>
      <c r="AM69" s="16" t="n">
        <v>10.26481</v>
      </c>
      <c r="AN69" s="16" t="n">
        <v>10.26982</v>
      </c>
      <c r="AO69" s="16" t="n">
        <v>9.84638</v>
      </c>
      <c r="AP69" s="16" t="n">
        <v>9.71602</v>
      </c>
      <c r="AQ69" s="16" t="n">
        <v>9.80443</v>
      </c>
      <c r="AR69" s="16" t="n">
        <v>9.78262</v>
      </c>
      <c r="AS69" s="16" t="n">
        <v>9.788819999999999</v>
      </c>
      <c r="AT69" s="16" t="n">
        <v>9.542770000000001</v>
      </c>
      <c r="AU69" s="16" t="n">
        <v>9.25653</v>
      </c>
      <c r="AV69" s="16" t="n">
        <v>10.03367</v>
      </c>
      <c r="AW69" s="16" t="n">
        <v>10.92025</v>
      </c>
      <c r="AX69" s="16" t="n">
        <v>9.93093</v>
      </c>
      <c r="AY69" s="16" t="n">
        <v>9.172090000000001</v>
      </c>
      <c r="AZ69" s="16" t="n">
        <v>8.786350000000001</v>
      </c>
      <c r="BA69" s="16" t="n">
        <v>8.49633</v>
      </c>
      <c r="BB69" s="16" t="n">
        <v>8.347289999999999</v>
      </c>
      <c r="BC69" s="16" t="n">
        <v>8.145429999999999</v>
      </c>
      <c r="BD69" s="16" t="n">
        <v>7.80874</v>
      </c>
      <c r="BE69" s="16" t="n">
        <v>7.49329</v>
      </c>
      <c r="BF69" s="16" t="n">
        <v>7.56242</v>
      </c>
      <c r="BG69" s="16" t="n">
        <v>7.46213</v>
      </c>
      <c r="BH69" s="16" t="n">
        <v>7.97576</v>
      </c>
      <c r="BI69" s="16" t="n">
        <v>7.30914</v>
      </c>
      <c r="BJ69" s="16" t="n">
        <v>7.20366</v>
      </c>
      <c r="BK69" s="16" t="n">
        <v>7.39685</v>
      </c>
      <c r="BL69" s="16" t="n">
        <v>7.36252</v>
      </c>
      <c r="BM69" s="16" t="n">
        <v>7.38157</v>
      </c>
      <c r="BN69" s="16" t="n">
        <v>7.381058</v>
      </c>
    </row>
    <row r="70">
      <c r="A70" s="10" t="inlineStr">
        <is>
          <t>Oman</t>
        </is>
      </c>
      <c r="B70" s="16" t="n">
        <v>5.88296</v>
      </c>
      <c r="C70" s="27" t="n">
        <v>13.45499999999999</v>
      </c>
      <c r="D70" s="27" t="n">
        <v>31.42199999999998</v>
      </c>
      <c r="E70" s="27" t="n">
        <v>56.02099999999997</v>
      </c>
      <c r="F70" s="27" t="n">
        <v>50.91199999999993</v>
      </c>
      <c r="G70" s="16" t="n">
        <v>5.23675</v>
      </c>
      <c r="H70" s="16" t="n">
        <v>5.60879</v>
      </c>
      <c r="I70" s="16" t="n">
        <v>5.23089</v>
      </c>
      <c r="J70" s="16" t="n">
        <v>5.50692</v>
      </c>
      <c r="K70" s="16" t="n">
        <v>5.77082</v>
      </c>
      <c r="L70" s="16" t="n">
        <v>5.5551</v>
      </c>
      <c r="M70" s="16" t="n">
        <v>6.0467</v>
      </c>
      <c r="N70" s="16" t="n">
        <v>6.10595</v>
      </c>
      <c r="O70" s="16" t="n">
        <v>6.83045</v>
      </c>
      <c r="P70" s="16" t="n">
        <v>6.4696</v>
      </c>
      <c r="Q70" s="16" t="n">
        <v>6.40179</v>
      </c>
      <c r="R70" s="16" t="n">
        <v>7.4485</v>
      </c>
      <c r="S70" s="16" t="n">
        <v>7.11175</v>
      </c>
      <c r="T70" s="16" t="n">
        <v>6.54281</v>
      </c>
      <c r="U70" s="16" t="n">
        <v>6.39834</v>
      </c>
      <c r="V70" s="16" t="n">
        <v>5.99262</v>
      </c>
      <c r="W70" s="16" t="n">
        <v>6.27525</v>
      </c>
      <c r="X70" s="16" t="n">
        <v>6.29611</v>
      </c>
      <c r="Y70" s="16" t="n">
        <v>6.08426</v>
      </c>
      <c r="Z70" s="16" t="n">
        <v>6.34469</v>
      </c>
      <c r="AA70" s="16" t="n">
        <v>6.30906</v>
      </c>
      <c r="AB70" s="16" t="n">
        <v>6.12831</v>
      </c>
      <c r="AC70" s="16" t="n">
        <v>6.30866</v>
      </c>
      <c r="AD70" s="16" t="n">
        <v>6.6682</v>
      </c>
      <c r="AE70" s="16" t="n">
        <v>6.92947</v>
      </c>
      <c r="AF70" s="16" t="n">
        <v>6.21926</v>
      </c>
      <c r="AG70" s="16" t="n">
        <v>5.723</v>
      </c>
      <c r="AH70" s="16" t="n">
        <v>5.96668</v>
      </c>
      <c r="AI70" s="16" t="n">
        <v>6.09071</v>
      </c>
      <c r="AJ70" s="16" t="n">
        <v>5.91918</v>
      </c>
      <c r="AK70" s="16" t="n">
        <v>6.26462</v>
      </c>
      <c r="AL70" s="16" t="n">
        <v>6.11834</v>
      </c>
      <c r="AM70" s="16" t="n">
        <v>6.04336</v>
      </c>
      <c r="AN70" s="16" t="n">
        <v>5.8421</v>
      </c>
      <c r="AO70" s="16" t="n">
        <v>5.52434</v>
      </c>
      <c r="AP70" s="16" t="n">
        <v>5.43329</v>
      </c>
      <c r="AQ70" s="16" t="n">
        <v>5.803</v>
      </c>
      <c r="AR70" s="16" t="n">
        <v>5.75659</v>
      </c>
      <c r="AS70" s="16" t="n">
        <v>5.99896</v>
      </c>
      <c r="AT70" s="16" t="n">
        <v>5.97181</v>
      </c>
      <c r="AU70" s="16" t="n">
        <v>5.80001</v>
      </c>
      <c r="AV70" s="16" t="n">
        <v>5.85749</v>
      </c>
      <c r="AW70" s="16" t="n">
        <v>5.9371</v>
      </c>
      <c r="AX70" s="16" t="n">
        <v>5.96467</v>
      </c>
      <c r="AY70" s="16" t="n">
        <v>5.70618</v>
      </c>
      <c r="AZ70" s="16" t="n">
        <v>5.45623</v>
      </c>
      <c r="BA70" s="16" t="n">
        <v>5.42829</v>
      </c>
      <c r="BB70" s="16" t="n">
        <v>5.26683</v>
      </c>
      <c r="BC70" s="16" t="n">
        <v>5.13618</v>
      </c>
      <c r="BD70" s="16" t="n">
        <v>5.22894</v>
      </c>
      <c r="BE70" s="16" t="n">
        <v>5.27921</v>
      </c>
      <c r="BF70" s="16" t="n">
        <v>5.41226</v>
      </c>
      <c r="BG70" s="16" t="n">
        <v>5.24944</v>
      </c>
      <c r="BH70" s="16" t="n">
        <v>5.73521</v>
      </c>
      <c r="BI70" s="16" t="n">
        <v>5.3945</v>
      </c>
      <c r="BJ70" s="16" t="n">
        <v>5.43387</v>
      </c>
      <c r="BK70" s="16" t="n">
        <v>5.44599</v>
      </c>
      <c r="BL70" s="16" t="n">
        <v>5.81946</v>
      </c>
      <c r="BM70" s="16" t="n">
        <v>5.80267</v>
      </c>
      <c r="BN70" s="16" t="n">
        <v>5.88296</v>
      </c>
    </row>
    <row r="71">
      <c r="A71" s="10" t="inlineStr">
        <is>
          <t>Pakistan</t>
        </is>
      </c>
      <c r="B71" s="16" t="n">
        <v>7.909398</v>
      </c>
      <c r="C71" s="26" t="n">
        <v>-8.512200000000014</v>
      </c>
      <c r="D71" s="26" t="n">
        <v>-38.90319999999996</v>
      </c>
      <c r="E71" s="26" t="n">
        <v>-4.743199999999941</v>
      </c>
      <c r="F71" s="26" t="n">
        <v>-72.01320000000003</v>
      </c>
      <c r="G71" s="16" t="n">
        <v>6.93474</v>
      </c>
      <c r="H71" s="16" t="n">
        <v>7.3526</v>
      </c>
      <c r="I71" s="16" t="n">
        <v>7.09864</v>
      </c>
      <c r="J71" s="16" t="n">
        <v>7.82755</v>
      </c>
      <c r="K71" s="16" t="n">
        <v>8.948589999999999</v>
      </c>
      <c r="L71" s="16" t="n">
        <v>12.03558</v>
      </c>
      <c r="M71" s="16" t="n">
        <v>11.4852</v>
      </c>
      <c r="N71" s="16" t="n">
        <v>13.96166</v>
      </c>
      <c r="O71" s="16" t="n">
        <v>15.57939</v>
      </c>
      <c r="P71" s="16" t="n">
        <v>21.85457</v>
      </c>
      <c r="Q71" s="16" t="n">
        <v>17.96157</v>
      </c>
      <c r="R71" s="16" t="n">
        <v>30.6775</v>
      </c>
      <c r="S71" s="16" t="n">
        <v>37.60086</v>
      </c>
      <c r="T71" s="16" t="n">
        <v>30.17337</v>
      </c>
      <c r="U71" s="16" t="n">
        <v>31.59385</v>
      </c>
      <c r="V71" s="16" t="n">
        <v>28.46886</v>
      </c>
      <c r="W71" s="16" t="n">
        <v>28.63071</v>
      </c>
      <c r="X71" s="16" t="n">
        <v>37.11782</v>
      </c>
      <c r="Y71" s="16" t="n">
        <v>37.56585</v>
      </c>
      <c r="Z71" s="16" t="n">
        <v>36.16014</v>
      </c>
      <c r="AA71" s="16" t="n">
        <v>26.75977</v>
      </c>
      <c r="AB71" s="16" t="n">
        <v>23.84063</v>
      </c>
      <c r="AC71" s="16" t="n">
        <v>25.44384</v>
      </c>
      <c r="AD71" s="16" t="n">
        <v>24.48683</v>
      </c>
      <c r="AE71" s="16" t="n">
        <v>23.45955</v>
      </c>
      <c r="AF71" s="16" t="n">
        <v>17.81257</v>
      </c>
      <c r="AG71" s="16" t="n">
        <v>17.13705</v>
      </c>
      <c r="AH71" s="16" t="n">
        <v>15.55832</v>
      </c>
      <c r="AI71" s="16" t="n">
        <v>14.26762</v>
      </c>
      <c r="AJ71" s="16" t="n">
        <v>11.66308</v>
      </c>
      <c r="AK71" s="16" t="n">
        <v>11.57489</v>
      </c>
      <c r="AL71" s="16" t="n">
        <v>11.20555</v>
      </c>
      <c r="AM71" s="16" t="n">
        <v>11.78353</v>
      </c>
      <c r="AN71" s="16" t="n">
        <v>11.68235</v>
      </c>
      <c r="AO71" s="16" t="n">
        <v>11.65776</v>
      </c>
      <c r="AP71" s="16" t="n">
        <v>10.4863</v>
      </c>
      <c r="AQ71" s="16" t="n">
        <v>10.66498</v>
      </c>
      <c r="AR71" s="16" t="n">
        <v>10.96626</v>
      </c>
      <c r="AS71" s="16" t="n">
        <v>10.99335</v>
      </c>
      <c r="AT71" s="16" t="n">
        <v>10.30123</v>
      </c>
      <c r="AU71" s="16" t="n">
        <v>10.26282</v>
      </c>
      <c r="AV71" s="16" t="n">
        <v>10.89583</v>
      </c>
      <c r="AW71" s="16" t="n">
        <v>12.42805</v>
      </c>
      <c r="AX71" s="16" t="n">
        <v>10.68824</v>
      </c>
      <c r="AY71" s="16" t="n">
        <v>9.99316</v>
      </c>
      <c r="AZ71" s="16" t="n">
        <v>8.91248</v>
      </c>
      <c r="BA71" s="16" t="n">
        <v>8.769590000000001</v>
      </c>
      <c r="BB71" s="16" t="n">
        <v>8.310639999999999</v>
      </c>
      <c r="BC71" s="16" t="n">
        <v>8.16738</v>
      </c>
      <c r="BD71" s="16" t="n">
        <v>8.16492</v>
      </c>
      <c r="BE71" s="16" t="n">
        <v>7.89499</v>
      </c>
      <c r="BF71" s="16" t="n">
        <v>7.61391</v>
      </c>
      <c r="BG71" s="16" t="n">
        <v>7.88748</v>
      </c>
      <c r="BH71" s="16" t="n">
        <v>9.208819999999999</v>
      </c>
      <c r="BI71" s="16" t="n">
        <v>8.34418</v>
      </c>
      <c r="BJ71" s="16" t="n">
        <v>8.17005</v>
      </c>
      <c r="BK71" s="16" t="n">
        <v>7.67114</v>
      </c>
      <c r="BL71" s="16" t="n">
        <v>8.03299</v>
      </c>
      <c r="BM71" s="16" t="n">
        <v>7.68826</v>
      </c>
      <c r="BN71" s="16" t="n">
        <v>7.909398</v>
      </c>
    </row>
    <row r="72">
      <c r="A72" s="10" t="inlineStr">
        <is>
          <t>Panama</t>
        </is>
      </c>
      <c r="B72" s="16" t="n">
        <v>6.252085</v>
      </c>
      <c r="C72" s="27" t="n">
        <v>9.544500000000067</v>
      </c>
      <c r="D72" s="27" t="n">
        <v>31.84350000000009</v>
      </c>
      <c r="E72" s="27" t="n">
        <v>18.51850000000006</v>
      </c>
      <c r="F72" s="26" t="n">
        <v>-20.72649999999989</v>
      </c>
      <c r="G72" s="16" t="n">
        <v>3.63139</v>
      </c>
      <c r="H72" s="16" t="n">
        <v>3.78533</v>
      </c>
      <c r="I72" s="16" t="n">
        <v>3.61744</v>
      </c>
      <c r="J72" s="16" t="n">
        <v>4.06498</v>
      </c>
      <c r="K72" s="16" t="n">
        <v>4.42787</v>
      </c>
      <c r="L72" s="16" t="n">
        <v>4.35859</v>
      </c>
      <c r="M72" s="16" t="n">
        <v>5.22601</v>
      </c>
      <c r="N72" s="16" t="n">
        <v>5.16088</v>
      </c>
      <c r="O72" s="16" t="n">
        <v>5.63865</v>
      </c>
      <c r="P72" s="16" t="n">
        <v>5.47482</v>
      </c>
      <c r="Q72" s="16" t="n">
        <v>5.76271</v>
      </c>
      <c r="R72" s="16" t="n">
        <v>6.7497</v>
      </c>
      <c r="S72" s="16" t="n">
        <v>6.93398</v>
      </c>
      <c r="T72" s="16" t="n">
        <v>6.01868</v>
      </c>
      <c r="U72" s="16" t="n">
        <v>6.13242</v>
      </c>
      <c r="V72" s="16" t="n">
        <v>5.87764</v>
      </c>
      <c r="W72" s="16" t="n">
        <v>6.17679</v>
      </c>
      <c r="X72" s="16" t="n">
        <v>6.07168</v>
      </c>
      <c r="Y72" s="16" t="n">
        <v>5.9403</v>
      </c>
      <c r="Z72" s="16" t="n">
        <v>6.09572</v>
      </c>
      <c r="AA72" s="16" t="n">
        <v>6.07341</v>
      </c>
      <c r="AB72" s="16" t="n">
        <v>6.01396</v>
      </c>
      <c r="AC72" s="16" t="n">
        <v>6.26375</v>
      </c>
      <c r="AD72" s="16" t="n">
        <v>6.91881</v>
      </c>
      <c r="AE72" s="16" t="n">
        <v>7.62625</v>
      </c>
      <c r="AF72" s="16" t="n">
        <v>7.31753</v>
      </c>
      <c r="AG72" s="16" t="n">
        <v>6.83074</v>
      </c>
      <c r="AH72" s="16" t="n">
        <v>7.19695</v>
      </c>
      <c r="AI72" s="16" t="n">
        <v>7.40373</v>
      </c>
      <c r="AJ72" s="16" t="n">
        <v>7.14625</v>
      </c>
      <c r="AK72" s="16" t="n">
        <v>7.50431</v>
      </c>
      <c r="AL72" s="16" t="n">
        <v>7.22514</v>
      </c>
      <c r="AM72" s="16" t="n">
        <v>7.10272</v>
      </c>
      <c r="AN72" s="16" t="n">
        <v>6.85404</v>
      </c>
      <c r="AO72" s="16" t="n">
        <v>6.6112</v>
      </c>
      <c r="AP72" s="16" t="n">
        <v>6.34498</v>
      </c>
      <c r="AQ72" s="16" t="n">
        <v>7.08103</v>
      </c>
      <c r="AR72" s="16" t="n">
        <v>7.02109</v>
      </c>
      <c r="AS72" s="16" t="n">
        <v>7.70357</v>
      </c>
      <c r="AT72" s="16" t="n">
        <v>7.54419</v>
      </c>
      <c r="AU72" s="16" t="n">
        <v>7.25966</v>
      </c>
      <c r="AV72" s="16" t="n">
        <v>7.4106</v>
      </c>
      <c r="AW72" s="16" t="n">
        <v>7.40199</v>
      </c>
      <c r="AX72" s="16" t="n">
        <v>7.4208</v>
      </c>
      <c r="AY72" s="16" t="n">
        <v>7.0295</v>
      </c>
      <c r="AZ72" s="16" t="n">
        <v>6.92342</v>
      </c>
      <c r="BA72" s="16" t="n">
        <v>6.60714</v>
      </c>
      <c r="BB72" s="16" t="n">
        <v>6.20523</v>
      </c>
      <c r="BC72" s="16" t="n">
        <v>5.96824</v>
      </c>
      <c r="BD72" s="16" t="n">
        <v>6.12858</v>
      </c>
      <c r="BE72" s="16" t="n">
        <v>6.04722</v>
      </c>
      <c r="BF72" s="16" t="n">
        <v>6.12069</v>
      </c>
      <c r="BG72" s="16" t="n">
        <v>5.79001</v>
      </c>
      <c r="BH72" s="16" t="n">
        <v>6.1992</v>
      </c>
      <c r="BI72" s="16" t="n">
        <v>5.81436</v>
      </c>
      <c r="BJ72" s="16" t="n">
        <v>5.85981</v>
      </c>
      <c r="BK72" s="16" t="n">
        <v>5.86277</v>
      </c>
      <c r="BL72" s="16" t="n">
        <v>6.22065</v>
      </c>
      <c r="BM72" s="16" t="n">
        <v>6.2037</v>
      </c>
      <c r="BN72" s="16" t="n">
        <v>6.252085</v>
      </c>
    </row>
    <row r="73">
      <c r="A73" s="10" t="inlineStr">
        <is>
          <t>Papua New Guinea</t>
        </is>
      </c>
      <c r="B73" s="16" t="n">
        <v>5.880803</v>
      </c>
      <c r="C73" s="15" t="n">
        <v>0</v>
      </c>
      <c r="D73" s="15" t="n">
        <v>0</v>
      </c>
      <c r="E73" s="15" t="n">
        <v>0</v>
      </c>
      <c r="F73" s="15" t="n">
        <v>0</v>
      </c>
      <c r="G73" s="16" t="inlineStr"/>
      <c r="H73" s="16" t="inlineStr"/>
      <c r="I73" s="16" t="inlineStr"/>
      <c r="J73" s="16" t="inlineStr"/>
      <c r="K73" s="16" t="inlineStr"/>
      <c r="L73" s="16" t="inlineStr"/>
      <c r="M73" s="16" t="inlineStr"/>
      <c r="N73" s="16" t="inlineStr"/>
      <c r="O73" s="16" t="inlineStr"/>
      <c r="P73" s="16" t="inlineStr"/>
      <c r="Q73" s="16" t="inlineStr"/>
      <c r="R73" s="16" t="inlineStr"/>
      <c r="S73" s="16" t="inlineStr"/>
      <c r="T73" s="16" t="inlineStr"/>
      <c r="U73" s="16" t="inlineStr"/>
      <c r="V73" s="16" t="inlineStr"/>
      <c r="W73" s="16" t="inlineStr"/>
      <c r="X73" s="16" t="inlineStr"/>
      <c r="Y73" s="16" t="inlineStr"/>
      <c r="Z73" s="16" t="inlineStr"/>
      <c r="AA73" s="16" t="inlineStr"/>
      <c r="AB73" s="16" t="inlineStr"/>
      <c r="AC73" s="16" t="inlineStr"/>
      <c r="AD73" s="16" t="inlineStr"/>
      <c r="AE73" s="16" t="inlineStr"/>
      <c r="AF73" s="16" t="inlineStr"/>
      <c r="AG73" s="16" t="inlineStr"/>
      <c r="AH73" s="16" t="inlineStr"/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  <c r="AT73" s="16" t="inlineStr"/>
      <c r="AU73" s="16" t="inlineStr"/>
      <c r="AV73" s="16" t="inlineStr"/>
      <c r="AW73" s="16" t="inlineStr"/>
      <c r="AX73" s="16" t="inlineStr"/>
      <c r="AY73" s="16" t="inlineStr"/>
      <c r="AZ73" s="16" t="inlineStr"/>
      <c r="BA73" s="16" t="inlineStr"/>
      <c r="BB73" s="16" t="inlineStr"/>
      <c r="BC73" s="16" t="inlineStr"/>
      <c r="BD73" s="16" t="inlineStr"/>
      <c r="BE73" s="16" t="inlineStr"/>
      <c r="BF73" s="16" t="inlineStr"/>
      <c r="BG73" s="16" t="inlineStr"/>
      <c r="BH73" s="16" t="inlineStr"/>
      <c r="BI73" s="16" t="inlineStr"/>
      <c r="BJ73" s="16" t="inlineStr"/>
      <c r="BK73" s="16" t="inlineStr"/>
      <c r="BL73" s="16" t="inlineStr"/>
      <c r="BM73" s="16" t="inlineStr"/>
      <c r="BN73" s="16" t="n">
        <v>5.880803</v>
      </c>
    </row>
    <row r="74">
      <c r="A74" s="10" t="inlineStr">
        <is>
          <t>Paraguay</t>
        </is>
      </c>
      <c r="B74" s="16" t="n">
        <v>6.21658</v>
      </c>
      <c r="C74" s="27" t="n">
        <v>16.58400000000002</v>
      </c>
      <c r="D74" s="27" t="n">
        <v>34.21200000000004</v>
      </c>
      <c r="E74" s="27" t="n">
        <v>67.23400000000001</v>
      </c>
      <c r="F74" s="27" t="n">
        <v>45.97600000000002</v>
      </c>
      <c r="G74" s="16" t="n">
        <v>4.1302</v>
      </c>
      <c r="H74" s="16" t="n">
        <v>4.30477</v>
      </c>
      <c r="I74" s="16" t="n">
        <v>4.02649</v>
      </c>
      <c r="J74" s="16" t="n">
        <v>4.40699</v>
      </c>
      <c r="K74" s="16" t="n">
        <v>5.04295</v>
      </c>
      <c r="L74" s="16" t="n">
        <v>4.86244</v>
      </c>
      <c r="M74" s="16" t="n">
        <v>5.81587</v>
      </c>
      <c r="N74" s="16" t="n">
        <v>6.00115</v>
      </c>
      <c r="O74" s="16" t="n">
        <v>6.78903</v>
      </c>
      <c r="P74" s="16" t="n">
        <v>5.79165</v>
      </c>
      <c r="Q74" s="16" t="n">
        <v>6.20754</v>
      </c>
      <c r="R74" s="16" t="n">
        <v>7.26895</v>
      </c>
      <c r="S74" s="16" t="n">
        <v>6.93166</v>
      </c>
      <c r="T74" s="16" t="n">
        <v>6.16944</v>
      </c>
      <c r="U74" s="16" t="n">
        <v>6.04557</v>
      </c>
      <c r="V74" s="16" t="n">
        <v>5.88082</v>
      </c>
      <c r="W74" s="16" t="n">
        <v>6.35056</v>
      </c>
      <c r="X74" s="16" t="n">
        <v>6.07093</v>
      </c>
      <c r="Y74" s="16" t="n">
        <v>6.13044</v>
      </c>
      <c r="Z74" s="16" t="n">
        <v>6.30616</v>
      </c>
      <c r="AA74" s="16" t="n">
        <v>6.17399</v>
      </c>
      <c r="AB74" s="16" t="n">
        <v>6.14964</v>
      </c>
      <c r="AC74" s="16" t="n">
        <v>6.40786</v>
      </c>
      <c r="AD74" s="16" t="n">
        <v>6.88147</v>
      </c>
      <c r="AE74" s="16" t="n">
        <v>7.26103</v>
      </c>
      <c r="AF74" s="16" t="n">
        <v>6.54003</v>
      </c>
      <c r="AG74" s="16" t="n">
        <v>5.91166</v>
      </c>
      <c r="AH74" s="16" t="n">
        <v>6.16973</v>
      </c>
      <c r="AI74" s="16" t="n">
        <v>6.20883</v>
      </c>
      <c r="AJ74" s="16" t="n">
        <v>6.04454</v>
      </c>
      <c r="AK74" s="16" t="n">
        <v>6.49992</v>
      </c>
      <c r="AL74" s="16" t="n">
        <v>6.2752</v>
      </c>
      <c r="AM74" s="16" t="n">
        <v>6.22081</v>
      </c>
      <c r="AN74" s="16" t="n">
        <v>5.92268</v>
      </c>
      <c r="AO74" s="16" t="n">
        <v>5.69567</v>
      </c>
      <c r="AP74" s="16" t="n">
        <v>5.55141</v>
      </c>
      <c r="AQ74" s="16" t="n">
        <v>5.95734</v>
      </c>
      <c r="AR74" s="16" t="n">
        <v>5.91607</v>
      </c>
      <c r="AS74" s="16" t="n">
        <v>6.3085</v>
      </c>
      <c r="AT74" s="16" t="n">
        <v>6.29697</v>
      </c>
      <c r="AU74" s="16" t="n">
        <v>6.04032</v>
      </c>
      <c r="AV74" s="16" t="n">
        <v>6.27454</v>
      </c>
      <c r="AW74" s="16" t="n">
        <v>6.26414</v>
      </c>
      <c r="AX74" s="16" t="n">
        <v>6.35276</v>
      </c>
      <c r="AY74" s="16" t="n">
        <v>6.143</v>
      </c>
      <c r="AZ74" s="16" t="n">
        <v>6.06904</v>
      </c>
      <c r="BA74" s="16" t="n">
        <v>5.91825</v>
      </c>
      <c r="BB74" s="16" t="n">
        <v>5.64003</v>
      </c>
      <c r="BC74" s="16" t="n">
        <v>5.5631</v>
      </c>
      <c r="BD74" s="16" t="n">
        <v>5.63443</v>
      </c>
      <c r="BE74" s="16" t="n">
        <v>5.52066</v>
      </c>
      <c r="BF74" s="16" t="n">
        <v>5.6561</v>
      </c>
      <c r="BG74" s="16" t="n">
        <v>5.47698</v>
      </c>
      <c r="BH74" s="16" t="n">
        <v>5.97071</v>
      </c>
      <c r="BI74" s="16" t="n">
        <v>5.81851</v>
      </c>
      <c r="BJ74" s="16" t="n">
        <v>5.80379</v>
      </c>
      <c r="BK74" s="16" t="n">
        <v>5.74272</v>
      </c>
      <c r="BL74" s="16" t="n">
        <v>6.10561</v>
      </c>
      <c r="BM74" s="16" t="n">
        <v>6.12953</v>
      </c>
      <c r="BN74" s="16" t="n">
        <v>6.21658</v>
      </c>
    </row>
    <row r="75">
      <c r="A75" s="10" t="inlineStr">
        <is>
          <t>Peru</t>
        </is>
      </c>
      <c r="B75" s="16" t="n">
        <v>6.115677</v>
      </c>
      <c r="C75" s="27" t="n">
        <v>9.178700000000006</v>
      </c>
      <c r="D75" s="27" t="n">
        <v>23.82070000000001</v>
      </c>
      <c r="E75" s="27" t="n">
        <v>27.13770000000002</v>
      </c>
      <c r="F75" s="27" t="n">
        <v>42.25870000000003</v>
      </c>
      <c r="G75" s="16" t="n">
        <v>3.50831</v>
      </c>
      <c r="H75" s="16" t="n">
        <v>3.57371</v>
      </c>
      <c r="I75" s="16" t="n">
        <v>3.43153</v>
      </c>
      <c r="J75" s="16" t="n">
        <v>3.82664</v>
      </c>
      <c r="K75" s="16" t="n">
        <v>4.15954</v>
      </c>
      <c r="L75" s="16" t="n">
        <v>4.14373</v>
      </c>
      <c r="M75" s="16" t="n">
        <v>5.17825</v>
      </c>
      <c r="N75" s="16" t="n">
        <v>4.96029</v>
      </c>
      <c r="O75" s="16" t="n">
        <v>5.51283</v>
      </c>
      <c r="P75" s="16" t="n">
        <v>5.09878</v>
      </c>
      <c r="Q75" s="16" t="n">
        <v>5.49532</v>
      </c>
      <c r="R75" s="16" t="n">
        <v>6.35493</v>
      </c>
      <c r="S75" s="16" t="n">
        <v>6.46347</v>
      </c>
      <c r="T75" s="16" t="n">
        <v>5.70194</v>
      </c>
      <c r="U75" s="16" t="n">
        <v>5.92489</v>
      </c>
      <c r="V75" s="16" t="n">
        <v>5.69819</v>
      </c>
      <c r="W75" s="16" t="n">
        <v>5.92293</v>
      </c>
      <c r="X75" s="16" t="n">
        <v>5.7229</v>
      </c>
      <c r="Y75" s="16" t="n">
        <v>5.55507</v>
      </c>
      <c r="Z75" s="16" t="n">
        <v>5.81846</v>
      </c>
      <c r="AA75" s="16" t="n">
        <v>5.65446</v>
      </c>
      <c r="AB75" s="16" t="n">
        <v>5.69877</v>
      </c>
      <c r="AC75" s="16" t="n">
        <v>5.8658</v>
      </c>
      <c r="AD75" s="16" t="n">
        <v>6.45199</v>
      </c>
      <c r="AE75" s="16" t="n">
        <v>6.80512</v>
      </c>
      <c r="AF75" s="16" t="n">
        <v>6.08598</v>
      </c>
      <c r="AG75" s="16" t="n">
        <v>5.60979</v>
      </c>
      <c r="AH75" s="16" t="n">
        <v>5.77179</v>
      </c>
      <c r="AI75" s="16" t="n">
        <v>5.89931</v>
      </c>
      <c r="AJ75" s="16" t="n">
        <v>5.84545</v>
      </c>
      <c r="AK75" s="16" t="n">
        <v>6.38227</v>
      </c>
      <c r="AL75" s="16" t="n">
        <v>6.2028</v>
      </c>
      <c r="AM75" s="16" t="n">
        <v>6.04112</v>
      </c>
      <c r="AN75" s="16" t="n">
        <v>5.87344</v>
      </c>
      <c r="AO75" s="16" t="n">
        <v>5.65178</v>
      </c>
      <c r="AP75" s="16" t="n">
        <v>5.5156</v>
      </c>
      <c r="AQ75" s="16" t="n">
        <v>5.96218</v>
      </c>
      <c r="AR75" s="16" t="n">
        <v>5.88095</v>
      </c>
      <c r="AS75" s="16" t="n">
        <v>6.26861</v>
      </c>
      <c r="AT75" s="16" t="n">
        <v>6.25922</v>
      </c>
      <c r="AU75" s="16" t="n">
        <v>6.0079</v>
      </c>
      <c r="AV75" s="16" t="n">
        <v>6.10427</v>
      </c>
      <c r="AW75" s="16" t="n">
        <v>6.1627</v>
      </c>
      <c r="AX75" s="16" t="n">
        <v>6.22893</v>
      </c>
      <c r="AY75" s="16" t="n">
        <v>6.04385</v>
      </c>
      <c r="AZ75" s="16" t="n">
        <v>6.05198</v>
      </c>
      <c r="BA75" s="16" t="n">
        <v>5.90479</v>
      </c>
      <c r="BB75" s="16" t="n">
        <v>5.65991</v>
      </c>
      <c r="BC75" s="16" t="n">
        <v>5.61289</v>
      </c>
      <c r="BD75" s="16" t="n">
        <v>5.65113</v>
      </c>
      <c r="BE75" s="16" t="n">
        <v>5.85891</v>
      </c>
      <c r="BF75" s="16" t="n">
        <v>5.86672</v>
      </c>
      <c r="BG75" s="16" t="n">
        <v>5.73515</v>
      </c>
      <c r="BH75" s="16" t="n">
        <v>6.03808</v>
      </c>
      <c r="BI75" s="16" t="n">
        <v>5.9103</v>
      </c>
      <c r="BJ75" s="16" t="n">
        <v>5.86687</v>
      </c>
      <c r="BK75" s="16" t="n">
        <v>5.83065</v>
      </c>
      <c r="BL75" s="16" t="n">
        <v>6.14933</v>
      </c>
      <c r="BM75" s="16" t="n">
        <v>6.09874</v>
      </c>
      <c r="BN75" s="16" t="n">
        <v>6.115677</v>
      </c>
    </row>
    <row r="76">
      <c r="A76" s="10" t="inlineStr">
        <is>
          <t>Philippines</t>
        </is>
      </c>
      <c r="B76" s="16" t="n">
        <v>5.750072</v>
      </c>
      <c r="C76" s="27" t="n">
        <v>10.23319999999996</v>
      </c>
      <c r="D76" s="27" t="n">
        <v>27.10619999999997</v>
      </c>
      <c r="E76" s="27" t="n">
        <v>74.27519999999996</v>
      </c>
      <c r="F76" s="27" t="n">
        <v>82.80519999999996</v>
      </c>
      <c r="G76" s="16" t="n">
        <v>2.71436</v>
      </c>
      <c r="H76" s="16" t="n">
        <v>2.75666</v>
      </c>
      <c r="I76" s="16" t="n">
        <v>2.62177</v>
      </c>
      <c r="J76" s="16" t="n">
        <v>3.06349</v>
      </c>
      <c r="K76" s="16" t="n">
        <v>3.55303</v>
      </c>
      <c r="L76" s="16" t="n">
        <v>3.5291</v>
      </c>
      <c r="M76" s="16" t="n">
        <v>4.38429</v>
      </c>
      <c r="N76" s="16" t="n">
        <v>4.25519</v>
      </c>
      <c r="O76" s="16" t="n">
        <v>4.75028</v>
      </c>
      <c r="P76" s="16" t="n">
        <v>4.19325</v>
      </c>
      <c r="Q76" s="16" t="n">
        <v>4.47864</v>
      </c>
      <c r="R76" s="16" t="n">
        <v>5.44471</v>
      </c>
      <c r="S76" s="16" t="n">
        <v>5.71416</v>
      </c>
      <c r="T76" s="16" t="n">
        <v>5.02927</v>
      </c>
      <c r="U76" s="16" t="n">
        <v>4.89829</v>
      </c>
      <c r="V76" s="16" t="n">
        <v>4.78726</v>
      </c>
      <c r="W76" s="16" t="n">
        <v>5.13839</v>
      </c>
      <c r="X76" s="16" t="n">
        <v>4.86362</v>
      </c>
      <c r="Y76" s="16" t="n">
        <v>4.7542</v>
      </c>
      <c r="Z76" s="16" t="n">
        <v>4.90335</v>
      </c>
      <c r="AA76" s="16" t="n">
        <v>4.97637</v>
      </c>
      <c r="AB76" s="16" t="n">
        <v>4.95767</v>
      </c>
      <c r="AC76" s="16" t="n">
        <v>5.19996</v>
      </c>
      <c r="AD76" s="16" t="n">
        <v>5.7052</v>
      </c>
      <c r="AE76" s="16" t="n">
        <v>5.98056</v>
      </c>
      <c r="AF76" s="16" t="n">
        <v>5.26707</v>
      </c>
      <c r="AG76" s="16" t="n">
        <v>4.72562</v>
      </c>
      <c r="AH76" s="16" t="n">
        <v>5.01878</v>
      </c>
      <c r="AI76" s="16" t="n">
        <v>5.17252</v>
      </c>
      <c r="AJ76" s="16" t="n">
        <v>5.10281</v>
      </c>
      <c r="AK76" s="16" t="n">
        <v>5.54417</v>
      </c>
      <c r="AL76" s="16" t="n">
        <v>5.39874</v>
      </c>
      <c r="AM76" s="16" t="n">
        <v>5.25887</v>
      </c>
      <c r="AN76" s="16" t="n">
        <v>5.05489</v>
      </c>
      <c r="AO76" s="16" t="n">
        <v>4.85603</v>
      </c>
      <c r="AP76" s="16" t="n">
        <v>4.69159</v>
      </c>
      <c r="AQ76" s="16" t="n">
        <v>5.10557</v>
      </c>
      <c r="AR76" s="16" t="n">
        <v>5.12039</v>
      </c>
      <c r="AS76" s="16" t="n">
        <v>5.42232</v>
      </c>
      <c r="AT76" s="16" t="n">
        <v>5.46442</v>
      </c>
      <c r="AU76" s="16" t="n">
        <v>5.27906</v>
      </c>
      <c r="AV76" s="16" t="n">
        <v>5.28674</v>
      </c>
      <c r="AW76" s="16" t="n">
        <v>5.26281</v>
      </c>
      <c r="AX76" s="16" t="n">
        <v>5.34107</v>
      </c>
      <c r="AY76" s="16" t="n">
        <v>5.19147</v>
      </c>
      <c r="AZ76" s="16" t="n">
        <v>5.10415</v>
      </c>
      <c r="BA76" s="16" t="n">
        <v>5.0393</v>
      </c>
      <c r="BB76" s="16" t="n">
        <v>4.88814</v>
      </c>
      <c r="BC76" s="16" t="n">
        <v>4.87747</v>
      </c>
      <c r="BD76" s="16" t="n">
        <v>4.93082</v>
      </c>
      <c r="BE76" s="16" t="n">
        <v>4.99258</v>
      </c>
      <c r="BF76" s="16" t="n">
        <v>5.12206</v>
      </c>
      <c r="BG76" s="16" t="n">
        <v>4.9571</v>
      </c>
      <c r="BH76" s="16" t="n">
        <v>5.42112</v>
      </c>
      <c r="BI76" s="16" t="n">
        <v>5.33623</v>
      </c>
      <c r="BJ76" s="16" t="n">
        <v>5.38077</v>
      </c>
      <c r="BK76" s="16" t="n">
        <v>5.3352</v>
      </c>
      <c r="BL76" s="16" t="n">
        <v>5.71159</v>
      </c>
      <c r="BM76" s="16" t="n">
        <v>5.69474</v>
      </c>
      <c r="BN76" s="16" t="n">
        <v>5.750072</v>
      </c>
    </row>
    <row r="77">
      <c r="A77" s="10" t="inlineStr">
        <is>
          <t>Poland</t>
        </is>
      </c>
      <c r="B77" s="16" t="n">
        <v>5.875486</v>
      </c>
      <c r="C77" s="27" t="n">
        <v>17.97560000000002</v>
      </c>
      <c r="D77" s="27" t="n">
        <v>28.89060000000008</v>
      </c>
      <c r="E77" s="27" t="n">
        <v>66.19759999999999</v>
      </c>
      <c r="F77" s="27" t="n">
        <v>66.58160000000002</v>
      </c>
      <c r="G77" s="16" t="n">
        <v>1.14668</v>
      </c>
      <c r="H77" s="16" t="n">
        <v>1.32938</v>
      </c>
      <c r="I77" s="16" t="n">
        <v>1.15043</v>
      </c>
      <c r="J77" s="16" t="n">
        <v>1.36734</v>
      </c>
      <c r="K77" s="16" t="n">
        <v>2.12016</v>
      </c>
      <c r="L77" s="16" t="n">
        <v>2.42816</v>
      </c>
      <c r="M77" s="16" t="n">
        <v>2.75243</v>
      </c>
      <c r="N77" s="16" t="n">
        <v>2.6649</v>
      </c>
      <c r="O77" s="16" t="n">
        <v>3.86672</v>
      </c>
      <c r="P77" s="16" t="n">
        <v>2.99731</v>
      </c>
      <c r="Q77" s="16" t="n">
        <v>3.68391</v>
      </c>
      <c r="R77" s="16" t="n">
        <v>4.88992</v>
      </c>
      <c r="S77" s="16" t="n">
        <v>5.04515</v>
      </c>
      <c r="T77" s="16" t="n">
        <v>4.79293</v>
      </c>
      <c r="U77" s="16" t="n">
        <v>4.79695</v>
      </c>
      <c r="V77" s="16" t="n">
        <v>4.55322</v>
      </c>
      <c r="W77" s="16" t="n">
        <v>4.97758</v>
      </c>
      <c r="X77" s="16" t="n">
        <v>4.49762</v>
      </c>
      <c r="Y77" s="16" t="n">
        <v>4.8385</v>
      </c>
      <c r="Z77" s="16" t="n">
        <v>5.10012</v>
      </c>
      <c r="AA77" s="16" t="n">
        <v>5.21155</v>
      </c>
      <c r="AB77" s="16" t="n">
        <v>5.15013</v>
      </c>
      <c r="AC77" s="16" t="n">
        <v>5.389</v>
      </c>
      <c r="AD77" s="16" t="n">
        <v>5.89464</v>
      </c>
      <c r="AE77" s="16" t="n">
        <v>6.01702</v>
      </c>
      <c r="AF77" s="16" t="n">
        <v>5.42131</v>
      </c>
      <c r="AG77" s="16" t="n">
        <v>4.89</v>
      </c>
      <c r="AH77" s="16" t="n">
        <v>5.06926</v>
      </c>
      <c r="AI77" s="16" t="n">
        <v>5.23287</v>
      </c>
      <c r="AJ77" s="16" t="n">
        <v>5.27761</v>
      </c>
      <c r="AK77" s="16" t="n">
        <v>5.66912</v>
      </c>
      <c r="AL77" s="16" t="n">
        <v>5.5308</v>
      </c>
      <c r="AM77" s="16" t="n">
        <v>5.42049</v>
      </c>
      <c r="AN77" s="16" t="n">
        <v>5.35046</v>
      </c>
      <c r="AO77" s="16" t="n">
        <v>5.08434</v>
      </c>
      <c r="AP77" s="16" t="n">
        <v>5.06279</v>
      </c>
      <c r="AQ77" s="16" t="n">
        <v>5.48571</v>
      </c>
      <c r="AR77" s="16" t="n">
        <v>5.48032</v>
      </c>
      <c r="AS77" s="16" t="n">
        <v>5.80465</v>
      </c>
      <c r="AT77" s="16" t="n">
        <v>5.73602</v>
      </c>
      <c r="AU77" s="16" t="n">
        <v>5.45414</v>
      </c>
      <c r="AV77" s="16" t="n">
        <v>5.52089</v>
      </c>
      <c r="AW77" s="16" t="n">
        <v>5.47478</v>
      </c>
      <c r="AX77" s="16" t="n">
        <v>5.65287</v>
      </c>
      <c r="AY77" s="16" t="n">
        <v>5.46547</v>
      </c>
      <c r="AZ77" s="16" t="n">
        <v>5.42463</v>
      </c>
      <c r="BA77" s="16" t="n">
        <v>5.35431</v>
      </c>
      <c r="BB77" s="16" t="n">
        <v>5.18826</v>
      </c>
      <c r="BC77" s="16" t="n">
        <v>5.10427</v>
      </c>
      <c r="BD77" s="16" t="n">
        <v>5.1246</v>
      </c>
      <c r="BE77" s="16" t="n">
        <v>5.22017</v>
      </c>
      <c r="BF77" s="16" t="n">
        <v>5.29519</v>
      </c>
      <c r="BG77" s="16" t="n">
        <v>5.05545</v>
      </c>
      <c r="BH77" s="16" t="n">
        <v>5.50191</v>
      </c>
      <c r="BI77" s="16" t="n">
        <v>5.48756</v>
      </c>
      <c r="BJ77" s="16" t="n">
        <v>5.53211</v>
      </c>
      <c r="BK77" s="16" t="n">
        <v>5.44114</v>
      </c>
      <c r="BL77" s="16" t="n">
        <v>5.80143</v>
      </c>
      <c r="BM77" s="16" t="n">
        <v>5.818</v>
      </c>
      <c r="BN77" s="16" t="n">
        <v>5.875486</v>
      </c>
    </row>
    <row r="78">
      <c r="A78" s="10" t="inlineStr">
        <is>
          <t>Republic of Congo</t>
        </is>
      </c>
      <c r="B78" s="16" t="n">
        <v>9.808064</v>
      </c>
      <c r="C78" s="26" t="n">
        <v>-9.2136</v>
      </c>
      <c r="D78" s="27" t="n">
        <v>35.86340000000002</v>
      </c>
      <c r="E78" s="26" t="n">
        <v>-179.4435999999999</v>
      </c>
      <c r="F78" s="26" t="n">
        <v>-179.4435999999999</v>
      </c>
      <c r="G78" s="16" t="inlineStr"/>
      <c r="H78" s="16" t="inlineStr"/>
      <c r="I78" s="16" t="inlineStr"/>
      <c r="J78" s="16" t="inlineStr"/>
      <c r="K78" s="16" t="inlineStr"/>
      <c r="L78" s="16" t="inlineStr"/>
      <c r="M78" s="16" t="inlineStr"/>
      <c r="N78" s="16" t="inlineStr"/>
      <c r="O78" s="16" t="inlineStr"/>
      <c r="P78" s="16" t="inlineStr"/>
      <c r="Q78" s="16" t="inlineStr"/>
      <c r="R78" s="16" t="inlineStr"/>
      <c r="S78" s="16" t="inlineStr"/>
      <c r="T78" s="16" t="inlineStr"/>
      <c r="U78" s="16" t="inlineStr"/>
      <c r="V78" s="16" t="inlineStr"/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/>
      <c r="AD78" s="16" t="inlineStr"/>
      <c r="AE78" s="16" t="inlineStr"/>
      <c r="AF78" s="16" t="inlineStr"/>
      <c r="AG78" s="16" t="inlineStr"/>
      <c r="AH78" s="16" t="inlineStr"/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  <c r="AT78" s="16" t="inlineStr"/>
      <c r="AU78" s="16" t="inlineStr"/>
      <c r="AV78" s="16" t="inlineStr"/>
      <c r="AW78" s="16" t="inlineStr"/>
      <c r="AX78" s="16" t="inlineStr"/>
      <c r="AY78" s="16" t="inlineStr"/>
      <c r="AZ78" s="16" t="inlineStr"/>
      <c r="BA78" s="16" t="inlineStr"/>
      <c r="BB78" s="16" t="inlineStr"/>
      <c r="BC78" s="16" t="inlineStr"/>
      <c r="BD78" s="16" t="inlineStr"/>
      <c r="BE78" s="16" t="inlineStr"/>
      <c r="BF78" s="16" t="inlineStr"/>
      <c r="BG78" s="16" t="inlineStr"/>
      <c r="BH78" s="16" t="n">
        <v>11.55529</v>
      </c>
      <c r="BI78" s="16" t="n">
        <v>10.07759</v>
      </c>
      <c r="BJ78" s="16" t="n">
        <v>9.18516</v>
      </c>
      <c r="BK78" s="16" t="n">
        <v>9.828799999999999</v>
      </c>
      <c r="BL78" s="16" t="n">
        <v>10.19864</v>
      </c>
      <c r="BM78" s="16" t="n">
        <v>9.757429999999999</v>
      </c>
      <c r="BN78" s="16" t="n">
        <v>9.808064</v>
      </c>
    </row>
    <row r="79">
      <c r="A79" s="10" t="inlineStr">
        <is>
          <t>Romania</t>
        </is>
      </c>
      <c r="B79" s="16" t="n">
        <v>6.594697</v>
      </c>
      <c r="C79" s="27" t="n">
        <v>21.87570000000001</v>
      </c>
      <c r="D79" s="27" t="n">
        <v>29.4397</v>
      </c>
      <c r="E79" s="27" t="n">
        <v>68.24070000000002</v>
      </c>
      <c r="F79" s="27" t="n">
        <v>34.01070000000007</v>
      </c>
      <c r="G79" s="16" t="n">
        <v>3.68354</v>
      </c>
      <c r="H79" s="16" t="n">
        <v>3.86468</v>
      </c>
      <c r="I79" s="16" t="n">
        <v>3.69267</v>
      </c>
      <c r="J79" s="16" t="n">
        <v>3.98702</v>
      </c>
      <c r="K79" s="16" t="n">
        <v>4.56019</v>
      </c>
      <c r="L79" s="16" t="n">
        <v>4.49504</v>
      </c>
      <c r="M79" s="16" t="n">
        <v>5.4212</v>
      </c>
      <c r="N79" s="16" t="n">
        <v>5.48673</v>
      </c>
      <c r="O79" s="16" t="n">
        <v>6.61555</v>
      </c>
      <c r="P79" s="16" t="n">
        <v>6.02746</v>
      </c>
      <c r="Q79" s="16" t="n">
        <v>6.18495</v>
      </c>
      <c r="R79" s="16" t="n">
        <v>7.66429</v>
      </c>
      <c r="S79" s="16" t="n">
        <v>7.45635</v>
      </c>
      <c r="T79" s="16" t="n">
        <v>6.40683</v>
      </c>
      <c r="U79" s="16" t="n">
        <v>6.49925</v>
      </c>
      <c r="V79" s="16" t="n">
        <v>6.17744</v>
      </c>
      <c r="W79" s="16" t="n">
        <v>6.35331</v>
      </c>
      <c r="X79" s="16" t="n">
        <v>6.23914</v>
      </c>
      <c r="Y79" s="16" t="n">
        <v>6.17454</v>
      </c>
      <c r="Z79" s="16" t="n">
        <v>6.35477</v>
      </c>
      <c r="AA79" s="16" t="n">
        <v>6.17357</v>
      </c>
      <c r="AB79" s="16" t="n">
        <v>6.02215</v>
      </c>
      <c r="AC79" s="16" t="n">
        <v>6.33287</v>
      </c>
      <c r="AD79" s="16" t="n">
        <v>6.7825</v>
      </c>
      <c r="AE79" s="16" t="n">
        <v>7.11638</v>
      </c>
      <c r="AF79" s="16" t="n">
        <v>6.57301</v>
      </c>
      <c r="AG79" s="16" t="n">
        <v>6.00324</v>
      </c>
      <c r="AH79" s="16" t="n">
        <v>6.01438</v>
      </c>
      <c r="AI79" s="16" t="n">
        <v>6.28542</v>
      </c>
      <c r="AJ79" s="16" t="n">
        <v>6.09342</v>
      </c>
      <c r="AK79" s="16" t="n">
        <v>6.54181</v>
      </c>
      <c r="AL79" s="16" t="n">
        <v>6.32262</v>
      </c>
      <c r="AM79" s="16" t="n">
        <v>6.30634</v>
      </c>
      <c r="AN79" s="16" t="n">
        <v>6.09737</v>
      </c>
      <c r="AO79" s="16" t="n">
        <v>5.94609</v>
      </c>
      <c r="AP79" s="16" t="n">
        <v>5.80605</v>
      </c>
      <c r="AQ79" s="16" t="n">
        <v>6.33216</v>
      </c>
      <c r="AR79" s="16" t="n">
        <v>6.59546</v>
      </c>
      <c r="AS79" s="16" t="n">
        <v>6.96273</v>
      </c>
      <c r="AT79" s="16" t="n">
        <v>6.96103</v>
      </c>
      <c r="AU79" s="16" t="n">
        <v>6.76881</v>
      </c>
      <c r="AV79" s="16" t="n">
        <v>6.92272</v>
      </c>
      <c r="AW79" s="16" t="n">
        <v>7.15825</v>
      </c>
      <c r="AX79" s="16" t="n">
        <v>7.07199</v>
      </c>
      <c r="AY79" s="16" t="n">
        <v>6.69215</v>
      </c>
      <c r="AZ79" s="16" t="n">
        <v>6.39248</v>
      </c>
      <c r="BA79" s="16" t="n">
        <v>6.37049</v>
      </c>
      <c r="BB79" s="16" t="n">
        <v>6.19187</v>
      </c>
      <c r="BC79" s="16" t="n">
        <v>5.99422</v>
      </c>
      <c r="BD79" s="16" t="n">
        <v>5.97606</v>
      </c>
      <c r="BE79" s="16" t="n">
        <v>5.90189</v>
      </c>
      <c r="BF79" s="16" t="n">
        <v>5.85147</v>
      </c>
      <c r="BG79" s="16" t="n">
        <v>5.61956</v>
      </c>
      <c r="BH79" s="16" t="n">
        <v>6.54244</v>
      </c>
      <c r="BI79" s="16" t="n">
        <v>6.32544</v>
      </c>
      <c r="BJ79" s="16" t="n">
        <v>6.2059</v>
      </c>
      <c r="BK79" s="16" t="n">
        <v>6.21904</v>
      </c>
      <c r="BL79" s="16" t="n">
        <v>6.48006</v>
      </c>
      <c r="BM79" s="16" t="n">
        <v>6.50604</v>
      </c>
      <c r="BN79" s="16" t="n">
        <v>6.594697</v>
      </c>
    </row>
    <row r="80">
      <c r="A80" s="10" t="inlineStr">
        <is>
          <t>Rwanda</t>
        </is>
      </c>
      <c r="B80" s="16" t="n">
        <v>6.388684</v>
      </c>
      <c r="C80" s="15" t="n">
        <v>0</v>
      </c>
      <c r="D80" s="15" t="n">
        <v>0</v>
      </c>
      <c r="E80" s="15" t="n">
        <v>0</v>
      </c>
      <c r="F80" s="15" t="n">
        <v>0</v>
      </c>
      <c r="G80" s="16" t="inlineStr"/>
      <c r="H80" s="16" t="inlineStr"/>
      <c r="I80" s="16" t="inlineStr"/>
      <c r="J80" s="16" t="inlineStr"/>
      <c r="K80" s="16" t="inlineStr"/>
      <c r="L80" s="16" t="inlineStr"/>
      <c r="M80" s="16" t="inlineStr"/>
      <c r="N80" s="16" t="inlineStr"/>
      <c r="O80" s="16" t="inlineStr"/>
      <c r="P80" s="16" t="inlineStr"/>
      <c r="Q80" s="16" t="inlineStr"/>
      <c r="R80" s="16" t="inlineStr"/>
      <c r="S80" s="16" t="inlineStr"/>
      <c r="T80" s="16" t="inlineStr"/>
      <c r="U80" s="16" t="inlineStr"/>
      <c r="V80" s="16" t="inlineStr"/>
      <c r="W80" s="16" t="inlineStr"/>
      <c r="X80" s="16" t="inlineStr"/>
      <c r="Y80" s="16" t="inlineStr"/>
      <c r="Z80" s="16" t="inlineStr"/>
      <c r="AA80" s="16" t="inlineStr"/>
      <c r="AB80" s="16" t="inlineStr"/>
      <c r="AC80" s="16" t="inlineStr"/>
      <c r="AD80" s="16" t="inlineStr"/>
      <c r="AE80" s="16" t="inlineStr"/>
      <c r="AF80" s="16" t="inlineStr"/>
      <c r="AG80" s="16" t="inlineStr"/>
      <c r="AH80" s="16" t="inlineStr"/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  <c r="AT80" s="16" t="inlineStr"/>
      <c r="AU80" s="16" t="inlineStr"/>
      <c r="AV80" s="16" t="inlineStr"/>
      <c r="AW80" s="16" t="inlineStr"/>
      <c r="AX80" s="16" t="inlineStr"/>
      <c r="AY80" s="16" t="inlineStr"/>
      <c r="AZ80" s="16" t="inlineStr"/>
      <c r="BA80" s="16" t="inlineStr"/>
      <c r="BB80" s="16" t="inlineStr"/>
      <c r="BC80" s="16" t="inlineStr"/>
      <c r="BD80" s="16" t="inlineStr"/>
      <c r="BE80" s="16" t="inlineStr"/>
      <c r="BF80" s="16" t="inlineStr"/>
      <c r="BG80" s="16" t="inlineStr"/>
      <c r="BH80" s="16" t="inlineStr"/>
      <c r="BI80" s="16" t="inlineStr"/>
      <c r="BJ80" s="16" t="inlineStr"/>
      <c r="BK80" s="16" t="inlineStr"/>
      <c r="BL80" s="16" t="inlineStr"/>
      <c r="BM80" s="16" t="inlineStr"/>
      <c r="BN80" s="16" t="n">
        <v>6.388684</v>
      </c>
    </row>
    <row r="81">
      <c r="A81" s="10" t="inlineStr">
        <is>
          <t>Saudi Arabia</t>
        </is>
      </c>
      <c r="B81" s="16" t="n">
        <v>5.853028</v>
      </c>
      <c r="C81" s="27" t="n">
        <v>9.869799999999973</v>
      </c>
      <c r="D81" s="27" t="n">
        <v>29.82879999999994</v>
      </c>
      <c r="E81" s="27" t="n">
        <v>68.56579999999994</v>
      </c>
      <c r="F81" s="27" t="n">
        <v>69.0778</v>
      </c>
      <c r="G81" s="16" t="n">
        <v>3.06401</v>
      </c>
      <c r="H81" s="16" t="n">
        <v>3.03773</v>
      </c>
      <c r="I81" s="16" t="n">
        <v>2.99139</v>
      </c>
      <c r="J81" s="16" t="n">
        <v>3.27994</v>
      </c>
      <c r="K81" s="16" t="n">
        <v>3.47345</v>
      </c>
      <c r="L81" s="16" t="n">
        <v>3.69791</v>
      </c>
      <c r="M81" s="16" t="n">
        <v>4.25012</v>
      </c>
      <c r="N81" s="16" t="n">
        <v>4.20692</v>
      </c>
      <c r="O81" s="16" t="n">
        <v>4.64889</v>
      </c>
      <c r="P81" s="16" t="n">
        <v>4.22028</v>
      </c>
      <c r="Q81" s="16" t="n">
        <v>4.4917</v>
      </c>
      <c r="R81" s="16" t="n">
        <v>5.23832</v>
      </c>
      <c r="S81" s="16" t="n">
        <v>5.61922</v>
      </c>
      <c r="T81" s="16" t="n">
        <v>5.02136</v>
      </c>
      <c r="U81" s="16" t="n">
        <v>4.96313</v>
      </c>
      <c r="V81" s="16" t="n">
        <v>4.86293</v>
      </c>
      <c r="W81" s="16" t="n">
        <v>5.20664</v>
      </c>
      <c r="X81" s="16" t="n">
        <v>5.02359</v>
      </c>
      <c r="Y81" s="16" t="n">
        <v>4.87488</v>
      </c>
      <c r="Z81" s="16" t="n">
        <v>5.08958</v>
      </c>
      <c r="AA81" s="16" t="n">
        <v>5.17224</v>
      </c>
      <c r="AB81" s="16" t="n">
        <v>5.19047</v>
      </c>
      <c r="AC81" s="16" t="n">
        <v>5.40436</v>
      </c>
      <c r="AD81" s="16" t="n">
        <v>5.81755</v>
      </c>
      <c r="AE81" s="16" t="n">
        <v>6.1526</v>
      </c>
      <c r="AF81" s="16" t="n">
        <v>5.56098</v>
      </c>
      <c r="AG81" s="16" t="n">
        <v>4.99558</v>
      </c>
      <c r="AH81" s="16" t="n">
        <v>5.33985</v>
      </c>
      <c r="AI81" s="16" t="n">
        <v>5.47219</v>
      </c>
      <c r="AJ81" s="16" t="n">
        <v>5.34594</v>
      </c>
      <c r="AK81" s="16" t="n">
        <v>5.76965</v>
      </c>
      <c r="AL81" s="16" t="n">
        <v>5.56958</v>
      </c>
      <c r="AM81" s="16" t="n">
        <v>5.48212</v>
      </c>
      <c r="AN81" s="16" t="n">
        <v>5.35541</v>
      </c>
      <c r="AO81" s="16" t="n">
        <v>5.05291</v>
      </c>
      <c r="AP81" s="16" t="n">
        <v>5.03495</v>
      </c>
      <c r="AQ81" s="16" t="n">
        <v>5.40872</v>
      </c>
      <c r="AR81" s="16" t="n">
        <v>5.32194</v>
      </c>
      <c r="AS81" s="16" t="n">
        <v>5.69125</v>
      </c>
      <c r="AT81" s="16" t="n">
        <v>5.60604</v>
      </c>
      <c r="AU81" s="16" t="n">
        <v>5.40207</v>
      </c>
      <c r="AV81" s="16" t="n">
        <v>5.48891</v>
      </c>
      <c r="AW81" s="16" t="n">
        <v>5.48443</v>
      </c>
      <c r="AX81" s="16" t="n">
        <v>5.53924</v>
      </c>
      <c r="AY81" s="16" t="n">
        <v>5.39983</v>
      </c>
      <c r="AZ81" s="16" t="n">
        <v>5.34451</v>
      </c>
      <c r="BA81" s="16" t="n">
        <v>5.24107</v>
      </c>
      <c r="BB81" s="16" t="n">
        <v>5.06671</v>
      </c>
      <c r="BC81" s="16" t="n">
        <v>4.98899</v>
      </c>
      <c r="BD81" s="16" t="n">
        <v>5.01616</v>
      </c>
      <c r="BE81" s="16" t="n">
        <v>5.14104</v>
      </c>
      <c r="BF81" s="16" t="n">
        <v>5.27861</v>
      </c>
      <c r="BG81" s="16" t="n">
        <v>5.09734</v>
      </c>
      <c r="BH81" s="16" t="n">
        <v>5.58117</v>
      </c>
      <c r="BI81" s="16" t="n">
        <v>5.46097</v>
      </c>
      <c r="BJ81" s="16" t="n">
        <v>5.40283</v>
      </c>
      <c r="BK81" s="16" t="n">
        <v>5.49646</v>
      </c>
      <c r="BL81" s="16" t="n">
        <v>5.8445</v>
      </c>
      <c r="BM81" s="16" t="n">
        <v>5.78079</v>
      </c>
      <c r="BN81" s="16" t="n">
        <v>5.853028</v>
      </c>
    </row>
    <row r="82">
      <c r="A82" s="10" t="inlineStr">
        <is>
          <t>Senegal</t>
        </is>
      </c>
      <c r="B82" s="16" t="n">
        <v>18.868924</v>
      </c>
      <c r="C82" s="27" t="n">
        <v>95.84139999999978</v>
      </c>
      <c r="D82" s="27" t="n">
        <v>66.95439999999984</v>
      </c>
      <c r="E82" s="27" t="n">
        <v>341.0074</v>
      </c>
      <c r="F82" s="27" t="n">
        <v>876.3583999999993</v>
      </c>
      <c r="G82" s="16" t="n">
        <v>6.35914</v>
      </c>
      <c r="H82" s="16" t="n">
        <v>6.58189</v>
      </c>
      <c r="I82" s="16" t="n">
        <v>6.41502</v>
      </c>
      <c r="J82" s="16" t="n">
        <v>6.77206</v>
      </c>
      <c r="K82" s="16" t="n">
        <v>7.70579</v>
      </c>
      <c r="L82" s="16" t="n">
        <v>7.51053</v>
      </c>
      <c r="M82" s="16" t="n">
        <v>8.24184</v>
      </c>
      <c r="N82" s="16" t="n">
        <v>8.5709</v>
      </c>
      <c r="O82" s="16" t="n">
        <v>10.50446</v>
      </c>
      <c r="P82" s="16" t="n">
        <v>9.593389999999999</v>
      </c>
      <c r="Q82" s="16" t="n">
        <v>9.511609999999999</v>
      </c>
      <c r="R82" s="16" t="n">
        <v>10.72188</v>
      </c>
      <c r="S82" s="16" t="n">
        <v>10.63516</v>
      </c>
      <c r="T82" s="16" t="n">
        <v>9.20848</v>
      </c>
      <c r="U82" s="16" t="n">
        <v>9.40996</v>
      </c>
      <c r="V82" s="16" t="n">
        <v>8.804220000000001</v>
      </c>
      <c r="W82" s="16" t="n">
        <v>9.47805</v>
      </c>
      <c r="X82" s="16" t="n">
        <v>9.86289</v>
      </c>
      <c r="Y82" s="16" t="n">
        <v>10.07405</v>
      </c>
      <c r="Z82" s="16" t="n">
        <v>10.07478</v>
      </c>
      <c r="AA82" s="16" t="n">
        <v>9.32677</v>
      </c>
      <c r="AB82" s="16" t="n">
        <v>8.896660000000001</v>
      </c>
      <c r="AC82" s="16" t="n">
        <v>9.667680000000001</v>
      </c>
      <c r="AD82" s="16" t="n">
        <v>10.0372</v>
      </c>
      <c r="AE82" s="16" t="n">
        <v>10.177</v>
      </c>
      <c r="AF82" s="16" t="n">
        <v>9.533250000000001</v>
      </c>
      <c r="AG82" s="16" t="n">
        <v>8.445349999999999</v>
      </c>
      <c r="AH82" s="16" t="n">
        <v>8.95434</v>
      </c>
      <c r="AI82" s="16" t="n">
        <v>9.37358</v>
      </c>
      <c r="AJ82" s="16" t="n">
        <v>9.10791</v>
      </c>
      <c r="AK82" s="16" t="n">
        <v>9.207599999999999</v>
      </c>
      <c r="AL82" s="16" t="n">
        <v>9.28983</v>
      </c>
      <c r="AM82" s="16" t="n">
        <v>9.438940000000001</v>
      </c>
      <c r="AN82" s="16" t="n">
        <v>9.242150000000001</v>
      </c>
      <c r="AO82" s="16" t="n">
        <v>8.89446</v>
      </c>
      <c r="AP82" s="16" t="n">
        <v>9.05043</v>
      </c>
      <c r="AQ82" s="16" t="n">
        <v>9.714449999999999</v>
      </c>
      <c r="AR82" s="16" t="n">
        <v>9.37757</v>
      </c>
      <c r="AS82" s="16" t="n">
        <v>10.19773</v>
      </c>
      <c r="AT82" s="16" t="n">
        <v>9.79533</v>
      </c>
      <c r="AU82" s="16" t="n">
        <v>10.58854</v>
      </c>
      <c r="AV82" s="16" t="n">
        <v>11.34832</v>
      </c>
      <c r="AW82" s="16" t="n">
        <v>12.62545</v>
      </c>
      <c r="AX82" s="16" t="n">
        <v>12.01578</v>
      </c>
      <c r="AY82" s="16" t="n">
        <v>13.51546</v>
      </c>
      <c r="AZ82" s="16" t="n">
        <v>11.622</v>
      </c>
      <c r="BA82" s="16" t="n">
        <v>11.67057</v>
      </c>
      <c r="BB82" s="16" t="n">
        <v>12.17518</v>
      </c>
      <c r="BC82" s="16" t="n">
        <v>12.37603</v>
      </c>
      <c r="BD82" s="16" t="n">
        <v>15.54187</v>
      </c>
      <c r="BE82" s="16" t="n">
        <v>17.0347</v>
      </c>
      <c r="BF82" s="16" t="n">
        <v>17.02867</v>
      </c>
      <c r="BG82" s="16" t="n">
        <v>15.53626</v>
      </c>
      <c r="BH82" s="16" t="n">
        <v>18.73534</v>
      </c>
      <c r="BI82" s="16" t="n">
        <v>17.65909</v>
      </c>
      <c r="BJ82" s="16" t="n">
        <v>19.7072</v>
      </c>
      <c r="BK82" s="16" t="n">
        <v>19.58239</v>
      </c>
      <c r="BL82" s="16" t="n">
        <v>19.93427</v>
      </c>
      <c r="BM82" s="16" t="n">
        <v>21.08802</v>
      </c>
      <c r="BN82" s="16" t="n">
        <v>18.868924</v>
      </c>
    </row>
    <row r="83">
      <c r="A83" s="10" t="inlineStr">
        <is>
          <t>Serbia</t>
        </is>
      </c>
      <c r="B83" s="16" t="n">
        <v>5.968939</v>
      </c>
      <c r="C83" s="27" t="n">
        <v>20.0259</v>
      </c>
      <c r="D83" s="27" t="n">
        <v>33.30889999999993</v>
      </c>
      <c r="E83" s="27" t="n">
        <v>72.19690000000001</v>
      </c>
      <c r="F83" s="27" t="n">
        <v>72.54489999999997</v>
      </c>
      <c r="G83" s="16" t="n">
        <v>2.88952</v>
      </c>
      <c r="H83" s="16" t="n">
        <v>3.20382</v>
      </c>
      <c r="I83" s="16" t="n">
        <v>2.87139</v>
      </c>
      <c r="J83" s="16" t="n">
        <v>3.43041</v>
      </c>
      <c r="K83" s="16" t="n">
        <v>4.36182</v>
      </c>
      <c r="L83" s="16" t="n">
        <v>4.30564</v>
      </c>
      <c r="M83" s="16" t="n">
        <v>5.84944</v>
      </c>
      <c r="N83" s="16" t="n">
        <v>5.43041</v>
      </c>
      <c r="O83" s="16" t="n">
        <v>6.16458</v>
      </c>
      <c r="P83" s="16" t="n">
        <v>6.12924</v>
      </c>
      <c r="Q83" s="16" t="n">
        <v>6.40759</v>
      </c>
      <c r="R83" s="16" t="n">
        <v>7.7615</v>
      </c>
      <c r="S83" s="16" t="n">
        <v>7.03641</v>
      </c>
      <c r="T83" s="16" t="n">
        <v>6.25456</v>
      </c>
      <c r="U83" s="16" t="n">
        <v>6.62468</v>
      </c>
      <c r="V83" s="16" t="n">
        <v>6.08552</v>
      </c>
      <c r="W83" s="16" t="n">
        <v>6.46149</v>
      </c>
      <c r="X83" s="16" t="n">
        <v>6.19574</v>
      </c>
      <c r="Y83" s="16" t="n">
        <v>5.90494</v>
      </c>
      <c r="Z83" s="16" t="n">
        <v>6.50383</v>
      </c>
      <c r="AA83" s="16" t="n">
        <v>6.33516</v>
      </c>
      <c r="AB83" s="16" t="n">
        <v>6.12195</v>
      </c>
      <c r="AC83" s="16" t="n">
        <v>6.36666</v>
      </c>
      <c r="AD83" s="16" t="n">
        <v>6.8624</v>
      </c>
      <c r="AE83" s="16" t="n">
        <v>7.02977</v>
      </c>
      <c r="AF83" s="16" t="n">
        <v>6.28629</v>
      </c>
      <c r="AG83" s="16" t="n">
        <v>5.75296</v>
      </c>
      <c r="AH83" s="16" t="n">
        <v>5.80278</v>
      </c>
      <c r="AI83" s="16" t="n">
        <v>5.94806</v>
      </c>
      <c r="AJ83" s="16" t="n">
        <v>5.89062</v>
      </c>
      <c r="AK83" s="16" t="n">
        <v>6.26482</v>
      </c>
      <c r="AL83" s="16" t="n">
        <v>6.10255</v>
      </c>
      <c r="AM83" s="16" t="n">
        <v>6.0555</v>
      </c>
      <c r="AN83" s="16" t="n">
        <v>5.80216</v>
      </c>
      <c r="AO83" s="16" t="n">
        <v>5.62257</v>
      </c>
      <c r="AP83" s="16" t="n">
        <v>5.35791</v>
      </c>
      <c r="AQ83" s="16" t="n">
        <v>5.68664</v>
      </c>
      <c r="AR83" s="16" t="n">
        <v>5.73211</v>
      </c>
      <c r="AS83" s="16" t="n">
        <v>5.96792</v>
      </c>
      <c r="AT83" s="16" t="n">
        <v>5.86557</v>
      </c>
      <c r="AU83" s="16" t="n">
        <v>5.74707</v>
      </c>
      <c r="AV83" s="16" t="n">
        <v>5.90976</v>
      </c>
      <c r="AW83" s="16" t="n">
        <v>5.83741</v>
      </c>
      <c r="AX83" s="16" t="n">
        <v>5.84747</v>
      </c>
      <c r="AY83" s="16" t="n">
        <v>5.58599</v>
      </c>
      <c r="AZ83" s="16" t="n">
        <v>5.43014</v>
      </c>
      <c r="BA83" s="16" t="n">
        <v>5.35045</v>
      </c>
      <c r="BB83" s="16" t="n">
        <v>5.10106</v>
      </c>
      <c r="BC83" s="16" t="n">
        <v>5.00136</v>
      </c>
      <c r="BD83" s="16" t="n">
        <v>5.13214</v>
      </c>
      <c r="BE83" s="16" t="n">
        <v>5.21162</v>
      </c>
      <c r="BF83" s="16" t="n">
        <v>5.14297</v>
      </c>
      <c r="BG83" s="16" t="n">
        <v>4.90915</v>
      </c>
      <c r="BH83" s="16" t="n">
        <v>5.67825</v>
      </c>
      <c r="BI83" s="16" t="n">
        <v>5.35358</v>
      </c>
      <c r="BJ83" s="16" t="n">
        <v>5.52948</v>
      </c>
      <c r="BK83" s="16" t="n">
        <v>5.51291</v>
      </c>
      <c r="BL83" s="16" t="n">
        <v>5.85784</v>
      </c>
      <c r="BM83" s="16" t="n">
        <v>5.84387</v>
      </c>
      <c r="BN83" s="16" t="n">
        <v>5.968939</v>
      </c>
    </row>
    <row r="84">
      <c r="A84" s="10" t="inlineStr">
        <is>
          <t>South Africa</t>
        </is>
      </c>
      <c r="B84" s="16" t="n">
        <v>6.893012</v>
      </c>
      <c r="C84" s="27" t="n">
        <v>1.371199999999906</v>
      </c>
      <c r="D84" s="27" t="n">
        <v>12.6911999999999</v>
      </c>
      <c r="E84" s="27" t="n">
        <v>28.46019999999993</v>
      </c>
      <c r="F84" s="26" t="n">
        <v>-22.37680000000006</v>
      </c>
      <c r="G84" s="16" t="n">
        <v>5.19318</v>
      </c>
      <c r="H84" s="16" t="n">
        <v>5.4458</v>
      </c>
      <c r="I84" s="16" t="n">
        <v>5.14953</v>
      </c>
      <c r="J84" s="16" t="n">
        <v>5.51984</v>
      </c>
      <c r="K84" s="16" t="n">
        <v>6.02213</v>
      </c>
      <c r="L84" s="16" t="n">
        <v>6.00891</v>
      </c>
      <c r="M84" s="16" t="n">
        <v>6.89573</v>
      </c>
      <c r="N84" s="16" t="n">
        <v>6.80322</v>
      </c>
      <c r="O84" s="16" t="n">
        <v>8.358320000000001</v>
      </c>
      <c r="P84" s="16" t="n">
        <v>7.26624</v>
      </c>
      <c r="Q84" s="16" t="n">
        <v>7.67629</v>
      </c>
      <c r="R84" s="16" t="n">
        <v>8.80057</v>
      </c>
      <c r="S84" s="16" t="n">
        <v>8.35432</v>
      </c>
      <c r="T84" s="16" t="n">
        <v>7.31164</v>
      </c>
      <c r="U84" s="16" t="n">
        <v>7.60517</v>
      </c>
      <c r="V84" s="16" t="n">
        <v>7.23104</v>
      </c>
      <c r="W84" s="16" t="n">
        <v>7.67497</v>
      </c>
      <c r="X84" s="16" t="n">
        <v>7.57634</v>
      </c>
      <c r="Y84" s="16" t="n">
        <v>7.69953</v>
      </c>
      <c r="Z84" s="16" t="n">
        <v>8.368119999999999</v>
      </c>
      <c r="AA84" s="16" t="n">
        <v>7.9971</v>
      </c>
      <c r="AB84" s="16" t="n">
        <v>7.5214</v>
      </c>
      <c r="AC84" s="16" t="n">
        <v>8.010820000000001</v>
      </c>
      <c r="AD84" s="16" t="n">
        <v>8.56237</v>
      </c>
      <c r="AE84" s="16" t="n">
        <v>8.713979999999999</v>
      </c>
      <c r="AF84" s="16" t="n">
        <v>7.79983</v>
      </c>
      <c r="AG84" s="16" t="n">
        <v>7.01583</v>
      </c>
      <c r="AH84" s="16" t="n">
        <v>7.55211</v>
      </c>
      <c r="AI84" s="16" t="n">
        <v>7.76946</v>
      </c>
      <c r="AJ84" s="16" t="n">
        <v>7.83676</v>
      </c>
      <c r="AK84" s="16" t="n">
        <v>8.063129999999999</v>
      </c>
      <c r="AL84" s="16" t="n">
        <v>7.9151</v>
      </c>
      <c r="AM84" s="16" t="n">
        <v>7.52889</v>
      </c>
      <c r="AN84" s="16" t="n">
        <v>7.28139</v>
      </c>
      <c r="AO84" s="16" t="n">
        <v>6.89463</v>
      </c>
      <c r="AP84" s="16" t="n">
        <v>6.60638</v>
      </c>
      <c r="AQ84" s="16" t="n">
        <v>7.16249</v>
      </c>
      <c r="AR84" s="16" t="n">
        <v>7.1566</v>
      </c>
      <c r="AS84" s="16" t="n">
        <v>7.5744</v>
      </c>
      <c r="AT84" s="16" t="n">
        <v>7.57026</v>
      </c>
      <c r="AU84" s="16" t="n">
        <v>7.47093</v>
      </c>
      <c r="AV84" s="16" t="n">
        <v>7.69349</v>
      </c>
      <c r="AW84" s="16" t="n">
        <v>7.9485</v>
      </c>
      <c r="AX84" s="16" t="n">
        <v>7.75443</v>
      </c>
      <c r="AY84" s="16" t="n">
        <v>7.44639</v>
      </c>
      <c r="AZ84" s="16" t="n">
        <v>7.44255</v>
      </c>
      <c r="BA84" s="16" t="n">
        <v>7.29057</v>
      </c>
      <c r="BB84" s="16" t="n">
        <v>6.89489</v>
      </c>
      <c r="BC84" s="16" t="n">
        <v>6.54986</v>
      </c>
      <c r="BD84" s="16" t="n">
        <v>6.5279</v>
      </c>
      <c r="BE84" s="16" t="n">
        <v>6.59561</v>
      </c>
      <c r="BF84" s="16" t="n">
        <v>6.784</v>
      </c>
      <c r="BG84" s="16" t="n">
        <v>6.60007</v>
      </c>
      <c r="BH84" s="16" t="n">
        <v>7.29645</v>
      </c>
      <c r="BI84" s="16" t="n">
        <v>7.01356</v>
      </c>
      <c r="BJ84" s="16" t="n">
        <v>6.69585</v>
      </c>
      <c r="BK84" s="16" t="n">
        <v>6.66249</v>
      </c>
      <c r="BL84" s="16" t="n">
        <v>6.98738</v>
      </c>
      <c r="BM84" s="16" t="n">
        <v>6.8069</v>
      </c>
      <c r="BN84" s="16" t="n">
        <v>6.893012</v>
      </c>
    </row>
    <row r="85">
      <c r="A85" s="10" t="inlineStr">
        <is>
          <t>Sri Lanka</t>
        </is>
      </c>
      <c r="B85" s="16" t="n">
        <v>5.654112</v>
      </c>
      <c r="C85" s="27" t="n">
        <v>14.8471999999999</v>
      </c>
      <c r="D85" s="26" t="n">
        <v>-63.10380000000011</v>
      </c>
      <c r="E85" s="26" t="n">
        <v>-126.5468000000001</v>
      </c>
      <c r="F85" s="26" t="n">
        <v>-164.4158</v>
      </c>
      <c r="G85" s="16" t="n">
        <v>18.59762</v>
      </c>
      <c r="H85" s="16" t="n">
        <v>23.01695</v>
      </c>
      <c r="I85" s="16" t="n">
        <v>25.35542</v>
      </c>
      <c r="J85" s="16" t="n">
        <v>26.93716</v>
      </c>
      <c r="K85" s="16" t="n">
        <v>30.03471</v>
      </c>
      <c r="L85" s="16" t="n">
        <v>29.23136</v>
      </c>
      <c r="M85" s="16" t="n">
        <v>35.50904</v>
      </c>
      <c r="N85" s="16" t="n">
        <v>40.64581</v>
      </c>
      <c r="O85" s="16" t="n">
        <v>56.40145</v>
      </c>
      <c r="P85" s="16" t="n">
        <v>57.45963</v>
      </c>
      <c r="Q85" s="16" t="n">
        <v>53.39383</v>
      </c>
      <c r="R85" s="16" t="n">
        <v>65.59206</v>
      </c>
      <c r="S85" s="16" t="n">
        <v>73.5502</v>
      </c>
      <c r="T85" s="16" t="n">
        <v>55.03891</v>
      </c>
      <c r="U85" s="16" t="n">
        <v>58.29211</v>
      </c>
      <c r="V85" s="16" t="n">
        <v>42.71547</v>
      </c>
      <c r="W85" s="16" t="n">
        <v>41.14929</v>
      </c>
      <c r="X85" s="16" t="n">
        <v>42.38643</v>
      </c>
      <c r="Y85" s="16" t="n">
        <v>45.45692</v>
      </c>
      <c r="Z85" s="16" t="n">
        <v>55.0597</v>
      </c>
      <c r="AA85" s="16" t="n">
        <v>44.64688</v>
      </c>
      <c r="AB85" s="16" t="n">
        <v>45.71554</v>
      </c>
      <c r="AC85" s="16" t="n">
        <v>44.44794</v>
      </c>
      <c r="AD85" s="16" t="n">
        <v>40.25391</v>
      </c>
      <c r="AE85" s="16" t="n">
        <v>37.02619</v>
      </c>
      <c r="AF85" s="16" t="n">
        <v>36.49707</v>
      </c>
      <c r="AG85" s="16" t="n">
        <v>38.00781</v>
      </c>
      <c r="AH85" s="16" t="n">
        <v>38.58117</v>
      </c>
      <c r="AI85" s="16" t="n">
        <v>37.56797</v>
      </c>
      <c r="AJ85" s="16" t="n">
        <v>32.68708</v>
      </c>
      <c r="AK85" s="16" t="n">
        <v>35.66532</v>
      </c>
      <c r="AL85" s="16" t="n">
        <v>34.89393</v>
      </c>
      <c r="AM85" s="16" t="n">
        <v>36.60325</v>
      </c>
      <c r="AN85" s="16" t="n">
        <v>41.07785</v>
      </c>
      <c r="AO85" s="16" t="n">
        <v>45.271</v>
      </c>
      <c r="AP85" s="16" t="n">
        <v>38.66874</v>
      </c>
      <c r="AQ85" s="16" t="n">
        <v>32.42077</v>
      </c>
      <c r="AR85" s="16" t="n">
        <v>27.29164</v>
      </c>
      <c r="AS85" s="16" t="n">
        <v>8.22001</v>
      </c>
      <c r="AT85" s="16" t="n">
        <v>7.8291</v>
      </c>
      <c r="AU85" s="16" t="n">
        <v>7.80913</v>
      </c>
      <c r="AV85" s="16" t="n">
        <v>8.25952</v>
      </c>
      <c r="AW85" s="16" t="n">
        <v>9.548030000000001</v>
      </c>
      <c r="AX85" s="16" t="n">
        <v>8.38242</v>
      </c>
      <c r="AY85" s="16" t="n">
        <v>7.94917</v>
      </c>
      <c r="AZ85" s="16" t="n">
        <v>7.67752</v>
      </c>
      <c r="BA85" s="16" t="n">
        <v>7.55824</v>
      </c>
      <c r="BB85" s="16" t="n">
        <v>7.10391</v>
      </c>
      <c r="BC85" s="16" t="n">
        <v>6.72521</v>
      </c>
      <c r="BD85" s="16" t="n">
        <v>6.87835</v>
      </c>
      <c r="BE85" s="16" t="n">
        <v>6.96196</v>
      </c>
      <c r="BF85" s="16" t="n">
        <v>5.92961</v>
      </c>
      <c r="BG85" s="16" t="n">
        <v>5.86989</v>
      </c>
      <c r="BH85" s="16" t="n">
        <v>7.37516</v>
      </c>
      <c r="BI85" s="16" t="n">
        <v>6.67278</v>
      </c>
      <c r="BJ85" s="16" t="n">
        <v>6.22237</v>
      </c>
      <c r="BK85" s="16" t="n">
        <v>5.65325</v>
      </c>
      <c r="BL85" s="16" t="n">
        <v>5.81447</v>
      </c>
      <c r="BM85" s="16" t="n">
        <v>5.62546</v>
      </c>
      <c r="BN85" s="16" t="n">
        <v>5.654112</v>
      </c>
    </row>
    <row r="86">
      <c r="A86" s="10" t="inlineStr">
        <is>
          <t>Suriname</t>
        </is>
      </c>
      <c r="B86" s="16" t="n">
        <v>7.184658</v>
      </c>
      <c r="C86" s="27" t="n">
        <v>1.914800000000039</v>
      </c>
      <c r="D86" s="26" t="n">
        <v>-2.488199999999985</v>
      </c>
      <c r="E86" s="26" t="n">
        <v>-1.887199999999986</v>
      </c>
      <c r="F86" s="26" t="n">
        <v>-82.51619999999988</v>
      </c>
      <c r="G86" s="16" t="n">
        <v>18.0429</v>
      </c>
      <c r="H86" s="16" t="n">
        <v>17.43012</v>
      </c>
      <c r="I86" s="16" t="n">
        <v>18.12429</v>
      </c>
      <c r="J86" s="16" t="n">
        <v>16.6518</v>
      </c>
      <c r="K86" s="16" t="n">
        <v>18.93962</v>
      </c>
      <c r="L86" s="16" t="n">
        <v>19.32623</v>
      </c>
      <c r="M86" s="16" t="n">
        <v>17.85224</v>
      </c>
      <c r="N86" s="16" t="n">
        <v>18.43047</v>
      </c>
      <c r="O86" s="16" t="n">
        <v>19.66592</v>
      </c>
      <c r="P86" s="16" t="n">
        <v>20.32881</v>
      </c>
      <c r="Q86" s="16" t="n">
        <v>21.04353</v>
      </c>
      <c r="R86" s="16" t="n">
        <v>17.39455</v>
      </c>
      <c r="S86" s="16" t="n">
        <v>19.71195</v>
      </c>
      <c r="T86" s="16" t="n">
        <v>20.21514</v>
      </c>
      <c r="U86" s="16" t="n">
        <v>20.6964</v>
      </c>
      <c r="V86" s="16" t="n">
        <v>21.91955</v>
      </c>
      <c r="W86" s="16" t="n">
        <v>23.96638</v>
      </c>
      <c r="X86" s="16" t="n">
        <v>25.86114</v>
      </c>
      <c r="Y86" s="16" t="n">
        <v>25.10171</v>
      </c>
      <c r="Z86" s="16" t="n">
        <v>19.88149</v>
      </c>
      <c r="AA86" s="16" t="n">
        <v>20.58863</v>
      </c>
      <c r="AB86" s="16" t="n">
        <v>17.14432</v>
      </c>
      <c r="AC86" s="16" t="n">
        <v>17.40446</v>
      </c>
      <c r="AD86" s="16" t="n">
        <v>16.32859</v>
      </c>
      <c r="AE86" s="16" t="n">
        <v>12.1798</v>
      </c>
      <c r="AF86" s="16" t="n">
        <v>12.32322</v>
      </c>
      <c r="AG86" s="16" t="n">
        <v>10.43851</v>
      </c>
      <c r="AH86" s="16" t="n">
        <v>10.94804</v>
      </c>
      <c r="AI86" s="16" t="n">
        <v>10.34136</v>
      </c>
      <c r="AJ86" s="16" t="n">
        <v>9.6258</v>
      </c>
      <c r="AK86" s="16" t="n">
        <v>9.430619999999999</v>
      </c>
      <c r="AL86" s="16" t="n">
        <v>9.377890000000001</v>
      </c>
      <c r="AM86" s="16" t="n">
        <v>9.244289999999999</v>
      </c>
      <c r="AN86" s="16" t="n">
        <v>8.47448</v>
      </c>
      <c r="AO86" s="16" t="n">
        <v>8.48737</v>
      </c>
      <c r="AP86" s="16" t="n">
        <v>8.515499999999999</v>
      </c>
      <c r="AQ86" s="16" t="n">
        <v>9.15104</v>
      </c>
      <c r="AR86" s="16" t="n">
        <v>9.61506</v>
      </c>
      <c r="AS86" s="16" t="n">
        <v>10.26918</v>
      </c>
      <c r="AT86" s="16" t="n">
        <v>8.81828</v>
      </c>
      <c r="AU86" s="16" t="n">
        <v>8.521750000000001</v>
      </c>
      <c r="AV86" s="16" t="n">
        <v>8.911709999999999</v>
      </c>
      <c r="AW86" s="16" t="n">
        <v>9.89625</v>
      </c>
      <c r="AX86" s="16" t="n">
        <v>9.16038</v>
      </c>
      <c r="AY86" s="16" t="n">
        <v>7.8607</v>
      </c>
      <c r="AZ86" s="16" t="n">
        <v>7.89156</v>
      </c>
      <c r="BA86" s="16" t="n">
        <v>7.93498</v>
      </c>
      <c r="BB86" s="16" t="n">
        <v>7.95767</v>
      </c>
      <c r="BC86" s="16" t="n">
        <v>7.86426</v>
      </c>
      <c r="BD86" s="16" t="n">
        <v>7.20092</v>
      </c>
      <c r="BE86" s="16" t="n">
        <v>7.12828</v>
      </c>
      <c r="BF86" s="16" t="n">
        <v>7.12399</v>
      </c>
      <c r="BG86" s="16" t="n">
        <v>7.29237</v>
      </c>
      <c r="BH86" s="16" t="n">
        <v>7.78088</v>
      </c>
      <c r="BI86" s="16" t="n">
        <v>6.95751</v>
      </c>
      <c r="BJ86" s="16" t="n">
        <v>7.21479</v>
      </c>
      <c r="BK86" s="16" t="n">
        <v>6.93587</v>
      </c>
      <c r="BL86" s="16" t="n">
        <v>7.15469</v>
      </c>
      <c r="BM86" s="16" t="n">
        <v>7.13478</v>
      </c>
      <c r="BN86" s="16" t="n">
        <v>7.184658</v>
      </c>
    </row>
    <row r="87">
      <c r="A87" s="10" t="inlineStr">
        <is>
          <t>Trinidad &amp; Tobago</t>
        </is>
      </c>
      <c r="B87" s="16" t="n">
        <v>6.262891</v>
      </c>
      <c r="C87" s="26" t="n">
        <v>-2.041900000000041</v>
      </c>
      <c r="D87" s="27" t="n">
        <v>8.769099999999952</v>
      </c>
      <c r="E87" s="27" t="n">
        <v>2.217099999999931</v>
      </c>
      <c r="F87" s="27" t="n">
        <v>19.85609999999998</v>
      </c>
      <c r="G87" s="16" t="n">
        <v>4.25537</v>
      </c>
      <c r="H87" s="16" t="n">
        <v>4.62065</v>
      </c>
      <c r="I87" s="16" t="n">
        <v>4.60134</v>
      </c>
      <c r="J87" s="16" t="n">
        <v>4.74304</v>
      </c>
      <c r="K87" s="16" t="n">
        <v>5.11401</v>
      </c>
      <c r="L87" s="16" t="n">
        <v>5.3282</v>
      </c>
      <c r="M87" s="16" t="n">
        <v>5.67431</v>
      </c>
      <c r="N87" s="16" t="n">
        <v>6.20434</v>
      </c>
      <c r="O87" s="16" t="n">
        <v>6.51997</v>
      </c>
      <c r="P87" s="16" t="n">
        <v>6.15902</v>
      </c>
      <c r="Q87" s="16" t="n">
        <v>5.70806</v>
      </c>
      <c r="R87" s="16" t="n">
        <v>6.20006</v>
      </c>
      <c r="S87" s="16" t="n">
        <v>6.32024</v>
      </c>
      <c r="T87" s="16" t="n">
        <v>5.98883</v>
      </c>
      <c r="U87" s="16" t="n">
        <v>5.90634</v>
      </c>
      <c r="V87" s="16" t="n">
        <v>5.83703</v>
      </c>
      <c r="W87" s="16" t="n">
        <v>5.99127</v>
      </c>
      <c r="X87" s="16" t="n">
        <v>5.94403</v>
      </c>
      <c r="Y87" s="16" t="n">
        <v>5.80937</v>
      </c>
      <c r="Z87" s="16" t="n">
        <v>6.01865</v>
      </c>
      <c r="AA87" s="16" t="n">
        <v>6.15522</v>
      </c>
      <c r="AB87" s="16" t="n">
        <v>6.14858</v>
      </c>
      <c r="AC87" s="16" t="n">
        <v>6.2984</v>
      </c>
      <c r="AD87" s="16" t="n">
        <v>6.43144</v>
      </c>
      <c r="AE87" s="16" t="n">
        <v>6.62707</v>
      </c>
      <c r="AF87" s="16" t="n">
        <v>6.17326</v>
      </c>
      <c r="AG87" s="16" t="n">
        <v>5.5389</v>
      </c>
      <c r="AH87" s="16" t="n">
        <v>5.85744</v>
      </c>
      <c r="AI87" s="16" t="n">
        <v>6.15836</v>
      </c>
      <c r="AJ87" s="16" t="n">
        <v>6.10517</v>
      </c>
      <c r="AK87" s="16" t="n">
        <v>6.46077</v>
      </c>
      <c r="AL87" s="16" t="n">
        <v>6.33906</v>
      </c>
      <c r="AM87" s="16" t="n">
        <v>6.37747</v>
      </c>
      <c r="AN87" s="16" t="n">
        <v>6.1756</v>
      </c>
      <c r="AO87" s="16" t="n">
        <v>6.03339</v>
      </c>
      <c r="AP87" s="16" t="n">
        <v>5.88944</v>
      </c>
      <c r="AQ87" s="16" t="n">
        <v>6.1484</v>
      </c>
      <c r="AR87" s="16" t="n">
        <v>6.45731</v>
      </c>
      <c r="AS87" s="16" t="n">
        <v>6.46854</v>
      </c>
      <c r="AT87" s="16" t="n">
        <v>6.36859</v>
      </c>
      <c r="AU87" s="16" t="n">
        <v>6.48164</v>
      </c>
      <c r="AV87" s="16" t="n">
        <v>6.55662</v>
      </c>
      <c r="AW87" s="16" t="n">
        <v>7.03182</v>
      </c>
      <c r="AX87" s="16" t="n">
        <v>6.79519</v>
      </c>
      <c r="AY87" s="16" t="n">
        <v>6.504</v>
      </c>
      <c r="AZ87" s="16" t="n">
        <v>6.45254</v>
      </c>
      <c r="BA87" s="16" t="n">
        <v>6.17425</v>
      </c>
      <c r="BB87" s="16" t="n">
        <v>5.98171</v>
      </c>
      <c r="BC87" s="16" t="n">
        <v>6.37008</v>
      </c>
      <c r="BD87" s="16" t="n">
        <v>6.22017</v>
      </c>
      <c r="BE87" s="16" t="n">
        <v>6.1908</v>
      </c>
      <c r="BF87" s="16" t="n">
        <v>6.32312</v>
      </c>
      <c r="BG87" s="16" t="n">
        <v>6.15338</v>
      </c>
      <c r="BH87" s="16" t="n">
        <v>6.48935</v>
      </c>
      <c r="BI87" s="16" t="n">
        <v>6.09949</v>
      </c>
      <c r="BJ87" s="16" t="n">
        <v>6.01031</v>
      </c>
      <c r="BK87" s="16" t="n">
        <v>6.08418</v>
      </c>
      <c r="BL87" s="16" t="n">
        <v>6.30861</v>
      </c>
      <c r="BM87" s="16" t="n">
        <v>6.26961</v>
      </c>
      <c r="BN87" s="16" t="n">
        <v>6.262891</v>
      </c>
    </row>
    <row r="88">
      <c r="A88" s="10" t="inlineStr">
        <is>
          <t>Turkey</t>
        </is>
      </c>
      <c r="B88" s="16" t="n">
        <v>7.074141</v>
      </c>
      <c r="C88" s="27" t="n">
        <v>12.17609999999993</v>
      </c>
      <c r="D88" s="27" t="n">
        <v>11.61110000000001</v>
      </c>
      <c r="E88" s="27" t="n">
        <v>83.03009999999999</v>
      </c>
      <c r="F88" s="27" t="n">
        <v>46.02709999999998</v>
      </c>
      <c r="G88" s="16" t="n">
        <v>6.54311</v>
      </c>
      <c r="H88" s="16" t="n">
        <v>7.01771</v>
      </c>
      <c r="I88" s="16" t="n">
        <v>7.25289</v>
      </c>
      <c r="J88" s="16" t="n">
        <v>7.31769</v>
      </c>
      <c r="K88" s="16" t="n">
        <v>7.79592</v>
      </c>
      <c r="L88" s="16" t="n">
        <v>7.65821</v>
      </c>
      <c r="M88" s="16" t="n">
        <v>8.07757</v>
      </c>
      <c r="N88" s="16" t="n">
        <v>8.732609999999999</v>
      </c>
      <c r="O88" s="16" t="n">
        <v>10.18321</v>
      </c>
      <c r="P88" s="16" t="n">
        <v>10.03857</v>
      </c>
      <c r="Q88" s="16" t="n">
        <v>9.818160000000001</v>
      </c>
      <c r="R88" s="16" t="n">
        <v>10.046</v>
      </c>
      <c r="S88" s="16" t="n">
        <v>9.560549999999999</v>
      </c>
      <c r="T88" s="16" t="n">
        <v>8.39822</v>
      </c>
      <c r="U88" s="16" t="n">
        <v>8.346360000000001</v>
      </c>
      <c r="V88" s="16" t="n">
        <v>8.66039</v>
      </c>
      <c r="W88" s="16" t="n">
        <v>8.95945</v>
      </c>
      <c r="X88" s="16" t="n">
        <v>8.334709999999999</v>
      </c>
      <c r="Y88" s="16" t="n">
        <v>8.537039999999999</v>
      </c>
      <c r="Z88" s="16" t="n">
        <v>9.379799999999999</v>
      </c>
      <c r="AA88" s="16" t="n">
        <v>8.75238</v>
      </c>
      <c r="AB88" s="16" t="n">
        <v>7.90649</v>
      </c>
      <c r="AC88" s="16" t="n">
        <v>8.12073</v>
      </c>
      <c r="AD88" s="16" t="n">
        <v>8.509270000000001</v>
      </c>
      <c r="AE88" s="16" t="n">
        <v>8.69711</v>
      </c>
      <c r="AF88" s="16" t="n">
        <v>7.92076</v>
      </c>
      <c r="AG88" s="16" t="n">
        <v>7.01954</v>
      </c>
      <c r="AH88" s="16" t="n">
        <v>7.59767</v>
      </c>
      <c r="AI88" s="16" t="n">
        <v>7.37487</v>
      </c>
      <c r="AJ88" s="16" t="n">
        <v>7.22208</v>
      </c>
      <c r="AK88" s="16" t="n">
        <v>7.42638</v>
      </c>
      <c r="AL88" s="16" t="n">
        <v>7.28556</v>
      </c>
      <c r="AM88" s="16" t="n">
        <v>7.24901</v>
      </c>
      <c r="AN88" s="16" t="n">
        <v>7.03262</v>
      </c>
      <c r="AO88" s="16" t="n">
        <v>6.80412</v>
      </c>
      <c r="AP88" s="16" t="n">
        <v>6.45293</v>
      </c>
      <c r="AQ88" s="16" t="n">
        <v>6.90274</v>
      </c>
      <c r="AR88" s="16" t="n">
        <v>6.75443</v>
      </c>
      <c r="AS88" s="16" t="n">
        <v>7.08392</v>
      </c>
      <c r="AT88" s="16" t="n">
        <v>6.99207</v>
      </c>
      <c r="AU88" s="16" t="n">
        <v>6.93623</v>
      </c>
      <c r="AV88" s="16" t="n">
        <v>7.30293</v>
      </c>
      <c r="AW88" s="16" t="n">
        <v>7.52012</v>
      </c>
      <c r="AX88" s="16" t="n">
        <v>7.44221</v>
      </c>
      <c r="AY88" s="16" t="n">
        <v>7.08664</v>
      </c>
      <c r="AZ88" s="16" t="n">
        <v>6.91473</v>
      </c>
      <c r="BA88" s="16" t="n">
        <v>6.68113</v>
      </c>
      <c r="BB88" s="16" t="n">
        <v>6.53501</v>
      </c>
      <c r="BC88" s="16" t="n">
        <v>6.3877</v>
      </c>
      <c r="BD88" s="16" t="n">
        <v>6.35848</v>
      </c>
      <c r="BE88" s="16" t="n">
        <v>6.28331</v>
      </c>
      <c r="BF88" s="16" t="n">
        <v>6.52309</v>
      </c>
      <c r="BG88" s="16" t="n">
        <v>6.47111</v>
      </c>
      <c r="BH88" s="16" t="n">
        <v>7.33416</v>
      </c>
      <c r="BI88" s="16" t="n">
        <v>6.96055</v>
      </c>
      <c r="BJ88" s="16" t="n">
        <v>6.9264</v>
      </c>
      <c r="BK88" s="16" t="n">
        <v>6.8127</v>
      </c>
      <c r="BL88" s="16" t="n">
        <v>7.17266</v>
      </c>
      <c r="BM88" s="16" t="n">
        <v>7.02639</v>
      </c>
      <c r="BN88" s="16" t="n">
        <v>7.074141</v>
      </c>
    </row>
    <row r="89">
      <c r="A89" s="10" t="inlineStr">
        <is>
          <t>Ukraine</t>
        </is>
      </c>
      <c r="B89" s="16" t="n">
        <v>12.191102</v>
      </c>
      <c r="C89" s="27" t="n">
        <v>116.0482000000002</v>
      </c>
      <c r="D89" s="27" t="n">
        <v>46.86820000000012</v>
      </c>
      <c r="E89" s="26" t="n">
        <v>-68.51679999999999</v>
      </c>
      <c r="F89" s="26" t="n">
        <v>-294.2288</v>
      </c>
      <c r="G89" s="16" t="n">
        <v>6.38951</v>
      </c>
      <c r="H89" s="16" t="n">
        <v>7.90813</v>
      </c>
      <c r="I89" s="16" t="n">
        <v>8.941330000000001</v>
      </c>
      <c r="J89" s="16" t="n">
        <v>10.59268</v>
      </c>
      <c r="K89" s="16" t="n">
        <v>33.74284</v>
      </c>
      <c r="L89" s="16" t="n">
        <v>30.42773</v>
      </c>
      <c r="M89" s="16" t="n">
        <v>40.29498</v>
      </c>
      <c r="N89" s="16" t="n">
        <v>35.65778</v>
      </c>
      <c r="O89" s="16" t="n">
        <v>53.92207</v>
      </c>
      <c r="P89" s="16" t="n">
        <v>68.74889</v>
      </c>
      <c r="Q89" s="16" t="n">
        <v>41.42236</v>
      </c>
      <c r="R89" s="16" t="n">
        <v>42.27381</v>
      </c>
      <c r="S89" s="16" t="n">
        <v>48.20038</v>
      </c>
      <c r="T89" s="16" t="n">
        <v>40.84598</v>
      </c>
      <c r="U89" s="16" t="n">
        <v>44.75431</v>
      </c>
      <c r="V89" s="16" t="n">
        <v>41.76948</v>
      </c>
      <c r="W89" s="16" t="n">
        <v>46.58797</v>
      </c>
      <c r="X89" s="16" t="n">
        <v>48.56439</v>
      </c>
      <c r="Y89" s="16" t="n">
        <v>51.34305</v>
      </c>
      <c r="Z89" s="16" t="n">
        <v>53.59724</v>
      </c>
      <c r="AA89" s="16" t="n">
        <v>45.65335</v>
      </c>
      <c r="AB89" s="16" t="n">
        <v>37.61999</v>
      </c>
      <c r="AC89" s="16" t="n">
        <v>38.43465</v>
      </c>
      <c r="AD89" s="16" t="n">
        <v>38.69617</v>
      </c>
      <c r="AE89" s="16" t="n">
        <v>40.37363</v>
      </c>
      <c r="AF89" s="16" t="n">
        <v>42.26966</v>
      </c>
      <c r="AG89" s="16" t="n">
        <v>43.9104</v>
      </c>
      <c r="AH89" s="16" t="n">
        <v>47.22054</v>
      </c>
      <c r="AI89" s="16" t="n">
        <v>43.95551</v>
      </c>
      <c r="AJ89" s="16" t="n">
        <v>39.46587</v>
      </c>
      <c r="AK89" s="16" t="n">
        <v>46.37877</v>
      </c>
      <c r="AL89" s="16" t="n">
        <v>46.40883</v>
      </c>
      <c r="AM89" s="16" t="n">
        <v>45.20942</v>
      </c>
      <c r="AN89" s="16" t="n">
        <v>42.38318</v>
      </c>
      <c r="AO89" s="16" t="n">
        <v>42.30407</v>
      </c>
      <c r="AP89" s="16" t="n">
        <v>15.85524</v>
      </c>
      <c r="AQ89" s="16" t="n">
        <v>15.0175</v>
      </c>
      <c r="AR89" s="16" t="n">
        <v>13.51738</v>
      </c>
      <c r="AS89" s="16" t="n">
        <v>12.93604</v>
      </c>
      <c r="AT89" s="16" t="n">
        <v>12.58957</v>
      </c>
      <c r="AU89" s="16" t="n">
        <v>12.08359</v>
      </c>
      <c r="AV89" s="16" t="n">
        <v>13.89277</v>
      </c>
      <c r="AW89" s="16" t="n">
        <v>15.05025</v>
      </c>
      <c r="AX89" s="16" t="n">
        <v>15.35404</v>
      </c>
      <c r="AY89" s="16" t="n">
        <v>15.21236</v>
      </c>
      <c r="AZ89" s="16" t="n">
        <v>15.39878</v>
      </c>
      <c r="BA89" s="16" t="n">
        <v>14.69352</v>
      </c>
      <c r="BB89" s="16" t="n">
        <v>14.66491</v>
      </c>
      <c r="BC89" s="16" t="n">
        <v>14.52525</v>
      </c>
      <c r="BD89" s="16" t="n">
        <v>13.70091</v>
      </c>
      <c r="BE89" s="16" t="n">
        <v>13.08901</v>
      </c>
      <c r="BF89" s="16" t="n">
        <v>12.50366</v>
      </c>
      <c r="BG89" s="16" t="n">
        <v>12.71937</v>
      </c>
      <c r="BH89" s="16" t="n">
        <v>15.23334</v>
      </c>
      <c r="BI89" s="16" t="n">
        <v>13.42328</v>
      </c>
      <c r="BJ89" s="16" t="n">
        <v>11.60534</v>
      </c>
      <c r="BK89" s="16" t="n">
        <v>11.2587</v>
      </c>
      <c r="BL89" s="16" t="n">
        <v>11.32384</v>
      </c>
      <c r="BM89" s="16" t="n">
        <v>11.764</v>
      </c>
      <c r="BN89" s="16" t="n">
        <v>12.191102</v>
      </c>
    </row>
    <row r="90">
      <c r="A90" s="10" t="inlineStr">
        <is>
          <t>Uruguay</t>
        </is>
      </c>
      <c r="B90" s="16" t="n">
        <v>5.754696</v>
      </c>
      <c r="C90" s="27" t="n">
        <v>9.851600000000005</v>
      </c>
      <c r="D90" s="27" t="n">
        <v>29.32160000000001</v>
      </c>
      <c r="E90" s="27" t="n">
        <v>51.69160000000002</v>
      </c>
      <c r="F90" s="27" t="n">
        <v>60.10860000000005</v>
      </c>
      <c r="G90" s="16" t="n">
        <v>3.12096</v>
      </c>
      <c r="H90" s="16" t="n">
        <v>3.17253</v>
      </c>
      <c r="I90" s="16" t="n">
        <v>3.04586</v>
      </c>
      <c r="J90" s="16" t="n">
        <v>3.40712</v>
      </c>
      <c r="K90" s="16" t="n">
        <v>3.68191</v>
      </c>
      <c r="L90" s="16" t="n">
        <v>3.72779</v>
      </c>
      <c r="M90" s="16" t="n">
        <v>4.52603</v>
      </c>
      <c r="N90" s="16" t="n">
        <v>4.42552</v>
      </c>
      <c r="O90" s="16" t="n">
        <v>4.83047</v>
      </c>
      <c r="P90" s="16" t="n">
        <v>4.39238</v>
      </c>
      <c r="Q90" s="16" t="n">
        <v>4.67481</v>
      </c>
      <c r="R90" s="16" t="n">
        <v>5.47854</v>
      </c>
      <c r="S90" s="16" t="n">
        <v>5.61655</v>
      </c>
      <c r="T90" s="16" t="n">
        <v>4.85462</v>
      </c>
      <c r="U90" s="16" t="n">
        <v>4.9162</v>
      </c>
      <c r="V90" s="16" t="n">
        <v>4.76851</v>
      </c>
      <c r="W90" s="16" t="n">
        <v>5.04544</v>
      </c>
      <c r="X90" s="16" t="n">
        <v>4.85327</v>
      </c>
      <c r="Y90" s="16" t="n">
        <v>4.7027</v>
      </c>
      <c r="Z90" s="16" t="n">
        <v>4.96123</v>
      </c>
      <c r="AA90" s="16" t="n">
        <v>4.93592</v>
      </c>
      <c r="AB90" s="16" t="n">
        <v>4.98138</v>
      </c>
      <c r="AC90" s="16" t="n">
        <v>5.13156</v>
      </c>
      <c r="AD90" s="16" t="n">
        <v>5.71346</v>
      </c>
      <c r="AE90" s="16" t="n">
        <v>5.93037</v>
      </c>
      <c r="AF90" s="16" t="n">
        <v>5.34884</v>
      </c>
      <c r="AG90" s="16" t="n">
        <v>4.88419</v>
      </c>
      <c r="AH90" s="16" t="n">
        <v>5.09791</v>
      </c>
      <c r="AI90" s="16" t="n">
        <v>5.245</v>
      </c>
      <c r="AJ90" s="16" t="n">
        <v>5.1602</v>
      </c>
      <c r="AK90" s="16" t="n">
        <v>5.5973</v>
      </c>
      <c r="AL90" s="16" t="n">
        <v>5.40979</v>
      </c>
      <c r="AM90" s="16" t="n">
        <v>5.32833</v>
      </c>
      <c r="AN90" s="16" t="n">
        <v>5.15123</v>
      </c>
      <c r="AO90" s="16" t="n">
        <v>4.90727</v>
      </c>
      <c r="AP90" s="16" t="n">
        <v>4.92115</v>
      </c>
      <c r="AQ90" s="16" t="n">
        <v>5.28815</v>
      </c>
      <c r="AR90" s="16" t="n">
        <v>5.25964</v>
      </c>
      <c r="AS90" s="16" t="n">
        <v>5.56744</v>
      </c>
      <c r="AT90" s="16" t="n">
        <v>5.63225</v>
      </c>
      <c r="AU90" s="16" t="n">
        <v>5.41963</v>
      </c>
      <c r="AV90" s="16" t="n">
        <v>5.45197</v>
      </c>
      <c r="AW90" s="16" t="n">
        <v>5.48167</v>
      </c>
      <c r="AX90" s="16" t="n">
        <v>5.62384</v>
      </c>
      <c r="AY90" s="16" t="n">
        <v>5.42321</v>
      </c>
      <c r="AZ90" s="16" t="n">
        <v>5.46557</v>
      </c>
      <c r="BA90" s="16" t="n">
        <v>5.3757</v>
      </c>
      <c r="BB90" s="16" t="n">
        <v>5.19382</v>
      </c>
      <c r="BC90" s="16" t="n">
        <v>5.09038</v>
      </c>
      <c r="BD90" s="16" t="n">
        <v>5.14431</v>
      </c>
      <c r="BE90" s="16" t="n">
        <v>5.22513</v>
      </c>
      <c r="BF90" s="16" t="n">
        <v>5.30541</v>
      </c>
      <c r="BG90" s="16" t="n">
        <v>5.10743</v>
      </c>
      <c r="BH90" s="16" t="n">
        <v>5.46614</v>
      </c>
      <c r="BI90" s="16" t="n">
        <v>5.36319</v>
      </c>
      <c r="BJ90" s="16" t="n">
        <v>5.37404</v>
      </c>
      <c r="BK90" s="16" t="n">
        <v>5.3453</v>
      </c>
      <c r="BL90" s="16" t="n">
        <v>5.72587</v>
      </c>
      <c r="BM90" s="16" t="n">
        <v>5.71406</v>
      </c>
      <c r="BN90" s="16" t="n">
        <v>5.754696</v>
      </c>
    </row>
    <row r="91">
      <c r="A91" s="10" t="inlineStr">
        <is>
          <t>Uzbekistan</t>
        </is>
      </c>
      <c r="B91" s="16" t="n">
        <v>5.879314</v>
      </c>
      <c r="C91" s="27" t="n">
        <v>12.29240000000003</v>
      </c>
      <c r="D91" s="27" t="n">
        <v>23.08840000000005</v>
      </c>
      <c r="E91" s="27" t="n">
        <v>26.55539999999998</v>
      </c>
      <c r="F91" s="27" t="n">
        <v>11.65140000000005</v>
      </c>
      <c r="G91" s="16" t="n">
        <v>3.89987</v>
      </c>
      <c r="H91" s="16" t="n">
        <v>4.53726</v>
      </c>
      <c r="I91" s="16" t="n">
        <v>4.39213</v>
      </c>
      <c r="J91" s="16" t="n">
        <v>4.78319</v>
      </c>
      <c r="K91" s="16" t="n">
        <v>5.49043</v>
      </c>
      <c r="L91" s="16" t="n">
        <v>5.66256</v>
      </c>
      <c r="M91" s="16" t="n">
        <v>6.66603</v>
      </c>
      <c r="N91" s="16" t="n">
        <v>6.9438</v>
      </c>
      <c r="O91" s="16" t="n">
        <v>8.354990000000001</v>
      </c>
      <c r="P91" s="16" t="n">
        <v>8.50412</v>
      </c>
      <c r="Q91" s="16" t="n">
        <v>7.91847</v>
      </c>
      <c r="R91" s="16" t="n">
        <v>8.855689999999999</v>
      </c>
      <c r="S91" s="16" t="n">
        <v>8.84731</v>
      </c>
      <c r="T91" s="16" t="n">
        <v>7.3561</v>
      </c>
      <c r="U91" s="16" t="n">
        <v>7.00398</v>
      </c>
      <c r="V91" s="16" t="n">
        <v>6.85312</v>
      </c>
      <c r="W91" s="16" t="n">
        <v>7.28882</v>
      </c>
      <c r="X91" s="16" t="n">
        <v>7.53027</v>
      </c>
      <c r="Y91" s="16" t="n">
        <v>7.2443</v>
      </c>
      <c r="Z91" s="16" t="n">
        <v>7.54234</v>
      </c>
      <c r="AA91" s="16" t="n">
        <v>7.31626</v>
      </c>
      <c r="AB91" s="16" t="n">
        <v>7.04272</v>
      </c>
      <c r="AC91" s="16" t="n">
        <v>7.5438</v>
      </c>
      <c r="AD91" s="16" t="n">
        <v>8.01726</v>
      </c>
      <c r="AE91" s="16" t="n">
        <v>8.393319999999999</v>
      </c>
      <c r="AF91" s="16" t="n">
        <v>7.77436</v>
      </c>
      <c r="AG91" s="16" t="n">
        <v>6.94387</v>
      </c>
      <c r="AH91" s="16" t="n">
        <v>7.29179</v>
      </c>
      <c r="AI91" s="16" t="n">
        <v>7.07921</v>
      </c>
      <c r="AJ91" s="16" t="n">
        <v>7.06059</v>
      </c>
      <c r="AK91" s="16" t="n">
        <v>7.60943</v>
      </c>
      <c r="AL91" s="16" t="n">
        <v>7.35467</v>
      </c>
      <c r="AM91" s="16" t="n">
        <v>7.38091</v>
      </c>
      <c r="AN91" s="16" t="n">
        <v>7.29389</v>
      </c>
      <c r="AO91" s="16" t="n">
        <v>6.84898</v>
      </c>
      <c r="AP91" s="16" t="n">
        <v>6.59083</v>
      </c>
      <c r="AQ91" s="16" t="n">
        <v>6.95088</v>
      </c>
      <c r="AR91" s="16" t="n">
        <v>6.83776</v>
      </c>
      <c r="AS91" s="16" t="n">
        <v>7.12503</v>
      </c>
      <c r="AT91" s="16" t="n">
        <v>7.01142</v>
      </c>
      <c r="AU91" s="16" t="n">
        <v>6.75273</v>
      </c>
      <c r="AV91" s="16" t="n">
        <v>6.95193</v>
      </c>
      <c r="AW91" s="16" t="n">
        <v>6.71596</v>
      </c>
      <c r="AX91" s="16" t="n">
        <v>7.02382</v>
      </c>
      <c r="AY91" s="16" t="n">
        <v>6.42712</v>
      </c>
      <c r="AZ91" s="16" t="n">
        <v>6.19197</v>
      </c>
      <c r="BA91" s="16" t="n">
        <v>5.81893</v>
      </c>
      <c r="BB91" s="16" t="n">
        <v>5.58691</v>
      </c>
      <c r="BC91" s="16" t="n">
        <v>5.50393</v>
      </c>
      <c r="BD91" s="16" t="n">
        <v>5.6805</v>
      </c>
      <c r="BE91" s="16" t="n">
        <v>5.53502</v>
      </c>
      <c r="BF91" s="16" t="n">
        <v>5.39618</v>
      </c>
      <c r="BG91" s="16" t="n">
        <v>5.20374</v>
      </c>
      <c r="BH91" s="16" t="n">
        <v>6.07605</v>
      </c>
      <c r="BI91" s="16" t="n">
        <v>5.50726</v>
      </c>
      <c r="BJ91" s="16" t="n">
        <v>5.48455</v>
      </c>
      <c r="BK91" s="16" t="n">
        <v>5.54243</v>
      </c>
      <c r="BL91" s="16" t="n">
        <v>5.7517</v>
      </c>
      <c r="BM91" s="16" t="n">
        <v>5.73001</v>
      </c>
      <c r="BN91" s="16" t="n">
        <v>5.879314</v>
      </c>
    </row>
    <row r="92">
      <c r="A92" s="10" t="inlineStr">
        <is>
          <t>Venezuela</t>
        </is>
      </c>
      <c r="B92" s="16" t="n">
        <v>43.236069</v>
      </c>
      <c r="C92" s="26" t="n">
        <v>-288.3590999999996</v>
      </c>
      <c r="D92" s="27" t="n">
        <v>376.3509</v>
      </c>
      <c r="E92" s="26" t="n">
        <v>-6511.9981</v>
      </c>
      <c r="F92" s="26" t="n">
        <v>-9842.936099999995</v>
      </c>
      <c r="G92" s="16" t="n">
        <v>322.13867</v>
      </c>
      <c r="H92" s="16" t="n">
        <v>318.81378</v>
      </c>
      <c r="I92" s="16" t="n">
        <v>553.42529</v>
      </c>
      <c r="J92" s="16" t="n">
        <v>520.27419</v>
      </c>
      <c r="K92" s="16" t="n">
        <v>646.07751</v>
      </c>
      <c r="L92" s="16" t="n">
        <v>380.96126</v>
      </c>
      <c r="M92" s="16" t="n">
        <v>328.99782</v>
      </c>
      <c r="N92" s="16" t="n">
        <v>310.04214</v>
      </c>
      <c r="O92" s="16" t="n">
        <v>366.66328</v>
      </c>
      <c r="P92" s="16" t="n">
        <v>416.27405</v>
      </c>
      <c r="Q92" s="16" t="n">
        <v>404.33039</v>
      </c>
      <c r="R92" s="16" t="n">
        <v>505.26161</v>
      </c>
      <c r="S92" s="16" t="n">
        <v>516.13399</v>
      </c>
      <c r="T92" s="16" t="n">
        <v>351.60464</v>
      </c>
      <c r="U92" s="16" t="n">
        <v>453.05085</v>
      </c>
      <c r="V92" s="16" t="n">
        <v>116.17011</v>
      </c>
      <c r="W92" s="16" t="n">
        <v>112.46304</v>
      </c>
      <c r="X92" s="16" t="n">
        <v>114.46048</v>
      </c>
      <c r="Y92" s="16" t="n">
        <v>122.95023</v>
      </c>
      <c r="Z92" s="16" t="n">
        <v>380.60824</v>
      </c>
      <c r="AA92" s="16" t="n">
        <v>432.89343</v>
      </c>
      <c r="AB92" s="16" t="n">
        <v>393.33272</v>
      </c>
      <c r="AC92" s="16" t="n">
        <v>347.54317</v>
      </c>
      <c r="AD92" s="16" t="n">
        <v>394.58793</v>
      </c>
      <c r="AE92" s="16" t="n">
        <v>163.99521</v>
      </c>
      <c r="AF92" s="16" t="n">
        <v>185.58846</v>
      </c>
      <c r="AG92" s="16" t="n">
        <v>218.96806</v>
      </c>
      <c r="AH92" s="16" t="n">
        <v>226.65874</v>
      </c>
      <c r="AI92" s="16" t="n">
        <v>224.28088</v>
      </c>
      <c r="AJ92" s="16" t="n">
        <v>222.16534</v>
      </c>
      <c r="AK92" s="16" t="n">
        <v>153.15053</v>
      </c>
      <c r="AL92" s="16" t="n">
        <v>157.3157</v>
      </c>
      <c r="AM92" s="16" t="n">
        <v>173.7563</v>
      </c>
      <c r="AN92" s="16" t="n">
        <v>191.79477</v>
      </c>
      <c r="AO92" s="16" t="n">
        <v>231.01454</v>
      </c>
      <c r="AP92" s="16" t="n">
        <v>198.86432</v>
      </c>
      <c r="AQ92" s="16" t="n">
        <v>201.04666</v>
      </c>
      <c r="AR92" s="16" t="n">
        <v>228.1305</v>
      </c>
      <c r="AS92" s="16" t="n">
        <v>241.93355</v>
      </c>
      <c r="AT92" s="16" t="n">
        <v>209.22924</v>
      </c>
      <c r="AU92" s="16" t="n">
        <v>176.9341</v>
      </c>
      <c r="AV92" s="16" t="n">
        <v>163.99138</v>
      </c>
      <c r="AW92" s="16" t="n">
        <v>202.35523</v>
      </c>
      <c r="AX92" s="16" t="n">
        <v>174.8854</v>
      </c>
      <c r="AY92" s="16" t="n">
        <v>185.46264</v>
      </c>
      <c r="AZ92" s="16" t="n">
        <v>194.10241</v>
      </c>
      <c r="BA92" s="16" t="n">
        <v>167.79425</v>
      </c>
      <c r="BB92" s="16" t="n">
        <v>165.53621</v>
      </c>
      <c r="BC92" s="16" t="n">
        <v>129.87659</v>
      </c>
      <c r="BD92" s="16" t="n">
        <v>118.57653</v>
      </c>
      <c r="BE92" s="16" t="n">
        <v>130.90109</v>
      </c>
      <c r="BF92" s="16" t="n">
        <v>93.57268999999999</v>
      </c>
      <c r="BG92" s="16" t="n">
        <v>83.73643</v>
      </c>
      <c r="BH92" s="16" t="n">
        <v>67.46202</v>
      </c>
      <c r="BI92" s="16" t="n">
        <v>59.38559</v>
      </c>
      <c r="BJ92" s="16" t="n">
        <v>61.11809</v>
      </c>
      <c r="BK92" s="16" t="n">
        <v>70.31493</v>
      </c>
      <c r="BL92" s="16" t="n">
        <v>70.9988</v>
      </c>
      <c r="BM92" s="16" t="n">
        <v>68.10171</v>
      </c>
      <c r="BN92" s="16" t="n">
        <v>43.236069</v>
      </c>
    </row>
    <row r="93">
      <c r="A93" s="10" t="inlineStr">
        <is>
          <t>Zambia</t>
        </is>
      </c>
      <c r="B93" s="16" t="n">
        <v>6.44919</v>
      </c>
      <c r="C93" s="15" t="n">
        <v>0</v>
      </c>
      <c r="D93" s="15" t="n">
        <v>0</v>
      </c>
      <c r="E93" s="15" t="n">
        <v>0</v>
      </c>
      <c r="F93" s="15" t="n">
        <v>0</v>
      </c>
      <c r="G93" s="16" t="inlineStr"/>
      <c r="H93" s="16" t="inlineStr"/>
      <c r="I93" s="16" t="inlineStr"/>
      <c r="J93" s="16" t="inlineStr"/>
      <c r="K93" s="16" t="inlineStr"/>
      <c r="L93" s="16" t="inlineStr"/>
      <c r="M93" s="16" t="inlineStr"/>
      <c r="N93" s="16" t="inlineStr"/>
      <c r="O93" s="16" t="inlineStr"/>
      <c r="P93" s="16" t="inlineStr"/>
      <c r="Q93" s="16" t="inlineStr"/>
      <c r="R93" s="16" t="inlineStr"/>
      <c r="S93" s="16" t="inlineStr"/>
      <c r="T93" s="16" t="inlineStr"/>
      <c r="U93" s="16" t="inlineStr"/>
      <c r="V93" s="16" t="inlineStr"/>
      <c r="W93" s="16" t="inlineStr"/>
      <c r="X93" s="16" t="inlineStr"/>
      <c r="Y93" s="16" t="inlineStr"/>
      <c r="Z93" s="16" t="inlineStr"/>
      <c r="AA93" s="16" t="inlineStr"/>
      <c r="AB93" s="16" t="inlineStr"/>
      <c r="AC93" s="16" t="inlineStr"/>
      <c r="AD93" s="16" t="inlineStr"/>
      <c r="AE93" s="16" t="inlineStr"/>
      <c r="AF93" s="16" t="inlineStr"/>
      <c r="AG93" s="16" t="inlineStr"/>
      <c r="AH93" s="16" t="inlineStr"/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  <c r="AT93" s="16" t="inlineStr"/>
      <c r="AU93" s="16" t="inlineStr"/>
      <c r="AV93" s="16" t="inlineStr"/>
      <c r="AW93" s="16" t="inlineStr"/>
      <c r="AX93" s="16" t="inlineStr"/>
      <c r="AY93" s="16" t="inlineStr"/>
      <c r="AZ93" s="16" t="inlineStr"/>
      <c r="BA93" s="16" t="inlineStr"/>
      <c r="BB93" s="16" t="inlineStr"/>
      <c r="BC93" s="16" t="inlineStr"/>
      <c r="BD93" s="16" t="inlineStr"/>
      <c r="BE93" s="16" t="inlineStr"/>
      <c r="BF93" s="16" t="inlineStr"/>
      <c r="BG93" s="16" t="inlineStr"/>
      <c r="BH93" s="16" t="inlineStr"/>
      <c r="BI93" s="16" t="inlineStr"/>
      <c r="BJ93" s="16" t="inlineStr"/>
      <c r="BK93" s="16" t="inlineStr"/>
      <c r="BL93" s="16" t="inlineStr"/>
      <c r="BM93" s="16" t="inlineStr"/>
      <c r="BN93" s="16" t="n">
        <v>6.44919</v>
      </c>
    </row>
    <row r="95">
      <c r="A95" s="4" t="inlineStr">
        <is>
          <t>Green is tightening, red is widening.  Levels in the history block are month ends.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95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2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</cols>
  <sheetData>
    <row r="1">
      <c r="A1" s="5" t="inlineStr">
        <is>
          <t>Total return index — 2026-09-08</t>
        </is>
      </c>
    </row>
    <row r="2">
      <c r="A2" s="4" t="inlineStr">
        <is>
          <t>Sub-indices at the top: the index, then the five regions, then the rating buckets, then countries. The block on the left is how each one is doing (level); the columns to the right are month-end history.</t>
        </is>
      </c>
    </row>
    <row r="4">
      <c r="A4" s="13" t="inlineStr">
        <is>
          <t>Sub-index</t>
        </is>
      </c>
      <c r="B4" s="13" t="inlineStr">
        <is>
          <t>Latest (level)</t>
        </is>
      </c>
      <c r="C4" s="13" t="inlineStr">
        <is>
          <t>1 month</t>
        </is>
      </c>
      <c r="D4" s="13" t="inlineStr">
        <is>
          <t>3 months</t>
        </is>
      </c>
      <c r="E4" s="13" t="inlineStr">
        <is>
          <t>YTD 2026</t>
        </is>
      </c>
      <c r="F4" s="13" t="inlineStr">
        <is>
          <t>12 months</t>
        </is>
      </c>
      <c r="G4" s="13" t="inlineStr">
        <is>
          <t>2021-10</t>
        </is>
      </c>
      <c r="H4" s="13" t="inlineStr">
        <is>
          <t>2021-11</t>
        </is>
      </c>
      <c r="I4" s="13" t="inlineStr">
        <is>
          <t>2021-12</t>
        </is>
      </c>
      <c r="J4" s="13" t="inlineStr">
        <is>
          <t>2022-01</t>
        </is>
      </c>
      <c r="K4" s="13" t="inlineStr">
        <is>
          <t>2022-02</t>
        </is>
      </c>
      <c r="L4" s="13" t="inlineStr">
        <is>
          <t>2022-03</t>
        </is>
      </c>
      <c r="M4" s="13" t="inlineStr">
        <is>
          <t>2022-04</t>
        </is>
      </c>
      <c r="N4" s="13" t="inlineStr">
        <is>
          <t>2022-05</t>
        </is>
      </c>
      <c r="O4" s="13" t="inlineStr">
        <is>
          <t>2022-06</t>
        </is>
      </c>
      <c r="P4" s="13" t="inlineStr">
        <is>
          <t>2022-07</t>
        </is>
      </c>
      <c r="Q4" s="13" t="inlineStr">
        <is>
          <t>2022-08</t>
        </is>
      </c>
      <c r="R4" s="13" t="inlineStr">
        <is>
          <t>2022-09</t>
        </is>
      </c>
      <c r="S4" s="13" t="inlineStr">
        <is>
          <t>2022-10</t>
        </is>
      </c>
      <c r="T4" s="13" t="inlineStr">
        <is>
          <t>2022-11</t>
        </is>
      </c>
      <c r="U4" s="13" t="inlineStr">
        <is>
          <t>2022-12</t>
        </is>
      </c>
      <c r="V4" s="13" t="inlineStr">
        <is>
          <t>2023-01</t>
        </is>
      </c>
      <c r="W4" s="13" t="inlineStr">
        <is>
          <t>2023-02</t>
        </is>
      </c>
      <c r="X4" s="13" t="inlineStr">
        <is>
          <t>2023-03</t>
        </is>
      </c>
      <c r="Y4" s="13" t="inlineStr">
        <is>
          <t>2023-04</t>
        </is>
      </c>
      <c r="Z4" s="13" t="inlineStr">
        <is>
          <t>2023-05</t>
        </is>
      </c>
      <c r="AA4" s="13" t="inlineStr">
        <is>
          <t>2023-06</t>
        </is>
      </c>
      <c r="AB4" s="13" t="inlineStr">
        <is>
          <t>2023-07</t>
        </is>
      </c>
      <c r="AC4" s="13" t="inlineStr">
        <is>
          <t>2023-08</t>
        </is>
      </c>
      <c r="AD4" s="13" t="inlineStr">
        <is>
          <t>2023-09</t>
        </is>
      </c>
      <c r="AE4" s="13" t="inlineStr">
        <is>
          <t>2023-10</t>
        </is>
      </c>
      <c r="AF4" s="13" t="inlineStr">
        <is>
          <t>2023-11</t>
        </is>
      </c>
      <c r="AG4" s="13" t="inlineStr">
        <is>
          <t>2023-12</t>
        </is>
      </c>
      <c r="AH4" s="13" t="inlineStr">
        <is>
          <t>2024-01</t>
        </is>
      </c>
      <c r="AI4" s="13" t="inlineStr">
        <is>
          <t>2024-02</t>
        </is>
      </c>
      <c r="AJ4" s="13" t="inlineStr">
        <is>
          <t>2024-03</t>
        </is>
      </c>
      <c r="AK4" s="13" t="inlineStr">
        <is>
          <t>2024-04</t>
        </is>
      </c>
      <c r="AL4" s="13" t="inlineStr">
        <is>
          <t>2024-05</t>
        </is>
      </c>
      <c r="AM4" s="13" t="inlineStr">
        <is>
          <t>2024-06</t>
        </is>
      </c>
      <c r="AN4" s="13" t="inlineStr">
        <is>
          <t>2024-07</t>
        </is>
      </c>
      <c r="AO4" s="13" t="inlineStr">
        <is>
          <t>2024-08</t>
        </is>
      </c>
      <c r="AP4" s="13" t="inlineStr">
        <is>
          <t>2024-09</t>
        </is>
      </c>
      <c r="AQ4" s="13" t="inlineStr">
        <is>
          <t>2024-10</t>
        </is>
      </c>
      <c r="AR4" s="13" t="inlineStr">
        <is>
          <t>2024-11</t>
        </is>
      </c>
      <c r="AS4" s="13" t="inlineStr">
        <is>
          <t>2024-12</t>
        </is>
      </c>
      <c r="AT4" s="13" t="inlineStr">
        <is>
          <t>2025-01</t>
        </is>
      </c>
      <c r="AU4" s="13" t="inlineStr">
        <is>
          <t>2025-02</t>
        </is>
      </c>
      <c r="AV4" s="13" t="inlineStr">
        <is>
          <t>2025-03</t>
        </is>
      </c>
      <c r="AW4" s="13" t="inlineStr">
        <is>
          <t>2025-04</t>
        </is>
      </c>
      <c r="AX4" s="13" t="inlineStr">
        <is>
          <t>2025-05</t>
        </is>
      </c>
      <c r="AY4" s="13" t="inlineStr">
        <is>
          <t>2025-06</t>
        </is>
      </c>
      <c r="AZ4" s="13" t="inlineStr">
        <is>
          <t>2025-07</t>
        </is>
      </c>
      <c r="BA4" s="13" t="inlineStr">
        <is>
          <t>2025-08</t>
        </is>
      </c>
      <c r="BB4" s="13" t="inlineStr">
        <is>
          <t>2025-09</t>
        </is>
      </c>
      <c r="BC4" s="13" t="inlineStr">
        <is>
          <t>2025-10</t>
        </is>
      </c>
      <c r="BD4" s="13" t="inlineStr">
        <is>
          <t>2025-11</t>
        </is>
      </c>
      <c r="BE4" s="13" t="inlineStr">
        <is>
          <t>2025-12</t>
        </is>
      </c>
      <c r="BF4" s="13" t="inlineStr">
        <is>
          <t>2026-01</t>
        </is>
      </c>
      <c r="BG4" s="13" t="inlineStr">
        <is>
          <t>2026-02</t>
        </is>
      </c>
      <c r="BH4" s="13" t="inlineStr">
        <is>
          <t>2026-03</t>
        </is>
      </c>
      <c r="BI4" s="13" t="inlineStr">
        <is>
          <t>2026-04</t>
        </is>
      </c>
      <c r="BJ4" s="13" t="inlineStr">
        <is>
          <t>2026-05</t>
        </is>
      </c>
      <c r="BK4" s="13" t="inlineStr">
        <is>
          <t>2026-06</t>
        </is>
      </c>
      <c r="BL4" s="13" t="inlineStr">
        <is>
          <t>2026-07</t>
        </is>
      </c>
      <c r="BM4" s="13" t="inlineStr">
        <is>
          <t>2026-08</t>
        </is>
      </c>
      <c r="BN4" s="13" t="inlineStr">
        <is>
          <t>2026-09-08</t>
        </is>
      </c>
    </row>
    <row r="5">
      <c r="A5" s="2" t="inlineStr">
        <is>
          <t>INDEX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</row>
    <row r="6">
      <c r="A6" s="2" t="inlineStr">
        <is>
          <t>EMBIG Div</t>
        </is>
      </c>
      <c r="B6" s="28" t="n">
        <v>1116.104674</v>
      </c>
      <c r="C6" s="29" t="n">
        <v>-0.1237200715036413</v>
      </c>
      <c r="D6" s="30" t="n">
        <v>0.385302559549161</v>
      </c>
      <c r="E6" s="30" t="n">
        <v>2.683231414603848</v>
      </c>
      <c r="F6" s="30" t="n">
        <v>6.890683611375636</v>
      </c>
      <c r="G6" s="16" t="n">
        <v>981.8575499999999</v>
      </c>
      <c r="H6" s="16" t="n">
        <v>963.79607</v>
      </c>
      <c r="I6" s="16" t="n">
        <v>977.29084</v>
      </c>
      <c r="J6" s="16" t="n">
        <v>949.48614</v>
      </c>
      <c r="K6" s="16" t="n">
        <v>887.3273799999999</v>
      </c>
      <c r="L6" s="16" t="n">
        <v>879.35257</v>
      </c>
      <c r="M6" s="16" t="n">
        <v>830.18534</v>
      </c>
      <c r="N6" s="16" t="n">
        <v>830.40676</v>
      </c>
      <c r="O6" s="16" t="n">
        <v>778.80932</v>
      </c>
      <c r="P6" s="16" t="n">
        <v>801.32145</v>
      </c>
      <c r="Q6" s="16" t="n">
        <v>793.7456100000001</v>
      </c>
      <c r="R6" s="16" t="n">
        <v>743.23873</v>
      </c>
      <c r="S6" s="16" t="n">
        <v>744.37363</v>
      </c>
      <c r="T6" s="16" t="n">
        <v>800.88232</v>
      </c>
      <c r="U6" s="16" t="n">
        <v>803.49652</v>
      </c>
      <c r="V6" s="16" t="n">
        <v>828.95298</v>
      </c>
      <c r="W6" s="16" t="n">
        <v>810.65064</v>
      </c>
      <c r="X6" s="16" t="n">
        <v>818.4623</v>
      </c>
      <c r="Y6" s="16" t="n">
        <v>822.80826</v>
      </c>
      <c r="Z6" s="16" t="n">
        <v>818.088</v>
      </c>
      <c r="AA6" s="16" t="n">
        <v>836.34996</v>
      </c>
      <c r="AB6" s="16" t="n">
        <v>852.33397</v>
      </c>
      <c r="AC6" s="16" t="n">
        <v>839.50891</v>
      </c>
      <c r="AD6" s="16" t="n">
        <v>817.67372</v>
      </c>
      <c r="AE6" s="16" t="n">
        <v>806.60412</v>
      </c>
      <c r="AF6" s="16" t="n">
        <v>852.27693</v>
      </c>
      <c r="AG6" s="16" t="n">
        <v>892.61321</v>
      </c>
      <c r="AH6" s="16" t="n">
        <v>883.49343</v>
      </c>
      <c r="AI6" s="16" t="n">
        <v>892.1319</v>
      </c>
      <c r="AJ6" s="16" t="n">
        <v>910.78224</v>
      </c>
      <c r="AK6" s="16" t="n">
        <v>891.87368</v>
      </c>
      <c r="AL6" s="16" t="n">
        <v>907.95312</v>
      </c>
      <c r="AM6" s="16" t="n">
        <v>913.5425300000001</v>
      </c>
      <c r="AN6" s="16" t="n">
        <v>930.60532</v>
      </c>
      <c r="AO6" s="16" t="n">
        <v>952.18351</v>
      </c>
      <c r="AP6" s="16" t="n">
        <v>969.7637</v>
      </c>
      <c r="AQ6" s="16" t="n">
        <v>953.09759</v>
      </c>
      <c r="AR6" s="16" t="n">
        <v>964.43904</v>
      </c>
      <c r="AS6" s="16" t="n">
        <v>950.95512</v>
      </c>
      <c r="AT6" s="16" t="n">
        <v>964.62825</v>
      </c>
      <c r="AU6" s="16" t="n">
        <v>979.75916</v>
      </c>
      <c r="AV6" s="16" t="n">
        <v>972.29495</v>
      </c>
      <c r="AW6" s="16" t="n">
        <v>970.13469</v>
      </c>
      <c r="AX6" s="16" t="n">
        <v>980.95223</v>
      </c>
      <c r="AY6" s="16" t="n">
        <v>1004.6192</v>
      </c>
      <c r="AZ6" s="16" t="n">
        <v>1017.3551</v>
      </c>
      <c r="BA6" s="16" t="n">
        <v>1033.93065</v>
      </c>
      <c r="BB6" s="16" t="n">
        <v>1052.34345</v>
      </c>
      <c r="BC6" s="16" t="n">
        <v>1074.72854</v>
      </c>
      <c r="BD6" s="16" t="n">
        <v>1079.1683</v>
      </c>
      <c r="BE6" s="16" t="n">
        <v>1086.93957</v>
      </c>
      <c r="BF6" s="16" t="n">
        <v>1094.3409</v>
      </c>
      <c r="BG6" s="16" t="n">
        <v>1109.50902</v>
      </c>
      <c r="BH6" s="16" t="n">
        <v>1073.24596</v>
      </c>
      <c r="BI6" s="16" t="n">
        <v>1103.96125</v>
      </c>
      <c r="BJ6" s="16" t="n">
        <v>1114.95318</v>
      </c>
      <c r="BK6" s="16" t="n">
        <v>1122.98518</v>
      </c>
      <c r="BL6" s="16" t="n">
        <v>1106.9906</v>
      </c>
      <c r="BM6" s="16" t="n">
        <v>1116.87017</v>
      </c>
      <c r="BN6" s="16" t="n">
        <v>1116.104674</v>
      </c>
    </row>
    <row r="8">
      <c r="A8" s="2" t="inlineStr">
        <is>
          <t>REGIONS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</row>
    <row r="9">
      <c r="A9" s="7" t="inlineStr">
        <is>
          <t>LATIN Region</t>
        </is>
      </c>
      <c r="B9" s="28" t="n">
        <v>1086.761541</v>
      </c>
      <c r="C9" s="29" t="n">
        <v>-0.06417977122401552</v>
      </c>
      <c r="D9" s="30" t="n">
        <v>0.1666985666678</v>
      </c>
      <c r="E9" s="30" t="n">
        <v>4.424909520031806</v>
      </c>
      <c r="F9" s="30" t="n">
        <v>10.11323532746462</v>
      </c>
      <c r="G9" s="16" t="n">
        <v>866.94052</v>
      </c>
      <c r="H9" s="16" t="n">
        <v>848.71371</v>
      </c>
      <c r="I9" s="16" t="n">
        <v>868.05179</v>
      </c>
      <c r="J9" s="16" t="n">
        <v>841.94272</v>
      </c>
      <c r="K9" s="16" t="n">
        <v>819.20575</v>
      </c>
      <c r="L9" s="16" t="n">
        <v>818.63046</v>
      </c>
      <c r="M9" s="16" t="n">
        <v>761.85268</v>
      </c>
      <c r="N9" s="16" t="n">
        <v>767.9750299999999</v>
      </c>
      <c r="O9" s="16" t="n">
        <v>711.88175</v>
      </c>
      <c r="P9" s="16" t="n">
        <v>744.8422</v>
      </c>
      <c r="Q9" s="16" t="n">
        <v>724.21254</v>
      </c>
      <c r="R9" s="16" t="n">
        <v>674.24286</v>
      </c>
      <c r="S9" s="16" t="n">
        <v>682.16425</v>
      </c>
      <c r="T9" s="16" t="n">
        <v>737.98511</v>
      </c>
      <c r="U9" s="16" t="n">
        <v>740.96289</v>
      </c>
      <c r="V9" s="16" t="n">
        <v>772.82384</v>
      </c>
      <c r="W9" s="16" t="n">
        <v>746.1119200000001</v>
      </c>
      <c r="X9" s="16" t="n">
        <v>757.55236</v>
      </c>
      <c r="Y9" s="16" t="n">
        <v>763.52414</v>
      </c>
      <c r="Z9" s="16" t="n">
        <v>755.70126</v>
      </c>
      <c r="AA9" s="16" t="n">
        <v>775.02892</v>
      </c>
      <c r="AB9" s="16" t="n">
        <v>786.70651</v>
      </c>
      <c r="AC9" s="16" t="n">
        <v>778.4006900000001</v>
      </c>
      <c r="AD9" s="16" t="n">
        <v>747.18994</v>
      </c>
      <c r="AE9" s="16" t="n">
        <v>733.25663</v>
      </c>
      <c r="AF9" s="16" t="n">
        <v>781.45642</v>
      </c>
      <c r="AG9" s="16" t="n">
        <v>822.35136</v>
      </c>
      <c r="AH9" s="16" t="n">
        <v>815.42642</v>
      </c>
      <c r="AI9" s="16" t="n">
        <v>822.60538</v>
      </c>
      <c r="AJ9" s="16" t="n">
        <v>841.02264</v>
      </c>
      <c r="AK9" s="16" t="n">
        <v>825.52629</v>
      </c>
      <c r="AL9" s="16" t="n">
        <v>838.21756</v>
      </c>
      <c r="AM9" s="16" t="n">
        <v>842.1309</v>
      </c>
      <c r="AN9" s="16" t="n">
        <v>862.00388</v>
      </c>
      <c r="AO9" s="16" t="n">
        <v>884.36509</v>
      </c>
      <c r="AP9" s="16" t="n">
        <v>904.83921</v>
      </c>
      <c r="AQ9" s="16" t="n">
        <v>886.1729</v>
      </c>
      <c r="AR9" s="16" t="n">
        <v>901.42853</v>
      </c>
      <c r="AS9" s="16" t="n">
        <v>886.5891800000001</v>
      </c>
      <c r="AT9" s="16" t="n">
        <v>902.27999</v>
      </c>
      <c r="AU9" s="16" t="n">
        <v>912.94326</v>
      </c>
      <c r="AV9" s="16" t="n">
        <v>908.13237</v>
      </c>
      <c r="AW9" s="16" t="n">
        <v>913.40259</v>
      </c>
      <c r="AX9" s="16" t="n">
        <v>921.758</v>
      </c>
      <c r="AY9" s="16" t="n">
        <v>948.27306</v>
      </c>
      <c r="AZ9" s="16" t="n">
        <v>958.39888</v>
      </c>
      <c r="BA9" s="16" t="n">
        <v>977.44499</v>
      </c>
      <c r="BB9" s="16" t="n">
        <v>992.28329</v>
      </c>
      <c r="BC9" s="16" t="n">
        <v>1027.94183</v>
      </c>
      <c r="BD9" s="16" t="n">
        <v>1033.17638</v>
      </c>
      <c r="BE9" s="16" t="n">
        <v>1040.71102</v>
      </c>
      <c r="BF9" s="16" t="n">
        <v>1056.89004</v>
      </c>
      <c r="BG9" s="16" t="n">
        <v>1072.69105</v>
      </c>
      <c r="BH9" s="16" t="n">
        <v>1047.05737</v>
      </c>
      <c r="BI9" s="16" t="n">
        <v>1080.32226</v>
      </c>
      <c r="BJ9" s="16" t="n">
        <v>1085.14491</v>
      </c>
      <c r="BK9" s="16" t="n">
        <v>1095.88818</v>
      </c>
      <c r="BL9" s="16" t="n">
        <v>1076.93986</v>
      </c>
      <c r="BM9" s="16" t="n">
        <v>1085.67957</v>
      </c>
      <c r="BN9" s="16" t="n">
        <v>1086.761541</v>
      </c>
    </row>
    <row r="10">
      <c r="A10" s="7" t="inlineStr">
        <is>
          <t>EUROPE Region</t>
        </is>
      </c>
      <c r="B10" s="28" t="n">
        <v>1208.293656</v>
      </c>
      <c r="C10" s="29" t="n">
        <v>-0.5912596033024853</v>
      </c>
      <c r="D10" s="30" t="n">
        <v>0.321319340460291</v>
      </c>
      <c r="E10" s="30" t="n">
        <v>1.857301394858912</v>
      </c>
      <c r="F10" s="30" t="n">
        <v>5.643862239925168</v>
      </c>
      <c r="G10" s="16" t="n">
        <v>1419.85451</v>
      </c>
      <c r="H10" s="16" t="n">
        <v>1390.69647</v>
      </c>
      <c r="I10" s="16" t="n">
        <v>1388.72555</v>
      </c>
      <c r="J10" s="16" t="n">
        <v>1334.41309</v>
      </c>
      <c r="K10" s="16" t="n">
        <v>1008.73711</v>
      </c>
      <c r="L10" s="16" t="n">
        <v>949.81152</v>
      </c>
      <c r="M10" s="16" t="n">
        <v>909.35622</v>
      </c>
      <c r="N10" s="16" t="n">
        <v>908.40016</v>
      </c>
      <c r="O10" s="16" t="n">
        <v>849.2234999999999</v>
      </c>
      <c r="P10" s="16" t="n">
        <v>858.65097</v>
      </c>
      <c r="Q10" s="16" t="n">
        <v>855.69239</v>
      </c>
      <c r="R10" s="16" t="n">
        <v>819.32392</v>
      </c>
      <c r="S10" s="16" t="n">
        <v>827.81418</v>
      </c>
      <c r="T10" s="16" t="n">
        <v>889.07912</v>
      </c>
      <c r="U10" s="16" t="n">
        <v>890.46649</v>
      </c>
      <c r="V10" s="16" t="n">
        <v>905.69892</v>
      </c>
      <c r="W10" s="16" t="n">
        <v>893.80789</v>
      </c>
      <c r="X10" s="16" t="n">
        <v>908.93795</v>
      </c>
      <c r="Y10" s="16" t="n">
        <v>915.83557</v>
      </c>
      <c r="Z10" s="16" t="n">
        <v>904.53829</v>
      </c>
      <c r="AA10" s="16" t="n">
        <v>929.7411499999999</v>
      </c>
      <c r="AB10" s="16" t="n">
        <v>962.46052</v>
      </c>
      <c r="AC10" s="16" t="n">
        <v>949.95628</v>
      </c>
      <c r="AD10" s="16" t="n">
        <v>932.64516</v>
      </c>
      <c r="AE10" s="16" t="n">
        <v>922.91809</v>
      </c>
      <c r="AF10" s="16" t="n">
        <v>962.5664</v>
      </c>
      <c r="AG10" s="16" t="n">
        <v>1004.66553</v>
      </c>
      <c r="AH10" s="16" t="n">
        <v>992.88639</v>
      </c>
      <c r="AI10" s="16" t="n">
        <v>1000.48886</v>
      </c>
      <c r="AJ10" s="16" t="n">
        <v>1019.45149</v>
      </c>
      <c r="AK10" s="16" t="n">
        <v>996.14324</v>
      </c>
      <c r="AL10" s="16" t="n">
        <v>1014.24967</v>
      </c>
      <c r="AM10" s="16" t="n">
        <v>1026.02228</v>
      </c>
      <c r="AN10" s="16" t="n">
        <v>1047.14669</v>
      </c>
      <c r="AO10" s="16" t="n">
        <v>1067.49847</v>
      </c>
      <c r="AP10" s="16" t="n">
        <v>1082.49473</v>
      </c>
      <c r="AQ10" s="16" t="n">
        <v>1063.43074</v>
      </c>
      <c r="AR10" s="16" t="n">
        <v>1073.78149</v>
      </c>
      <c r="AS10" s="16" t="n">
        <v>1063.55501</v>
      </c>
      <c r="AT10" s="16" t="n">
        <v>1076.59821</v>
      </c>
      <c r="AU10" s="16" t="n">
        <v>1097.54563</v>
      </c>
      <c r="AV10" s="16" t="n">
        <v>1083.44926</v>
      </c>
      <c r="AW10" s="16" t="n">
        <v>1078.3108</v>
      </c>
      <c r="AX10" s="16" t="n">
        <v>1082.84488</v>
      </c>
      <c r="AY10" s="16" t="n">
        <v>1106.21961</v>
      </c>
      <c r="AZ10" s="16" t="n">
        <v>1120.08915</v>
      </c>
      <c r="BA10" s="16" t="n">
        <v>1138.16875</v>
      </c>
      <c r="BB10" s="16" t="n">
        <v>1156.08355</v>
      </c>
      <c r="BC10" s="16" t="n">
        <v>1170.34011</v>
      </c>
      <c r="BD10" s="16" t="n">
        <v>1178.40916</v>
      </c>
      <c r="BE10" s="16" t="n">
        <v>1186.26121</v>
      </c>
      <c r="BF10" s="16" t="n">
        <v>1189.63624</v>
      </c>
      <c r="BG10" s="16" t="n">
        <v>1206.93369</v>
      </c>
      <c r="BH10" s="16" t="n">
        <v>1158.24726</v>
      </c>
      <c r="BI10" s="16" t="n">
        <v>1191.20465</v>
      </c>
      <c r="BJ10" s="16" t="n">
        <v>1208.37772</v>
      </c>
      <c r="BK10" s="16" t="n">
        <v>1219.91127</v>
      </c>
      <c r="BL10" s="16" t="n">
        <v>1205.77106</v>
      </c>
      <c r="BM10" s="16" t="n">
        <v>1212.44538</v>
      </c>
      <c r="BN10" s="16" t="n">
        <v>1208.293656</v>
      </c>
    </row>
    <row r="11">
      <c r="A11" s="7" t="inlineStr">
        <is>
          <t>AFRICA Region</t>
        </is>
      </c>
      <c r="B11" s="28" t="n">
        <v>1806.655822</v>
      </c>
      <c r="C11" s="30" t="n">
        <v>0.3067056203248653</v>
      </c>
      <c r="D11" s="30" t="n">
        <v>1.709128502934787</v>
      </c>
      <c r="E11" s="30" t="n">
        <v>4.765696347444037</v>
      </c>
      <c r="F11" s="30" t="n">
        <v>12.1894674136336</v>
      </c>
      <c r="G11" s="16" t="n">
        <v>1302.94047</v>
      </c>
      <c r="H11" s="16" t="n">
        <v>1249.37991</v>
      </c>
      <c r="I11" s="16" t="n">
        <v>1294.47845</v>
      </c>
      <c r="J11" s="16" t="n">
        <v>1269.45877</v>
      </c>
      <c r="K11" s="16" t="n">
        <v>1208.38619</v>
      </c>
      <c r="L11" s="16" t="n">
        <v>1241.62613</v>
      </c>
      <c r="M11" s="16" t="n">
        <v>1152.38569</v>
      </c>
      <c r="N11" s="16" t="n">
        <v>1139.29413</v>
      </c>
      <c r="O11" s="16" t="n">
        <v>1007.11295</v>
      </c>
      <c r="P11" s="16" t="n">
        <v>1028.60057</v>
      </c>
      <c r="Q11" s="16" t="n">
        <v>1043.88067</v>
      </c>
      <c r="R11" s="16" t="n">
        <v>969.22208</v>
      </c>
      <c r="S11" s="16" t="n">
        <v>987.5599</v>
      </c>
      <c r="T11" s="16" t="n">
        <v>1111.76172</v>
      </c>
      <c r="U11" s="16" t="n">
        <v>1102.94883</v>
      </c>
      <c r="V11" s="16" t="n">
        <v>1139.2691</v>
      </c>
      <c r="W11" s="16" t="n">
        <v>1116.45293</v>
      </c>
      <c r="X11" s="16" t="n">
        <v>1086.10132</v>
      </c>
      <c r="Y11" s="16" t="n">
        <v>1062.86421</v>
      </c>
      <c r="Z11" s="16" t="n">
        <v>1085.57062</v>
      </c>
      <c r="AA11" s="16" t="n">
        <v>1132.6147</v>
      </c>
      <c r="AB11" s="16" t="n">
        <v>1186.73612</v>
      </c>
      <c r="AC11" s="16" t="n">
        <v>1132.49208</v>
      </c>
      <c r="AD11" s="16" t="n">
        <v>1121.04263</v>
      </c>
      <c r="AE11" s="16" t="n">
        <v>1123.15466</v>
      </c>
      <c r="AF11" s="16" t="n">
        <v>1194.59026</v>
      </c>
      <c r="AG11" s="16" t="n">
        <v>1266.56183</v>
      </c>
      <c r="AH11" s="16" t="n">
        <v>1250.83178</v>
      </c>
      <c r="AI11" s="16" t="n">
        <v>1305.26555</v>
      </c>
      <c r="AJ11" s="16" t="n">
        <v>1349.77435</v>
      </c>
      <c r="AK11" s="16" t="n">
        <v>1324.57542</v>
      </c>
      <c r="AL11" s="16" t="n">
        <v>1351.57584</v>
      </c>
      <c r="AM11" s="16" t="n">
        <v>1346.12942</v>
      </c>
      <c r="AN11" s="16" t="n">
        <v>1366.97513</v>
      </c>
      <c r="AO11" s="16" t="n">
        <v>1404.76957</v>
      </c>
      <c r="AP11" s="16" t="n">
        <v>1436.54108</v>
      </c>
      <c r="AQ11" s="16" t="n">
        <v>1424.90213</v>
      </c>
      <c r="AR11" s="16" t="n">
        <v>1441.22303</v>
      </c>
      <c r="AS11" s="16" t="n">
        <v>1425.31245</v>
      </c>
      <c r="AT11" s="16" t="n">
        <v>1452.91822</v>
      </c>
      <c r="AU11" s="16" t="n">
        <v>1469.34939</v>
      </c>
      <c r="AV11" s="16" t="n">
        <v>1442.30922</v>
      </c>
      <c r="AW11" s="16" t="n">
        <v>1403.69987</v>
      </c>
      <c r="AX11" s="16" t="n">
        <v>1469.95166</v>
      </c>
      <c r="AY11" s="16" t="n">
        <v>1523.4154</v>
      </c>
      <c r="AZ11" s="16" t="n">
        <v>1558.22931</v>
      </c>
      <c r="BA11" s="16" t="n">
        <v>1586.32067</v>
      </c>
      <c r="BB11" s="16" t="n">
        <v>1634.57021</v>
      </c>
      <c r="BC11" s="16" t="n">
        <v>1670.55572</v>
      </c>
      <c r="BD11" s="16" t="n">
        <v>1684.02817</v>
      </c>
      <c r="BE11" s="16" t="n">
        <v>1724.47269</v>
      </c>
      <c r="BF11" s="16" t="n">
        <v>1723.78416</v>
      </c>
      <c r="BG11" s="16" t="n">
        <v>1742.05447</v>
      </c>
      <c r="BH11" s="16" t="n">
        <v>1667.33241</v>
      </c>
      <c r="BI11" s="16" t="n">
        <v>1740.73695</v>
      </c>
      <c r="BJ11" s="16" t="n">
        <v>1781.44982</v>
      </c>
      <c r="BK11" s="16" t="n">
        <v>1791.74822</v>
      </c>
      <c r="BL11" s="16" t="n">
        <v>1779.38596</v>
      </c>
      <c r="BM11" s="16" t="n">
        <v>1805.39749</v>
      </c>
      <c r="BN11" s="16" t="n">
        <v>1806.655822</v>
      </c>
    </row>
    <row r="12">
      <c r="A12" s="7" t="inlineStr">
        <is>
          <t>MIDEAST Region</t>
        </is>
      </c>
      <c r="B12" s="28" t="n">
        <v>655.437215</v>
      </c>
      <c r="C12" s="29" t="n">
        <v>-0.2225509045033713</v>
      </c>
      <c r="D12" s="29" t="n">
        <v>-0.05911714974172755</v>
      </c>
      <c r="E12" s="30" t="n">
        <v>0.04836897599607148</v>
      </c>
      <c r="F12" s="30" t="n">
        <v>1.659044532446763</v>
      </c>
      <c r="G12" s="16" t="n">
        <v>596.48888</v>
      </c>
      <c r="H12" s="16" t="n">
        <v>591.0130799999999</v>
      </c>
      <c r="I12" s="16" t="n">
        <v>598.18225</v>
      </c>
      <c r="J12" s="16" t="n">
        <v>585.09118</v>
      </c>
      <c r="K12" s="16" t="n">
        <v>577.27946</v>
      </c>
      <c r="L12" s="16" t="n">
        <v>573.6973400000001</v>
      </c>
      <c r="M12" s="16" t="n">
        <v>550.7596</v>
      </c>
      <c r="N12" s="16" t="n">
        <v>550.87089</v>
      </c>
      <c r="O12" s="16" t="n">
        <v>530.0431599999999</v>
      </c>
      <c r="P12" s="16" t="n">
        <v>546.0975</v>
      </c>
      <c r="Q12" s="16" t="n">
        <v>542.93602</v>
      </c>
      <c r="R12" s="16" t="n">
        <v>512.56511</v>
      </c>
      <c r="S12" s="16" t="n">
        <v>509.04305</v>
      </c>
      <c r="T12" s="16" t="n">
        <v>533.57476</v>
      </c>
      <c r="U12" s="16" t="n">
        <v>539.02853</v>
      </c>
      <c r="V12" s="16" t="n">
        <v>550.79324</v>
      </c>
      <c r="W12" s="16" t="n">
        <v>541.40745</v>
      </c>
      <c r="X12" s="16" t="n">
        <v>549.14448</v>
      </c>
      <c r="Y12" s="16" t="n">
        <v>556.0259</v>
      </c>
      <c r="Z12" s="16" t="n">
        <v>548.7494799999999</v>
      </c>
      <c r="AA12" s="16" t="n">
        <v>551.72744</v>
      </c>
      <c r="AB12" s="16" t="n">
        <v>556.07281</v>
      </c>
      <c r="AC12" s="16" t="n">
        <v>550.95979</v>
      </c>
      <c r="AD12" s="16" t="n">
        <v>538.38273</v>
      </c>
      <c r="AE12" s="16" t="n">
        <v>525.91021</v>
      </c>
      <c r="AF12" s="16" t="n">
        <v>552.2693400000001</v>
      </c>
      <c r="AG12" s="16" t="n">
        <v>575.3461600000001</v>
      </c>
      <c r="AH12" s="16" t="n">
        <v>566.91536</v>
      </c>
      <c r="AI12" s="16" t="n">
        <v>567.05226</v>
      </c>
      <c r="AJ12" s="16" t="n">
        <v>574.66134</v>
      </c>
      <c r="AK12" s="16" t="n">
        <v>561.57145</v>
      </c>
      <c r="AL12" s="16" t="n">
        <v>572.84327</v>
      </c>
      <c r="AM12" s="16" t="n">
        <v>578.29679</v>
      </c>
      <c r="AN12" s="16" t="n">
        <v>586.61652</v>
      </c>
      <c r="AO12" s="16" t="n">
        <v>601.66999</v>
      </c>
      <c r="AP12" s="16" t="n">
        <v>608.4100100000001</v>
      </c>
      <c r="AQ12" s="16" t="n">
        <v>596.22165</v>
      </c>
      <c r="AR12" s="16" t="n">
        <v>600.30908</v>
      </c>
      <c r="AS12" s="16" t="n">
        <v>593.57661</v>
      </c>
      <c r="AT12" s="16" t="n">
        <v>599.94652</v>
      </c>
      <c r="AU12" s="16" t="n">
        <v>611.59882</v>
      </c>
      <c r="AV12" s="16" t="n">
        <v>610.1286700000001</v>
      </c>
      <c r="AW12" s="16" t="n">
        <v>611.92291</v>
      </c>
      <c r="AX12" s="16" t="n">
        <v>612.15052</v>
      </c>
      <c r="AY12" s="16" t="n">
        <v>621.58609</v>
      </c>
      <c r="AZ12" s="16" t="n">
        <v>629.42566</v>
      </c>
      <c r="BA12" s="16" t="n">
        <v>637.06719</v>
      </c>
      <c r="BB12" s="16" t="n">
        <v>649.1577</v>
      </c>
      <c r="BC12" s="16" t="n">
        <v>656.32064</v>
      </c>
      <c r="BD12" s="16" t="n">
        <v>654.9396</v>
      </c>
      <c r="BE12" s="16" t="n">
        <v>655.1203400000001</v>
      </c>
      <c r="BF12" s="16" t="n">
        <v>656.39714</v>
      </c>
      <c r="BG12" s="16" t="n">
        <v>665.47055</v>
      </c>
      <c r="BH12" s="16" t="n">
        <v>639.33441</v>
      </c>
      <c r="BI12" s="16" t="n">
        <v>653.89294</v>
      </c>
      <c r="BJ12" s="16" t="n">
        <v>659.48526</v>
      </c>
      <c r="BK12" s="16" t="n">
        <v>659.22428</v>
      </c>
      <c r="BL12" s="16" t="n">
        <v>650.21685</v>
      </c>
      <c r="BM12" s="16" t="n">
        <v>657.365</v>
      </c>
      <c r="BN12" s="16" t="n">
        <v>655.437215</v>
      </c>
    </row>
    <row r="13">
      <c r="A13" s="7" t="inlineStr">
        <is>
          <t>ASIA Region</t>
        </is>
      </c>
      <c r="B13" s="28" t="n">
        <v>835.1259659999999</v>
      </c>
      <c r="C13" s="29" t="n">
        <v>-0.03752324599946011</v>
      </c>
      <c r="D13" s="30" t="n">
        <v>0.07193859428784588</v>
      </c>
      <c r="E13" s="30" t="n">
        <v>0.163418774994506</v>
      </c>
      <c r="F13" s="30" t="n">
        <v>1.82094793757237</v>
      </c>
      <c r="G13" s="16" t="n">
        <v>771.42698</v>
      </c>
      <c r="H13" s="16" t="n">
        <v>767.27346</v>
      </c>
      <c r="I13" s="16" t="n">
        <v>768.23678</v>
      </c>
      <c r="J13" s="16" t="n">
        <v>746.3196799999999</v>
      </c>
      <c r="K13" s="16" t="n">
        <v>727.1520400000001</v>
      </c>
      <c r="L13" s="16" t="n">
        <v>716.90663</v>
      </c>
      <c r="M13" s="16" t="n">
        <v>682.85848</v>
      </c>
      <c r="N13" s="16" t="n">
        <v>680.31441</v>
      </c>
      <c r="O13" s="16" t="n">
        <v>659.8469700000001</v>
      </c>
      <c r="P13" s="16" t="n">
        <v>670.56161</v>
      </c>
      <c r="Q13" s="16" t="n">
        <v>669.01187</v>
      </c>
      <c r="R13" s="16" t="n">
        <v>620.38677</v>
      </c>
      <c r="S13" s="16" t="n">
        <v>605.57777</v>
      </c>
      <c r="T13" s="16" t="n">
        <v>644.71914</v>
      </c>
      <c r="U13" s="16" t="n">
        <v>646.81038</v>
      </c>
      <c r="V13" s="16" t="n">
        <v>668.09843</v>
      </c>
      <c r="W13" s="16" t="n">
        <v>658.99902</v>
      </c>
      <c r="X13" s="16" t="n">
        <v>668.33788</v>
      </c>
      <c r="Y13" s="16" t="n">
        <v>674.31933</v>
      </c>
      <c r="Z13" s="16" t="n">
        <v>673.30454</v>
      </c>
      <c r="AA13" s="16" t="n">
        <v>685.03676</v>
      </c>
      <c r="AB13" s="16" t="n">
        <v>689.64187</v>
      </c>
      <c r="AC13" s="16" t="n">
        <v>682.86689</v>
      </c>
      <c r="AD13" s="16" t="n">
        <v>668.22322</v>
      </c>
      <c r="AE13" s="16" t="n">
        <v>663.97495</v>
      </c>
      <c r="AF13" s="16" t="n">
        <v>700.09136</v>
      </c>
      <c r="AG13" s="16" t="n">
        <v>727.22066</v>
      </c>
      <c r="AH13" s="16" t="n">
        <v>723.1574000000001</v>
      </c>
      <c r="AI13" s="16" t="n">
        <v>723.59123</v>
      </c>
      <c r="AJ13" s="16" t="n">
        <v>736.99931</v>
      </c>
      <c r="AK13" s="16" t="n">
        <v>720.4378400000001</v>
      </c>
      <c r="AL13" s="16" t="n">
        <v>734.01951</v>
      </c>
      <c r="AM13" s="16" t="n">
        <v>739.64906</v>
      </c>
      <c r="AN13" s="16" t="n">
        <v>750.581</v>
      </c>
      <c r="AO13" s="16" t="n">
        <v>761.90742</v>
      </c>
      <c r="AP13" s="16" t="n">
        <v>776.59708</v>
      </c>
      <c r="AQ13" s="16" t="n">
        <v>766.34273</v>
      </c>
      <c r="AR13" s="16" t="n">
        <v>773.94885</v>
      </c>
      <c r="AS13" s="16" t="n">
        <v>758.96547</v>
      </c>
      <c r="AT13" s="16" t="n">
        <v>766.76258</v>
      </c>
      <c r="AU13" s="16" t="n">
        <v>781.03031</v>
      </c>
      <c r="AV13" s="16" t="n">
        <v>777.3433199999999</v>
      </c>
      <c r="AW13" s="16" t="n">
        <v>774.62325</v>
      </c>
      <c r="AX13" s="16" t="n">
        <v>781.4400900000001</v>
      </c>
      <c r="AY13" s="16" t="n">
        <v>795.72546</v>
      </c>
      <c r="AZ13" s="16" t="n">
        <v>802.91525</v>
      </c>
      <c r="BA13" s="16" t="n">
        <v>812.5524</v>
      </c>
      <c r="BB13" s="16" t="n">
        <v>824.33748</v>
      </c>
      <c r="BC13" s="16" t="n">
        <v>831.9376600000001</v>
      </c>
      <c r="BD13" s="16" t="n">
        <v>833.56804</v>
      </c>
      <c r="BE13" s="16" t="n">
        <v>833.7634399999999</v>
      </c>
      <c r="BF13" s="16" t="n">
        <v>836.30597</v>
      </c>
      <c r="BG13" s="16" t="n">
        <v>847.55535</v>
      </c>
      <c r="BH13" s="16" t="n">
        <v>823.84114</v>
      </c>
      <c r="BI13" s="16" t="n">
        <v>834.66221</v>
      </c>
      <c r="BJ13" s="16" t="n">
        <v>839.6165</v>
      </c>
      <c r="BK13" s="16" t="n">
        <v>844.49688</v>
      </c>
      <c r="BL13" s="16" t="n">
        <v>829.4106</v>
      </c>
      <c r="BM13" s="16" t="n">
        <v>835.88767</v>
      </c>
      <c r="BN13" s="16" t="n">
        <v>835.1259659999999</v>
      </c>
    </row>
    <row r="15">
      <c r="A15" s="2" t="inlineStr">
        <is>
          <t>RATING BUCKETS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</row>
    <row r="16">
      <c r="A16" s="7" t="inlineStr">
        <is>
          <t>Credit A only</t>
        </is>
      </c>
      <c r="B16" s="28" t="n">
        <v>460.010931</v>
      </c>
      <c r="C16" s="29" t="n">
        <v>-0.4046482471028345</v>
      </c>
      <c r="D16" s="29" t="n">
        <v>-0.8418497202976605</v>
      </c>
      <c r="E16" s="29" t="n">
        <v>-0.7024870910364411</v>
      </c>
      <c r="F16" s="30" t="n">
        <v>0.6153160606312769</v>
      </c>
      <c r="G16" s="16" t="n">
        <v>456.59955</v>
      </c>
      <c r="H16" s="16" t="n">
        <v>458.60197</v>
      </c>
      <c r="I16" s="16" t="n">
        <v>459.41719</v>
      </c>
      <c r="J16" s="16" t="n">
        <v>446.71722</v>
      </c>
      <c r="K16" s="16" t="n">
        <v>437.60898</v>
      </c>
      <c r="L16" s="16" t="n">
        <v>430.90794</v>
      </c>
      <c r="M16" s="16" t="n">
        <v>409.70005</v>
      </c>
      <c r="N16" s="16" t="n">
        <v>412.77236</v>
      </c>
      <c r="O16" s="16" t="n">
        <v>403.45073</v>
      </c>
      <c r="P16" s="16" t="n">
        <v>414.55007</v>
      </c>
      <c r="Q16" s="16" t="n">
        <v>405.58385</v>
      </c>
      <c r="R16" s="16" t="n">
        <v>385.68882</v>
      </c>
      <c r="S16" s="16" t="n">
        <v>377.84988</v>
      </c>
      <c r="T16" s="16" t="n">
        <v>396.88745</v>
      </c>
      <c r="U16" s="16" t="n">
        <v>397.36596</v>
      </c>
      <c r="V16" s="16" t="n">
        <v>406.79559</v>
      </c>
      <c r="W16" s="16" t="n">
        <v>398.23725</v>
      </c>
      <c r="X16" s="16" t="n">
        <v>408.60585</v>
      </c>
      <c r="Y16" s="16" t="n">
        <v>413.23777</v>
      </c>
      <c r="Z16" s="16" t="n">
        <v>408.12112</v>
      </c>
      <c r="AA16" s="16" t="n">
        <v>408.04024</v>
      </c>
      <c r="AB16" s="16" t="n">
        <v>408.28383</v>
      </c>
      <c r="AC16" s="16" t="n">
        <v>403.3242</v>
      </c>
      <c r="AD16" s="16" t="n">
        <v>391.7355</v>
      </c>
      <c r="AE16" s="16" t="n">
        <v>384.68832</v>
      </c>
      <c r="AF16" s="16" t="n">
        <v>404.33854</v>
      </c>
      <c r="AG16" s="16" t="n">
        <v>421.14657</v>
      </c>
      <c r="AH16" s="16" t="n">
        <v>416.92946</v>
      </c>
      <c r="AI16" s="16" t="n">
        <v>414.53177</v>
      </c>
      <c r="AJ16" s="16" t="n">
        <v>418.70108</v>
      </c>
      <c r="AK16" s="16" t="n">
        <v>408.11167</v>
      </c>
      <c r="AL16" s="16" t="n">
        <v>415.68581</v>
      </c>
      <c r="AM16" s="16" t="n">
        <v>419.59912</v>
      </c>
      <c r="AN16" s="16" t="n">
        <v>426.93022</v>
      </c>
      <c r="AO16" s="16" t="n">
        <v>436.53142</v>
      </c>
      <c r="AP16" s="16" t="n">
        <v>440.80468</v>
      </c>
      <c r="AQ16" s="16" t="n">
        <v>430.39771</v>
      </c>
      <c r="AR16" s="16" t="n">
        <v>434.31897</v>
      </c>
      <c r="AS16" s="16" t="n">
        <v>425.29054</v>
      </c>
      <c r="AT16" s="16" t="n">
        <v>428.42688</v>
      </c>
      <c r="AU16" s="16" t="n">
        <v>437.29089</v>
      </c>
      <c r="AV16" s="16" t="n">
        <v>436.84967</v>
      </c>
      <c r="AW16" s="16" t="n">
        <v>438.67214</v>
      </c>
      <c r="AX16" s="16" t="n">
        <v>437.24006</v>
      </c>
      <c r="AY16" s="16" t="n">
        <v>444.55912</v>
      </c>
      <c r="AZ16" s="16" t="n">
        <v>446.99116</v>
      </c>
      <c r="BA16" s="16" t="n">
        <v>451.99128</v>
      </c>
      <c r="BB16" s="16" t="n">
        <v>458.9647</v>
      </c>
      <c r="BC16" s="16" t="n">
        <v>463.46571</v>
      </c>
      <c r="BD16" s="16" t="n">
        <v>464.85655</v>
      </c>
      <c r="BE16" s="16" t="n">
        <v>463.26531</v>
      </c>
      <c r="BF16" s="16" t="n">
        <v>462.81335</v>
      </c>
      <c r="BG16" s="16" t="n">
        <v>471.14159</v>
      </c>
      <c r="BH16" s="16" t="n">
        <v>459.77411</v>
      </c>
      <c r="BI16" s="16" t="n">
        <v>464.10286</v>
      </c>
      <c r="BJ16" s="16" t="n">
        <v>466.25143</v>
      </c>
      <c r="BK16" s="16" t="n">
        <v>467.89572</v>
      </c>
      <c r="BL16" s="16" t="n">
        <v>458.40018</v>
      </c>
      <c r="BM16" s="16" t="n">
        <v>460.91378</v>
      </c>
      <c r="BN16" s="16" t="n">
        <v>460.010931</v>
      </c>
    </row>
    <row r="17">
      <c r="A17" s="7" t="inlineStr">
        <is>
          <t>Credit BBB only</t>
        </is>
      </c>
      <c r="B17" s="28" t="n">
        <v>909.0868809999999</v>
      </c>
      <c r="C17" s="29" t="n">
        <v>-0.2171303722890983</v>
      </c>
      <c r="D17" s="29" t="n">
        <v>-0.5142352329384314</v>
      </c>
      <c r="E17" s="29" t="n">
        <v>-0.01506108803881467</v>
      </c>
      <c r="F17" s="30" t="n">
        <v>2.218061741274902</v>
      </c>
      <c r="G17" s="16" t="n">
        <v>982.95763</v>
      </c>
      <c r="H17" s="16" t="n">
        <v>976.71498</v>
      </c>
      <c r="I17" s="16" t="n">
        <v>989.97632</v>
      </c>
      <c r="J17" s="16" t="n">
        <v>946.26962</v>
      </c>
      <c r="K17" s="16" t="n">
        <v>852.72973</v>
      </c>
      <c r="L17" s="16" t="n">
        <v>823.91278</v>
      </c>
      <c r="M17" s="16" t="n">
        <v>770.16947</v>
      </c>
      <c r="N17" s="16" t="n">
        <v>775.3913</v>
      </c>
      <c r="O17" s="16" t="n">
        <v>745.75668</v>
      </c>
      <c r="P17" s="16" t="n">
        <v>772.22321</v>
      </c>
      <c r="Q17" s="16" t="n">
        <v>758.97956</v>
      </c>
      <c r="R17" s="16" t="n">
        <v>705.11544</v>
      </c>
      <c r="S17" s="16" t="n">
        <v>701.8203</v>
      </c>
      <c r="T17" s="16" t="n">
        <v>753.17051</v>
      </c>
      <c r="U17" s="16" t="n">
        <v>753.05435</v>
      </c>
      <c r="V17" s="16" t="n">
        <v>774.74078</v>
      </c>
      <c r="W17" s="16" t="n">
        <v>760.47095</v>
      </c>
      <c r="X17" s="16" t="n">
        <v>775.62659</v>
      </c>
      <c r="Y17" s="16" t="n">
        <v>788.02595</v>
      </c>
      <c r="Z17" s="16" t="n">
        <v>778.89721</v>
      </c>
      <c r="AA17" s="16" t="n">
        <v>785.79288</v>
      </c>
      <c r="AB17" s="16" t="n">
        <v>790.64514</v>
      </c>
      <c r="AC17" s="16" t="n">
        <v>780.75055</v>
      </c>
      <c r="AD17" s="16" t="n">
        <v>750.84232</v>
      </c>
      <c r="AE17" s="16" t="n">
        <v>735.25296</v>
      </c>
      <c r="AF17" s="16" t="n">
        <v>777.17668</v>
      </c>
      <c r="AG17" s="16" t="n">
        <v>815.31121</v>
      </c>
      <c r="AH17" s="16" t="n">
        <v>803.74794</v>
      </c>
      <c r="AI17" s="16" t="n">
        <v>798.09779</v>
      </c>
      <c r="AJ17" s="16" t="n">
        <v>808.88206</v>
      </c>
      <c r="AK17" s="16" t="n">
        <v>785.94164</v>
      </c>
      <c r="AL17" s="16" t="n">
        <v>802.97755</v>
      </c>
      <c r="AM17" s="16" t="n">
        <v>811.48735</v>
      </c>
      <c r="AN17" s="16" t="n">
        <v>827.32493</v>
      </c>
      <c r="AO17" s="16" t="n">
        <v>847.31615</v>
      </c>
      <c r="AP17" s="16" t="n">
        <v>860.33322</v>
      </c>
      <c r="AQ17" s="16" t="n">
        <v>831.6734300000001</v>
      </c>
      <c r="AR17" s="16" t="n">
        <v>834.75742</v>
      </c>
      <c r="AS17" s="16" t="n">
        <v>815.12641</v>
      </c>
      <c r="AT17" s="16" t="n">
        <v>820.8074</v>
      </c>
      <c r="AU17" s="16" t="n">
        <v>840.75371</v>
      </c>
      <c r="AV17" s="16" t="n">
        <v>838.11308</v>
      </c>
      <c r="AW17" s="16" t="n">
        <v>837.8685</v>
      </c>
      <c r="AX17" s="16" t="n">
        <v>839.96505</v>
      </c>
      <c r="AY17" s="16" t="n">
        <v>859.36999</v>
      </c>
      <c r="AZ17" s="16" t="n">
        <v>866.6140799999999</v>
      </c>
      <c r="BA17" s="16" t="n">
        <v>879.53641</v>
      </c>
      <c r="BB17" s="16" t="n">
        <v>897.51166</v>
      </c>
      <c r="BC17" s="16" t="n">
        <v>908.4853000000001</v>
      </c>
      <c r="BD17" s="16" t="n">
        <v>907.48542</v>
      </c>
      <c r="BE17" s="16" t="n">
        <v>909.22382</v>
      </c>
      <c r="BF17" s="16" t="n">
        <v>908.01457</v>
      </c>
      <c r="BG17" s="16" t="n">
        <v>925.6022</v>
      </c>
      <c r="BH17" s="16" t="n">
        <v>897.1686999999999</v>
      </c>
      <c r="BI17" s="16" t="n">
        <v>914.78018</v>
      </c>
      <c r="BJ17" s="16" t="n">
        <v>917.77828</v>
      </c>
      <c r="BK17" s="16" t="n">
        <v>922.347</v>
      </c>
      <c r="BL17" s="16" t="n">
        <v>903.45964</v>
      </c>
      <c r="BM17" s="16" t="n">
        <v>910.47896</v>
      </c>
      <c r="BN17" s="16" t="n">
        <v>909.0868809999999</v>
      </c>
    </row>
    <row r="18">
      <c r="A18" s="7" t="inlineStr">
        <is>
          <t>Credit BB only</t>
        </is>
      </c>
      <c r="B18" s="28" t="n">
        <v>867.311779</v>
      </c>
      <c r="C18" s="29" t="n">
        <v>-0.2170024651231284</v>
      </c>
      <c r="D18" s="30" t="n">
        <v>0.4198389578505157</v>
      </c>
      <c r="E18" s="30" t="n">
        <v>2.273637070471901</v>
      </c>
      <c r="F18" s="30" t="n">
        <v>5.431832979183771</v>
      </c>
      <c r="G18" s="16" t="n">
        <v>724.51849</v>
      </c>
      <c r="H18" s="16" t="n">
        <v>708.93714</v>
      </c>
      <c r="I18" s="16" t="n">
        <v>726.18568</v>
      </c>
      <c r="J18" s="16" t="n">
        <v>708.03568</v>
      </c>
      <c r="K18" s="16" t="n">
        <v>683.39319</v>
      </c>
      <c r="L18" s="16" t="n">
        <v>685.1228599999999</v>
      </c>
      <c r="M18" s="16" t="n">
        <v>649.55816</v>
      </c>
      <c r="N18" s="16" t="n">
        <v>653.196</v>
      </c>
      <c r="O18" s="16" t="n">
        <v>608.07907</v>
      </c>
      <c r="P18" s="16" t="n">
        <v>644.51555</v>
      </c>
      <c r="Q18" s="16" t="n">
        <v>634.09851</v>
      </c>
      <c r="R18" s="16" t="n">
        <v>597.39275</v>
      </c>
      <c r="S18" s="16" t="n">
        <v>608.58636</v>
      </c>
      <c r="T18" s="16" t="n">
        <v>646.83797</v>
      </c>
      <c r="U18" s="16" t="n">
        <v>649.87379</v>
      </c>
      <c r="V18" s="16" t="n">
        <v>669.70056</v>
      </c>
      <c r="W18" s="16" t="n">
        <v>656.10606</v>
      </c>
      <c r="X18" s="16" t="n">
        <v>667.93738</v>
      </c>
      <c r="Y18" s="16" t="n">
        <v>669.75713</v>
      </c>
      <c r="Z18" s="16" t="n">
        <v>661.79448</v>
      </c>
      <c r="AA18" s="16" t="n">
        <v>673.8753</v>
      </c>
      <c r="AB18" s="16" t="n">
        <v>687.9713</v>
      </c>
      <c r="AC18" s="16" t="n">
        <v>679.03705</v>
      </c>
      <c r="AD18" s="16" t="n">
        <v>661.70412</v>
      </c>
      <c r="AE18" s="16" t="n">
        <v>654.99595</v>
      </c>
      <c r="AF18" s="16" t="n">
        <v>692.15008</v>
      </c>
      <c r="AG18" s="16" t="n">
        <v>726.34829</v>
      </c>
      <c r="AH18" s="16" t="n">
        <v>715.74798</v>
      </c>
      <c r="AI18" s="16" t="n">
        <v>715.87316</v>
      </c>
      <c r="AJ18" s="16" t="n">
        <v>723.10523</v>
      </c>
      <c r="AK18" s="16" t="n">
        <v>707.92558</v>
      </c>
      <c r="AL18" s="16" t="n">
        <v>721.14117</v>
      </c>
      <c r="AM18" s="16" t="n">
        <v>727.51232</v>
      </c>
      <c r="AN18" s="16" t="n">
        <v>742.12901</v>
      </c>
      <c r="AO18" s="16" t="n">
        <v>761.66183</v>
      </c>
      <c r="AP18" s="16" t="n">
        <v>773.43477</v>
      </c>
      <c r="AQ18" s="16" t="n">
        <v>754.44075</v>
      </c>
      <c r="AR18" s="16" t="n">
        <v>760.62046</v>
      </c>
      <c r="AS18" s="16" t="n">
        <v>747.0914299999999</v>
      </c>
      <c r="AT18" s="16" t="n">
        <v>755.41822</v>
      </c>
      <c r="AU18" s="16" t="n">
        <v>767.13221</v>
      </c>
      <c r="AV18" s="16" t="n">
        <v>764.1110200000001</v>
      </c>
      <c r="AW18" s="16" t="n">
        <v>761.60813</v>
      </c>
      <c r="AX18" s="16" t="n">
        <v>769.25099</v>
      </c>
      <c r="AY18" s="16" t="n">
        <v>785.09597</v>
      </c>
      <c r="AZ18" s="16" t="n">
        <v>795.1365</v>
      </c>
      <c r="BA18" s="16" t="n">
        <v>811.18074</v>
      </c>
      <c r="BB18" s="16" t="n">
        <v>830.3693</v>
      </c>
      <c r="BC18" s="16" t="n">
        <v>842.1429900000001</v>
      </c>
      <c r="BD18" s="16" t="n">
        <v>841.93549</v>
      </c>
      <c r="BE18" s="16" t="n">
        <v>848.0306399999999</v>
      </c>
      <c r="BF18" s="16" t="n">
        <v>848.97669</v>
      </c>
      <c r="BG18" s="16" t="n">
        <v>859.65388</v>
      </c>
      <c r="BH18" s="16" t="n">
        <v>832.90789</v>
      </c>
      <c r="BI18" s="16" t="n">
        <v>856.3195899999999</v>
      </c>
      <c r="BJ18" s="16" t="n">
        <v>863.32353</v>
      </c>
      <c r="BK18" s="16" t="n">
        <v>873.21137</v>
      </c>
      <c r="BL18" s="16" t="n">
        <v>860.18623</v>
      </c>
      <c r="BM18" s="16" t="n">
        <v>869.49156</v>
      </c>
      <c r="BN18" s="16" t="n">
        <v>867.311779</v>
      </c>
    </row>
    <row r="19">
      <c r="A19" s="7" t="inlineStr">
        <is>
          <t>Credit B only</t>
        </is>
      </c>
      <c r="B19" s="28" t="n">
        <v>895.215401</v>
      </c>
      <c r="C19" s="29" t="n">
        <v>-0.04315187506250817</v>
      </c>
      <c r="D19" s="30" t="n">
        <v>1.010016327076535</v>
      </c>
      <c r="E19" s="30" t="n">
        <v>3.876538058771195</v>
      </c>
      <c r="F19" s="30" t="n">
        <v>10.21532887869319</v>
      </c>
      <c r="G19" s="16" t="n">
        <v>722.62982</v>
      </c>
      <c r="H19" s="16" t="n">
        <v>695.52781</v>
      </c>
      <c r="I19" s="16" t="n">
        <v>703.19427</v>
      </c>
      <c r="J19" s="16" t="n">
        <v>691.35282</v>
      </c>
      <c r="K19" s="16" t="n">
        <v>623.99997</v>
      </c>
      <c r="L19" s="16" t="n">
        <v>634.42369</v>
      </c>
      <c r="M19" s="16" t="n">
        <v>604.61826</v>
      </c>
      <c r="N19" s="16" t="n">
        <v>595.85092</v>
      </c>
      <c r="O19" s="16" t="n">
        <v>541.25884</v>
      </c>
      <c r="P19" s="16" t="n">
        <v>538.97069</v>
      </c>
      <c r="Q19" s="16" t="n">
        <v>547.02442</v>
      </c>
      <c r="R19" s="16" t="n">
        <v>512.55894</v>
      </c>
      <c r="S19" s="16" t="n">
        <v>527.0737</v>
      </c>
      <c r="T19" s="16" t="n">
        <v>574.83315</v>
      </c>
      <c r="U19" s="16" t="n">
        <v>580.63608</v>
      </c>
      <c r="V19" s="16" t="n">
        <v>594.6928799999999</v>
      </c>
      <c r="W19" s="16" t="n">
        <v>577.38643</v>
      </c>
      <c r="X19" s="16" t="n">
        <v>570.43584</v>
      </c>
      <c r="Y19" s="16" t="n">
        <v>566.77262</v>
      </c>
      <c r="Z19" s="16" t="n">
        <v>567.60336</v>
      </c>
      <c r="AA19" s="16" t="n">
        <v>585.25535</v>
      </c>
      <c r="AB19" s="16" t="n">
        <v>607.13069</v>
      </c>
      <c r="AC19" s="16" t="n">
        <v>595.56699</v>
      </c>
      <c r="AD19" s="16" t="n">
        <v>587.78266</v>
      </c>
      <c r="AE19" s="16" t="n">
        <v>584.07124</v>
      </c>
      <c r="AF19" s="16" t="n">
        <v>617.64454</v>
      </c>
      <c r="AG19" s="16" t="n">
        <v>649.68722</v>
      </c>
      <c r="AH19" s="16" t="n">
        <v>641.65628</v>
      </c>
      <c r="AI19" s="16" t="n">
        <v>666.0843599999999</v>
      </c>
      <c r="AJ19" s="16" t="n">
        <v>679.63152</v>
      </c>
      <c r="AK19" s="16" t="n">
        <v>671.79659</v>
      </c>
      <c r="AL19" s="16" t="n">
        <v>684.42219</v>
      </c>
      <c r="AM19" s="16" t="n">
        <v>681.2420100000001</v>
      </c>
      <c r="AN19" s="16" t="n">
        <v>692.47648</v>
      </c>
      <c r="AO19" s="16" t="n">
        <v>706.88704</v>
      </c>
      <c r="AP19" s="16" t="n">
        <v>723.96725</v>
      </c>
      <c r="AQ19" s="16" t="n">
        <v>720.27203</v>
      </c>
      <c r="AR19" s="16" t="n">
        <v>726.97821</v>
      </c>
      <c r="AS19" s="16" t="n">
        <v>722.54935</v>
      </c>
      <c r="AT19" s="16" t="n">
        <v>733.25639</v>
      </c>
      <c r="AU19" s="16" t="n">
        <v>740.98392</v>
      </c>
      <c r="AV19" s="16" t="n">
        <v>730.77936</v>
      </c>
      <c r="AW19" s="16" t="n">
        <v>717.05895</v>
      </c>
      <c r="AX19" s="16" t="n">
        <v>742.66223</v>
      </c>
      <c r="AY19" s="16" t="n">
        <v>766.33119</v>
      </c>
      <c r="AZ19" s="16" t="n">
        <v>785.85598</v>
      </c>
      <c r="BA19" s="16" t="n">
        <v>801.00343</v>
      </c>
      <c r="BB19" s="16" t="n">
        <v>823.14804</v>
      </c>
      <c r="BC19" s="16" t="n">
        <v>836.26279</v>
      </c>
      <c r="BD19" s="16" t="n">
        <v>843.47921</v>
      </c>
      <c r="BE19" s="16" t="n">
        <v>861.8071200000001</v>
      </c>
      <c r="BF19" s="16" t="n">
        <v>865.54139</v>
      </c>
      <c r="BG19" s="16" t="n">
        <v>870.65058</v>
      </c>
      <c r="BH19" s="16" t="n">
        <v>836.57692</v>
      </c>
      <c r="BI19" s="16" t="n">
        <v>874.6878400000001</v>
      </c>
      <c r="BJ19" s="16" t="n">
        <v>888.54527</v>
      </c>
      <c r="BK19" s="16" t="n">
        <v>893.15666</v>
      </c>
      <c r="BL19" s="16" t="n">
        <v>886.63954</v>
      </c>
      <c r="BM19" s="16" t="n">
        <v>894.11403</v>
      </c>
      <c r="BN19" s="16" t="n">
        <v>895.215401</v>
      </c>
    </row>
    <row r="20">
      <c r="A20" s="7" t="inlineStr">
        <is>
          <t>Credit C only</t>
        </is>
      </c>
      <c r="B20" s="28" t="n">
        <v>350.287747</v>
      </c>
      <c r="C20" s="30" t="n">
        <v>0.4846400570513554</v>
      </c>
      <c r="D20" s="30" t="n">
        <v>5.042588567823914</v>
      </c>
      <c r="E20" s="30" t="n">
        <v>17.89095993758125</v>
      </c>
      <c r="F20" s="30" t="n">
        <v>36.39179908905938</v>
      </c>
      <c r="G20" s="16" t="n">
        <v>155.52087</v>
      </c>
      <c r="H20" s="16" t="n">
        <v>142.70944</v>
      </c>
      <c r="I20" s="16" t="n">
        <v>147.67599</v>
      </c>
      <c r="J20" s="16" t="n">
        <v>147.16506</v>
      </c>
      <c r="K20" s="16" t="n">
        <v>143.03745</v>
      </c>
      <c r="L20" s="16" t="n">
        <v>143.88507</v>
      </c>
      <c r="M20" s="16" t="n">
        <v>131.19005</v>
      </c>
      <c r="N20" s="16" t="n">
        <v>128.83404</v>
      </c>
      <c r="O20" s="16" t="n">
        <v>103.42203</v>
      </c>
      <c r="P20" s="16" t="n">
        <v>101.80676</v>
      </c>
      <c r="Q20" s="16" t="n">
        <v>103.76686</v>
      </c>
      <c r="R20" s="16" t="n">
        <v>94.28102</v>
      </c>
      <c r="S20" s="16" t="n">
        <v>89.67906000000001</v>
      </c>
      <c r="T20" s="16" t="n">
        <v>107.75755</v>
      </c>
      <c r="U20" s="16" t="n">
        <v>106.55797</v>
      </c>
      <c r="V20" s="16" t="n">
        <v>118.6688</v>
      </c>
      <c r="W20" s="16" t="n">
        <v>116.28558</v>
      </c>
      <c r="X20" s="16" t="n">
        <v>109.35718</v>
      </c>
      <c r="Y20" s="16" t="n">
        <v>106.69357</v>
      </c>
      <c r="Z20" s="16" t="n">
        <v>113.3343</v>
      </c>
      <c r="AA20" s="16" t="n">
        <v>132.50965</v>
      </c>
      <c r="AB20" s="16" t="n">
        <v>142.91301</v>
      </c>
      <c r="AC20" s="16" t="n">
        <v>139.48792</v>
      </c>
      <c r="AD20" s="16" t="n">
        <v>138.57471</v>
      </c>
      <c r="AE20" s="16" t="n">
        <v>139.35507</v>
      </c>
      <c r="AF20" s="16" t="n">
        <v>148.29994</v>
      </c>
      <c r="AG20" s="16" t="n">
        <v>152.62553</v>
      </c>
      <c r="AH20" s="16" t="n">
        <v>157.23859</v>
      </c>
      <c r="AI20" s="16" t="n">
        <v>168.48411</v>
      </c>
      <c r="AJ20" s="16" t="n">
        <v>186.23944</v>
      </c>
      <c r="AK20" s="16" t="n">
        <v>186.18504</v>
      </c>
      <c r="AL20" s="16" t="n">
        <v>186.49754</v>
      </c>
      <c r="AM20" s="16" t="n">
        <v>185.48935</v>
      </c>
      <c r="AN20" s="16" t="n">
        <v>189.48569</v>
      </c>
      <c r="AO20" s="16" t="n">
        <v>192.40837</v>
      </c>
      <c r="AP20" s="16" t="n">
        <v>201.8866</v>
      </c>
      <c r="AQ20" s="16" t="n">
        <v>211.00495</v>
      </c>
      <c r="AR20" s="16" t="n">
        <v>223.65863</v>
      </c>
      <c r="AS20" s="16" t="n">
        <v>229.3476</v>
      </c>
      <c r="AT20" s="16" t="n">
        <v>242.60276</v>
      </c>
      <c r="AU20" s="16" t="n">
        <v>239.13491</v>
      </c>
      <c r="AV20" s="16" t="n">
        <v>229.95183</v>
      </c>
      <c r="AW20" s="16" t="n">
        <v>232.67459</v>
      </c>
      <c r="AX20" s="16" t="n">
        <v>242.44165</v>
      </c>
      <c r="AY20" s="16" t="n">
        <v>253.3813</v>
      </c>
      <c r="AZ20" s="16" t="n">
        <v>257.71012</v>
      </c>
      <c r="BA20" s="16" t="n">
        <v>261.36051</v>
      </c>
      <c r="BB20" s="16" t="n">
        <v>255.76772</v>
      </c>
      <c r="BC20" s="16" t="n">
        <v>281.59682</v>
      </c>
      <c r="BD20" s="16" t="n">
        <v>289.48884</v>
      </c>
      <c r="BE20" s="16" t="n">
        <v>297.12859</v>
      </c>
      <c r="BF20" s="16" t="n">
        <v>319.07339</v>
      </c>
      <c r="BG20" s="16" t="n">
        <v>319.5106</v>
      </c>
      <c r="BH20" s="16" t="n">
        <v>303.15779</v>
      </c>
      <c r="BI20" s="16" t="n">
        <v>322.43017</v>
      </c>
      <c r="BJ20" s="16" t="n">
        <v>334.79727</v>
      </c>
      <c r="BK20" s="16" t="n">
        <v>340.69137</v>
      </c>
      <c r="BL20" s="16" t="n">
        <v>344.39862</v>
      </c>
      <c r="BM20" s="16" t="n">
        <v>348.65418</v>
      </c>
      <c r="BN20" s="16" t="n">
        <v>350.287747</v>
      </c>
    </row>
    <row r="21">
      <c r="A21" s="7" t="inlineStr">
        <is>
          <t>Credit IG only</t>
        </is>
      </c>
      <c r="B21" s="28" t="n">
        <v>677.664716</v>
      </c>
      <c r="C21" s="29" t="n">
        <v>-0.2777540857052618</v>
      </c>
      <c r="D21" s="29" t="n">
        <v>-0.6201720934099431</v>
      </c>
      <c r="E21" s="29" t="n">
        <v>-0.3530122094281385</v>
      </c>
      <c r="F21" s="30" t="n">
        <v>1.536609831772795</v>
      </c>
      <c r="G21" s="16" t="n">
        <v>709.55224</v>
      </c>
      <c r="H21" s="16" t="n">
        <v>708.0183500000001</v>
      </c>
      <c r="I21" s="16" t="n">
        <v>714.73137</v>
      </c>
      <c r="J21" s="16" t="n">
        <v>687.96908</v>
      </c>
      <c r="K21" s="16" t="n">
        <v>643.1184</v>
      </c>
      <c r="L21" s="16" t="n">
        <v>626.21162</v>
      </c>
      <c r="M21" s="16" t="n">
        <v>589.46151</v>
      </c>
      <c r="N21" s="16" t="n">
        <v>593.4513899999999</v>
      </c>
      <c r="O21" s="16" t="n">
        <v>574.00325</v>
      </c>
      <c r="P21" s="16" t="n">
        <v>593.47397</v>
      </c>
      <c r="Q21" s="16" t="n">
        <v>582.25063</v>
      </c>
      <c r="R21" s="16" t="n">
        <v>545.2196</v>
      </c>
      <c r="S21" s="16" t="n">
        <v>538.8603000000001</v>
      </c>
      <c r="T21" s="16" t="n">
        <v>572.69076</v>
      </c>
      <c r="U21" s="16" t="n">
        <v>573.53017</v>
      </c>
      <c r="V21" s="16" t="n">
        <v>588.41468</v>
      </c>
      <c r="W21" s="16" t="n">
        <v>576.49715</v>
      </c>
      <c r="X21" s="16" t="n">
        <v>589.59024</v>
      </c>
      <c r="Y21" s="16" t="n">
        <v>597.91427</v>
      </c>
      <c r="Z21" s="16" t="n">
        <v>590.34444</v>
      </c>
      <c r="AA21" s="16" t="n">
        <v>593.2617299999999</v>
      </c>
      <c r="AB21" s="16" t="n">
        <v>595.44765</v>
      </c>
      <c r="AC21" s="16" t="n">
        <v>587.70596</v>
      </c>
      <c r="AD21" s="16" t="n">
        <v>567.52064</v>
      </c>
      <c r="AE21" s="16" t="n">
        <v>555.73029</v>
      </c>
      <c r="AF21" s="16" t="n">
        <v>586.29618</v>
      </c>
      <c r="AG21" s="16" t="n">
        <v>614.12161</v>
      </c>
      <c r="AH21" s="16" t="n">
        <v>605.78072</v>
      </c>
      <c r="AI21" s="16" t="n">
        <v>602.13346</v>
      </c>
      <c r="AJ21" s="16" t="n">
        <v>609.38873</v>
      </c>
      <c r="AK21" s="16" t="n">
        <v>592.4364</v>
      </c>
      <c r="AL21" s="16" t="n">
        <v>604.68993</v>
      </c>
      <c r="AM21" s="16" t="n">
        <v>611.34648</v>
      </c>
      <c r="AN21" s="16" t="n">
        <v>622.5000199999999</v>
      </c>
      <c r="AO21" s="16" t="n">
        <v>637.67356</v>
      </c>
      <c r="AP21" s="16" t="n">
        <v>645.70406</v>
      </c>
      <c r="AQ21" s="16" t="n">
        <v>626.58262</v>
      </c>
      <c r="AR21" s="16" t="n">
        <v>630.00165</v>
      </c>
      <c r="AS21" s="16" t="n">
        <v>616.0968800000001</v>
      </c>
      <c r="AT21" s="16" t="n">
        <v>620.33455</v>
      </c>
      <c r="AU21" s="16" t="n">
        <v>634.44439</v>
      </c>
      <c r="AV21" s="16" t="n">
        <v>633.21369</v>
      </c>
      <c r="AW21" s="16" t="n">
        <v>634.16643</v>
      </c>
      <c r="AX21" s="16" t="n">
        <v>633.77923</v>
      </c>
      <c r="AY21" s="16" t="n">
        <v>646.4049</v>
      </c>
      <c r="AZ21" s="16" t="n">
        <v>651.38965</v>
      </c>
      <c r="BA21" s="16" t="n">
        <v>660.11736</v>
      </c>
      <c r="BB21" s="16" t="n">
        <v>672.39622</v>
      </c>
      <c r="BC21" s="16" t="n">
        <v>680.12289</v>
      </c>
      <c r="BD21" s="16" t="n">
        <v>680.16074</v>
      </c>
      <c r="BE21" s="16" t="n">
        <v>680.06543</v>
      </c>
      <c r="BF21" s="16" t="n">
        <v>679.11513</v>
      </c>
      <c r="BG21" s="16" t="n">
        <v>691.82652</v>
      </c>
      <c r="BH21" s="16" t="n">
        <v>671.43773</v>
      </c>
      <c r="BI21" s="16" t="n">
        <v>682.42221</v>
      </c>
      <c r="BJ21" s="16" t="n">
        <v>685.04321</v>
      </c>
      <c r="BK21" s="16" t="n">
        <v>688.10767</v>
      </c>
      <c r="BL21" s="16" t="n">
        <v>674.0577</v>
      </c>
      <c r="BM21" s="16" t="n">
        <v>678.79754</v>
      </c>
      <c r="BN21" s="16" t="n">
        <v>677.664716</v>
      </c>
    </row>
    <row r="22">
      <c r="A22" s="7" t="inlineStr">
        <is>
          <t>Credit Non-IG</t>
        </is>
      </c>
      <c r="B22" s="28" t="n">
        <v>1700.887382</v>
      </c>
      <c r="C22" s="30" t="n">
        <v>0.01421648335069303</v>
      </c>
      <c r="D22" s="30" t="n">
        <v>1.3001862498351</v>
      </c>
      <c r="E22" s="30" t="n">
        <v>5.600487699190304</v>
      </c>
      <c r="F22" s="30" t="n">
        <v>12.2980999837893</v>
      </c>
      <c r="G22" s="16" t="n">
        <v>1259.80046</v>
      </c>
      <c r="H22" s="16" t="n">
        <v>1215.8093</v>
      </c>
      <c r="I22" s="16" t="n">
        <v>1238.64269</v>
      </c>
      <c r="J22" s="16" t="n">
        <v>1215.16519</v>
      </c>
      <c r="K22" s="16" t="n">
        <v>1135.26126</v>
      </c>
      <c r="L22" s="16" t="n">
        <v>1145.67405</v>
      </c>
      <c r="M22" s="16" t="n">
        <v>1084.80344</v>
      </c>
      <c r="N22" s="16" t="n">
        <v>1078.13078</v>
      </c>
      <c r="O22" s="16" t="n">
        <v>979.00614</v>
      </c>
      <c r="P22" s="16" t="n">
        <v>1001.99348</v>
      </c>
      <c r="Q22" s="16" t="n">
        <v>1002.80732</v>
      </c>
      <c r="R22" s="16" t="n">
        <v>938.95134</v>
      </c>
      <c r="S22" s="16" t="n">
        <v>953.6825700000001</v>
      </c>
      <c r="T22" s="16" t="n">
        <v>1039.14148</v>
      </c>
      <c r="U22" s="16" t="n">
        <v>1044.47765</v>
      </c>
      <c r="V22" s="16" t="n">
        <v>1083.76204</v>
      </c>
      <c r="W22" s="16" t="n">
        <v>1057.77473</v>
      </c>
      <c r="X22" s="16" t="n">
        <v>1053.58707</v>
      </c>
      <c r="Y22" s="16" t="n">
        <v>1049.32089</v>
      </c>
      <c r="Z22" s="16" t="n">
        <v>1051.17721</v>
      </c>
      <c r="AA22" s="16" t="n">
        <v>1094.55258</v>
      </c>
      <c r="AB22" s="16" t="n">
        <v>1133.02666</v>
      </c>
      <c r="AC22" s="16" t="n">
        <v>1113.59486</v>
      </c>
      <c r="AD22" s="16" t="n">
        <v>1094.19758</v>
      </c>
      <c r="AE22" s="16" t="n">
        <v>1087.43757</v>
      </c>
      <c r="AF22" s="16" t="n">
        <v>1150.78346</v>
      </c>
      <c r="AG22" s="16" t="n">
        <v>1205.09783</v>
      </c>
      <c r="AH22" s="16" t="n">
        <v>1196.87019</v>
      </c>
      <c r="AI22" s="16" t="n">
        <v>1228.02056</v>
      </c>
      <c r="AJ22" s="16" t="n">
        <v>1264.38111</v>
      </c>
      <c r="AK22" s="16" t="n">
        <v>1246.87972</v>
      </c>
      <c r="AL22" s="16" t="n">
        <v>1266.16494</v>
      </c>
      <c r="AM22" s="16" t="n">
        <v>1267.97082</v>
      </c>
      <c r="AN22" s="16" t="n">
        <v>1292.18114</v>
      </c>
      <c r="AO22" s="16" t="n">
        <v>1320.6245</v>
      </c>
      <c r="AP22" s="16" t="n">
        <v>1352.67568</v>
      </c>
      <c r="AQ22" s="16" t="n">
        <v>1345.94684</v>
      </c>
      <c r="AR22" s="16" t="n">
        <v>1370.33971</v>
      </c>
      <c r="AS22" s="16" t="n">
        <v>1361.73814</v>
      </c>
      <c r="AT22" s="16" t="n">
        <v>1390.80321</v>
      </c>
      <c r="AU22" s="16" t="n">
        <v>1403.46444</v>
      </c>
      <c r="AV22" s="16" t="n">
        <v>1385.18029</v>
      </c>
      <c r="AW22" s="16" t="n">
        <v>1377.13371</v>
      </c>
      <c r="AX22" s="16" t="n">
        <v>1408.41795</v>
      </c>
      <c r="AY22" s="16" t="n">
        <v>1448.06743</v>
      </c>
      <c r="AZ22" s="16" t="n">
        <v>1473.1332</v>
      </c>
      <c r="BA22" s="16" t="n">
        <v>1501.49815</v>
      </c>
      <c r="BB22" s="16" t="n">
        <v>1527.05006</v>
      </c>
      <c r="BC22" s="16" t="n">
        <v>1574.74686</v>
      </c>
      <c r="BD22" s="16" t="n">
        <v>1587.71191</v>
      </c>
      <c r="BE22" s="16" t="n">
        <v>1610.68137</v>
      </c>
      <c r="BF22" s="16" t="n">
        <v>1634.82412</v>
      </c>
      <c r="BG22" s="16" t="n">
        <v>1649.41714</v>
      </c>
      <c r="BH22" s="16" t="n">
        <v>1590.11629</v>
      </c>
      <c r="BI22" s="16" t="n">
        <v>1654.95378</v>
      </c>
      <c r="BJ22" s="16" t="n">
        <v>1681.03537</v>
      </c>
      <c r="BK22" s="16" t="n">
        <v>1697.33867</v>
      </c>
      <c r="BL22" s="16" t="n">
        <v>1682.6869</v>
      </c>
      <c r="BM22" s="16" t="n">
        <v>1700.55804</v>
      </c>
      <c r="BN22" s="16" t="n">
        <v>1700.887382</v>
      </c>
    </row>
    <row r="24">
      <c r="A24" s="2" t="inlineStr">
        <is>
          <t>COUNTRIES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</row>
    <row r="25">
      <c r="A25" s="10" t="inlineStr">
        <is>
          <t>Angola</t>
        </is>
      </c>
      <c r="B25" s="16" t="n">
        <v>323.771363</v>
      </c>
      <c r="C25" s="31" t="n">
        <v>1.221003659065878</v>
      </c>
      <c r="D25" s="31" t="n">
        <v>2.689351983343702</v>
      </c>
      <c r="E25" s="31" t="n">
        <v>13.36519219007906</v>
      </c>
      <c r="F25" s="31" t="n">
        <v>20.23080079793078</v>
      </c>
      <c r="G25" s="16" t="n">
        <v>195.38307</v>
      </c>
      <c r="H25" s="16" t="n">
        <v>183.14455</v>
      </c>
      <c r="I25" s="16" t="n">
        <v>196.70837</v>
      </c>
      <c r="J25" s="16" t="n">
        <v>199.01218</v>
      </c>
      <c r="K25" s="16" t="n">
        <v>196.95397</v>
      </c>
      <c r="L25" s="16" t="n">
        <v>203.82269</v>
      </c>
      <c r="M25" s="16" t="n">
        <v>192.62842</v>
      </c>
      <c r="N25" s="16" t="n">
        <v>193.74506</v>
      </c>
      <c r="O25" s="16" t="n">
        <v>164.83484</v>
      </c>
      <c r="P25" s="16" t="n">
        <v>170.61263</v>
      </c>
      <c r="Q25" s="16" t="n">
        <v>174.74039</v>
      </c>
      <c r="R25" s="16" t="n">
        <v>160.50178</v>
      </c>
      <c r="S25" s="16" t="n">
        <v>175.85764</v>
      </c>
      <c r="T25" s="16" t="n">
        <v>194.19588</v>
      </c>
      <c r="U25" s="16" t="n">
        <v>190.04191</v>
      </c>
      <c r="V25" s="16" t="n">
        <v>204.97965</v>
      </c>
      <c r="W25" s="16" t="n">
        <v>200.77498</v>
      </c>
      <c r="X25" s="16" t="n">
        <v>191.21163</v>
      </c>
      <c r="Y25" s="16" t="n">
        <v>188.80578</v>
      </c>
      <c r="Z25" s="16" t="n">
        <v>191.9677</v>
      </c>
      <c r="AA25" s="16" t="n">
        <v>195.10515</v>
      </c>
      <c r="AB25" s="16" t="n">
        <v>204.46019</v>
      </c>
      <c r="AC25" s="16" t="n">
        <v>193.98893</v>
      </c>
      <c r="AD25" s="16" t="n">
        <v>192.08309</v>
      </c>
      <c r="AE25" s="16" t="n">
        <v>189.6165</v>
      </c>
      <c r="AF25" s="16" t="n">
        <v>201.38542</v>
      </c>
      <c r="AG25" s="16" t="n">
        <v>214.5328</v>
      </c>
      <c r="AH25" s="16" t="n">
        <v>210.69837</v>
      </c>
      <c r="AI25" s="16" t="n">
        <v>217.39974</v>
      </c>
      <c r="AJ25" s="16" t="n">
        <v>228.82562</v>
      </c>
      <c r="AK25" s="16" t="n">
        <v>227.07109</v>
      </c>
      <c r="AL25" s="16" t="n">
        <v>228.14236</v>
      </c>
      <c r="AM25" s="16" t="n">
        <v>227.57428</v>
      </c>
      <c r="AN25" s="16" t="n">
        <v>230.80505</v>
      </c>
      <c r="AO25" s="16" t="n">
        <v>236.23523</v>
      </c>
      <c r="AP25" s="16" t="n">
        <v>234.88383</v>
      </c>
      <c r="AQ25" s="16" t="n">
        <v>238.64981</v>
      </c>
      <c r="AR25" s="16" t="n">
        <v>237.68277</v>
      </c>
      <c r="AS25" s="16" t="n">
        <v>236.35637</v>
      </c>
      <c r="AT25" s="16" t="n">
        <v>239.84972</v>
      </c>
      <c r="AU25" s="16" t="n">
        <v>242.76329</v>
      </c>
      <c r="AV25" s="16" t="n">
        <v>236.96794</v>
      </c>
      <c r="AW25" s="16" t="n">
        <v>217.47902</v>
      </c>
      <c r="AX25" s="16" t="n">
        <v>232.76725</v>
      </c>
      <c r="AY25" s="16" t="n">
        <v>250.03905</v>
      </c>
      <c r="AZ25" s="16" t="n">
        <v>258.765</v>
      </c>
      <c r="BA25" s="16" t="n">
        <v>265.08805</v>
      </c>
      <c r="BB25" s="16" t="n">
        <v>274.67332</v>
      </c>
      <c r="BC25" s="16" t="n">
        <v>274.38856</v>
      </c>
      <c r="BD25" s="16" t="n">
        <v>279.53487</v>
      </c>
      <c r="BE25" s="16" t="n">
        <v>285.60033</v>
      </c>
      <c r="BF25" s="16" t="n">
        <v>288.85438</v>
      </c>
      <c r="BG25" s="16" t="n">
        <v>294.39582</v>
      </c>
      <c r="BH25" s="16" t="n">
        <v>293.43367</v>
      </c>
      <c r="BI25" s="16" t="n">
        <v>314.87597</v>
      </c>
      <c r="BJ25" s="16" t="n">
        <v>315.17627</v>
      </c>
      <c r="BK25" s="16" t="n">
        <v>313.27788</v>
      </c>
      <c r="BL25" s="16" t="n">
        <v>317.1075</v>
      </c>
      <c r="BM25" s="16" t="n">
        <v>319.88684</v>
      </c>
      <c r="BN25" s="16" t="n">
        <v>323.771363</v>
      </c>
    </row>
    <row r="26">
      <c r="A26" s="10" t="inlineStr">
        <is>
          <t>Argentina</t>
        </is>
      </c>
      <c r="B26" s="16" t="n">
        <v>427.480875</v>
      </c>
      <c r="C26" s="32" t="n">
        <v>-1.945705584853619</v>
      </c>
      <c r="D26" s="31" t="n">
        <v>1.048018843095688</v>
      </c>
      <c r="E26" s="31" t="n">
        <v>6.319174442801057</v>
      </c>
      <c r="F26" s="31" t="n">
        <v>39.48294150088012</v>
      </c>
      <c r="G26" s="16" t="n">
        <v>133.19466</v>
      </c>
      <c r="H26" s="16" t="n">
        <v>120.78084</v>
      </c>
      <c r="I26" s="16" t="n">
        <v>139.01895</v>
      </c>
      <c r="J26" s="16" t="n">
        <v>135.97555</v>
      </c>
      <c r="K26" s="16" t="n">
        <v>130.64229</v>
      </c>
      <c r="L26" s="16" t="n">
        <v>135.55091</v>
      </c>
      <c r="M26" s="16" t="n">
        <v>127.6944</v>
      </c>
      <c r="N26" s="16" t="n">
        <v>122.63469</v>
      </c>
      <c r="O26" s="16" t="n">
        <v>97.05634000000001</v>
      </c>
      <c r="P26" s="16" t="n">
        <v>100.89262</v>
      </c>
      <c r="Q26" s="16" t="n">
        <v>102.10882</v>
      </c>
      <c r="R26" s="16" t="n">
        <v>85.08475</v>
      </c>
      <c r="S26" s="16" t="n">
        <v>92.84856000000001</v>
      </c>
      <c r="T26" s="16" t="n">
        <v>112.92478</v>
      </c>
      <c r="U26" s="16" t="n">
        <v>117.09735</v>
      </c>
      <c r="V26" s="16" t="n">
        <v>144.45533</v>
      </c>
      <c r="W26" s="16" t="n">
        <v>134.69127</v>
      </c>
      <c r="X26" s="16" t="n">
        <v>121.18954</v>
      </c>
      <c r="Y26" s="16" t="n">
        <v>106.40706</v>
      </c>
      <c r="Z26" s="16" t="n">
        <v>112.24093</v>
      </c>
      <c r="AA26" s="16" t="n">
        <v>141.50346</v>
      </c>
      <c r="AB26" s="16" t="n">
        <v>146.82088</v>
      </c>
      <c r="AC26" s="16" t="n">
        <v>142.14008</v>
      </c>
      <c r="AD26" s="16" t="n">
        <v>121.22448</v>
      </c>
      <c r="AE26" s="16" t="n">
        <v>121.85355</v>
      </c>
      <c r="AF26" s="16" t="n">
        <v>157.05067</v>
      </c>
      <c r="AG26" s="16" t="n">
        <v>167.77487</v>
      </c>
      <c r="AH26" s="16" t="n">
        <v>167.73595</v>
      </c>
      <c r="AI26" s="16" t="n">
        <v>187.66922</v>
      </c>
      <c r="AJ26" s="16" t="n">
        <v>211.18613</v>
      </c>
      <c r="AK26" s="16" t="n">
        <v>233.26191</v>
      </c>
      <c r="AL26" s="16" t="n">
        <v>225.71654</v>
      </c>
      <c r="AM26" s="16" t="n">
        <v>219.68759</v>
      </c>
      <c r="AN26" s="16" t="n">
        <v>221.56108</v>
      </c>
      <c r="AO26" s="16" t="n">
        <v>234.61453</v>
      </c>
      <c r="AP26" s="16" t="n">
        <v>254.99403</v>
      </c>
      <c r="AQ26" s="16" t="n">
        <v>287.57153</v>
      </c>
      <c r="AR26" s="16" t="n">
        <v>324.74538</v>
      </c>
      <c r="AS26" s="16" t="n">
        <v>340.70045</v>
      </c>
      <c r="AT26" s="16" t="n">
        <v>346.59213</v>
      </c>
      <c r="AU26" s="16" t="n">
        <v>328.22364</v>
      </c>
      <c r="AV26" s="16" t="n">
        <v>326.32821</v>
      </c>
      <c r="AW26" s="16" t="n">
        <v>347.40014</v>
      </c>
      <c r="AX26" s="16" t="n">
        <v>353.81715</v>
      </c>
      <c r="AY26" s="16" t="n">
        <v>355.91624</v>
      </c>
      <c r="AZ26" s="16" t="n">
        <v>351.84739</v>
      </c>
      <c r="BA26" s="16" t="n">
        <v>342.68656</v>
      </c>
      <c r="BB26" s="16" t="n">
        <v>292.89344</v>
      </c>
      <c r="BC26" s="16" t="n">
        <v>378.82299</v>
      </c>
      <c r="BD26" s="16" t="n">
        <v>385.89691</v>
      </c>
      <c r="BE26" s="16" t="n">
        <v>402.07317</v>
      </c>
      <c r="BF26" s="16" t="n">
        <v>417.72165</v>
      </c>
      <c r="BG26" s="16" t="n">
        <v>409.67092</v>
      </c>
      <c r="BH26" s="16" t="n">
        <v>398.0663</v>
      </c>
      <c r="BI26" s="16" t="n">
        <v>411.38008</v>
      </c>
      <c r="BJ26" s="16" t="n">
        <v>424.73254</v>
      </c>
      <c r="BK26" s="16" t="n">
        <v>440.25185</v>
      </c>
      <c r="BL26" s="16" t="n">
        <v>437.42751</v>
      </c>
      <c r="BM26" s="16" t="n">
        <v>424.02609</v>
      </c>
      <c r="BN26" s="16" t="n">
        <v>427.480875</v>
      </c>
    </row>
    <row r="27">
      <c r="A27" s="10" t="inlineStr">
        <is>
          <t>Armenia</t>
        </is>
      </c>
      <c r="B27" s="16" t="n">
        <v>224.185889</v>
      </c>
      <c r="C27" s="33" t="inlineStr"/>
      <c r="D27" s="33" t="inlineStr"/>
      <c r="E27" s="33" t="inlineStr"/>
      <c r="F27" s="33" t="inlineStr"/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s="16" t="inlineStr"/>
      <c r="U27" s="16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s="16" t="inlineStr"/>
      <c r="AE27" s="16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s="16" t="inlineStr"/>
      <c r="AY27" s="16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s="16" t="inlineStr"/>
      <c r="BI27" s="16" t="inlineStr"/>
      <c r="BJ27" s="16" t="inlineStr"/>
      <c r="BK27" s="16" t="inlineStr"/>
      <c r="BL27" s="16" t="inlineStr"/>
      <c r="BM27" s="16" t="inlineStr"/>
      <c r="BN27" s="16" t="n">
        <v>224.185889</v>
      </c>
    </row>
    <row r="28">
      <c r="A28" s="10" t="inlineStr">
        <is>
          <t>Azerbaijan</t>
        </is>
      </c>
      <c r="B28" s="16" t="n">
        <v>219.808556</v>
      </c>
      <c r="C28" s="31" t="n">
        <v>0.4763187494906118</v>
      </c>
      <c r="D28" s="31" t="n">
        <v>0.5011125104109393</v>
      </c>
      <c r="E28" s="31" t="n">
        <v>1.837632562719316</v>
      </c>
      <c r="F28" s="31" t="n">
        <v>4.814221639498606</v>
      </c>
      <c r="G28" s="16" t="n">
        <v>184.89409</v>
      </c>
      <c r="H28" s="16" t="n">
        <v>182.16729</v>
      </c>
      <c r="I28" s="16" t="n">
        <v>183.84358</v>
      </c>
      <c r="J28" s="16" t="n">
        <v>182.69793</v>
      </c>
      <c r="K28" s="16" t="n">
        <v>179.02862</v>
      </c>
      <c r="L28" s="16" t="n">
        <v>176.35775</v>
      </c>
      <c r="M28" s="16" t="n">
        <v>172.63091</v>
      </c>
      <c r="N28" s="16" t="n">
        <v>170.52696</v>
      </c>
      <c r="O28" s="16" t="n">
        <v>163.95249</v>
      </c>
      <c r="P28" s="16" t="n">
        <v>171.27255</v>
      </c>
      <c r="Q28" s="16" t="n">
        <v>173.75707</v>
      </c>
      <c r="R28" s="16" t="n">
        <v>164.55735</v>
      </c>
      <c r="S28" s="16" t="n">
        <v>165.93527</v>
      </c>
      <c r="T28" s="16" t="n">
        <v>172.25462</v>
      </c>
      <c r="U28" s="16" t="n">
        <v>173.68933</v>
      </c>
      <c r="V28" s="16" t="n">
        <v>176.51949</v>
      </c>
      <c r="W28" s="16" t="n">
        <v>175.51898</v>
      </c>
      <c r="X28" s="16" t="n">
        <v>176.04694</v>
      </c>
      <c r="Y28" s="16" t="n">
        <v>178.98716</v>
      </c>
      <c r="Z28" s="16" t="n">
        <v>178.23555</v>
      </c>
      <c r="AA28" s="16" t="n">
        <v>178.8548</v>
      </c>
      <c r="AB28" s="16" t="n">
        <v>179.90242</v>
      </c>
      <c r="AC28" s="16" t="n">
        <v>179.43164</v>
      </c>
      <c r="AD28" s="16" t="n">
        <v>176.89697</v>
      </c>
      <c r="AE28" s="16" t="n">
        <v>173.82201</v>
      </c>
      <c r="AF28" s="16" t="n">
        <v>181.08084</v>
      </c>
      <c r="AG28" s="16" t="n">
        <v>186.07401</v>
      </c>
      <c r="AH28" s="16" t="n">
        <v>185.31948</v>
      </c>
      <c r="AI28" s="16" t="n">
        <v>185.64447</v>
      </c>
      <c r="AJ28" s="16" t="n">
        <v>186.78461</v>
      </c>
      <c r="AK28" s="16" t="n">
        <v>185.21691</v>
      </c>
      <c r="AL28" s="16" t="n">
        <v>187.61478</v>
      </c>
      <c r="AM28" s="16" t="n">
        <v>189.30279</v>
      </c>
      <c r="AN28" s="16" t="n">
        <v>191.63539</v>
      </c>
      <c r="AO28" s="16" t="n">
        <v>195.56504</v>
      </c>
      <c r="AP28" s="16" t="n">
        <v>197.65321</v>
      </c>
      <c r="AQ28" s="16" t="n">
        <v>195.93819</v>
      </c>
      <c r="AR28" s="16" t="n">
        <v>196.44198</v>
      </c>
      <c r="AS28" s="16" t="n">
        <v>195.47409</v>
      </c>
      <c r="AT28" s="16" t="n">
        <v>197.41251</v>
      </c>
      <c r="AU28" s="16" t="n">
        <v>199.3063</v>
      </c>
      <c r="AV28" s="16" t="n">
        <v>200.10757</v>
      </c>
      <c r="AW28" s="16" t="n">
        <v>200.44734</v>
      </c>
      <c r="AX28" s="16" t="n">
        <v>201.90525</v>
      </c>
      <c r="AY28" s="16" t="n">
        <v>204.82944</v>
      </c>
      <c r="AZ28" s="16" t="n">
        <v>206.778</v>
      </c>
      <c r="BA28" s="16" t="n">
        <v>209.17543</v>
      </c>
      <c r="BB28" s="16" t="n">
        <v>210.62317</v>
      </c>
      <c r="BC28" s="16" t="n">
        <v>212.87656</v>
      </c>
      <c r="BD28" s="16" t="n">
        <v>213.63915</v>
      </c>
      <c r="BE28" s="16" t="n">
        <v>215.84217</v>
      </c>
      <c r="BF28" s="16" t="n">
        <v>215.51496</v>
      </c>
      <c r="BG28" s="16" t="n">
        <v>217.4183</v>
      </c>
      <c r="BH28" s="16" t="n">
        <v>214.41245</v>
      </c>
      <c r="BI28" s="16" t="n">
        <v>218.90716</v>
      </c>
      <c r="BJ28" s="16" t="n">
        <v>219.03294</v>
      </c>
      <c r="BK28" s="16" t="n">
        <v>219.02529</v>
      </c>
      <c r="BL28" s="16" t="n">
        <v>217.58525</v>
      </c>
      <c r="BM28" s="16" t="n">
        <v>219.39502</v>
      </c>
      <c r="BN28" s="16" t="n">
        <v>219.808556</v>
      </c>
    </row>
    <row r="29">
      <c r="A29" s="10" t="inlineStr">
        <is>
          <t>Bahrain</t>
        </is>
      </c>
      <c r="B29" s="16" t="n">
        <v>152.060033</v>
      </c>
      <c r="C29" s="32" t="n">
        <v>-0.4300555014248642</v>
      </c>
      <c r="D29" s="32" t="n">
        <v>-0.9587556420637355</v>
      </c>
      <c r="E29" s="32" t="n">
        <v>-1.916179827608333</v>
      </c>
      <c r="F29" s="32" t="n">
        <v>-0.6311268255252633</v>
      </c>
      <c r="G29" s="16" t="n">
        <v>124.05565</v>
      </c>
      <c r="H29" s="16" t="n">
        <v>122.49257</v>
      </c>
      <c r="I29" s="16" t="n">
        <v>123.98622</v>
      </c>
      <c r="J29" s="16" t="n">
        <v>122.48091</v>
      </c>
      <c r="K29" s="16" t="n">
        <v>121.07588</v>
      </c>
      <c r="L29" s="16" t="n">
        <v>123.59012</v>
      </c>
      <c r="M29" s="16" t="n">
        <v>120.72379</v>
      </c>
      <c r="N29" s="16" t="n">
        <v>120.76168</v>
      </c>
      <c r="O29" s="16" t="n">
        <v>116.14627</v>
      </c>
      <c r="P29" s="16" t="n">
        <v>116.78633</v>
      </c>
      <c r="Q29" s="16" t="n">
        <v>118.70366</v>
      </c>
      <c r="R29" s="16" t="n">
        <v>114.94983</v>
      </c>
      <c r="S29" s="16" t="n">
        <v>115.59962</v>
      </c>
      <c r="T29" s="16" t="n">
        <v>120.81271</v>
      </c>
      <c r="U29" s="16" t="n">
        <v>122.08792</v>
      </c>
      <c r="V29" s="16" t="n">
        <v>124.55635</v>
      </c>
      <c r="W29" s="16" t="n">
        <v>124.20589</v>
      </c>
      <c r="X29" s="16" t="n">
        <v>124.2754</v>
      </c>
      <c r="Y29" s="16" t="n">
        <v>125.0198</v>
      </c>
      <c r="Z29" s="16" t="n">
        <v>123.94252</v>
      </c>
      <c r="AA29" s="16" t="n">
        <v>125.86186</v>
      </c>
      <c r="AB29" s="16" t="n">
        <v>128.00993</v>
      </c>
      <c r="AC29" s="16" t="n">
        <v>127.46218</v>
      </c>
      <c r="AD29" s="16" t="n">
        <v>126.01024</v>
      </c>
      <c r="AE29" s="16" t="n">
        <v>123.62091</v>
      </c>
      <c r="AF29" s="16" t="n">
        <v>129.12955</v>
      </c>
      <c r="AG29" s="16" t="n">
        <v>132.5403</v>
      </c>
      <c r="AH29" s="16" t="n">
        <v>131.90433</v>
      </c>
      <c r="AI29" s="16" t="n">
        <v>132.74843</v>
      </c>
      <c r="AJ29" s="16" t="n">
        <v>134.47746</v>
      </c>
      <c r="AK29" s="16" t="n">
        <v>132.84285</v>
      </c>
      <c r="AL29" s="16" t="n">
        <v>135.86583</v>
      </c>
      <c r="AM29" s="16" t="n">
        <v>136.38134</v>
      </c>
      <c r="AN29" s="16" t="n">
        <v>138.27243</v>
      </c>
      <c r="AO29" s="16" t="n">
        <v>141.09631</v>
      </c>
      <c r="AP29" s="16" t="n">
        <v>143.80765</v>
      </c>
      <c r="AQ29" s="16" t="n">
        <v>141.6333</v>
      </c>
      <c r="AR29" s="16" t="n">
        <v>142.10644</v>
      </c>
      <c r="AS29" s="16" t="n">
        <v>141.08591</v>
      </c>
      <c r="AT29" s="16" t="n">
        <v>142.63181</v>
      </c>
      <c r="AU29" s="16" t="n">
        <v>143.95489</v>
      </c>
      <c r="AV29" s="16" t="n">
        <v>144.37524</v>
      </c>
      <c r="AW29" s="16" t="n">
        <v>143.89502</v>
      </c>
      <c r="AX29" s="16" t="n">
        <v>144.63094</v>
      </c>
      <c r="AY29" s="16" t="n">
        <v>145.84697</v>
      </c>
      <c r="AZ29" s="16" t="n">
        <v>148.75091</v>
      </c>
      <c r="BA29" s="16" t="n">
        <v>151.14476</v>
      </c>
      <c r="BB29" s="16" t="n">
        <v>154.30307</v>
      </c>
      <c r="BC29" s="16" t="n">
        <v>155.54267</v>
      </c>
      <c r="BD29" s="16" t="n">
        <v>154.66492</v>
      </c>
      <c r="BE29" s="16" t="n">
        <v>155.0307</v>
      </c>
      <c r="BF29" s="16" t="n">
        <v>153.2228</v>
      </c>
      <c r="BG29" s="16" t="n">
        <v>154.9031</v>
      </c>
      <c r="BH29" s="16" t="n">
        <v>147.18295</v>
      </c>
      <c r="BI29" s="16" t="n">
        <v>152.37699</v>
      </c>
      <c r="BJ29" s="16" t="n">
        <v>154.50253</v>
      </c>
      <c r="BK29" s="16" t="n">
        <v>153.736</v>
      </c>
      <c r="BL29" s="16" t="n">
        <v>150.24262</v>
      </c>
      <c r="BM29" s="16" t="n">
        <v>152.47369</v>
      </c>
      <c r="BN29" s="16" t="n">
        <v>152.060033</v>
      </c>
    </row>
    <row r="30">
      <c r="A30" s="10" t="inlineStr">
        <is>
          <t>Barbados</t>
        </is>
      </c>
      <c r="B30" s="16" t="n">
        <v>115.198333</v>
      </c>
      <c r="C30" s="31" t="n">
        <v>0.4200381671404241</v>
      </c>
      <c r="D30" s="31" t="n">
        <v>1.938860045122759</v>
      </c>
      <c r="E30" s="31" t="n">
        <v>5.90374387103092</v>
      </c>
      <c r="F30" s="31" t="n">
        <v>11.92844423720974</v>
      </c>
      <c r="G30" s="16" t="n">
        <v>105.61508</v>
      </c>
      <c r="H30" s="16" t="n">
        <v>106.379</v>
      </c>
      <c r="I30" s="16" t="n">
        <v>106.42774</v>
      </c>
      <c r="J30" s="16" t="n">
        <v>106.85919</v>
      </c>
      <c r="K30" s="16" t="n">
        <v>105.72448</v>
      </c>
      <c r="L30" s="16" t="n">
        <v>104.07296</v>
      </c>
      <c r="M30" s="16" t="n">
        <v>104.16617</v>
      </c>
      <c r="N30" s="16" t="n">
        <v>104.83497</v>
      </c>
      <c r="O30" s="16" t="n">
        <v>105.71713</v>
      </c>
      <c r="P30" s="16" t="n">
        <v>105.70349</v>
      </c>
      <c r="Q30" s="16" t="n">
        <v>105.51157</v>
      </c>
      <c r="R30" s="16" t="n">
        <v>103.70773</v>
      </c>
      <c r="S30" s="16" t="n">
        <v>103.95906</v>
      </c>
      <c r="T30" s="16" t="n">
        <v>105.09179</v>
      </c>
      <c r="U30" s="16" t="n">
        <v>105.14412</v>
      </c>
      <c r="V30" s="16" t="n">
        <v>105.88611</v>
      </c>
      <c r="W30" s="16" t="n">
        <v>106.10804</v>
      </c>
      <c r="X30" s="16" t="n">
        <v>107.36207</v>
      </c>
      <c r="Y30" s="16" t="n">
        <v>108.02117</v>
      </c>
      <c r="Z30" s="16" t="n">
        <v>108.8309</v>
      </c>
      <c r="AA30" s="16" t="n">
        <v>110.18866</v>
      </c>
      <c r="AB30" s="16" t="n">
        <v>110.7054</v>
      </c>
      <c r="AC30" s="16" t="n">
        <v>111.30535</v>
      </c>
      <c r="AD30" s="16" t="n">
        <v>111.70174</v>
      </c>
      <c r="AE30" s="16" t="n">
        <v>112.28023</v>
      </c>
      <c r="AF30" s="16" t="n">
        <v>113.99157</v>
      </c>
      <c r="AG30" s="16" t="n">
        <v>114.84727</v>
      </c>
      <c r="AH30" s="16" t="n">
        <v>116.34099</v>
      </c>
      <c r="AI30" s="16" t="n">
        <v>117.22797</v>
      </c>
      <c r="AJ30" s="16" t="n">
        <v>117.79949</v>
      </c>
      <c r="AK30" s="16" t="n">
        <v>118.1229</v>
      </c>
      <c r="AL30" s="16" t="n">
        <v>119.2837</v>
      </c>
      <c r="AM30" s="16" t="n">
        <v>119.60111</v>
      </c>
      <c r="AN30" s="16" t="n">
        <v>120.81766</v>
      </c>
      <c r="AO30" s="16" t="n">
        <v>122.34999</v>
      </c>
      <c r="AP30" s="16" t="n">
        <v>122.74509</v>
      </c>
      <c r="AQ30" s="16" t="n">
        <v>123.36969</v>
      </c>
      <c r="AR30" s="16" t="n">
        <v>125.82887</v>
      </c>
      <c r="AS30" s="16" t="n">
        <v>127.44414</v>
      </c>
      <c r="AT30" s="16" t="n">
        <v>127.82278</v>
      </c>
      <c r="AU30" s="16" t="n">
        <v>127.87662</v>
      </c>
      <c r="AV30" s="16" t="inlineStr"/>
      <c r="AW30" s="16" t="inlineStr"/>
      <c r="AX30" s="16" t="inlineStr"/>
      <c r="AY30" s="16" t="n">
        <v>100</v>
      </c>
      <c r="AZ30" s="16" t="n">
        <v>99.82859999999999</v>
      </c>
      <c r="BA30" s="16" t="n">
        <v>101.63149</v>
      </c>
      <c r="BB30" s="16" t="n">
        <v>105.51066</v>
      </c>
      <c r="BC30" s="16" t="n">
        <v>106.56416</v>
      </c>
      <c r="BD30" s="16" t="n">
        <v>107.47983</v>
      </c>
      <c r="BE30" s="16" t="n">
        <v>108.77645</v>
      </c>
      <c r="BF30" s="16" t="n">
        <v>111.20946</v>
      </c>
      <c r="BG30" s="16" t="n">
        <v>111.57104</v>
      </c>
      <c r="BH30" s="16" t="n">
        <v>107.40734</v>
      </c>
      <c r="BI30" s="16" t="n">
        <v>113.17654</v>
      </c>
      <c r="BJ30" s="16" t="n">
        <v>112.9258</v>
      </c>
      <c r="BK30" s="16" t="n">
        <v>114.51841</v>
      </c>
      <c r="BL30" s="16" t="n">
        <v>114.5656</v>
      </c>
      <c r="BM30" s="16" t="n">
        <v>114.82111</v>
      </c>
      <c r="BN30" s="16" t="n">
        <v>115.198333</v>
      </c>
    </row>
    <row r="31">
      <c r="A31" s="10" t="inlineStr">
        <is>
          <t>Benin</t>
        </is>
      </c>
      <c r="B31" s="16" t="n">
        <v>131.460539</v>
      </c>
      <c r="C31" s="31" t="n">
        <v>0.3966966827069651</v>
      </c>
      <c r="D31" s="31" t="n">
        <v>2.354612821478286</v>
      </c>
      <c r="E31" s="31" t="n">
        <v>5.858390785123646</v>
      </c>
      <c r="F31" s="31" t="n">
        <v>13.07494818709674</v>
      </c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6" t="inlineStr"/>
      <c r="W31" s="16" t="inlineStr"/>
      <c r="X31" s="16" t="inlineStr"/>
      <c r="Y31" s="16" t="inlineStr"/>
      <c r="Z31" s="16" t="inlineStr"/>
      <c r="AA31" s="16" t="inlineStr"/>
      <c r="AB31" s="16" t="inlineStr"/>
      <c r="AC31" s="16" t="inlineStr"/>
      <c r="AD31" s="16" t="inlineStr"/>
      <c r="AE31" s="16" t="inlineStr"/>
      <c r="AF31" s="16" t="inlineStr"/>
      <c r="AG31" s="16" t="inlineStr"/>
      <c r="AH31" s="16" t="inlineStr"/>
      <c r="AI31" s="16" t="n">
        <v>100</v>
      </c>
      <c r="AJ31" s="16" t="n">
        <v>101.21419</v>
      </c>
      <c r="AK31" s="16" t="n">
        <v>98.87703999999999</v>
      </c>
      <c r="AL31" s="16" t="n">
        <v>98.92509</v>
      </c>
      <c r="AM31" s="16" t="n">
        <v>98.53823</v>
      </c>
      <c r="AN31" s="16" t="n">
        <v>99.66949</v>
      </c>
      <c r="AO31" s="16" t="n">
        <v>103.0822</v>
      </c>
      <c r="AP31" s="16" t="n">
        <v>107.36252</v>
      </c>
      <c r="AQ31" s="16" t="n">
        <v>106.68088</v>
      </c>
      <c r="AR31" s="16" t="n">
        <v>106.69831</v>
      </c>
      <c r="AS31" s="16" t="n">
        <v>104.29454</v>
      </c>
      <c r="AT31" s="16" t="n">
        <v>105.46464</v>
      </c>
      <c r="AU31" s="16" t="n">
        <v>105.44766</v>
      </c>
      <c r="AV31" s="16" t="n">
        <v>105.19278</v>
      </c>
      <c r="AW31" s="16" t="n">
        <v>101.76864</v>
      </c>
      <c r="AX31" s="16" t="n">
        <v>104.33122</v>
      </c>
      <c r="AY31" s="16" t="n">
        <v>108.58223</v>
      </c>
      <c r="AZ31" s="16" t="n">
        <v>112.14708</v>
      </c>
      <c r="BA31" s="16" t="n">
        <v>114.72504</v>
      </c>
      <c r="BB31" s="16" t="n">
        <v>120.21667</v>
      </c>
      <c r="BC31" s="16" t="n">
        <v>123.25918</v>
      </c>
      <c r="BD31" s="16" t="n">
        <v>120.9494</v>
      </c>
      <c r="BE31" s="16" t="n">
        <v>124.18528</v>
      </c>
      <c r="BF31" s="16" t="n">
        <v>125.65518</v>
      </c>
      <c r="BG31" s="16" t="n">
        <v>126.43505</v>
      </c>
      <c r="BH31" s="16" t="n">
        <v>118.87858</v>
      </c>
      <c r="BI31" s="16" t="n">
        <v>125.05176</v>
      </c>
      <c r="BJ31" s="16" t="n">
        <v>128.6932</v>
      </c>
      <c r="BK31" s="16" t="n">
        <v>130.35775</v>
      </c>
      <c r="BL31" s="16" t="n">
        <v>128.65335</v>
      </c>
      <c r="BM31" s="16" t="n">
        <v>131.84309</v>
      </c>
      <c r="BN31" s="16" t="n">
        <v>131.460539</v>
      </c>
    </row>
    <row r="32">
      <c r="A32" s="10" t="inlineStr">
        <is>
          <t>Bolivia</t>
        </is>
      </c>
      <c r="B32" s="16" t="n">
        <v>236.229932</v>
      </c>
      <c r="C32" s="32" t="n">
        <v>-0.8442358323758059</v>
      </c>
      <c r="D32" s="31" t="n">
        <v>4.892109356371743</v>
      </c>
      <c r="E32" s="31" t="n">
        <v>10.51331327223497</v>
      </c>
      <c r="F32" s="31" t="n">
        <v>31.30839349528836</v>
      </c>
      <c r="G32" s="16" t="n">
        <v>156.48711</v>
      </c>
      <c r="H32" s="16" t="n">
        <v>156.77723</v>
      </c>
      <c r="I32" s="16" t="n">
        <v>160.23193</v>
      </c>
      <c r="J32" s="16" t="n">
        <v>156.65999</v>
      </c>
      <c r="K32" s="16" t="n">
        <v>157.16618</v>
      </c>
      <c r="L32" s="16" t="n">
        <v>156.49963</v>
      </c>
      <c r="M32" s="16" t="n">
        <v>154.32678</v>
      </c>
      <c r="N32" s="16" t="n">
        <v>148.10838</v>
      </c>
      <c r="O32" s="16" t="n">
        <v>143.54071</v>
      </c>
      <c r="P32" s="16" t="n">
        <v>148.01707</v>
      </c>
      <c r="Q32" s="16" t="n">
        <v>146.34591</v>
      </c>
      <c r="R32" s="16" t="n">
        <v>147.38692</v>
      </c>
      <c r="S32" s="16" t="n">
        <v>145.75172</v>
      </c>
      <c r="T32" s="16" t="n">
        <v>145.0193</v>
      </c>
      <c r="U32" s="16" t="n">
        <v>151.30036</v>
      </c>
      <c r="V32" s="16" t="n">
        <v>146.21634</v>
      </c>
      <c r="W32" s="16" t="n">
        <v>141.0021</v>
      </c>
      <c r="X32" s="16" t="n">
        <v>104.8344</v>
      </c>
      <c r="Y32" s="16" t="n">
        <v>112.19072</v>
      </c>
      <c r="Z32" s="16" t="n">
        <v>118.91221</v>
      </c>
      <c r="AA32" s="16" t="n">
        <v>127.82512</v>
      </c>
      <c r="AB32" s="16" t="n">
        <v>139.0426</v>
      </c>
      <c r="AC32" s="16" t="n">
        <v>128.35716</v>
      </c>
      <c r="AD32" s="16" t="n">
        <v>114.93533</v>
      </c>
      <c r="AE32" s="16" t="n">
        <v>108.70017</v>
      </c>
      <c r="AF32" s="16" t="n">
        <v>99.48681000000001</v>
      </c>
      <c r="AG32" s="16" t="n">
        <v>99.40304</v>
      </c>
      <c r="AH32" s="16" t="n">
        <v>107.51402</v>
      </c>
      <c r="AI32" s="16" t="n">
        <v>117.43819</v>
      </c>
      <c r="AJ32" s="16" t="n">
        <v>117.9871</v>
      </c>
      <c r="AK32" s="16" t="n">
        <v>115.43316</v>
      </c>
      <c r="AL32" s="16" t="n">
        <v>116.46609</v>
      </c>
      <c r="AM32" s="16" t="n">
        <v>115.55884</v>
      </c>
      <c r="AN32" s="16" t="n">
        <v>116.97884</v>
      </c>
      <c r="AO32" s="16" t="n">
        <v>115.72607</v>
      </c>
      <c r="AP32" s="16" t="n">
        <v>118.83443</v>
      </c>
      <c r="AQ32" s="16" t="n">
        <v>133.97433</v>
      </c>
      <c r="AR32" s="16" t="n">
        <v>131.466</v>
      </c>
      <c r="AS32" s="16" t="n">
        <v>130.41023</v>
      </c>
      <c r="AT32" s="16" t="n">
        <v>135.42561</v>
      </c>
      <c r="AU32" s="16" t="n">
        <v>138.23958</v>
      </c>
      <c r="AV32" s="16" t="n">
        <v>144.91354</v>
      </c>
      <c r="AW32" s="16" t="n">
        <v>143.72023</v>
      </c>
      <c r="AX32" s="16" t="n">
        <v>149.43119</v>
      </c>
      <c r="AY32" s="16" t="n">
        <v>156.45192</v>
      </c>
      <c r="AZ32" s="16" t="n">
        <v>172.25017</v>
      </c>
      <c r="BA32" s="16" t="n">
        <v>180.74677</v>
      </c>
      <c r="BB32" s="16" t="n">
        <v>180.80767</v>
      </c>
      <c r="BC32" s="16" t="n">
        <v>189.29242</v>
      </c>
      <c r="BD32" s="16" t="n">
        <v>212.25152</v>
      </c>
      <c r="BE32" s="16" t="n">
        <v>213.75699</v>
      </c>
      <c r="BF32" s="16" t="n">
        <v>218.9589</v>
      </c>
      <c r="BG32" s="16" t="n">
        <v>225.35237</v>
      </c>
      <c r="BH32" s="16" t="n">
        <v>222.13586</v>
      </c>
      <c r="BI32" s="16" t="n">
        <v>230.59242</v>
      </c>
      <c r="BJ32" s="16" t="n">
        <v>225.10294</v>
      </c>
      <c r="BK32" s="16" t="n">
        <v>235.78899</v>
      </c>
      <c r="BL32" s="16" t="n">
        <v>236.05346</v>
      </c>
      <c r="BM32" s="16" t="n">
        <v>236.0707</v>
      </c>
      <c r="BN32" s="16" t="n">
        <v>236.229932</v>
      </c>
    </row>
    <row r="33">
      <c r="A33" s="10" t="inlineStr">
        <is>
          <t>Brazil</t>
        </is>
      </c>
      <c r="B33" s="16" t="n">
        <v>1731.782296</v>
      </c>
      <c r="C33" s="31" t="n">
        <v>0.06174423952090002</v>
      </c>
      <c r="D33" s="31" t="n">
        <v>0.52130190521682</v>
      </c>
      <c r="E33" s="31" t="n">
        <v>2.306037337229361</v>
      </c>
      <c r="F33" s="31" t="n">
        <v>3.97025918283116</v>
      </c>
      <c r="G33" s="16" t="n">
        <v>1422.03695</v>
      </c>
      <c r="H33" s="16" t="n">
        <v>1423.6947</v>
      </c>
      <c r="I33" s="16" t="n">
        <v>1460.33807</v>
      </c>
      <c r="J33" s="16" t="n">
        <v>1425.22792</v>
      </c>
      <c r="K33" s="16" t="n">
        <v>1416.72549</v>
      </c>
      <c r="L33" s="16" t="n">
        <v>1416.85873</v>
      </c>
      <c r="M33" s="16" t="n">
        <v>1359.40207</v>
      </c>
      <c r="N33" s="16" t="n">
        <v>1365.15068</v>
      </c>
      <c r="O33" s="16" t="n">
        <v>1300.85586</v>
      </c>
      <c r="P33" s="16" t="n">
        <v>1374.90776</v>
      </c>
      <c r="Q33" s="16" t="n">
        <v>1352.09475</v>
      </c>
      <c r="R33" s="16" t="n">
        <v>1306.95829</v>
      </c>
      <c r="S33" s="16" t="n">
        <v>1311.22904</v>
      </c>
      <c r="T33" s="16" t="n">
        <v>1372.96154</v>
      </c>
      <c r="U33" s="16" t="n">
        <v>1354.16368</v>
      </c>
      <c r="V33" s="16" t="n">
        <v>1393.74195</v>
      </c>
      <c r="W33" s="16" t="n">
        <v>1375.8699</v>
      </c>
      <c r="X33" s="16" t="n">
        <v>1413.48951</v>
      </c>
      <c r="Y33" s="16" t="n">
        <v>1419.57089</v>
      </c>
      <c r="Z33" s="16" t="n">
        <v>1415.25095</v>
      </c>
      <c r="AA33" s="16" t="n">
        <v>1425.86009</v>
      </c>
      <c r="AB33" s="16" t="n">
        <v>1450.79166</v>
      </c>
      <c r="AC33" s="16" t="n">
        <v>1432.56716</v>
      </c>
      <c r="AD33" s="16" t="n">
        <v>1404.51151</v>
      </c>
      <c r="AE33" s="16" t="n">
        <v>1389.04867</v>
      </c>
      <c r="AF33" s="16" t="n">
        <v>1449.96414</v>
      </c>
      <c r="AG33" s="16" t="n">
        <v>1498.96129</v>
      </c>
      <c r="AH33" s="16" t="n">
        <v>1485.61268</v>
      </c>
      <c r="AI33" s="16" t="n">
        <v>1489.57298</v>
      </c>
      <c r="AJ33" s="16" t="n">
        <v>1499.92785</v>
      </c>
      <c r="AK33" s="16" t="n">
        <v>1461.94885</v>
      </c>
      <c r="AL33" s="16" t="n">
        <v>1486.8165</v>
      </c>
      <c r="AM33" s="16" t="n">
        <v>1489.29118</v>
      </c>
      <c r="AN33" s="16" t="n">
        <v>1527.1778</v>
      </c>
      <c r="AO33" s="16" t="n">
        <v>1563.7093</v>
      </c>
      <c r="AP33" s="16" t="n">
        <v>1588.68291</v>
      </c>
      <c r="AQ33" s="16" t="n">
        <v>1556.40643</v>
      </c>
      <c r="AR33" s="16" t="n">
        <v>1557.54769</v>
      </c>
      <c r="AS33" s="16" t="n">
        <v>1495.4561</v>
      </c>
      <c r="AT33" s="16" t="n">
        <v>1528.824</v>
      </c>
      <c r="AU33" s="16" t="n">
        <v>1561.9599</v>
      </c>
      <c r="AV33" s="16" t="n">
        <v>1572.10203</v>
      </c>
      <c r="AW33" s="16" t="n">
        <v>1587.04784</v>
      </c>
      <c r="AX33" s="16" t="n">
        <v>1578.86101</v>
      </c>
      <c r="AY33" s="16" t="n">
        <v>1610.82463</v>
      </c>
      <c r="AZ33" s="16" t="n">
        <v>1616.22909</v>
      </c>
      <c r="BA33" s="16" t="n">
        <v>1649.77902</v>
      </c>
      <c r="BB33" s="16" t="n">
        <v>1683.47975</v>
      </c>
      <c r="BC33" s="16" t="n">
        <v>1694.97205</v>
      </c>
      <c r="BD33" s="16" t="n">
        <v>1693.73547</v>
      </c>
      <c r="BE33" s="16" t="n">
        <v>1692.74692</v>
      </c>
      <c r="BF33" s="16" t="n">
        <v>1704.52458</v>
      </c>
      <c r="BG33" s="16" t="n">
        <v>1735.26649</v>
      </c>
      <c r="BH33" s="16" t="n">
        <v>1702.1576</v>
      </c>
      <c r="BI33" s="16" t="n">
        <v>1731.60255</v>
      </c>
      <c r="BJ33" s="16" t="n">
        <v>1733.82967</v>
      </c>
      <c r="BK33" s="16" t="n">
        <v>1738.90082</v>
      </c>
      <c r="BL33" s="16" t="n">
        <v>1715.24823</v>
      </c>
      <c r="BM33" s="16" t="n">
        <v>1724.88427</v>
      </c>
      <c r="BN33" s="16" t="n">
        <v>1731.782296</v>
      </c>
    </row>
    <row r="34">
      <c r="A34" s="10" t="inlineStr">
        <is>
          <t>Bulgaria</t>
        </is>
      </c>
      <c r="B34" s="16" t="n">
        <v>108.493438</v>
      </c>
      <c r="C34" s="32" t="n">
        <v>-0.4940854601142908</v>
      </c>
      <c r="D34" s="32" t="n">
        <v>-0.6939050927794788</v>
      </c>
      <c r="E34" s="32" t="n">
        <v>-1.072360234373293</v>
      </c>
      <c r="F34" s="31" t="n">
        <v>0.3157669030964261</v>
      </c>
      <c r="G34" s="16" t="inlineStr"/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s="16" t="inlineStr"/>
      <c r="U34" s="16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s="16" t="inlineStr"/>
      <c r="AE34" s="16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n">
        <v>100</v>
      </c>
      <c r="AR34" s="16" t="n">
        <v>99.48056</v>
      </c>
      <c r="AS34" s="16" t="n">
        <v>98.18107000000001</v>
      </c>
      <c r="AT34" s="16" t="n">
        <v>99.06453</v>
      </c>
      <c r="AU34" s="16" t="n">
        <v>102.39923</v>
      </c>
      <c r="AV34" s="16" t="n">
        <v>102.77878</v>
      </c>
      <c r="AW34" s="16" t="n">
        <v>103.1545</v>
      </c>
      <c r="AX34" s="16" t="n">
        <v>103.2591</v>
      </c>
      <c r="AY34" s="16" t="n">
        <v>105.26147</v>
      </c>
      <c r="AZ34" s="16" t="n">
        <v>105.40352</v>
      </c>
      <c r="BA34" s="16" t="n">
        <v>106.78802</v>
      </c>
      <c r="BB34" s="16" t="n">
        <v>109.13549</v>
      </c>
      <c r="BC34" s="16" t="n">
        <v>109.52374</v>
      </c>
      <c r="BD34" s="16" t="n">
        <v>110.20344</v>
      </c>
      <c r="BE34" s="16" t="n">
        <v>109.66949</v>
      </c>
      <c r="BF34" s="16" t="n">
        <v>109.22275</v>
      </c>
      <c r="BG34" s="16" t="n">
        <v>112.09646</v>
      </c>
      <c r="BH34" s="16" t="n">
        <v>107.64616</v>
      </c>
      <c r="BI34" s="16" t="n">
        <v>109.23631</v>
      </c>
      <c r="BJ34" s="16" t="n">
        <v>110.08659</v>
      </c>
      <c r="BK34" s="16" t="n">
        <v>110.46814</v>
      </c>
      <c r="BL34" s="16" t="n">
        <v>108.31111</v>
      </c>
      <c r="BM34" s="16" t="n">
        <v>108.83759</v>
      </c>
      <c r="BN34" s="16" t="n">
        <v>108.493438</v>
      </c>
    </row>
    <row r="35">
      <c r="A35" s="10" t="inlineStr">
        <is>
          <t>Cameroon</t>
        </is>
      </c>
      <c r="B35" s="16" t="n">
        <v>125.999075</v>
      </c>
      <c r="C35" s="31" t="n">
        <v>2.067857315864585</v>
      </c>
      <c r="D35" s="31" t="n">
        <v>1.500539406826507</v>
      </c>
      <c r="E35" s="31" t="n">
        <v>8.227558013618053</v>
      </c>
      <c r="F35" s="31" t="n">
        <v>15.60730753650488</v>
      </c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s="16" t="inlineStr"/>
      <c r="U35" s="16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s="16" t="inlineStr"/>
      <c r="AE35" s="16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n">
        <v>100</v>
      </c>
      <c r="AQ35" s="16" t="n">
        <v>100.00047</v>
      </c>
      <c r="AR35" s="16" t="n">
        <v>100.20694</v>
      </c>
      <c r="AS35" s="16" t="n">
        <v>100.31219</v>
      </c>
      <c r="AT35" s="16" t="n">
        <v>101.97858</v>
      </c>
      <c r="AU35" s="16" t="n">
        <v>103.02301</v>
      </c>
      <c r="AV35" s="16" t="n">
        <v>101.7447</v>
      </c>
      <c r="AW35" s="16" t="n">
        <v>96.42968999999999</v>
      </c>
      <c r="AX35" s="16" t="n">
        <v>101.42486</v>
      </c>
      <c r="AY35" s="16" t="n">
        <v>103.3726</v>
      </c>
      <c r="AZ35" s="16" t="n">
        <v>105.40115</v>
      </c>
      <c r="BA35" s="16" t="n">
        <v>107.66074</v>
      </c>
      <c r="BB35" s="16" t="n">
        <v>109.60507</v>
      </c>
      <c r="BC35" s="16" t="n">
        <v>109.15026</v>
      </c>
      <c r="BD35" s="16" t="n">
        <v>111.04358</v>
      </c>
      <c r="BE35" s="16" t="n">
        <v>116.42051</v>
      </c>
      <c r="BF35" s="16" t="n">
        <v>117.74719</v>
      </c>
      <c r="BG35" s="16" t="n">
        <v>117.90532</v>
      </c>
      <c r="BH35" s="16" t="n">
        <v>116.419</v>
      </c>
      <c r="BI35" s="16" t="n">
        <v>121.50302</v>
      </c>
      <c r="BJ35" s="16" t="n">
        <v>124.15211</v>
      </c>
      <c r="BK35" s="16" t="n">
        <v>123.11717</v>
      </c>
      <c r="BL35" s="16" t="n">
        <v>122.77385</v>
      </c>
      <c r="BM35" s="16" t="n">
        <v>125.66318</v>
      </c>
      <c r="BN35" s="16" t="n">
        <v>125.999075</v>
      </c>
    </row>
    <row r="36">
      <c r="A36" s="10" t="inlineStr">
        <is>
          <t>Chile</t>
        </is>
      </c>
      <c r="B36" s="16" t="n">
        <v>419.733477</v>
      </c>
      <c r="C36" s="32" t="n">
        <v>-0.1610266823767192</v>
      </c>
      <c r="D36" s="32" t="n">
        <v>-0.9667495660886982</v>
      </c>
      <c r="E36" s="32" t="n">
        <v>-0.7364247194313056</v>
      </c>
      <c r="F36" s="31" t="n">
        <v>1.777387324117319</v>
      </c>
      <c r="G36" s="16" t="n">
        <v>431.02401</v>
      </c>
      <c r="H36" s="16" t="n">
        <v>432.86772</v>
      </c>
      <c r="I36" s="16" t="n">
        <v>435.39312</v>
      </c>
      <c r="J36" s="16" t="n">
        <v>414.99105</v>
      </c>
      <c r="K36" s="16" t="n">
        <v>399.11176</v>
      </c>
      <c r="L36" s="16" t="n">
        <v>399.76627</v>
      </c>
      <c r="M36" s="16" t="n">
        <v>365.09847</v>
      </c>
      <c r="N36" s="16" t="n">
        <v>371.02745</v>
      </c>
      <c r="O36" s="16" t="n">
        <v>354.68243</v>
      </c>
      <c r="P36" s="16" t="n">
        <v>367.86774</v>
      </c>
      <c r="Q36" s="16" t="n">
        <v>350.78092</v>
      </c>
      <c r="R36" s="16" t="n">
        <v>328.92898</v>
      </c>
      <c r="S36" s="16" t="n">
        <v>325.19375</v>
      </c>
      <c r="T36" s="16" t="n">
        <v>354.25877</v>
      </c>
      <c r="U36" s="16" t="n">
        <v>354.58567</v>
      </c>
      <c r="V36" s="16" t="n">
        <v>367.41774</v>
      </c>
      <c r="W36" s="16" t="n">
        <v>355.51253</v>
      </c>
      <c r="X36" s="16" t="n">
        <v>367.35363</v>
      </c>
      <c r="Y36" s="16" t="n">
        <v>373.37592</v>
      </c>
      <c r="Z36" s="16" t="n">
        <v>366.91446</v>
      </c>
      <c r="AA36" s="16" t="n">
        <v>370.14549</v>
      </c>
      <c r="AB36" s="16" t="n">
        <v>371.28818</v>
      </c>
      <c r="AC36" s="16" t="n">
        <v>362.5347</v>
      </c>
      <c r="AD36" s="16" t="n">
        <v>346.01893</v>
      </c>
      <c r="AE36" s="16" t="n">
        <v>332.34718</v>
      </c>
      <c r="AF36" s="16" t="n">
        <v>357.53212</v>
      </c>
      <c r="AG36" s="16" t="n">
        <v>377.37445</v>
      </c>
      <c r="AH36" s="16" t="n">
        <v>372.24218</v>
      </c>
      <c r="AI36" s="16" t="n">
        <v>369.45335</v>
      </c>
      <c r="AJ36" s="16" t="n">
        <v>374.22753</v>
      </c>
      <c r="AK36" s="16" t="n">
        <v>361.73618</v>
      </c>
      <c r="AL36" s="16" t="n">
        <v>371.66764</v>
      </c>
      <c r="AM36" s="16" t="n">
        <v>375.98958</v>
      </c>
      <c r="AN36" s="16" t="n">
        <v>383.88169</v>
      </c>
      <c r="AO36" s="16" t="n">
        <v>395.05327</v>
      </c>
      <c r="AP36" s="16" t="n">
        <v>402.45233</v>
      </c>
      <c r="AQ36" s="16" t="n">
        <v>388.33042</v>
      </c>
      <c r="AR36" s="16" t="n">
        <v>391.40603</v>
      </c>
      <c r="AS36" s="16" t="n">
        <v>381.73226</v>
      </c>
      <c r="AT36" s="16" t="n">
        <v>382.06387</v>
      </c>
      <c r="AU36" s="16" t="n">
        <v>392.94552</v>
      </c>
      <c r="AV36" s="16" t="n">
        <v>392.94583</v>
      </c>
      <c r="AW36" s="16" t="n">
        <v>393.68989</v>
      </c>
      <c r="AX36" s="16" t="n">
        <v>390.84379</v>
      </c>
      <c r="AY36" s="16" t="n">
        <v>399.68015</v>
      </c>
      <c r="AZ36" s="16" t="n">
        <v>401.28948</v>
      </c>
      <c r="BA36" s="16" t="n">
        <v>406.81028</v>
      </c>
      <c r="BB36" s="16" t="n">
        <v>416.31582</v>
      </c>
      <c r="BC36" s="16" t="n">
        <v>422.59191</v>
      </c>
      <c r="BD36" s="16" t="n">
        <v>423.30902</v>
      </c>
      <c r="BE36" s="16" t="n">
        <v>422.84743</v>
      </c>
      <c r="BF36" s="16" t="n">
        <v>423.56162</v>
      </c>
      <c r="BG36" s="16" t="n">
        <v>433.33673</v>
      </c>
      <c r="BH36" s="16" t="n">
        <v>419.11699</v>
      </c>
      <c r="BI36" s="16" t="n">
        <v>425.69302</v>
      </c>
      <c r="BJ36" s="16" t="n">
        <v>425.86528</v>
      </c>
      <c r="BK36" s="16" t="n">
        <v>428.82853</v>
      </c>
      <c r="BL36" s="16" t="n">
        <v>416.57964</v>
      </c>
      <c r="BM36" s="16" t="n">
        <v>420.5199</v>
      </c>
      <c r="BN36" s="16" t="n">
        <v>419.733477</v>
      </c>
    </row>
    <row r="37">
      <c r="A37" s="10" t="inlineStr">
        <is>
          <t>China</t>
        </is>
      </c>
      <c r="B37" s="16" t="n">
        <v>625.043843</v>
      </c>
      <c r="C37" s="32" t="n">
        <v>-0.1233297677466161</v>
      </c>
      <c r="D37" s="32" t="n">
        <v>-0.06258153821677714</v>
      </c>
      <c r="E37" s="31" t="n">
        <v>0.376345225698782</v>
      </c>
      <c r="F37" s="31" t="n">
        <v>1.279155615995431</v>
      </c>
      <c r="G37" s="16" t="n">
        <v>571.1094000000001</v>
      </c>
      <c r="H37" s="16" t="n">
        <v>573.90451</v>
      </c>
      <c r="I37" s="16" t="n">
        <v>572.5479</v>
      </c>
      <c r="J37" s="16" t="n">
        <v>564.06055</v>
      </c>
      <c r="K37" s="16" t="n">
        <v>559.90714</v>
      </c>
      <c r="L37" s="16" t="n">
        <v>543.98142</v>
      </c>
      <c r="M37" s="16" t="n">
        <v>533.90602</v>
      </c>
      <c r="N37" s="16" t="n">
        <v>536.63564</v>
      </c>
      <c r="O37" s="16" t="n">
        <v>535.75774</v>
      </c>
      <c r="P37" s="16" t="n">
        <v>541.00321</v>
      </c>
      <c r="Q37" s="16" t="n">
        <v>532.99829</v>
      </c>
      <c r="R37" s="16" t="n">
        <v>521.11482</v>
      </c>
      <c r="S37" s="16" t="n">
        <v>513.27122</v>
      </c>
      <c r="T37" s="16" t="n">
        <v>524.82043</v>
      </c>
      <c r="U37" s="16" t="n">
        <v>525.80215</v>
      </c>
      <c r="V37" s="16" t="n">
        <v>536.09284</v>
      </c>
      <c r="W37" s="16" t="n">
        <v>530.13175</v>
      </c>
      <c r="X37" s="16" t="n">
        <v>540.99401</v>
      </c>
      <c r="Y37" s="16" t="n">
        <v>544.18412</v>
      </c>
      <c r="Z37" s="16" t="n">
        <v>541.51509</v>
      </c>
      <c r="AA37" s="16" t="n">
        <v>539.94843</v>
      </c>
      <c r="AB37" s="16" t="n">
        <v>540.3767</v>
      </c>
      <c r="AC37" s="16" t="n">
        <v>540.14983</v>
      </c>
      <c r="AD37" s="16" t="n">
        <v>534.5185</v>
      </c>
      <c r="AE37" s="16" t="n">
        <v>531.96938</v>
      </c>
      <c r="AF37" s="16" t="n">
        <v>547.6994</v>
      </c>
      <c r="AG37" s="16" t="n">
        <v>560.10761</v>
      </c>
      <c r="AH37" s="16" t="n">
        <v>560.91272</v>
      </c>
      <c r="AI37" s="16" t="n">
        <v>558.1582</v>
      </c>
      <c r="AJ37" s="16" t="n">
        <v>562.65039</v>
      </c>
      <c r="AK37" s="16" t="n">
        <v>555.94767</v>
      </c>
      <c r="AL37" s="16" t="n">
        <v>562.73748</v>
      </c>
      <c r="AM37" s="16" t="n">
        <v>567.17747</v>
      </c>
      <c r="AN37" s="16" t="n">
        <v>577.1457</v>
      </c>
      <c r="AO37" s="16" t="n">
        <v>583.56371</v>
      </c>
      <c r="AP37" s="16" t="n">
        <v>589.71761</v>
      </c>
      <c r="AQ37" s="16" t="n">
        <v>582.82061</v>
      </c>
      <c r="AR37" s="16" t="n">
        <v>587.9280199999999</v>
      </c>
      <c r="AS37" s="16" t="n">
        <v>582.96671</v>
      </c>
      <c r="AT37" s="16" t="n">
        <v>587.27108</v>
      </c>
      <c r="AU37" s="16" t="n">
        <v>596.88319</v>
      </c>
      <c r="AV37" s="16" t="n">
        <v>598.20839</v>
      </c>
      <c r="AW37" s="16" t="n">
        <v>599.50656</v>
      </c>
      <c r="AX37" s="16" t="n">
        <v>599.05048</v>
      </c>
      <c r="AY37" s="16" t="n">
        <v>605.80633</v>
      </c>
      <c r="AZ37" s="16" t="n">
        <v>606.44769</v>
      </c>
      <c r="BA37" s="16" t="n">
        <v>612.98991</v>
      </c>
      <c r="BB37" s="16" t="n">
        <v>616.94706</v>
      </c>
      <c r="BC37" s="16" t="n">
        <v>620.41661</v>
      </c>
      <c r="BD37" s="16" t="n">
        <v>622.64436</v>
      </c>
      <c r="BE37" s="16" t="n">
        <v>622.70034</v>
      </c>
      <c r="BF37" s="16" t="n">
        <v>623.5861</v>
      </c>
      <c r="BG37" s="16" t="n">
        <v>630.39127</v>
      </c>
      <c r="BH37" s="16" t="n">
        <v>624.23963</v>
      </c>
      <c r="BI37" s="16" t="n">
        <v>625.00094</v>
      </c>
      <c r="BJ37" s="16" t="n">
        <v>626.13548</v>
      </c>
      <c r="BK37" s="16" t="n">
        <v>627.53979</v>
      </c>
      <c r="BL37" s="16" t="n">
        <v>623.88325</v>
      </c>
      <c r="BM37" s="16" t="n">
        <v>625.09497</v>
      </c>
      <c r="BN37" s="16" t="n">
        <v>625.043843</v>
      </c>
    </row>
    <row r="38">
      <c r="A38" s="10" t="inlineStr">
        <is>
          <t>Colombia</t>
        </is>
      </c>
      <c r="B38" s="16" t="n">
        <v>787.861869</v>
      </c>
      <c r="C38" s="32" t="n">
        <v>-1.006739569724735</v>
      </c>
      <c r="D38" s="31" t="n">
        <v>0.09504076913706694</v>
      </c>
      <c r="E38" s="31" t="n">
        <v>5.374636599402982</v>
      </c>
      <c r="F38" s="31" t="n">
        <v>5.827244961189249</v>
      </c>
      <c r="G38" s="16" t="n">
        <v>684.24156</v>
      </c>
      <c r="H38" s="16" t="n">
        <v>651.9070400000001</v>
      </c>
      <c r="I38" s="16" t="n">
        <v>653.06271</v>
      </c>
      <c r="J38" s="16" t="n">
        <v>627.33021</v>
      </c>
      <c r="K38" s="16" t="n">
        <v>620.1105700000001</v>
      </c>
      <c r="L38" s="16" t="n">
        <v>624.88199</v>
      </c>
      <c r="M38" s="16" t="n">
        <v>579.94019</v>
      </c>
      <c r="N38" s="16" t="n">
        <v>598.74457</v>
      </c>
      <c r="O38" s="16" t="n">
        <v>543.34513</v>
      </c>
      <c r="P38" s="16" t="n">
        <v>577.6390699999999</v>
      </c>
      <c r="Q38" s="16" t="n">
        <v>552.71417</v>
      </c>
      <c r="R38" s="16" t="n">
        <v>516.19906</v>
      </c>
      <c r="S38" s="16" t="n">
        <v>511.06026</v>
      </c>
      <c r="T38" s="16" t="n">
        <v>552.89526</v>
      </c>
      <c r="U38" s="16" t="n">
        <v>563.16191</v>
      </c>
      <c r="V38" s="16" t="n">
        <v>579.81292</v>
      </c>
      <c r="W38" s="16" t="n">
        <v>558.48079</v>
      </c>
      <c r="X38" s="16" t="n">
        <v>586.17173</v>
      </c>
      <c r="Y38" s="16" t="n">
        <v>571.52927</v>
      </c>
      <c r="Z38" s="16" t="n">
        <v>573.25852</v>
      </c>
      <c r="AA38" s="16" t="n">
        <v>589.81004</v>
      </c>
      <c r="AB38" s="16" t="n">
        <v>611.97285</v>
      </c>
      <c r="AC38" s="16" t="n">
        <v>604.29039</v>
      </c>
      <c r="AD38" s="16" t="n">
        <v>579.63932</v>
      </c>
      <c r="AE38" s="16" t="n">
        <v>574.30317</v>
      </c>
      <c r="AF38" s="16" t="n">
        <v>617.0676099999999</v>
      </c>
      <c r="AG38" s="16" t="n">
        <v>662.90201</v>
      </c>
      <c r="AH38" s="16" t="n">
        <v>642.48323</v>
      </c>
      <c r="AI38" s="16" t="n">
        <v>638.67738</v>
      </c>
      <c r="AJ38" s="16" t="n">
        <v>647.21425</v>
      </c>
      <c r="AK38" s="16" t="n">
        <v>622.79486</v>
      </c>
      <c r="AL38" s="16" t="n">
        <v>636.23633</v>
      </c>
      <c r="AM38" s="16" t="n">
        <v>643.71351</v>
      </c>
      <c r="AN38" s="16" t="n">
        <v>656.02822</v>
      </c>
      <c r="AO38" s="16" t="n">
        <v>671.86088</v>
      </c>
      <c r="AP38" s="16" t="n">
        <v>680.22271</v>
      </c>
      <c r="AQ38" s="16" t="n">
        <v>650.25576</v>
      </c>
      <c r="AR38" s="16" t="n">
        <v>665.80382</v>
      </c>
      <c r="AS38" s="16" t="n">
        <v>651.25578</v>
      </c>
      <c r="AT38" s="16" t="n">
        <v>657.7662800000001</v>
      </c>
      <c r="AU38" s="16" t="n">
        <v>673.4081200000001</v>
      </c>
      <c r="AV38" s="16" t="n">
        <v>665.78737</v>
      </c>
      <c r="AW38" s="16" t="n">
        <v>654.60032</v>
      </c>
      <c r="AX38" s="16" t="n">
        <v>668.7748800000001</v>
      </c>
      <c r="AY38" s="16" t="n">
        <v>678.7754</v>
      </c>
      <c r="AZ38" s="16" t="n">
        <v>697.44987</v>
      </c>
      <c r="BA38" s="16" t="n">
        <v>723.17723</v>
      </c>
      <c r="BB38" s="16" t="n">
        <v>743.25971</v>
      </c>
      <c r="BC38" s="16" t="n">
        <v>757.473</v>
      </c>
      <c r="BD38" s="16" t="n">
        <v>749.33053</v>
      </c>
      <c r="BE38" s="16" t="n">
        <v>747.67695</v>
      </c>
      <c r="BF38" s="16" t="n">
        <v>753.1869799999999</v>
      </c>
      <c r="BG38" s="16" t="n">
        <v>755.86631</v>
      </c>
      <c r="BH38" s="16" t="n">
        <v>747.06038</v>
      </c>
      <c r="BI38" s="16" t="n">
        <v>773.17646</v>
      </c>
      <c r="BJ38" s="16" t="n">
        <v>771.6711</v>
      </c>
      <c r="BK38" s="16" t="n">
        <v>798.94999</v>
      </c>
      <c r="BL38" s="16" t="n">
        <v>788.16094</v>
      </c>
      <c r="BM38" s="16" t="n">
        <v>793.34226</v>
      </c>
      <c r="BN38" s="16" t="n">
        <v>787.861869</v>
      </c>
    </row>
    <row r="39">
      <c r="A39" s="10" t="inlineStr">
        <is>
          <t>Costa Rica</t>
        </is>
      </c>
      <c r="B39" s="16" t="n">
        <v>252.515282</v>
      </c>
      <c r="C39" s="32" t="n">
        <v>-0.6010333088019681</v>
      </c>
      <c r="D39" s="32" t="n">
        <v>-0.663811963294958</v>
      </c>
      <c r="E39" s="31" t="n">
        <v>0.6284181205630013</v>
      </c>
      <c r="F39" s="31" t="n">
        <v>6.148257062824714</v>
      </c>
      <c r="G39" s="16" t="n">
        <v>175.93727</v>
      </c>
      <c r="H39" s="16" t="n">
        <v>171.02413</v>
      </c>
      <c r="I39" s="16" t="n">
        <v>175.16036</v>
      </c>
      <c r="J39" s="16" t="n">
        <v>170.10449</v>
      </c>
      <c r="K39" s="16" t="n">
        <v>173.94482</v>
      </c>
      <c r="L39" s="16" t="n">
        <v>177.35692</v>
      </c>
      <c r="M39" s="16" t="n">
        <v>174.89589</v>
      </c>
      <c r="N39" s="16" t="n">
        <v>172.35098</v>
      </c>
      <c r="O39" s="16" t="n">
        <v>164.75254</v>
      </c>
      <c r="P39" s="16" t="n">
        <v>167.76063</v>
      </c>
      <c r="Q39" s="16" t="n">
        <v>168.2157</v>
      </c>
      <c r="R39" s="16" t="n">
        <v>162.69062</v>
      </c>
      <c r="S39" s="16" t="n">
        <v>165.88582</v>
      </c>
      <c r="T39" s="16" t="n">
        <v>179.43715</v>
      </c>
      <c r="U39" s="16" t="n">
        <v>181.87696</v>
      </c>
      <c r="V39" s="16" t="n">
        <v>186.56482</v>
      </c>
      <c r="W39" s="16" t="n">
        <v>185.48648</v>
      </c>
      <c r="X39" s="16" t="n">
        <v>190.83664</v>
      </c>
      <c r="Y39" s="16" t="n">
        <v>193.81017</v>
      </c>
      <c r="Z39" s="16" t="n">
        <v>193.81714</v>
      </c>
      <c r="AA39" s="16" t="n">
        <v>194.11455</v>
      </c>
      <c r="AB39" s="16" t="n">
        <v>197.29575</v>
      </c>
      <c r="AC39" s="16" t="n">
        <v>197.61037</v>
      </c>
      <c r="AD39" s="16" t="n">
        <v>191.8168</v>
      </c>
      <c r="AE39" s="16" t="n">
        <v>188.22664</v>
      </c>
      <c r="AF39" s="16" t="n">
        <v>201.57136</v>
      </c>
      <c r="AG39" s="16" t="n">
        <v>211.30945</v>
      </c>
      <c r="AH39" s="16" t="n">
        <v>207.59484</v>
      </c>
      <c r="AI39" s="16" t="n">
        <v>210.55287</v>
      </c>
      <c r="AJ39" s="16" t="n">
        <v>212.74426</v>
      </c>
      <c r="AK39" s="16" t="n">
        <v>209.62374</v>
      </c>
      <c r="AL39" s="16" t="n">
        <v>212.6576</v>
      </c>
      <c r="AM39" s="16" t="n">
        <v>213.44082</v>
      </c>
      <c r="AN39" s="16" t="n">
        <v>217.81733</v>
      </c>
      <c r="AO39" s="16" t="n">
        <v>222.38967</v>
      </c>
      <c r="AP39" s="16" t="n">
        <v>226.58126</v>
      </c>
      <c r="AQ39" s="16" t="n">
        <v>220.65997</v>
      </c>
      <c r="AR39" s="16" t="n">
        <v>221.64041</v>
      </c>
      <c r="AS39" s="16" t="n">
        <v>219.01829</v>
      </c>
      <c r="AT39" s="16" t="n">
        <v>221.72314</v>
      </c>
      <c r="AU39" s="16" t="n">
        <v>224.63954</v>
      </c>
      <c r="AV39" s="16" t="n">
        <v>223.37866</v>
      </c>
      <c r="AW39" s="16" t="n">
        <v>223.1193</v>
      </c>
      <c r="AX39" s="16" t="n">
        <v>225.42835</v>
      </c>
      <c r="AY39" s="16" t="n">
        <v>229.14082</v>
      </c>
      <c r="AZ39" s="16" t="n">
        <v>230.76342</v>
      </c>
      <c r="BA39" s="16" t="n">
        <v>235.63224</v>
      </c>
      <c r="BB39" s="16" t="n">
        <v>241.87434</v>
      </c>
      <c r="BC39" s="16" t="n">
        <v>246.25572</v>
      </c>
      <c r="BD39" s="16" t="n">
        <v>246.59264</v>
      </c>
      <c r="BE39" s="16" t="n">
        <v>250.93834</v>
      </c>
      <c r="BF39" s="16" t="n">
        <v>250.63388</v>
      </c>
      <c r="BG39" s="16" t="n">
        <v>255.5707</v>
      </c>
      <c r="BH39" s="16" t="n">
        <v>246.64984</v>
      </c>
      <c r="BI39" s="16" t="n">
        <v>254.58107</v>
      </c>
      <c r="BJ39" s="16" t="n">
        <v>254.17088</v>
      </c>
      <c r="BK39" s="16" t="n">
        <v>257.05127</v>
      </c>
      <c r="BL39" s="16" t="n">
        <v>251.67492</v>
      </c>
      <c r="BM39" s="16" t="n">
        <v>252.81856</v>
      </c>
      <c r="BN39" s="16" t="n">
        <v>252.515282</v>
      </c>
    </row>
    <row r="40">
      <c r="A40" s="10" t="inlineStr">
        <is>
          <t>Cote d Ivoire</t>
        </is>
      </c>
      <c r="B40" s="16" t="n">
        <v>478.780121</v>
      </c>
      <c r="C40" s="32" t="n">
        <v>-0.3098703177034312</v>
      </c>
      <c r="D40" s="31" t="n">
        <v>0.6061374309160428</v>
      </c>
      <c r="E40" s="31" t="n">
        <v>3.667460343168272</v>
      </c>
      <c r="F40" s="31" t="n">
        <v>12.48115803643348</v>
      </c>
      <c r="G40" s="16" t="n">
        <v>352.60928</v>
      </c>
      <c r="H40" s="16" t="n">
        <v>346.87071</v>
      </c>
      <c r="I40" s="16" t="n">
        <v>356.27134</v>
      </c>
      <c r="J40" s="16" t="n">
        <v>351.35048</v>
      </c>
      <c r="K40" s="16" t="n">
        <v>336.17753</v>
      </c>
      <c r="L40" s="16" t="n">
        <v>339.44431</v>
      </c>
      <c r="M40" s="16" t="n">
        <v>328.15025</v>
      </c>
      <c r="N40" s="16" t="n">
        <v>322.06413</v>
      </c>
      <c r="O40" s="16" t="n">
        <v>291.66606</v>
      </c>
      <c r="P40" s="16" t="n">
        <v>301.68756</v>
      </c>
      <c r="Q40" s="16" t="n">
        <v>313.69321</v>
      </c>
      <c r="R40" s="16" t="n">
        <v>293.03924</v>
      </c>
      <c r="S40" s="16" t="n">
        <v>302.23545</v>
      </c>
      <c r="T40" s="16" t="n">
        <v>333.91528</v>
      </c>
      <c r="U40" s="16" t="n">
        <v>336.12318</v>
      </c>
      <c r="V40" s="16" t="n">
        <v>337.31904</v>
      </c>
      <c r="W40" s="16" t="n">
        <v>329.95876</v>
      </c>
      <c r="X40" s="16" t="n">
        <v>334.82824</v>
      </c>
      <c r="Y40" s="16" t="n">
        <v>331.07874</v>
      </c>
      <c r="Z40" s="16" t="n">
        <v>338.11884</v>
      </c>
      <c r="AA40" s="16" t="n">
        <v>343.04977</v>
      </c>
      <c r="AB40" s="16" t="n">
        <v>351.93834</v>
      </c>
      <c r="AC40" s="16" t="n">
        <v>339.22792</v>
      </c>
      <c r="AD40" s="16" t="n">
        <v>334.11166</v>
      </c>
      <c r="AE40" s="16" t="n">
        <v>332.90167</v>
      </c>
      <c r="AF40" s="16" t="n">
        <v>354.91707</v>
      </c>
      <c r="AG40" s="16" t="n">
        <v>368.22099</v>
      </c>
      <c r="AH40" s="16" t="n">
        <v>364.29655</v>
      </c>
      <c r="AI40" s="16" t="n">
        <v>359.40382</v>
      </c>
      <c r="AJ40" s="16" t="n">
        <v>369.9846</v>
      </c>
      <c r="AK40" s="16" t="n">
        <v>359.98237</v>
      </c>
      <c r="AL40" s="16" t="n">
        <v>368.02662</v>
      </c>
      <c r="AM40" s="16" t="n">
        <v>367.12414</v>
      </c>
      <c r="AN40" s="16" t="n">
        <v>371.53535</v>
      </c>
      <c r="AO40" s="16" t="n">
        <v>383.64422</v>
      </c>
      <c r="AP40" s="16" t="n">
        <v>395.66971</v>
      </c>
      <c r="AQ40" s="16" t="n">
        <v>386.67921</v>
      </c>
      <c r="AR40" s="16" t="n">
        <v>389.67628</v>
      </c>
      <c r="AS40" s="16" t="n">
        <v>384.91757</v>
      </c>
      <c r="AT40" s="16" t="n">
        <v>388.81612</v>
      </c>
      <c r="AU40" s="16" t="n">
        <v>391.55585</v>
      </c>
      <c r="AV40" s="16" t="n">
        <v>390.56909</v>
      </c>
      <c r="AW40" s="16" t="n">
        <v>379.65697</v>
      </c>
      <c r="AX40" s="16" t="n">
        <v>392.35274</v>
      </c>
      <c r="AY40" s="16" t="n">
        <v>402.98671</v>
      </c>
      <c r="AZ40" s="16" t="n">
        <v>413.51829</v>
      </c>
      <c r="BA40" s="16" t="n">
        <v>418.33977</v>
      </c>
      <c r="BB40" s="16" t="n">
        <v>436.37611</v>
      </c>
      <c r="BC40" s="16" t="n">
        <v>445.25747</v>
      </c>
      <c r="BD40" s="16" t="n">
        <v>443.28868</v>
      </c>
      <c r="BE40" s="16" t="n">
        <v>461.84224</v>
      </c>
      <c r="BF40" s="16" t="n">
        <v>459.16136</v>
      </c>
      <c r="BG40" s="16" t="n">
        <v>465.56934</v>
      </c>
      <c r="BH40" s="16" t="n">
        <v>440.23136</v>
      </c>
      <c r="BI40" s="16" t="n">
        <v>462.20851</v>
      </c>
      <c r="BJ40" s="16" t="n">
        <v>476.21279</v>
      </c>
      <c r="BK40" s="16" t="n">
        <v>481.76648</v>
      </c>
      <c r="BL40" s="16" t="n">
        <v>472.39543</v>
      </c>
      <c r="BM40" s="16" t="n">
        <v>481.85035</v>
      </c>
      <c r="BN40" s="16" t="n">
        <v>478.780121</v>
      </c>
    </row>
    <row r="41">
      <c r="A41" s="10" t="inlineStr">
        <is>
          <t>Democratic Republic of Congo</t>
        </is>
      </c>
      <c r="B41" s="16" t="n">
        <v>104.851217</v>
      </c>
      <c r="C41" s="31" t="n">
        <v>1.065953420172905</v>
      </c>
      <c r="D41" s="31" t="n">
        <v>3.840917560775936</v>
      </c>
      <c r="E41" s="33" t="inlineStr"/>
      <c r="F41" s="33" t="inlineStr"/>
      <c r="G41" s="16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  <c r="P41" s="16" t="inlineStr"/>
      <c r="Q41" s="16" t="inlineStr"/>
      <c r="R41" s="16" t="inlineStr"/>
      <c r="S41" s="16" t="inlineStr"/>
      <c r="T41" s="16" t="inlineStr"/>
      <c r="U41" s="16" t="inlineStr"/>
      <c r="V41" s="16" t="inlineStr"/>
      <c r="W41" s="16" t="inlineStr"/>
      <c r="X41" s="16" t="inlineStr"/>
      <c r="Y41" s="16" t="inlineStr"/>
      <c r="Z41" s="16" t="inlineStr"/>
      <c r="AA41" s="16" t="inlineStr"/>
      <c r="AB41" s="16" t="inlineStr"/>
      <c r="AC41" s="16" t="inlineStr"/>
      <c r="AD41" s="16" t="inlineStr"/>
      <c r="AE41" s="16" t="inlineStr"/>
      <c r="AF41" s="16" t="inlineStr"/>
      <c r="AG41" s="16" t="inlineStr"/>
      <c r="AH41" s="16" t="inlineStr"/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  <c r="AT41" s="16" t="inlineStr"/>
      <c r="AU41" s="16" t="inlineStr"/>
      <c r="AV41" s="16" t="inlineStr"/>
      <c r="AW41" s="16" t="inlineStr"/>
      <c r="AX41" s="16" t="inlineStr"/>
      <c r="AY41" s="16" t="inlineStr"/>
      <c r="AZ41" s="16" t="inlineStr"/>
      <c r="BA41" s="16" t="inlineStr"/>
      <c r="BB41" s="16" t="inlineStr"/>
      <c r="BC41" s="16" t="inlineStr"/>
      <c r="BD41" s="16" t="inlineStr"/>
      <c r="BE41" s="16" t="inlineStr"/>
      <c r="BF41" s="16" t="inlineStr"/>
      <c r="BG41" s="16" t="inlineStr"/>
      <c r="BH41" s="16" t="inlineStr"/>
      <c r="BI41" s="16" t="n">
        <v>100</v>
      </c>
      <c r="BJ41" s="16" t="n">
        <v>100.32719</v>
      </c>
      <c r="BK41" s="16" t="n">
        <v>103.13181</v>
      </c>
      <c r="BL41" s="16" t="n">
        <v>103.8612</v>
      </c>
      <c r="BM41" s="16" t="n">
        <v>104.76864</v>
      </c>
      <c r="BN41" s="16" t="n">
        <v>104.851217</v>
      </c>
    </row>
    <row r="42">
      <c r="A42" s="10" t="inlineStr">
        <is>
          <t>Dominican Republic</t>
        </is>
      </c>
      <c r="B42" s="16" t="n">
        <v>699.884188</v>
      </c>
      <c r="C42" s="32" t="n">
        <v>-0.2772227603552113</v>
      </c>
      <c r="D42" s="31" t="n">
        <v>0.4041805004679766</v>
      </c>
      <c r="E42" s="31" t="n">
        <v>0.7567331283112821</v>
      </c>
      <c r="F42" s="31" t="n">
        <v>3.050280352714663</v>
      </c>
      <c r="G42" s="16" t="n">
        <v>572.5707</v>
      </c>
      <c r="H42" s="16" t="n">
        <v>561.03791</v>
      </c>
      <c r="I42" s="16" t="n">
        <v>575.26016</v>
      </c>
      <c r="J42" s="16" t="n">
        <v>557.58313</v>
      </c>
      <c r="K42" s="16" t="n">
        <v>526.2881</v>
      </c>
      <c r="L42" s="16" t="n">
        <v>527.44056</v>
      </c>
      <c r="M42" s="16" t="n">
        <v>496.29879</v>
      </c>
      <c r="N42" s="16" t="n">
        <v>501.85579</v>
      </c>
      <c r="O42" s="16" t="n">
        <v>461.29104</v>
      </c>
      <c r="P42" s="16" t="n">
        <v>497.51047</v>
      </c>
      <c r="Q42" s="16" t="n">
        <v>485.30268</v>
      </c>
      <c r="R42" s="16" t="n">
        <v>455.52663</v>
      </c>
      <c r="S42" s="16" t="n">
        <v>463.72989</v>
      </c>
      <c r="T42" s="16" t="n">
        <v>503.43909</v>
      </c>
      <c r="U42" s="16" t="n">
        <v>504.74917</v>
      </c>
      <c r="V42" s="16" t="n">
        <v>524.10256</v>
      </c>
      <c r="W42" s="16" t="n">
        <v>516.45628</v>
      </c>
      <c r="X42" s="16" t="n">
        <v>523.73384</v>
      </c>
      <c r="Y42" s="16" t="n">
        <v>531.8086</v>
      </c>
      <c r="Z42" s="16" t="n">
        <v>524.12211</v>
      </c>
      <c r="AA42" s="16" t="n">
        <v>535.87685</v>
      </c>
      <c r="AB42" s="16" t="n">
        <v>547.3264799999999</v>
      </c>
      <c r="AC42" s="16" t="n">
        <v>538.3339099999999</v>
      </c>
      <c r="AD42" s="16" t="n">
        <v>521.19804</v>
      </c>
      <c r="AE42" s="16" t="n">
        <v>520.61385</v>
      </c>
      <c r="AF42" s="16" t="n">
        <v>557.8598</v>
      </c>
      <c r="AG42" s="16" t="n">
        <v>589.1391599999999</v>
      </c>
      <c r="AH42" s="16" t="n">
        <v>585.19916</v>
      </c>
      <c r="AI42" s="16" t="n">
        <v>587.98747</v>
      </c>
      <c r="AJ42" s="16" t="n">
        <v>593.04872</v>
      </c>
      <c r="AK42" s="16" t="n">
        <v>580.9488</v>
      </c>
      <c r="AL42" s="16" t="n">
        <v>596.57186</v>
      </c>
      <c r="AM42" s="16" t="n">
        <v>601.42456</v>
      </c>
      <c r="AN42" s="16" t="n">
        <v>615.68759</v>
      </c>
      <c r="AO42" s="16" t="n">
        <v>637.33908</v>
      </c>
      <c r="AP42" s="16" t="n">
        <v>647.93958</v>
      </c>
      <c r="AQ42" s="16" t="n">
        <v>625.93386</v>
      </c>
      <c r="AR42" s="16" t="n">
        <v>632.78693</v>
      </c>
      <c r="AS42" s="16" t="n">
        <v>618.5433399999999</v>
      </c>
      <c r="AT42" s="16" t="n">
        <v>627.55003</v>
      </c>
      <c r="AU42" s="16" t="n">
        <v>637.9143800000001</v>
      </c>
      <c r="AV42" s="16" t="n">
        <v>632.01504</v>
      </c>
      <c r="AW42" s="16" t="n">
        <v>627.31406</v>
      </c>
      <c r="AX42" s="16" t="n">
        <v>634.4696300000001</v>
      </c>
      <c r="AY42" s="16" t="n">
        <v>647.22711</v>
      </c>
      <c r="AZ42" s="16" t="n">
        <v>653.86208</v>
      </c>
      <c r="BA42" s="16" t="n">
        <v>667.64629</v>
      </c>
      <c r="BB42" s="16" t="n">
        <v>683.27523</v>
      </c>
      <c r="BC42" s="16" t="n">
        <v>690.26674</v>
      </c>
      <c r="BD42" s="16" t="n">
        <v>686.86518</v>
      </c>
      <c r="BE42" s="16" t="n">
        <v>694.62771</v>
      </c>
      <c r="BF42" s="16" t="n">
        <v>696.55164</v>
      </c>
      <c r="BG42" s="16" t="n">
        <v>703.17432</v>
      </c>
      <c r="BH42" s="16" t="n">
        <v>671.91383</v>
      </c>
      <c r="BI42" s="16" t="n">
        <v>692.6520400000001</v>
      </c>
      <c r="BJ42" s="16" t="n">
        <v>700.05641</v>
      </c>
      <c r="BK42" s="16" t="n">
        <v>707.33393</v>
      </c>
      <c r="BL42" s="16" t="n">
        <v>692.32353</v>
      </c>
      <c r="BM42" s="16" t="n">
        <v>701.21434</v>
      </c>
      <c r="BN42" s="16" t="n">
        <v>699.884188</v>
      </c>
    </row>
    <row r="43">
      <c r="A43" s="10" t="inlineStr">
        <is>
          <t>Ecuador</t>
        </is>
      </c>
      <c r="B43" s="16" t="n">
        <v>1363.74065</v>
      </c>
      <c r="C43" s="32" t="n">
        <v>-0.07002510478008039</v>
      </c>
      <c r="D43" s="32" t="n">
        <v>-0.6396164088042777</v>
      </c>
      <c r="E43" s="31" t="n">
        <v>6.830408299963753</v>
      </c>
      <c r="F43" s="31" t="n">
        <v>22.60608792060808</v>
      </c>
      <c r="G43" s="16" t="n">
        <v>750.0739</v>
      </c>
      <c r="H43" s="16" t="n">
        <v>734.41223</v>
      </c>
      <c r="I43" s="16" t="n">
        <v>746.35979</v>
      </c>
      <c r="J43" s="16" t="n">
        <v>795.81678</v>
      </c>
      <c r="K43" s="16" t="n">
        <v>805.25898</v>
      </c>
      <c r="L43" s="16" t="n">
        <v>749.86386</v>
      </c>
      <c r="M43" s="16" t="n">
        <v>723.7417</v>
      </c>
      <c r="N43" s="16" t="n">
        <v>738.87902</v>
      </c>
      <c r="O43" s="16" t="n">
        <v>579.37784</v>
      </c>
      <c r="P43" s="16" t="n">
        <v>538.27135</v>
      </c>
      <c r="Q43" s="16" t="n">
        <v>461.18026</v>
      </c>
      <c r="R43" s="16" t="n">
        <v>403.34387</v>
      </c>
      <c r="S43" s="16" t="n">
        <v>450.3407</v>
      </c>
      <c r="T43" s="16" t="n">
        <v>534.9611</v>
      </c>
      <c r="U43" s="16" t="n">
        <v>561.70269</v>
      </c>
      <c r="V43" s="16" t="n">
        <v>593.09536</v>
      </c>
      <c r="W43" s="16" t="n">
        <v>433.06374</v>
      </c>
      <c r="X43" s="16" t="n">
        <v>416.2863</v>
      </c>
      <c r="Y43" s="16" t="n">
        <v>462.61724</v>
      </c>
      <c r="Z43" s="16" t="n">
        <v>433.87766</v>
      </c>
      <c r="AA43" s="16" t="n">
        <v>439.60907</v>
      </c>
      <c r="AB43" s="16" t="n">
        <v>439.60234</v>
      </c>
      <c r="AC43" s="16" t="n">
        <v>464.05134</v>
      </c>
      <c r="AD43" s="16" t="n">
        <v>477.278</v>
      </c>
      <c r="AE43" s="16" t="n">
        <v>487.89403</v>
      </c>
      <c r="AF43" s="16" t="n">
        <v>453.01637</v>
      </c>
      <c r="AG43" s="16" t="n">
        <v>462.52716</v>
      </c>
      <c r="AH43" s="16" t="n">
        <v>530.13175</v>
      </c>
      <c r="AI43" s="16" t="n">
        <v>628.74928</v>
      </c>
      <c r="AJ43" s="16" t="n">
        <v>700.7441</v>
      </c>
      <c r="AK43" s="16" t="n">
        <v>731.6735</v>
      </c>
      <c r="AL43" s="16" t="n">
        <v>695.62698</v>
      </c>
      <c r="AM43" s="16" t="n">
        <v>673.90233</v>
      </c>
      <c r="AN43" s="16" t="n">
        <v>721.14175</v>
      </c>
      <c r="AO43" s="16" t="n">
        <v>761.07555</v>
      </c>
      <c r="AP43" s="16" t="n">
        <v>786.5478900000001</v>
      </c>
      <c r="AQ43" s="16" t="n">
        <v>765.07348</v>
      </c>
      <c r="AR43" s="16" t="n">
        <v>766.24021</v>
      </c>
      <c r="AS43" s="16" t="n">
        <v>789.49599</v>
      </c>
      <c r="AT43" s="16" t="n">
        <v>904.99796</v>
      </c>
      <c r="AU43" s="16" t="n">
        <v>760.8098199999999</v>
      </c>
      <c r="AV43" s="16" t="n">
        <v>697.09578</v>
      </c>
      <c r="AW43" s="16" t="n">
        <v>855.9927</v>
      </c>
      <c r="AX43" s="16" t="n">
        <v>892.18765</v>
      </c>
      <c r="AY43" s="16" t="n">
        <v>1032.40849</v>
      </c>
      <c r="AZ43" s="16" t="n">
        <v>1050.26768</v>
      </c>
      <c r="BA43" s="16" t="n">
        <v>1085.29433</v>
      </c>
      <c r="BB43" s="16" t="n">
        <v>1085.249</v>
      </c>
      <c r="BC43" s="16" t="n">
        <v>1120.61059</v>
      </c>
      <c r="BD43" s="16" t="n">
        <v>1237.85267</v>
      </c>
      <c r="BE43" s="16" t="n">
        <v>1276.54726</v>
      </c>
      <c r="BF43" s="16" t="n">
        <v>1323.47202</v>
      </c>
      <c r="BG43" s="16" t="n">
        <v>1321.22972</v>
      </c>
      <c r="BH43" s="16" t="n">
        <v>1286.3159</v>
      </c>
      <c r="BI43" s="16" t="n">
        <v>1362.86564</v>
      </c>
      <c r="BJ43" s="16" t="n">
        <v>1362.70688</v>
      </c>
      <c r="BK43" s="16" t="n">
        <v>1369.42449</v>
      </c>
      <c r="BL43" s="16" t="n">
        <v>1349.02269</v>
      </c>
      <c r="BM43" s="16" t="n">
        <v>1374.33049</v>
      </c>
      <c r="BN43" s="16" t="n">
        <v>1363.74065</v>
      </c>
    </row>
    <row r="44">
      <c r="A44" s="10" t="inlineStr">
        <is>
          <t>Egypt</t>
        </is>
      </c>
      <c r="B44" s="16" t="n">
        <v>665.353665</v>
      </c>
      <c r="C44" s="32" t="n">
        <v>-0.01028444952460017</v>
      </c>
      <c r="D44" s="31" t="n">
        <v>2.94803978712872</v>
      </c>
      <c r="E44" s="31" t="n">
        <v>2.266733072432014</v>
      </c>
      <c r="F44" s="31" t="n">
        <v>14.20061213319253</v>
      </c>
      <c r="G44" s="16" t="n">
        <v>396.47778</v>
      </c>
      <c r="H44" s="16" t="n">
        <v>378.50834</v>
      </c>
      <c r="I44" s="16" t="n">
        <v>394.9575</v>
      </c>
      <c r="J44" s="16" t="n">
        <v>382.82864</v>
      </c>
      <c r="K44" s="16" t="n">
        <v>363.41287</v>
      </c>
      <c r="L44" s="16" t="n">
        <v>386.13799</v>
      </c>
      <c r="M44" s="16" t="n">
        <v>345.3696</v>
      </c>
      <c r="N44" s="16" t="n">
        <v>353.17735</v>
      </c>
      <c r="O44" s="16" t="n">
        <v>305.72753</v>
      </c>
      <c r="P44" s="16" t="n">
        <v>299.93928</v>
      </c>
      <c r="Q44" s="16" t="n">
        <v>330.80175</v>
      </c>
      <c r="R44" s="16" t="n">
        <v>298.35998</v>
      </c>
      <c r="S44" s="16" t="n">
        <v>318.88521</v>
      </c>
      <c r="T44" s="16" t="n">
        <v>358.44752</v>
      </c>
      <c r="U44" s="16" t="n">
        <v>357.66493</v>
      </c>
      <c r="V44" s="16" t="n">
        <v>369.38974</v>
      </c>
      <c r="W44" s="16" t="n">
        <v>349.15287</v>
      </c>
      <c r="X44" s="16" t="n">
        <v>322.77957</v>
      </c>
      <c r="Y44" s="16" t="n">
        <v>293.06982</v>
      </c>
      <c r="Z44" s="16" t="n">
        <v>299.63107</v>
      </c>
      <c r="AA44" s="16" t="n">
        <v>314.64696</v>
      </c>
      <c r="AB44" s="16" t="n">
        <v>344.20321</v>
      </c>
      <c r="AC44" s="16" t="n">
        <v>319.80379</v>
      </c>
      <c r="AD44" s="16" t="n">
        <v>324.60753</v>
      </c>
      <c r="AE44" s="16" t="n">
        <v>322.07038</v>
      </c>
      <c r="AF44" s="16" t="n">
        <v>356.69461</v>
      </c>
      <c r="AG44" s="16" t="n">
        <v>387.34761</v>
      </c>
      <c r="AH44" s="16" t="n">
        <v>384.87089</v>
      </c>
      <c r="AI44" s="16" t="n">
        <v>465.43665</v>
      </c>
      <c r="AJ44" s="16" t="n">
        <v>473.39866</v>
      </c>
      <c r="AK44" s="16" t="n">
        <v>464.06522</v>
      </c>
      <c r="AL44" s="16" t="n">
        <v>479.74619</v>
      </c>
      <c r="AM44" s="16" t="n">
        <v>466.30188</v>
      </c>
      <c r="AN44" s="16" t="n">
        <v>477.98612</v>
      </c>
      <c r="AO44" s="16" t="n">
        <v>489.1296</v>
      </c>
      <c r="AP44" s="16" t="n">
        <v>507.1407</v>
      </c>
      <c r="AQ44" s="16" t="n">
        <v>504.71407</v>
      </c>
      <c r="AR44" s="16" t="n">
        <v>514.61625</v>
      </c>
      <c r="AS44" s="16" t="n">
        <v>507.76756</v>
      </c>
      <c r="AT44" s="16" t="n">
        <v>520.74514</v>
      </c>
      <c r="AU44" s="16" t="n">
        <v>521.02325</v>
      </c>
      <c r="AV44" s="16" t="n">
        <v>509.51477</v>
      </c>
      <c r="AW44" s="16" t="n">
        <v>505.01736</v>
      </c>
      <c r="AX44" s="16" t="n">
        <v>530.88204</v>
      </c>
      <c r="AY44" s="16" t="n">
        <v>551.91682</v>
      </c>
      <c r="AZ44" s="16" t="n">
        <v>558.8305</v>
      </c>
      <c r="BA44" s="16" t="n">
        <v>569.79052</v>
      </c>
      <c r="BB44" s="16" t="n">
        <v>593.9264899999999</v>
      </c>
      <c r="BC44" s="16" t="n">
        <v>616.03862</v>
      </c>
      <c r="BD44" s="16" t="n">
        <v>625.11377</v>
      </c>
      <c r="BE44" s="16" t="n">
        <v>650.60616</v>
      </c>
      <c r="BF44" s="16" t="n">
        <v>642.60306</v>
      </c>
      <c r="BG44" s="16" t="n">
        <v>643.6188</v>
      </c>
      <c r="BH44" s="16" t="n">
        <v>606.3544900000001</v>
      </c>
      <c r="BI44" s="16" t="n">
        <v>631.46528</v>
      </c>
      <c r="BJ44" s="16" t="n">
        <v>652.949</v>
      </c>
      <c r="BK44" s="16" t="n">
        <v>662.68859</v>
      </c>
      <c r="BL44" s="16" t="n">
        <v>652.16161</v>
      </c>
      <c r="BM44" s="16" t="n">
        <v>665.61018</v>
      </c>
      <c r="BN44" s="16" t="n">
        <v>665.353665</v>
      </c>
    </row>
    <row r="45">
      <c r="A45" s="10" t="inlineStr">
        <is>
          <t>El Salvador</t>
        </is>
      </c>
      <c r="B45" s="16" t="n">
        <v>878.829945</v>
      </c>
      <c r="C45" s="31" t="n">
        <v>0.2362103061508414</v>
      </c>
      <c r="D45" s="31" t="n">
        <v>3.41999432715705</v>
      </c>
      <c r="E45" s="31" t="n">
        <v>5.666238946197688</v>
      </c>
      <c r="F45" s="31" t="n">
        <v>14.08340978552283</v>
      </c>
      <c r="G45" s="16" t="n">
        <v>318.69847</v>
      </c>
      <c r="H45" s="16" t="n">
        <v>274.80187</v>
      </c>
      <c r="I45" s="16" t="n">
        <v>256.32275</v>
      </c>
      <c r="J45" s="16" t="n">
        <v>248.6638</v>
      </c>
      <c r="K45" s="16" t="n">
        <v>245.68816</v>
      </c>
      <c r="L45" s="16" t="n">
        <v>227.92795</v>
      </c>
      <c r="M45" s="16" t="n">
        <v>198.10123</v>
      </c>
      <c r="N45" s="16" t="n">
        <v>197.2871</v>
      </c>
      <c r="O45" s="16" t="n">
        <v>171.44888</v>
      </c>
      <c r="P45" s="16" t="n">
        <v>190.64071</v>
      </c>
      <c r="Q45" s="16" t="n">
        <v>204.36625</v>
      </c>
      <c r="R45" s="16" t="n">
        <v>202.01496</v>
      </c>
      <c r="S45" s="16" t="n">
        <v>220.196</v>
      </c>
      <c r="T45" s="16" t="n">
        <v>237.19102</v>
      </c>
      <c r="U45" s="16" t="n">
        <v>252.41012</v>
      </c>
      <c r="V45" s="16" t="n">
        <v>308.99364</v>
      </c>
      <c r="W45" s="16" t="n">
        <v>301.58911</v>
      </c>
      <c r="X45" s="16" t="n">
        <v>313.16852</v>
      </c>
      <c r="Y45" s="16" t="n">
        <v>343.30952</v>
      </c>
      <c r="Z45" s="16" t="n">
        <v>355.62172</v>
      </c>
      <c r="AA45" s="16" t="n">
        <v>398.40216</v>
      </c>
      <c r="AB45" s="16" t="n">
        <v>438.08231</v>
      </c>
      <c r="AC45" s="16" t="n">
        <v>480.22626</v>
      </c>
      <c r="AD45" s="16" t="n">
        <v>490.02204</v>
      </c>
      <c r="AE45" s="16" t="n">
        <v>484.20836</v>
      </c>
      <c r="AF45" s="16" t="n">
        <v>517.19038</v>
      </c>
      <c r="AG45" s="16" t="n">
        <v>546.54437</v>
      </c>
      <c r="AH45" s="16" t="n">
        <v>556.04252</v>
      </c>
      <c r="AI45" s="16" t="n">
        <v>545.09911</v>
      </c>
      <c r="AJ45" s="16" t="n">
        <v>552.23173</v>
      </c>
      <c r="AK45" s="16" t="n">
        <v>534.7975</v>
      </c>
      <c r="AL45" s="16" t="n">
        <v>534.59468</v>
      </c>
      <c r="AM45" s="16" t="n">
        <v>541.42381</v>
      </c>
      <c r="AN45" s="16" t="n">
        <v>564.61851</v>
      </c>
      <c r="AO45" s="16" t="n">
        <v>594.14203</v>
      </c>
      <c r="AP45" s="16" t="n">
        <v>643.9117</v>
      </c>
      <c r="AQ45" s="16" t="n">
        <v>651.41647</v>
      </c>
      <c r="AR45" s="16" t="n">
        <v>707.67313</v>
      </c>
      <c r="AS45" s="16" t="n">
        <v>717.53419</v>
      </c>
      <c r="AT45" s="16" t="n">
        <v>727.4037499999999</v>
      </c>
      <c r="AU45" s="16" t="n">
        <v>732.4025799999999</v>
      </c>
      <c r="AV45" s="16" t="n">
        <v>709.50401</v>
      </c>
      <c r="AW45" s="16" t="n">
        <v>712.96457</v>
      </c>
      <c r="AX45" s="16" t="n">
        <v>724.37791</v>
      </c>
      <c r="AY45" s="16" t="n">
        <v>747.22012</v>
      </c>
      <c r="AZ45" s="16" t="n">
        <v>744.545</v>
      </c>
      <c r="BA45" s="16" t="n">
        <v>764.80184</v>
      </c>
      <c r="BB45" s="16" t="n">
        <v>789.00224</v>
      </c>
      <c r="BC45" s="16" t="n">
        <v>813.33913</v>
      </c>
      <c r="BD45" s="16" t="n">
        <v>816.36169</v>
      </c>
      <c r="BE45" s="16" t="n">
        <v>831.70363</v>
      </c>
      <c r="BF45" s="16" t="n">
        <v>837.32475</v>
      </c>
      <c r="BG45" s="16" t="n">
        <v>839.44693</v>
      </c>
      <c r="BH45" s="16" t="n">
        <v>804.32635</v>
      </c>
      <c r="BI45" s="16" t="n">
        <v>844.80226</v>
      </c>
      <c r="BJ45" s="16" t="n">
        <v>850.6174099999999</v>
      </c>
      <c r="BK45" s="16" t="n">
        <v>863.72093</v>
      </c>
      <c r="BL45" s="16" t="n">
        <v>867.51039</v>
      </c>
      <c r="BM45" s="16" t="n">
        <v>873.1346</v>
      </c>
      <c r="BN45" s="16" t="n">
        <v>878.829945</v>
      </c>
    </row>
    <row r="46">
      <c r="A46" s="10" t="inlineStr">
        <is>
          <t>Ethiopia</t>
        </is>
      </c>
      <c r="B46" s="16" t="n">
        <v>208.824681</v>
      </c>
      <c r="C46" s="32" t="n">
        <v>-0.4301590583255854</v>
      </c>
      <c r="D46" s="31" t="n">
        <v>2.509658724416108</v>
      </c>
      <c r="E46" s="31" t="n">
        <v>0.4638016570911674</v>
      </c>
      <c r="F46" s="31" t="n">
        <v>16.99483031367717</v>
      </c>
      <c r="G46" s="16" t="n">
        <v>133.04598</v>
      </c>
      <c r="H46" s="16" t="n">
        <v>107.95091</v>
      </c>
      <c r="I46" s="16" t="n">
        <v>112.12246</v>
      </c>
      <c r="J46" s="16" t="n">
        <v>126.81918</v>
      </c>
      <c r="K46" s="16" t="n">
        <v>127.32197</v>
      </c>
      <c r="L46" s="16" t="n">
        <v>123.2041</v>
      </c>
      <c r="M46" s="16" t="n">
        <v>118.62988</v>
      </c>
      <c r="N46" s="16" t="n">
        <v>108.28109</v>
      </c>
      <c r="O46" s="16" t="n">
        <v>100.06703</v>
      </c>
      <c r="P46" s="16" t="n">
        <v>91.14440999999999</v>
      </c>
      <c r="Q46" s="16" t="n">
        <v>99.11059</v>
      </c>
      <c r="R46" s="16" t="n">
        <v>90.82149</v>
      </c>
      <c r="S46" s="16" t="n">
        <v>93.20638</v>
      </c>
      <c r="T46" s="16" t="n">
        <v>113.2593</v>
      </c>
      <c r="U46" s="16" t="n">
        <v>115.1536</v>
      </c>
      <c r="V46" s="16" t="n">
        <v>125.87551</v>
      </c>
      <c r="W46" s="16" t="n">
        <v>128.22638</v>
      </c>
      <c r="X46" s="16" t="n">
        <v>132.26334</v>
      </c>
      <c r="Y46" s="16" t="n">
        <v>132.86977</v>
      </c>
      <c r="Z46" s="16" t="n">
        <v>130.82721</v>
      </c>
      <c r="AA46" s="16" t="n">
        <v>133.85694</v>
      </c>
      <c r="AB46" s="16" t="n">
        <v>134.36468</v>
      </c>
      <c r="AC46" s="16" t="n">
        <v>129.20448</v>
      </c>
      <c r="AD46" s="16" t="n">
        <v>129.00688</v>
      </c>
      <c r="AE46" s="16" t="n">
        <v>127.20186</v>
      </c>
      <c r="AF46" s="16" t="n">
        <v>124.52427</v>
      </c>
      <c r="AG46" s="16" t="n">
        <v>129.01817</v>
      </c>
      <c r="AH46" s="16" t="n">
        <v>131.92832</v>
      </c>
      <c r="AI46" s="16" t="n">
        <v>134.13214</v>
      </c>
      <c r="AJ46" s="16" t="n">
        <v>141.55112</v>
      </c>
      <c r="AK46" s="16" t="n">
        <v>136.3543</v>
      </c>
      <c r="AL46" s="16" t="n">
        <v>136.73003</v>
      </c>
      <c r="AM46" s="16" t="n">
        <v>139.81004</v>
      </c>
      <c r="AN46" s="16" t="n">
        <v>152.29927</v>
      </c>
      <c r="AO46" s="16" t="n">
        <v>149.81384</v>
      </c>
      <c r="AP46" s="16" t="n">
        <v>149.75391</v>
      </c>
      <c r="AQ46" s="16" t="n">
        <v>151.02578</v>
      </c>
      <c r="AR46" s="16" t="n">
        <v>152.54133</v>
      </c>
      <c r="AS46" s="16" t="n">
        <v>153.80645</v>
      </c>
      <c r="AT46" s="16" t="n">
        <v>159.33168</v>
      </c>
      <c r="AU46" s="16" t="n">
        <v>166.84966</v>
      </c>
      <c r="AV46" s="16" t="n">
        <v>165.87985</v>
      </c>
      <c r="AW46" s="16" t="n">
        <v>162.96961</v>
      </c>
      <c r="AX46" s="16" t="n">
        <v>172.67039</v>
      </c>
      <c r="AY46" s="16" t="n">
        <v>178.49041</v>
      </c>
      <c r="AZ46" s="16" t="n">
        <v>178.49052</v>
      </c>
      <c r="BA46" s="16" t="n">
        <v>178.49052</v>
      </c>
      <c r="BB46" s="16" t="n">
        <v>185.76588</v>
      </c>
      <c r="BC46" s="16" t="n">
        <v>203.71212</v>
      </c>
      <c r="BD46" s="16" t="n">
        <v>208.5626</v>
      </c>
      <c r="BE46" s="16" t="n">
        <v>207.86062</v>
      </c>
      <c r="BF46" s="16" t="n">
        <v>204.6827</v>
      </c>
      <c r="BG46" s="16" t="n">
        <v>200.80236</v>
      </c>
      <c r="BH46" s="16" t="n">
        <v>197.89219</v>
      </c>
      <c r="BI46" s="16" t="n">
        <v>198.86206</v>
      </c>
      <c r="BJ46" s="16" t="n">
        <v>203.7122</v>
      </c>
      <c r="BK46" s="16" t="n">
        <v>210.50243</v>
      </c>
      <c r="BL46" s="16" t="n">
        <v>208.90017</v>
      </c>
      <c r="BM46" s="16" t="n">
        <v>209.53298</v>
      </c>
      <c r="BN46" s="16" t="n">
        <v>208.824681</v>
      </c>
    </row>
    <row r="47">
      <c r="A47" s="10" t="inlineStr">
        <is>
          <t>Gabon</t>
        </is>
      </c>
      <c r="B47" s="16" t="n">
        <v>422.502265</v>
      </c>
      <c r="C47" s="33" t="inlineStr"/>
      <c r="D47" s="33" t="inlineStr"/>
      <c r="E47" s="33" t="inlineStr"/>
      <c r="F47" s="33" t="inlineStr"/>
      <c r="G47" s="16" t="inlineStr"/>
      <c r="H47" s="16" t="inlineStr"/>
      <c r="I47" s="16" t="inlineStr"/>
      <c r="J47" s="16" t="inlineStr"/>
      <c r="K47" s="16" t="inlineStr"/>
      <c r="L47" s="16" t="inlineStr"/>
      <c r="M47" s="16" t="inlineStr"/>
      <c r="N47" s="16" t="inlineStr"/>
      <c r="O47" s="16" t="inlineStr"/>
      <c r="P47" s="16" t="inlineStr"/>
      <c r="Q47" s="16" t="inlineStr"/>
      <c r="R47" s="16" t="inlineStr"/>
      <c r="S47" s="16" t="inlineStr"/>
      <c r="T47" s="16" t="inlineStr"/>
      <c r="U47" s="16" t="inlineStr"/>
      <c r="V47" s="16" t="inlineStr"/>
      <c r="W47" s="16" t="inlineStr"/>
      <c r="X47" s="16" t="inlineStr"/>
      <c r="Y47" s="16" t="inlineStr"/>
      <c r="Z47" s="16" t="inlineStr"/>
      <c r="AA47" s="16" t="inlineStr"/>
      <c r="AB47" s="16" t="inlineStr"/>
      <c r="AC47" s="16" t="inlineStr"/>
      <c r="AD47" s="16" t="inlineStr"/>
      <c r="AE47" s="16" t="inlineStr"/>
      <c r="AF47" s="16" t="inlineStr"/>
      <c r="AG47" s="16" t="inlineStr"/>
      <c r="AH47" s="16" t="inlineStr"/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  <c r="AT47" s="16" t="inlineStr"/>
      <c r="AU47" s="16" t="inlineStr"/>
      <c r="AV47" s="16" t="inlineStr"/>
      <c r="AW47" s="16" t="inlineStr"/>
      <c r="AX47" s="16" t="inlineStr"/>
      <c r="AY47" s="16" t="inlineStr"/>
      <c r="AZ47" s="16" t="inlineStr"/>
      <c r="BA47" s="16" t="inlineStr"/>
      <c r="BB47" s="16" t="inlineStr"/>
      <c r="BC47" s="16" t="inlineStr"/>
      <c r="BD47" s="16" t="inlineStr"/>
      <c r="BE47" s="16" t="inlineStr"/>
      <c r="BF47" s="16" t="inlineStr"/>
      <c r="BG47" s="16" t="inlineStr"/>
      <c r="BH47" s="16" t="inlineStr"/>
      <c r="BI47" s="16" t="inlineStr"/>
      <c r="BJ47" s="16" t="inlineStr"/>
      <c r="BK47" s="16" t="inlineStr"/>
      <c r="BL47" s="16" t="inlineStr"/>
      <c r="BM47" s="16" t="inlineStr"/>
      <c r="BN47" s="16" t="n">
        <v>422.502265</v>
      </c>
    </row>
    <row r="48">
      <c r="A48" s="10" t="inlineStr">
        <is>
          <t>Georgia</t>
        </is>
      </c>
      <c r="B48" s="16" t="n">
        <v>350.524281</v>
      </c>
      <c r="C48" s="31" t="n">
        <v>0.04965629971898089</v>
      </c>
      <c r="D48" s="31" t="n">
        <v>0.8166941225724145</v>
      </c>
      <c r="E48" s="31" t="n">
        <v>3.908343419105975</v>
      </c>
      <c r="F48" s="31" t="n">
        <v>6.018698951222556</v>
      </c>
      <c r="G48" s="16" t="n">
        <v>301.61132</v>
      </c>
      <c r="H48" s="16" t="n">
        <v>298.82215</v>
      </c>
      <c r="I48" s="16" t="n">
        <v>300.4711</v>
      </c>
      <c r="J48" s="16" t="n">
        <v>295.80618</v>
      </c>
      <c r="K48" s="16" t="n">
        <v>275.42986</v>
      </c>
      <c r="L48" s="16" t="n">
        <v>256.5185</v>
      </c>
      <c r="M48" s="16" t="n">
        <v>259.85822</v>
      </c>
      <c r="N48" s="16" t="n">
        <v>260.56839</v>
      </c>
      <c r="O48" s="16" t="n">
        <v>245.97067</v>
      </c>
      <c r="P48" s="16" t="n">
        <v>260.70937</v>
      </c>
      <c r="Q48" s="16" t="n">
        <v>261.15935</v>
      </c>
      <c r="R48" s="16" t="n">
        <v>250.44245</v>
      </c>
      <c r="S48" s="16" t="n">
        <v>248.38127</v>
      </c>
      <c r="T48" s="16" t="n">
        <v>268.50048</v>
      </c>
      <c r="U48" s="16" t="n">
        <v>278.41018</v>
      </c>
      <c r="V48" s="16" t="n">
        <v>282.16069</v>
      </c>
      <c r="W48" s="16" t="n">
        <v>281.44731</v>
      </c>
      <c r="X48" s="16" t="n">
        <v>275.9388</v>
      </c>
      <c r="Y48" s="16" t="n">
        <v>277.47048</v>
      </c>
      <c r="Z48" s="16" t="n">
        <v>278.01157</v>
      </c>
      <c r="AA48" s="16" t="n">
        <v>279.91967</v>
      </c>
      <c r="AB48" s="16" t="n">
        <v>282.59803</v>
      </c>
      <c r="AC48" s="16" t="n">
        <v>283.09313</v>
      </c>
      <c r="AD48" s="16" t="n">
        <v>283.41187</v>
      </c>
      <c r="AE48" s="16" t="n">
        <v>281.09277</v>
      </c>
      <c r="AF48" s="16" t="n">
        <v>287.58522</v>
      </c>
      <c r="AG48" s="16" t="n">
        <v>301.57484</v>
      </c>
      <c r="AH48" s="16" t="n">
        <v>301.18943</v>
      </c>
      <c r="AI48" s="16" t="n">
        <v>301.0638</v>
      </c>
      <c r="AJ48" s="16" t="n">
        <v>301.95049</v>
      </c>
      <c r="AK48" s="16" t="n">
        <v>300.89198</v>
      </c>
      <c r="AL48" s="16" t="n">
        <v>297.18796</v>
      </c>
      <c r="AM48" s="16" t="n">
        <v>297.90006</v>
      </c>
      <c r="AN48" s="16" t="n">
        <v>300.94851</v>
      </c>
      <c r="AO48" s="16" t="n">
        <v>306.95323</v>
      </c>
      <c r="AP48" s="16" t="n">
        <v>309.61505</v>
      </c>
      <c r="AQ48" s="16" t="n">
        <v>305.78428</v>
      </c>
      <c r="AR48" s="16" t="n">
        <v>308.78187</v>
      </c>
      <c r="AS48" s="16" t="n">
        <v>306.64411</v>
      </c>
      <c r="AT48" s="16" t="n">
        <v>308.99453</v>
      </c>
      <c r="AU48" s="16" t="n">
        <v>311.78431</v>
      </c>
      <c r="AV48" s="16" t="n">
        <v>313.82531</v>
      </c>
      <c r="AW48" s="16" t="n">
        <v>315.36697</v>
      </c>
      <c r="AX48" s="16" t="n">
        <v>317.53558</v>
      </c>
      <c r="AY48" s="16" t="n">
        <v>322.19683</v>
      </c>
      <c r="AZ48" s="16" t="n">
        <v>326.6967</v>
      </c>
      <c r="BA48" s="16" t="n">
        <v>329.54346</v>
      </c>
      <c r="BB48" s="16" t="n">
        <v>331.61636</v>
      </c>
      <c r="BC48" s="16" t="n">
        <v>332.49721</v>
      </c>
      <c r="BD48" s="16" t="n">
        <v>334.09823</v>
      </c>
      <c r="BE48" s="16" t="n">
        <v>337.33988</v>
      </c>
      <c r="BF48" s="16" t="n">
        <v>342.58853</v>
      </c>
      <c r="BG48" s="16" t="n">
        <v>344.80992</v>
      </c>
      <c r="BH48" s="16" t="n">
        <v>340.70578</v>
      </c>
      <c r="BI48" s="16" t="n">
        <v>345.63533</v>
      </c>
      <c r="BJ48" s="16" t="n">
        <v>347.82241</v>
      </c>
      <c r="BK48" s="16" t="n">
        <v>349.07939</v>
      </c>
      <c r="BL48" s="16" t="n">
        <v>349.06502</v>
      </c>
      <c r="BM48" s="16" t="n">
        <v>351.47029</v>
      </c>
      <c r="BN48" s="16" t="n">
        <v>350.524281</v>
      </c>
    </row>
    <row r="49">
      <c r="A49" s="10" t="inlineStr">
        <is>
          <t>Ghana</t>
        </is>
      </c>
      <c r="B49" s="16" t="n">
        <v>311.307819</v>
      </c>
      <c r="C49" s="31" t="n">
        <v>0.8568041708116869</v>
      </c>
      <c r="D49" s="31" t="n">
        <v>1.119612206769816</v>
      </c>
      <c r="E49" s="31" t="n">
        <v>5.037924554027695</v>
      </c>
      <c r="F49" s="31" t="n">
        <v>13.1461508795284</v>
      </c>
      <c r="G49" s="16" t="n">
        <v>313.52781</v>
      </c>
      <c r="H49" s="16" t="n">
        <v>288.74309</v>
      </c>
      <c r="I49" s="16" t="n">
        <v>301.35601</v>
      </c>
      <c r="J49" s="16" t="n">
        <v>287.02419</v>
      </c>
      <c r="K49" s="16" t="n">
        <v>254.24017</v>
      </c>
      <c r="L49" s="16" t="n">
        <v>273.49734</v>
      </c>
      <c r="M49" s="16" t="n">
        <v>243.70796</v>
      </c>
      <c r="N49" s="16" t="n">
        <v>219.76111</v>
      </c>
      <c r="O49" s="16" t="n">
        <v>207.58876</v>
      </c>
      <c r="P49" s="16" t="n">
        <v>194.91005</v>
      </c>
      <c r="Q49" s="16" t="n">
        <v>167.79908</v>
      </c>
      <c r="R49" s="16" t="n">
        <v>166.3884</v>
      </c>
      <c r="S49" s="16" t="n">
        <v>131.58331</v>
      </c>
      <c r="T49" s="16" t="n">
        <v>161.04878</v>
      </c>
      <c r="U49" s="16" t="n">
        <v>156.69594</v>
      </c>
      <c r="V49" s="16" t="n">
        <v>160.41267</v>
      </c>
      <c r="W49" s="16" t="n">
        <v>163.2408</v>
      </c>
      <c r="X49" s="16" t="n">
        <v>152.53637</v>
      </c>
      <c r="Y49" s="16" t="n">
        <v>159.40664</v>
      </c>
      <c r="Z49" s="16" t="n">
        <v>171.20333</v>
      </c>
      <c r="AA49" s="16" t="n">
        <v>181.51375</v>
      </c>
      <c r="AB49" s="16" t="n">
        <v>193.29517</v>
      </c>
      <c r="AC49" s="16" t="n">
        <v>184.41819</v>
      </c>
      <c r="AD49" s="16" t="n">
        <v>187.84947</v>
      </c>
      <c r="AE49" s="16" t="n">
        <v>182.72795</v>
      </c>
      <c r="AF49" s="16" t="n">
        <v>184.16943</v>
      </c>
      <c r="AG49" s="16" t="n">
        <v>185.66089</v>
      </c>
      <c r="AH49" s="16" t="n">
        <v>190.34875</v>
      </c>
      <c r="AI49" s="16" t="n">
        <v>183.90428</v>
      </c>
      <c r="AJ49" s="16" t="n">
        <v>217.49346</v>
      </c>
      <c r="AK49" s="16" t="n">
        <v>205.84315</v>
      </c>
      <c r="AL49" s="16" t="n">
        <v>217.74614</v>
      </c>
      <c r="AM49" s="16" t="n">
        <v>216.71155</v>
      </c>
      <c r="AN49" s="16" t="n">
        <v>216.0738</v>
      </c>
      <c r="AO49" s="16" t="n">
        <v>222.95061</v>
      </c>
      <c r="AP49" s="16" t="n">
        <v>226.7967</v>
      </c>
      <c r="AQ49" s="16" t="n">
        <v>225.17016</v>
      </c>
      <c r="AR49" s="16" t="n">
        <v>231.43361</v>
      </c>
      <c r="AS49" s="16" t="n">
        <v>229.19356</v>
      </c>
      <c r="AT49" s="16" t="n">
        <v>238.88653</v>
      </c>
      <c r="AU49" s="16" t="n">
        <v>241.02367</v>
      </c>
      <c r="AV49" s="16" t="n">
        <v>234.72562</v>
      </c>
      <c r="AW49" s="16" t="n">
        <v>226.19551</v>
      </c>
      <c r="AX49" s="16" t="n">
        <v>247.7958</v>
      </c>
      <c r="AY49" s="16" t="n">
        <v>257.86524</v>
      </c>
      <c r="AZ49" s="16" t="n">
        <v>265.89896</v>
      </c>
      <c r="BA49" s="16" t="n">
        <v>270.65906</v>
      </c>
      <c r="BB49" s="16" t="n">
        <v>277.59926</v>
      </c>
      <c r="BC49" s="16" t="n">
        <v>282.54311</v>
      </c>
      <c r="BD49" s="16" t="n">
        <v>288.85191</v>
      </c>
      <c r="BE49" s="16" t="n">
        <v>296.37659</v>
      </c>
      <c r="BF49" s="16" t="n">
        <v>296.37195</v>
      </c>
      <c r="BG49" s="16" t="n">
        <v>296.72862</v>
      </c>
      <c r="BH49" s="16" t="n">
        <v>283.9459</v>
      </c>
      <c r="BI49" s="16" t="n">
        <v>300.7081</v>
      </c>
      <c r="BJ49" s="16" t="n">
        <v>307.43904</v>
      </c>
      <c r="BK49" s="16" t="n">
        <v>307.10582</v>
      </c>
      <c r="BL49" s="16" t="n">
        <v>305.30131</v>
      </c>
      <c r="BM49" s="16" t="n">
        <v>311.34627</v>
      </c>
      <c r="BN49" s="16" t="n">
        <v>311.307819</v>
      </c>
    </row>
    <row r="50">
      <c r="A50" s="10" t="inlineStr">
        <is>
          <t>Guatemala</t>
        </is>
      </c>
      <c r="B50" s="16" t="n">
        <v>208.193049</v>
      </c>
      <c r="C50" s="32" t="n">
        <v>-0.1719913725006572</v>
      </c>
      <c r="D50" s="32" t="n">
        <v>-0.316914218069253</v>
      </c>
      <c r="E50" s="31" t="n">
        <v>1.887715988248173</v>
      </c>
      <c r="F50" s="31" t="n">
        <v>4.673611052454407</v>
      </c>
      <c r="G50" s="16" t="n">
        <v>181.88767</v>
      </c>
      <c r="H50" s="16" t="n">
        <v>178.22226</v>
      </c>
      <c r="I50" s="16" t="n">
        <v>181.10395</v>
      </c>
      <c r="J50" s="16" t="n">
        <v>175.88946</v>
      </c>
      <c r="K50" s="16" t="n">
        <v>169.07335</v>
      </c>
      <c r="L50" s="16" t="n">
        <v>172.1396</v>
      </c>
      <c r="M50" s="16" t="n">
        <v>163.79185</v>
      </c>
      <c r="N50" s="16" t="n">
        <v>159.83146</v>
      </c>
      <c r="O50" s="16" t="n">
        <v>151.30979</v>
      </c>
      <c r="P50" s="16" t="n">
        <v>163.56887</v>
      </c>
      <c r="Q50" s="16" t="n">
        <v>160.26897</v>
      </c>
      <c r="R50" s="16" t="n">
        <v>147.89089</v>
      </c>
      <c r="S50" s="16" t="n">
        <v>153.59213</v>
      </c>
      <c r="T50" s="16" t="n">
        <v>161.5836</v>
      </c>
      <c r="U50" s="16" t="n">
        <v>163.89517</v>
      </c>
      <c r="V50" s="16" t="n">
        <v>167.55335</v>
      </c>
      <c r="W50" s="16" t="n">
        <v>165.20679</v>
      </c>
      <c r="X50" s="16" t="n">
        <v>167.6562</v>
      </c>
      <c r="Y50" s="16" t="n">
        <v>168.5375</v>
      </c>
      <c r="Z50" s="16" t="n">
        <v>164.28607</v>
      </c>
      <c r="AA50" s="16" t="n">
        <v>166.24507</v>
      </c>
      <c r="AB50" s="16" t="n">
        <v>168.10612</v>
      </c>
      <c r="AC50" s="16" t="n">
        <v>167.22691</v>
      </c>
      <c r="AD50" s="16" t="n">
        <v>161.78337</v>
      </c>
      <c r="AE50" s="16" t="n">
        <v>157.06552</v>
      </c>
      <c r="AF50" s="16" t="n">
        <v>164.15509</v>
      </c>
      <c r="AG50" s="16" t="n">
        <v>175.08329</v>
      </c>
      <c r="AH50" s="16" t="n">
        <v>173.39595</v>
      </c>
      <c r="AI50" s="16" t="n">
        <v>174.05018</v>
      </c>
      <c r="AJ50" s="16" t="n">
        <v>176.0356</v>
      </c>
      <c r="AK50" s="16" t="n">
        <v>170.50698</v>
      </c>
      <c r="AL50" s="16" t="n">
        <v>174.80423</v>
      </c>
      <c r="AM50" s="16" t="n">
        <v>176.12249</v>
      </c>
      <c r="AN50" s="16" t="n">
        <v>179.12569</v>
      </c>
      <c r="AO50" s="16" t="n">
        <v>184.03246</v>
      </c>
      <c r="AP50" s="16" t="n">
        <v>185.44878</v>
      </c>
      <c r="AQ50" s="16" t="n">
        <v>181.33287</v>
      </c>
      <c r="AR50" s="16" t="n">
        <v>182.26466</v>
      </c>
      <c r="AS50" s="16" t="n">
        <v>179.87559</v>
      </c>
      <c r="AT50" s="16" t="n">
        <v>181.30528</v>
      </c>
      <c r="AU50" s="16" t="n">
        <v>185.19224</v>
      </c>
      <c r="AV50" s="16" t="n">
        <v>185.71104</v>
      </c>
      <c r="AW50" s="16" t="n">
        <v>185.95647</v>
      </c>
      <c r="AX50" s="16" t="n">
        <v>187.43752</v>
      </c>
      <c r="AY50" s="16" t="n">
        <v>190.25406</v>
      </c>
      <c r="AZ50" s="16" t="n">
        <v>192.24177</v>
      </c>
      <c r="BA50" s="16" t="n">
        <v>196.21947</v>
      </c>
      <c r="BB50" s="16" t="n">
        <v>200.19765</v>
      </c>
      <c r="BC50" s="16" t="n">
        <v>203.31563</v>
      </c>
      <c r="BD50" s="16" t="n">
        <v>202.36049</v>
      </c>
      <c r="BE50" s="16" t="n">
        <v>204.33577</v>
      </c>
      <c r="BF50" s="16" t="n">
        <v>204.96605</v>
      </c>
      <c r="BG50" s="16" t="n">
        <v>209.17191</v>
      </c>
      <c r="BH50" s="16" t="n">
        <v>202.97065</v>
      </c>
      <c r="BI50" s="16" t="n">
        <v>208.47092</v>
      </c>
      <c r="BJ50" s="16" t="n">
        <v>208.95489</v>
      </c>
      <c r="BK50" s="16" t="n">
        <v>210.18869</v>
      </c>
      <c r="BL50" s="16" t="n">
        <v>206.33397</v>
      </c>
      <c r="BM50" s="16" t="n">
        <v>208.43622</v>
      </c>
      <c r="BN50" s="16" t="n">
        <v>208.193049</v>
      </c>
    </row>
    <row r="51">
      <c r="A51" s="10" t="inlineStr">
        <is>
          <t>Honduras</t>
        </is>
      </c>
      <c r="B51" s="16" t="n">
        <v>262.017862</v>
      </c>
      <c r="C51" s="31" t="n">
        <v>0.3050643292534794</v>
      </c>
      <c r="D51" s="31" t="n">
        <v>1.945212385841311</v>
      </c>
      <c r="E51" s="31" t="n">
        <v>5.054830472708893</v>
      </c>
      <c r="F51" s="31" t="n">
        <v>9.827790446933005</v>
      </c>
      <c r="G51" s="16" t="n">
        <v>184.84797</v>
      </c>
      <c r="H51" s="16" t="n">
        <v>185.90594</v>
      </c>
      <c r="I51" s="16" t="n">
        <v>192.26018</v>
      </c>
      <c r="J51" s="16" t="n">
        <v>181.11075</v>
      </c>
      <c r="K51" s="16" t="n">
        <v>166.28336</v>
      </c>
      <c r="L51" s="16" t="n">
        <v>174.79602</v>
      </c>
      <c r="M51" s="16" t="n">
        <v>157.69763</v>
      </c>
      <c r="N51" s="16" t="n">
        <v>147.68927</v>
      </c>
      <c r="O51" s="16" t="n">
        <v>141.1678</v>
      </c>
      <c r="P51" s="16" t="n">
        <v>153.17283</v>
      </c>
      <c r="Q51" s="16" t="n">
        <v>157.63985</v>
      </c>
      <c r="R51" s="16" t="n">
        <v>152.67591</v>
      </c>
      <c r="S51" s="16" t="n">
        <v>146.068</v>
      </c>
      <c r="T51" s="16" t="n">
        <v>160.86251</v>
      </c>
      <c r="U51" s="16" t="n">
        <v>168.48913</v>
      </c>
      <c r="V51" s="16" t="n">
        <v>171.33332</v>
      </c>
      <c r="W51" s="16" t="n">
        <v>169.14146</v>
      </c>
      <c r="X51" s="16" t="n">
        <v>171.32915</v>
      </c>
      <c r="Y51" s="16" t="n">
        <v>172.84513</v>
      </c>
      <c r="Z51" s="16" t="n">
        <v>175.42114</v>
      </c>
      <c r="AA51" s="16" t="n">
        <v>178.46141</v>
      </c>
      <c r="AB51" s="16" t="n">
        <v>181.09719</v>
      </c>
      <c r="AC51" s="16" t="n">
        <v>189.13606</v>
      </c>
      <c r="AD51" s="16" t="n">
        <v>188.99767</v>
      </c>
      <c r="AE51" s="16" t="n">
        <v>187.22774</v>
      </c>
      <c r="AF51" s="16" t="n">
        <v>191.03472</v>
      </c>
      <c r="AG51" s="16" t="n">
        <v>197.88226</v>
      </c>
      <c r="AH51" s="16" t="n">
        <v>196.16339</v>
      </c>
      <c r="AI51" s="16" t="n">
        <v>198.706</v>
      </c>
      <c r="AJ51" s="16" t="n">
        <v>201.81629</v>
      </c>
      <c r="AK51" s="16" t="n">
        <v>197.49377</v>
      </c>
      <c r="AL51" s="16" t="n">
        <v>200.68958</v>
      </c>
      <c r="AM51" s="16" t="n">
        <v>199.43734</v>
      </c>
      <c r="AN51" s="16" t="n">
        <v>203.10784</v>
      </c>
      <c r="AO51" s="16" t="n">
        <v>207.38078</v>
      </c>
      <c r="AP51" s="16" t="n">
        <v>207.81878</v>
      </c>
      <c r="AQ51" s="16" t="n">
        <v>211.48004</v>
      </c>
      <c r="AR51" s="16" t="n">
        <v>211.48238</v>
      </c>
      <c r="AS51" s="16" t="n">
        <v>212.48929</v>
      </c>
      <c r="AT51" s="16" t="n">
        <v>210.43466</v>
      </c>
      <c r="AU51" s="16" t="n">
        <v>214.97957</v>
      </c>
      <c r="AV51" s="16" t="n">
        <v>217.99303</v>
      </c>
      <c r="AW51" s="16" t="n">
        <v>219.87799</v>
      </c>
      <c r="AX51" s="16" t="n">
        <v>224.38436</v>
      </c>
      <c r="AY51" s="16" t="n">
        <v>230.23621</v>
      </c>
      <c r="AZ51" s="16" t="n">
        <v>231.16811</v>
      </c>
      <c r="BA51" s="16" t="n">
        <v>235.85836</v>
      </c>
      <c r="BB51" s="16" t="n">
        <v>242.57301</v>
      </c>
      <c r="BC51" s="16" t="n">
        <v>240.25723</v>
      </c>
      <c r="BD51" s="16" t="n">
        <v>243.74987</v>
      </c>
      <c r="BE51" s="16" t="n">
        <v>249.41058</v>
      </c>
      <c r="BF51" s="16" t="n">
        <v>253.88424</v>
      </c>
      <c r="BG51" s="16" t="n">
        <v>256.79663</v>
      </c>
      <c r="BH51" s="16" t="n">
        <v>252.45873</v>
      </c>
      <c r="BI51" s="16" t="n">
        <v>256.45525</v>
      </c>
      <c r="BJ51" s="16" t="n">
        <v>256.8122</v>
      </c>
      <c r="BK51" s="16" t="n">
        <v>260.30533</v>
      </c>
      <c r="BL51" s="16" t="n">
        <v>259.58487</v>
      </c>
      <c r="BM51" s="16" t="n">
        <v>262.27222</v>
      </c>
      <c r="BN51" s="16" t="n">
        <v>262.017862</v>
      </c>
    </row>
    <row r="52">
      <c r="A52" s="10" t="inlineStr">
        <is>
          <t>Hungary</t>
        </is>
      </c>
      <c r="B52" s="16" t="n">
        <v>417.75486</v>
      </c>
      <c r="C52" s="32" t="n">
        <v>-0.3121273903364363</v>
      </c>
      <c r="D52" s="32" t="n">
        <v>-0.03641240493130748</v>
      </c>
      <c r="E52" s="31" t="n">
        <v>2.190723465212274</v>
      </c>
      <c r="F52" s="31" t="n">
        <v>3.889668490991949</v>
      </c>
      <c r="G52" s="16" t="n">
        <v>388.54944</v>
      </c>
      <c r="H52" s="16" t="n">
        <v>384.66002</v>
      </c>
      <c r="I52" s="16" t="n">
        <v>389.27957</v>
      </c>
      <c r="J52" s="16" t="n">
        <v>380.36147</v>
      </c>
      <c r="K52" s="16" t="n">
        <v>362.89864</v>
      </c>
      <c r="L52" s="16" t="n">
        <v>365.42001</v>
      </c>
      <c r="M52" s="16" t="n">
        <v>339.6703</v>
      </c>
      <c r="N52" s="16" t="n">
        <v>338.23147</v>
      </c>
      <c r="O52" s="16" t="n">
        <v>331.80659</v>
      </c>
      <c r="P52" s="16" t="n">
        <v>341.83315</v>
      </c>
      <c r="Q52" s="16" t="n">
        <v>323.8508</v>
      </c>
      <c r="R52" s="16" t="n">
        <v>301.00278</v>
      </c>
      <c r="S52" s="16" t="n">
        <v>307.9026</v>
      </c>
      <c r="T52" s="16" t="n">
        <v>325.84148</v>
      </c>
      <c r="U52" s="16" t="n">
        <v>325.14394</v>
      </c>
      <c r="V52" s="16" t="n">
        <v>337.45016</v>
      </c>
      <c r="W52" s="16" t="n">
        <v>332.98534</v>
      </c>
      <c r="X52" s="16" t="n">
        <v>336.19118</v>
      </c>
      <c r="Y52" s="16" t="n">
        <v>341.45099</v>
      </c>
      <c r="Z52" s="16" t="n">
        <v>335.42559</v>
      </c>
      <c r="AA52" s="16" t="n">
        <v>340.91992</v>
      </c>
      <c r="AB52" s="16" t="n">
        <v>345.11876</v>
      </c>
      <c r="AC52" s="16" t="n">
        <v>341.00308</v>
      </c>
      <c r="AD52" s="16" t="n">
        <v>330.45934</v>
      </c>
      <c r="AE52" s="16" t="n">
        <v>326.56529</v>
      </c>
      <c r="AF52" s="16" t="n">
        <v>347.26553</v>
      </c>
      <c r="AG52" s="16" t="n">
        <v>366.58346</v>
      </c>
      <c r="AH52" s="16" t="n">
        <v>360.13754</v>
      </c>
      <c r="AI52" s="16" t="n">
        <v>357.73048</v>
      </c>
      <c r="AJ52" s="16" t="n">
        <v>362.459</v>
      </c>
      <c r="AK52" s="16" t="n">
        <v>353.50991</v>
      </c>
      <c r="AL52" s="16" t="n">
        <v>361.16325</v>
      </c>
      <c r="AM52" s="16" t="n">
        <v>365.26395</v>
      </c>
      <c r="AN52" s="16" t="n">
        <v>371.35612</v>
      </c>
      <c r="AO52" s="16" t="n">
        <v>380.90369</v>
      </c>
      <c r="AP52" s="16" t="n">
        <v>384.60308</v>
      </c>
      <c r="AQ52" s="16" t="n">
        <v>373.81369</v>
      </c>
      <c r="AR52" s="16" t="n">
        <v>374.11815</v>
      </c>
      <c r="AS52" s="16" t="n">
        <v>369.1459</v>
      </c>
      <c r="AT52" s="16" t="n">
        <v>374.27611</v>
      </c>
      <c r="AU52" s="16" t="n">
        <v>383.46917</v>
      </c>
      <c r="AV52" s="16" t="n">
        <v>379.68659</v>
      </c>
      <c r="AW52" s="16" t="n">
        <v>379.27999</v>
      </c>
      <c r="AX52" s="16" t="n">
        <v>381.88483</v>
      </c>
      <c r="AY52" s="16" t="n">
        <v>387.50543</v>
      </c>
      <c r="AZ52" s="16" t="n">
        <v>391.62755</v>
      </c>
      <c r="BA52" s="16" t="n">
        <v>398.09508</v>
      </c>
      <c r="BB52" s="16" t="n">
        <v>406.09688</v>
      </c>
      <c r="BC52" s="16" t="n">
        <v>410.19798</v>
      </c>
      <c r="BD52" s="16" t="n">
        <v>407.89876</v>
      </c>
      <c r="BE52" s="16" t="n">
        <v>408.7992</v>
      </c>
      <c r="BF52" s="16" t="n">
        <v>409.26397</v>
      </c>
      <c r="BG52" s="16" t="n">
        <v>417.33764</v>
      </c>
      <c r="BH52" s="16" t="n">
        <v>405.01657</v>
      </c>
      <c r="BI52" s="16" t="n">
        <v>417.34692</v>
      </c>
      <c r="BJ52" s="16" t="n">
        <v>418.50916</v>
      </c>
      <c r="BK52" s="16" t="n">
        <v>422.3313</v>
      </c>
      <c r="BL52" s="16" t="n">
        <v>415.29405</v>
      </c>
      <c r="BM52" s="16" t="n">
        <v>418.40461</v>
      </c>
      <c r="BN52" s="16" t="n">
        <v>417.75486</v>
      </c>
    </row>
    <row r="53">
      <c r="A53" s="10" t="inlineStr">
        <is>
          <t>India</t>
        </is>
      </c>
      <c r="B53" s="16" t="n">
        <v>164.695189</v>
      </c>
      <c r="C53" s="32" t="n">
        <v>-0.3199665181509825</v>
      </c>
      <c r="D53" s="32" t="n">
        <v>-0.4169977127286839</v>
      </c>
      <c r="E53" s="32" t="n">
        <v>-0.3471137878000685</v>
      </c>
      <c r="F53" s="31" t="n">
        <v>0.6747292751776213</v>
      </c>
      <c r="G53" s="16" t="n">
        <v>147.22867</v>
      </c>
      <c r="H53" s="16" t="n">
        <v>147.31699</v>
      </c>
      <c r="I53" s="16" t="n">
        <v>147.55074</v>
      </c>
      <c r="J53" s="16" t="n">
        <v>144.92077</v>
      </c>
      <c r="K53" s="16" t="n">
        <v>142.37869</v>
      </c>
      <c r="L53" s="16" t="n">
        <v>139.66883</v>
      </c>
      <c r="M53" s="16" t="n">
        <v>135.63419</v>
      </c>
      <c r="N53" s="16" t="n">
        <v>136.79604</v>
      </c>
      <c r="O53" s="16" t="n">
        <v>134.80641</v>
      </c>
      <c r="P53" s="16" t="n">
        <v>138.15026</v>
      </c>
      <c r="Q53" s="16" t="n">
        <v>136.65631</v>
      </c>
      <c r="R53" s="16" t="n">
        <v>130.65208</v>
      </c>
      <c r="S53" s="16" t="n">
        <v>128.45465</v>
      </c>
      <c r="T53" s="16" t="n">
        <v>135.3058</v>
      </c>
      <c r="U53" s="16" t="n">
        <v>135.26885</v>
      </c>
      <c r="V53" s="16" t="n">
        <v>138.01991</v>
      </c>
      <c r="W53" s="16" t="n">
        <v>135.38887</v>
      </c>
      <c r="X53" s="16" t="n">
        <v>138.46909</v>
      </c>
      <c r="Y53" s="16" t="n">
        <v>140.18452</v>
      </c>
      <c r="Z53" s="16" t="n">
        <v>140.16333</v>
      </c>
      <c r="AA53" s="16" t="n">
        <v>139.72378</v>
      </c>
      <c r="AB53" s="16" t="n">
        <v>139.81408</v>
      </c>
      <c r="AC53" s="16" t="n">
        <v>139.34936</v>
      </c>
      <c r="AD53" s="16" t="n">
        <v>137.27491</v>
      </c>
      <c r="AE53" s="16" t="n">
        <v>136.41168</v>
      </c>
      <c r="AF53" s="16" t="n">
        <v>141.73196</v>
      </c>
      <c r="AG53" s="16" t="n">
        <v>146.28321</v>
      </c>
      <c r="AH53" s="16" t="n">
        <v>146.18705</v>
      </c>
      <c r="AI53" s="16" t="n">
        <v>145.52504</v>
      </c>
      <c r="AJ53" s="16" t="n">
        <v>146.2757</v>
      </c>
      <c r="AK53" s="16" t="n">
        <v>143.9904</v>
      </c>
      <c r="AL53" s="16" t="n">
        <v>146.68712</v>
      </c>
      <c r="AM53" s="16" t="n">
        <v>147.75978</v>
      </c>
      <c r="AN53" s="16" t="n">
        <v>150.72609</v>
      </c>
      <c r="AO53" s="16" t="n">
        <v>152.48796</v>
      </c>
      <c r="AP53" s="16" t="n">
        <v>154.73246</v>
      </c>
      <c r="AQ53" s="16" t="n">
        <v>152.53648</v>
      </c>
      <c r="AR53" s="16" t="n">
        <v>153.84646</v>
      </c>
      <c r="AS53" s="16" t="n">
        <v>152.34067</v>
      </c>
      <c r="AT53" s="16" t="n">
        <v>153.16412</v>
      </c>
      <c r="AU53" s="16" t="n">
        <v>155.81336</v>
      </c>
      <c r="AV53" s="16" t="n">
        <v>155.78955</v>
      </c>
      <c r="AW53" s="16" t="n">
        <v>156.70605</v>
      </c>
      <c r="AX53" s="16" t="n">
        <v>157.43667</v>
      </c>
      <c r="AY53" s="16" t="n">
        <v>159.69313</v>
      </c>
      <c r="AZ53" s="16" t="n">
        <v>160.15498</v>
      </c>
      <c r="BA53" s="16" t="n">
        <v>162.65983</v>
      </c>
      <c r="BB53" s="16" t="n">
        <v>163.28614</v>
      </c>
      <c r="BC53" s="16" t="n">
        <v>163.85599</v>
      </c>
      <c r="BD53" s="16" t="n">
        <v>164.98559</v>
      </c>
      <c r="BE53" s="16" t="n">
        <v>165.26886</v>
      </c>
      <c r="BF53" s="16" t="n">
        <v>165.58025</v>
      </c>
      <c r="BG53" s="16" t="n">
        <v>168.47966</v>
      </c>
      <c r="BH53" s="16" t="n">
        <v>164.59323</v>
      </c>
      <c r="BI53" s="16" t="n">
        <v>165.61255</v>
      </c>
      <c r="BJ53" s="16" t="n">
        <v>166.53145</v>
      </c>
      <c r="BK53" s="16" t="n">
        <v>166.15686</v>
      </c>
      <c r="BL53" s="16" t="n">
        <v>164.37273</v>
      </c>
      <c r="BM53" s="16" t="n">
        <v>164.86598</v>
      </c>
      <c r="BN53" s="16" t="n">
        <v>164.695189</v>
      </c>
    </row>
    <row r="54">
      <c r="A54" s="10" t="inlineStr">
        <is>
          <t>Indonesia</t>
        </is>
      </c>
      <c r="B54" s="16" t="n">
        <v>440.581067</v>
      </c>
      <c r="C54" s="31" t="n">
        <v>0.2644233931184736</v>
      </c>
      <c r="D54" s="32" t="n">
        <v>-0.1106318890718661</v>
      </c>
      <c r="E54" s="32" t="n">
        <v>-1.756958748168425</v>
      </c>
      <c r="F54" s="31" t="n">
        <v>0.05748601826174315</v>
      </c>
      <c r="G54" s="16" t="n">
        <v>427.34787</v>
      </c>
      <c r="H54" s="16" t="n">
        <v>427.33095</v>
      </c>
      <c r="I54" s="16" t="n">
        <v>432.77201</v>
      </c>
      <c r="J54" s="16" t="n">
        <v>414.80903</v>
      </c>
      <c r="K54" s="16" t="n">
        <v>405.45723</v>
      </c>
      <c r="L54" s="16" t="n">
        <v>405.24292</v>
      </c>
      <c r="M54" s="16" t="n">
        <v>379.61235</v>
      </c>
      <c r="N54" s="16" t="n">
        <v>381.64756</v>
      </c>
      <c r="O54" s="16" t="n">
        <v>368.86491</v>
      </c>
      <c r="P54" s="16" t="n">
        <v>383.05299</v>
      </c>
      <c r="Q54" s="16" t="n">
        <v>378.71353</v>
      </c>
      <c r="R54" s="16" t="n">
        <v>352.26131</v>
      </c>
      <c r="S54" s="16" t="n">
        <v>348.64173</v>
      </c>
      <c r="T54" s="16" t="n">
        <v>372.59527</v>
      </c>
      <c r="U54" s="16" t="n">
        <v>375.11813</v>
      </c>
      <c r="V54" s="16" t="n">
        <v>385.77095</v>
      </c>
      <c r="W54" s="16" t="n">
        <v>378.77282</v>
      </c>
      <c r="X54" s="16" t="n">
        <v>386.60837</v>
      </c>
      <c r="Y54" s="16" t="n">
        <v>392.0199</v>
      </c>
      <c r="Z54" s="16" t="n">
        <v>388.97318</v>
      </c>
      <c r="AA54" s="16" t="n">
        <v>390.1412</v>
      </c>
      <c r="AB54" s="16" t="n">
        <v>392.58543</v>
      </c>
      <c r="AC54" s="16" t="n">
        <v>386.59171</v>
      </c>
      <c r="AD54" s="16" t="n">
        <v>373.6417</v>
      </c>
      <c r="AE54" s="16" t="n">
        <v>367.98633</v>
      </c>
      <c r="AF54" s="16" t="n">
        <v>391.02921</v>
      </c>
      <c r="AG54" s="16" t="n">
        <v>411.19216</v>
      </c>
      <c r="AH54" s="16" t="n">
        <v>403.20762</v>
      </c>
      <c r="AI54" s="16" t="n">
        <v>400.71153</v>
      </c>
      <c r="AJ54" s="16" t="n">
        <v>405.89031</v>
      </c>
      <c r="AK54" s="16" t="n">
        <v>393.90877</v>
      </c>
      <c r="AL54" s="16" t="n">
        <v>401.68759</v>
      </c>
      <c r="AM54" s="16" t="n">
        <v>405.73379</v>
      </c>
      <c r="AN54" s="16" t="n">
        <v>412.29852</v>
      </c>
      <c r="AO54" s="16" t="n">
        <v>424.14279</v>
      </c>
      <c r="AP54" s="16" t="n">
        <v>430.57089</v>
      </c>
      <c r="AQ54" s="16" t="n">
        <v>419.28676</v>
      </c>
      <c r="AR54" s="16" t="n">
        <v>419.83565</v>
      </c>
      <c r="AS54" s="16" t="n">
        <v>411.76805</v>
      </c>
      <c r="AT54" s="16" t="n">
        <v>414.41337</v>
      </c>
      <c r="AU54" s="16" t="n">
        <v>422.79793</v>
      </c>
      <c r="AV54" s="16" t="n">
        <v>418.29992</v>
      </c>
      <c r="AW54" s="16" t="n">
        <v>420.53406</v>
      </c>
      <c r="AX54" s="16" t="n">
        <v>422.09956</v>
      </c>
      <c r="AY54" s="16" t="n">
        <v>429.72135</v>
      </c>
      <c r="AZ54" s="16" t="n">
        <v>433.38183</v>
      </c>
      <c r="BA54" s="16" t="n">
        <v>437.93222</v>
      </c>
      <c r="BB54" s="16" t="n">
        <v>442.76059</v>
      </c>
      <c r="BC54" s="16" t="n">
        <v>448.1209</v>
      </c>
      <c r="BD54" s="16" t="n">
        <v>447.93634</v>
      </c>
      <c r="BE54" s="16" t="n">
        <v>448.46033</v>
      </c>
      <c r="BF54" s="16" t="n">
        <v>445.01316</v>
      </c>
      <c r="BG54" s="16" t="n">
        <v>450.37514</v>
      </c>
      <c r="BH54" s="16" t="n">
        <v>437.84437</v>
      </c>
      <c r="BI54" s="16" t="n">
        <v>444.51624</v>
      </c>
      <c r="BJ54" s="16" t="n">
        <v>446.13506</v>
      </c>
      <c r="BK54" s="16" t="n">
        <v>446.20287</v>
      </c>
      <c r="BL54" s="16" t="n">
        <v>436.15463</v>
      </c>
      <c r="BM54" s="16" t="n">
        <v>440.6689</v>
      </c>
      <c r="BN54" s="16" t="n">
        <v>440.581067</v>
      </c>
    </row>
    <row r="55">
      <c r="A55" s="10" t="inlineStr">
        <is>
          <t>Iraq</t>
        </is>
      </c>
      <c r="B55" s="16" t="n">
        <v>657.507166</v>
      </c>
      <c r="C55" s="31" t="n">
        <v>0.2554383141339045</v>
      </c>
      <c r="D55" s="31" t="n">
        <v>2.246683647465675</v>
      </c>
      <c r="E55" s="31" t="n">
        <v>3.705929403513974</v>
      </c>
      <c r="F55" s="31" t="n">
        <v>6.077923880666658</v>
      </c>
      <c r="G55" s="16" t="n">
        <v>443.53982</v>
      </c>
      <c r="H55" s="16" t="n">
        <v>423.91152</v>
      </c>
      <c r="I55" s="16" t="n">
        <v>442.7782</v>
      </c>
      <c r="J55" s="16" t="n">
        <v>444.2899</v>
      </c>
      <c r="K55" s="16" t="n">
        <v>445.95346</v>
      </c>
      <c r="L55" s="16" t="n">
        <v>455.07252</v>
      </c>
      <c r="M55" s="16" t="n">
        <v>452.12632</v>
      </c>
      <c r="N55" s="16" t="n">
        <v>449.45933</v>
      </c>
      <c r="O55" s="16" t="n">
        <v>433.50867</v>
      </c>
      <c r="P55" s="16" t="n">
        <v>427.34138</v>
      </c>
      <c r="Q55" s="16" t="n">
        <v>419.94717</v>
      </c>
      <c r="R55" s="16" t="n">
        <v>416.27781</v>
      </c>
      <c r="S55" s="16" t="n">
        <v>432.89428</v>
      </c>
      <c r="T55" s="16" t="n">
        <v>458.72722</v>
      </c>
      <c r="U55" s="16" t="n">
        <v>473.16859</v>
      </c>
      <c r="V55" s="16" t="n">
        <v>479.95813</v>
      </c>
      <c r="W55" s="16" t="n">
        <v>479.06342</v>
      </c>
      <c r="X55" s="16" t="n">
        <v>488.21353</v>
      </c>
      <c r="Y55" s="16" t="n">
        <v>492.00853</v>
      </c>
      <c r="Z55" s="16" t="n">
        <v>490.464</v>
      </c>
      <c r="AA55" s="16" t="n">
        <v>489.20333</v>
      </c>
      <c r="AB55" s="16" t="n">
        <v>500.63569</v>
      </c>
      <c r="AC55" s="16" t="n">
        <v>499.55498</v>
      </c>
      <c r="AD55" s="16" t="n">
        <v>504.49272</v>
      </c>
      <c r="AE55" s="16" t="n">
        <v>487.87358</v>
      </c>
      <c r="AF55" s="16" t="n">
        <v>507.21374</v>
      </c>
      <c r="AG55" s="16" t="n">
        <v>517.47835</v>
      </c>
      <c r="AH55" s="16" t="n">
        <v>523.55951</v>
      </c>
      <c r="AI55" s="16" t="n">
        <v>527.48125</v>
      </c>
      <c r="AJ55" s="16" t="n">
        <v>535.81106</v>
      </c>
      <c r="AK55" s="16" t="n">
        <v>531.68751</v>
      </c>
      <c r="AL55" s="16" t="n">
        <v>544.30867</v>
      </c>
      <c r="AM55" s="16" t="n">
        <v>539.73433</v>
      </c>
      <c r="AN55" s="16" t="n">
        <v>551.03687</v>
      </c>
      <c r="AO55" s="16" t="n">
        <v>556.03389</v>
      </c>
      <c r="AP55" s="16" t="n">
        <v>571.3765100000001</v>
      </c>
      <c r="AQ55" s="16" t="n">
        <v>569.28533</v>
      </c>
      <c r="AR55" s="16" t="n">
        <v>577.08948</v>
      </c>
      <c r="AS55" s="16" t="n">
        <v>581.1733400000001</v>
      </c>
      <c r="AT55" s="16" t="n">
        <v>592.84772</v>
      </c>
      <c r="AU55" s="16" t="n">
        <v>593.87454</v>
      </c>
      <c r="AV55" s="16" t="n">
        <v>595.4565</v>
      </c>
      <c r="AW55" s="16" t="n">
        <v>590.85428</v>
      </c>
      <c r="AX55" s="16" t="n">
        <v>602.86139</v>
      </c>
      <c r="AY55" s="16" t="n">
        <v>607.53958</v>
      </c>
      <c r="AZ55" s="16" t="n">
        <v>616.67634</v>
      </c>
      <c r="BA55" s="16" t="n">
        <v>619.32999</v>
      </c>
      <c r="BB55" s="16" t="n">
        <v>622.41666</v>
      </c>
      <c r="BC55" s="16" t="n">
        <v>627.92898</v>
      </c>
      <c r="BD55" s="16" t="n">
        <v>630.52361</v>
      </c>
      <c r="BE55" s="16" t="n">
        <v>634.01116</v>
      </c>
      <c r="BF55" s="16" t="n">
        <v>636.68849</v>
      </c>
      <c r="BG55" s="16" t="n">
        <v>639.17105</v>
      </c>
      <c r="BH55" s="16" t="n">
        <v>628.20566</v>
      </c>
      <c r="BI55" s="16" t="n">
        <v>635.07705</v>
      </c>
      <c r="BJ55" s="16" t="n">
        <v>641.73753</v>
      </c>
      <c r="BK55" s="16" t="n">
        <v>648.8016699999999</v>
      </c>
      <c r="BL55" s="16" t="n">
        <v>654.26818</v>
      </c>
      <c r="BM55" s="16" t="n">
        <v>657.9612</v>
      </c>
      <c r="BN55" s="16" t="n">
        <v>657.507166</v>
      </c>
    </row>
    <row r="56">
      <c r="A56" s="10" t="inlineStr">
        <is>
          <t>Jamaica</t>
        </is>
      </c>
      <c r="B56" s="16" t="n">
        <v>440.358065</v>
      </c>
      <c r="C56" s="32" t="n">
        <v>-0.0860047821703791</v>
      </c>
      <c r="D56" s="31" t="n">
        <v>0.02588223097674813</v>
      </c>
      <c r="E56" s="31" t="n">
        <v>1.75388857488934</v>
      </c>
      <c r="F56" s="31" t="n">
        <v>4.076041595147961</v>
      </c>
      <c r="G56" s="16" t="n">
        <v>381.50976</v>
      </c>
      <c r="H56" s="16" t="n">
        <v>374.53082</v>
      </c>
      <c r="I56" s="16" t="n">
        <v>378.55629</v>
      </c>
      <c r="J56" s="16" t="n">
        <v>377.57424</v>
      </c>
      <c r="K56" s="16" t="n">
        <v>363.15432</v>
      </c>
      <c r="L56" s="16" t="n">
        <v>359.89347</v>
      </c>
      <c r="M56" s="16" t="n">
        <v>349.03446</v>
      </c>
      <c r="N56" s="16" t="n">
        <v>337.94494</v>
      </c>
      <c r="O56" s="16" t="n">
        <v>314.85027</v>
      </c>
      <c r="P56" s="16" t="n">
        <v>327.32563</v>
      </c>
      <c r="Q56" s="16" t="n">
        <v>342.19846</v>
      </c>
      <c r="R56" s="16" t="n">
        <v>323.73948</v>
      </c>
      <c r="S56" s="16" t="n">
        <v>325.97075</v>
      </c>
      <c r="T56" s="16" t="n">
        <v>336.1478</v>
      </c>
      <c r="U56" s="16" t="n">
        <v>343.87685</v>
      </c>
      <c r="V56" s="16" t="n">
        <v>354.19202</v>
      </c>
      <c r="W56" s="16" t="n">
        <v>354.21283</v>
      </c>
      <c r="X56" s="16" t="n">
        <v>356.73219</v>
      </c>
      <c r="Y56" s="16" t="n">
        <v>360.46457</v>
      </c>
      <c r="Z56" s="16" t="n">
        <v>359.28516</v>
      </c>
      <c r="AA56" s="16" t="n">
        <v>359.84676</v>
      </c>
      <c r="AB56" s="16" t="n">
        <v>366.3173</v>
      </c>
      <c r="AC56" s="16" t="n">
        <v>359.52257</v>
      </c>
      <c r="AD56" s="16" t="n">
        <v>351.2111</v>
      </c>
      <c r="AE56" s="16" t="n">
        <v>346.6775</v>
      </c>
      <c r="AF56" s="16" t="n">
        <v>375.00805</v>
      </c>
      <c r="AG56" s="16" t="n">
        <v>388.55921</v>
      </c>
      <c r="AH56" s="16" t="n">
        <v>375.64489</v>
      </c>
      <c r="AI56" s="16" t="n">
        <v>374.62837</v>
      </c>
      <c r="AJ56" s="16" t="n">
        <v>380.41608</v>
      </c>
      <c r="AK56" s="16" t="n">
        <v>374.37883</v>
      </c>
      <c r="AL56" s="16" t="n">
        <v>379.69726</v>
      </c>
      <c r="AM56" s="16" t="n">
        <v>382.44987</v>
      </c>
      <c r="AN56" s="16" t="n">
        <v>390.41112</v>
      </c>
      <c r="AO56" s="16" t="n">
        <v>400.23537</v>
      </c>
      <c r="AP56" s="16" t="n">
        <v>408.09073</v>
      </c>
      <c r="AQ56" s="16" t="n">
        <v>397.31197</v>
      </c>
      <c r="AR56" s="16" t="n">
        <v>397.08492</v>
      </c>
      <c r="AS56" s="16" t="n">
        <v>393.68676</v>
      </c>
      <c r="AT56" s="16" t="n">
        <v>393.99933</v>
      </c>
      <c r="AU56" s="16" t="n">
        <v>399.45207</v>
      </c>
      <c r="AV56" s="16" t="n">
        <v>398.15365</v>
      </c>
      <c r="AW56" s="16" t="n">
        <v>394.64157</v>
      </c>
      <c r="AX56" s="16" t="n">
        <v>403.40479</v>
      </c>
      <c r="AY56" s="16" t="n">
        <v>411.79162</v>
      </c>
      <c r="AZ56" s="16" t="n">
        <v>413.4922</v>
      </c>
      <c r="BA56" s="16" t="n">
        <v>419.42281</v>
      </c>
      <c r="BB56" s="16" t="n">
        <v>428.71127</v>
      </c>
      <c r="BC56" s="16" t="n">
        <v>428.93817</v>
      </c>
      <c r="BD56" s="16" t="n">
        <v>429.58918</v>
      </c>
      <c r="BE56" s="16" t="n">
        <v>432.7678</v>
      </c>
      <c r="BF56" s="16" t="n">
        <v>436.24541</v>
      </c>
      <c r="BG56" s="16" t="n">
        <v>438.67081</v>
      </c>
      <c r="BH56" s="16" t="n">
        <v>423.60479</v>
      </c>
      <c r="BI56" s="16" t="n">
        <v>441.55958</v>
      </c>
      <c r="BJ56" s="16" t="n">
        <v>438.56143</v>
      </c>
      <c r="BK56" s="16" t="n">
        <v>445.03097</v>
      </c>
      <c r="BL56" s="16" t="n">
        <v>436.8908</v>
      </c>
      <c r="BM56" s="16" t="n">
        <v>439.72597</v>
      </c>
      <c r="BN56" s="16" t="n">
        <v>440.358065</v>
      </c>
    </row>
    <row r="57">
      <c r="A57" s="10" t="inlineStr">
        <is>
          <t>Jordan</t>
        </is>
      </c>
      <c r="B57" s="16" t="n">
        <v>198.295042</v>
      </c>
      <c r="C57" s="31" t="n">
        <v>0.04386904691933147</v>
      </c>
      <c r="D57" s="31" t="n">
        <v>0.971222838418373</v>
      </c>
      <c r="E57" s="31" t="n">
        <v>2.874302046814003</v>
      </c>
      <c r="F57" s="31" t="n">
        <v>6.609395076286217</v>
      </c>
      <c r="G57" s="16" t="n">
        <v>153.22531</v>
      </c>
      <c r="H57" s="16" t="n">
        <v>147.9228</v>
      </c>
      <c r="I57" s="16" t="n">
        <v>152.29357</v>
      </c>
      <c r="J57" s="16" t="n">
        <v>150.31538</v>
      </c>
      <c r="K57" s="16" t="n">
        <v>144.54098</v>
      </c>
      <c r="L57" s="16" t="n">
        <v>144.0547</v>
      </c>
      <c r="M57" s="16" t="n">
        <v>138.17882</v>
      </c>
      <c r="N57" s="16" t="n">
        <v>139.25732</v>
      </c>
      <c r="O57" s="16" t="n">
        <v>127.65384</v>
      </c>
      <c r="P57" s="16" t="n">
        <v>135.12299</v>
      </c>
      <c r="Q57" s="16" t="n">
        <v>138.58047</v>
      </c>
      <c r="R57" s="16" t="n">
        <v>131.72899</v>
      </c>
      <c r="S57" s="16" t="n">
        <v>135.57752</v>
      </c>
      <c r="T57" s="16" t="n">
        <v>144.44292</v>
      </c>
      <c r="U57" s="16" t="n">
        <v>145.66131</v>
      </c>
      <c r="V57" s="16" t="n">
        <v>149.80119</v>
      </c>
      <c r="W57" s="16" t="n">
        <v>148.84463</v>
      </c>
      <c r="X57" s="16" t="n">
        <v>147.07434</v>
      </c>
      <c r="Y57" s="16" t="n">
        <v>148.30514</v>
      </c>
      <c r="Z57" s="16" t="n">
        <v>147.8158</v>
      </c>
      <c r="AA57" s="16" t="n">
        <v>151.20108</v>
      </c>
      <c r="AB57" s="16" t="n">
        <v>153.988</v>
      </c>
      <c r="AC57" s="16" t="n">
        <v>154.50271</v>
      </c>
      <c r="AD57" s="16" t="n">
        <v>150.661</v>
      </c>
      <c r="AE57" s="16" t="n">
        <v>143.6532</v>
      </c>
      <c r="AF57" s="16" t="n">
        <v>155.15609</v>
      </c>
      <c r="AG57" s="16" t="n">
        <v>159.05084</v>
      </c>
      <c r="AH57" s="16" t="n">
        <v>155.20391</v>
      </c>
      <c r="AI57" s="16" t="n">
        <v>157.75528</v>
      </c>
      <c r="AJ57" s="16" t="n">
        <v>160.12949</v>
      </c>
      <c r="AK57" s="16" t="n">
        <v>158.06731</v>
      </c>
      <c r="AL57" s="16" t="n">
        <v>161.71966</v>
      </c>
      <c r="AM57" s="16" t="n">
        <v>159.42044</v>
      </c>
      <c r="AN57" s="16" t="n">
        <v>162.79734</v>
      </c>
      <c r="AO57" s="16" t="n">
        <v>167.20213</v>
      </c>
      <c r="AP57" s="16" t="n">
        <v>168.29124</v>
      </c>
      <c r="AQ57" s="16" t="n">
        <v>169.5065</v>
      </c>
      <c r="AR57" s="16" t="n">
        <v>171.78191</v>
      </c>
      <c r="AS57" s="16" t="n">
        <v>167.89408</v>
      </c>
      <c r="AT57" s="16" t="n">
        <v>170.567</v>
      </c>
      <c r="AU57" s="16" t="n">
        <v>172.47094</v>
      </c>
      <c r="AV57" s="16" t="n">
        <v>171.90084</v>
      </c>
      <c r="AW57" s="16" t="n">
        <v>172.11911</v>
      </c>
      <c r="AX57" s="16" t="n">
        <v>175.33996</v>
      </c>
      <c r="AY57" s="16" t="n">
        <v>178.09828</v>
      </c>
      <c r="AZ57" s="16" t="n">
        <v>181.28083</v>
      </c>
      <c r="BA57" s="16" t="n">
        <v>184.22817</v>
      </c>
      <c r="BB57" s="16" t="n">
        <v>186.91582</v>
      </c>
      <c r="BC57" s="16" t="n">
        <v>191.27288</v>
      </c>
      <c r="BD57" s="16" t="n">
        <v>191.20166</v>
      </c>
      <c r="BE57" s="16" t="n">
        <v>192.75469</v>
      </c>
      <c r="BF57" s="16" t="n">
        <v>192.99496</v>
      </c>
      <c r="BG57" s="16" t="n">
        <v>194.30517</v>
      </c>
      <c r="BH57" s="16" t="n">
        <v>190.69607</v>
      </c>
      <c r="BI57" s="16" t="n">
        <v>194.14662</v>
      </c>
      <c r="BJ57" s="16" t="n">
        <v>196.69898</v>
      </c>
      <c r="BK57" s="16" t="n">
        <v>198.66456</v>
      </c>
      <c r="BL57" s="16" t="n">
        <v>196.75031</v>
      </c>
      <c r="BM57" s="16" t="n">
        <v>198.77664</v>
      </c>
      <c r="BN57" s="16" t="n">
        <v>198.295042</v>
      </c>
    </row>
    <row r="58">
      <c r="A58" s="10" t="inlineStr">
        <is>
          <t>Kazakhstan</t>
        </is>
      </c>
      <c r="B58" s="16" t="n">
        <v>296.090276</v>
      </c>
      <c r="C58" s="31" t="n">
        <v>0.1372259866698533</v>
      </c>
      <c r="D58" s="32" t="n">
        <v>-0.5350269293210363</v>
      </c>
      <c r="E58" s="31" t="n">
        <v>0.8661749077594427</v>
      </c>
      <c r="F58" s="31" t="n">
        <v>2.584243277254639</v>
      </c>
      <c r="G58" s="16" t="n">
        <v>285.95094</v>
      </c>
      <c r="H58" s="16" t="n">
        <v>283.96625</v>
      </c>
      <c r="I58" s="16" t="n">
        <v>287.69753</v>
      </c>
      <c r="J58" s="16" t="n">
        <v>274.24656</v>
      </c>
      <c r="K58" s="16" t="n">
        <v>259.43216</v>
      </c>
      <c r="L58" s="16" t="n">
        <v>243.97463</v>
      </c>
      <c r="M58" s="16" t="n">
        <v>245.15752</v>
      </c>
      <c r="N58" s="16" t="n">
        <v>238.67573</v>
      </c>
      <c r="O58" s="16" t="n">
        <v>229.18936</v>
      </c>
      <c r="P58" s="16" t="n">
        <v>232.45522</v>
      </c>
      <c r="Q58" s="16" t="n">
        <v>238.00554</v>
      </c>
      <c r="R58" s="16" t="n">
        <v>221.33565</v>
      </c>
      <c r="S58" s="16" t="n">
        <v>223.13541</v>
      </c>
      <c r="T58" s="16" t="n">
        <v>240.35982</v>
      </c>
      <c r="U58" s="16" t="n">
        <v>242.73824</v>
      </c>
      <c r="V58" s="16" t="n">
        <v>247.89325</v>
      </c>
      <c r="W58" s="16" t="n">
        <v>247.84499</v>
      </c>
      <c r="X58" s="16" t="n">
        <v>246.96893</v>
      </c>
      <c r="Y58" s="16" t="n">
        <v>251.1859</v>
      </c>
      <c r="Z58" s="16" t="n">
        <v>250.22374</v>
      </c>
      <c r="AA58" s="16" t="n">
        <v>251.69867</v>
      </c>
      <c r="AB58" s="16" t="n">
        <v>253.87809</v>
      </c>
      <c r="AC58" s="16" t="n">
        <v>252.14075</v>
      </c>
      <c r="AD58" s="16" t="n">
        <v>249.99293</v>
      </c>
      <c r="AE58" s="16" t="n">
        <v>246.97791</v>
      </c>
      <c r="AF58" s="16" t="n">
        <v>254.26194</v>
      </c>
      <c r="AG58" s="16" t="n">
        <v>263.63108</v>
      </c>
      <c r="AH58" s="16" t="n">
        <v>262.0472</v>
      </c>
      <c r="AI58" s="16" t="n">
        <v>262.88581</v>
      </c>
      <c r="AJ58" s="16" t="n">
        <v>265.40751</v>
      </c>
      <c r="AK58" s="16" t="n">
        <v>262.86151</v>
      </c>
      <c r="AL58" s="16" t="n">
        <v>266.82436</v>
      </c>
      <c r="AM58" s="16" t="n">
        <v>270.42043</v>
      </c>
      <c r="AN58" s="16" t="n">
        <v>271.17708</v>
      </c>
      <c r="AO58" s="16" t="n">
        <v>275.89728</v>
      </c>
      <c r="AP58" s="16" t="n">
        <v>278.56324</v>
      </c>
      <c r="AQ58" s="16" t="n">
        <v>272.59481</v>
      </c>
      <c r="AR58" s="16" t="n">
        <v>273.37131</v>
      </c>
      <c r="AS58" s="16" t="n">
        <v>271.34443</v>
      </c>
      <c r="AT58" s="16" t="n">
        <v>272.38818</v>
      </c>
      <c r="AU58" s="16" t="n">
        <v>277.54204</v>
      </c>
      <c r="AV58" s="16" t="n">
        <v>278.07645</v>
      </c>
      <c r="AW58" s="16" t="n">
        <v>273.31823</v>
      </c>
      <c r="AX58" s="16" t="n">
        <v>274.81015</v>
      </c>
      <c r="AY58" s="16" t="n">
        <v>279.03002</v>
      </c>
      <c r="AZ58" s="16" t="n">
        <v>281.91868</v>
      </c>
      <c r="BA58" s="16" t="n">
        <v>286.25675</v>
      </c>
      <c r="BB58" s="16" t="n">
        <v>290.70836</v>
      </c>
      <c r="BC58" s="16" t="n">
        <v>291.40422</v>
      </c>
      <c r="BD58" s="16" t="n">
        <v>292.47392</v>
      </c>
      <c r="BE58" s="16" t="n">
        <v>293.54764</v>
      </c>
      <c r="BF58" s="16" t="n">
        <v>292.57273</v>
      </c>
      <c r="BG58" s="16" t="n">
        <v>296.78423</v>
      </c>
      <c r="BH58" s="16" t="n">
        <v>291.40065</v>
      </c>
      <c r="BI58" s="16" t="n">
        <v>296.56462</v>
      </c>
      <c r="BJ58" s="16" t="n">
        <v>297.99304</v>
      </c>
      <c r="BK58" s="16" t="n">
        <v>298.19403</v>
      </c>
      <c r="BL58" s="16" t="n">
        <v>293.68627</v>
      </c>
      <c r="BM58" s="16" t="n">
        <v>297.3665</v>
      </c>
      <c r="BN58" s="16" t="n">
        <v>296.090276</v>
      </c>
    </row>
    <row r="59">
      <c r="A59" s="10" t="inlineStr">
        <is>
          <t>Kenya</t>
        </is>
      </c>
      <c r="B59" s="16" t="n">
        <v>245.70587</v>
      </c>
      <c r="C59" s="32" t="n">
        <v>-0.002380838813875741</v>
      </c>
      <c r="D59" s="31" t="n">
        <v>3.430023010420347</v>
      </c>
      <c r="E59" s="31" t="n">
        <v>4.757742529271569</v>
      </c>
      <c r="F59" s="31" t="n">
        <v>12.52315210440287</v>
      </c>
      <c r="G59" s="16" t="n">
        <v>164.4378</v>
      </c>
      <c r="H59" s="16" t="n">
        <v>161.211</v>
      </c>
      <c r="I59" s="16" t="n">
        <v>165.4512</v>
      </c>
      <c r="J59" s="16" t="n">
        <v>161.6025</v>
      </c>
      <c r="K59" s="16" t="n">
        <v>151.05053</v>
      </c>
      <c r="L59" s="16" t="n">
        <v>152.79745</v>
      </c>
      <c r="M59" s="16" t="n">
        <v>140.40405</v>
      </c>
      <c r="N59" s="16" t="n">
        <v>141.34857</v>
      </c>
      <c r="O59" s="16" t="n">
        <v>119.76932</v>
      </c>
      <c r="P59" s="16" t="n">
        <v>122.47456</v>
      </c>
      <c r="Q59" s="16" t="n">
        <v>129.88487</v>
      </c>
      <c r="R59" s="16" t="n">
        <v>122.54971</v>
      </c>
      <c r="S59" s="16" t="n">
        <v>127.71427</v>
      </c>
      <c r="T59" s="16" t="n">
        <v>148.25405</v>
      </c>
      <c r="U59" s="16" t="n">
        <v>148.63883</v>
      </c>
      <c r="V59" s="16" t="n">
        <v>150.35005</v>
      </c>
      <c r="W59" s="16" t="n">
        <v>149.39889</v>
      </c>
      <c r="X59" s="16" t="n">
        <v>145.39738</v>
      </c>
      <c r="Y59" s="16" t="n">
        <v>136.1648</v>
      </c>
      <c r="Z59" s="16" t="n">
        <v>147.34593</v>
      </c>
      <c r="AA59" s="16" t="n">
        <v>154.52804</v>
      </c>
      <c r="AB59" s="16" t="n">
        <v>157.23262</v>
      </c>
      <c r="AC59" s="16" t="n">
        <v>154.08134</v>
      </c>
      <c r="AD59" s="16" t="n">
        <v>147.32005</v>
      </c>
      <c r="AE59" s="16" t="n">
        <v>152.32319</v>
      </c>
      <c r="AF59" s="16" t="n">
        <v>160.48421</v>
      </c>
      <c r="AG59" s="16" t="n">
        <v>172.54235</v>
      </c>
      <c r="AH59" s="16" t="n">
        <v>168.71995</v>
      </c>
      <c r="AI59" s="16" t="n">
        <v>174.95302</v>
      </c>
      <c r="AJ59" s="16" t="n">
        <v>181.7627</v>
      </c>
      <c r="AK59" s="16" t="n">
        <v>179.51738</v>
      </c>
      <c r="AL59" s="16" t="n">
        <v>180.17466</v>
      </c>
      <c r="AM59" s="16" t="n">
        <v>173.36159</v>
      </c>
      <c r="AN59" s="16" t="n">
        <v>174.23638</v>
      </c>
      <c r="AO59" s="16" t="n">
        <v>179.23309</v>
      </c>
      <c r="AP59" s="16" t="n">
        <v>188.58128</v>
      </c>
      <c r="AQ59" s="16" t="n">
        <v>189.08063</v>
      </c>
      <c r="AR59" s="16" t="n">
        <v>190.32207</v>
      </c>
      <c r="AS59" s="16" t="n">
        <v>189.08051</v>
      </c>
      <c r="AT59" s="16" t="n">
        <v>191.5458</v>
      </c>
      <c r="AU59" s="16" t="n">
        <v>196.38355</v>
      </c>
      <c r="AV59" s="16" t="n">
        <v>191.30644</v>
      </c>
      <c r="AW59" s="16" t="n">
        <v>186.43766</v>
      </c>
      <c r="AX59" s="16" t="n">
        <v>196.95912</v>
      </c>
      <c r="AY59" s="16" t="n">
        <v>202.07035</v>
      </c>
      <c r="AZ59" s="16" t="n">
        <v>207.81265</v>
      </c>
      <c r="BA59" s="16" t="n">
        <v>214.1288</v>
      </c>
      <c r="BB59" s="16" t="n">
        <v>221.87613</v>
      </c>
      <c r="BC59" s="16" t="n">
        <v>224.53305</v>
      </c>
      <c r="BD59" s="16" t="n">
        <v>224.08994</v>
      </c>
      <c r="BE59" s="16" t="n">
        <v>234.54674</v>
      </c>
      <c r="BF59" s="16" t="n">
        <v>237.97344</v>
      </c>
      <c r="BG59" s="16" t="n">
        <v>236.14384</v>
      </c>
      <c r="BH59" s="16" t="n">
        <v>220.82747</v>
      </c>
      <c r="BI59" s="16" t="n">
        <v>229.60834</v>
      </c>
      <c r="BJ59" s="16" t="n">
        <v>239.91642</v>
      </c>
      <c r="BK59" s="16" t="n">
        <v>245.07767</v>
      </c>
      <c r="BL59" s="16" t="n">
        <v>239.79645</v>
      </c>
      <c r="BM59" s="16" t="n">
        <v>246.30417</v>
      </c>
      <c r="BN59" s="16" t="n">
        <v>245.70587</v>
      </c>
    </row>
    <row r="60">
      <c r="A60" s="10" t="inlineStr">
        <is>
          <t>Kyrgyzstan</t>
        </is>
      </c>
      <c r="B60" s="16" t="n">
        <v>113.284044</v>
      </c>
      <c r="C60" s="33" t="inlineStr"/>
      <c r="D60" s="33" t="inlineStr"/>
      <c r="E60" s="33" t="inlineStr"/>
      <c r="F60" s="33" t="inlineStr"/>
      <c r="G60" s="16" t="inlineStr"/>
      <c r="H60" s="16" t="inlineStr"/>
      <c r="I60" s="16" t="inlineStr"/>
      <c r="J60" s="16" t="inlineStr"/>
      <c r="K60" s="16" t="inlineStr"/>
      <c r="L60" s="16" t="inlineStr"/>
      <c r="M60" s="16" t="inlineStr"/>
      <c r="N60" s="16" t="inlineStr"/>
      <c r="O60" s="16" t="inlineStr"/>
      <c r="P60" s="16" t="inlineStr"/>
      <c r="Q60" s="16" t="inlineStr"/>
      <c r="R60" s="16" t="inlineStr"/>
      <c r="S60" s="16" t="inlineStr"/>
      <c r="T60" s="16" t="inlineStr"/>
      <c r="U60" s="16" t="inlineStr"/>
      <c r="V60" s="16" t="inlineStr"/>
      <c r="W60" s="16" t="inlineStr"/>
      <c r="X60" s="16" t="inlineStr"/>
      <c r="Y60" s="16" t="inlineStr"/>
      <c r="Z60" s="16" t="inlineStr"/>
      <c r="AA60" s="16" t="inlineStr"/>
      <c r="AB60" s="16" t="inlineStr"/>
      <c r="AC60" s="16" t="inlineStr"/>
      <c r="AD60" s="16" t="inlineStr"/>
      <c r="AE60" s="16" t="inlineStr"/>
      <c r="AF60" s="16" t="inlineStr"/>
      <c r="AG60" s="16" t="inlineStr"/>
      <c r="AH60" s="16" t="inlineStr"/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  <c r="AT60" s="16" t="inlineStr"/>
      <c r="AU60" s="16" t="inlineStr"/>
      <c r="AV60" s="16" t="inlineStr"/>
      <c r="AW60" s="16" t="inlineStr"/>
      <c r="AX60" s="16" t="inlineStr"/>
      <c r="AY60" s="16" t="inlineStr"/>
      <c r="AZ60" s="16" t="inlineStr"/>
      <c r="BA60" s="16" t="inlineStr"/>
      <c r="BB60" s="16" t="inlineStr"/>
      <c r="BC60" s="16" t="inlineStr"/>
      <c r="BD60" s="16" t="inlineStr"/>
      <c r="BE60" s="16" t="inlineStr"/>
      <c r="BF60" s="16" t="inlineStr"/>
      <c r="BG60" s="16" t="inlineStr"/>
      <c r="BH60" s="16" t="inlineStr"/>
      <c r="BI60" s="16" t="inlineStr"/>
      <c r="BJ60" s="16" t="inlineStr"/>
      <c r="BK60" s="16" t="inlineStr"/>
      <c r="BL60" s="16" t="inlineStr"/>
      <c r="BM60" s="16" t="inlineStr"/>
      <c r="BN60" s="16" t="n">
        <v>113.284044</v>
      </c>
    </row>
    <row r="61">
      <c r="A61" s="10" t="inlineStr">
        <is>
          <t>Latvia</t>
        </is>
      </c>
      <c r="B61" s="16" t="n">
        <v>111.770983</v>
      </c>
      <c r="C61" s="33" t="inlineStr"/>
      <c r="D61" s="33" t="inlineStr"/>
      <c r="E61" s="33" t="inlineStr"/>
      <c r="F61" s="33" t="inlineStr"/>
      <c r="G61" s="16" t="inlineStr"/>
      <c r="H61" s="16" t="inlineStr"/>
      <c r="I61" s="16" t="inlineStr"/>
      <c r="J61" s="16" t="inlineStr"/>
      <c r="K61" s="16" t="inlineStr"/>
      <c r="L61" s="16" t="inlineStr"/>
      <c r="M61" s="16" t="inlineStr"/>
      <c r="N61" s="16" t="inlineStr"/>
      <c r="O61" s="16" t="inlineStr"/>
      <c r="P61" s="16" t="inlineStr"/>
      <c r="Q61" s="16" t="inlineStr"/>
      <c r="R61" s="16" t="inlineStr"/>
      <c r="S61" s="16" t="inlineStr"/>
      <c r="T61" s="16" t="inlineStr"/>
      <c r="U61" s="16" t="inlineStr"/>
      <c r="V61" s="16" t="inlineStr"/>
      <c r="W61" s="16" t="inlineStr"/>
      <c r="X61" s="16" t="inlineStr"/>
      <c r="Y61" s="16" t="inlineStr"/>
      <c r="Z61" s="16" t="inlineStr"/>
      <c r="AA61" s="16" t="inlineStr"/>
      <c r="AB61" s="16" t="inlineStr"/>
      <c r="AC61" s="16" t="inlineStr"/>
      <c r="AD61" s="16" t="inlineStr"/>
      <c r="AE61" s="16" t="inlineStr"/>
      <c r="AF61" s="16" t="inlineStr"/>
      <c r="AG61" s="16" t="inlineStr"/>
      <c r="AH61" s="16" t="inlineStr"/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  <c r="AT61" s="16" t="inlineStr"/>
      <c r="AU61" s="16" t="inlineStr"/>
      <c r="AV61" s="16" t="inlineStr"/>
      <c r="AW61" s="16" t="inlineStr"/>
      <c r="AX61" s="16" t="inlineStr"/>
      <c r="AY61" s="16" t="inlineStr"/>
      <c r="AZ61" s="16" t="inlineStr"/>
      <c r="BA61" s="16" t="inlineStr"/>
      <c r="BB61" s="16" t="inlineStr"/>
      <c r="BC61" s="16" t="inlineStr"/>
      <c r="BD61" s="16" t="inlineStr"/>
      <c r="BE61" s="16" t="inlineStr"/>
      <c r="BF61" s="16" t="inlineStr"/>
      <c r="BG61" s="16" t="inlineStr"/>
      <c r="BH61" s="16" t="inlineStr"/>
      <c r="BI61" s="16" t="inlineStr"/>
      <c r="BJ61" s="16" t="inlineStr"/>
      <c r="BK61" s="16" t="inlineStr"/>
      <c r="BL61" s="16" t="inlineStr"/>
      <c r="BM61" s="16" t="inlineStr"/>
      <c r="BN61" s="16" t="n">
        <v>111.770983</v>
      </c>
    </row>
    <row r="62">
      <c r="A62" s="10" t="inlineStr">
        <is>
          <t>Lebanon</t>
        </is>
      </c>
      <c r="B62" s="16" t="n">
        <v>178.417463</v>
      </c>
      <c r="C62" s="31" t="n">
        <v>1.679509856989014</v>
      </c>
      <c r="D62" s="31" t="n">
        <v>8.286501072107445</v>
      </c>
      <c r="E62" s="31" t="n">
        <v>21.67861521465342</v>
      </c>
      <c r="F62" s="31" t="n">
        <v>25.12260359141061</v>
      </c>
      <c r="G62" s="16" t="n">
        <v>94.38715000000001</v>
      </c>
      <c r="H62" s="16" t="n">
        <v>70.38003999999999</v>
      </c>
      <c r="I62" s="16" t="n">
        <v>64.50185</v>
      </c>
      <c r="J62" s="16" t="n">
        <v>66.68556</v>
      </c>
      <c r="K62" s="16" t="n">
        <v>75.23672000000001</v>
      </c>
      <c r="L62" s="16" t="n">
        <v>74.96511</v>
      </c>
      <c r="M62" s="16" t="n">
        <v>74.66007</v>
      </c>
      <c r="N62" s="16" t="n">
        <v>57.96241</v>
      </c>
      <c r="O62" s="16" t="n">
        <v>39.65421</v>
      </c>
      <c r="P62" s="16" t="n">
        <v>40.28506</v>
      </c>
      <c r="Q62" s="16" t="n">
        <v>44.31196</v>
      </c>
      <c r="R62" s="16" t="n">
        <v>37.287</v>
      </c>
      <c r="S62" s="16" t="n">
        <v>37.79327</v>
      </c>
      <c r="T62" s="16" t="n">
        <v>37.15372</v>
      </c>
      <c r="U62" s="16" t="n">
        <v>36.32893</v>
      </c>
      <c r="V62" s="16" t="n">
        <v>40.07642</v>
      </c>
      <c r="W62" s="16" t="n">
        <v>43.16716</v>
      </c>
      <c r="X62" s="16" t="n">
        <v>40.47032</v>
      </c>
      <c r="Y62" s="16" t="n">
        <v>37.41703</v>
      </c>
      <c r="Z62" s="16" t="n">
        <v>36.55453</v>
      </c>
      <c r="AA62" s="16" t="n">
        <v>40.70975</v>
      </c>
      <c r="AB62" s="16" t="n">
        <v>45.83117</v>
      </c>
      <c r="AC62" s="16" t="n">
        <v>49.28636</v>
      </c>
      <c r="AD62" s="16" t="n">
        <v>50.85532</v>
      </c>
      <c r="AE62" s="16" t="n">
        <v>38.45084</v>
      </c>
      <c r="AF62" s="16" t="n">
        <v>35.65598</v>
      </c>
      <c r="AG62" s="16" t="n">
        <v>37.61978</v>
      </c>
      <c r="AH62" s="16" t="n">
        <v>36.30004</v>
      </c>
      <c r="AI62" s="16" t="n">
        <v>36.61843</v>
      </c>
      <c r="AJ62" s="16" t="n">
        <v>41.71316</v>
      </c>
      <c r="AK62" s="16" t="n">
        <v>40.45082</v>
      </c>
      <c r="AL62" s="16" t="n">
        <v>43.62369</v>
      </c>
      <c r="AM62" s="16" t="n">
        <v>42.98688</v>
      </c>
      <c r="AN62" s="16" t="n">
        <v>41.39477</v>
      </c>
      <c r="AO62" s="16" t="n">
        <v>39.80263</v>
      </c>
      <c r="AP62" s="16" t="n">
        <v>49.35526</v>
      </c>
      <c r="AQ62" s="16" t="n">
        <v>52.53952</v>
      </c>
      <c r="AR62" s="16" t="n">
        <v>58.90802</v>
      </c>
      <c r="AS62" s="16" t="n">
        <v>82.15294</v>
      </c>
      <c r="AT62" s="16" t="n">
        <v>101.2582</v>
      </c>
      <c r="AU62" s="16" t="n">
        <v>120.52902</v>
      </c>
      <c r="AV62" s="16" t="n">
        <v>98.71068</v>
      </c>
      <c r="AW62" s="16" t="n">
        <v>107.30811</v>
      </c>
      <c r="AX62" s="16" t="n">
        <v>110.174</v>
      </c>
      <c r="AY62" s="16" t="n">
        <v>120.36355</v>
      </c>
      <c r="AZ62" s="16" t="n">
        <v>117.81607</v>
      </c>
      <c r="BA62" s="16" t="n">
        <v>124.6968</v>
      </c>
      <c r="BB62" s="16" t="n">
        <v>141.04557</v>
      </c>
      <c r="BC62" s="16" t="n">
        <v>144.87399</v>
      </c>
      <c r="BD62" s="16" t="n">
        <v>139.78699</v>
      </c>
      <c r="BE62" s="16" t="n">
        <v>146.63009</v>
      </c>
      <c r="BF62" s="16" t="n">
        <v>184.36402</v>
      </c>
      <c r="BG62" s="16" t="n">
        <v>186.0687</v>
      </c>
      <c r="BH62" s="16" t="n">
        <v>150.67945</v>
      </c>
      <c r="BI62" s="16" t="n">
        <v>163.13821</v>
      </c>
      <c r="BJ62" s="16" t="n">
        <v>165.52635</v>
      </c>
      <c r="BK62" s="16" t="n">
        <v>160.46065</v>
      </c>
      <c r="BL62" s="16" t="n">
        <v>173.21423</v>
      </c>
      <c r="BM62" s="16" t="n">
        <v>180.2164</v>
      </c>
      <c r="BN62" s="16" t="n">
        <v>178.417463</v>
      </c>
    </row>
    <row r="63">
      <c r="A63" s="10" t="inlineStr">
        <is>
          <t>Malaysia</t>
        </is>
      </c>
      <c r="B63" s="16" t="n">
        <v>473.689406</v>
      </c>
      <c r="C63" s="32" t="n">
        <v>-0.3682804716032106</v>
      </c>
      <c r="D63" s="32" t="n">
        <v>-1.826512064593577</v>
      </c>
      <c r="E63" s="32" t="n">
        <v>-1.31911894105734</v>
      </c>
      <c r="F63" s="32" t="n">
        <v>-0.3965835411272045</v>
      </c>
      <c r="G63" s="16" t="n">
        <v>492.03295</v>
      </c>
      <c r="H63" s="16" t="n">
        <v>495.87543</v>
      </c>
      <c r="I63" s="16" t="n">
        <v>492.95654</v>
      </c>
      <c r="J63" s="16" t="n">
        <v>479.30923</v>
      </c>
      <c r="K63" s="16" t="n">
        <v>465.1975</v>
      </c>
      <c r="L63" s="16" t="n">
        <v>461.40397</v>
      </c>
      <c r="M63" s="16" t="n">
        <v>435.59254</v>
      </c>
      <c r="N63" s="16" t="n">
        <v>434.56373</v>
      </c>
      <c r="O63" s="16" t="n">
        <v>428.75354</v>
      </c>
      <c r="P63" s="16" t="n">
        <v>438.31892</v>
      </c>
      <c r="Q63" s="16" t="n">
        <v>434.44981</v>
      </c>
      <c r="R63" s="16" t="n">
        <v>406.13302</v>
      </c>
      <c r="S63" s="16" t="n">
        <v>390.9042</v>
      </c>
      <c r="T63" s="16" t="n">
        <v>416.31684</v>
      </c>
      <c r="U63" s="16" t="n">
        <v>411.69573</v>
      </c>
      <c r="V63" s="16" t="n">
        <v>427.33002</v>
      </c>
      <c r="W63" s="16" t="n">
        <v>417.58026</v>
      </c>
      <c r="X63" s="16" t="n">
        <v>432.3646</v>
      </c>
      <c r="Y63" s="16" t="n">
        <v>434.7323</v>
      </c>
      <c r="Z63" s="16" t="n">
        <v>429.91907</v>
      </c>
      <c r="AA63" s="16" t="n">
        <v>431.20195</v>
      </c>
      <c r="AB63" s="16" t="n">
        <v>427.99157</v>
      </c>
      <c r="AC63" s="16" t="n">
        <v>420.45092</v>
      </c>
      <c r="AD63" s="16" t="n">
        <v>405.26781</v>
      </c>
      <c r="AE63" s="16" t="n">
        <v>395.73441</v>
      </c>
      <c r="AF63" s="16" t="n">
        <v>419.87837</v>
      </c>
      <c r="AG63" s="16" t="n">
        <v>441.50579</v>
      </c>
      <c r="AH63" s="16" t="n">
        <v>436.65829</v>
      </c>
      <c r="AI63" s="16" t="n">
        <v>433.99267</v>
      </c>
      <c r="AJ63" s="16" t="n">
        <v>437.1734</v>
      </c>
      <c r="AK63" s="16" t="n">
        <v>423.24264</v>
      </c>
      <c r="AL63" s="16" t="n">
        <v>433.1006</v>
      </c>
      <c r="AM63" s="16" t="n">
        <v>434.95252</v>
      </c>
      <c r="AN63" s="16" t="n">
        <v>446.05542</v>
      </c>
      <c r="AO63" s="16" t="n">
        <v>454.28852</v>
      </c>
      <c r="AP63" s="16" t="n">
        <v>462.47292</v>
      </c>
      <c r="AQ63" s="16" t="n">
        <v>449.74365</v>
      </c>
      <c r="AR63" s="16" t="n">
        <v>456.45314</v>
      </c>
      <c r="AS63" s="16" t="n">
        <v>440.7427</v>
      </c>
      <c r="AT63" s="16" t="n">
        <v>443.224</v>
      </c>
      <c r="AU63" s="16" t="n">
        <v>455.14066</v>
      </c>
      <c r="AV63" s="16" t="n">
        <v>451.31047</v>
      </c>
      <c r="AW63" s="16" t="n">
        <v>451.1132</v>
      </c>
      <c r="AX63" s="16" t="n">
        <v>449.306</v>
      </c>
      <c r="AY63" s="16" t="n">
        <v>459.30108</v>
      </c>
      <c r="AZ63" s="16" t="n">
        <v>461.36068</v>
      </c>
      <c r="BA63" s="16" t="n">
        <v>467.23414</v>
      </c>
      <c r="BB63" s="16" t="n">
        <v>476.68688</v>
      </c>
      <c r="BC63" s="16" t="n">
        <v>480.54063</v>
      </c>
      <c r="BD63" s="16" t="n">
        <v>482.79066</v>
      </c>
      <c r="BE63" s="16" t="n">
        <v>480.02146</v>
      </c>
      <c r="BF63" s="16" t="n">
        <v>480.539</v>
      </c>
      <c r="BG63" s="16" t="n">
        <v>490.26865</v>
      </c>
      <c r="BH63" s="16" t="n">
        <v>478.90508</v>
      </c>
      <c r="BI63" s="16" t="n">
        <v>482.66134</v>
      </c>
      <c r="BJ63" s="16" t="n">
        <v>486.55849</v>
      </c>
      <c r="BK63" s="16" t="n">
        <v>486.6861</v>
      </c>
      <c r="BL63" s="16" t="n">
        <v>471.67412</v>
      </c>
      <c r="BM63" s="16" t="n">
        <v>474.17064</v>
      </c>
      <c r="BN63" s="16" t="n">
        <v>473.689406</v>
      </c>
    </row>
    <row r="64">
      <c r="A64" s="10" t="inlineStr">
        <is>
          <t>Mexico</t>
        </is>
      </c>
      <c r="B64" s="16" t="n">
        <v>978.655301</v>
      </c>
      <c r="C64" s="32" t="n">
        <v>-0.3669567979965205</v>
      </c>
      <c r="D64" s="32" t="n">
        <v>-0.198228709421755</v>
      </c>
      <c r="E64" s="31" t="n">
        <v>1.639985860522875</v>
      </c>
      <c r="F64" s="31" t="n">
        <v>3.758501453125351</v>
      </c>
      <c r="G64" s="16" t="n">
        <v>845.89833</v>
      </c>
      <c r="H64" s="16" t="n">
        <v>824.91276</v>
      </c>
      <c r="I64" s="16" t="n">
        <v>853.0912</v>
      </c>
      <c r="J64" s="16" t="n">
        <v>825.91357</v>
      </c>
      <c r="K64" s="16" t="n">
        <v>804.15672</v>
      </c>
      <c r="L64" s="16" t="n">
        <v>800.5494</v>
      </c>
      <c r="M64" s="16" t="n">
        <v>736.77982</v>
      </c>
      <c r="N64" s="16" t="n">
        <v>745.73978</v>
      </c>
      <c r="O64" s="16" t="n">
        <v>689.57175</v>
      </c>
      <c r="P64" s="16" t="n">
        <v>728.97127</v>
      </c>
      <c r="Q64" s="16" t="n">
        <v>710.00481</v>
      </c>
      <c r="R64" s="16" t="n">
        <v>655.33294</v>
      </c>
      <c r="S64" s="16" t="n">
        <v>673.60187</v>
      </c>
      <c r="T64" s="16" t="n">
        <v>720.21198</v>
      </c>
      <c r="U64" s="16" t="n">
        <v>716.47315</v>
      </c>
      <c r="V64" s="16" t="n">
        <v>755.71246</v>
      </c>
      <c r="W64" s="16" t="n">
        <v>733.02376</v>
      </c>
      <c r="X64" s="16" t="n">
        <v>746.90214</v>
      </c>
      <c r="Y64" s="16" t="n">
        <v>747.67564</v>
      </c>
      <c r="Z64" s="16" t="n">
        <v>734.75063</v>
      </c>
      <c r="AA64" s="16" t="n">
        <v>751.65318</v>
      </c>
      <c r="AB64" s="16" t="n">
        <v>759.53862</v>
      </c>
      <c r="AC64" s="16" t="n">
        <v>749.89068</v>
      </c>
      <c r="AD64" s="16" t="n">
        <v>720.96623</v>
      </c>
      <c r="AE64" s="16" t="n">
        <v>709.17359</v>
      </c>
      <c r="AF64" s="16" t="n">
        <v>756.21023</v>
      </c>
      <c r="AG64" s="16" t="n">
        <v>799.42992</v>
      </c>
      <c r="AH64" s="16" t="n">
        <v>793.77986</v>
      </c>
      <c r="AI64" s="16" t="n">
        <v>790.07669</v>
      </c>
      <c r="AJ64" s="16" t="n">
        <v>806.56602</v>
      </c>
      <c r="AK64" s="16" t="n">
        <v>786.627</v>
      </c>
      <c r="AL64" s="16" t="n">
        <v>807.62641</v>
      </c>
      <c r="AM64" s="16" t="n">
        <v>807.50674</v>
      </c>
      <c r="AN64" s="16" t="n">
        <v>826.89814</v>
      </c>
      <c r="AO64" s="16" t="n">
        <v>840.37744</v>
      </c>
      <c r="AP64" s="16" t="n">
        <v>860.67268</v>
      </c>
      <c r="AQ64" s="16" t="n">
        <v>842.11211</v>
      </c>
      <c r="AR64" s="16" t="n">
        <v>849.62399</v>
      </c>
      <c r="AS64" s="16" t="n">
        <v>828.51562</v>
      </c>
      <c r="AT64" s="16" t="n">
        <v>832.49302</v>
      </c>
      <c r="AU64" s="16" t="n">
        <v>854.37673</v>
      </c>
      <c r="AV64" s="16" t="n">
        <v>854.8377</v>
      </c>
      <c r="AW64" s="16" t="n">
        <v>845.94877</v>
      </c>
      <c r="AX64" s="16" t="n">
        <v>858.27831</v>
      </c>
      <c r="AY64" s="16" t="n">
        <v>890.59492</v>
      </c>
      <c r="AZ64" s="16" t="n">
        <v>906.57007</v>
      </c>
      <c r="BA64" s="16" t="n">
        <v>922.95797</v>
      </c>
      <c r="BB64" s="16" t="n">
        <v>955.34919</v>
      </c>
      <c r="BC64" s="16" t="n">
        <v>965.64807</v>
      </c>
      <c r="BD64" s="16" t="n">
        <v>960.64302</v>
      </c>
      <c r="BE64" s="16" t="n">
        <v>962.86446</v>
      </c>
      <c r="BF64" s="16" t="n">
        <v>966.28644</v>
      </c>
      <c r="BG64" s="16" t="n">
        <v>983.24938</v>
      </c>
      <c r="BH64" s="16" t="n">
        <v>957.24583</v>
      </c>
      <c r="BI64" s="16" t="n">
        <v>978.83212</v>
      </c>
      <c r="BJ64" s="16" t="n">
        <v>980.29175</v>
      </c>
      <c r="BK64" s="16" t="n">
        <v>987.18934</v>
      </c>
      <c r="BL64" s="16" t="n">
        <v>968.62163</v>
      </c>
      <c r="BM64" s="16" t="n">
        <v>981.23186</v>
      </c>
      <c r="BN64" s="16" t="n">
        <v>978.655301</v>
      </c>
    </row>
    <row r="65">
      <c r="A65" s="10" t="inlineStr">
        <is>
          <t>Mongolia</t>
        </is>
      </c>
      <c r="B65" s="16" t="n">
        <v>289.307015</v>
      </c>
      <c r="C65" s="31" t="n">
        <v>0.4404570044549194</v>
      </c>
      <c r="D65" s="31" t="n">
        <v>1.302954458965688</v>
      </c>
      <c r="E65" s="31" t="n">
        <v>4.974527149843766</v>
      </c>
      <c r="F65" s="31" t="n">
        <v>8.862176639104579</v>
      </c>
      <c r="G65" s="16" t="n">
        <v>214.61424</v>
      </c>
      <c r="H65" s="16" t="n">
        <v>212.04503</v>
      </c>
      <c r="I65" s="16" t="n">
        <v>212.93006</v>
      </c>
      <c r="J65" s="16" t="n">
        <v>211.84498</v>
      </c>
      <c r="K65" s="16" t="n">
        <v>208.83716</v>
      </c>
      <c r="L65" s="16" t="n">
        <v>208.59538</v>
      </c>
      <c r="M65" s="16" t="n">
        <v>201.89133</v>
      </c>
      <c r="N65" s="16" t="n">
        <v>200.82099</v>
      </c>
      <c r="O65" s="16" t="n">
        <v>195.34249</v>
      </c>
      <c r="P65" s="16" t="n">
        <v>194.40705</v>
      </c>
      <c r="Q65" s="16" t="n">
        <v>200.18714</v>
      </c>
      <c r="R65" s="16" t="n">
        <v>178.30347</v>
      </c>
      <c r="S65" s="16" t="n">
        <v>178.67653</v>
      </c>
      <c r="T65" s="16" t="n">
        <v>188.45517</v>
      </c>
      <c r="U65" s="16" t="n">
        <v>198.1791</v>
      </c>
      <c r="V65" s="16" t="n">
        <v>213.59369</v>
      </c>
      <c r="W65" s="16" t="n">
        <v>208.02516</v>
      </c>
      <c r="X65" s="16" t="n">
        <v>200.53234</v>
      </c>
      <c r="Y65" s="16" t="n">
        <v>207.74385</v>
      </c>
      <c r="Z65" s="16" t="n">
        <v>204.29871</v>
      </c>
      <c r="AA65" s="16" t="n">
        <v>212.91782</v>
      </c>
      <c r="AB65" s="16" t="n">
        <v>217.58462</v>
      </c>
      <c r="AC65" s="16" t="n">
        <v>213.48996</v>
      </c>
      <c r="AD65" s="16" t="n">
        <v>214.56908</v>
      </c>
      <c r="AE65" s="16" t="n">
        <v>214.90873</v>
      </c>
      <c r="AF65" s="16" t="n">
        <v>224.7339</v>
      </c>
      <c r="AG65" s="16" t="n">
        <v>231.0512</v>
      </c>
      <c r="AH65" s="16" t="n">
        <v>230.85743</v>
      </c>
      <c r="AI65" s="16" t="n">
        <v>231.38781</v>
      </c>
      <c r="AJ65" s="16" t="n">
        <v>235.26242</v>
      </c>
      <c r="AK65" s="16" t="n">
        <v>233.02542</v>
      </c>
      <c r="AL65" s="16" t="n">
        <v>237.14827</v>
      </c>
      <c r="AM65" s="16" t="n">
        <v>238.01137</v>
      </c>
      <c r="AN65" s="16" t="n">
        <v>240.93274</v>
      </c>
      <c r="AO65" s="16" t="n">
        <v>243.64206</v>
      </c>
      <c r="AP65" s="16" t="n">
        <v>248.24716</v>
      </c>
      <c r="AQ65" s="16" t="n">
        <v>249.15379</v>
      </c>
      <c r="AR65" s="16" t="n">
        <v>248.50096</v>
      </c>
      <c r="AS65" s="16" t="n">
        <v>248.85817</v>
      </c>
      <c r="AT65" s="16" t="n">
        <v>251.26447</v>
      </c>
      <c r="AU65" s="16" t="n">
        <v>252.71267</v>
      </c>
      <c r="AV65" s="16" t="n">
        <v>250.44795</v>
      </c>
      <c r="AW65" s="16" t="n">
        <v>249.05461</v>
      </c>
      <c r="AX65" s="16" t="n">
        <v>253.79609</v>
      </c>
      <c r="AY65" s="16" t="n">
        <v>257.25364</v>
      </c>
      <c r="AZ65" s="16" t="n">
        <v>262.32939</v>
      </c>
      <c r="BA65" s="16" t="n">
        <v>264.25067</v>
      </c>
      <c r="BB65" s="16" t="n">
        <v>268.61179</v>
      </c>
      <c r="BC65" s="16" t="n">
        <v>271.56655</v>
      </c>
      <c r="BD65" s="16" t="n">
        <v>273.2237</v>
      </c>
      <c r="BE65" s="16" t="n">
        <v>275.59735</v>
      </c>
      <c r="BF65" s="16" t="n">
        <v>280.15734</v>
      </c>
      <c r="BG65" s="16" t="n">
        <v>282.82883</v>
      </c>
      <c r="BH65" s="16" t="n">
        <v>276.54057</v>
      </c>
      <c r="BI65" s="16" t="n">
        <v>283.83287</v>
      </c>
      <c r="BJ65" s="16" t="n">
        <v>286.08599</v>
      </c>
      <c r="BK65" s="16" t="n">
        <v>286.9145</v>
      </c>
      <c r="BL65" s="16" t="n">
        <v>286.65388</v>
      </c>
      <c r="BM65" s="16" t="n">
        <v>289.45971</v>
      </c>
      <c r="BN65" s="16" t="n">
        <v>289.307015</v>
      </c>
    </row>
    <row r="66">
      <c r="A66" s="10" t="inlineStr">
        <is>
          <t>Montenegro</t>
        </is>
      </c>
      <c r="B66" s="16" t="n">
        <v>120.921033</v>
      </c>
      <c r="C66" s="32" t="n">
        <v>-0.3339074057818525</v>
      </c>
      <c r="D66" s="31" t="n">
        <v>0.5100876621347172</v>
      </c>
      <c r="E66" s="31" t="n">
        <v>2.17032607703771</v>
      </c>
      <c r="F66" s="31" t="n">
        <v>5.127671388938371</v>
      </c>
      <c r="G66" s="16" t="inlineStr"/>
      <c r="H66" s="16" t="inlineStr"/>
      <c r="I66" s="16" t="inlineStr"/>
      <c r="J66" s="16" t="inlineStr"/>
      <c r="K66" s="16" t="inlineStr"/>
      <c r="L66" s="16" t="inlineStr"/>
      <c r="M66" s="16" t="inlineStr"/>
      <c r="N66" s="16" t="inlineStr"/>
      <c r="O66" s="16" t="inlineStr"/>
      <c r="P66" s="16" t="inlineStr"/>
      <c r="Q66" s="16" t="inlineStr"/>
      <c r="R66" s="16" t="inlineStr"/>
      <c r="S66" s="16" t="inlineStr"/>
      <c r="T66" s="16" t="inlineStr"/>
      <c r="U66" s="16" t="inlineStr"/>
      <c r="V66" s="16" t="inlineStr"/>
      <c r="W66" s="16" t="inlineStr"/>
      <c r="X66" s="16" t="inlineStr"/>
      <c r="Y66" s="16" t="inlineStr"/>
      <c r="Z66" s="16" t="inlineStr"/>
      <c r="AA66" s="16" t="inlineStr"/>
      <c r="AB66" s="16" t="inlineStr"/>
      <c r="AC66" s="16" t="inlineStr"/>
      <c r="AD66" s="16" t="inlineStr"/>
      <c r="AE66" s="16" t="inlineStr"/>
      <c r="AF66" s="16" t="inlineStr"/>
      <c r="AG66" s="16" t="inlineStr"/>
      <c r="AH66" s="16" t="inlineStr"/>
      <c r="AI66" s="16" t="inlineStr"/>
      <c r="AJ66" s="16" t="n">
        <v>100</v>
      </c>
      <c r="AK66" s="16" t="n">
        <v>99.16623</v>
      </c>
      <c r="AL66" s="16" t="n">
        <v>100.22717</v>
      </c>
      <c r="AM66" s="16" t="n">
        <v>100.56524</v>
      </c>
      <c r="AN66" s="16" t="n">
        <v>102.50519</v>
      </c>
      <c r="AO66" s="16" t="n">
        <v>104.63805</v>
      </c>
      <c r="AP66" s="16" t="n">
        <v>106.14496</v>
      </c>
      <c r="AQ66" s="16" t="n">
        <v>106.47545</v>
      </c>
      <c r="AR66" s="16" t="n">
        <v>106.9407</v>
      </c>
      <c r="AS66" s="16" t="n">
        <v>106.41225</v>
      </c>
      <c r="AT66" s="16" t="n">
        <v>107.10939</v>
      </c>
      <c r="AU66" s="16" t="n">
        <v>108.66891</v>
      </c>
      <c r="AV66" s="16" t="n">
        <v>107.79229</v>
      </c>
      <c r="AW66" s="16" t="n">
        <v>106.76094</v>
      </c>
      <c r="AX66" s="16" t="n">
        <v>109.35641</v>
      </c>
      <c r="AY66" s="16" t="n">
        <v>110.89448</v>
      </c>
      <c r="AZ66" s="16" t="n">
        <v>112.03079</v>
      </c>
      <c r="BA66" s="16" t="n">
        <v>114.31027</v>
      </c>
      <c r="BB66" s="16" t="n">
        <v>115.78976</v>
      </c>
      <c r="BC66" s="16" t="n">
        <v>117.70366</v>
      </c>
      <c r="BD66" s="16" t="n">
        <v>118.14552</v>
      </c>
      <c r="BE66" s="16" t="n">
        <v>118.3524</v>
      </c>
      <c r="BF66" s="16" t="n">
        <v>118.55647</v>
      </c>
      <c r="BG66" s="16" t="n">
        <v>120.02779</v>
      </c>
      <c r="BH66" s="16" t="n">
        <v>116.79878</v>
      </c>
      <c r="BI66" s="16" t="n">
        <v>118.91964</v>
      </c>
      <c r="BJ66" s="16" t="n">
        <v>120.27447</v>
      </c>
      <c r="BK66" s="16" t="n">
        <v>121.44723</v>
      </c>
      <c r="BL66" s="16" t="n">
        <v>120.98936</v>
      </c>
      <c r="BM66" s="16" t="n">
        <v>121.12869</v>
      </c>
      <c r="BN66" s="16" t="n">
        <v>120.921033</v>
      </c>
    </row>
    <row r="67">
      <c r="A67" s="10" t="inlineStr">
        <is>
          <t>Morocco</t>
        </is>
      </c>
      <c r="B67" s="16" t="n">
        <v>172.522141</v>
      </c>
      <c r="C67" s="32" t="n">
        <v>-0.4157808897299664</v>
      </c>
      <c r="D67" s="31" t="n">
        <v>0.1346048467170791</v>
      </c>
      <c r="E67" s="31" t="n">
        <v>0.5622843653002585</v>
      </c>
      <c r="F67" s="31" t="n">
        <v>2.838117394346207</v>
      </c>
      <c r="G67" s="16" t="n">
        <v>151.76516</v>
      </c>
      <c r="H67" s="16" t="n">
        <v>149.51943</v>
      </c>
      <c r="I67" s="16" t="n">
        <v>152.5557</v>
      </c>
      <c r="J67" s="16" t="n">
        <v>148.97159</v>
      </c>
      <c r="K67" s="16" t="n">
        <v>142.48597</v>
      </c>
      <c r="L67" s="16" t="n">
        <v>142.86708</v>
      </c>
      <c r="M67" s="16" t="n">
        <v>133.46732</v>
      </c>
      <c r="N67" s="16" t="n">
        <v>132.90716</v>
      </c>
      <c r="O67" s="16" t="n">
        <v>117.1827</v>
      </c>
      <c r="P67" s="16" t="n">
        <v>132.55008</v>
      </c>
      <c r="Q67" s="16" t="n">
        <v>129.78607</v>
      </c>
      <c r="R67" s="16" t="n">
        <v>119.48605</v>
      </c>
      <c r="S67" s="16" t="n">
        <v>122.68015</v>
      </c>
      <c r="T67" s="16" t="n">
        <v>136.70866</v>
      </c>
      <c r="U67" s="16" t="n">
        <v>137.26669</v>
      </c>
      <c r="V67" s="16" t="n">
        <v>138.83155</v>
      </c>
      <c r="W67" s="16" t="n">
        <v>132.50682</v>
      </c>
      <c r="X67" s="16" t="n">
        <v>139.91793</v>
      </c>
      <c r="Y67" s="16" t="n">
        <v>141.31567</v>
      </c>
      <c r="Z67" s="16" t="n">
        <v>139.22508</v>
      </c>
      <c r="AA67" s="16" t="n">
        <v>140.70009</v>
      </c>
      <c r="AB67" s="16" t="n">
        <v>142.18294</v>
      </c>
      <c r="AC67" s="16" t="n">
        <v>139.45351</v>
      </c>
      <c r="AD67" s="16" t="n">
        <v>136.39042</v>
      </c>
      <c r="AE67" s="16" t="n">
        <v>134.40001</v>
      </c>
      <c r="AF67" s="16" t="n">
        <v>142.52892</v>
      </c>
      <c r="AG67" s="16" t="n">
        <v>149.52506</v>
      </c>
      <c r="AH67" s="16" t="n">
        <v>147.12179</v>
      </c>
      <c r="AI67" s="16" t="n">
        <v>146.43125</v>
      </c>
      <c r="AJ67" s="16" t="n">
        <v>148.14207</v>
      </c>
      <c r="AK67" s="16" t="n">
        <v>144.79736</v>
      </c>
      <c r="AL67" s="16" t="n">
        <v>148.06643</v>
      </c>
      <c r="AM67" s="16" t="n">
        <v>149.82875</v>
      </c>
      <c r="AN67" s="16" t="n">
        <v>152.69584</v>
      </c>
      <c r="AO67" s="16" t="n">
        <v>157.23248</v>
      </c>
      <c r="AP67" s="16" t="n">
        <v>160.00567</v>
      </c>
      <c r="AQ67" s="16" t="n">
        <v>154.98145</v>
      </c>
      <c r="AR67" s="16" t="n">
        <v>156.02441</v>
      </c>
      <c r="AS67" s="16" t="n">
        <v>154.29596</v>
      </c>
      <c r="AT67" s="16" t="n">
        <v>155.36284</v>
      </c>
      <c r="AU67" s="16" t="n">
        <v>157.82748</v>
      </c>
      <c r="AV67" s="16" t="n">
        <v>157.67252</v>
      </c>
      <c r="AW67" s="16" t="n">
        <v>157.02284</v>
      </c>
      <c r="AX67" s="16" t="n">
        <v>158.20867</v>
      </c>
      <c r="AY67" s="16" t="n">
        <v>161.54632</v>
      </c>
      <c r="AZ67" s="16" t="n">
        <v>163.13995</v>
      </c>
      <c r="BA67" s="16" t="n">
        <v>165.84098</v>
      </c>
      <c r="BB67" s="16" t="n">
        <v>170.45561</v>
      </c>
      <c r="BC67" s="16" t="n">
        <v>171.63104</v>
      </c>
      <c r="BD67" s="16" t="n">
        <v>170.53487</v>
      </c>
      <c r="BE67" s="16" t="n">
        <v>171.5575</v>
      </c>
      <c r="BF67" s="16" t="n">
        <v>170.87741</v>
      </c>
      <c r="BG67" s="16" t="n">
        <v>174.11521</v>
      </c>
      <c r="BH67" s="16" t="n">
        <v>168.96901</v>
      </c>
      <c r="BI67" s="16" t="n">
        <v>172.24614</v>
      </c>
      <c r="BJ67" s="16" t="n">
        <v>172.79782</v>
      </c>
      <c r="BK67" s="16" t="n">
        <v>174.10364</v>
      </c>
      <c r="BL67" s="16" t="n">
        <v>171.59931</v>
      </c>
      <c r="BM67" s="16" t="n">
        <v>172.90756</v>
      </c>
      <c r="BN67" s="16" t="n">
        <v>172.522141</v>
      </c>
    </row>
    <row r="68">
      <c r="A68" s="10" t="inlineStr">
        <is>
          <t>Mozambique</t>
        </is>
      </c>
      <c r="B68" s="16" t="n">
        <v>251.176028</v>
      </c>
      <c r="C68" s="31" t="n">
        <v>1.58019925612094</v>
      </c>
      <c r="D68" s="31" t="n">
        <v>8.531009257558896</v>
      </c>
      <c r="E68" s="31" t="n">
        <v>14.82120125318822</v>
      </c>
      <c r="F68" s="31" t="n">
        <v>14.14693539625742</v>
      </c>
      <c r="G68" s="16" t="n">
        <v>151.59237</v>
      </c>
      <c r="H68" s="16" t="n">
        <v>150.39631</v>
      </c>
      <c r="I68" s="16" t="n">
        <v>151.07104</v>
      </c>
      <c r="J68" s="16" t="n">
        <v>152.25419</v>
      </c>
      <c r="K68" s="16" t="n">
        <v>153.32167</v>
      </c>
      <c r="L68" s="16" t="n">
        <v>155.92985</v>
      </c>
      <c r="M68" s="16" t="n">
        <v>158.19904</v>
      </c>
      <c r="N68" s="16" t="n">
        <v>153.30064</v>
      </c>
      <c r="O68" s="16" t="n">
        <v>134.3382</v>
      </c>
      <c r="P68" s="16" t="n">
        <v>125.88486</v>
      </c>
      <c r="Q68" s="16" t="n">
        <v>132.08174</v>
      </c>
      <c r="R68" s="16" t="n">
        <v>128.93154</v>
      </c>
      <c r="S68" s="16" t="n">
        <v>127.83827</v>
      </c>
      <c r="T68" s="16" t="n">
        <v>143.88558</v>
      </c>
      <c r="U68" s="16" t="n">
        <v>146.07907</v>
      </c>
      <c r="V68" s="16" t="n">
        <v>153.76571</v>
      </c>
      <c r="W68" s="16" t="n">
        <v>147.36257</v>
      </c>
      <c r="X68" s="16" t="n">
        <v>139.21274</v>
      </c>
      <c r="Y68" s="16" t="n">
        <v>136.80257</v>
      </c>
      <c r="Z68" s="16" t="n">
        <v>138.46784</v>
      </c>
      <c r="AA68" s="16" t="n">
        <v>150.12785</v>
      </c>
      <c r="AB68" s="16" t="n">
        <v>156.89114</v>
      </c>
      <c r="AC68" s="16" t="n">
        <v>151.69237</v>
      </c>
      <c r="AD68" s="16" t="n">
        <v>158.39067</v>
      </c>
      <c r="AE68" s="16" t="n">
        <v>157.76279</v>
      </c>
      <c r="AF68" s="16" t="n">
        <v>164.44743</v>
      </c>
      <c r="AG68" s="16" t="n">
        <v>175.90456</v>
      </c>
      <c r="AH68" s="16" t="n">
        <v>180.69604</v>
      </c>
      <c r="AI68" s="16" t="n">
        <v>177.24916</v>
      </c>
      <c r="AJ68" s="16" t="n">
        <v>182.2554</v>
      </c>
      <c r="AK68" s="16" t="n">
        <v>179.47343</v>
      </c>
      <c r="AL68" s="16" t="n">
        <v>178.06231</v>
      </c>
      <c r="AM68" s="16" t="n">
        <v>181.0638</v>
      </c>
      <c r="AN68" s="16" t="n">
        <v>187.22343</v>
      </c>
      <c r="AO68" s="16" t="n">
        <v>187.19736</v>
      </c>
      <c r="AP68" s="16" t="n">
        <v>193.93998</v>
      </c>
      <c r="AQ68" s="16" t="n">
        <v>189.02616</v>
      </c>
      <c r="AR68" s="16" t="n">
        <v>190.01728</v>
      </c>
      <c r="AS68" s="16" t="n">
        <v>180.7768</v>
      </c>
      <c r="AT68" s="16" t="n">
        <v>189.02508</v>
      </c>
      <c r="AU68" s="16" t="n">
        <v>190.28236</v>
      </c>
      <c r="AV68" s="16" t="n">
        <v>192.9151</v>
      </c>
      <c r="AW68" s="16" t="n">
        <v>182.74039</v>
      </c>
      <c r="AX68" s="16" t="n">
        <v>196.86578</v>
      </c>
      <c r="AY68" s="16" t="n">
        <v>200.64447</v>
      </c>
      <c r="AZ68" s="16" t="n">
        <v>213.37876</v>
      </c>
      <c r="BA68" s="16" t="n">
        <v>219.0047</v>
      </c>
      <c r="BB68" s="16" t="n">
        <v>221.64746</v>
      </c>
      <c r="BC68" s="16" t="n">
        <v>217.4068</v>
      </c>
      <c r="BD68" s="16" t="n">
        <v>215.34211</v>
      </c>
      <c r="BE68" s="16" t="n">
        <v>218.75405</v>
      </c>
      <c r="BF68" s="16" t="n">
        <v>223.37936</v>
      </c>
      <c r="BG68" s="16" t="n">
        <v>220.47542</v>
      </c>
      <c r="BH68" s="16" t="n">
        <v>197.29205</v>
      </c>
      <c r="BI68" s="16" t="n">
        <v>216.90989</v>
      </c>
      <c r="BJ68" s="16" t="n">
        <v>232.53956</v>
      </c>
      <c r="BK68" s="16" t="n">
        <v>236.91284</v>
      </c>
      <c r="BL68" s="16" t="n">
        <v>245.7453</v>
      </c>
      <c r="BM68" s="16" t="n">
        <v>250.3046</v>
      </c>
      <c r="BN68" s="16" t="n">
        <v>251.176028</v>
      </c>
    </row>
    <row r="69">
      <c r="A69" s="10" t="inlineStr">
        <is>
          <t>Nigeria</t>
        </is>
      </c>
      <c r="B69" s="16" t="n">
        <v>332.562539</v>
      </c>
      <c r="C69" s="31" t="n">
        <v>0.3852799042374677</v>
      </c>
      <c r="D69" s="31" t="n">
        <v>1.092966334864443</v>
      </c>
      <c r="E69" s="31" t="n">
        <v>6.079380556776615</v>
      </c>
      <c r="F69" s="31" t="n">
        <v>14.60070989456341</v>
      </c>
      <c r="G69" s="16" t="n">
        <v>210.99087</v>
      </c>
      <c r="H69" s="16" t="n">
        <v>199.01325</v>
      </c>
      <c r="I69" s="16" t="n">
        <v>206.71769</v>
      </c>
      <c r="J69" s="16" t="n">
        <v>205.90775</v>
      </c>
      <c r="K69" s="16" t="n">
        <v>197.0342</v>
      </c>
      <c r="L69" s="16" t="n">
        <v>200.37606</v>
      </c>
      <c r="M69" s="16" t="n">
        <v>182.57786</v>
      </c>
      <c r="N69" s="16" t="n">
        <v>179.06298</v>
      </c>
      <c r="O69" s="16" t="n">
        <v>156.21096</v>
      </c>
      <c r="P69" s="16" t="n">
        <v>160.23876</v>
      </c>
      <c r="Q69" s="16" t="n">
        <v>163.02575</v>
      </c>
      <c r="R69" s="16" t="n">
        <v>150.94086</v>
      </c>
      <c r="S69" s="16" t="n">
        <v>152.64876</v>
      </c>
      <c r="T69" s="16" t="n">
        <v>177.36204</v>
      </c>
      <c r="U69" s="16" t="n">
        <v>176.92397</v>
      </c>
      <c r="V69" s="16" t="n">
        <v>179.60481</v>
      </c>
      <c r="W69" s="16" t="n">
        <v>183.28196</v>
      </c>
      <c r="X69" s="16" t="n">
        <v>180.3963</v>
      </c>
      <c r="Y69" s="16" t="n">
        <v>179.19534</v>
      </c>
      <c r="Z69" s="16" t="n">
        <v>190.5269</v>
      </c>
      <c r="AA69" s="16" t="n">
        <v>202.9339</v>
      </c>
      <c r="AB69" s="16" t="n">
        <v>212.87257</v>
      </c>
      <c r="AC69" s="16" t="n">
        <v>201.27447</v>
      </c>
      <c r="AD69" s="16" t="n">
        <v>196.82295</v>
      </c>
      <c r="AE69" s="16" t="n">
        <v>201.93003</v>
      </c>
      <c r="AF69" s="16" t="n">
        <v>213.89277</v>
      </c>
      <c r="AG69" s="16" t="n">
        <v>227.81774</v>
      </c>
      <c r="AH69" s="16" t="n">
        <v>223.77226</v>
      </c>
      <c r="AI69" s="16" t="n">
        <v>228.48621</v>
      </c>
      <c r="AJ69" s="16" t="n">
        <v>235.15342</v>
      </c>
      <c r="AK69" s="16" t="n">
        <v>229.93091</v>
      </c>
      <c r="AL69" s="16" t="n">
        <v>233.16092</v>
      </c>
      <c r="AM69" s="16" t="n">
        <v>230.78408</v>
      </c>
      <c r="AN69" s="16" t="n">
        <v>232.68816</v>
      </c>
      <c r="AO69" s="16" t="n">
        <v>240.1086</v>
      </c>
      <c r="AP69" s="16" t="n">
        <v>243.73057</v>
      </c>
      <c r="AQ69" s="16" t="n">
        <v>244.6691</v>
      </c>
      <c r="AR69" s="16" t="n">
        <v>246.80502</v>
      </c>
      <c r="AS69" s="16" t="n">
        <v>248.86665</v>
      </c>
      <c r="AT69" s="16" t="n">
        <v>254.58291</v>
      </c>
      <c r="AU69" s="16" t="n">
        <v>260.66643</v>
      </c>
      <c r="AV69" s="16" t="n">
        <v>252.4903</v>
      </c>
      <c r="AW69" s="16" t="n">
        <v>243.87315</v>
      </c>
      <c r="AX69" s="16" t="n">
        <v>259.33487</v>
      </c>
      <c r="AY69" s="16" t="n">
        <v>272.41551</v>
      </c>
      <c r="AZ69" s="16" t="n">
        <v>280.58914</v>
      </c>
      <c r="BA69" s="16" t="n">
        <v>287.13698</v>
      </c>
      <c r="BB69" s="16" t="n">
        <v>291.42297</v>
      </c>
      <c r="BC69" s="16" t="n">
        <v>297.0601</v>
      </c>
      <c r="BD69" s="16" t="n">
        <v>305.89665</v>
      </c>
      <c r="BE69" s="16" t="n">
        <v>313.50347</v>
      </c>
      <c r="BF69" s="16" t="n">
        <v>314.46251</v>
      </c>
      <c r="BG69" s="16" t="n">
        <v>318.363</v>
      </c>
      <c r="BH69" s="16" t="n">
        <v>310.66838</v>
      </c>
      <c r="BI69" s="16" t="n">
        <v>325.33805</v>
      </c>
      <c r="BJ69" s="16" t="n">
        <v>329.21606</v>
      </c>
      <c r="BK69" s="16" t="n">
        <v>327.40286</v>
      </c>
      <c r="BL69" s="16" t="n">
        <v>330.23312</v>
      </c>
      <c r="BM69" s="16" t="n">
        <v>331.73057</v>
      </c>
      <c r="BN69" s="16" t="n">
        <v>332.562539</v>
      </c>
    </row>
    <row r="70">
      <c r="A70" s="10" t="inlineStr">
        <is>
          <t>Oman</t>
        </is>
      </c>
      <c r="B70" s="16" t="n">
        <v>173.145586</v>
      </c>
      <c r="C70" s="32" t="n">
        <v>-0.3155520684460122</v>
      </c>
      <c r="D70" s="32" t="n">
        <v>-0.3302591980131608</v>
      </c>
      <c r="E70" s="31" t="n">
        <v>0.5426982016247583</v>
      </c>
      <c r="F70" s="31" t="n">
        <v>2.387687334624733</v>
      </c>
      <c r="G70" s="16" t="n">
        <v>135.68879</v>
      </c>
      <c r="H70" s="16" t="n">
        <v>132.85463</v>
      </c>
      <c r="I70" s="16" t="n">
        <v>136.89805</v>
      </c>
      <c r="J70" s="16" t="n">
        <v>134.97342</v>
      </c>
      <c r="K70" s="16" t="n">
        <v>133.08746</v>
      </c>
      <c r="L70" s="16" t="n">
        <v>135.68311</v>
      </c>
      <c r="M70" s="16" t="n">
        <v>132.15928</v>
      </c>
      <c r="N70" s="16" t="n">
        <v>132.32794</v>
      </c>
      <c r="O70" s="16" t="n">
        <v>127.56841</v>
      </c>
      <c r="P70" s="16" t="n">
        <v>131.109</v>
      </c>
      <c r="Q70" s="16" t="n">
        <v>132.35825</v>
      </c>
      <c r="R70" s="16" t="n">
        <v>125.09197</v>
      </c>
      <c r="S70" s="16" t="n">
        <v>128.29491</v>
      </c>
      <c r="T70" s="16" t="n">
        <v>133.45616</v>
      </c>
      <c r="U70" s="16" t="n">
        <v>135.33725</v>
      </c>
      <c r="V70" s="16" t="n">
        <v>139.48477</v>
      </c>
      <c r="W70" s="16" t="n">
        <v>137.957</v>
      </c>
      <c r="X70" s="16" t="n">
        <v>138.52511</v>
      </c>
      <c r="Y70" s="16" t="n">
        <v>140.85174</v>
      </c>
      <c r="Z70" s="16" t="n">
        <v>139.49821</v>
      </c>
      <c r="AA70" s="16" t="n">
        <v>140.62297</v>
      </c>
      <c r="AB70" s="16" t="n">
        <v>142.73895</v>
      </c>
      <c r="AC70" s="16" t="n">
        <v>142.09898</v>
      </c>
      <c r="AD70" s="16" t="n">
        <v>139.8394</v>
      </c>
      <c r="AE70" s="16" t="n">
        <v>138.54861</v>
      </c>
      <c r="AF70" s="16" t="n">
        <v>145.07997</v>
      </c>
      <c r="AG70" s="16" t="n">
        <v>150.05442</v>
      </c>
      <c r="AH70" s="16" t="n">
        <v>148.66946</v>
      </c>
      <c r="AI70" s="16" t="n">
        <v>148.64549</v>
      </c>
      <c r="AJ70" s="16" t="n">
        <v>150.60034</v>
      </c>
      <c r="AK70" s="16" t="n">
        <v>148.43244</v>
      </c>
      <c r="AL70" s="16" t="n">
        <v>150.50982</v>
      </c>
      <c r="AM70" s="16" t="n">
        <v>151.87521</v>
      </c>
      <c r="AN70" s="16" t="n">
        <v>154.2518</v>
      </c>
      <c r="AO70" s="16" t="n">
        <v>157.93593</v>
      </c>
      <c r="AP70" s="16" t="n">
        <v>159.43816</v>
      </c>
      <c r="AQ70" s="16" t="n">
        <v>156.69804</v>
      </c>
      <c r="AR70" s="16" t="n">
        <v>157.82415</v>
      </c>
      <c r="AS70" s="16" t="n">
        <v>156.51572</v>
      </c>
      <c r="AT70" s="16" t="n">
        <v>157.59893</v>
      </c>
      <c r="AU70" s="16" t="n">
        <v>159.85899</v>
      </c>
      <c r="AV70" s="16" t="n">
        <v>160.2192</v>
      </c>
      <c r="AW70" s="16" t="n">
        <v>160.22734</v>
      </c>
      <c r="AX70" s="16" t="n">
        <v>160.81224</v>
      </c>
      <c r="AY70" s="16" t="n">
        <v>163.87099</v>
      </c>
      <c r="AZ70" s="16" t="n">
        <v>167.0098</v>
      </c>
      <c r="BA70" s="16" t="n">
        <v>167.94376</v>
      </c>
      <c r="BB70" s="16" t="n">
        <v>170.27904</v>
      </c>
      <c r="BC70" s="16" t="n">
        <v>171.98953</v>
      </c>
      <c r="BD70" s="16" t="n">
        <v>171.84863</v>
      </c>
      <c r="BE70" s="16" t="n">
        <v>172.211</v>
      </c>
      <c r="BF70" s="16" t="n">
        <v>171.54387</v>
      </c>
      <c r="BG70" s="16" t="n">
        <v>174.00089</v>
      </c>
      <c r="BH70" s="16" t="n">
        <v>169.79279</v>
      </c>
      <c r="BI70" s="16" t="n">
        <v>174.04668</v>
      </c>
      <c r="BJ70" s="16" t="n">
        <v>174.40535</v>
      </c>
      <c r="BK70" s="16" t="n">
        <v>175.12817</v>
      </c>
      <c r="BL70" s="16" t="n">
        <v>172.41177</v>
      </c>
      <c r="BM70" s="16" t="n">
        <v>173.53398</v>
      </c>
      <c r="BN70" s="16" t="n">
        <v>173.145586</v>
      </c>
    </row>
    <row r="71">
      <c r="A71" s="10" t="inlineStr">
        <is>
          <t>Pakistan</t>
        </is>
      </c>
      <c r="B71" s="16" t="n">
        <v>772.719569</v>
      </c>
      <c r="C71" s="31" t="n">
        <v>0.8886092489885256</v>
      </c>
      <c r="D71" s="31" t="n">
        <v>3.480873296457299</v>
      </c>
      <c r="E71" s="31" t="n">
        <v>5.611903727791212</v>
      </c>
      <c r="F71" s="31" t="n">
        <v>11.62424123584826</v>
      </c>
      <c r="G71" s="16" t="n">
        <v>425.45024</v>
      </c>
      <c r="H71" s="16" t="n">
        <v>418.79017</v>
      </c>
      <c r="I71" s="16" t="n">
        <v>426.75223</v>
      </c>
      <c r="J71" s="16" t="n">
        <v>413.52559</v>
      </c>
      <c r="K71" s="16" t="n">
        <v>394.40687</v>
      </c>
      <c r="L71" s="16" t="n">
        <v>347.07114</v>
      </c>
      <c r="M71" s="16" t="n">
        <v>359.9077</v>
      </c>
      <c r="N71" s="16" t="n">
        <v>329.94446</v>
      </c>
      <c r="O71" s="16" t="n">
        <v>312.93018</v>
      </c>
      <c r="P71" s="16" t="n">
        <v>248.10186</v>
      </c>
      <c r="Q71" s="16" t="n">
        <v>290.55244</v>
      </c>
      <c r="R71" s="16" t="n">
        <v>198.55787</v>
      </c>
      <c r="S71" s="16" t="n">
        <v>167.95547</v>
      </c>
      <c r="T71" s="16" t="n">
        <v>209.42013</v>
      </c>
      <c r="U71" s="16" t="n">
        <v>207.41533</v>
      </c>
      <c r="V71" s="16" t="n">
        <v>231.32055</v>
      </c>
      <c r="W71" s="16" t="n">
        <v>235.86916</v>
      </c>
      <c r="X71" s="16" t="n">
        <v>195.72009</v>
      </c>
      <c r="Y71" s="16" t="n">
        <v>201.24968</v>
      </c>
      <c r="Z71" s="16" t="n">
        <v>214.9365</v>
      </c>
      <c r="AA71" s="16" t="n">
        <v>277.858</v>
      </c>
      <c r="AB71" s="16" t="n">
        <v>307.73709</v>
      </c>
      <c r="AC71" s="16" t="n">
        <v>301.20337</v>
      </c>
      <c r="AD71" s="16" t="n">
        <v>308.45565</v>
      </c>
      <c r="AE71" s="16" t="n">
        <v>324.96793</v>
      </c>
      <c r="AF71" s="16" t="n">
        <v>399.00893</v>
      </c>
      <c r="AG71" s="16" t="n">
        <v>415.06405</v>
      </c>
      <c r="AH71" s="16" t="n">
        <v>447.16909</v>
      </c>
      <c r="AI71" s="16" t="n">
        <v>474.64206</v>
      </c>
      <c r="AJ71" s="16" t="n">
        <v>528.47123</v>
      </c>
      <c r="AK71" s="16" t="n">
        <v>535.41445</v>
      </c>
      <c r="AL71" s="16" t="n">
        <v>550.3726799999999</v>
      </c>
      <c r="AM71" s="16" t="n">
        <v>543.94042</v>
      </c>
      <c r="AN71" s="16" t="n">
        <v>550.30366</v>
      </c>
      <c r="AO71" s="16" t="n">
        <v>557.1096199999999</v>
      </c>
      <c r="AP71" s="16" t="n">
        <v>585.17306</v>
      </c>
      <c r="AQ71" s="16" t="n">
        <v>587.90243</v>
      </c>
      <c r="AR71" s="16" t="n">
        <v>587.57927</v>
      </c>
      <c r="AS71" s="16" t="n">
        <v>591.34705</v>
      </c>
      <c r="AT71" s="16" t="n">
        <v>612.36992</v>
      </c>
      <c r="AU71" s="16" t="n">
        <v>618.88084</v>
      </c>
      <c r="AV71" s="16" t="n">
        <v>610.33118</v>
      </c>
      <c r="AW71" s="16" t="n">
        <v>583.0598</v>
      </c>
      <c r="AX71" s="16" t="n">
        <v>625.93916</v>
      </c>
      <c r="AY71" s="16" t="n">
        <v>646.86574</v>
      </c>
      <c r="AZ71" s="16" t="n">
        <v>677.82343</v>
      </c>
      <c r="BA71" s="16" t="n">
        <v>685.78526</v>
      </c>
      <c r="BB71" s="16" t="n">
        <v>705.1350200000001</v>
      </c>
      <c r="BC71" s="16" t="n">
        <v>712.89289</v>
      </c>
      <c r="BD71" s="16" t="n">
        <v>718.4009600000001</v>
      </c>
      <c r="BE71" s="16" t="n">
        <v>731.65954</v>
      </c>
      <c r="BF71" s="16" t="n">
        <v>745.91487</v>
      </c>
      <c r="BG71" s="16" t="n">
        <v>741.76812</v>
      </c>
      <c r="BH71" s="16" t="n">
        <v>707.17449</v>
      </c>
      <c r="BI71" s="16" t="n">
        <v>737.02653</v>
      </c>
      <c r="BJ71" s="16" t="n">
        <v>747.49191</v>
      </c>
      <c r="BK71" s="16" t="n">
        <v>767.68127</v>
      </c>
      <c r="BL71" s="16" t="n">
        <v>761.4831799999999</v>
      </c>
      <c r="BM71" s="16" t="n">
        <v>777.00289</v>
      </c>
      <c r="BN71" s="16" t="n">
        <v>772.719569</v>
      </c>
    </row>
    <row r="72">
      <c r="A72" s="10" t="inlineStr">
        <is>
          <t>Panama</t>
        </is>
      </c>
      <c r="B72" s="16" t="n">
        <v>1725.568009</v>
      </c>
      <c r="C72" s="32" t="n">
        <v>-0.1006689100935376</v>
      </c>
      <c r="D72" s="32" t="n">
        <v>-1.27903296099956</v>
      </c>
      <c r="E72" s="31" t="n">
        <v>2.641895831914676</v>
      </c>
      <c r="F72" s="31" t="n">
        <v>8.323924432592712</v>
      </c>
      <c r="G72" s="16" t="n">
        <v>1686.06217</v>
      </c>
      <c r="H72" s="16" t="n">
        <v>1660.61199</v>
      </c>
      <c r="I72" s="16" t="n">
        <v>1698.27973</v>
      </c>
      <c r="J72" s="16" t="n">
        <v>1618.29283</v>
      </c>
      <c r="K72" s="16" t="n">
        <v>1557.11039</v>
      </c>
      <c r="L72" s="16" t="n">
        <v>1575.76303</v>
      </c>
      <c r="M72" s="16" t="n">
        <v>1437.34243</v>
      </c>
      <c r="N72" s="16" t="n">
        <v>1453.14855</v>
      </c>
      <c r="O72" s="16" t="n">
        <v>1388.81173</v>
      </c>
      <c r="P72" s="16" t="n">
        <v>1416.6886</v>
      </c>
      <c r="Q72" s="16" t="n">
        <v>1382.65548</v>
      </c>
      <c r="R72" s="16" t="n">
        <v>1263.68726</v>
      </c>
      <c r="S72" s="16" t="n">
        <v>1249.46749</v>
      </c>
      <c r="T72" s="16" t="n">
        <v>1368.03982</v>
      </c>
      <c r="U72" s="16" t="n">
        <v>1361.21325</v>
      </c>
      <c r="V72" s="16" t="n">
        <v>1402.47176</v>
      </c>
      <c r="W72" s="16" t="n">
        <v>1369.05258</v>
      </c>
      <c r="X72" s="16" t="n">
        <v>1393.73411</v>
      </c>
      <c r="Y72" s="16" t="n">
        <v>1419.65652</v>
      </c>
      <c r="Z72" s="16" t="n">
        <v>1404.38919</v>
      </c>
      <c r="AA72" s="16" t="n">
        <v>1416.00375</v>
      </c>
      <c r="AB72" s="16" t="n">
        <v>1429.50355</v>
      </c>
      <c r="AC72" s="16" t="n">
        <v>1405.00086</v>
      </c>
      <c r="AD72" s="16" t="n">
        <v>1330.01784</v>
      </c>
      <c r="AE72" s="16" t="n">
        <v>1257.04456</v>
      </c>
      <c r="AF72" s="16" t="n">
        <v>1299.97717</v>
      </c>
      <c r="AG72" s="16" t="n">
        <v>1362.92982</v>
      </c>
      <c r="AH72" s="16" t="n">
        <v>1328.84108</v>
      </c>
      <c r="AI72" s="16" t="n">
        <v>1321.91691</v>
      </c>
      <c r="AJ72" s="16" t="n">
        <v>1353.15969</v>
      </c>
      <c r="AK72" s="16" t="n">
        <v>1321.37231</v>
      </c>
      <c r="AL72" s="16" t="n">
        <v>1361.88994</v>
      </c>
      <c r="AM72" s="16" t="n">
        <v>1382.916</v>
      </c>
      <c r="AN72" s="16" t="n">
        <v>1421.80902</v>
      </c>
      <c r="AO72" s="16" t="n">
        <v>1460.62818</v>
      </c>
      <c r="AP72" s="16" t="n">
        <v>1503.64283</v>
      </c>
      <c r="AQ72" s="16" t="n">
        <v>1415.27103</v>
      </c>
      <c r="AR72" s="16" t="n">
        <v>1431.50963</v>
      </c>
      <c r="AS72" s="16" t="n">
        <v>1360.63466</v>
      </c>
      <c r="AT72" s="16" t="n">
        <v>1386.78079</v>
      </c>
      <c r="AU72" s="16" t="n">
        <v>1428.64121</v>
      </c>
      <c r="AV72" s="16" t="n">
        <v>1420.71193</v>
      </c>
      <c r="AW72" s="16" t="n">
        <v>1428.91591</v>
      </c>
      <c r="AX72" s="16" t="n">
        <v>1435.70253</v>
      </c>
      <c r="AY72" s="16" t="n">
        <v>1493.03898</v>
      </c>
      <c r="AZ72" s="16" t="n">
        <v>1516.80415</v>
      </c>
      <c r="BA72" s="16" t="n">
        <v>1568.04636</v>
      </c>
      <c r="BB72" s="16" t="n">
        <v>1633.5388</v>
      </c>
      <c r="BC72" s="16" t="n">
        <v>1678.24033</v>
      </c>
      <c r="BD72" s="16" t="n">
        <v>1660.85566</v>
      </c>
      <c r="BE72" s="16" t="n">
        <v>1681.15368</v>
      </c>
      <c r="BF72" s="16" t="n">
        <v>1679.86235</v>
      </c>
      <c r="BG72" s="16" t="n">
        <v>1738.99808</v>
      </c>
      <c r="BH72" s="16" t="n">
        <v>1684.34021</v>
      </c>
      <c r="BI72" s="16" t="n">
        <v>1751.78106</v>
      </c>
      <c r="BJ72" s="16" t="n">
        <v>1753.34182</v>
      </c>
      <c r="BK72" s="16" t="n">
        <v>1761.17395</v>
      </c>
      <c r="BL72" s="16" t="n">
        <v>1716.13374</v>
      </c>
      <c r="BM72" s="16" t="n">
        <v>1726.88135</v>
      </c>
      <c r="BN72" s="16" t="n">
        <v>1725.568009</v>
      </c>
    </row>
    <row r="73">
      <c r="A73" s="10" t="inlineStr">
        <is>
          <t>Papua New Guinea</t>
        </is>
      </c>
      <c r="B73" s="16" t="n">
        <v>204.476316</v>
      </c>
      <c r="C73" s="33" t="inlineStr"/>
      <c r="D73" s="33" t="inlineStr"/>
      <c r="E73" s="33" t="inlineStr"/>
      <c r="F73" s="33" t="inlineStr"/>
      <c r="G73" s="16" t="inlineStr"/>
      <c r="H73" s="16" t="inlineStr"/>
      <c r="I73" s="16" t="inlineStr"/>
      <c r="J73" s="16" t="inlineStr"/>
      <c r="K73" s="16" t="inlineStr"/>
      <c r="L73" s="16" t="inlineStr"/>
      <c r="M73" s="16" t="inlineStr"/>
      <c r="N73" s="16" t="inlineStr"/>
      <c r="O73" s="16" t="inlineStr"/>
      <c r="P73" s="16" t="inlineStr"/>
      <c r="Q73" s="16" t="inlineStr"/>
      <c r="R73" s="16" t="inlineStr"/>
      <c r="S73" s="16" t="inlineStr"/>
      <c r="T73" s="16" t="inlineStr"/>
      <c r="U73" s="16" t="inlineStr"/>
      <c r="V73" s="16" t="inlineStr"/>
      <c r="W73" s="16" t="inlineStr"/>
      <c r="X73" s="16" t="inlineStr"/>
      <c r="Y73" s="16" t="inlineStr"/>
      <c r="Z73" s="16" t="inlineStr"/>
      <c r="AA73" s="16" t="inlineStr"/>
      <c r="AB73" s="16" t="inlineStr"/>
      <c r="AC73" s="16" t="inlineStr"/>
      <c r="AD73" s="16" t="inlineStr"/>
      <c r="AE73" s="16" t="inlineStr"/>
      <c r="AF73" s="16" t="inlineStr"/>
      <c r="AG73" s="16" t="inlineStr"/>
      <c r="AH73" s="16" t="inlineStr"/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  <c r="AT73" s="16" t="inlineStr"/>
      <c r="AU73" s="16" t="inlineStr"/>
      <c r="AV73" s="16" t="inlineStr"/>
      <c r="AW73" s="16" t="inlineStr"/>
      <c r="AX73" s="16" t="inlineStr"/>
      <c r="AY73" s="16" t="inlineStr"/>
      <c r="AZ73" s="16" t="inlineStr"/>
      <c r="BA73" s="16" t="inlineStr"/>
      <c r="BB73" s="16" t="inlineStr"/>
      <c r="BC73" s="16" t="inlineStr"/>
      <c r="BD73" s="16" t="inlineStr"/>
      <c r="BE73" s="16" t="inlineStr"/>
      <c r="BF73" s="16" t="inlineStr"/>
      <c r="BG73" s="16" t="inlineStr"/>
      <c r="BH73" s="16" t="inlineStr"/>
      <c r="BI73" s="16" t="inlineStr"/>
      <c r="BJ73" s="16" t="inlineStr"/>
      <c r="BK73" s="16" t="inlineStr"/>
      <c r="BL73" s="16" t="inlineStr"/>
      <c r="BM73" s="16" t="inlineStr"/>
      <c r="BN73" s="16" t="n">
        <v>204.476316</v>
      </c>
    </row>
    <row r="74">
      <c r="A74" s="10" t="inlineStr">
        <is>
          <t>Paraguay</t>
        </is>
      </c>
      <c r="B74" s="16" t="n">
        <v>186.220135</v>
      </c>
      <c r="C74" s="32" t="n">
        <v>-0.4853912104434865</v>
      </c>
      <c r="D74" s="32" t="n">
        <v>-1.561641334481056</v>
      </c>
      <c r="E74" s="32" t="n">
        <v>-1.612828321114113</v>
      </c>
      <c r="F74" s="31" t="n">
        <v>2.305011771770227</v>
      </c>
      <c r="G74" s="16" t="n">
        <v>170.22782</v>
      </c>
      <c r="H74" s="16" t="n">
        <v>167.60036</v>
      </c>
      <c r="I74" s="16" t="n">
        <v>173.35571</v>
      </c>
      <c r="J74" s="16" t="n">
        <v>166.41703</v>
      </c>
      <c r="K74" s="16" t="n">
        <v>156.615</v>
      </c>
      <c r="L74" s="16" t="n">
        <v>159.95781</v>
      </c>
      <c r="M74" s="16" t="n">
        <v>146.41805</v>
      </c>
      <c r="N74" s="16" t="n">
        <v>144.5293</v>
      </c>
      <c r="O74" s="16" t="n">
        <v>135.36018</v>
      </c>
      <c r="P74" s="16" t="n">
        <v>148.43989</v>
      </c>
      <c r="Q74" s="16" t="n">
        <v>144.00737</v>
      </c>
      <c r="R74" s="16" t="n">
        <v>131.81477</v>
      </c>
      <c r="S74" s="16" t="n">
        <v>136.45326</v>
      </c>
      <c r="T74" s="16" t="n">
        <v>146.93482</v>
      </c>
      <c r="U74" s="16" t="n">
        <v>149.07666</v>
      </c>
      <c r="V74" s="16" t="n">
        <v>152.25693</v>
      </c>
      <c r="W74" s="16" t="n">
        <v>146.79874</v>
      </c>
      <c r="X74" s="16" t="n">
        <v>151.4161</v>
      </c>
      <c r="Y74" s="16" t="n">
        <v>151.38855</v>
      </c>
      <c r="Z74" s="16" t="n">
        <v>149.66664</v>
      </c>
      <c r="AA74" s="16" t="n">
        <v>152.46167</v>
      </c>
      <c r="AB74" s="16" t="n">
        <v>153.37345</v>
      </c>
      <c r="AC74" s="16" t="n">
        <v>150.71914</v>
      </c>
      <c r="AD74" s="16" t="n">
        <v>145.34542</v>
      </c>
      <c r="AE74" s="16" t="n">
        <v>141.51478</v>
      </c>
      <c r="AF74" s="16" t="n">
        <v>151.33321</v>
      </c>
      <c r="AG74" s="16" t="n">
        <v>160.93943</v>
      </c>
      <c r="AH74" s="16" t="n">
        <v>158.06259</v>
      </c>
      <c r="AI74" s="16" t="n">
        <v>158.19991</v>
      </c>
      <c r="AJ74" s="16" t="n">
        <v>161.08291</v>
      </c>
      <c r="AK74" s="16" t="n">
        <v>155.68575</v>
      </c>
      <c r="AL74" s="16" t="n">
        <v>159.61933</v>
      </c>
      <c r="AM74" s="16" t="n">
        <v>161.19068</v>
      </c>
      <c r="AN74" s="16" t="n">
        <v>166.06838</v>
      </c>
      <c r="AO74" s="16" t="n">
        <v>170.29982</v>
      </c>
      <c r="AP74" s="16" t="n">
        <v>173.12968</v>
      </c>
      <c r="AQ74" s="16" t="n">
        <v>168.05142</v>
      </c>
      <c r="AR74" s="16" t="n">
        <v>169.40847</v>
      </c>
      <c r="AS74" s="16" t="n">
        <v>164.55992</v>
      </c>
      <c r="AT74" s="16" t="n">
        <v>165.87995</v>
      </c>
      <c r="AU74" s="16" t="n">
        <v>170.23745</v>
      </c>
      <c r="AV74" s="16" t="n">
        <v>168.8013</v>
      </c>
      <c r="AW74" s="16" t="n">
        <v>169.76157</v>
      </c>
      <c r="AX74" s="16" t="n">
        <v>169.31468</v>
      </c>
      <c r="AY74" s="16" t="n">
        <v>173.42969</v>
      </c>
      <c r="AZ74" s="16" t="n">
        <v>175.55334</v>
      </c>
      <c r="BA74" s="16" t="n">
        <v>178.70691</v>
      </c>
      <c r="BB74" s="16" t="n">
        <v>184.36169</v>
      </c>
      <c r="BC74" s="16" t="n">
        <v>186.58607</v>
      </c>
      <c r="BD74" s="16" t="n">
        <v>186.33116</v>
      </c>
      <c r="BE74" s="16" t="n">
        <v>189.27278</v>
      </c>
      <c r="BF74" s="16" t="n">
        <v>187.88318</v>
      </c>
      <c r="BG74" s="16" t="n">
        <v>191.9834</v>
      </c>
      <c r="BH74" s="16" t="n">
        <v>185.28286</v>
      </c>
      <c r="BI74" s="16" t="n">
        <v>188.60755</v>
      </c>
      <c r="BJ74" s="16" t="n">
        <v>189.75609</v>
      </c>
      <c r="BK74" s="16" t="n">
        <v>191.73824</v>
      </c>
      <c r="BL74" s="16" t="n">
        <v>186.44872</v>
      </c>
      <c r="BM74" s="16" t="n">
        <v>186.9621</v>
      </c>
      <c r="BN74" s="16" t="n">
        <v>186.220135</v>
      </c>
    </row>
    <row r="75">
      <c r="A75" s="10" t="inlineStr">
        <is>
          <t>Peru</t>
        </is>
      </c>
      <c r="B75" s="16" t="n">
        <v>1591.61126</v>
      </c>
      <c r="C75" s="32" t="n">
        <v>-0.2932033146524571</v>
      </c>
      <c r="D75" s="32" t="n">
        <v>-0.7292432091636103</v>
      </c>
      <c r="E75" s="31" t="n">
        <v>1.654956661833751</v>
      </c>
      <c r="F75" s="31" t="n">
        <v>2.171610243613609</v>
      </c>
      <c r="G75" s="16" t="n">
        <v>1590.93652</v>
      </c>
      <c r="H75" s="16" t="n">
        <v>1578.48584</v>
      </c>
      <c r="I75" s="16" t="n">
        <v>1609.03175</v>
      </c>
      <c r="J75" s="16" t="n">
        <v>1541.12883</v>
      </c>
      <c r="K75" s="16" t="n">
        <v>1490.19533</v>
      </c>
      <c r="L75" s="16" t="n">
        <v>1497.07414</v>
      </c>
      <c r="M75" s="16" t="n">
        <v>1349.07091</v>
      </c>
      <c r="N75" s="16" t="n">
        <v>1382.72849</v>
      </c>
      <c r="O75" s="16" t="n">
        <v>1314.098</v>
      </c>
      <c r="P75" s="16" t="n">
        <v>1375.3881</v>
      </c>
      <c r="Q75" s="16" t="n">
        <v>1328.51767</v>
      </c>
      <c r="R75" s="16" t="n">
        <v>1231.30631</v>
      </c>
      <c r="S75" s="16" t="n">
        <v>1224.90707</v>
      </c>
      <c r="T75" s="16" t="n">
        <v>1321.11615</v>
      </c>
      <c r="U75" s="16" t="n">
        <v>1300.26822</v>
      </c>
      <c r="V75" s="16" t="n">
        <v>1334.18127</v>
      </c>
      <c r="W75" s="16" t="n">
        <v>1312.63901</v>
      </c>
      <c r="X75" s="16" t="n">
        <v>1343.2538</v>
      </c>
      <c r="Y75" s="16" t="n">
        <v>1371.92757</v>
      </c>
      <c r="Z75" s="16" t="n">
        <v>1344.15452</v>
      </c>
      <c r="AA75" s="16" t="n">
        <v>1374.56701</v>
      </c>
      <c r="AB75" s="16" t="n">
        <v>1374.40209</v>
      </c>
      <c r="AC75" s="16" t="n">
        <v>1360.194</v>
      </c>
      <c r="AD75" s="16" t="n">
        <v>1293.8947</v>
      </c>
      <c r="AE75" s="16" t="n">
        <v>1260.65345</v>
      </c>
      <c r="AF75" s="16" t="n">
        <v>1351.43459</v>
      </c>
      <c r="AG75" s="16" t="n">
        <v>1418.4758</v>
      </c>
      <c r="AH75" s="16" t="n">
        <v>1405.26746</v>
      </c>
      <c r="AI75" s="16" t="n">
        <v>1400.60466</v>
      </c>
      <c r="AJ75" s="16" t="n">
        <v>1410.83023</v>
      </c>
      <c r="AK75" s="16" t="n">
        <v>1351.68453</v>
      </c>
      <c r="AL75" s="16" t="n">
        <v>1378.90177</v>
      </c>
      <c r="AM75" s="16" t="n">
        <v>1408.0059</v>
      </c>
      <c r="AN75" s="16" t="n">
        <v>1438.03984</v>
      </c>
      <c r="AO75" s="16" t="n">
        <v>1470.70168</v>
      </c>
      <c r="AP75" s="16" t="n">
        <v>1498.12823</v>
      </c>
      <c r="AQ75" s="16" t="n">
        <v>1441.45177</v>
      </c>
      <c r="AR75" s="16" t="n">
        <v>1459.58804</v>
      </c>
      <c r="AS75" s="16" t="n">
        <v>1413.47386</v>
      </c>
      <c r="AT75" s="16" t="n">
        <v>1422.65441</v>
      </c>
      <c r="AU75" s="16" t="n">
        <v>1464.67662</v>
      </c>
      <c r="AV75" s="16" t="n">
        <v>1457.81869</v>
      </c>
      <c r="AW75" s="16" t="n">
        <v>1457.28252</v>
      </c>
      <c r="AX75" s="16" t="n">
        <v>1456.43788</v>
      </c>
      <c r="AY75" s="16" t="n">
        <v>1490.25709</v>
      </c>
      <c r="AZ75" s="16" t="n">
        <v>1498.88468</v>
      </c>
      <c r="BA75" s="16" t="n">
        <v>1528.03502</v>
      </c>
      <c r="BB75" s="16" t="n">
        <v>1572.44216</v>
      </c>
      <c r="BC75" s="16" t="n">
        <v>1587.36216</v>
      </c>
      <c r="BD75" s="16" t="n">
        <v>1588.74655</v>
      </c>
      <c r="BE75" s="16" t="n">
        <v>1565.69961</v>
      </c>
      <c r="BF75" s="16" t="n">
        <v>1571.78277</v>
      </c>
      <c r="BG75" s="16" t="n">
        <v>1599.88563</v>
      </c>
      <c r="BH75" s="16" t="n">
        <v>1562.98834</v>
      </c>
      <c r="BI75" s="16" t="n">
        <v>1590.49291</v>
      </c>
      <c r="BJ75" s="16" t="n">
        <v>1604.82737</v>
      </c>
      <c r="BK75" s="16" t="n">
        <v>1617.78018</v>
      </c>
      <c r="BL75" s="16" t="n">
        <v>1577.67544</v>
      </c>
      <c r="BM75" s="16" t="n">
        <v>1592.53595</v>
      </c>
      <c r="BN75" s="16" t="n">
        <v>1591.61126</v>
      </c>
    </row>
    <row r="76">
      <c r="A76" s="10" t="inlineStr">
        <is>
          <t>Philippines</t>
        </is>
      </c>
      <c r="B76" s="16" t="n">
        <v>1031.468432</v>
      </c>
      <c r="C76" s="32" t="n">
        <v>-0.198281846568471</v>
      </c>
      <c r="D76" s="32" t="n">
        <v>-0.5979941709226777</v>
      </c>
      <c r="E76" s="32" t="n">
        <v>-1.899319447666092</v>
      </c>
      <c r="F76" s="32" t="n">
        <v>-0.9709833508838916</v>
      </c>
      <c r="G76" s="16" t="n">
        <v>1043.17742</v>
      </c>
      <c r="H76" s="16" t="n">
        <v>1041.07004</v>
      </c>
      <c r="I76" s="16" t="n">
        <v>1056.979</v>
      </c>
      <c r="J76" s="16" t="n">
        <v>1014.35173</v>
      </c>
      <c r="K76" s="16" t="n">
        <v>974.26782</v>
      </c>
      <c r="L76" s="16" t="n">
        <v>978.03598</v>
      </c>
      <c r="M76" s="16" t="n">
        <v>909.10829</v>
      </c>
      <c r="N76" s="16" t="n">
        <v>924.18569</v>
      </c>
      <c r="O76" s="16" t="n">
        <v>892.02265</v>
      </c>
      <c r="P76" s="16" t="n">
        <v>937.446</v>
      </c>
      <c r="Q76" s="16" t="n">
        <v>917.94811</v>
      </c>
      <c r="R76" s="16" t="n">
        <v>852.86423</v>
      </c>
      <c r="S76" s="16" t="n">
        <v>838.97869</v>
      </c>
      <c r="T76" s="16" t="n">
        <v>887.63292</v>
      </c>
      <c r="U76" s="16" t="n">
        <v>899.29801</v>
      </c>
      <c r="V76" s="16" t="n">
        <v>915.52027</v>
      </c>
      <c r="W76" s="16" t="n">
        <v>892.63204</v>
      </c>
      <c r="X76" s="16" t="n">
        <v>916.9896</v>
      </c>
      <c r="Y76" s="16" t="n">
        <v>930.71537</v>
      </c>
      <c r="Z76" s="16" t="n">
        <v>923.68674</v>
      </c>
      <c r="AA76" s="16" t="n">
        <v>922.38795</v>
      </c>
      <c r="AB76" s="16" t="n">
        <v>927.82442</v>
      </c>
      <c r="AC76" s="16" t="n">
        <v>913.61948</v>
      </c>
      <c r="AD76" s="16" t="n">
        <v>881.32231</v>
      </c>
      <c r="AE76" s="16" t="n">
        <v>866.6632</v>
      </c>
      <c r="AF76" s="16" t="n">
        <v>920.25327</v>
      </c>
      <c r="AG76" s="16" t="n">
        <v>964.10038</v>
      </c>
      <c r="AH76" s="16" t="n">
        <v>947.5581100000001</v>
      </c>
      <c r="AI76" s="16" t="n">
        <v>941.41494</v>
      </c>
      <c r="AJ76" s="16" t="n">
        <v>949.82413</v>
      </c>
      <c r="AK76" s="16" t="n">
        <v>922.76597</v>
      </c>
      <c r="AL76" s="16" t="n">
        <v>937.88464</v>
      </c>
      <c r="AM76" s="16" t="n">
        <v>952.55298</v>
      </c>
      <c r="AN76" s="16" t="n">
        <v>968.92351</v>
      </c>
      <c r="AO76" s="16" t="n">
        <v>992.43325</v>
      </c>
      <c r="AP76" s="16" t="n">
        <v>1010.26477</v>
      </c>
      <c r="AQ76" s="16" t="n">
        <v>980.49468</v>
      </c>
      <c r="AR76" s="16" t="n">
        <v>983.3292300000001</v>
      </c>
      <c r="AS76" s="16" t="n">
        <v>961.86922</v>
      </c>
      <c r="AT76" s="16" t="n">
        <v>965.0961</v>
      </c>
      <c r="AU76" s="16" t="n">
        <v>985.0940900000001</v>
      </c>
      <c r="AV76" s="16" t="n">
        <v>988.97969</v>
      </c>
      <c r="AW76" s="16" t="n">
        <v>994.29524</v>
      </c>
      <c r="AX76" s="16" t="n">
        <v>993.2536700000001</v>
      </c>
      <c r="AY76" s="16" t="n">
        <v>1008.9746</v>
      </c>
      <c r="AZ76" s="16" t="n">
        <v>1016.23036</v>
      </c>
      <c r="BA76" s="16" t="n">
        <v>1030.65244</v>
      </c>
      <c r="BB76" s="16" t="n">
        <v>1047.07661</v>
      </c>
      <c r="BC76" s="16" t="n">
        <v>1052.34407</v>
      </c>
      <c r="BD76" s="16" t="n">
        <v>1052.16279</v>
      </c>
      <c r="BE76" s="16" t="n">
        <v>1051.43861</v>
      </c>
      <c r="BF76" s="16" t="n">
        <v>1046.22813</v>
      </c>
      <c r="BG76" s="16" t="n">
        <v>1064.48834</v>
      </c>
      <c r="BH76" s="16" t="n">
        <v>1029.83344</v>
      </c>
      <c r="BI76" s="16" t="n">
        <v>1041.126</v>
      </c>
      <c r="BJ76" s="16" t="n">
        <v>1042.28403</v>
      </c>
      <c r="BK76" s="16" t="n">
        <v>1050.57826</v>
      </c>
      <c r="BL76" s="16" t="n">
        <v>1024.74838</v>
      </c>
      <c r="BM76" s="16" t="n">
        <v>1032.98792</v>
      </c>
      <c r="BN76" s="16" t="n">
        <v>1031.468432</v>
      </c>
    </row>
    <row r="77">
      <c r="A77" s="10" t="inlineStr">
        <is>
          <t>Poland</t>
        </is>
      </c>
      <c r="B77" s="16" t="n">
        <v>802.328182</v>
      </c>
      <c r="C77" s="32" t="n">
        <v>-0.8240864282226701</v>
      </c>
      <c r="D77" s="32" t="n">
        <v>-0.852221775717954</v>
      </c>
      <c r="E77" s="32" t="n">
        <v>-0.8257879691011549</v>
      </c>
      <c r="F77" s="31" t="n">
        <v>0.8377967960396138</v>
      </c>
      <c r="G77" s="16" t="n">
        <v>723.72423</v>
      </c>
      <c r="H77" s="16" t="n">
        <v>720.46276</v>
      </c>
      <c r="I77" s="16" t="n">
        <v>724.32275</v>
      </c>
      <c r="J77" s="16" t="n">
        <v>719.6187</v>
      </c>
      <c r="K77" s="16" t="n">
        <v>708.7458</v>
      </c>
      <c r="L77" s="16" t="n">
        <v>705.57277</v>
      </c>
      <c r="M77" s="16" t="n">
        <v>690.94349</v>
      </c>
      <c r="N77" s="16" t="n">
        <v>698.68107</v>
      </c>
      <c r="O77" s="16" t="n">
        <v>693.88672</v>
      </c>
      <c r="P77" s="16" t="n">
        <v>701.90924</v>
      </c>
      <c r="Q77" s="16" t="n">
        <v>699.6233</v>
      </c>
      <c r="R77" s="16" t="n">
        <v>684.07526</v>
      </c>
      <c r="S77" s="16" t="n">
        <v>684.3572</v>
      </c>
      <c r="T77" s="16" t="n">
        <v>692.73474</v>
      </c>
      <c r="U77" s="16" t="n">
        <v>695.91351</v>
      </c>
      <c r="V77" s="16" t="n">
        <v>703.38392</v>
      </c>
      <c r="W77" s="16" t="n">
        <v>696.68417</v>
      </c>
      <c r="X77" s="16" t="n">
        <v>710.65568</v>
      </c>
      <c r="Y77" s="16" t="n">
        <v>717.7952299999999</v>
      </c>
      <c r="Z77" s="16" t="n">
        <v>708.98478</v>
      </c>
      <c r="AA77" s="16" t="n">
        <v>706.7358400000001</v>
      </c>
      <c r="AB77" s="16" t="n">
        <v>712.54143</v>
      </c>
      <c r="AC77" s="16" t="n">
        <v>702.55725</v>
      </c>
      <c r="AD77" s="16" t="n">
        <v>678.68175</v>
      </c>
      <c r="AE77" s="16" t="n">
        <v>675.62505</v>
      </c>
      <c r="AF77" s="16" t="n">
        <v>709.11149</v>
      </c>
      <c r="AG77" s="16" t="n">
        <v>740.47047</v>
      </c>
      <c r="AH77" s="16" t="n">
        <v>734.11713</v>
      </c>
      <c r="AI77" s="16" t="n">
        <v>729.45132</v>
      </c>
      <c r="AJ77" s="16" t="n">
        <v>734.0847</v>
      </c>
      <c r="AK77" s="16" t="n">
        <v>713.79008</v>
      </c>
      <c r="AL77" s="16" t="n">
        <v>725.47785</v>
      </c>
      <c r="AM77" s="16" t="n">
        <v>735.30064</v>
      </c>
      <c r="AN77" s="16" t="n">
        <v>747.23634</v>
      </c>
      <c r="AO77" s="16" t="n">
        <v>768.67288</v>
      </c>
      <c r="AP77" s="16" t="n">
        <v>772.14792</v>
      </c>
      <c r="AQ77" s="16" t="n">
        <v>748.50582</v>
      </c>
      <c r="AR77" s="16" t="n">
        <v>752.3832</v>
      </c>
      <c r="AS77" s="16" t="n">
        <v>735.87221</v>
      </c>
      <c r="AT77" s="16" t="n">
        <v>743.73583</v>
      </c>
      <c r="AU77" s="16" t="n">
        <v>760.2979800000001</v>
      </c>
      <c r="AV77" s="16" t="n">
        <v>759.63856</v>
      </c>
      <c r="AW77" s="16" t="n">
        <v>765.93451</v>
      </c>
      <c r="AX77" s="16" t="n">
        <v>759.07142</v>
      </c>
      <c r="AY77" s="16" t="n">
        <v>773.216</v>
      </c>
      <c r="AZ77" s="16" t="n">
        <v>779.4087500000001</v>
      </c>
      <c r="BA77" s="16" t="n">
        <v>786.97708</v>
      </c>
      <c r="BB77" s="16" t="n">
        <v>800.24209</v>
      </c>
      <c r="BC77" s="16" t="n">
        <v>810.05725</v>
      </c>
      <c r="BD77" s="16" t="n">
        <v>811.85933</v>
      </c>
      <c r="BE77" s="16" t="n">
        <v>809.00888</v>
      </c>
      <c r="BF77" s="16" t="n">
        <v>808.34306</v>
      </c>
      <c r="BG77" s="16" t="n">
        <v>827.2126</v>
      </c>
      <c r="BH77" s="16" t="n">
        <v>801.86284</v>
      </c>
      <c r="BI77" s="16" t="n">
        <v>811.09744</v>
      </c>
      <c r="BJ77" s="16" t="n">
        <v>811.70668</v>
      </c>
      <c r="BK77" s="16" t="n">
        <v>821.06562</v>
      </c>
      <c r="BL77" s="16" t="n">
        <v>802.32964</v>
      </c>
      <c r="BM77" s="16" t="n">
        <v>804.87334</v>
      </c>
      <c r="BN77" s="16" t="n">
        <v>802.328182</v>
      </c>
    </row>
    <row r="78">
      <c r="A78" s="10" t="inlineStr">
        <is>
          <t>Republic of Congo</t>
        </is>
      </c>
      <c r="B78" s="16" t="n">
        <v>114.826399</v>
      </c>
      <c r="C78" s="31" t="n">
        <v>1.177155538387198</v>
      </c>
      <c r="D78" s="31" t="n">
        <v>1.758564187093459</v>
      </c>
      <c r="E78" s="33" t="inlineStr"/>
      <c r="F78" s="33" t="inlineStr"/>
      <c r="G78" s="16" t="inlineStr"/>
      <c r="H78" s="16" t="inlineStr"/>
      <c r="I78" s="16" t="inlineStr"/>
      <c r="J78" s="16" t="inlineStr"/>
      <c r="K78" s="16" t="inlineStr"/>
      <c r="L78" s="16" t="inlineStr"/>
      <c r="M78" s="16" t="inlineStr"/>
      <c r="N78" s="16" t="inlineStr"/>
      <c r="O78" s="16" t="inlineStr"/>
      <c r="P78" s="16" t="inlineStr"/>
      <c r="Q78" s="16" t="inlineStr"/>
      <c r="R78" s="16" t="inlineStr"/>
      <c r="S78" s="16" t="inlineStr"/>
      <c r="T78" s="16" t="inlineStr"/>
      <c r="U78" s="16" t="inlineStr"/>
      <c r="V78" s="16" t="inlineStr"/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/>
      <c r="AD78" s="16" t="inlineStr"/>
      <c r="AE78" s="16" t="inlineStr"/>
      <c r="AF78" s="16" t="inlineStr"/>
      <c r="AG78" s="16" t="inlineStr"/>
      <c r="AH78" s="16" t="inlineStr"/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  <c r="AT78" s="16" t="inlineStr"/>
      <c r="AU78" s="16" t="inlineStr"/>
      <c r="AV78" s="16" t="inlineStr"/>
      <c r="AW78" s="16" t="inlineStr"/>
      <c r="AX78" s="16" t="inlineStr"/>
      <c r="AY78" s="16" t="inlineStr"/>
      <c r="AZ78" s="16" t="inlineStr"/>
      <c r="BA78" s="16" t="inlineStr"/>
      <c r="BB78" s="16" t="inlineStr"/>
      <c r="BC78" s="16" t="inlineStr"/>
      <c r="BD78" s="16" t="inlineStr"/>
      <c r="BE78" s="16" t="inlineStr"/>
      <c r="BF78" s="16" t="inlineStr"/>
      <c r="BG78" s="16" t="inlineStr"/>
      <c r="BH78" s="16" t="n">
        <v>100</v>
      </c>
      <c r="BI78" s="16" t="n">
        <v>108.18772</v>
      </c>
      <c r="BJ78" s="16" t="n">
        <v>113.68953</v>
      </c>
      <c r="BK78" s="16" t="n">
        <v>111.2595</v>
      </c>
      <c r="BL78" s="16" t="n">
        <v>111.30519</v>
      </c>
      <c r="BM78" s="16" t="n">
        <v>114.67128</v>
      </c>
      <c r="BN78" s="16" t="n">
        <v>114.826399</v>
      </c>
    </row>
    <row r="79">
      <c r="A79" s="10" t="inlineStr">
        <is>
          <t>Romania</t>
        </is>
      </c>
      <c r="B79" s="16" t="n">
        <v>201.601905</v>
      </c>
      <c r="C79" s="32" t="n">
        <v>-0.7291292845119646</v>
      </c>
      <c r="D79" s="32" t="n">
        <v>-0.06044649953124148</v>
      </c>
      <c r="E79" s="31" t="n">
        <v>0.304505381066944</v>
      </c>
      <c r="F79" s="31" t="n">
        <v>4.509378980138057</v>
      </c>
      <c r="G79" s="16" t="n">
        <v>192.95669</v>
      </c>
      <c r="H79" s="16" t="n">
        <v>189.44443</v>
      </c>
      <c r="I79" s="16" t="n">
        <v>193.77017</v>
      </c>
      <c r="J79" s="16" t="n">
        <v>186.467</v>
      </c>
      <c r="K79" s="16" t="n">
        <v>176.5848</v>
      </c>
      <c r="L79" s="16" t="n">
        <v>179.05602</v>
      </c>
      <c r="M79" s="16" t="n">
        <v>165.56626</v>
      </c>
      <c r="N79" s="16" t="n">
        <v>165.38623</v>
      </c>
      <c r="O79" s="16" t="n">
        <v>152.25072</v>
      </c>
      <c r="P79" s="16" t="n">
        <v>160.07679</v>
      </c>
      <c r="Q79" s="16" t="n">
        <v>158.96004</v>
      </c>
      <c r="R79" s="16" t="n">
        <v>143.79114</v>
      </c>
      <c r="S79" s="16" t="n">
        <v>146.57032</v>
      </c>
      <c r="T79" s="16" t="n">
        <v>158.72181</v>
      </c>
      <c r="U79" s="16" t="n">
        <v>158.40474</v>
      </c>
      <c r="V79" s="16" t="n">
        <v>164.90299</v>
      </c>
      <c r="W79" s="16" t="n">
        <v>163.39449</v>
      </c>
      <c r="X79" s="16" t="n">
        <v>165.78307</v>
      </c>
      <c r="Y79" s="16" t="n">
        <v>167.62885</v>
      </c>
      <c r="Z79" s="16" t="n">
        <v>165.99053</v>
      </c>
      <c r="AA79" s="16" t="n">
        <v>169.48134</v>
      </c>
      <c r="AB79" s="16" t="n">
        <v>172.37514</v>
      </c>
      <c r="AC79" s="16" t="n">
        <v>168.8955</v>
      </c>
      <c r="AD79" s="16" t="n">
        <v>163.74471</v>
      </c>
      <c r="AE79" s="16" t="n">
        <v>160.3245</v>
      </c>
      <c r="AF79" s="16" t="n">
        <v>168.40395</v>
      </c>
      <c r="AG79" s="16" t="n">
        <v>176.9318</v>
      </c>
      <c r="AH79" s="16" t="n">
        <v>177.56073</v>
      </c>
      <c r="AI79" s="16" t="n">
        <v>174.9014</v>
      </c>
      <c r="AJ79" s="16" t="n">
        <v>178.18784</v>
      </c>
      <c r="AK79" s="16" t="n">
        <v>173.41936</v>
      </c>
      <c r="AL79" s="16" t="n">
        <v>177.11187</v>
      </c>
      <c r="AM79" s="16" t="n">
        <v>178.25349</v>
      </c>
      <c r="AN79" s="16" t="n">
        <v>181.88234</v>
      </c>
      <c r="AO79" s="16" t="n">
        <v>184.82822</v>
      </c>
      <c r="AP79" s="16" t="n">
        <v>187.73728</v>
      </c>
      <c r="AQ79" s="16" t="n">
        <v>181.65312</v>
      </c>
      <c r="AR79" s="16" t="n">
        <v>179.20814</v>
      </c>
      <c r="AS79" s="16" t="n">
        <v>175.70676</v>
      </c>
      <c r="AT79" s="16" t="n">
        <v>176.84993</v>
      </c>
      <c r="AU79" s="16" t="n">
        <v>180.53796</v>
      </c>
      <c r="AV79" s="16" t="n">
        <v>179.60725</v>
      </c>
      <c r="AW79" s="16" t="n">
        <v>177.84943</v>
      </c>
      <c r="AX79" s="16" t="n">
        <v>179.93015</v>
      </c>
      <c r="AY79" s="16" t="n">
        <v>185.50032</v>
      </c>
      <c r="AZ79" s="16" t="n">
        <v>189.7892</v>
      </c>
      <c r="BA79" s="16" t="n">
        <v>191.05772</v>
      </c>
      <c r="BB79" s="16" t="n">
        <v>194.27817</v>
      </c>
      <c r="BC79" s="16" t="n">
        <v>197.87371</v>
      </c>
      <c r="BD79" s="16" t="n">
        <v>199.02039</v>
      </c>
      <c r="BE79" s="16" t="n">
        <v>200.98988</v>
      </c>
      <c r="BF79" s="16" t="n">
        <v>202.62709</v>
      </c>
      <c r="BG79" s="16" t="n">
        <v>206.64538</v>
      </c>
      <c r="BH79" s="16" t="n">
        <v>196.11533</v>
      </c>
      <c r="BI79" s="16" t="n">
        <v>200.00036</v>
      </c>
      <c r="BJ79" s="16" t="n">
        <v>202.4835</v>
      </c>
      <c r="BK79" s="16" t="n">
        <v>203.40875</v>
      </c>
      <c r="BL79" s="16" t="n">
        <v>201.37114</v>
      </c>
      <c r="BM79" s="16" t="n">
        <v>202.07891</v>
      </c>
      <c r="BN79" s="16" t="n">
        <v>201.601905</v>
      </c>
    </row>
    <row r="80">
      <c r="A80" s="10" t="inlineStr">
        <is>
          <t>Rwanda</t>
        </is>
      </c>
      <c r="B80" s="16" t="n">
        <v>128.504014</v>
      </c>
      <c r="C80" s="33" t="inlineStr"/>
      <c r="D80" s="33" t="inlineStr"/>
      <c r="E80" s="33" t="inlineStr"/>
      <c r="F80" s="33" t="inlineStr"/>
      <c r="G80" s="16" t="inlineStr"/>
      <c r="H80" s="16" t="inlineStr"/>
      <c r="I80" s="16" t="inlineStr"/>
      <c r="J80" s="16" t="inlineStr"/>
      <c r="K80" s="16" t="inlineStr"/>
      <c r="L80" s="16" t="inlineStr"/>
      <c r="M80" s="16" t="inlineStr"/>
      <c r="N80" s="16" t="inlineStr"/>
      <c r="O80" s="16" t="inlineStr"/>
      <c r="P80" s="16" t="inlineStr"/>
      <c r="Q80" s="16" t="inlineStr"/>
      <c r="R80" s="16" t="inlineStr"/>
      <c r="S80" s="16" t="inlineStr"/>
      <c r="T80" s="16" t="inlineStr"/>
      <c r="U80" s="16" t="inlineStr"/>
      <c r="V80" s="16" t="inlineStr"/>
      <c r="W80" s="16" t="inlineStr"/>
      <c r="X80" s="16" t="inlineStr"/>
      <c r="Y80" s="16" t="inlineStr"/>
      <c r="Z80" s="16" t="inlineStr"/>
      <c r="AA80" s="16" t="inlineStr"/>
      <c r="AB80" s="16" t="inlineStr"/>
      <c r="AC80" s="16" t="inlineStr"/>
      <c r="AD80" s="16" t="inlineStr"/>
      <c r="AE80" s="16" t="inlineStr"/>
      <c r="AF80" s="16" t="inlineStr"/>
      <c r="AG80" s="16" t="inlineStr"/>
      <c r="AH80" s="16" t="inlineStr"/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  <c r="AT80" s="16" t="inlineStr"/>
      <c r="AU80" s="16" t="inlineStr"/>
      <c r="AV80" s="16" t="inlineStr"/>
      <c r="AW80" s="16" t="inlineStr"/>
      <c r="AX80" s="16" t="inlineStr"/>
      <c r="AY80" s="16" t="inlineStr"/>
      <c r="AZ80" s="16" t="inlineStr"/>
      <c r="BA80" s="16" t="inlineStr"/>
      <c r="BB80" s="16" t="inlineStr"/>
      <c r="BC80" s="16" t="inlineStr"/>
      <c r="BD80" s="16" t="inlineStr"/>
      <c r="BE80" s="16" t="inlineStr"/>
      <c r="BF80" s="16" t="inlineStr"/>
      <c r="BG80" s="16" t="inlineStr"/>
      <c r="BH80" s="16" t="inlineStr"/>
      <c r="BI80" s="16" t="inlineStr"/>
      <c r="BJ80" s="16" t="inlineStr"/>
      <c r="BK80" s="16" t="inlineStr"/>
      <c r="BL80" s="16" t="inlineStr"/>
      <c r="BM80" s="16" t="inlineStr"/>
      <c r="BN80" s="16" t="n">
        <v>128.504014</v>
      </c>
    </row>
    <row r="81">
      <c r="A81" s="10" t="inlineStr">
        <is>
          <t>Saudi Arabia</t>
        </is>
      </c>
      <c r="B81" s="16" t="n">
        <v>126.614438</v>
      </c>
      <c r="C81" s="32" t="n">
        <v>-0.2985285473159793</v>
      </c>
      <c r="D81" s="32" t="n">
        <v>-0.5250218607870449</v>
      </c>
      <c r="E81" s="32" t="n">
        <v>-0.5907283709581157</v>
      </c>
      <c r="F81" s="31" t="n">
        <v>0.841563076253582</v>
      </c>
      <c r="G81" s="16" t="n">
        <v>127.4701</v>
      </c>
      <c r="H81" s="16" t="n">
        <v>127.96766</v>
      </c>
      <c r="I81" s="16" t="n">
        <v>129.10337</v>
      </c>
      <c r="J81" s="16" t="n">
        <v>125.41881</v>
      </c>
      <c r="K81" s="16" t="n">
        <v>123.2993</v>
      </c>
      <c r="L81" s="16" t="n">
        <v>121.037</v>
      </c>
      <c r="M81" s="16" t="n">
        <v>115.08312</v>
      </c>
      <c r="N81" s="16" t="n">
        <v>115.96628</v>
      </c>
      <c r="O81" s="16" t="n">
        <v>111.78115</v>
      </c>
      <c r="P81" s="16" t="n">
        <v>116.50185</v>
      </c>
      <c r="Q81" s="16" t="n">
        <v>114.0959</v>
      </c>
      <c r="R81" s="16" t="n">
        <v>107.18773</v>
      </c>
      <c r="S81" s="16" t="n">
        <v>104.09843</v>
      </c>
      <c r="T81" s="16" t="n">
        <v>109.93523</v>
      </c>
      <c r="U81" s="16" t="n">
        <v>110.80102</v>
      </c>
      <c r="V81" s="16" t="n">
        <v>112.45488</v>
      </c>
      <c r="W81" s="16" t="n">
        <v>109.70067</v>
      </c>
      <c r="X81" s="16" t="n">
        <v>112.12786</v>
      </c>
      <c r="Y81" s="16" t="n">
        <v>114.02302</v>
      </c>
      <c r="Z81" s="16" t="n">
        <v>112.15515</v>
      </c>
      <c r="AA81" s="16" t="n">
        <v>111.87021</v>
      </c>
      <c r="AB81" s="16" t="n">
        <v>112.01153</v>
      </c>
      <c r="AC81" s="16" t="n">
        <v>110.72057</v>
      </c>
      <c r="AD81" s="16" t="n">
        <v>107.52245</v>
      </c>
      <c r="AE81" s="16" t="n">
        <v>105.43314</v>
      </c>
      <c r="AF81" s="16" t="n">
        <v>110.90979</v>
      </c>
      <c r="AG81" s="16" t="n">
        <v>116.28771</v>
      </c>
      <c r="AH81" s="16" t="n">
        <v>113.92</v>
      </c>
      <c r="AI81" s="16" t="n">
        <v>113.38421</v>
      </c>
      <c r="AJ81" s="16" t="n">
        <v>115.13983</v>
      </c>
      <c r="AK81" s="16" t="n">
        <v>112.03724</v>
      </c>
      <c r="AL81" s="16" t="n">
        <v>114.26188</v>
      </c>
      <c r="AM81" s="16" t="n">
        <v>115.42909</v>
      </c>
      <c r="AN81" s="16" t="n">
        <v>117.00546</v>
      </c>
      <c r="AO81" s="16" t="n">
        <v>120.2754</v>
      </c>
      <c r="AP81" s="16" t="n">
        <v>120.97918</v>
      </c>
      <c r="AQ81" s="16" t="n">
        <v>118.06847</v>
      </c>
      <c r="AR81" s="16" t="n">
        <v>119.19528</v>
      </c>
      <c r="AS81" s="16" t="n">
        <v>116.67497</v>
      </c>
      <c r="AT81" s="16" t="n">
        <v>117.6964</v>
      </c>
      <c r="AU81" s="16" t="n">
        <v>119.91185</v>
      </c>
      <c r="AV81" s="16" t="n">
        <v>119.74665</v>
      </c>
      <c r="AW81" s="16" t="n">
        <v>120.33373</v>
      </c>
      <c r="AX81" s="16" t="n">
        <v>120.30566</v>
      </c>
      <c r="AY81" s="16" t="n">
        <v>122.08572</v>
      </c>
      <c r="AZ81" s="16" t="n">
        <v>123.11674</v>
      </c>
      <c r="BA81" s="16" t="n">
        <v>124.43031</v>
      </c>
      <c r="BB81" s="16" t="n">
        <v>126.39822</v>
      </c>
      <c r="BC81" s="16" t="n">
        <v>127.61609</v>
      </c>
      <c r="BD81" s="16" t="n">
        <v>127.79769</v>
      </c>
      <c r="BE81" s="16" t="n">
        <v>127.36683</v>
      </c>
      <c r="BF81" s="16" t="n">
        <v>126.85746</v>
      </c>
      <c r="BG81" s="16" t="n">
        <v>128.87724</v>
      </c>
      <c r="BH81" s="16" t="n">
        <v>125.48476</v>
      </c>
      <c r="BI81" s="16" t="n">
        <v>127.11285</v>
      </c>
      <c r="BJ81" s="16" t="n">
        <v>128.14516</v>
      </c>
      <c r="BK81" s="16" t="n">
        <v>128.14893</v>
      </c>
      <c r="BL81" s="16" t="n">
        <v>125.90704</v>
      </c>
      <c r="BM81" s="16" t="n">
        <v>126.96425</v>
      </c>
      <c r="BN81" s="16" t="n">
        <v>126.614438</v>
      </c>
    </row>
    <row r="82">
      <c r="A82" s="10" t="inlineStr">
        <is>
          <t>Senegal</t>
        </is>
      </c>
      <c r="B82" s="16" t="n">
        <v>176.70971</v>
      </c>
      <c r="C82" s="32" t="n">
        <v>-1.198822390460141</v>
      </c>
      <c r="D82" s="31" t="n">
        <v>3.171331132465882</v>
      </c>
      <c r="E82" s="32" t="n">
        <v>-0.1098505155676555</v>
      </c>
      <c r="F82" s="32" t="n">
        <v>-19.51424528687746</v>
      </c>
      <c r="G82" s="16" t="n">
        <v>233.51364</v>
      </c>
      <c r="H82" s="16" t="n">
        <v>229.42636</v>
      </c>
      <c r="I82" s="16" t="n">
        <v>234.54287</v>
      </c>
      <c r="J82" s="16" t="n">
        <v>227.98108</v>
      </c>
      <c r="K82" s="16" t="n">
        <v>209.24198</v>
      </c>
      <c r="L82" s="16" t="n">
        <v>215.29077</v>
      </c>
      <c r="M82" s="16" t="n">
        <v>202.65583</v>
      </c>
      <c r="N82" s="16" t="n">
        <v>198.73924</v>
      </c>
      <c r="O82" s="16" t="n">
        <v>169.86232</v>
      </c>
      <c r="P82" s="16" t="n">
        <v>184.65552</v>
      </c>
      <c r="Q82" s="16" t="n">
        <v>186.95717</v>
      </c>
      <c r="R82" s="16" t="n">
        <v>171.69792</v>
      </c>
      <c r="S82" s="16" t="n">
        <v>174.22097</v>
      </c>
      <c r="T82" s="16" t="n">
        <v>196.25477</v>
      </c>
      <c r="U82" s="16" t="n">
        <v>194.68028</v>
      </c>
      <c r="V82" s="16" t="n">
        <v>206.81</v>
      </c>
      <c r="W82" s="16" t="n">
        <v>197.25924</v>
      </c>
      <c r="X82" s="16" t="n">
        <v>192.99048</v>
      </c>
      <c r="Y82" s="16" t="n">
        <v>190.90493</v>
      </c>
      <c r="Z82" s="16" t="n">
        <v>192.49857</v>
      </c>
      <c r="AA82" s="16" t="n">
        <v>206.19454</v>
      </c>
      <c r="AB82" s="16" t="n">
        <v>214.95074</v>
      </c>
      <c r="AC82" s="16" t="n">
        <v>204.1719</v>
      </c>
      <c r="AD82" s="16" t="n">
        <v>200.00186</v>
      </c>
      <c r="AE82" s="16" t="n">
        <v>199.30408</v>
      </c>
      <c r="AF82" s="16" t="n">
        <v>211.20904</v>
      </c>
      <c r="AG82" s="16" t="n">
        <v>232.08212</v>
      </c>
      <c r="AH82" s="16" t="n">
        <v>224.35993</v>
      </c>
      <c r="AI82" s="16" t="n">
        <v>218.90442</v>
      </c>
      <c r="AJ82" s="16" t="n">
        <v>224.95522</v>
      </c>
      <c r="AK82" s="16" t="n">
        <v>225.23719</v>
      </c>
      <c r="AL82" s="16" t="n">
        <v>225.7877</v>
      </c>
      <c r="AM82" s="16" t="n">
        <v>224.33474</v>
      </c>
      <c r="AN82" s="16" t="n">
        <v>226.52032</v>
      </c>
      <c r="AO82" s="16" t="n">
        <v>234.31202</v>
      </c>
      <c r="AP82" s="16" t="n">
        <v>233.61943</v>
      </c>
      <c r="AQ82" s="16" t="n">
        <v>225.45144</v>
      </c>
      <c r="AR82" s="16" t="n">
        <v>231.46719</v>
      </c>
      <c r="AS82" s="16" t="n">
        <v>221.79413</v>
      </c>
      <c r="AT82" s="16" t="n">
        <v>229.6019</v>
      </c>
      <c r="AU82" s="16" t="n">
        <v>220.48776</v>
      </c>
      <c r="AV82" s="16" t="n">
        <v>212.86353</v>
      </c>
      <c r="AW82" s="16" t="n">
        <v>200.13699</v>
      </c>
      <c r="AX82" s="16" t="n">
        <v>208.77943</v>
      </c>
      <c r="AY82" s="16" t="n">
        <v>194.67892</v>
      </c>
      <c r="AZ82" s="16" t="n">
        <v>217.85989</v>
      </c>
      <c r="BA82" s="16" t="n">
        <v>219.31246</v>
      </c>
      <c r="BB82" s="16" t="n">
        <v>215.7869</v>
      </c>
      <c r="BC82" s="16" t="n">
        <v>215.56682</v>
      </c>
      <c r="BD82" s="16" t="n">
        <v>186.59194</v>
      </c>
      <c r="BE82" s="16" t="n">
        <v>176.90404</v>
      </c>
      <c r="BF82" s="16" t="n">
        <v>179.25411</v>
      </c>
      <c r="BG82" s="16" t="n">
        <v>194.23884</v>
      </c>
      <c r="BH82" s="16" t="n">
        <v>171.79445</v>
      </c>
      <c r="BI82" s="16" t="n">
        <v>182.9459</v>
      </c>
      <c r="BJ82" s="16" t="n">
        <v>170.91821</v>
      </c>
      <c r="BK82" s="16" t="n">
        <v>174.51214</v>
      </c>
      <c r="BL82" s="16" t="n">
        <v>175.25795</v>
      </c>
      <c r="BM82" s="16" t="n">
        <v>170.33348</v>
      </c>
      <c r="BN82" s="16" t="n">
        <v>176.70971</v>
      </c>
    </row>
    <row r="83">
      <c r="A83" s="10" t="inlineStr">
        <is>
          <t>Serbia</t>
        </is>
      </c>
      <c r="B83" s="16" t="n">
        <v>102.280287</v>
      </c>
      <c r="C83" s="32" t="n">
        <v>-0.6068649094823408</v>
      </c>
      <c r="D83" s="32" t="n">
        <v>-0.4297464616298763</v>
      </c>
      <c r="E83" s="31" t="n">
        <v>0.6836953017524516</v>
      </c>
      <c r="F83" s="31" t="n">
        <v>2.357403067471031</v>
      </c>
      <c r="G83" s="16" t="n">
        <v>96.39754000000001</v>
      </c>
      <c r="H83" s="16" t="n">
        <v>94.34990000000001</v>
      </c>
      <c r="I83" s="16" t="n">
        <v>97.17892999999999</v>
      </c>
      <c r="J83" s="16" t="n">
        <v>93.03412</v>
      </c>
      <c r="K83" s="16" t="n">
        <v>86.22906</v>
      </c>
      <c r="L83" s="16" t="n">
        <v>87.07183999999999</v>
      </c>
      <c r="M83" s="16" t="n">
        <v>77.85344000000001</v>
      </c>
      <c r="N83" s="16" t="n">
        <v>80.68022999999999</v>
      </c>
      <c r="O83" s="16" t="n">
        <v>76.88323</v>
      </c>
      <c r="P83" s="16" t="n">
        <v>77.70656</v>
      </c>
      <c r="Q83" s="16" t="n">
        <v>76.02294999999999</v>
      </c>
      <c r="R83" s="16" t="n">
        <v>69.23492</v>
      </c>
      <c r="S83" s="16" t="n">
        <v>73.3443</v>
      </c>
      <c r="T83" s="16" t="n">
        <v>77.99003999999999</v>
      </c>
      <c r="U83" s="16" t="n">
        <v>76.36109</v>
      </c>
      <c r="V83" s="16" t="n">
        <v>81.09575</v>
      </c>
      <c r="W83" s="16" t="n">
        <v>79.42768</v>
      </c>
      <c r="X83" s="16" t="n">
        <v>81.30001</v>
      </c>
      <c r="Y83" s="16" t="n">
        <v>83.27137999999999</v>
      </c>
      <c r="Z83" s="16" t="n">
        <v>80.57477</v>
      </c>
      <c r="AA83" s="16" t="n">
        <v>81.91267999999999</v>
      </c>
      <c r="AB83" s="16" t="n">
        <v>83.39024999999999</v>
      </c>
      <c r="AC83" s="16" t="n">
        <v>82.57194</v>
      </c>
      <c r="AD83" s="16" t="n">
        <v>80.58936</v>
      </c>
      <c r="AE83" s="16" t="n">
        <v>80.25461</v>
      </c>
      <c r="AF83" s="16" t="n">
        <v>84.19316000000001</v>
      </c>
      <c r="AG83" s="16" t="n">
        <v>87.42336</v>
      </c>
      <c r="AH83" s="16" t="n">
        <v>87.62911</v>
      </c>
      <c r="AI83" s="16" t="n">
        <v>87.40004999999999</v>
      </c>
      <c r="AJ83" s="16" t="n">
        <v>88.08756</v>
      </c>
      <c r="AK83" s="16" t="n">
        <v>86.71614</v>
      </c>
      <c r="AL83" s="16" t="n">
        <v>87.98300999999999</v>
      </c>
      <c r="AM83" s="16" t="n">
        <v>88.97386</v>
      </c>
      <c r="AN83" s="16" t="n">
        <v>90.77088000000001</v>
      </c>
      <c r="AO83" s="16" t="n">
        <v>92.27654</v>
      </c>
      <c r="AP83" s="16" t="n">
        <v>94.15893</v>
      </c>
      <c r="AQ83" s="16" t="n">
        <v>92.73953</v>
      </c>
      <c r="AR83" s="16" t="n">
        <v>92.96844</v>
      </c>
      <c r="AS83" s="16" t="n">
        <v>92.09155</v>
      </c>
      <c r="AT83" s="16" t="n">
        <v>93.16094</v>
      </c>
      <c r="AU83" s="16" t="n">
        <v>94.20417999999999</v>
      </c>
      <c r="AV83" s="16" t="n">
        <v>93.80029</v>
      </c>
      <c r="AW83" s="16" t="n">
        <v>94.57491</v>
      </c>
      <c r="AX83" s="16" t="n">
        <v>95.09179</v>
      </c>
      <c r="AY83" s="16" t="n">
        <v>96.9063</v>
      </c>
      <c r="AZ83" s="16" t="n">
        <v>98.15364</v>
      </c>
      <c r="BA83" s="16" t="n">
        <v>99.10997</v>
      </c>
      <c r="BB83" s="16" t="n">
        <v>100.93368</v>
      </c>
      <c r="BC83" s="16" t="n">
        <v>101.85531</v>
      </c>
      <c r="BD83" s="16" t="n">
        <v>101.5395</v>
      </c>
      <c r="BE83" s="16" t="n">
        <v>101.58575</v>
      </c>
      <c r="BF83" s="16" t="n">
        <v>102.374</v>
      </c>
      <c r="BG83" s="16" t="n">
        <v>104.0371</v>
      </c>
      <c r="BH83" s="16" t="n">
        <v>100.46369</v>
      </c>
      <c r="BI83" s="16" t="n">
        <v>102.71156</v>
      </c>
      <c r="BJ83" s="16" t="n">
        <v>103.02379</v>
      </c>
      <c r="BK83" s="16" t="n">
        <v>103.40321</v>
      </c>
      <c r="BL83" s="16" t="n">
        <v>102.11279</v>
      </c>
      <c r="BM83" s="16" t="n">
        <v>102.64887</v>
      </c>
      <c r="BN83" s="16" t="n">
        <v>102.280287</v>
      </c>
    </row>
    <row r="84">
      <c r="A84" s="10" t="inlineStr">
        <is>
          <t>South Africa</t>
        </is>
      </c>
      <c r="B84" s="16" t="n">
        <v>1115.216295</v>
      </c>
      <c r="C84" s="31" t="n">
        <v>0.4031548205369218</v>
      </c>
      <c r="D84" s="31" t="n">
        <v>0.6691135018011218</v>
      </c>
      <c r="E84" s="31" t="n">
        <v>2.470805435592505</v>
      </c>
      <c r="F84" s="31" t="n">
        <v>9.154121360872436</v>
      </c>
      <c r="G84" s="16" t="n">
        <v>872.84283</v>
      </c>
      <c r="H84" s="16" t="n">
        <v>860.50501</v>
      </c>
      <c r="I84" s="16" t="n">
        <v>882.38672</v>
      </c>
      <c r="J84" s="16" t="n">
        <v>862.79609</v>
      </c>
      <c r="K84" s="16" t="n">
        <v>835.8506</v>
      </c>
      <c r="L84" s="16" t="n">
        <v>841.40243</v>
      </c>
      <c r="M84" s="16" t="n">
        <v>800.42207</v>
      </c>
      <c r="N84" s="16" t="n">
        <v>809.73033</v>
      </c>
      <c r="O84" s="16" t="n">
        <v>735.23238</v>
      </c>
      <c r="P84" s="16" t="n">
        <v>794.4456300000001</v>
      </c>
      <c r="Q84" s="16" t="n">
        <v>774.10487</v>
      </c>
      <c r="R84" s="16" t="n">
        <v>728.66665</v>
      </c>
      <c r="S84" s="16" t="n">
        <v>751.66232</v>
      </c>
      <c r="T84" s="16" t="n">
        <v>807.49459</v>
      </c>
      <c r="U84" s="16" t="n">
        <v>797.3715</v>
      </c>
      <c r="V84" s="16" t="n">
        <v>823.3719</v>
      </c>
      <c r="W84" s="16" t="n">
        <v>805.34198</v>
      </c>
      <c r="X84" s="16" t="n">
        <v>816.0264</v>
      </c>
      <c r="Y84" s="16" t="n">
        <v>816.36646</v>
      </c>
      <c r="Z84" s="16" t="n">
        <v>789.0124499999999</v>
      </c>
      <c r="AA84" s="16" t="n">
        <v>813.30253</v>
      </c>
      <c r="AB84" s="16" t="n">
        <v>843.5752199999999</v>
      </c>
      <c r="AC84" s="16" t="n">
        <v>823.40125</v>
      </c>
      <c r="AD84" s="16" t="n">
        <v>801.08434</v>
      </c>
      <c r="AE84" s="16" t="n">
        <v>798.9917</v>
      </c>
      <c r="AF84" s="16" t="n">
        <v>850.60751</v>
      </c>
      <c r="AG84" s="16" t="n">
        <v>899.95152</v>
      </c>
      <c r="AH84" s="16" t="n">
        <v>875.46749</v>
      </c>
      <c r="AI84" s="16" t="n">
        <v>869.77453</v>
      </c>
      <c r="AJ84" s="16" t="n">
        <v>872.20725</v>
      </c>
      <c r="AK84" s="16" t="n">
        <v>865.14141</v>
      </c>
      <c r="AL84" s="16" t="n">
        <v>878.04016</v>
      </c>
      <c r="AM84" s="16" t="n">
        <v>904.59193</v>
      </c>
      <c r="AN84" s="16" t="n">
        <v>924.32398</v>
      </c>
      <c r="AO84" s="16" t="n">
        <v>954.0297399999999</v>
      </c>
      <c r="AP84" s="16" t="n">
        <v>977.4166300000001</v>
      </c>
      <c r="AQ84" s="16" t="n">
        <v>948.69765</v>
      </c>
      <c r="AR84" s="16" t="n">
        <v>958.2162</v>
      </c>
      <c r="AS84" s="16" t="n">
        <v>937.3014899999999</v>
      </c>
      <c r="AT84" s="16" t="n">
        <v>944.12802</v>
      </c>
      <c r="AU84" s="16" t="n">
        <v>957.03991</v>
      </c>
      <c r="AV84" s="16" t="n">
        <v>949.47032</v>
      </c>
      <c r="AW84" s="16" t="n">
        <v>939.50685</v>
      </c>
      <c r="AX84" s="16" t="n">
        <v>958.18048</v>
      </c>
      <c r="AY84" s="16" t="n">
        <v>984.49041</v>
      </c>
      <c r="AZ84" s="16" t="n">
        <v>991.21289</v>
      </c>
      <c r="BA84" s="16" t="n">
        <v>1007.47343</v>
      </c>
      <c r="BB84" s="16" t="n">
        <v>1041.68172</v>
      </c>
      <c r="BC84" s="16" t="n">
        <v>1075.39747</v>
      </c>
      <c r="BD84" s="16" t="n">
        <v>1082.61021</v>
      </c>
      <c r="BE84" s="16" t="n">
        <v>1088.32588</v>
      </c>
      <c r="BF84" s="16" t="n">
        <v>1078.48532</v>
      </c>
      <c r="BG84" s="16" t="n">
        <v>1099.70101</v>
      </c>
      <c r="BH84" s="16" t="n">
        <v>1049.45144</v>
      </c>
      <c r="BI84" s="16" t="n">
        <v>1078.83388</v>
      </c>
      <c r="BJ84" s="16" t="n">
        <v>1110.5366</v>
      </c>
      <c r="BK84" s="16" t="n">
        <v>1119.42541</v>
      </c>
      <c r="BL84" s="16" t="n">
        <v>1099.38879</v>
      </c>
      <c r="BM84" s="16" t="n">
        <v>1120.03251</v>
      </c>
      <c r="BN84" s="16" t="n">
        <v>1115.216295</v>
      </c>
    </row>
    <row r="85">
      <c r="A85" s="10" t="inlineStr">
        <is>
          <t>Sri Lanka</t>
        </is>
      </c>
      <c r="B85" s="16" t="n">
        <v>292.009149</v>
      </c>
      <c r="C85" s="32" t="n">
        <v>-0.2405020232607913</v>
      </c>
      <c r="D85" s="31" t="n">
        <v>5.413232736642115</v>
      </c>
      <c r="E85" s="31" t="n">
        <v>12.54488897254977</v>
      </c>
      <c r="F85" s="31" t="n">
        <v>17.82728650808469</v>
      </c>
      <c r="G85" s="16" t="n">
        <v>214.23222</v>
      </c>
      <c r="H85" s="16" t="n">
        <v>191.55734</v>
      </c>
      <c r="I85" s="16" t="n">
        <v>175.58469</v>
      </c>
      <c r="J85" s="16" t="n">
        <v>173.90329</v>
      </c>
      <c r="K85" s="16" t="n">
        <v>162.70839</v>
      </c>
      <c r="L85" s="16" t="n">
        <v>171.51196</v>
      </c>
      <c r="M85" s="16" t="n">
        <v>146.61468</v>
      </c>
      <c r="N85" s="16" t="n">
        <v>132.56366</v>
      </c>
      <c r="O85" s="16" t="n">
        <v>100.53179</v>
      </c>
      <c r="P85" s="16" t="n">
        <v>101.96107</v>
      </c>
      <c r="Q85" s="16" t="n">
        <v>112.07535</v>
      </c>
      <c r="R85" s="16" t="n">
        <v>84.64959</v>
      </c>
      <c r="S85" s="16" t="n">
        <v>75.93277999999999</v>
      </c>
      <c r="T85" s="16" t="n">
        <v>104.12235</v>
      </c>
      <c r="U85" s="16" t="n">
        <v>101.35648</v>
      </c>
      <c r="V85" s="16" t="n">
        <v>116.25107</v>
      </c>
      <c r="W85" s="16" t="n">
        <v>125.30548</v>
      </c>
      <c r="X85" s="16" t="n">
        <v>121.35589</v>
      </c>
      <c r="Y85" s="16" t="n">
        <v>114.98176</v>
      </c>
      <c r="Z85" s="16" t="n">
        <v>125.53566</v>
      </c>
      <c r="AA85" s="16" t="n">
        <v>152.26491</v>
      </c>
      <c r="AB85" s="16" t="n">
        <v>153.39629</v>
      </c>
      <c r="AC85" s="16" t="n">
        <v>156.72207</v>
      </c>
      <c r="AD85" s="16" t="n">
        <v>160.91528</v>
      </c>
      <c r="AE85" s="16" t="n">
        <v>173.48674</v>
      </c>
      <c r="AF85" s="16" t="n">
        <v>173.76363</v>
      </c>
      <c r="AG85" s="16" t="n">
        <v>173.34096</v>
      </c>
      <c r="AH85" s="16" t="n">
        <v>176.29975</v>
      </c>
      <c r="AI85" s="16" t="n">
        <v>186.23744</v>
      </c>
      <c r="AJ85" s="16" t="n">
        <v>202.22285</v>
      </c>
      <c r="AK85" s="16" t="n">
        <v>194.52329</v>
      </c>
      <c r="AL85" s="16" t="n">
        <v>199.74828</v>
      </c>
      <c r="AM85" s="16" t="n">
        <v>199.3603</v>
      </c>
      <c r="AN85" s="16" t="n">
        <v>192.11757</v>
      </c>
      <c r="AO85" s="16" t="n">
        <v>181.34049</v>
      </c>
      <c r="AP85" s="16" t="n">
        <v>191.7959</v>
      </c>
      <c r="AQ85" s="16" t="n">
        <v>213.44207</v>
      </c>
      <c r="AR85" s="16" t="n">
        <v>229.89792</v>
      </c>
      <c r="AS85" s="16" t="n">
        <v>217.24243</v>
      </c>
      <c r="AT85" s="16" t="n">
        <v>228.45915</v>
      </c>
      <c r="AU85" s="16" t="n">
        <v>230.20085</v>
      </c>
      <c r="AV85" s="16" t="n">
        <v>225.4163</v>
      </c>
      <c r="AW85" s="16" t="n">
        <v>210.02928</v>
      </c>
      <c r="AX85" s="16" t="n">
        <v>227.8944</v>
      </c>
      <c r="AY85" s="16" t="n">
        <v>235.52794</v>
      </c>
      <c r="AZ85" s="16" t="n">
        <v>241.46882</v>
      </c>
      <c r="BA85" s="16" t="n">
        <v>244.34536</v>
      </c>
      <c r="BB85" s="16" t="n">
        <v>253.31407</v>
      </c>
      <c r="BC85" s="16" t="n">
        <v>260.50186</v>
      </c>
      <c r="BD85" s="16" t="n">
        <v>259.7293</v>
      </c>
      <c r="BE85" s="16" t="n">
        <v>259.46016</v>
      </c>
      <c r="BF85" s="16" t="n">
        <v>277.54651</v>
      </c>
      <c r="BG85" s="16" t="n">
        <v>280.26954</v>
      </c>
      <c r="BH85" s="16" t="n">
        <v>257.46094</v>
      </c>
      <c r="BI85" s="16" t="n">
        <v>269.49602</v>
      </c>
      <c r="BJ85" s="16" t="n">
        <v>278.07855</v>
      </c>
      <c r="BK85" s="16" t="n">
        <v>289.0524</v>
      </c>
      <c r="BL85" s="16" t="n">
        <v>287.76054</v>
      </c>
      <c r="BM85" s="16" t="n">
        <v>292.41043</v>
      </c>
      <c r="BN85" s="16" t="n">
        <v>292.009149</v>
      </c>
    </row>
    <row r="86">
      <c r="A86" s="10" t="inlineStr">
        <is>
          <t>Suriname</t>
        </is>
      </c>
      <c r="B86" s="16" t="n">
        <v>191.628255</v>
      </c>
      <c r="C86" s="31" t="n">
        <v>0.367463068412599</v>
      </c>
      <c r="D86" s="31" t="n">
        <v>1.806790808011027</v>
      </c>
      <c r="E86" s="31" t="n">
        <v>5.071499221044795</v>
      </c>
      <c r="F86" s="31" t="n">
        <v>8.852675086092265</v>
      </c>
      <c r="G86" s="16" t="n">
        <v>105.79866</v>
      </c>
      <c r="H86" s="16" t="n">
        <v>103.22826</v>
      </c>
      <c r="I86" s="16" t="n">
        <v>108.80329</v>
      </c>
      <c r="J86" s="16" t="n">
        <v>107.64756</v>
      </c>
      <c r="K86" s="16" t="n">
        <v>105.15124</v>
      </c>
      <c r="L86" s="16" t="n">
        <v>102.97871</v>
      </c>
      <c r="M86" s="16" t="n">
        <v>102.70147</v>
      </c>
      <c r="N86" s="16" t="n">
        <v>102.3314</v>
      </c>
      <c r="O86" s="16" t="n">
        <v>104.64291</v>
      </c>
      <c r="P86" s="16" t="n">
        <v>103.99554</v>
      </c>
      <c r="Q86" s="16" t="n">
        <v>103.857</v>
      </c>
      <c r="R86" s="16" t="n">
        <v>118.34496</v>
      </c>
      <c r="S86" s="16" t="n">
        <v>105.28982</v>
      </c>
      <c r="T86" s="16" t="n">
        <v>105.10494</v>
      </c>
      <c r="U86" s="16" t="n">
        <v>105.24367</v>
      </c>
      <c r="V86" s="16" t="n">
        <v>99.92751</v>
      </c>
      <c r="W86" s="16" t="n">
        <v>99.55783</v>
      </c>
      <c r="X86" s="16" t="n">
        <v>96.36808000000001</v>
      </c>
      <c r="Y86" s="16" t="n">
        <v>93.82552</v>
      </c>
      <c r="Z86" s="16" t="n">
        <v>110.93011</v>
      </c>
      <c r="AA86" s="16" t="n">
        <v>110.86885</v>
      </c>
      <c r="AB86" s="16" t="n">
        <v>120.83955</v>
      </c>
      <c r="AC86" s="16" t="n">
        <v>122.10426</v>
      </c>
      <c r="AD86" s="16" t="n">
        <v>125.81158</v>
      </c>
      <c r="AE86" s="16" t="n">
        <v>131.65936</v>
      </c>
      <c r="AF86" s="16" t="n">
        <v>134.4789</v>
      </c>
      <c r="AG86" s="16" t="n">
        <v>133.87837</v>
      </c>
      <c r="AH86" s="16" t="n">
        <v>131.71539</v>
      </c>
      <c r="AI86" s="16" t="n">
        <v>138.44669</v>
      </c>
      <c r="AJ86" s="16" t="n">
        <v>144.68504</v>
      </c>
      <c r="AK86" s="16" t="n">
        <v>147.14884</v>
      </c>
      <c r="AL86" s="16" t="n">
        <v>148.32863</v>
      </c>
      <c r="AM86" s="16" t="n">
        <v>150.29417</v>
      </c>
      <c r="AN86" s="16" t="n">
        <v>157.04597</v>
      </c>
      <c r="AO86" s="16" t="n">
        <v>157.92133</v>
      </c>
      <c r="AP86" s="16" t="n">
        <v>159.16257</v>
      </c>
      <c r="AQ86" s="16" t="n">
        <v>155.63354</v>
      </c>
      <c r="AR86" s="16" t="n">
        <v>153.75098</v>
      </c>
      <c r="AS86" s="16" t="n">
        <v>150.48552</v>
      </c>
      <c r="AT86" s="16" t="n">
        <v>161.03713</v>
      </c>
      <c r="AU86" s="16" t="n">
        <v>164.82827</v>
      </c>
      <c r="AV86" s="16" t="n">
        <v>163.29251</v>
      </c>
      <c r="AW86" s="16" t="n">
        <v>158.56866</v>
      </c>
      <c r="AX86" s="16" t="n">
        <v>163.57233</v>
      </c>
      <c r="AY86" s="16" t="n">
        <v>173.30455</v>
      </c>
      <c r="AZ86" s="16" t="n">
        <v>174.96014</v>
      </c>
      <c r="BA86" s="16" t="n">
        <v>175.77378</v>
      </c>
      <c r="BB86" s="16" t="n">
        <v>176.73723</v>
      </c>
      <c r="BC86" s="16" t="n">
        <v>178.56778</v>
      </c>
      <c r="BD86" s="16" t="n">
        <v>180.42399</v>
      </c>
      <c r="BE86" s="16" t="n">
        <v>182.37891</v>
      </c>
      <c r="BF86" s="16" t="n">
        <v>183.42727</v>
      </c>
      <c r="BG86" s="16" t="n">
        <v>183.11853</v>
      </c>
      <c r="BH86" s="16" t="n">
        <v>179.18869</v>
      </c>
      <c r="BI86" s="16" t="n">
        <v>188.96532</v>
      </c>
      <c r="BJ86" s="16" t="n">
        <v>187.07683</v>
      </c>
      <c r="BK86" s="16" t="n">
        <v>191.22235</v>
      </c>
      <c r="BL86" s="16" t="n">
        <v>189.97542</v>
      </c>
      <c r="BM86" s="16" t="n">
        <v>191.38608</v>
      </c>
      <c r="BN86" s="16" t="n">
        <v>191.628255</v>
      </c>
    </row>
    <row r="87">
      <c r="A87" s="10" t="inlineStr">
        <is>
          <t>Trinidad &amp; Tobago</t>
        </is>
      </c>
      <c r="B87" s="16" t="n">
        <v>188.630601</v>
      </c>
      <c r="C87" s="31" t="n">
        <v>0.05160414358609255</v>
      </c>
      <c r="D87" s="31" t="n">
        <v>0.6225750612786074</v>
      </c>
      <c r="E87" s="31" t="n">
        <v>4.652851624388732</v>
      </c>
      <c r="F87" s="31" t="n">
        <v>6.077956224016945</v>
      </c>
      <c r="G87" s="16" t="n">
        <v>149.43843</v>
      </c>
      <c r="H87" s="16" t="n">
        <v>148.2069</v>
      </c>
      <c r="I87" s="16" t="n">
        <v>148.84151</v>
      </c>
      <c r="J87" s="16" t="n">
        <v>148.54</v>
      </c>
      <c r="K87" s="16" t="n">
        <v>146.57497</v>
      </c>
      <c r="L87" s="16" t="n">
        <v>146.14186</v>
      </c>
      <c r="M87" s="16" t="n">
        <v>144.98016</v>
      </c>
      <c r="N87" s="16" t="n">
        <v>142.62913</v>
      </c>
      <c r="O87" s="16" t="n">
        <v>141.84556</v>
      </c>
      <c r="P87" s="16" t="n">
        <v>144.56447</v>
      </c>
      <c r="Q87" s="16" t="n">
        <v>147.95101</v>
      </c>
      <c r="R87" s="16" t="n">
        <v>145.71895</v>
      </c>
      <c r="S87" s="16" t="n">
        <v>145.90537</v>
      </c>
      <c r="T87" s="16" t="n">
        <v>148.38125</v>
      </c>
      <c r="U87" s="16" t="n">
        <v>149.32061</v>
      </c>
      <c r="V87" s="16" t="n">
        <v>150.64157</v>
      </c>
      <c r="W87" s="16" t="n">
        <v>150.61975</v>
      </c>
      <c r="X87" s="16" t="n">
        <v>151.53275</v>
      </c>
      <c r="Y87" s="16" t="n">
        <v>153.01364</v>
      </c>
      <c r="Z87" s="16" t="n">
        <v>152.75657</v>
      </c>
      <c r="AA87" s="16" t="n">
        <v>153.12851</v>
      </c>
      <c r="AB87" s="16" t="n">
        <v>153.8776</v>
      </c>
      <c r="AC87" s="16" t="n">
        <v>153.84227</v>
      </c>
      <c r="AD87" s="16" t="n">
        <v>153.34656</v>
      </c>
      <c r="AE87" s="16" t="n">
        <v>152.78407</v>
      </c>
      <c r="AF87" s="16" t="n">
        <v>156.35037</v>
      </c>
      <c r="AG87" s="16" t="n">
        <v>160.92138</v>
      </c>
      <c r="AH87" s="16" t="n">
        <v>159.80208</v>
      </c>
      <c r="AI87" s="16" t="n">
        <v>159.51316</v>
      </c>
      <c r="AJ87" s="16" t="n">
        <v>160.18591</v>
      </c>
      <c r="AK87" s="16" t="n">
        <v>159.03616</v>
      </c>
      <c r="AL87" s="16" t="n">
        <v>160.65332</v>
      </c>
      <c r="AM87" s="16" t="n">
        <v>161.44139</v>
      </c>
      <c r="AN87" s="16" t="n">
        <v>163.6153</v>
      </c>
      <c r="AO87" s="16" t="n">
        <v>165.45702</v>
      </c>
      <c r="AP87" s="16" t="n">
        <v>167.22055</v>
      </c>
      <c r="AQ87" s="16" t="n">
        <v>165.6356</v>
      </c>
      <c r="AR87" s="16" t="n">
        <v>165.23192</v>
      </c>
      <c r="AS87" s="16" t="n">
        <v>165.97989</v>
      </c>
      <c r="AT87" s="16" t="n">
        <v>166.58964</v>
      </c>
      <c r="AU87" s="16" t="n">
        <v>167.6668</v>
      </c>
      <c r="AV87" s="16" t="n">
        <v>168.16946</v>
      </c>
      <c r="AW87" s="16" t="n">
        <v>166.22088</v>
      </c>
      <c r="AX87" s="16" t="n">
        <v>168.6941</v>
      </c>
      <c r="AY87" s="16" t="n">
        <v>172.42287</v>
      </c>
      <c r="AZ87" s="16" t="n">
        <v>172.82363</v>
      </c>
      <c r="BA87" s="16" t="n">
        <v>176.56632</v>
      </c>
      <c r="BB87" s="16" t="n">
        <v>178.78602</v>
      </c>
      <c r="BC87" s="16" t="n">
        <v>177.07572</v>
      </c>
      <c r="BD87" s="16" t="n">
        <v>178.97668</v>
      </c>
      <c r="BE87" s="16" t="n">
        <v>180.24411</v>
      </c>
      <c r="BF87" s="16" t="n">
        <v>181.41296</v>
      </c>
      <c r="BG87" s="16" t="n">
        <v>184.00185</v>
      </c>
      <c r="BH87" s="16" t="n">
        <v>181.84382</v>
      </c>
      <c r="BI87" s="16" t="n">
        <v>186.5452</v>
      </c>
      <c r="BJ87" s="16" t="n">
        <v>188.2137</v>
      </c>
      <c r="BK87" s="16" t="n">
        <v>188.37082</v>
      </c>
      <c r="BL87" s="16" t="n">
        <v>187.55519</v>
      </c>
      <c r="BM87" s="16" t="n">
        <v>188.98038</v>
      </c>
      <c r="BN87" s="16" t="n">
        <v>188.630601</v>
      </c>
    </row>
    <row r="88">
      <c r="A88" s="10" t="inlineStr">
        <is>
          <t>Turkey</t>
        </is>
      </c>
      <c r="B88" s="16" t="n">
        <v>1267.890799</v>
      </c>
      <c r="C88" s="31" t="n">
        <v>0.002736036031736333</v>
      </c>
      <c r="D88" s="31" t="n">
        <v>1.220418549108815</v>
      </c>
      <c r="E88" s="31" t="n">
        <v>0.8435084222597755</v>
      </c>
      <c r="F88" s="31" t="n">
        <v>5.279691450793567</v>
      </c>
      <c r="G88" s="16" t="n">
        <v>897.7681700000001</v>
      </c>
      <c r="H88" s="16" t="n">
        <v>878.73153</v>
      </c>
      <c r="I88" s="16" t="n">
        <v>871.80867</v>
      </c>
      <c r="J88" s="16" t="n">
        <v>873.94127</v>
      </c>
      <c r="K88" s="16" t="n">
        <v>858.20192</v>
      </c>
      <c r="L88" s="16" t="n">
        <v>870.37287</v>
      </c>
      <c r="M88" s="16" t="n">
        <v>857.39904</v>
      </c>
      <c r="N88" s="16" t="n">
        <v>835.60397</v>
      </c>
      <c r="O88" s="16" t="n">
        <v>787.16345</v>
      </c>
      <c r="P88" s="16" t="n">
        <v>800.68418</v>
      </c>
      <c r="Q88" s="16" t="n">
        <v>811.9366</v>
      </c>
      <c r="R88" s="16" t="n">
        <v>810.95943</v>
      </c>
      <c r="S88" s="16" t="n">
        <v>835.02897</v>
      </c>
      <c r="T88" s="16" t="n">
        <v>887.90689</v>
      </c>
      <c r="U88" s="16" t="n">
        <v>895.66928</v>
      </c>
      <c r="V88" s="16" t="n">
        <v>891.85031</v>
      </c>
      <c r="W88" s="16" t="n">
        <v>886.3359799999999</v>
      </c>
      <c r="X88" s="16" t="n">
        <v>919.8001</v>
      </c>
      <c r="Y88" s="16" t="n">
        <v>919.82647</v>
      </c>
      <c r="Z88" s="16" t="n">
        <v>891.93894</v>
      </c>
      <c r="AA88" s="16" t="n">
        <v>924.76864</v>
      </c>
      <c r="AB88" s="16" t="n">
        <v>966.67363</v>
      </c>
      <c r="AC88" s="16" t="n">
        <v>964.9683199999999</v>
      </c>
      <c r="AD88" s="16" t="n">
        <v>954.73487</v>
      </c>
      <c r="AE88" s="16" t="n">
        <v>952.4123499999999</v>
      </c>
      <c r="AF88" s="16" t="n">
        <v>993.85228</v>
      </c>
      <c r="AG88" s="16" t="n">
        <v>1042.52938</v>
      </c>
      <c r="AH88" s="16" t="n">
        <v>1022.78711</v>
      </c>
      <c r="AI88" s="16" t="n">
        <v>1042.15553</v>
      </c>
      <c r="AJ88" s="16" t="n">
        <v>1054.35165</v>
      </c>
      <c r="AK88" s="16" t="n">
        <v>1052.0926</v>
      </c>
      <c r="AL88" s="16" t="n">
        <v>1066.20276</v>
      </c>
      <c r="AM88" s="16" t="n">
        <v>1073.69336</v>
      </c>
      <c r="AN88" s="16" t="n">
        <v>1091.86749</v>
      </c>
      <c r="AO88" s="16" t="n">
        <v>1110.61173</v>
      </c>
      <c r="AP88" s="16" t="n">
        <v>1136.24826</v>
      </c>
      <c r="AQ88" s="16" t="n">
        <v>1119.47841</v>
      </c>
      <c r="AR88" s="16" t="n">
        <v>1132.90226</v>
      </c>
      <c r="AS88" s="16" t="n">
        <v>1120.2909</v>
      </c>
      <c r="AT88" s="16" t="n">
        <v>1133.45184</v>
      </c>
      <c r="AU88" s="16" t="n">
        <v>1143.35366</v>
      </c>
      <c r="AV88" s="16" t="n">
        <v>1131.65399</v>
      </c>
      <c r="AW88" s="16" t="n">
        <v>1127.86919</v>
      </c>
      <c r="AX88" s="16" t="n">
        <v>1139.33846</v>
      </c>
      <c r="AY88" s="16" t="n">
        <v>1165.36698</v>
      </c>
      <c r="AZ88" s="16" t="n">
        <v>1181.1415</v>
      </c>
      <c r="BA88" s="16" t="n">
        <v>1201.22596</v>
      </c>
      <c r="BB88" s="16" t="n">
        <v>1216.5909</v>
      </c>
      <c r="BC88" s="16" t="n">
        <v>1232.66694</v>
      </c>
      <c r="BD88" s="16" t="n">
        <v>1246.74481</v>
      </c>
      <c r="BE88" s="16" t="n">
        <v>1257.28549</v>
      </c>
      <c r="BF88" s="16" t="n">
        <v>1250.9384</v>
      </c>
      <c r="BG88" s="16" t="n">
        <v>1260.57689</v>
      </c>
      <c r="BH88" s="16" t="n">
        <v>1216.25599</v>
      </c>
      <c r="BI88" s="16" t="n">
        <v>1244.86988</v>
      </c>
      <c r="BJ88" s="16" t="n">
        <v>1254.41293</v>
      </c>
      <c r="BK88" s="16" t="n">
        <v>1268.59879</v>
      </c>
      <c r="BL88" s="16" t="n">
        <v>1255.09229</v>
      </c>
      <c r="BM88" s="16" t="n">
        <v>1271.18473</v>
      </c>
      <c r="BN88" s="16" t="n">
        <v>1267.890799</v>
      </c>
    </row>
    <row r="89">
      <c r="A89" s="10" t="inlineStr">
        <is>
          <t>Ukraine</t>
        </is>
      </c>
      <c r="B89" s="16" t="n">
        <v>647.458967</v>
      </c>
      <c r="C89" s="32" t="n">
        <v>-2.935742432492106</v>
      </c>
      <c r="D89" s="31" t="n">
        <v>2.267213855417882</v>
      </c>
      <c r="E89" s="31" t="n">
        <v>13.11537278035448</v>
      </c>
      <c r="F89" s="31" t="n">
        <v>30.59646712453699</v>
      </c>
      <c r="G89" s="16" t="n">
        <v>1100.84001</v>
      </c>
      <c r="H89" s="16" t="n">
        <v>1029.67409</v>
      </c>
      <c r="I89" s="16" t="n">
        <v>988.6215</v>
      </c>
      <c r="J89" s="16" t="n">
        <v>929.0898999999999</v>
      </c>
      <c r="K89" s="16" t="n">
        <v>367.45144</v>
      </c>
      <c r="L89" s="16" t="n">
        <v>480.86163</v>
      </c>
      <c r="M89" s="16" t="n">
        <v>385.61048</v>
      </c>
      <c r="N89" s="16" t="n">
        <v>450.84004</v>
      </c>
      <c r="O89" s="16" t="n">
        <v>319.01777</v>
      </c>
      <c r="P89" s="16" t="n">
        <v>261.5442</v>
      </c>
      <c r="Q89" s="16" t="n">
        <v>227.78945</v>
      </c>
      <c r="R89" s="16" t="n">
        <v>229.65857</v>
      </c>
      <c r="S89" s="16" t="n">
        <v>195.25795</v>
      </c>
      <c r="T89" s="16" t="n">
        <v>257.61991</v>
      </c>
      <c r="U89" s="16" t="n">
        <v>232.37474</v>
      </c>
      <c r="V89" s="16" t="n">
        <v>241.73077</v>
      </c>
      <c r="W89" s="16" t="n">
        <v>211.13422</v>
      </c>
      <c r="X89" s="16" t="n">
        <v>209.37311</v>
      </c>
      <c r="Y89" s="16" t="n">
        <v>199.62872</v>
      </c>
      <c r="Z89" s="16" t="n">
        <v>221.72273</v>
      </c>
      <c r="AA89" s="16" t="n">
        <v>283.48751</v>
      </c>
      <c r="AB89" s="16" t="n">
        <v>362.73827</v>
      </c>
      <c r="AC89" s="16" t="n">
        <v>335.3212</v>
      </c>
      <c r="AD89" s="16" t="n">
        <v>343.32352</v>
      </c>
      <c r="AE89" s="16" t="n">
        <v>332.6406</v>
      </c>
      <c r="AF89" s="16" t="n">
        <v>323.63733</v>
      </c>
      <c r="AG89" s="16" t="n">
        <v>318.1881</v>
      </c>
      <c r="AH89" s="16" t="n">
        <v>309.33232</v>
      </c>
      <c r="AI89" s="16" t="n">
        <v>347.40182</v>
      </c>
      <c r="AJ89" s="16" t="n">
        <v>398.27916</v>
      </c>
      <c r="AK89" s="16" t="n">
        <v>348.42374</v>
      </c>
      <c r="AL89" s="16" t="n">
        <v>362.56354</v>
      </c>
      <c r="AM89" s="16" t="n">
        <v>382.25047</v>
      </c>
      <c r="AN89" s="16" t="n">
        <v>420.58937</v>
      </c>
      <c r="AO89" s="16" t="n">
        <v>415.75691</v>
      </c>
      <c r="AP89" s="16" t="n">
        <v>421.16461</v>
      </c>
      <c r="AQ89" s="16" t="n">
        <v>448.1038</v>
      </c>
      <c r="AR89" s="16" t="n">
        <v>495.03592</v>
      </c>
      <c r="AS89" s="16" t="n">
        <v>517.75234</v>
      </c>
      <c r="AT89" s="16" t="n">
        <v>535.86973</v>
      </c>
      <c r="AU89" s="16" t="n">
        <v>558.1697</v>
      </c>
      <c r="AV89" s="16" t="n">
        <v>504.02767</v>
      </c>
      <c r="AW89" s="16" t="n">
        <v>477.96104</v>
      </c>
      <c r="AX89" s="16" t="n">
        <v>474.08478</v>
      </c>
      <c r="AY89" s="16" t="n">
        <v>485.16509</v>
      </c>
      <c r="AZ89" s="16" t="n">
        <v>487.34634</v>
      </c>
      <c r="BA89" s="16" t="n">
        <v>511.76341</v>
      </c>
      <c r="BB89" s="16" t="n">
        <v>519.59952</v>
      </c>
      <c r="BC89" s="16" t="n">
        <v>528.03219</v>
      </c>
      <c r="BD89" s="16" t="n">
        <v>555.09851</v>
      </c>
      <c r="BE89" s="16" t="n">
        <v>572.38813</v>
      </c>
      <c r="BF89" s="16" t="n">
        <v>590.80858</v>
      </c>
      <c r="BG89" s="16" t="n">
        <v>589.79308</v>
      </c>
      <c r="BH89" s="16" t="n">
        <v>523.48232</v>
      </c>
      <c r="BI89" s="16" t="n">
        <v>580.49846</v>
      </c>
      <c r="BJ89" s="16" t="n">
        <v>641.55749</v>
      </c>
      <c r="BK89" s="16" t="n">
        <v>658.9364399999999</v>
      </c>
      <c r="BL89" s="16" t="n">
        <v>662.88625</v>
      </c>
      <c r="BM89" s="16" t="n">
        <v>654.34492</v>
      </c>
      <c r="BN89" s="16" t="n">
        <v>647.458967</v>
      </c>
    </row>
    <row r="90">
      <c r="A90" s="10" t="inlineStr">
        <is>
          <t>Uruguay</t>
        </is>
      </c>
      <c r="B90" s="16" t="n">
        <v>548.039734</v>
      </c>
      <c r="C90" s="32" t="n">
        <v>-0.4094647834783527</v>
      </c>
      <c r="D90" s="32" t="n">
        <v>-1.278015826220413</v>
      </c>
      <c r="E90" s="32" t="n">
        <v>-1.05932076479428</v>
      </c>
      <c r="F90" s="32" t="n">
        <v>-0.1197357257758158</v>
      </c>
      <c r="G90" s="16" t="n">
        <v>568.26424</v>
      </c>
      <c r="H90" s="16" t="n">
        <v>566.48649</v>
      </c>
      <c r="I90" s="16" t="n">
        <v>576.48969</v>
      </c>
      <c r="J90" s="16" t="n">
        <v>553.52941</v>
      </c>
      <c r="K90" s="16" t="n">
        <v>538.88479</v>
      </c>
      <c r="L90" s="16" t="n">
        <v>536.32952</v>
      </c>
      <c r="M90" s="16" t="n">
        <v>493.68458</v>
      </c>
      <c r="N90" s="16" t="n">
        <v>500.20789</v>
      </c>
      <c r="O90" s="16" t="n">
        <v>481.53027</v>
      </c>
      <c r="P90" s="16" t="n">
        <v>506.23002</v>
      </c>
      <c r="Q90" s="16" t="n">
        <v>491.95316</v>
      </c>
      <c r="R90" s="16" t="n">
        <v>455.22121</v>
      </c>
      <c r="S90" s="16" t="n">
        <v>451.17235</v>
      </c>
      <c r="T90" s="16" t="n">
        <v>489.19512</v>
      </c>
      <c r="U90" s="16" t="n">
        <v>488.35247</v>
      </c>
      <c r="V90" s="16" t="n">
        <v>497.69327</v>
      </c>
      <c r="W90" s="16" t="n">
        <v>486.23335</v>
      </c>
      <c r="X90" s="16" t="n">
        <v>497.44716</v>
      </c>
      <c r="Y90" s="16" t="n">
        <v>507.10623</v>
      </c>
      <c r="Z90" s="16" t="n">
        <v>495.72332</v>
      </c>
      <c r="AA90" s="16" t="n">
        <v>499.46787</v>
      </c>
      <c r="AB90" s="16" t="n">
        <v>498.97052</v>
      </c>
      <c r="AC90" s="16" t="n">
        <v>494.6574</v>
      </c>
      <c r="AD90" s="16" t="n">
        <v>468.63079</v>
      </c>
      <c r="AE90" s="16" t="n">
        <v>460.65637</v>
      </c>
      <c r="AF90" s="16" t="n">
        <v>489.99296</v>
      </c>
      <c r="AG90" s="16" t="n">
        <v>514.74866</v>
      </c>
      <c r="AH90" s="16" t="n">
        <v>506.57854</v>
      </c>
      <c r="AI90" s="16" t="n">
        <v>502.0371</v>
      </c>
      <c r="AJ90" s="16" t="n">
        <v>507.70852</v>
      </c>
      <c r="AK90" s="16" t="n">
        <v>488.99167</v>
      </c>
      <c r="AL90" s="16" t="n">
        <v>500.39853</v>
      </c>
      <c r="AM90" s="16" t="n">
        <v>506.04638</v>
      </c>
      <c r="AN90" s="16" t="n">
        <v>517.03272</v>
      </c>
      <c r="AO90" s="16" t="n">
        <v>531.75884</v>
      </c>
      <c r="AP90" s="16" t="n">
        <v>535.4945</v>
      </c>
      <c r="AQ90" s="16" t="n">
        <v>518.32803</v>
      </c>
      <c r="AR90" s="16" t="n">
        <v>522.06655</v>
      </c>
      <c r="AS90" s="16" t="n">
        <v>508.72881</v>
      </c>
      <c r="AT90" s="16" t="n">
        <v>508.3834</v>
      </c>
      <c r="AU90" s="16" t="n">
        <v>520.54656</v>
      </c>
      <c r="AV90" s="16" t="n">
        <v>521.15397</v>
      </c>
      <c r="AW90" s="16" t="n">
        <v>522.0634</v>
      </c>
      <c r="AX90" s="16" t="n">
        <v>517.7697899999999</v>
      </c>
      <c r="AY90" s="16" t="n">
        <v>529.98928</v>
      </c>
      <c r="AZ90" s="16" t="n">
        <v>530.30036</v>
      </c>
      <c r="BA90" s="16" t="n">
        <v>537.15626</v>
      </c>
      <c r="BB90" s="16" t="n">
        <v>549.04059</v>
      </c>
      <c r="BC90" s="16" t="n">
        <v>556.41248</v>
      </c>
      <c r="BD90" s="16" t="n">
        <v>555.8634</v>
      </c>
      <c r="BE90" s="16" t="n">
        <v>553.90739</v>
      </c>
      <c r="BF90" s="16" t="n">
        <v>552.21923</v>
      </c>
      <c r="BG90" s="16" t="n">
        <v>564.85924</v>
      </c>
      <c r="BH90" s="16" t="n">
        <v>548.60788</v>
      </c>
      <c r="BI90" s="16" t="n">
        <v>556.40326</v>
      </c>
      <c r="BJ90" s="16" t="n">
        <v>557.99483</v>
      </c>
      <c r="BK90" s="16" t="n">
        <v>562.05396</v>
      </c>
      <c r="BL90" s="16" t="n">
        <v>545.65451</v>
      </c>
      <c r="BM90" s="16" t="n">
        <v>548.39385</v>
      </c>
      <c r="BN90" s="16" t="n">
        <v>548.039734</v>
      </c>
    </row>
    <row r="91">
      <c r="A91" s="10" t="inlineStr">
        <is>
          <t>Uzbekistan</t>
        </is>
      </c>
      <c r="B91" s="16" t="n">
        <v>145.42978</v>
      </c>
      <c r="C91" s="31" t="n">
        <v>0.09819177364105425</v>
      </c>
      <c r="D91" s="31" t="n">
        <v>0.6303191590578017</v>
      </c>
      <c r="E91" s="31" t="n">
        <v>2.991758239034437</v>
      </c>
      <c r="F91" s="31" t="n">
        <v>5.490979539230834</v>
      </c>
      <c r="G91" s="16" t="n">
        <v>119.28207</v>
      </c>
      <c r="H91" s="16" t="n">
        <v>116.41248</v>
      </c>
      <c r="I91" s="16" t="n">
        <v>118.18201</v>
      </c>
      <c r="J91" s="16" t="n">
        <v>115.70736</v>
      </c>
      <c r="K91" s="16" t="n">
        <v>108.99995</v>
      </c>
      <c r="L91" s="16" t="n">
        <v>110.20977</v>
      </c>
      <c r="M91" s="16" t="n">
        <v>105.30069</v>
      </c>
      <c r="N91" s="16" t="n">
        <v>104.44577</v>
      </c>
      <c r="O91" s="16" t="n">
        <v>97.64953</v>
      </c>
      <c r="P91" s="16" t="n">
        <v>97.57227</v>
      </c>
      <c r="Q91" s="16" t="n">
        <v>101.14921</v>
      </c>
      <c r="R91" s="16" t="n">
        <v>96.90209</v>
      </c>
      <c r="S91" s="16" t="n">
        <v>97.67995000000001</v>
      </c>
      <c r="T91" s="16" t="n">
        <v>106.04206</v>
      </c>
      <c r="U91" s="16" t="n">
        <v>108.37924</v>
      </c>
      <c r="V91" s="16" t="n">
        <v>109.89362</v>
      </c>
      <c r="W91" s="16" t="n">
        <v>108.36263</v>
      </c>
      <c r="X91" s="16" t="n">
        <v>107.78343</v>
      </c>
      <c r="Y91" s="16" t="n">
        <v>109.83776</v>
      </c>
      <c r="Z91" s="16" t="n">
        <v>108.98781</v>
      </c>
      <c r="AA91" s="16" t="n">
        <v>110.82608</v>
      </c>
      <c r="AB91" s="16" t="n">
        <v>113.1062</v>
      </c>
      <c r="AC91" s="16" t="n">
        <v>110.94906</v>
      </c>
      <c r="AD91" s="16" t="n">
        <v>108.93568</v>
      </c>
      <c r="AE91" s="16" t="n">
        <v>106.98746</v>
      </c>
      <c r="AF91" s="16" t="n">
        <v>111.09923</v>
      </c>
      <c r="AG91" s="16" t="n">
        <v>116.0235</v>
      </c>
      <c r="AH91" s="16" t="n">
        <v>114.90592</v>
      </c>
      <c r="AI91" s="16" t="n">
        <v>116.90206</v>
      </c>
      <c r="AJ91" s="16" t="n">
        <v>117.49469</v>
      </c>
      <c r="AK91" s="16" t="n">
        <v>115.45817</v>
      </c>
      <c r="AL91" s="16" t="n">
        <v>117.4723</v>
      </c>
      <c r="AM91" s="16" t="n">
        <v>117.90891</v>
      </c>
      <c r="AN91" s="16" t="n">
        <v>119.18688</v>
      </c>
      <c r="AO91" s="16" t="n">
        <v>122.34611</v>
      </c>
      <c r="AP91" s="16" t="n">
        <v>124.42534</v>
      </c>
      <c r="AQ91" s="16" t="n">
        <v>122.78812</v>
      </c>
      <c r="AR91" s="16" t="n">
        <v>123.93673</v>
      </c>
      <c r="AS91" s="16" t="n">
        <v>123.09913</v>
      </c>
      <c r="AT91" s="16" t="n">
        <v>124.51044</v>
      </c>
      <c r="AU91" s="16" t="n">
        <v>126.71206</v>
      </c>
      <c r="AV91" s="16" t="n">
        <v>126.32039</v>
      </c>
      <c r="AW91" s="16" t="n">
        <v>128.27258</v>
      </c>
      <c r="AX91" s="16" t="n">
        <v>128.43947</v>
      </c>
      <c r="AY91" s="16" t="n">
        <v>132.33407</v>
      </c>
      <c r="AZ91" s="16" t="n">
        <v>134.29745</v>
      </c>
      <c r="BA91" s="16" t="n">
        <v>136.97479</v>
      </c>
      <c r="BB91" s="16" t="n">
        <v>138.91857</v>
      </c>
      <c r="BC91" s="16" t="n">
        <v>140.03856</v>
      </c>
      <c r="BD91" s="16" t="n">
        <v>139.71926</v>
      </c>
      <c r="BE91" s="16" t="n">
        <v>141.20526</v>
      </c>
      <c r="BF91" s="16" t="n">
        <v>142.56118</v>
      </c>
      <c r="BG91" s="16" t="n">
        <v>144.21929</v>
      </c>
      <c r="BH91" s="16" t="n">
        <v>140.3585</v>
      </c>
      <c r="BI91" s="16" t="n">
        <v>143.93636</v>
      </c>
      <c r="BJ91" s="16" t="n">
        <v>144.74157</v>
      </c>
      <c r="BK91" s="16" t="n">
        <v>145.19221</v>
      </c>
      <c r="BL91" s="16" t="n">
        <v>144.80302</v>
      </c>
      <c r="BM91" s="16" t="n">
        <v>145.6438</v>
      </c>
      <c r="BN91" s="16" t="n">
        <v>145.42978</v>
      </c>
    </row>
    <row r="92">
      <c r="A92" s="10" t="inlineStr">
        <is>
          <t>Venezuela</t>
        </is>
      </c>
      <c r="B92" s="16" t="n">
        <v>1498.973954</v>
      </c>
      <c r="C92" s="31" t="n">
        <v>7.300445745536055</v>
      </c>
      <c r="D92" s="31" t="n">
        <v>5.881100436947606</v>
      </c>
      <c r="E92" s="31" t="n">
        <v>74.67798462944535</v>
      </c>
      <c r="F92" s="31" t="n">
        <v>137.0828231047821</v>
      </c>
      <c r="G92" s="16" t="n">
        <v>239.30835</v>
      </c>
      <c r="H92" s="16" t="n">
        <v>226.60809</v>
      </c>
      <c r="I92" s="16" t="n">
        <v>151.3773</v>
      </c>
      <c r="J92" s="16" t="n">
        <v>147.30212</v>
      </c>
      <c r="K92" s="16" t="n">
        <v>143.63024</v>
      </c>
      <c r="L92" s="16" t="n">
        <v>237.0609</v>
      </c>
      <c r="M92" s="16" t="n">
        <v>221.42518</v>
      </c>
      <c r="N92" s="16" t="n">
        <v>210.10915</v>
      </c>
      <c r="O92" s="16" t="n">
        <v>213.11653</v>
      </c>
      <c r="P92" s="16" t="n">
        <v>211.90517</v>
      </c>
      <c r="Q92" s="16" t="n">
        <v>184.37656</v>
      </c>
      <c r="R92" s="16" t="n">
        <v>152.42004</v>
      </c>
      <c r="S92" s="16" t="n">
        <v>150.43453</v>
      </c>
      <c r="T92" s="16" t="n">
        <v>196.55203</v>
      </c>
      <c r="U92" s="16" t="n">
        <v>180.55216</v>
      </c>
      <c r="V92" s="16" t="n">
        <v>197.92375</v>
      </c>
      <c r="W92" s="16" t="n">
        <v>229.48979</v>
      </c>
      <c r="X92" s="16" t="n">
        <v>247.67173</v>
      </c>
      <c r="Y92" s="16" t="n">
        <v>209.78146</v>
      </c>
      <c r="Z92" s="16" t="n">
        <v>180.51012</v>
      </c>
      <c r="AA92" s="16" t="n">
        <v>196.25844</v>
      </c>
      <c r="AB92" s="16" t="n">
        <v>197.95567</v>
      </c>
      <c r="AC92" s="16" t="n">
        <v>267.84133</v>
      </c>
      <c r="AD92" s="16" t="n">
        <v>254.25493</v>
      </c>
      <c r="AE92" s="16" t="n">
        <v>506.24154</v>
      </c>
      <c r="AF92" s="16" t="n">
        <v>480.24796</v>
      </c>
      <c r="AG92" s="16" t="n">
        <v>458.28077</v>
      </c>
      <c r="AH92" s="16" t="n">
        <v>454.30603</v>
      </c>
      <c r="AI92" s="16" t="n">
        <v>451.87691</v>
      </c>
      <c r="AJ92" s="16" t="n">
        <v>436.68746</v>
      </c>
      <c r="AK92" s="16" t="n">
        <v>527.81395</v>
      </c>
      <c r="AL92" s="16" t="n">
        <v>490.14859</v>
      </c>
      <c r="AM92" s="16" t="n">
        <v>483.375</v>
      </c>
      <c r="AN92" s="16" t="n">
        <v>484.96096</v>
      </c>
      <c r="AO92" s="16" t="n">
        <v>444.45744</v>
      </c>
      <c r="AP92" s="16" t="n">
        <v>436.78848</v>
      </c>
      <c r="AQ92" s="16" t="n">
        <v>428.55454</v>
      </c>
      <c r="AR92" s="16" t="n">
        <v>404.27814</v>
      </c>
      <c r="AS92" s="16" t="n">
        <v>432.21302</v>
      </c>
      <c r="AT92" s="16" t="n">
        <v>514.04895</v>
      </c>
      <c r="AU92" s="16" t="n">
        <v>555.6575</v>
      </c>
      <c r="AV92" s="16" t="n">
        <v>560.10261</v>
      </c>
      <c r="AW92" s="16" t="n">
        <v>478.89615</v>
      </c>
      <c r="AX92" s="16" t="n">
        <v>503.18413</v>
      </c>
      <c r="AY92" s="16" t="n">
        <v>522.49542</v>
      </c>
      <c r="AZ92" s="16" t="n">
        <v>560.7070200000001</v>
      </c>
      <c r="BA92" s="16" t="n">
        <v>605.49261</v>
      </c>
      <c r="BB92" s="16" t="n">
        <v>634.8960499999999</v>
      </c>
      <c r="BC92" s="16" t="n">
        <v>805.1348</v>
      </c>
      <c r="BD92" s="16" t="n">
        <v>853.75046</v>
      </c>
      <c r="BE92" s="16" t="n">
        <v>858.13559</v>
      </c>
      <c r="BF92" s="16" t="n">
        <v>1114.12064</v>
      </c>
      <c r="BG92" s="16" t="n">
        <v>1167.88664</v>
      </c>
      <c r="BH92" s="16" t="n">
        <v>1256.438</v>
      </c>
      <c r="BI92" s="16" t="n">
        <v>1409.5121</v>
      </c>
      <c r="BJ92" s="16" t="n">
        <v>1411.09713</v>
      </c>
      <c r="BK92" s="16" t="n">
        <v>1356.08826</v>
      </c>
      <c r="BL92" s="16" t="n">
        <v>1366.64371</v>
      </c>
      <c r="BM92" s="16" t="n">
        <v>1443.30632</v>
      </c>
      <c r="BN92" s="16" t="n">
        <v>1498.973954</v>
      </c>
    </row>
    <row r="93">
      <c r="A93" s="10" t="inlineStr">
        <is>
          <t>Zambia</t>
        </is>
      </c>
      <c r="B93" s="16" t="n">
        <v>176.124944</v>
      </c>
      <c r="C93" s="33" t="inlineStr"/>
      <c r="D93" s="33" t="inlineStr"/>
      <c r="E93" s="33" t="inlineStr"/>
      <c r="F93" s="33" t="inlineStr"/>
      <c r="G93" s="16" t="inlineStr"/>
      <c r="H93" s="16" t="inlineStr"/>
      <c r="I93" s="16" t="inlineStr"/>
      <c r="J93" s="16" t="inlineStr"/>
      <c r="K93" s="16" t="inlineStr"/>
      <c r="L93" s="16" t="inlineStr"/>
      <c r="M93" s="16" t="inlineStr"/>
      <c r="N93" s="16" t="inlineStr"/>
      <c r="O93" s="16" t="inlineStr"/>
      <c r="P93" s="16" t="inlineStr"/>
      <c r="Q93" s="16" t="inlineStr"/>
      <c r="R93" s="16" t="inlineStr"/>
      <c r="S93" s="16" t="inlineStr"/>
      <c r="T93" s="16" t="inlineStr"/>
      <c r="U93" s="16" t="inlineStr"/>
      <c r="V93" s="16" t="inlineStr"/>
      <c r="W93" s="16" t="inlineStr"/>
      <c r="X93" s="16" t="inlineStr"/>
      <c r="Y93" s="16" t="inlineStr"/>
      <c r="Z93" s="16" t="inlineStr"/>
      <c r="AA93" s="16" t="inlineStr"/>
      <c r="AB93" s="16" t="inlineStr"/>
      <c r="AC93" s="16" t="inlineStr"/>
      <c r="AD93" s="16" t="inlineStr"/>
      <c r="AE93" s="16" t="inlineStr"/>
      <c r="AF93" s="16" t="inlineStr"/>
      <c r="AG93" s="16" t="inlineStr"/>
      <c r="AH93" s="16" t="inlineStr"/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  <c r="AT93" s="16" t="inlineStr"/>
      <c r="AU93" s="16" t="inlineStr"/>
      <c r="AV93" s="16" t="inlineStr"/>
      <c r="AW93" s="16" t="inlineStr"/>
      <c r="AX93" s="16" t="inlineStr"/>
      <c r="AY93" s="16" t="inlineStr"/>
      <c r="AZ93" s="16" t="inlineStr"/>
      <c r="BA93" s="16" t="inlineStr"/>
      <c r="BB93" s="16" t="inlineStr"/>
      <c r="BC93" s="16" t="inlineStr"/>
      <c r="BD93" s="16" t="inlineStr"/>
      <c r="BE93" s="16" t="inlineStr"/>
      <c r="BF93" s="16" t="inlineStr"/>
      <c r="BG93" s="16" t="inlineStr"/>
      <c r="BH93" s="16" t="inlineStr"/>
      <c r="BI93" s="16" t="inlineStr"/>
      <c r="BJ93" s="16" t="inlineStr"/>
      <c r="BK93" s="16" t="inlineStr"/>
      <c r="BL93" s="16" t="inlineStr"/>
      <c r="BM93" s="16" t="inlineStr"/>
      <c r="BN93" s="16" t="n">
        <v>176.124944</v>
      </c>
    </row>
    <row r="95">
      <c r="A95" s="4" t="inlineStr">
        <is>
          <t>Green is a gain, red a loss.  Levels in the history block are month ends.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5" t="inlineStr">
        <is>
          <t>Basis breaks — days the spread series stepped without the market moving</t>
        </is>
      </c>
    </row>
    <row r="2">
      <c r="A2" s="4" t="inlineStr">
        <is>
          <t>Detected automatically: a spread jump with no matching move in the total return index. Every period change in this workbook is chain-linked across these days, so what you see is the market, not the methodology.</t>
        </is>
      </c>
    </row>
    <row r="4">
      <c r="A4" s="13" t="inlineStr">
        <is>
          <t>Date</t>
        </is>
      </c>
      <c r="B4" s="13" t="inlineStr">
        <is>
          <t>Spread jump (bp)</t>
        </is>
      </c>
      <c r="C4" s="13" t="inlineStr">
        <is>
          <t>Actual return %</t>
        </is>
      </c>
      <c r="D4" s="13" t="inlineStr">
        <is>
          <t>Return the jump implied %</t>
        </is>
      </c>
      <c r="E4" s="13" t="inlineStr">
        <is>
          <t>Gap</t>
        </is>
      </c>
    </row>
    <row r="5">
      <c r="A5" s="10" t="inlineStr">
        <is>
          <t>2022-03-31</t>
        </is>
      </c>
      <c r="B5" s="9" t="n">
        <v>-39.6986</v>
      </c>
      <c r="C5" s="33" t="n">
        <v>-0.5321207747710166</v>
      </c>
      <c r="D5" s="33" t="n">
        <v>2.468855934</v>
      </c>
      <c r="E5" s="32" t="n">
        <v>-3.000976708771017</v>
      </c>
    </row>
    <row r="6">
      <c r="A6" s="10" t="inlineStr">
        <is>
          <t>2022-09-28</t>
        </is>
      </c>
      <c r="B6" s="9" t="n">
        <v>29.18870000000004</v>
      </c>
      <c r="C6" s="33" t="n">
        <v>-0.4217617569121757</v>
      </c>
      <c r="D6" s="33" t="n">
        <v>-1.815245253000003</v>
      </c>
      <c r="E6" s="32" t="n">
        <v>1.393483496087827</v>
      </c>
    </row>
    <row r="7">
      <c r="A7" s="10" t="inlineStr">
        <is>
          <t>2024-04-30</t>
        </is>
      </c>
      <c r="B7" s="9" t="n">
        <v>32.63650000000001</v>
      </c>
      <c r="C7" s="33" t="n">
        <v>-0.3747623540113154</v>
      </c>
      <c r="D7" s="33" t="n">
        <v>-2.029663935000001</v>
      </c>
      <c r="E7" s="32" t="n">
        <v>1.654901580988685</v>
      </c>
    </row>
    <row r="8">
      <c r="A8" s="10" t="inlineStr">
        <is>
          <t>2026-09-04</t>
        </is>
      </c>
      <c r="B8" s="9" t="n">
        <v>-63.31309999999999</v>
      </c>
      <c r="C8" s="33" t="n">
        <v>0.1187879476119313</v>
      </c>
      <c r="D8" s="33" t="n">
        <v>3.937441689</v>
      </c>
      <c r="E8" s="32" t="n">
        <v>-3.818653741388069</v>
      </c>
    </row>
    <row r="11">
      <c r="A11" s="2" t="inlineStr">
        <is>
          <t>Who moved on 2026-09-04 — ratio of new basis to old</t>
        </is>
      </c>
      <c r="B11" s="6" t="n"/>
      <c r="C11" s="6" t="n"/>
      <c r="D11" s="6" t="n"/>
      <c r="E11" s="6" t="n"/>
    </row>
    <row r="12">
      <c r="A12" s="13" t="inlineStr">
        <is>
          <t>Sub-index</t>
        </is>
      </c>
      <c r="B12" s="13" t="inlineStr">
        <is>
          <t>before</t>
        </is>
      </c>
      <c r="C12" s="13" t="inlineStr">
        <is>
          <t>after</t>
        </is>
      </c>
      <c r="D12" s="13" t="inlineStr">
        <is>
          <t>change</t>
        </is>
      </c>
      <c r="E12" s="13" t="inlineStr">
        <is>
          <t>ratio</t>
        </is>
      </c>
    </row>
    <row r="13">
      <c r="A13" s="7" t="inlineStr">
        <is>
          <t>Credit C only</t>
        </is>
      </c>
      <c r="B13" s="17" t="n">
        <v>1526.566</v>
      </c>
      <c r="C13" s="17" t="n">
        <v>485.69159</v>
      </c>
      <c r="D13" s="15" t="n">
        <v>-1040.87441</v>
      </c>
      <c r="E13" s="34" t="n">
        <v>0.3181595751510253</v>
      </c>
    </row>
    <row r="14">
      <c r="A14" s="7" t="inlineStr">
        <is>
          <t>MIDEAST Region</t>
        </is>
      </c>
      <c r="B14" s="17" t="n">
        <v>387.3764</v>
      </c>
      <c r="C14" s="17" t="n">
        <v>136.05907</v>
      </c>
      <c r="D14" s="15" t="n">
        <v>-251.31733</v>
      </c>
      <c r="E14" s="34" t="n">
        <v>0.3512322123908426</v>
      </c>
    </row>
    <row r="15">
      <c r="A15" s="10" t="inlineStr">
        <is>
          <t>Lebanon</t>
        </is>
      </c>
      <c r="B15" s="17" t="n">
        <v>13596.4416</v>
      </c>
      <c r="C15" s="17" t="n">
        <v>7704.43075</v>
      </c>
      <c r="D15" s="15" t="n">
        <v>-5892.01085</v>
      </c>
      <c r="E15" s="34" t="n">
        <v>0.5666505234722591</v>
      </c>
    </row>
    <row r="16">
      <c r="A16" s="10" t="inlineStr">
        <is>
          <t>Venezuela</t>
        </is>
      </c>
      <c r="B16" s="17" t="n">
        <v>6054.5336</v>
      </c>
      <c r="C16" s="17" t="n">
        <v>3961.06594</v>
      </c>
      <c r="D16" s="15" t="n">
        <v>-2093.46766</v>
      </c>
      <c r="E16" s="34" t="n">
        <v>0.654231391167769</v>
      </c>
    </row>
    <row r="17">
      <c r="A17" s="7" t="inlineStr">
        <is>
          <t>Credit Non-IG</t>
        </is>
      </c>
      <c r="B17" s="17" t="n">
        <v>385.4666</v>
      </c>
      <c r="C17" s="17" t="n">
        <v>260.7681</v>
      </c>
      <c r="D17" s="15" t="n">
        <v>-124.6985</v>
      </c>
      <c r="E17" s="34" t="n">
        <v>0.6764998575752088</v>
      </c>
    </row>
    <row r="18">
      <c r="A18" s="7" t="inlineStr">
        <is>
          <t>LATIN Region</t>
        </is>
      </c>
      <c r="B18" s="17" t="n">
        <v>250.4443</v>
      </c>
      <c r="C18" s="17" t="n">
        <v>172.44758</v>
      </c>
      <c r="D18" s="15" t="n">
        <v>-77.99672000000001</v>
      </c>
      <c r="E18" s="34" t="n">
        <v>0.6885665994394761</v>
      </c>
    </row>
    <row r="19">
      <c r="A19" s="7" t="inlineStr">
        <is>
          <t>EMBIG Div</t>
        </is>
      </c>
      <c r="B19" s="17" t="n">
        <v>235.8485</v>
      </c>
      <c r="C19" s="17" t="n">
        <v>172.5354</v>
      </c>
      <c r="D19" s="15" t="n">
        <v>-63.31309999999999</v>
      </c>
      <c r="E19" s="34" t="n">
        <v>0.731551822462301</v>
      </c>
    </row>
    <row r="20">
      <c r="A20" s="10" t="inlineStr">
        <is>
          <t>Senegal</t>
        </is>
      </c>
      <c r="B20" s="17" t="n">
        <v>1639.3206</v>
      </c>
      <c r="C20" s="17" t="n">
        <v>1461.85578</v>
      </c>
      <c r="D20" s="15" t="n">
        <v>-177.4648199999999</v>
      </c>
      <c r="E20" s="34" t="n">
        <v>0.8917448972458469</v>
      </c>
    </row>
    <row r="21">
      <c r="A21" s="10" t="inlineStr">
        <is>
          <t>Sri Lanka</t>
        </is>
      </c>
      <c r="B21" s="17" t="n">
        <v>98.5625</v>
      </c>
      <c r="C21" s="17" t="n">
        <v>91.07096</v>
      </c>
      <c r="D21" s="15" t="n">
        <v>-7.491540000000001</v>
      </c>
      <c r="E21" s="34" t="n">
        <v>0.9239919847812301</v>
      </c>
    </row>
    <row r="22">
      <c r="A22" s="7" t="inlineStr">
        <is>
          <t>EUROPE Region</t>
        </is>
      </c>
      <c r="B22" s="17" t="n">
        <v>200.2652</v>
      </c>
      <c r="C22" s="17" t="n">
        <v>185.93208</v>
      </c>
      <c r="D22" s="15" t="n">
        <v>-14.33311999999998</v>
      </c>
      <c r="E22" s="34" t="n">
        <v>0.9284293027445608</v>
      </c>
    </row>
    <row r="23">
      <c r="A23" s="10" t="inlineStr">
        <is>
          <t>Ukraine</t>
        </is>
      </c>
      <c r="B23" s="17" t="n">
        <v>737.2575000000001</v>
      </c>
      <c r="C23" s="17" t="n">
        <v>714.75235</v>
      </c>
      <c r="D23" s="15" t="n">
        <v>-22.50515000000007</v>
      </c>
      <c r="E23" s="14" t="n">
        <v>0.9694745051762782</v>
      </c>
    </row>
    <row r="24">
      <c r="A24" s="7" t="inlineStr">
        <is>
          <t>AFRICA Region</t>
        </is>
      </c>
      <c r="B24" s="17" t="n">
        <v>297.4051</v>
      </c>
      <c r="C24" s="17" t="n">
        <v>288.56906</v>
      </c>
      <c r="D24" s="15" t="n">
        <v>-8.836040000000025</v>
      </c>
      <c r="E24" s="14" t="n">
        <v>0.9702895478255079</v>
      </c>
    </row>
    <row r="25">
      <c r="A25" s="10" t="inlineStr">
        <is>
          <t>India</t>
        </is>
      </c>
      <c r="B25" s="17" t="n">
        <v>82.9756</v>
      </c>
      <c r="C25" s="17" t="n">
        <v>81.08638000000001</v>
      </c>
      <c r="D25" s="15" t="n">
        <v>-1.889219999999995</v>
      </c>
      <c r="E25" s="14" t="n">
        <v>0.9772316198978978</v>
      </c>
    </row>
    <row r="26">
      <c r="A26" s="10" t="inlineStr">
        <is>
          <t>El Salvador</t>
        </is>
      </c>
      <c r="B26" s="17" t="n">
        <v>270.5402</v>
      </c>
      <c r="C26" s="17" t="n">
        <v>264.86794</v>
      </c>
      <c r="D26" s="15" t="n">
        <v>-5.672260000000051</v>
      </c>
      <c r="E26" s="14" t="n">
        <v>0.9790335780043038</v>
      </c>
    </row>
    <row r="28">
      <c r="A28" s="10" t="inlineStr">
        <is>
          <t>Oman</t>
        </is>
      </c>
      <c r="B28" s="17" t="n">
        <v>90.07250000000001</v>
      </c>
      <c r="C28" s="17" t="n">
        <v>95.49052</v>
      </c>
      <c r="D28" s="15" t="n">
        <v>5.418019999999999</v>
      </c>
      <c r="E28" s="14" t="n">
        <v>1.060151766632435</v>
      </c>
    </row>
    <row r="29">
      <c r="A29" s="10" t="inlineStr">
        <is>
          <t>Chile</t>
        </is>
      </c>
      <c r="B29" s="17" t="n">
        <v>84.027</v>
      </c>
      <c r="C29" s="17" t="n">
        <v>89.37326</v>
      </c>
      <c r="D29" s="15" t="n">
        <v>5.346260000000001</v>
      </c>
      <c r="E29" s="14" t="n">
        <v>1.063625501326954</v>
      </c>
    </row>
    <row r="30">
      <c r="A30" s="10" t="inlineStr">
        <is>
          <t>Cameroon</t>
        </is>
      </c>
      <c r="B30" s="17" t="n">
        <v>428.4345</v>
      </c>
      <c r="C30" s="17" t="n">
        <v>460.0837</v>
      </c>
      <c r="D30" s="15" t="n">
        <v>31.64920000000001</v>
      </c>
      <c r="E30" s="14" t="n">
        <v>1.073871735352778</v>
      </c>
    </row>
    <row r="31">
      <c r="A31" s="10" t="inlineStr">
        <is>
          <t>Iraq</t>
        </is>
      </c>
      <c r="B31" s="17" t="n">
        <v>181.0483</v>
      </c>
      <c r="C31" s="17" t="n">
        <v>211.62603</v>
      </c>
      <c r="D31" s="15" t="n">
        <v>30.57772999999997</v>
      </c>
      <c r="E31" s="14" t="n">
        <v>1.168892665658832</v>
      </c>
    </row>
    <row r="32">
      <c r="A32" s="10" t="inlineStr">
        <is>
          <t>Ethiopia</t>
        </is>
      </c>
      <c r="B32" s="17" t="n">
        <v>-338.7116</v>
      </c>
      <c r="C32" s="17" t="n">
        <v>-436.30055</v>
      </c>
      <c r="D32" s="15" t="n">
        <v>-97.58895000000001</v>
      </c>
      <c r="E32" s="14" t="n">
        <v>1.288118121729519</v>
      </c>
    </row>
    <row r="33">
      <c r="A33" s="10" t="inlineStr">
        <is>
          <t>China</t>
        </is>
      </c>
      <c r="B33" s="17" t="n">
        <v>1.4384</v>
      </c>
      <c r="C33" s="17" t="n">
        <v>2.85455</v>
      </c>
      <c r="D33" s="15" t="n">
        <v>1.41615</v>
      </c>
      <c r="E33" s="14" t="n">
        <v>1.984531423804227</v>
      </c>
    </row>
    <row r="35">
      <c r="A35" s="4" t="inlineStr">
        <is>
          <t>Read the ratio column. Performing credits sit at 1.00 — untouched. Defaulted and</t>
        </is>
      </c>
    </row>
    <row r="36">
      <c r="A36" s="4" t="inlineStr">
        <is>
          <t>near-default paper is roughly halved. That is the signature of a change in how</t>
        </is>
      </c>
    </row>
    <row r="37">
      <c r="A37" s="4" t="inlineStr">
        <is>
          <t>spread is computed for non-performing bonds, not of anything that happened in the</t>
        </is>
      </c>
    </row>
    <row r="38">
      <c r="A38" s="4" t="inlineStr">
        <is>
          <t>market, and it is why the naive year-to-date spread move is not the market's move.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12-month forecast</t>
        </is>
      </c>
    </row>
    <row r="2">
      <c r="A2" s="4" t="inlineStr">
        <is>
          <t>Type your 12-month views into the shaded cells. Everything else calculates.</t>
        </is>
      </c>
    </row>
    <row r="4">
      <c r="A4" s="2" t="inlineStr">
        <is>
          <t>Current state</t>
        </is>
      </c>
      <c r="B4" s="6" t="n"/>
      <c r="C4" s="6" t="n"/>
    </row>
    <row r="5">
      <c r="A5" s="10" t="inlineStr">
        <is>
          <t>Spread today (bp)</t>
        </is>
      </c>
      <c r="B5" s="23" t="n">
        <v>173</v>
      </c>
    </row>
    <row r="6">
      <c r="A6" s="10" t="inlineStr">
        <is>
          <t>Index yield (%)</t>
        </is>
      </c>
      <c r="B6" s="28" t="n">
        <v>6.645691</v>
      </c>
    </row>
    <row r="7">
      <c r="A7" s="10" t="inlineStr">
        <is>
          <t>Spread duration</t>
        </is>
      </c>
      <c r="B7" s="28" t="n">
        <v>6.218879</v>
      </c>
    </row>
    <row r="8">
      <c r="A8" s="10" t="inlineStr">
        <is>
          <t>IR duration</t>
        </is>
      </c>
      <c r="B8" s="28" t="n">
        <v>6.229802</v>
      </c>
    </row>
    <row r="9">
      <c r="A9" s="10" t="inlineStr">
        <is>
          <t>Cash hurdle (%)</t>
        </is>
      </c>
      <c r="B9" s="35" t="n">
        <v>4.5</v>
      </c>
    </row>
    <row r="11">
      <c r="A11" s="2" t="inlineStr">
        <is>
          <t>Your 12-month views</t>
        </is>
      </c>
      <c r="B11" s="6" t="n"/>
      <c r="C11" s="6" t="n"/>
      <c r="D11" s="6" t="n"/>
    </row>
    <row r="12">
      <c r="B12" s="13" t="inlineStr">
        <is>
          <t>your view</t>
        </is>
      </c>
      <c r="C12" s="13" t="inlineStr">
        <is>
          <t>beta</t>
        </is>
      </c>
      <c r="D12" s="13" t="inlineStr">
        <is>
          <t>bp of spread</t>
        </is>
      </c>
    </row>
    <row r="13">
      <c r="A13" s="10" t="inlineStr">
        <is>
          <t>UST 10y change (bp)</t>
        </is>
      </c>
      <c r="B13" s="36" t="n">
        <v>0</v>
      </c>
      <c r="C13" s="37" t="n">
        <v>0.3</v>
      </c>
      <c r="D13" s="38">
        <f>B13*C13</f>
        <v/>
      </c>
    </row>
    <row r="14">
      <c r="A14" s="10" t="inlineStr">
        <is>
          <t>DXY change (%)</t>
        </is>
      </c>
      <c r="B14" s="39" t="n">
        <v>0</v>
      </c>
      <c r="C14" s="37" t="n">
        <v>6</v>
      </c>
      <c r="D14" s="38">
        <f>B14*C14</f>
        <v/>
      </c>
    </row>
    <row r="15">
      <c r="A15" s="10" t="inlineStr">
        <is>
          <t>VIX change (points)</t>
        </is>
      </c>
      <c r="B15" s="39" t="n">
        <v>0</v>
      </c>
      <c r="C15" s="37" t="n">
        <v>4</v>
      </c>
      <c r="D15" s="38">
        <f>B15*C15</f>
        <v/>
      </c>
    </row>
    <row r="16">
      <c r="A16" s="10" t="inlineStr">
        <is>
          <t>EM rating drift (notches, + = upgrades)</t>
        </is>
      </c>
      <c r="B16" s="40" t="n">
        <v>0</v>
      </c>
      <c r="C16" s="37" t="n">
        <v>-50</v>
      </c>
      <c r="D16" s="38">
        <f>B16*C16</f>
        <v/>
      </c>
    </row>
    <row r="17">
      <c r="A17" s="7" t="inlineStr">
        <is>
          <t>Total spread impact (bp)</t>
        </is>
      </c>
      <c r="D17" s="41">
        <f>SUM(D13:D16)</f>
        <v/>
      </c>
    </row>
    <row r="19">
      <c r="A19" s="2" t="inlineStr">
        <is>
          <t>Forecast</t>
        </is>
      </c>
      <c r="B19" s="6" t="n"/>
      <c r="C19" s="6" t="n"/>
      <c r="D19" s="6" t="n"/>
    </row>
    <row r="20">
      <c r="A20" s="10" t="inlineStr">
        <is>
          <t>Forecast spread (bp)</t>
        </is>
      </c>
      <c r="B20" s="42">
        <f>B5+D17</f>
        <v/>
      </c>
    </row>
    <row r="21">
      <c r="A21" s="10" t="inlineStr">
        <is>
          <t>Change from today (bp)</t>
        </is>
      </c>
      <c r="B21" s="43">
        <f>D17</f>
        <v/>
      </c>
    </row>
    <row r="22">
      <c r="A22" s="10" t="inlineStr">
        <is>
          <t>12m total return (%)</t>
        </is>
      </c>
      <c r="B22" s="28">
        <f>B6-B8*B13/100-B7*D17/100</f>
        <v/>
      </c>
    </row>
    <row r="23">
      <c r="A23" s="10" t="inlineStr">
        <is>
          <t>Excess over cash (pp)</t>
        </is>
      </c>
      <c r="B23" s="8">
        <f>B6-B8*B13/100-B7*D17/100-B9</f>
        <v/>
      </c>
    </row>
    <row r="24">
      <c r="A24" s="10" t="inlineStr">
        <is>
          <t>Spread at which return = cash (bp)</t>
        </is>
      </c>
      <c r="B24" s="17">
        <f>B5+(B6-B8*B13/100-B9)*100/B7</f>
        <v/>
      </c>
    </row>
    <row r="26">
      <c r="A26" s="2" t="inlineStr">
        <is>
          <t>Uncertainty around the central case</t>
        </is>
      </c>
      <c r="B26" s="6" t="n"/>
      <c r="C26" s="6" t="n"/>
      <c r="D26" s="6" t="n"/>
      <c r="E26" s="6" t="n"/>
      <c r="F26" s="6" t="n"/>
    </row>
    <row r="27">
      <c r="A27" s="10" t="inlineStr">
        <is>
          <t>12m sigma, daily scaled by root-252 (bp)</t>
        </is>
      </c>
      <c r="B27" s="17" t="n">
        <v>101.0467881486355</v>
      </c>
      <c r="C27" s="4" t="inlineStr">
        <is>
          <t>overstates when spreads mean-revert</t>
        </is>
      </c>
    </row>
    <row r="28">
      <c r="A28" s="10" t="inlineStr">
        <is>
          <t>12m sigma, actual 252-day changes (bp)</t>
        </is>
      </c>
      <c r="B28" s="17" t="n">
        <v>75.66178353535804</v>
      </c>
      <c r="C28" s="4" t="inlineStr">
        <is>
          <t>from 994 overlapping windows — the honest one</t>
        </is>
      </c>
    </row>
    <row r="29">
      <c r="A29" s="10" t="inlineStr">
        <is>
          <t>Vol multiplier</t>
        </is>
      </c>
      <c r="B29" s="44" t="n">
        <v>1</v>
      </c>
    </row>
    <row r="31">
      <c r="A31" s="13" t="inlineStr">
        <is>
          <t>Percentile</t>
        </is>
      </c>
      <c r="B31" s="13" t="inlineStr">
        <is>
          <t>p5</t>
        </is>
      </c>
      <c r="C31" s="13" t="inlineStr">
        <is>
          <t>p25</t>
        </is>
      </c>
      <c r="D31" s="13" t="inlineStr">
        <is>
          <t>p50</t>
        </is>
      </c>
      <c r="E31" s="13" t="inlineStr">
        <is>
          <t>p75</t>
        </is>
      </c>
      <c r="F31" s="13" t="inlineStr">
        <is>
          <t>p95</t>
        </is>
      </c>
    </row>
    <row r="32">
      <c r="A32" s="10" t="inlineStr">
        <is>
          <t>Spread (bp)</t>
        </is>
      </c>
      <c r="B32" s="45">
        <f>B5+D17+-1.645*B28*B29</f>
        <v/>
      </c>
      <c r="C32" s="45">
        <f>B5+D17+-0.674*B28*B29</f>
        <v/>
      </c>
      <c r="D32" s="46">
        <f>B5+D17+0.0*B28*B29</f>
        <v/>
      </c>
      <c r="E32" s="45">
        <f>B5+D17+0.674*B28*B29</f>
        <v/>
      </c>
      <c r="F32" s="45">
        <f>B5+D17+1.645*B28*B29</f>
        <v/>
      </c>
    </row>
    <row r="33">
      <c r="A33" s="10" t="inlineStr">
        <is>
          <t>Total return (%)</t>
        </is>
      </c>
      <c r="B33" s="14">
        <f>B6-B8*B13/100-B7*(D17+-1.645*B28*B29)/100</f>
        <v/>
      </c>
      <c r="C33" s="14">
        <f>B6-B8*B13/100-B7*(D17+-0.674*B28*B29)/100</f>
        <v/>
      </c>
      <c r="D33" s="47">
        <f>B6-B8*B13/100-B7*(D17+0.0*B28*B29)/100</f>
        <v/>
      </c>
      <c r="E33" s="14">
        <f>B6-B8*B13/100-B7*(D17+0.674*B28*B29)/100</f>
        <v/>
      </c>
      <c r="F33" s="14">
        <f>B6-B8*B13/100-B7*(D17+1.645*B28*B29)/100</f>
        <v/>
      </c>
    </row>
    <row r="35">
      <c r="A35" s="4" t="inlineStr">
        <is>
          <t>Betas are practitioner priors, not regression estimates. The rates beta is</t>
        </is>
      </c>
    </row>
    <row r="36">
      <c r="A36" s="4" t="inlineStr">
        <is>
          <t>unconditional: it cannot tell a rate rise driven by growth (spreads tighten) from</t>
        </is>
      </c>
    </row>
    <row r="37">
      <c r="A37" s="4" t="inlineStr">
        <is>
          <t>one driven by an inflation shock (spreads widen). If your rate view depends on which,</t>
        </is>
      </c>
    </row>
    <row r="38">
      <c r="A38" s="4" t="inlineStr">
        <is>
          <t>the forecast should be built regime by regime rather than off one coefficient.</t>
        </is>
      </c>
    </row>
    <row r="39">
      <c r="A39" s="4" t="inlineStr">
        <is>
          <t>Bands are Gaussian and ignore fat tails; the vol multiplier is the crude lever.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5" t="inlineStr">
        <is>
          <t>Sensitivity to the US 10-year</t>
        </is>
      </c>
    </row>
    <row r="2">
      <c r="A2" s="4" t="inlineStr">
        <is>
          <t>Spot spread 173bp, yield 6.65%, spread duration 6.22, IR duration 6.23, cash 4.50%.</t>
        </is>
      </c>
    </row>
    <row r="3">
      <c r="A3" s="4" t="inlineStr">
        <is>
          <t>US 10y 4.80%  ·  index Treasury anchor 4.92%  (term premium +12bp for 10.2y average life)  ·  curve beta 1.00</t>
        </is>
      </c>
    </row>
    <row r="4">
      <c r="A4" s="2" t="inlineStr">
        <is>
          <t>A. Spread responds to rates through beta (0.30)</t>
        </is>
      </c>
      <c r="B4" s="6" t="n"/>
      <c r="C4" s="6" t="n"/>
      <c r="D4" s="6" t="n"/>
      <c r="E4" s="6" t="n"/>
      <c r="F4" s="6" t="n"/>
      <c r="G4" s="6" t="n"/>
    </row>
    <row r="5">
      <c r="A5" s="13" t="inlineStr">
        <is>
          <t>US 10y level</t>
        </is>
      </c>
      <c r="B5" s="13" t="inlineStr">
        <is>
          <t>10y change (bp)</t>
        </is>
      </c>
      <c r="C5" s="13" t="inlineStr">
        <is>
          <t>index anchor (%)</t>
        </is>
      </c>
      <c r="D5" s="13" t="inlineStr">
        <is>
          <t>implied spread (bp)</t>
        </is>
      </c>
      <c r="E5" s="13" t="inlineStr">
        <is>
          <t>spread change (bp)</t>
        </is>
      </c>
      <c r="F5" s="13" t="inlineStr">
        <is>
          <t>12m total return %</t>
        </is>
      </c>
      <c r="G5" s="13" t="inlineStr">
        <is>
          <t>vs cash (pp)</t>
        </is>
      </c>
    </row>
    <row r="6">
      <c r="A6" s="10" t="inlineStr">
        <is>
          <t>3.75%</t>
        </is>
      </c>
      <c r="B6" s="15" t="n">
        <v>-105</v>
      </c>
      <c r="C6" s="16" t="n">
        <v>3.865691000000001</v>
      </c>
      <c r="D6" s="17" t="n">
        <v>141.5</v>
      </c>
      <c r="E6" s="15" t="n">
        <v>-31.5</v>
      </c>
      <c r="F6" s="48" t="n">
        <v>15.145929985</v>
      </c>
      <c r="G6" s="33" t="n">
        <v>10.645929985</v>
      </c>
    </row>
    <row r="7">
      <c r="A7" s="10" t="inlineStr">
        <is>
          <t>4.00%</t>
        </is>
      </c>
      <c r="B7" s="15" t="n">
        <v>-79.99999999999999</v>
      </c>
      <c r="C7" s="16" t="n">
        <v>4.115691000000001</v>
      </c>
      <c r="D7" s="17" t="n">
        <v>149</v>
      </c>
      <c r="E7" s="15" t="n">
        <v>-24</v>
      </c>
      <c r="F7" s="48" t="n">
        <v>13.12206356</v>
      </c>
      <c r="G7" s="33" t="n">
        <v>8.622063559999999</v>
      </c>
    </row>
    <row r="8">
      <c r="A8" s="10" t="inlineStr">
        <is>
          <t>4.25%</t>
        </is>
      </c>
      <c r="B8" s="15" t="n">
        <v>-54.99999999999999</v>
      </c>
      <c r="C8" s="16" t="n">
        <v>4.365691000000001</v>
      </c>
      <c r="D8" s="17" t="n">
        <v>156.5</v>
      </c>
      <c r="E8" s="15" t="n">
        <v>-16.5</v>
      </c>
      <c r="F8" s="48" t="n">
        <v>11.098197135</v>
      </c>
      <c r="G8" s="33" t="n">
        <v>6.598197134999999</v>
      </c>
    </row>
    <row r="9">
      <c r="A9" s="10" t="inlineStr">
        <is>
          <t>4.50%</t>
        </is>
      </c>
      <c r="B9" s="15" t="n">
        <v>-29.99999999999998</v>
      </c>
      <c r="C9" s="16" t="n">
        <v>4.615691000000001</v>
      </c>
      <c r="D9" s="17" t="n">
        <v>164</v>
      </c>
      <c r="E9" s="15" t="n">
        <v>-9</v>
      </c>
      <c r="F9" s="48" t="n">
        <v>9.07433071</v>
      </c>
      <c r="G9" s="33" t="n">
        <v>4.57433071</v>
      </c>
    </row>
    <row r="10">
      <c r="A10" s="49" t="inlineStr">
        <is>
          <t>4.75%</t>
        </is>
      </c>
      <c r="B10" s="15" t="n">
        <v>-4.999999999999982</v>
      </c>
      <c r="C10" s="16" t="n">
        <v>4.865691000000001</v>
      </c>
      <c r="D10" s="17" t="n">
        <v>171.5</v>
      </c>
      <c r="E10" s="15" t="n">
        <v>-1.5</v>
      </c>
      <c r="F10" s="48" t="n">
        <v>7.050464284999999</v>
      </c>
      <c r="G10" s="33" t="n">
        <v>2.550464284999999</v>
      </c>
    </row>
    <row r="11">
      <c r="A11" s="10" t="inlineStr">
        <is>
          <t>5.00%</t>
        </is>
      </c>
      <c r="B11" s="15" t="n">
        <v>20.00000000000002</v>
      </c>
      <c r="C11" s="16" t="n">
        <v>5.115691000000001</v>
      </c>
      <c r="D11" s="17" t="n">
        <v>179</v>
      </c>
      <c r="E11" s="15" t="n">
        <v>6</v>
      </c>
      <c r="F11" s="48" t="n">
        <v>5.026597859999999</v>
      </c>
      <c r="G11" s="33" t="n">
        <v>0.526597859999999</v>
      </c>
    </row>
    <row r="12">
      <c r="A12" s="10" t="inlineStr">
        <is>
          <t>5.25%</t>
        </is>
      </c>
      <c r="B12" s="15" t="n">
        <v>45.00000000000001</v>
      </c>
      <c r="C12" s="16" t="n">
        <v>5.365691000000001</v>
      </c>
      <c r="D12" s="17" t="n">
        <v>186.5</v>
      </c>
      <c r="E12" s="15" t="n">
        <v>13.5</v>
      </c>
      <c r="F12" s="50" t="n">
        <v>3.002731434999999</v>
      </c>
      <c r="G12" s="33" t="n">
        <v>-1.497268565000001</v>
      </c>
    </row>
    <row r="13">
      <c r="A13" s="10" t="inlineStr">
        <is>
          <t>5.50%</t>
        </is>
      </c>
      <c r="B13" s="15" t="n">
        <v>70.00000000000001</v>
      </c>
      <c r="C13" s="16" t="n">
        <v>5.615691000000001</v>
      </c>
      <c r="D13" s="17" t="n">
        <v>194</v>
      </c>
      <c r="E13" s="15" t="n">
        <v>21</v>
      </c>
      <c r="F13" s="50" t="n">
        <v>0.9788650099999991</v>
      </c>
      <c r="G13" s="33" t="n">
        <v>-3.521134990000001</v>
      </c>
    </row>
    <row r="14">
      <c r="A14" s="10" t="inlineStr">
        <is>
          <t>5.75%</t>
        </is>
      </c>
      <c r="B14" s="15" t="n">
        <v>95.00000000000001</v>
      </c>
      <c r="C14" s="16" t="n">
        <v>5.865691000000001</v>
      </c>
      <c r="D14" s="17" t="n">
        <v>201.5</v>
      </c>
      <c r="E14" s="15" t="n">
        <v>28.5</v>
      </c>
      <c r="F14" s="50" t="n">
        <v>-1.045001415000001</v>
      </c>
      <c r="G14" s="33" t="n">
        <v>-5.545001415000002</v>
      </c>
    </row>
    <row r="15">
      <c r="A15" s="10" t="inlineStr">
        <is>
          <t>6.00%</t>
        </is>
      </c>
      <c r="B15" s="15" t="n">
        <v>120</v>
      </c>
      <c r="C15" s="16" t="n">
        <v>6.115691000000001</v>
      </c>
      <c r="D15" s="17" t="n">
        <v>209</v>
      </c>
      <c r="E15" s="15" t="n">
        <v>36</v>
      </c>
      <c r="F15" s="50" t="n">
        <v>-3.068867840000002</v>
      </c>
      <c r="G15" s="33" t="n">
        <v>-7.568867840000001</v>
      </c>
    </row>
    <row r="17">
      <c r="A17" s="2" t="inlineStr">
        <is>
          <t>B. Spread and rates set independently — 12m total return (%)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13" t="inlineStr">
        <is>
          <t>spread \ UST</t>
        </is>
      </c>
      <c r="B18" s="13" t="inlineStr">
        <is>
          <t>-100bp</t>
        </is>
      </c>
      <c r="C18" s="13" t="inlineStr">
        <is>
          <t>-75bp</t>
        </is>
      </c>
      <c r="D18" s="13" t="inlineStr">
        <is>
          <t>-50bp</t>
        </is>
      </c>
      <c r="E18" s="13" t="inlineStr">
        <is>
          <t>-25bp</t>
        </is>
      </c>
      <c r="F18" s="13" t="inlineStr">
        <is>
          <t>+0bp</t>
        </is>
      </c>
      <c r="G18" s="13" t="inlineStr">
        <is>
          <t>+25bp</t>
        </is>
      </c>
      <c r="H18" s="13" t="inlineStr">
        <is>
          <t>+50bp</t>
        </is>
      </c>
      <c r="I18" s="13" t="inlineStr">
        <is>
          <t>+75bp</t>
        </is>
      </c>
      <c r="J18" s="13" t="inlineStr">
        <is>
          <t>+100bp</t>
        </is>
      </c>
    </row>
    <row r="19">
      <c r="A19" s="10" t="inlineStr">
        <is>
          <t>125bp</t>
        </is>
      </c>
      <c r="B19" s="51" t="n">
        <v>15.86055492</v>
      </c>
      <c r="C19" s="51" t="n">
        <v>14.30310442</v>
      </c>
      <c r="D19" s="51" t="n">
        <v>12.74565392</v>
      </c>
      <c r="E19" s="51" t="n">
        <v>11.18820342</v>
      </c>
      <c r="F19" s="51" t="n">
        <v>9.630752920000001</v>
      </c>
      <c r="G19" s="51" t="n">
        <v>8.073302420000001</v>
      </c>
      <c r="H19" s="51" t="n">
        <v>6.51585192</v>
      </c>
      <c r="I19" s="51" t="n">
        <v>4.95840142</v>
      </c>
      <c r="J19" s="34" t="n">
        <v>3.40095092</v>
      </c>
    </row>
    <row r="20">
      <c r="A20" s="10" t="inlineStr">
        <is>
          <t>150bp</t>
        </is>
      </c>
      <c r="B20" s="51" t="n">
        <v>14.30583517</v>
      </c>
      <c r="C20" s="51" t="n">
        <v>12.74838467</v>
      </c>
      <c r="D20" s="51" t="n">
        <v>11.19093417</v>
      </c>
      <c r="E20" s="51" t="n">
        <v>9.63348367</v>
      </c>
      <c r="F20" s="51" t="n">
        <v>8.076033170000001</v>
      </c>
      <c r="G20" s="51" t="n">
        <v>6.518582670000001</v>
      </c>
      <c r="H20" s="51" t="n">
        <v>4.96113217</v>
      </c>
      <c r="I20" s="34" t="n">
        <v>3.40368167</v>
      </c>
      <c r="J20" s="34" t="n">
        <v>1.84623117</v>
      </c>
    </row>
    <row r="21">
      <c r="A21" s="10" t="inlineStr">
        <is>
          <t>175bp</t>
        </is>
      </c>
      <c r="B21" s="51" t="n">
        <v>12.75111542</v>
      </c>
      <c r="C21" s="51" t="n">
        <v>11.19366492</v>
      </c>
      <c r="D21" s="51" t="n">
        <v>9.63621442</v>
      </c>
      <c r="E21" s="51" t="n">
        <v>8.07876392</v>
      </c>
      <c r="F21" s="51" t="n">
        <v>6.52131342</v>
      </c>
      <c r="G21" s="51" t="n">
        <v>4.96386292</v>
      </c>
      <c r="H21" s="34" t="n">
        <v>3.40641242</v>
      </c>
      <c r="I21" s="34" t="n">
        <v>1.84896192</v>
      </c>
      <c r="J21" s="34" t="n">
        <v>0.29151142</v>
      </c>
    </row>
    <row r="22">
      <c r="A22" s="10" t="inlineStr">
        <is>
          <t>200bp</t>
        </is>
      </c>
      <c r="B22" s="51" t="n">
        <v>11.19639567</v>
      </c>
      <c r="C22" s="51" t="n">
        <v>9.63894517</v>
      </c>
      <c r="D22" s="51" t="n">
        <v>8.081494670000001</v>
      </c>
      <c r="E22" s="51" t="n">
        <v>6.524044170000001</v>
      </c>
      <c r="F22" s="51" t="n">
        <v>4.96659367</v>
      </c>
      <c r="G22" s="34" t="n">
        <v>3.40914317</v>
      </c>
      <c r="H22" s="34" t="n">
        <v>1.85169267</v>
      </c>
      <c r="I22" s="34" t="n">
        <v>0.2942421699999995</v>
      </c>
      <c r="J22" s="34" t="n">
        <v>-1.26320833</v>
      </c>
    </row>
    <row r="23">
      <c r="A23" s="10" t="inlineStr">
        <is>
          <t>225bp</t>
        </is>
      </c>
      <c r="B23" s="51" t="n">
        <v>9.641675920000001</v>
      </c>
      <c r="C23" s="51" t="n">
        <v>8.084225420000001</v>
      </c>
      <c r="D23" s="51" t="n">
        <v>6.526774920000001</v>
      </c>
      <c r="E23" s="51" t="n">
        <v>4.969324420000001</v>
      </c>
      <c r="F23" s="34" t="n">
        <v>3.41187392</v>
      </c>
      <c r="G23" s="34" t="n">
        <v>1.85442342</v>
      </c>
      <c r="H23" s="34" t="n">
        <v>0.29697292</v>
      </c>
      <c r="I23" s="34" t="n">
        <v>-1.26047758</v>
      </c>
      <c r="J23" s="34" t="n">
        <v>-2.81792808</v>
      </c>
    </row>
    <row r="24">
      <c r="A24" s="10" t="inlineStr">
        <is>
          <t>250bp</t>
        </is>
      </c>
      <c r="B24" s="51" t="n">
        <v>8.086956170000001</v>
      </c>
      <c r="C24" s="51" t="n">
        <v>6.529505670000001</v>
      </c>
      <c r="D24" s="51" t="n">
        <v>4.972055170000001</v>
      </c>
      <c r="E24" s="34" t="n">
        <v>3.414604670000001</v>
      </c>
      <c r="F24" s="34" t="n">
        <v>1.85715417</v>
      </c>
      <c r="G24" s="34" t="n">
        <v>0.2997036700000004</v>
      </c>
      <c r="H24" s="34" t="n">
        <v>-1.25774683</v>
      </c>
      <c r="I24" s="34" t="n">
        <v>-2.81519733</v>
      </c>
      <c r="J24" s="34" t="n">
        <v>-4.37264783</v>
      </c>
    </row>
    <row r="25">
      <c r="A25" s="10" t="inlineStr">
        <is>
          <t>275bp</t>
        </is>
      </c>
      <c r="B25" s="51" t="n">
        <v>6.53223642</v>
      </c>
      <c r="C25" s="51" t="n">
        <v>4.97478592</v>
      </c>
      <c r="D25" s="34" t="n">
        <v>3.417335420000001</v>
      </c>
      <c r="E25" s="34" t="n">
        <v>1.859884920000001</v>
      </c>
      <c r="F25" s="34" t="n">
        <v>0.30243442</v>
      </c>
      <c r="G25" s="34" t="n">
        <v>-1.25501608</v>
      </c>
      <c r="H25" s="34" t="n">
        <v>-2.81246658</v>
      </c>
      <c r="I25" s="34" t="n">
        <v>-4.36991708</v>
      </c>
      <c r="J25" s="34" t="n">
        <v>-5.92736758</v>
      </c>
    </row>
    <row r="27">
      <c r="A27" s="4" t="inlineStr">
        <is>
          <t>The index anchor column is the Treasury the index is actually exposed to: the 10y plus the term premium for its 10.2y average life. At a curve beta of 1.00 the premium cancels out of every change, so it is presentational; set the beta away from 1.00 to model a flattening or steepening and it starts to bite.</t>
        </is>
      </c>
    </row>
    <row r="29">
      <c r="A29" s="7" t="inlineStr">
        <is>
          <t>break-even spread</t>
        </is>
      </c>
      <c r="B29" s="23" t="n">
        <v>307.6785007394419</v>
      </c>
      <c r="C29" s="23" t="n">
        <v>282.6345900925231</v>
      </c>
      <c r="D29" s="23" t="n">
        <v>257.5906794456043</v>
      </c>
      <c r="E29" s="23" t="n">
        <v>232.5467687986854</v>
      </c>
      <c r="F29" s="23" t="n">
        <v>207.5028581517666</v>
      </c>
      <c r="G29" s="23" t="n">
        <v>182.4589475048477</v>
      </c>
      <c r="H29" s="23" t="n">
        <v>157.4150368579289</v>
      </c>
      <c r="I29" s="23" t="n">
        <v>132.3711262110101</v>
      </c>
      <c r="J29" s="23" t="n">
        <v>107.3272155640912</v>
      </c>
    </row>
    <row r="31">
      <c r="A31" s="4" t="inlineStr">
        <is>
          <t>Green clears the cash hurdle, red does not. Grid B holds the two variables independent, which is conservative: in a genuine risk-off the Treasury rally offsets part of the spread widening, so the bottom-left corner overstates the pain. The break-even row is the number that actually decides the call.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85"/>
  <sheetViews>
    <sheetView showGridLines="0"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5" t="inlineStr">
        <is>
          <t>Methodology, reconciliation and known limitations</t>
        </is>
      </c>
    </row>
    <row r="3">
      <c r="A3" s="2" t="inlineStr">
        <is>
          <t>Data</t>
        </is>
      </c>
    </row>
    <row r="4">
      <c r="A4" s="52" t="inlineStr">
        <is>
          <t>Your history workbook is opened read-only and never written to. Each run re-reads it,</t>
        </is>
      </c>
    </row>
    <row r="5">
      <c r="A5" s="52" t="inlineStr">
        <is>
          <t>merges any JPM downloads found in the folder, and writes the growing copy to EMBI_history_extended.csv</t>
        </is>
      </c>
    </row>
    <row r="6">
      <c r="A6" s="52" t="inlineStr">
        <is>
          <t>in the identical column layout. Snapshot-only fields - durations, JPM's own attribution,</t>
        </is>
      </c>
    </row>
    <row r="7">
      <c r="A7" s="52" t="inlineStr">
        <is>
          <t>ratings - go to EMBI_snapshot_extras.csv keyed by date, so your schema never changes shape.</t>
        </is>
      </c>
    </row>
    <row r="8">
      <c r="A8" s="52" t="inlineStr">
        <is>
          <t>JPM downloads are identified by their first column being 'Bam Id', never by filename.</t>
        </is>
      </c>
    </row>
    <row r="10">
      <c r="A10" s="2" t="inlineStr">
        <is>
          <t>Year to date</t>
        </is>
      </c>
    </row>
    <row r="11">
      <c r="A11" s="52" t="inlineStr">
        <is>
          <t>YTD is measured from the last observation of 2025 (2025-12-31), not from the</t>
        </is>
      </c>
    </row>
    <row r="12">
      <c r="A12" s="52" t="inlineStr">
        <is>
          <t>first print of January. Using the first January print understates the year by whatever</t>
        </is>
      </c>
    </row>
    <row r="13">
      <c r="A13" s="52" t="inlineStr">
        <is>
          <t>moved over the turn.</t>
        </is>
      </c>
    </row>
    <row r="15">
      <c r="A15" s="2" t="inlineStr">
        <is>
          <t>Return attribution</t>
        </is>
      </c>
    </row>
    <row r="16">
      <c r="A16" s="52" t="inlineStr">
        <is>
          <t>total = -D x d(spread) - D x d(Treasury) + (carry, roll and residual)</t>
        </is>
      </c>
    </row>
    <row r="17">
      <c r="A17" s="52" t="inlineStr"/>
    </row>
    <row r="18">
      <c r="A18" s="52" t="inlineStr">
        <is>
          <t>The identity closes by construction: the residual is defined as the remainder, not</t>
        </is>
      </c>
    </row>
    <row r="19">
      <c r="A19" s="52" t="inlineStr">
        <is>
          <t>fitted. It is realised coupon, roll-down, rebalancing and defaults.</t>
        </is>
      </c>
    </row>
    <row r="20">
      <c r="A20" s="52" t="inlineStr"/>
    </row>
    <row r="21">
      <c r="A21" s="52" t="inlineStr">
        <is>
          <t>On the current YTD the residual is +5.41% against an index YTM of</t>
        </is>
      </c>
    </row>
    <row r="22">
      <c r="A22" s="52" t="inlineStr">
        <is>
          <t>6.65%. That gap is not an error - it is what distressed names do to a quoted</t>
        </is>
      </c>
    </row>
    <row r="23">
      <c r="A23" s="52" t="inlineStr">
        <is>
          <t>yield. Venezuela shows 42.8%, Lebanon 80.3%, Ethiopia -1.0%; none of them pay it. Any</t>
        </is>
      </c>
    </row>
    <row r="24">
      <c r="A24" s="52" t="inlineStr">
        <is>
          <t>carry estimate built off the index YTM will be far too high.</t>
        </is>
      </c>
    </row>
    <row r="25">
      <c r="A25" s="52" t="inlineStr"/>
    </row>
    <row r="26">
      <c r="A26" s="52" t="inlineStr">
        <is>
          <t>The Treasury leg uses the implied Treasury - yield less spread - which is the rate each</t>
        </is>
      </c>
    </row>
    <row r="27">
      <c r="A27" s="52" t="inlineStr">
        <is>
          <t>entity is actually struck against, rather than an external 10y series.</t>
        </is>
      </c>
    </row>
    <row r="29">
      <c r="A29" s="2" t="inlineStr">
        <is>
          <t>Duration</t>
        </is>
      </c>
    </row>
    <row r="30">
      <c r="A30" s="52" t="inlineStr">
        <is>
          <t>Attribution uses JPM's PUBLISHED spread duration from the nearest snapshot, because it</t>
        </is>
      </c>
    </row>
    <row r="31">
      <c r="A31" s="52" t="inlineStr">
        <is>
          <t>cannot be estimated from the history: regressing daily total returns on yield changes</t>
        </is>
      </c>
    </row>
    <row r="32">
      <c r="A32" s="52" t="inlineStr">
        <is>
          <t>returns 3.3 for the index against a published 6.22, for the same distressed-yield reason.</t>
        </is>
      </c>
    </row>
    <row r="33">
      <c r="A33" s="52" t="inlineStr">
        <is>
          <t>Where no snapshot covers a date the default of 6.219 is used and the column</t>
        </is>
      </c>
    </row>
    <row r="34">
      <c r="A34" s="52" t="inlineStr">
        <is>
          <t>says 'default'. Duration is a sensitivity, not a maturity: the index shows 6.22 duration</t>
        </is>
      </c>
    </row>
    <row r="35">
      <c r="A35" s="52" t="inlineStr">
        <is>
          <t>against 10.2y average life, and using average life would overstate every impact by 63%.</t>
        </is>
      </c>
    </row>
    <row r="37">
      <c r="A37" s="2" t="inlineStr">
        <is>
          <t>Reconciliation</t>
        </is>
      </c>
    </row>
    <row r="38">
      <c r="A38" s="52" t="inlineStr">
        <is>
          <t>Our YTD total return +2.683% against JPM's published +2.683% - difference +0.000pp.</t>
        </is>
      </c>
    </row>
    <row r="39">
      <c r="A39" s="52" t="inlineStr">
        <is>
          <t>Our spread and rate legs will NOT equal JPM's published legs: theirs are computed on the</t>
        </is>
      </c>
    </row>
    <row r="40">
      <c r="A40" s="52" t="inlineStr">
        <is>
          <t>actual Treasury hedge and compound through the year, ours are a duration approximation at</t>
        </is>
      </c>
    </row>
    <row r="41">
      <c r="A41" s="52" t="inlineStr">
        <is>
          <t>a single duration. Cite JPM's numbers externally; ours exist to run across every date in</t>
        </is>
      </c>
    </row>
    <row r="42">
      <c r="A42" s="52" t="inlineStr">
        <is>
          <t>the history, which theirs cannot.</t>
        </is>
      </c>
    </row>
    <row r="44">
      <c r="A44" s="2" t="inlineStr">
        <is>
          <t>Where the decomposition stops being informative</t>
        </is>
      </c>
    </row>
    <row r="45">
      <c r="A45" s="52" t="inlineStr">
        <is>
          <t>A duration split is a first-order expansion. It is accurate for small moves and</t>
        </is>
      </c>
    </row>
    <row r="46">
      <c r="A46" s="52" t="inlineStr">
        <is>
          <t>fails for large ones, because duration itself changes as a credit moves. Rows are</t>
        </is>
      </c>
    </row>
    <row r="47">
      <c r="A47" s="52" t="inlineStr">
        <is>
          <t>flagged when the spread moved more than 200bp, when the residual</t>
        </is>
      </c>
    </row>
    <row r="48">
      <c r="A48" s="52" t="inlineStr">
        <is>
          <t>exceeds the total, or when the index weight changed materially over the period.</t>
        </is>
      </c>
    </row>
    <row r="49">
      <c r="A49" s="52" t="inlineStr"/>
    </row>
    <row r="50">
      <c r="A50" s="52" t="inlineStr">
        <is>
          <t>Credit C is the clearest case: -1,059bp of tightening, which at a duration of 4.95</t>
        </is>
      </c>
    </row>
    <row r="51">
      <c r="A51" s="52" t="inlineStr">
        <is>
          <t>implies +52% against an actual +17.9%. Those names started the year with durations</t>
        </is>
      </c>
    </row>
    <row r="52">
      <c r="A52" s="52" t="inlineStr">
        <is>
          <t>near 1-2 and the expansion has no chance. Read the total return there and ignore</t>
        </is>
      </c>
    </row>
    <row r="53">
      <c r="A53" s="52" t="inlineStr">
        <is>
          <t>the legs. The same applies to the Middle East region, where the index weight fell</t>
        </is>
      </c>
    </row>
    <row r="54">
      <c r="A54" s="52" t="inlineStr">
        <is>
          <t>from 16.6% to 12.2% and composition, not price, is doing much of the work.</t>
        </is>
      </c>
    </row>
    <row r="56">
      <c r="A56" s="2" t="inlineStr">
        <is>
          <t>Term premium between the 10y and the index</t>
        </is>
      </c>
    </row>
    <row r="57">
      <c r="A57" s="52" t="inlineStr">
        <is>
          <t>The index is not priced off the 10y. Its spread is struck at each bond's own</t>
        </is>
      </c>
    </row>
    <row r="58">
      <c r="A58" s="52" t="inlineStr">
        <is>
          <t>maturity and the cap-weighted average life is 10.2 years, so the Treasury it is</t>
        </is>
      </c>
    </row>
    <row r="59">
      <c r="A59" s="52" t="inlineStr">
        <is>
          <t>exposed to sits further out: 4.8% on the 10y against an index anchor of</t>
        </is>
      </c>
    </row>
    <row r="60">
      <c r="A60" s="52" t="inlineStr">
        <is>
          <t>yield less spread. The gap is term premium for the extra maturity and is close to</t>
        </is>
      </c>
    </row>
    <row r="61">
      <c r="A61" s="52" t="inlineStr">
        <is>
          <t>what the cross-sectional curve implies at 4.9bp per year of average life.</t>
        </is>
      </c>
    </row>
    <row r="62">
      <c r="A62" s="52" t="inlineStr"/>
    </row>
    <row r="63">
      <c r="A63" s="52" t="inlineStr">
        <is>
          <t>Duration and average life answer different questions and both are needed. Duration</t>
        </is>
      </c>
    </row>
    <row r="64">
      <c r="A64" s="52" t="inlineStr">
        <is>
          <t>(6.22) sizes the P&amp;L: 10bp is worth 0.62%. Average life (10.2y) picks WHICH rate,</t>
        </is>
      </c>
    </row>
    <row r="65">
      <c r="A65" s="52" t="inlineStr">
        <is>
          <t>which is why the 10y is the reference and the 5y is not. A single 10.2y bond with</t>
        </is>
      </c>
    </row>
    <row r="66">
      <c r="A66" s="52" t="inlineStr">
        <is>
          <t>this coupon would carry 7.4 duration; the index is shorter because duration is</t>
        </is>
      </c>
    </row>
    <row r="67">
      <c r="A67" s="52" t="inlineStr">
        <is>
          <t>concave in maturity and the index barbells short distressed paper (Iraq 0.9y,</t>
        </is>
      </c>
    </row>
    <row r="68">
      <c r="A68" s="52" t="inlineStr">
        <is>
          <t>Ethiopia 1.3y) against long investment grade (Peru 17.2y, Costa Rica 15.1y).</t>
        </is>
      </c>
    </row>
    <row r="69">
      <c r="A69" s="52" t="inlineStr"/>
    </row>
    <row r="70">
      <c r="A70" s="52" t="inlineStr">
        <is>
          <t>CURVE_BETA is 1.00: the anchor moves one-for-one with the 10y, so the</t>
        </is>
      </c>
    </row>
    <row r="71">
      <c r="A71" s="52" t="inlineStr">
        <is>
          <t>premium cancels out of every change and the adjustment is presentational. It only</t>
        </is>
      </c>
    </row>
    <row r="72">
      <c r="A72" s="52" t="inlineStr">
        <is>
          <t>bites if you model a flattening or steepening, and it cannot be estimated from</t>
        </is>
      </c>
    </row>
    <row r="73">
      <c r="A73" s="52" t="inlineStr">
        <is>
          <t>these files because none of them carries a 10y series.</t>
        </is>
      </c>
    </row>
    <row r="75">
      <c r="A75" s="2" t="inlineStr">
        <is>
          <t>Forecast</t>
        </is>
      </c>
    </row>
    <row r="76">
      <c r="A76" s="52" t="inlineStr">
        <is>
          <t>Betas are practitioner priors, not regression estimates.</t>
        </is>
      </c>
    </row>
    <row r="77">
      <c r="A77" s="52" t="inlineStr">
        <is>
          <t>The known weakness: the rates beta is unconditional and cannot distinguish a rate rise</t>
        </is>
      </c>
    </row>
    <row r="78">
      <c r="A78" s="52" t="inlineStr">
        <is>
          <t>driven by growth (spreads tighten) from one driven by an inflation or policy shock</t>
        </is>
      </c>
    </row>
    <row r="79">
      <c r="A79" s="52" t="inlineStr">
        <is>
          <t>(spreads widen). If the call depends on which, build it regime by regime.</t>
        </is>
      </c>
    </row>
    <row r="80">
      <c r="A80" s="52" t="inlineStr">
        <is>
          <t>Percentile bands are Gaussian around the central case and ignore fat tails.</t>
        </is>
      </c>
    </row>
    <row r="81">
      <c r="A81" s="52" t="inlineStr">
        <is>
          <t>Two sigmas are shown: daily scaled by root-252, and the distribution of actual 252-day</t>
        </is>
      </c>
    </row>
    <row r="82">
      <c r="A82" s="52" t="inlineStr">
        <is>
          <t>changes. They diverge when spreads mean-revert; the second is the honest one for a 12m</t>
        </is>
      </c>
    </row>
    <row r="83">
      <c r="A83" s="52" t="inlineStr">
        <is>
          <t>horizon and is the one driving the bands.</t>
        </is>
      </c>
    </row>
    <row r="84">
      <c r="A84" s="52" t="inlineStr">
        <is>
          <t>Sensitivity grid B holds spread and rates independent, which is conservative - in a real</t>
        </is>
      </c>
    </row>
    <row r="85">
      <c r="A85" s="52" t="inlineStr">
        <is>
          <t>risk-off the Treasury rally offsets part of the widening.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2026-09-09T20:17:51Z</dcterms:created>
  <dcterms:modified xmlns:dcterms="http://purl.org/dc/terms/" xmlns:xsi="http://www.w3.org/2001/XMLSchema-instance" xsi:type="dcterms:W3CDTF">2026-09-09T20:17:53Z</dcterms:modified>
</cp:coreProperties>
</file>