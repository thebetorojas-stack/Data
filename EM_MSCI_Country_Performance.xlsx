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%;[Red](0.00%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  <color rgb="000000FF"/>
    </font>
    <font>
      <name val="Arial"/>
      <i val="1"/>
      <color rgb="00555555"/>
    </font>
    <font>
      <name val="Arial"/>
      <b val="1"/>
      <color rgb="00C00000"/>
    </font>
    <font>
      <name val="Arial"/>
      <b val="1"/>
    </font>
    <font>
      <name val="Arial"/>
      <b val="1"/>
      <i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4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MSCI EM Country Indices (USD) — Total Return Performance</t>
        </is>
      </c>
    </row>
    <row r="3">
      <c r="A3" s="2" t="inlineStr">
        <is>
          <t>Refresh</t>
        </is>
      </c>
      <c r="B3" s="3">
        <f>Settings!B4</f>
        <v/>
      </c>
      <c r="D3" s="4" t="inlineStr">
        <is>
          <t>Custom date</t>
        </is>
      </c>
      <c r="E3" s="3">
        <f>Settings!B8</f>
        <v/>
      </c>
    </row>
    <row r="5" ht="30" customHeight="1">
      <c r="A5" s="5" t="inlineStr">
        <is>
          <t>Bloomberg Ticker</t>
        </is>
      </c>
      <c r="B5" s="5" t="inlineStr">
        <is>
          <t>Country</t>
        </is>
      </c>
      <c r="C5" s="5" t="inlineStr">
        <is>
          <t>Region</t>
        </is>
      </c>
      <c r="D5" s="5" t="inlineStr">
        <is>
          <t>Price</t>
        </is>
      </c>
      <c r="E5" s="5" t="inlineStr">
        <is>
          <t>TR YTD</t>
        </is>
      </c>
      <c r="F5" s="5" t="inlineStr">
        <is>
          <t>TR 1M</t>
        </is>
      </c>
      <c r="G5" s="5" t="inlineStr">
        <is>
          <t>TR 3M</t>
        </is>
      </c>
      <c r="H5" s="5" t="inlineStr">
        <is>
          <t>TR vs Custom</t>
        </is>
      </c>
    </row>
    <row r="6">
      <c r="A6" s="6" t="inlineStr">
        <is>
          <t>Aggregate</t>
        </is>
      </c>
    </row>
    <row r="7">
      <c r="A7" s="7" t="inlineStr">
        <is>
          <t>MXEF Index</t>
        </is>
      </c>
      <c r="B7" t="inlineStr">
        <is>
          <t>MSCI Emerging Markets (USD)</t>
        </is>
      </c>
      <c r="C7" t="inlineStr">
        <is>
          <t>Aggregate</t>
        </is>
      </c>
      <c r="D7" s="8">
        <f>IFERROR(BDP(A7,"PX_LAST"),"")</f>
        <v/>
      </c>
      <c r="E7" s="9">
        <f>IFERROR(BDP(A7,"CUST_TRR_RETURN_HOLDING_PER","CUST_TRR_START_DT",Settings!$C$5,"CUST_TRR_END_DT",Settings!$C$4)/100,"")</f>
        <v/>
      </c>
      <c r="F7" s="9">
        <f>IFERROR(BDP(A7,"CUST_TRR_RETURN_HOLDING_PER","CUST_TRR_START_DT",Settings!$C$6,"CUST_TRR_END_DT",Settings!$C$4)/100,"")</f>
        <v/>
      </c>
      <c r="G7" s="9">
        <f>IFERROR(BDP(A7,"CUST_TRR_RETURN_HOLDING_PER","CUST_TRR_START_DT",Settings!$C$7,"CUST_TRR_END_DT",Settings!$C$4)/100,"")</f>
        <v/>
      </c>
      <c r="H7" s="9">
        <f>IFERROR(BDP(A7,"CUST_TRR_RETURN_HOLDING_PER","CUST_TRR_START_DT",Settings!$C$8,"CUST_TRR_END_DT",Settings!$C$4)/100,"")</f>
        <v/>
      </c>
    </row>
    <row r="8">
      <c r="A8" s="7" t="inlineStr">
        <is>
          <t>MXEM Index</t>
        </is>
      </c>
      <c r="B8" t="inlineStr">
        <is>
          <t>MSCI EM IMI (USD)</t>
        </is>
      </c>
      <c r="C8" t="inlineStr">
        <is>
          <t>Aggregate</t>
        </is>
      </c>
      <c r="D8" s="8">
        <f>IFERROR(BDP(A8,"PX_LAST"),"")</f>
        <v/>
      </c>
      <c r="E8" s="9">
        <f>IFERROR(BDP(A8,"CUST_TRR_RETURN_HOLDING_PER","CUST_TRR_START_DT",Settings!$C$5,"CUST_TRR_END_DT",Settings!$C$4)/100,"")</f>
        <v/>
      </c>
      <c r="F8" s="9">
        <f>IFERROR(BDP(A8,"CUST_TRR_RETURN_HOLDING_PER","CUST_TRR_START_DT",Settings!$C$6,"CUST_TRR_END_DT",Settings!$C$4)/100,"")</f>
        <v/>
      </c>
      <c r="G8" s="9">
        <f>IFERROR(BDP(A8,"CUST_TRR_RETURN_HOLDING_PER","CUST_TRR_START_DT",Settings!$C$7,"CUST_TRR_END_DT",Settings!$C$4)/100,"")</f>
        <v/>
      </c>
      <c r="H8" s="9">
        <f>IFERROR(BDP(A8,"CUST_TRR_RETURN_HOLDING_PER","CUST_TRR_START_DT",Settings!$C$8,"CUST_TRR_END_DT",Settings!$C$4)/100,"")</f>
        <v/>
      </c>
    </row>
    <row r="9">
      <c r="A9" s="7" t="inlineStr">
        <is>
          <t>MXFM Index</t>
        </is>
      </c>
      <c r="B9" t="inlineStr">
        <is>
          <t>MSCI Frontier Markets (USD)</t>
        </is>
      </c>
      <c r="C9" t="inlineStr">
        <is>
          <t>Aggregate</t>
        </is>
      </c>
      <c r="D9" s="8">
        <f>IFERROR(BDP(A9,"PX_LAST"),"")</f>
        <v/>
      </c>
      <c r="E9" s="9">
        <f>IFERROR(BDP(A9,"CUST_TRR_RETURN_HOLDING_PER","CUST_TRR_START_DT",Settings!$C$5,"CUST_TRR_END_DT",Settings!$C$4)/100,"")</f>
        <v/>
      </c>
      <c r="F9" s="9">
        <f>IFERROR(BDP(A9,"CUST_TRR_RETURN_HOLDING_PER","CUST_TRR_START_DT",Settings!$C$6,"CUST_TRR_END_DT",Settings!$C$4)/100,"")</f>
        <v/>
      </c>
      <c r="G9" s="9">
        <f>IFERROR(BDP(A9,"CUST_TRR_RETURN_HOLDING_PER","CUST_TRR_START_DT",Settings!$C$7,"CUST_TRR_END_DT",Settings!$C$4)/100,"")</f>
        <v/>
      </c>
      <c r="H9" s="9">
        <f>IFERROR(BDP(A9,"CUST_TRR_RETURN_HOLDING_PER","CUST_TRR_START_DT",Settings!$C$8,"CUST_TRR_END_DT",Settings!$C$4)/100,"")</f>
        <v/>
      </c>
    </row>
    <row r="10">
      <c r="A10" s="6" t="inlineStr">
        <is>
          <t>EMEA Europe</t>
        </is>
      </c>
    </row>
    <row r="11">
      <c r="A11" s="7" t="inlineStr">
        <is>
          <t>MXPO Index</t>
        </is>
      </c>
      <c r="B11" t="inlineStr">
        <is>
          <t>MSCI Poland (USD)</t>
        </is>
      </c>
      <c r="C11" t="inlineStr">
        <is>
          <t>EMEA Europe</t>
        </is>
      </c>
      <c r="D11" s="8">
        <f>IFERROR(BDP(A11,"PX_LAST"),"")</f>
        <v/>
      </c>
      <c r="E11" s="9">
        <f>IFERROR(BDP(A11,"CUST_TRR_RETURN_HOLDING_PER","CUST_TRR_START_DT",Settings!$C$5,"CUST_TRR_END_DT",Settings!$C$4)/100,"")</f>
        <v/>
      </c>
      <c r="F11" s="9">
        <f>IFERROR(BDP(A11,"CUST_TRR_RETURN_HOLDING_PER","CUST_TRR_START_DT",Settings!$C$6,"CUST_TRR_END_DT",Settings!$C$4)/100,"")</f>
        <v/>
      </c>
      <c r="G11" s="9">
        <f>IFERROR(BDP(A11,"CUST_TRR_RETURN_HOLDING_PER","CUST_TRR_START_DT",Settings!$C$7,"CUST_TRR_END_DT",Settings!$C$4)/100,"")</f>
        <v/>
      </c>
      <c r="H11" s="9">
        <f>IFERROR(BDP(A11,"CUST_TRR_RETURN_HOLDING_PER","CUST_TRR_START_DT",Settings!$C$8,"CUST_TRR_END_DT",Settings!$C$4)/100,"")</f>
        <v/>
      </c>
    </row>
    <row r="12">
      <c r="A12" s="7" t="inlineStr">
        <is>
          <t>MXHU Index</t>
        </is>
      </c>
      <c r="B12" t="inlineStr">
        <is>
          <t>MSCI Hungary (USD)</t>
        </is>
      </c>
      <c r="C12" t="inlineStr">
        <is>
          <t>EMEA Europe</t>
        </is>
      </c>
      <c r="D12" s="8">
        <f>IFERROR(BDP(A12,"PX_LAST"),"")</f>
        <v/>
      </c>
      <c r="E12" s="9">
        <f>IFERROR(BDP(A12,"CUST_TRR_RETURN_HOLDING_PER","CUST_TRR_START_DT",Settings!$C$5,"CUST_TRR_END_DT",Settings!$C$4)/100,"")</f>
        <v/>
      </c>
      <c r="F12" s="9">
        <f>IFERROR(BDP(A12,"CUST_TRR_RETURN_HOLDING_PER","CUST_TRR_START_DT",Settings!$C$6,"CUST_TRR_END_DT",Settings!$C$4)/100,"")</f>
        <v/>
      </c>
      <c r="G12" s="9">
        <f>IFERROR(BDP(A12,"CUST_TRR_RETURN_HOLDING_PER","CUST_TRR_START_DT",Settings!$C$7,"CUST_TRR_END_DT",Settings!$C$4)/100,"")</f>
        <v/>
      </c>
      <c r="H12" s="9">
        <f>IFERROR(BDP(A12,"CUST_TRR_RETURN_HOLDING_PER","CUST_TRR_START_DT",Settings!$C$8,"CUST_TRR_END_DT",Settings!$C$4)/100,"")</f>
        <v/>
      </c>
    </row>
    <row r="13">
      <c r="A13" s="7" t="inlineStr">
        <is>
          <t>MXCZ Index</t>
        </is>
      </c>
      <c r="B13" t="inlineStr">
        <is>
          <t>MSCI Czech Republic (USD)</t>
        </is>
      </c>
      <c r="C13" t="inlineStr">
        <is>
          <t>EMEA Europe</t>
        </is>
      </c>
      <c r="D13" s="8">
        <f>IFERROR(BDP(A13,"PX_LAST"),"")</f>
        <v/>
      </c>
      <c r="E13" s="9">
        <f>IFERROR(BDP(A13,"CUST_TRR_RETURN_HOLDING_PER","CUST_TRR_START_DT",Settings!$C$5,"CUST_TRR_END_DT",Settings!$C$4)/100,"")</f>
        <v/>
      </c>
      <c r="F13" s="9">
        <f>IFERROR(BDP(A13,"CUST_TRR_RETURN_HOLDING_PER","CUST_TRR_START_DT",Settings!$C$6,"CUST_TRR_END_DT",Settings!$C$4)/100,"")</f>
        <v/>
      </c>
      <c r="G13" s="9">
        <f>IFERROR(BDP(A13,"CUST_TRR_RETURN_HOLDING_PER","CUST_TRR_START_DT",Settings!$C$7,"CUST_TRR_END_DT",Settings!$C$4)/100,"")</f>
        <v/>
      </c>
      <c r="H13" s="9">
        <f>IFERROR(BDP(A13,"CUST_TRR_RETURN_HOLDING_PER","CUST_TRR_START_DT",Settings!$C$8,"CUST_TRR_END_DT",Settings!$C$4)/100,"")</f>
        <v/>
      </c>
    </row>
    <row r="14">
      <c r="A14" s="7" t="inlineStr">
        <is>
          <t>MXGR Index</t>
        </is>
      </c>
      <c r="B14" t="inlineStr">
        <is>
          <t>MSCI Greece (USD)</t>
        </is>
      </c>
      <c r="C14" t="inlineStr">
        <is>
          <t>EMEA Europe</t>
        </is>
      </c>
      <c r="D14" s="8">
        <f>IFERROR(BDP(A14,"PX_LAST"),"")</f>
        <v/>
      </c>
      <c r="E14" s="9">
        <f>IFERROR(BDP(A14,"CUST_TRR_RETURN_HOLDING_PER","CUST_TRR_START_DT",Settings!$C$5,"CUST_TRR_END_DT",Settings!$C$4)/100,"")</f>
        <v/>
      </c>
      <c r="F14" s="9">
        <f>IFERROR(BDP(A14,"CUST_TRR_RETURN_HOLDING_PER","CUST_TRR_START_DT",Settings!$C$6,"CUST_TRR_END_DT",Settings!$C$4)/100,"")</f>
        <v/>
      </c>
      <c r="G14" s="9">
        <f>IFERROR(BDP(A14,"CUST_TRR_RETURN_HOLDING_PER","CUST_TRR_START_DT",Settings!$C$7,"CUST_TRR_END_DT",Settings!$C$4)/100,"")</f>
        <v/>
      </c>
      <c r="H14" s="9">
        <f>IFERROR(BDP(A14,"CUST_TRR_RETURN_HOLDING_PER","CUST_TRR_START_DT",Settings!$C$8,"CUST_TRR_END_DT",Settings!$C$4)/100,"")</f>
        <v/>
      </c>
    </row>
    <row r="15">
      <c r="A15" s="7" t="inlineStr">
        <is>
          <t>MXTR Index</t>
        </is>
      </c>
      <c r="B15" t="inlineStr">
        <is>
          <t>MSCI Turkey (USD)</t>
        </is>
      </c>
      <c r="C15" t="inlineStr">
        <is>
          <t>EMEA Europe</t>
        </is>
      </c>
      <c r="D15" s="8">
        <f>IFERROR(BDP(A15,"PX_LAST"),"")</f>
        <v/>
      </c>
      <c r="E15" s="9">
        <f>IFERROR(BDP(A15,"CUST_TRR_RETURN_HOLDING_PER","CUST_TRR_START_DT",Settings!$C$5,"CUST_TRR_END_DT",Settings!$C$4)/100,"")</f>
        <v/>
      </c>
      <c r="F15" s="9">
        <f>IFERROR(BDP(A15,"CUST_TRR_RETURN_HOLDING_PER","CUST_TRR_START_DT",Settings!$C$6,"CUST_TRR_END_DT",Settings!$C$4)/100,"")</f>
        <v/>
      </c>
      <c r="G15" s="9">
        <f>IFERROR(BDP(A15,"CUST_TRR_RETURN_HOLDING_PER","CUST_TRR_START_DT",Settings!$C$7,"CUST_TRR_END_DT",Settings!$C$4)/100,"")</f>
        <v/>
      </c>
      <c r="H15" s="9">
        <f>IFERROR(BDP(A15,"CUST_TRR_RETURN_HOLDING_PER","CUST_TRR_START_DT",Settings!$C$8,"CUST_TRR_END_DT",Settings!$C$4)/100,"")</f>
        <v/>
      </c>
    </row>
    <row r="16">
      <c r="A16" s="6" t="inlineStr">
        <is>
          <t>MENA / GCC</t>
        </is>
      </c>
    </row>
    <row r="17">
      <c r="A17" s="7" t="inlineStr">
        <is>
          <t>MXSA Index</t>
        </is>
      </c>
      <c r="B17" t="inlineStr">
        <is>
          <t>MSCI Saudi Arabia (USD)</t>
        </is>
      </c>
      <c r="C17" t="inlineStr">
        <is>
          <t>MENA / GCC</t>
        </is>
      </c>
      <c r="D17" s="8">
        <f>IFERROR(BDP(A17,"PX_LAST"),"")</f>
        <v/>
      </c>
      <c r="E17" s="9">
        <f>IFERROR(BDP(A17,"CUST_TRR_RETURN_HOLDING_PER","CUST_TRR_START_DT",Settings!$C$5,"CUST_TRR_END_DT",Settings!$C$4)/100,"")</f>
        <v/>
      </c>
      <c r="F17" s="9">
        <f>IFERROR(BDP(A17,"CUST_TRR_RETURN_HOLDING_PER","CUST_TRR_START_DT",Settings!$C$6,"CUST_TRR_END_DT",Settings!$C$4)/100,"")</f>
        <v/>
      </c>
      <c r="G17" s="9">
        <f>IFERROR(BDP(A17,"CUST_TRR_RETURN_HOLDING_PER","CUST_TRR_START_DT",Settings!$C$7,"CUST_TRR_END_DT",Settings!$C$4)/100,"")</f>
        <v/>
      </c>
      <c r="H17" s="9">
        <f>IFERROR(BDP(A17,"CUST_TRR_RETURN_HOLDING_PER","CUST_TRR_START_DT",Settings!$C$8,"CUST_TRR_END_DT",Settings!$C$4)/100,"")</f>
        <v/>
      </c>
    </row>
    <row r="18">
      <c r="A18" s="7" t="inlineStr">
        <is>
          <t>MXAE Index</t>
        </is>
      </c>
      <c r="B18" t="inlineStr">
        <is>
          <t>MSCI UAE (USD)</t>
        </is>
      </c>
      <c r="C18" t="inlineStr">
        <is>
          <t>MENA / GCC</t>
        </is>
      </c>
      <c r="D18" s="8">
        <f>IFERROR(BDP(A18,"PX_LAST"),"")</f>
        <v/>
      </c>
      <c r="E18" s="9">
        <f>IFERROR(BDP(A18,"CUST_TRR_RETURN_HOLDING_PER","CUST_TRR_START_DT",Settings!$C$5,"CUST_TRR_END_DT",Settings!$C$4)/100,"")</f>
        <v/>
      </c>
      <c r="F18" s="9">
        <f>IFERROR(BDP(A18,"CUST_TRR_RETURN_HOLDING_PER","CUST_TRR_START_DT",Settings!$C$6,"CUST_TRR_END_DT",Settings!$C$4)/100,"")</f>
        <v/>
      </c>
      <c r="G18" s="9">
        <f>IFERROR(BDP(A18,"CUST_TRR_RETURN_HOLDING_PER","CUST_TRR_START_DT",Settings!$C$7,"CUST_TRR_END_DT",Settings!$C$4)/100,"")</f>
        <v/>
      </c>
      <c r="H18" s="9">
        <f>IFERROR(BDP(A18,"CUST_TRR_RETURN_HOLDING_PER","CUST_TRR_START_DT",Settings!$C$8,"CUST_TRR_END_DT",Settings!$C$4)/100,"")</f>
        <v/>
      </c>
    </row>
    <row r="19">
      <c r="A19" s="7" t="inlineStr">
        <is>
          <t>MXQA Index</t>
        </is>
      </c>
      <c r="B19" t="inlineStr">
        <is>
          <t>MSCI Qatar (USD)</t>
        </is>
      </c>
      <c r="C19" t="inlineStr">
        <is>
          <t>MENA / GCC</t>
        </is>
      </c>
      <c r="D19" s="8">
        <f>IFERROR(BDP(A19,"PX_LAST"),"")</f>
        <v/>
      </c>
      <c r="E19" s="9">
        <f>IFERROR(BDP(A19,"CUST_TRR_RETURN_HOLDING_PER","CUST_TRR_START_DT",Settings!$C$5,"CUST_TRR_END_DT",Settings!$C$4)/100,"")</f>
        <v/>
      </c>
      <c r="F19" s="9">
        <f>IFERROR(BDP(A19,"CUST_TRR_RETURN_HOLDING_PER","CUST_TRR_START_DT",Settings!$C$6,"CUST_TRR_END_DT",Settings!$C$4)/100,"")</f>
        <v/>
      </c>
      <c r="G19" s="9">
        <f>IFERROR(BDP(A19,"CUST_TRR_RETURN_HOLDING_PER","CUST_TRR_START_DT",Settings!$C$7,"CUST_TRR_END_DT",Settings!$C$4)/100,"")</f>
        <v/>
      </c>
      <c r="H19" s="9">
        <f>IFERROR(BDP(A19,"CUST_TRR_RETURN_HOLDING_PER","CUST_TRR_START_DT",Settings!$C$8,"CUST_TRR_END_DT",Settings!$C$4)/100,"")</f>
        <v/>
      </c>
    </row>
    <row r="20">
      <c r="A20" s="7" t="inlineStr">
        <is>
          <t>MXKW Index</t>
        </is>
      </c>
      <c r="B20" t="inlineStr">
        <is>
          <t>MSCI Kuwait (USD)</t>
        </is>
      </c>
      <c r="C20" t="inlineStr">
        <is>
          <t>MENA / GCC</t>
        </is>
      </c>
      <c r="D20" s="8">
        <f>IFERROR(BDP(A20,"PX_LAST"),"")</f>
        <v/>
      </c>
      <c r="E20" s="9">
        <f>IFERROR(BDP(A20,"CUST_TRR_RETURN_HOLDING_PER","CUST_TRR_START_DT",Settings!$C$5,"CUST_TRR_END_DT",Settings!$C$4)/100,"")</f>
        <v/>
      </c>
      <c r="F20" s="9">
        <f>IFERROR(BDP(A20,"CUST_TRR_RETURN_HOLDING_PER","CUST_TRR_START_DT",Settings!$C$6,"CUST_TRR_END_DT",Settings!$C$4)/100,"")</f>
        <v/>
      </c>
      <c r="G20" s="9">
        <f>IFERROR(BDP(A20,"CUST_TRR_RETURN_HOLDING_PER","CUST_TRR_START_DT",Settings!$C$7,"CUST_TRR_END_DT",Settings!$C$4)/100,"")</f>
        <v/>
      </c>
      <c r="H20" s="9">
        <f>IFERROR(BDP(A20,"CUST_TRR_RETURN_HOLDING_PER","CUST_TRR_START_DT",Settings!$C$8,"CUST_TRR_END_DT",Settings!$C$4)/100,"")</f>
        <v/>
      </c>
    </row>
    <row r="21">
      <c r="A21" s="7" t="inlineStr">
        <is>
          <t>MXEG Index</t>
        </is>
      </c>
      <c r="B21" t="inlineStr">
        <is>
          <t>MSCI Egypt (USD)</t>
        </is>
      </c>
      <c r="C21" t="inlineStr">
        <is>
          <t>MENA / GCC</t>
        </is>
      </c>
      <c r="D21" s="8">
        <f>IFERROR(BDP(A21,"PX_LAST"),"")</f>
        <v/>
      </c>
      <c r="E21" s="9">
        <f>IFERROR(BDP(A21,"CUST_TRR_RETURN_HOLDING_PER","CUST_TRR_START_DT",Settings!$C$5,"CUST_TRR_END_DT",Settings!$C$4)/100,"")</f>
        <v/>
      </c>
      <c r="F21" s="9">
        <f>IFERROR(BDP(A21,"CUST_TRR_RETURN_HOLDING_PER","CUST_TRR_START_DT",Settings!$C$6,"CUST_TRR_END_DT",Settings!$C$4)/100,"")</f>
        <v/>
      </c>
      <c r="G21" s="9">
        <f>IFERROR(BDP(A21,"CUST_TRR_RETURN_HOLDING_PER","CUST_TRR_START_DT",Settings!$C$7,"CUST_TRR_END_DT",Settings!$C$4)/100,"")</f>
        <v/>
      </c>
      <c r="H21" s="9">
        <f>IFERROR(BDP(A21,"CUST_TRR_RETURN_HOLDING_PER","CUST_TRR_START_DT",Settings!$C$8,"CUST_TRR_END_DT",Settings!$C$4)/100,"")</f>
        <v/>
      </c>
    </row>
    <row r="22">
      <c r="A22" s="6" t="inlineStr">
        <is>
          <t>Africa</t>
        </is>
      </c>
    </row>
    <row r="23">
      <c r="A23" s="7" t="inlineStr">
        <is>
          <t>MXZA Index</t>
        </is>
      </c>
      <c r="B23" t="inlineStr">
        <is>
          <t>MSCI South Africa (USD)</t>
        </is>
      </c>
      <c r="C23" t="inlineStr">
        <is>
          <t>Africa</t>
        </is>
      </c>
      <c r="D23" s="8">
        <f>IFERROR(BDP(A23,"PX_LAST"),"")</f>
        <v/>
      </c>
      <c r="E23" s="9">
        <f>IFERROR(BDP(A23,"CUST_TRR_RETURN_HOLDING_PER","CUST_TRR_START_DT",Settings!$C$5,"CUST_TRR_END_DT",Settings!$C$4)/100,"")</f>
        <v/>
      </c>
      <c r="F23" s="9">
        <f>IFERROR(BDP(A23,"CUST_TRR_RETURN_HOLDING_PER","CUST_TRR_START_DT",Settings!$C$6,"CUST_TRR_END_DT",Settings!$C$4)/100,"")</f>
        <v/>
      </c>
      <c r="G23" s="9">
        <f>IFERROR(BDP(A23,"CUST_TRR_RETURN_HOLDING_PER","CUST_TRR_START_DT",Settings!$C$7,"CUST_TRR_END_DT",Settings!$C$4)/100,"")</f>
        <v/>
      </c>
      <c r="H23" s="9">
        <f>IFERROR(BDP(A23,"CUST_TRR_RETURN_HOLDING_PER","CUST_TRR_START_DT",Settings!$C$8,"CUST_TRR_END_DT",Settings!$C$4)/100,"")</f>
        <v/>
      </c>
    </row>
    <row r="24">
      <c r="A24" s="6" t="inlineStr">
        <is>
          <t>LatAm</t>
        </is>
      </c>
    </row>
    <row r="25">
      <c r="A25" s="7" t="inlineStr">
        <is>
          <t>MXBR Index</t>
        </is>
      </c>
      <c r="B25" t="inlineStr">
        <is>
          <t>MSCI Brazil (USD)</t>
        </is>
      </c>
      <c r="C25" t="inlineStr">
        <is>
          <t>LatAm</t>
        </is>
      </c>
      <c r="D25" s="8">
        <f>IFERROR(BDP(A25,"PX_LAST"),"")</f>
        <v/>
      </c>
      <c r="E25" s="9">
        <f>IFERROR(BDP(A25,"CUST_TRR_RETURN_HOLDING_PER","CUST_TRR_START_DT",Settings!$C$5,"CUST_TRR_END_DT",Settings!$C$4)/100,"")</f>
        <v/>
      </c>
      <c r="F25" s="9">
        <f>IFERROR(BDP(A25,"CUST_TRR_RETURN_HOLDING_PER","CUST_TRR_START_DT",Settings!$C$6,"CUST_TRR_END_DT",Settings!$C$4)/100,"")</f>
        <v/>
      </c>
      <c r="G25" s="9">
        <f>IFERROR(BDP(A25,"CUST_TRR_RETURN_HOLDING_PER","CUST_TRR_START_DT",Settings!$C$7,"CUST_TRR_END_DT",Settings!$C$4)/100,"")</f>
        <v/>
      </c>
      <c r="H25" s="9">
        <f>IFERROR(BDP(A25,"CUST_TRR_RETURN_HOLDING_PER","CUST_TRR_START_DT",Settings!$C$8,"CUST_TRR_END_DT",Settings!$C$4)/100,"")</f>
        <v/>
      </c>
    </row>
    <row r="26">
      <c r="A26" s="7" t="inlineStr">
        <is>
          <t>MXMX Index</t>
        </is>
      </c>
      <c r="B26" t="inlineStr">
        <is>
          <t>MSCI Mexico (USD)</t>
        </is>
      </c>
      <c r="C26" t="inlineStr">
        <is>
          <t>LatAm</t>
        </is>
      </c>
      <c r="D26" s="8">
        <f>IFERROR(BDP(A26,"PX_LAST"),"")</f>
        <v/>
      </c>
      <c r="E26" s="9">
        <f>IFERROR(BDP(A26,"CUST_TRR_RETURN_HOLDING_PER","CUST_TRR_START_DT",Settings!$C$5,"CUST_TRR_END_DT",Settings!$C$4)/100,"")</f>
        <v/>
      </c>
      <c r="F26" s="9">
        <f>IFERROR(BDP(A26,"CUST_TRR_RETURN_HOLDING_PER","CUST_TRR_START_DT",Settings!$C$6,"CUST_TRR_END_DT",Settings!$C$4)/100,"")</f>
        <v/>
      </c>
      <c r="G26" s="9">
        <f>IFERROR(BDP(A26,"CUST_TRR_RETURN_HOLDING_PER","CUST_TRR_START_DT",Settings!$C$7,"CUST_TRR_END_DT",Settings!$C$4)/100,"")</f>
        <v/>
      </c>
      <c r="H26" s="9">
        <f>IFERROR(BDP(A26,"CUST_TRR_RETURN_HOLDING_PER","CUST_TRR_START_DT",Settings!$C$8,"CUST_TRR_END_DT",Settings!$C$4)/100,"")</f>
        <v/>
      </c>
    </row>
    <row r="27">
      <c r="A27" s="7" t="inlineStr">
        <is>
          <t>MXCL Index</t>
        </is>
      </c>
      <c r="B27" t="inlineStr">
        <is>
          <t>MSCI Chile (USD)</t>
        </is>
      </c>
      <c r="C27" t="inlineStr">
        <is>
          <t>LatAm</t>
        </is>
      </c>
      <c r="D27" s="8">
        <f>IFERROR(BDP(A27,"PX_LAST"),"")</f>
        <v/>
      </c>
      <c r="E27" s="9">
        <f>IFERROR(BDP(A27,"CUST_TRR_RETURN_HOLDING_PER","CUST_TRR_START_DT",Settings!$C$5,"CUST_TRR_END_DT",Settings!$C$4)/100,"")</f>
        <v/>
      </c>
      <c r="F27" s="9">
        <f>IFERROR(BDP(A27,"CUST_TRR_RETURN_HOLDING_PER","CUST_TRR_START_DT",Settings!$C$6,"CUST_TRR_END_DT",Settings!$C$4)/100,"")</f>
        <v/>
      </c>
      <c r="G27" s="9">
        <f>IFERROR(BDP(A27,"CUST_TRR_RETURN_HOLDING_PER","CUST_TRR_START_DT",Settings!$C$7,"CUST_TRR_END_DT",Settings!$C$4)/100,"")</f>
        <v/>
      </c>
      <c r="H27" s="9">
        <f>IFERROR(BDP(A27,"CUST_TRR_RETURN_HOLDING_PER","CUST_TRR_START_DT",Settings!$C$8,"CUST_TRR_END_DT",Settings!$C$4)/100,"")</f>
        <v/>
      </c>
    </row>
    <row r="28">
      <c r="A28" s="7" t="inlineStr">
        <is>
          <t>MXCO Index</t>
        </is>
      </c>
      <c r="B28" t="inlineStr">
        <is>
          <t>MSCI Colombia (USD)</t>
        </is>
      </c>
      <c r="C28" t="inlineStr">
        <is>
          <t>LatAm</t>
        </is>
      </c>
      <c r="D28" s="8">
        <f>IFERROR(BDP(A28,"PX_LAST"),"")</f>
        <v/>
      </c>
      <c r="E28" s="9">
        <f>IFERROR(BDP(A28,"CUST_TRR_RETURN_HOLDING_PER","CUST_TRR_START_DT",Settings!$C$5,"CUST_TRR_END_DT",Settings!$C$4)/100,"")</f>
        <v/>
      </c>
      <c r="F28" s="9">
        <f>IFERROR(BDP(A28,"CUST_TRR_RETURN_HOLDING_PER","CUST_TRR_START_DT",Settings!$C$6,"CUST_TRR_END_DT",Settings!$C$4)/100,"")</f>
        <v/>
      </c>
      <c r="G28" s="9">
        <f>IFERROR(BDP(A28,"CUST_TRR_RETURN_HOLDING_PER","CUST_TRR_START_DT",Settings!$C$7,"CUST_TRR_END_DT",Settings!$C$4)/100,"")</f>
        <v/>
      </c>
      <c r="H28" s="9">
        <f>IFERROR(BDP(A28,"CUST_TRR_RETURN_HOLDING_PER","CUST_TRR_START_DT",Settings!$C$8,"CUST_TRR_END_DT",Settings!$C$4)/100,"")</f>
        <v/>
      </c>
    </row>
    <row r="29">
      <c r="A29" s="7" t="inlineStr">
        <is>
          <t>MXPE Index</t>
        </is>
      </c>
      <c r="B29" t="inlineStr">
        <is>
          <t>MSCI Peru (USD)</t>
        </is>
      </c>
      <c r="C29" t="inlineStr">
        <is>
          <t>LatAm</t>
        </is>
      </c>
      <c r="D29" s="8">
        <f>IFERROR(BDP(A29,"PX_LAST"),"")</f>
        <v/>
      </c>
      <c r="E29" s="9">
        <f>IFERROR(BDP(A29,"CUST_TRR_RETURN_HOLDING_PER","CUST_TRR_START_DT",Settings!$C$5,"CUST_TRR_END_DT",Settings!$C$4)/100,"")</f>
        <v/>
      </c>
      <c r="F29" s="9">
        <f>IFERROR(BDP(A29,"CUST_TRR_RETURN_HOLDING_PER","CUST_TRR_START_DT",Settings!$C$6,"CUST_TRR_END_DT",Settings!$C$4)/100,"")</f>
        <v/>
      </c>
      <c r="G29" s="9">
        <f>IFERROR(BDP(A29,"CUST_TRR_RETURN_HOLDING_PER","CUST_TRR_START_DT",Settings!$C$7,"CUST_TRR_END_DT",Settings!$C$4)/100,"")</f>
        <v/>
      </c>
      <c r="H29" s="9">
        <f>IFERROR(BDP(A29,"CUST_TRR_RETURN_HOLDING_PER","CUST_TRR_START_DT",Settings!$C$8,"CUST_TRR_END_DT",Settings!$C$4)/100,"")</f>
        <v/>
      </c>
    </row>
    <row r="30">
      <c r="A30" s="7" t="inlineStr">
        <is>
          <t>MXAR Index</t>
        </is>
      </c>
      <c r="B30" t="inlineStr">
        <is>
          <t>MSCI Argentina (USD)</t>
        </is>
      </c>
      <c r="C30" t="inlineStr">
        <is>
          <t>LatAm</t>
        </is>
      </c>
      <c r="D30" s="8">
        <f>IFERROR(BDP(A30,"PX_LAST"),"")</f>
        <v/>
      </c>
      <c r="E30" s="9">
        <f>IFERROR(BDP(A30,"CUST_TRR_RETURN_HOLDING_PER","CUST_TRR_START_DT",Settings!$C$5,"CUST_TRR_END_DT",Settings!$C$4)/100,"")</f>
        <v/>
      </c>
      <c r="F30" s="9">
        <f>IFERROR(BDP(A30,"CUST_TRR_RETURN_HOLDING_PER","CUST_TRR_START_DT",Settings!$C$6,"CUST_TRR_END_DT",Settings!$C$4)/100,"")</f>
        <v/>
      </c>
      <c r="G30" s="9">
        <f>IFERROR(BDP(A30,"CUST_TRR_RETURN_HOLDING_PER","CUST_TRR_START_DT",Settings!$C$7,"CUST_TRR_END_DT",Settings!$C$4)/100,"")</f>
        <v/>
      </c>
      <c r="H30" s="9">
        <f>IFERROR(BDP(A30,"CUST_TRR_RETURN_HOLDING_PER","CUST_TRR_START_DT",Settings!$C$8,"CUST_TRR_END_DT",Settings!$C$4)/100,"")</f>
        <v/>
      </c>
    </row>
    <row r="31">
      <c r="A31" s="6" t="inlineStr">
        <is>
          <t>EM Asia</t>
        </is>
      </c>
    </row>
    <row r="32">
      <c r="A32" s="7" t="inlineStr">
        <is>
          <t>MXCN Index</t>
        </is>
      </c>
      <c r="B32" t="inlineStr">
        <is>
          <t>MSCI China (USD)</t>
        </is>
      </c>
      <c r="C32" t="inlineStr">
        <is>
          <t>EM Asia</t>
        </is>
      </c>
      <c r="D32" s="8">
        <f>IFERROR(BDP(A32,"PX_LAST"),"")</f>
        <v/>
      </c>
      <c r="E32" s="9">
        <f>IFERROR(BDP(A32,"CUST_TRR_RETURN_HOLDING_PER","CUST_TRR_START_DT",Settings!$C$5,"CUST_TRR_END_DT",Settings!$C$4)/100,"")</f>
        <v/>
      </c>
      <c r="F32" s="9">
        <f>IFERROR(BDP(A32,"CUST_TRR_RETURN_HOLDING_PER","CUST_TRR_START_DT",Settings!$C$6,"CUST_TRR_END_DT",Settings!$C$4)/100,"")</f>
        <v/>
      </c>
      <c r="G32" s="9">
        <f>IFERROR(BDP(A32,"CUST_TRR_RETURN_HOLDING_PER","CUST_TRR_START_DT",Settings!$C$7,"CUST_TRR_END_DT",Settings!$C$4)/100,"")</f>
        <v/>
      </c>
      <c r="H32" s="9">
        <f>IFERROR(BDP(A32,"CUST_TRR_RETURN_HOLDING_PER","CUST_TRR_START_DT",Settings!$C$8,"CUST_TRR_END_DT",Settings!$C$4)/100,"")</f>
        <v/>
      </c>
    </row>
    <row r="33">
      <c r="A33" s="7" t="inlineStr">
        <is>
          <t>MXIN Index</t>
        </is>
      </c>
      <c r="B33" t="inlineStr">
        <is>
          <t>MSCI India (USD)</t>
        </is>
      </c>
      <c r="C33" t="inlineStr">
        <is>
          <t>EM Asia</t>
        </is>
      </c>
      <c r="D33" s="8">
        <f>IFERROR(BDP(A33,"PX_LAST"),"")</f>
        <v/>
      </c>
      <c r="E33" s="9">
        <f>IFERROR(BDP(A33,"CUST_TRR_RETURN_HOLDING_PER","CUST_TRR_START_DT",Settings!$C$5,"CUST_TRR_END_DT",Settings!$C$4)/100,"")</f>
        <v/>
      </c>
      <c r="F33" s="9">
        <f>IFERROR(BDP(A33,"CUST_TRR_RETURN_HOLDING_PER","CUST_TRR_START_DT",Settings!$C$6,"CUST_TRR_END_DT",Settings!$C$4)/100,"")</f>
        <v/>
      </c>
      <c r="G33" s="9">
        <f>IFERROR(BDP(A33,"CUST_TRR_RETURN_HOLDING_PER","CUST_TRR_START_DT",Settings!$C$7,"CUST_TRR_END_DT",Settings!$C$4)/100,"")</f>
        <v/>
      </c>
      <c r="H33" s="9">
        <f>IFERROR(BDP(A33,"CUST_TRR_RETURN_HOLDING_PER","CUST_TRR_START_DT",Settings!$C$8,"CUST_TRR_END_DT",Settings!$C$4)/100,"")</f>
        <v/>
      </c>
    </row>
    <row r="34">
      <c r="A34" s="7" t="inlineStr">
        <is>
          <t>MXKR Index</t>
        </is>
      </c>
      <c r="B34" t="inlineStr">
        <is>
          <t>MSCI Korea (USD)</t>
        </is>
      </c>
      <c r="C34" t="inlineStr">
        <is>
          <t>EM Asia</t>
        </is>
      </c>
      <c r="D34" s="8">
        <f>IFERROR(BDP(A34,"PX_LAST"),"")</f>
        <v/>
      </c>
      <c r="E34" s="9">
        <f>IFERROR(BDP(A34,"CUST_TRR_RETURN_HOLDING_PER","CUST_TRR_START_DT",Settings!$C$5,"CUST_TRR_END_DT",Settings!$C$4)/100,"")</f>
        <v/>
      </c>
      <c r="F34" s="9">
        <f>IFERROR(BDP(A34,"CUST_TRR_RETURN_HOLDING_PER","CUST_TRR_START_DT",Settings!$C$6,"CUST_TRR_END_DT",Settings!$C$4)/100,"")</f>
        <v/>
      </c>
      <c r="G34" s="9">
        <f>IFERROR(BDP(A34,"CUST_TRR_RETURN_HOLDING_PER","CUST_TRR_START_DT",Settings!$C$7,"CUST_TRR_END_DT",Settings!$C$4)/100,"")</f>
        <v/>
      </c>
      <c r="H34" s="9">
        <f>IFERROR(BDP(A34,"CUST_TRR_RETURN_HOLDING_PER","CUST_TRR_START_DT",Settings!$C$8,"CUST_TRR_END_DT",Settings!$C$4)/100,"")</f>
        <v/>
      </c>
    </row>
    <row r="35">
      <c r="A35" s="7" t="inlineStr">
        <is>
          <t>MXTW Index</t>
        </is>
      </c>
      <c r="B35" t="inlineStr">
        <is>
          <t>MSCI Taiwan (USD)</t>
        </is>
      </c>
      <c r="C35" t="inlineStr">
        <is>
          <t>EM Asia</t>
        </is>
      </c>
      <c r="D35" s="8">
        <f>IFERROR(BDP(A35,"PX_LAST"),"")</f>
        <v/>
      </c>
      <c r="E35" s="9">
        <f>IFERROR(BDP(A35,"CUST_TRR_RETURN_HOLDING_PER","CUST_TRR_START_DT",Settings!$C$5,"CUST_TRR_END_DT",Settings!$C$4)/100,"")</f>
        <v/>
      </c>
      <c r="F35" s="9">
        <f>IFERROR(BDP(A35,"CUST_TRR_RETURN_HOLDING_PER","CUST_TRR_START_DT",Settings!$C$6,"CUST_TRR_END_DT",Settings!$C$4)/100,"")</f>
        <v/>
      </c>
      <c r="G35" s="9">
        <f>IFERROR(BDP(A35,"CUST_TRR_RETURN_HOLDING_PER","CUST_TRR_START_DT",Settings!$C$7,"CUST_TRR_END_DT",Settings!$C$4)/100,"")</f>
        <v/>
      </c>
      <c r="H35" s="9">
        <f>IFERROR(BDP(A35,"CUST_TRR_RETURN_HOLDING_PER","CUST_TRR_START_DT",Settings!$C$8,"CUST_TRR_END_DT",Settings!$C$4)/100,"")</f>
        <v/>
      </c>
    </row>
    <row r="36">
      <c r="A36" s="7" t="inlineStr">
        <is>
          <t>MXTH Index</t>
        </is>
      </c>
      <c r="B36" t="inlineStr">
        <is>
          <t>MSCI Thailand (USD)</t>
        </is>
      </c>
      <c r="C36" t="inlineStr">
        <is>
          <t>EM Asia</t>
        </is>
      </c>
      <c r="D36" s="8">
        <f>IFERROR(BDP(A36,"PX_LAST"),"")</f>
        <v/>
      </c>
      <c r="E36" s="9">
        <f>IFERROR(BDP(A36,"CUST_TRR_RETURN_HOLDING_PER","CUST_TRR_START_DT",Settings!$C$5,"CUST_TRR_END_DT",Settings!$C$4)/100,"")</f>
        <v/>
      </c>
      <c r="F36" s="9">
        <f>IFERROR(BDP(A36,"CUST_TRR_RETURN_HOLDING_PER","CUST_TRR_START_DT",Settings!$C$6,"CUST_TRR_END_DT",Settings!$C$4)/100,"")</f>
        <v/>
      </c>
      <c r="G36" s="9">
        <f>IFERROR(BDP(A36,"CUST_TRR_RETURN_HOLDING_PER","CUST_TRR_START_DT",Settings!$C$7,"CUST_TRR_END_DT",Settings!$C$4)/100,"")</f>
        <v/>
      </c>
      <c r="H36" s="9">
        <f>IFERROR(BDP(A36,"CUST_TRR_RETURN_HOLDING_PER","CUST_TRR_START_DT",Settings!$C$8,"CUST_TRR_END_DT",Settings!$C$4)/100,"")</f>
        <v/>
      </c>
    </row>
    <row r="37">
      <c r="A37" s="7" t="inlineStr">
        <is>
          <t>MXID Index</t>
        </is>
      </c>
      <c r="B37" t="inlineStr">
        <is>
          <t>MSCI Indonesia (USD)</t>
        </is>
      </c>
      <c r="C37" t="inlineStr">
        <is>
          <t>EM Asia</t>
        </is>
      </c>
      <c r="D37" s="8">
        <f>IFERROR(BDP(A37,"PX_LAST"),"")</f>
        <v/>
      </c>
      <c r="E37" s="9">
        <f>IFERROR(BDP(A37,"CUST_TRR_RETURN_HOLDING_PER","CUST_TRR_START_DT",Settings!$C$5,"CUST_TRR_END_DT",Settings!$C$4)/100,"")</f>
        <v/>
      </c>
      <c r="F37" s="9">
        <f>IFERROR(BDP(A37,"CUST_TRR_RETURN_HOLDING_PER","CUST_TRR_START_DT",Settings!$C$6,"CUST_TRR_END_DT",Settings!$C$4)/100,"")</f>
        <v/>
      </c>
      <c r="G37" s="9">
        <f>IFERROR(BDP(A37,"CUST_TRR_RETURN_HOLDING_PER","CUST_TRR_START_DT",Settings!$C$7,"CUST_TRR_END_DT",Settings!$C$4)/100,"")</f>
        <v/>
      </c>
      <c r="H37" s="9">
        <f>IFERROR(BDP(A37,"CUST_TRR_RETURN_HOLDING_PER","CUST_TRR_START_DT",Settings!$C$8,"CUST_TRR_END_DT",Settings!$C$4)/100,"")</f>
        <v/>
      </c>
    </row>
    <row r="38">
      <c r="A38" s="7" t="inlineStr">
        <is>
          <t>MXMY Index</t>
        </is>
      </c>
      <c r="B38" t="inlineStr">
        <is>
          <t>MSCI Malaysia (USD)</t>
        </is>
      </c>
      <c r="C38" t="inlineStr">
        <is>
          <t>EM Asia</t>
        </is>
      </c>
      <c r="D38" s="8">
        <f>IFERROR(BDP(A38,"PX_LAST"),"")</f>
        <v/>
      </c>
      <c r="E38" s="9">
        <f>IFERROR(BDP(A38,"CUST_TRR_RETURN_HOLDING_PER","CUST_TRR_START_DT",Settings!$C$5,"CUST_TRR_END_DT",Settings!$C$4)/100,"")</f>
        <v/>
      </c>
      <c r="F38" s="9">
        <f>IFERROR(BDP(A38,"CUST_TRR_RETURN_HOLDING_PER","CUST_TRR_START_DT",Settings!$C$6,"CUST_TRR_END_DT",Settings!$C$4)/100,"")</f>
        <v/>
      </c>
      <c r="G38" s="9">
        <f>IFERROR(BDP(A38,"CUST_TRR_RETURN_HOLDING_PER","CUST_TRR_START_DT",Settings!$C$7,"CUST_TRR_END_DT",Settings!$C$4)/100,"")</f>
        <v/>
      </c>
      <c r="H38" s="9">
        <f>IFERROR(BDP(A38,"CUST_TRR_RETURN_HOLDING_PER","CUST_TRR_START_DT",Settings!$C$8,"CUST_TRR_END_DT",Settings!$C$4)/100,"")</f>
        <v/>
      </c>
    </row>
    <row r="39">
      <c r="A39" s="7" t="inlineStr">
        <is>
          <t>MXPH Index</t>
        </is>
      </c>
      <c r="B39" t="inlineStr">
        <is>
          <t>MSCI Philippines (USD)</t>
        </is>
      </c>
      <c r="C39" t="inlineStr">
        <is>
          <t>EM Asia</t>
        </is>
      </c>
      <c r="D39" s="8">
        <f>IFERROR(BDP(A39,"PX_LAST"),"")</f>
        <v/>
      </c>
      <c r="E39" s="9">
        <f>IFERROR(BDP(A39,"CUST_TRR_RETURN_HOLDING_PER","CUST_TRR_START_DT",Settings!$C$5,"CUST_TRR_END_DT",Settings!$C$4)/100,"")</f>
        <v/>
      </c>
      <c r="F39" s="9">
        <f>IFERROR(BDP(A39,"CUST_TRR_RETURN_HOLDING_PER","CUST_TRR_START_DT",Settings!$C$6,"CUST_TRR_END_DT",Settings!$C$4)/100,"")</f>
        <v/>
      </c>
      <c r="G39" s="9">
        <f>IFERROR(BDP(A39,"CUST_TRR_RETURN_HOLDING_PER","CUST_TRR_START_DT",Settings!$C$7,"CUST_TRR_END_DT",Settings!$C$4)/100,"")</f>
        <v/>
      </c>
      <c r="H39" s="9">
        <f>IFERROR(BDP(A39,"CUST_TRR_RETURN_HOLDING_PER","CUST_TRR_START_DT",Settings!$C$8,"CUST_TRR_END_DT",Settings!$C$4)/100,"")</f>
        <v/>
      </c>
    </row>
    <row r="40">
      <c r="A40" s="7" t="inlineStr">
        <is>
          <t>MXPK Index</t>
        </is>
      </c>
      <c r="B40" t="inlineStr">
        <is>
          <t>MSCI Pakistan (USD)</t>
        </is>
      </c>
      <c r="C40" t="inlineStr">
        <is>
          <t>EM Asia</t>
        </is>
      </c>
      <c r="D40" s="8">
        <f>IFERROR(BDP(A40,"PX_LAST"),"")</f>
        <v/>
      </c>
      <c r="E40" s="9">
        <f>IFERROR(BDP(A40,"CUST_TRR_RETURN_HOLDING_PER","CUST_TRR_START_DT",Settings!$C$5,"CUST_TRR_END_DT",Settings!$C$4)/100,"")</f>
        <v/>
      </c>
      <c r="F40" s="9">
        <f>IFERROR(BDP(A40,"CUST_TRR_RETURN_HOLDING_PER","CUST_TRR_START_DT",Settings!$C$6,"CUST_TRR_END_DT",Settings!$C$4)/100,"")</f>
        <v/>
      </c>
      <c r="G40" s="9">
        <f>IFERROR(BDP(A40,"CUST_TRR_RETURN_HOLDING_PER","CUST_TRR_START_DT",Settings!$C$7,"CUST_TRR_END_DT",Settings!$C$4)/100,"")</f>
        <v/>
      </c>
      <c r="H40" s="9">
        <f>IFERROR(BDP(A40,"CUST_TRR_RETURN_HOLDING_PER","CUST_TRR_START_DT",Settings!$C$8,"CUST_TRR_END_DT",Settings!$C$4)/100,"")</f>
        <v/>
      </c>
    </row>
    <row r="41">
      <c r="A41" s="7" t="inlineStr">
        <is>
          <t>MXVT Index</t>
        </is>
      </c>
      <c r="B41" t="inlineStr">
        <is>
          <t>MSCI Vietnam (USD)</t>
        </is>
      </c>
      <c r="C41" t="inlineStr">
        <is>
          <t>EM Asia</t>
        </is>
      </c>
      <c r="D41" s="8">
        <f>IFERROR(BDP(A41,"PX_LAST"),"")</f>
        <v/>
      </c>
      <c r="E41" s="9">
        <f>IFERROR(BDP(A41,"CUST_TRR_RETURN_HOLDING_PER","CUST_TRR_START_DT",Settings!$C$5,"CUST_TRR_END_DT",Settings!$C$4)/100,"")</f>
        <v/>
      </c>
      <c r="F41" s="9">
        <f>IFERROR(BDP(A41,"CUST_TRR_RETURN_HOLDING_PER","CUST_TRR_START_DT",Settings!$C$6,"CUST_TRR_END_DT",Settings!$C$4)/100,"")</f>
        <v/>
      </c>
      <c r="G41" s="9">
        <f>IFERROR(BDP(A41,"CUST_TRR_RETURN_HOLDING_PER","CUST_TRR_START_DT",Settings!$C$7,"CUST_TRR_END_DT",Settings!$C$4)/100,"")</f>
        <v/>
      </c>
      <c r="H41" s="9">
        <f>IFERROR(BDP(A41,"CUST_TRR_RETURN_HOLDING_PER","CUST_TRR_START_DT",Settings!$C$8,"CUST_TRR_END_DT",Settings!$C$4)/100,"")</f>
        <v/>
      </c>
    </row>
    <row r="43">
      <c r="A43" s="10" t="inlineStr">
        <is>
          <t>Notes:</t>
        </is>
      </c>
    </row>
    <row r="44">
      <c r="A44" s="11" t="inlineStr">
        <is>
          <t>• Blue = Bloomberg ticker. Edit any that don't resolve.</t>
        </is>
      </c>
    </row>
    <row r="45">
      <c r="A45" s="11" t="inlineStr">
        <is>
          <t>• TR uses CUST_TRR_RETURN_HOLDING_PER with date overrides — includes dividends.</t>
        </is>
      </c>
    </row>
    <row r="46">
      <c r="A46" s="11" t="inlineStr">
        <is>
          <t>• Default tickers are MSCI Standard country indices in USD. Swap to NDUExxx / MxSDxxx variants if you need gross divs or different methodology.</t>
        </is>
      </c>
    </row>
    <row r="47">
      <c r="A47" s="11" t="inlineStr">
        <is>
          <t>• Edit Settings!B8 (yellow) to compare today vs any date.</t>
        </is>
      </c>
    </row>
  </sheetData>
  <mergeCells count="11">
    <mergeCell ref="A45:H45"/>
    <mergeCell ref="A24:H24"/>
    <mergeCell ref="A16:H16"/>
    <mergeCell ref="A10:H10"/>
    <mergeCell ref="A44:H44"/>
    <mergeCell ref="A47:H47"/>
    <mergeCell ref="A1:H1"/>
    <mergeCell ref="A46:H46"/>
    <mergeCell ref="A31:H31"/>
    <mergeCell ref="A6:H6"/>
    <mergeCell ref="A22:H22"/>
  </mergeCells>
  <conditionalFormatting sqref="E6:E4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F6:F41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6:G41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H6:H41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60" customWidth="1" min="4" max="4"/>
  </cols>
  <sheetData>
    <row r="1">
      <c r="A1" s="1" t="inlineStr">
        <is>
          <t>MSCI EM Country Performance — Date Settings</t>
        </is>
      </c>
    </row>
    <row r="3">
      <c r="A3" s="12" t="inlineStr">
        <is>
          <t>Label</t>
        </is>
      </c>
      <c r="B3" s="12" t="inlineStr">
        <is>
          <t>Date</t>
        </is>
      </c>
      <c r="C3" s="12" t="inlineStr">
        <is>
          <t>YYYYMMDD (Bloomberg)</t>
        </is>
      </c>
      <c r="D3" s="12" t="inlineStr">
        <is>
          <t>Used for</t>
        </is>
      </c>
    </row>
    <row r="4">
      <c r="A4" t="inlineStr">
        <is>
          <t>Today</t>
        </is>
      </c>
      <c r="B4" s="13">
        <f>TODAY()</f>
        <v/>
      </c>
      <c r="C4" s="14">
        <f>TEXT(B4,"yyyymmdd")</f>
        <v/>
      </c>
      <c r="D4" s="11" t="inlineStr">
        <is>
          <t>End date</t>
        </is>
      </c>
    </row>
    <row r="5">
      <c r="A5" t="inlineStr">
        <is>
          <t>YTD baseline</t>
        </is>
      </c>
      <c r="B5" s="13">
        <f>DATE(YEAR(TODAY())-1,12,31)</f>
        <v/>
      </c>
      <c r="C5" s="14">
        <f>TEXT(B5,"yyyymmdd")</f>
        <v/>
      </c>
      <c r="D5" s="11" t="inlineStr">
        <is>
          <t>Prior year-end close</t>
        </is>
      </c>
    </row>
    <row r="6">
      <c r="A6" t="inlineStr">
        <is>
          <t>1M ago</t>
        </is>
      </c>
      <c r="B6" s="13">
        <f>EDATE(TODAY(),-1)</f>
        <v/>
      </c>
      <c r="C6" s="14">
        <f>TEXT(B6,"yyyymmdd")</f>
        <v/>
      </c>
      <c r="D6" s="11" t="inlineStr">
        <is>
          <t>One month trailing</t>
        </is>
      </c>
    </row>
    <row r="7">
      <c r="A7" t="inlineStr">
        <is>
          <t>3M ago</t>
        </is>
      </c>
      <c r="B7" s="13">
        <f>EDATE(TODAY(),-3)</f>
        <v/>
      </c>
      <c r="C7" s="14">
        <f>TEXT(B7,"yyyymmdd")</f>
        <v/>
      </c>
      <c r="D7" s="11" t="inlineStr">
        <is>
          <t>Three months trailing</t>
        </is>
      </c>
    </row>
    <row r="8">
      <c r="A8" s="15" t="inlineStr">
        <is>
          <t>Custom date</t>
        </is>
      </c>
      <c r="B8" s="16">
        <f>EDATE(TODAY(),-6)</f>
        <v/>
      </c>
      <c r="C8" s="14">
        <f>TEXT(B8,"yyyymmdd")</f>
        <v/>
      </c>
      <c r="D8" s="11" t="inlineStr">
        <is>
          <t>EDIT ME — pick any reference date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2026-05-12T00:42:07Z</dcterms:created>
  <dcterms:modified xmlns:dcterms="http://purl.org/dc/terms/" xmlns:xsi="http://www.w3.org/2001/XMLSchema-instance" xsi:type="dcterms:W3CDTF">2026-05-12T00:42:07Z</dcterms:modified>
</cp:coreProperties>
</file>