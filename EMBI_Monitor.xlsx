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read Monitor" sheetId="2" state="visible" r:id="rId2"/>
    <sheet xmlns:r="http://schemas.openxmlformats.org/officeDocument/2006/relationships" name="Total Return" sheetId="3" state="visible" r:id="rId3"/>
    <sheet xmlns:r="http://schemas.openxmlformats.org/officeDocument/2006/relationships" name="Tickers" sheetId="4" state="visible" r:id="rId4"/>
    <sheet xmlns:r="http://schemas.openxmlformats.org/officeDocument/2006/relationships" name="_chart_data" sheetId="5" state="hidden" r:id="rId5"/>
  </sheets>
  <definedNames>
    <definedName name="_xlnm._FilterDatabase" localSheetId="3" hidden="1">'Tickers'!$A$4:$F$63</definedName>
  </definedNames>
  <calcPr calcId="124519" fullCalcOnLoad="1"/>
</workbook>
</file>

<file path=xl/styles.xml><?xml version="1.0" encoding="utf-8"?>
<styleSheet xmlns="http://schemas.openxmlformats.org/spreadsheetml/2006/main">
  <numFmts count="5">
    <numFmt numFmtId="164" formatCode="0.0"/>
    <numFmt numFmtId="165" formatCode="#,##0&quot; bps&quot;"/>
    <numFmt numFmtId="166" formatCode="+#,##0;-#,##0;0"/>
    <numFmt numFmtId="167" formatCode="#,##0.0"/>
    <numFmt numFmtId="168" formatCode="+0.00%;-0.00%;0.00%"/>
  </numFmts>
  <fonts count="16">
    <font>
      <name val="Calibri"/>
      <family val="2"/>
      <color theme="1"/>
      <sz val="11"/>
      <scheme val="minor"/>
    </font>
    <font>
      <name val="Calibri"/>
      <b val="1"/>
      <color rgb="001F4E79"/>
      <sz val="20"/>
    </font>
    <font>
      <name val="Calibri"/>
      <i val="1"/>
      <color rgb="00595959"/>
      <sz val="10"/>
    </font>
    <font>
      <name val="Calibri"/>
      <b val="1"/>
      <sz val="12"/>
    </font>
    <font>
      <name val="Calibri"/>
      <sz val="10"/>
    </font>
    <font>
      <name val="Calibri"/>
      <b val="1"/>
      <color rgb="001F4E79"/>
      <sz val="14"/>
    </font>
    <font>
      <name val="Calibri"/>
      <b val="1"/>
      <color rgb="00FFFFFF"/>
      <sz val="11"/>
    </font>
    <font>
      <name val="Calibri"/>
      <b val="1"/>
      <sz val="11"/>
    </font>
    <font>
      <name val="Calibri"/>
      <b val="1"/>
      <color rgb="001F4E79"/>
      <sz val="12"/>
    </font>
    <font>
      <name val="Calibri"/>
      <color rgb="00595959"/>
      <sz val="10"/>
    </font>
    <font>
      <name val="Calibri"/>
      <b val="1"/>
      <sz val="22"/>
    </font>
    <font>
      <name val="Calibri"/>
      <b val="1"/>
      <sz val="14"/>
    </font>
    <font>
      <name val="Consolas"/>
      <sz val="10"/>
    </font>
    <font>
      <name val="Calibri"/>
      <i val="1"/>
    </font>
    <font>
      <name val="Calibri"/>
      <b val="1"/>
      <i val="1"/>
      <sz val="10"/>
    </font>
    <font>
      <name val="Calibri"/>
      <b val="1"/>
      <color rgb="001F4E79"/>
      <sz val="18"/>
    </font>
  </fonts>
  <fills count="6">
    <fill>
      <patternFill/>
    </fill>
    <fill>
      <patternFill patternType="gray125"/>
    </fill>
    <fill>
      <patternFill patternType="solid">
        <fgColor rgb="00D9E1F2"/>
      </patternFill>
    </fill>
    <fill>
      <patternFill patternType="solid">
        <fgColor rgb="001F4E79"/>
      </patternFill>
    </fill>
    <fill>
      <patternFill patternType="solid">
        <fgColor rgb="00FFF2CC"/>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8" fillId="0" borderId="0" pivotButton="0" quotePrefix="0" xfId="0"/>
    <xf numFmtId="0" fontId="9" fillId="0" borderId="0" pivotButton="0" quotePrefix="0" xfId="0"/>
    <xf numFmtId="165" fontId="10" fillId="0" borderId="0" pivotButton="0" quotePrefix="0" xfId="0"/>
    <xf numFmtId="166" fontId="11" fillId="0" borderId="0" pivotButton="0" quotePrefix="0" xfId="0"/>
    <xf numFmtId="0" fontId="6" fillId="3" borderId="0" applyAlignment="1" pivotButton="0" quotePrefix="0" xfId="0">
      <alignment horizontal="center" vertical="center" wrapText="1"/>
    </xf>
    <xf numFmtId="0" fontId="6" fillId="5" borderId="0" applyAlignment="1" pivotButton="0" quotePrefix="0" xfId="0">
      <alignment horizontal="left" vertical="center"/>
    </xf>
    <xf numFmtId="0" fontId="0" fillId="5" borderId="0" pivotButton="0" quotePrefix="0" xfId="0"/>
    <xf numFmtId="0" fontId="12" fillId="0" borderId="0" pivotButton="0" quotePrefix="0" xfId="0"/>
    <xf numFmtId="164" fontId="0" fillId="0" borderId="0" pivotButton="0" quotePrefix="0" xfId="0"/>
    <xf numFmtId="3" fontId="0" fillId="0" borderId="0" pivotButton="0" quotePrefix="0" xfId="0"/>
    <xf numFmtId="166" fontId="0" fillId="0" borderId="0" pivotButton="0" quotePrefix="0" xfId="0"/>
    <xf numFmtId="167" fontId="0" fillId="0" borderId="0" pivotButton="0" quotePrefix="0" xfId="0"/>
    <xf numFmtId="0" fontId="14" fillId="2" borderId="0" pivotButton="0" quotePrefix="0" xfId="0"/>
    <xf numFmtId="164" fontId="14" fillId="2" borderId="0" pivotButton="0" quotePrefix="0" xfId="0"/>
    <xf numFmtId="3" fontId="14" fillId="2" borderId="0" pivotButton="0" quotePrefix="0" xfId="0"/>
    <xf numFmtId="167" fontId="14" fillId="2" borderId="0" pivotButton="0" quotePrefix="0" xfId="0"/>
    <xf numFmtId="0" fontId="6" fillId="3" borderId="0" pivotButton="0" quotePrefix="0" xfId="0"/>
    <xf numFmtId="164" fontId="6" fillId="3" borderId="0" pivotButton="0" quotePrefix="0" xfId="0"/>
    <xf numFmtId="3" fontId="6" fillId="3" borderId="0" pivotButton="0" quotePrefix="0" xfId="0"/>
    <xf numFmtId="167" fontId="6" fillId="3" borderId="0" pivotButton="0" quotePrefix="0" xfId="0"/>
    <xf numFmtId="0" fontId="15" fillId="0" borderId="0" applyAlignment="1" pivotButton="0" quotePrefix="0" xfId="0">
      <alignment vertical="center"/>
    </xf>
    <xf numFmtId="4" fontId="6" fillId="3" borderId="0" pivotButton="0" quotePrefix="0" xfId="0"/>
    <xf numFmtId="168" fontId="6" fillId="3" borderId="0" pivotButton="0" quotePrefix="0" xfId="0"/>
    <xf numFmtId="4" fontId="0" fillId="0" borderId="0" pivotButton="0" quotePrefix="0" xfId="0"/>
    <xf numFmtId="168" fontId="0" fillId="0" borderId="0" pivotButton="0" quotePrefix="0" xfId="0"/>
    <xf numFmtId="168" fontId="14" fillId="2" borderId="0" pivotButton="0" quotePrefix="0" xfId="0"/>
    <xf numFmtId="0" fontId="5" fillId="0" borderId="0" applyAlignment="1" pivotButton="0" quotePrefix="0" xfId="0">
      <alignment vertical="center"/>
    </xf>
    <xf numFmtId="0" fontId="7" fillId="2" borderId="0" pivotButton="0" quotePrefix="0" xfId="0"/>
    <xf numFmtId="164" fontId="7" fillId="2" borderId="1" pivotButton="0" quotePrefix="0" xfId="0"/>
    <xf numFmtId="0" fontId="7" fillId="2" borderId="1" pivotButton="0" quotePrefix="0" xfId="0"/>
    <xf numFmtId="164" fontId="0" fillId="4"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EMBI Global Diversified — daily spread (bps), since 2010</a:t>
            </a:r>
          </a:p>
        </rich>
      </tx>
    </title>
    <plotArea>
      <lineChart>
        <grouping val="standard"/>
        <ser>
          <idx val="0"/>
          <order val="0"/>
          <tx>
            <strRef>
              <f>'_chart_data'!B3</f>
            </strRef>
          </tx>
          <spPr>
            <a:ln xmlns:a="http://schemas.openxmlformats.org/drawingml/2006/main">
              <a:prstDash val="solid"/>
            </a:ln>
          </spPr>
          <marker>
            <symbol val="none"/>
            <spPr>
              <a:ln xmlns:a="http://schemas.openxmlformats.org/drawingml/2006/main">
                <a:prstDash val="solid"/>
              </a:ln>
            </spPr>
          </marker>
          <cat>
            <numRef>
              <f>'_chart_data'!$A$4:$A$5500</f>
            </numRef>
          </cat>
          <val>
            <numRef>
              <f>'_chart_data'!$B$4:$B$5500</f>
            </numRef>
          </val>
        </ser>
        <axId val="10"/>
        <axId val="100"/>
      </lineChart>
      <catAx>
        <axId val="10"/>
        <scaling>
          <orientation val="minMax"/>
        </scaling>
        <axPos val="l"/>
        <numFmt formatCode="yyyy-mm" sourceLinked="0"/>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9</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90" customWidth="1" min="2" max="2"/>
    <col width="3" customWidth="1" min="3" max="3"/>
    <col width="18" customWidth="1" min="4" max="4"/>
    <col width="18" customWidth="1" min="5" max="5"/>
    <col width="3" customWidth="1" min="6" max="6"/>
  </cols>
  <sheetData>
    <row r="2">
      <c r="B2" s="1" t="inlineStr">
        <is>
          <t>EMBI Global Diversified — Monitor</t>
        </is>
      </c>
    </row>
    <row r="3">
      <c r="B3" s="2" t="inlineStr">
        <is>
          <t>Spread monitor + total return analysis. Bloomberg-driven, no Python.</t>
        </is>
      </c>
    </row>
    <row r="5">
      <c r="B5" s="3" t="inlineStr">
        <is>
          <t>How to refresh</t>
        </is>
      </c>
    </row>
    <row r="6" ht="70" customHeight="1">
      <c r="B6" s="4" t="inlineStr">
        <is>
          <t>Open with Bloomberg Terminal running. BLP → Refresh Workbook (or F9). All BDP and BDH formulas re-pull. The chart redraws automatically. Optionally enable BLP → Settings → 'Refresh on open' for fully automatic refresh on file open.</t>
        </is>
      </c>
    </row>
    <row r="8">
      <c r="B8" s="3" t="inlineStr">
        <is>
          <t>Tabs</t>
        </is>
      </c>
    </row>
    <row r="9" ht="70" customHeight="1">
      <c r="B9" s="4" t="inlineStr">
        <is>
          <t>Read me · Spread Monitor (regional table + 15y EMBI chart) · Total Return (MTD/QTD/YTD/1Y/3Y per country) · Tickers (single source of truth — edit here).</t>
        </is>
      </c>
    </row>
    <row r="11">
      <c r="B11" s="3" t="inlineStr">
        <is>
          <t>Spread Monitor</t>
        </is>
      </c>
    </row>
    <row r="12" ht="70" customHeight="1">
      <c r="B12" s="4" t="inlineStr">
        <is>
          <t>Top: KPI strip with current EMBI Global spread plus Δ1d / Δ1m / ΔYTD. Below: the 15-year daily history chart (date axis auto-extends as new data loads). Below that: regional table in your specified order — LatAm, EM Europe &amp; Turkey, GCC, Africa, Asia. Each region has a subtotal showing weight share, weighted-average spread, and total contribution to aggregate EMBI. Final TOTAL row sums across all regions.</t>
        </is>
      </c>
    </row>
    <row r="14">
      <c r="B14" s="3" t="inlineStr">
        <is>
          <t>Total Return tab</t>
        </is>
      </c>
    </row>
    <row r="15" ht="70" customHeight="1">
      <c r="B15" s="4" t="inlineStr">
        <is>
          <t>Same regional grouping. Columns: latest TR index level, MTD %, QTD %, YTD %, 1Y %, 3Y %. Per-country TR uses BDH at fixed dates (end of last month, end of last quarter, end of last year, 1y ago, 3y ago) divided into the latest BDP value to compute the period return. Conditional shading: green positive, red negative. Region rows show weight-weighted average return per period.</t>
        </is>
      </c>
    </row>
    <row r="17">
      <c r="B17" s="3" t="inlineStr">
        <is>
          <t>Editing tickers</t>
        </is>
      </c>
    </row>
    <row r="18" ht="70" customHeight="1">
      <c r="B18" s="4" t="inlineStr">
        <is>
          <t>All tickers and weights live on the Tickers tab. Edit in one place; both monitor tabs pick up the change automatically because they reference Tickers!E (spread) and Tickers!F (total return) cells. To add a country, insert a row in the right regional band on Tickers, fill in the cells, and the table will pick it up on the next refresh — but you'll need to re-extend the table-row range on the monitor tabs (or just rebuild).</t>
        </is>
      </c>
    </row>
    <row r="20">
      <c r="B20" s="3" t="inlineStr">
        <is>
          <t>Caveats</t>
        </is>
      </c>
    </row>
    <row r="21" ht="70" customHeight="1">
      <c r="B21" s="4" t="inlineStr">
        <is>
          <t>Tickers are best-guess Bloomberg conventions (JPSSxxxx for spread, JPMExxxx for total return). Use TickerVerifier.xlsx in the same folder to confirm them. JPM index family is browsable via JPGB &lt;GO&gt; or JPMI &lt;GO&gt; in the Terminal. Country weights are approximate Q1 2026 estimates — paste the latest from JPM's monthly index report into the Tickers!D column when you want them precise.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showGridLines="0" zoomScale="100" workbookViewId="0">
      <pane ySplit="35" topLeftCell="A36" activePane="bottomLeft" state="frozen"/>
      <selection pane="bottomLeft" activeCell="A1" sqref="A1"/>
    </sheetView>
  </sheetViews>
  <sheetFormatPr baseColWidth="8" defaultRowHeight="15"/>
  <cols>
    <col width="22" customWidth="1" min="1" max="1"/>
    <col width="18" customWidth="1" min="2" max="2"/>
    <col width="22" customWidth="1" min="3" max="3"/>
    <col width="10" customWidth="1" min="4" max="4"/>
    <col width="12" customWidth="1" min="5" max="5"/>
    <col width="11" customWidth="1" min="6" max="6"/>
    <col width="11" customWidth="1" min="7" max="7"/>
    <col width="11" customWidth="1" min="8" max="8"/>
    <col width="13" customWidth="1" min="9" max="9"/>
  </cols>
  <sheetData>
    <row r="1">
      <c r="A1" s="1" t="inlineStr">
        <is>
          <t>EMBI Global Diversified — Spread Monitor</t>
        </is>
      </c>
    </row>
    <row r="2">
      <c r="A2" s="2" t="inlineStr">
        <is>
          <t>Live from Bloomberg. Refresh: BLP → Refresh Workbook (or F9). Tickers and weights edited on Tickers tab.</t>
        </is>
      </c>
    </row>
    <row r="4">
      <c r="A4" s="5" t="inlineStr">
        <is>
          <t>EMBI Global Diversified</t>
        </is>
      </c>
    </row>
    <row r="6">
      <c r="A6" s="6" t="inlineStr">
        <is>
          <t>Current spread</t>
        </is>
      </c>
      <c r="B6" s="6" t="inlineStr">
        <is>
          <t>Δ 1d</t>
        </is>
      </c>
      <c r="C6" s="6" t="inlineStr">
        <is>
          <t>Δ 1m</t>
        </is>
      </c>
      <c r="D6" s="6" t="inlineStr">
        <is>
          <t>Δ YTD</t>
        </is>
      </c>
    </row>
    <row r="7">
      <c r="A7" s="7">
        <f>BDP(Tickers!E5,"PX_LAST")</f>
        <v/>
      </c>
      <c r="B7" s="8">
        <f>BDP(Tickers!E5,"PX_LAST")-BDP(Tickers!E5,"PX_LAST_DT_PREV_DAY")</f>
        <v/>
      </c>
      <c r="C7" s="8">
        <f>BDP(Tickers!E5,"PX_LAST")-INDEX(BDH(Tickers!E5,"PX_LAST",EDATE(TODAY(),-1),EDATE(TODAY(),-1)+5,"Days","A","fill","P"),1,2)</f>
        <v/>
      </c>
      <c r="D7" s="8">
        <f>BDP(Tickers!E5,"PX_LAST")-INDEX(BDH(Tickers!E5,"PX_LAST",DATE(YEAR(TODAY())-1,12,29),DATE(YEAR(TODAY()),1,5),"Days","A","fill","P"),1,2)</f>
        <v/>
      </c>
    </row>
    <row r="35" ht="28" customHeight="1">
      <c r="A35" s="9" t="inlineStr">
        <is>
          <t>Country</t>
        </is>
      </c>
      <c r="B35" s="9" t="inlineStr">
        <is>
          <t>Region</t>
        </is>
      </c>
      <c r="C35" s="9" t="inlineStr">
        <is>
          <t>Spread ticker</t>
        </is>
      </c>
      <c r="D35" s="9" t="inlineStr">
        <is>
          <t>Weight (%)</t>
        </is>
      </c>
      <c r="E35" s="9" t="inlineStr">
        <is>
          <t>Current (bps)</t>
        </is>
      </c>
      <c r="F35" s="9" t="inlineStr">
        <is>
          <t>Δ 1d</t>
        </is>
      </c>
      <c r="G35" s="9" t="inlineStr">
        <is>
          <t>Δ 1m</t>
        </is>
      </c>
      <c r="H35" s="9" t="inlineStr">
        <is>
          <t>Δ YTD</t>
        </is>
      </c>
      <c r="I35" s="9" t="inlineStr">
        <is>
          <t>Contribution (bps)</t>
        </is>
      </c>
    </row>
    <row r="36">
      <c r="A36" s="10" t="inlineStr">
        <is>
          <t>LatAm</t>
        </is>
      </c>
      <c r="B36" s="11" t="n"/>
      <c r="C36" s="11" t="n"/>
      <c r="D36" s="11" t="n"/>
      <c r="E36" s="11" t="n"/>
      <c r="F36" s="11" t="n"/>
      <c r="G36" s="11" t="n"/>
      <c r="H36" s="11" t="n"/>
      <c r="I36" s="11" t="n"/>
    </row>
    <row r="37">
      <c r="A37">
        <f>Tickers!B6</f>
        <v/>
      </c>
      <c r="B37">
        <f>Tickers!C6</f>
        <v/>
      </c>
      <c r="C37" s="12">
        <f>Tickers!E6</f>
        <v/>
      </c>
      <c r="D37" s="13">
        <f>Tickers!D6</f>
        <v/>
      </c>
      <c r="E37" s="14">
        <f>IFERROR(BDP(Tickers!E6,"PX_LAST"),NA())</f>
        <v/>
      </c>
      <c r="F37" s="15">
        <f>IFERROR(BDP(Tickers!E6,"PX_LAST")-BDP(Tickers!E6,"PX_LAST_DT_PREV_DAY"),NA())</f>
        <v/>
      </c>
      <c r="G37" s="15">
        <f>IFERROR(BDP(Tickers!E6,"PX_LAST")-INDEX(BDH(Tickers!E6,"PX_LAST",EDATE(TODAY(),-1),EDATE(TODAY(),-1)+5,"Days","A","fill","P"),1,2),NA())</f>
        <v/>
      </c>
      <c r="H37" s="15">
        <f>IFERROR(BDP(Tickers!E6,"PX_LAST")-INDEX(BDH(Tickers!E6,"PX_LAST",DATE(YEAR(TODAY())-1,12,29),DATE(YEAR(TODAY()),1,5),"Days","A","fill","P"),1,2),NA())</f>
        <v/>
      </c>
      <c r="I37" s="16">
        <f>IFERROR(D37*E37/100,NA())</f>
        <v/>
      </c>
    </row>
    <row r="38">
      <c r="A38">
        <f>Tickers!B7</f>
        <v/>
      </c>
      <c r="B38">
        <f>Tickers!C7</f>
        <v/>
      </c>
      <c r="C38" s="12">
        <f>Tickers!E7</f>
        <v/>
      </c>
      <c r="D38" s="13">
        <f>Tickers!D7</f>
        <v/>
      </c>
      <c r="E38" s="14">
        <f>IFERROR(BDP(Tickers!E7,"PX_LAST"),NA())</f>
        <v/>
      </c>
      <c r="F38" s="15">
        <f>IFERROR(BDP(Tickers!E7,"PX_LAST")-BDP(Tickers!E7,"PX_LAST_DT_PREV_DAY"),NA())</f>
        <v/>
      </c>
      <c r="G38" s="15">
        <f>IFERROR(BDP(Tickers!E7,"PX_LAST")-INDEX(BDH(Tickers!E7,"PX_LAST",EDATE(TODAY(),-1),EDATE(TODAY(),-1)+5,"Days","A","fill","P"),1,2),NA())</f>
        <v/>
      </c>
      <c r="H38" s="15">
        <f>IFERROR(BDP(Tickers!E7,"PX_LAST")-INDEX(BDH(Tickers!E7,"PX_LAST",DATE(YEAR(TODAY())-1,12,29),DATE(YEAR(TODAY()),1,5),"Days","A","fill","P"),1,2),NA())</f>
        <v/>
      </c>
      <c r="I38" s="16">
        <f>IFERROR(D38*E38/100,NA())</f>
        <v/>
      </c>
    </row>
    <row r="39">
      <c r="A39">
        <f>Tickers!B8</f>
        <v/>
      </c>
      <c r="B39">
        <f>Tickers!C8</f>
        <v/>
      </c>
      <c r="C39" s="12">
        <f>Tickers!E8</f>
        <v/>
      </c>
      <c r="D39" s="13">
        <f>Tickers!D8</f>
        <v/>
      </c>
      <c r="E39" s="14">
        <f>IFERROR(BDP(Tickers!E8,"PX_LAST"),NA())</f>
        <v/>
      </c>
      <c r="F39" s="15">
        <f>IFERROR(BDP(Tickers!E8,"PX_LAST")-BDP(Tickers!E8,"PX_LAST_DT_PREV_DAY"),NA())</f>
        <v/>
      </c>
      <c r="G39" s="15">
        <f>IFERROR(BDP(Tickers!E8,"PX_LAST")-INDEX(BDH(Tickers!E8,"PX_LAST",EDATE(TODAY(),-1),EDATE(TODAY(),-1)+5,"Days","A","fill","P"),1,2),NA())</f>
        <v/>
      </c>
      <c r="H39" s="15">
        <f>IFERROR(BDP(Tickers!E8,"PX_LAST")-INDEX(BDH(Tickers!E8,"PX_LAST",DATE(YEAR(TODAY())-1,12,29),DATE(YEAR(TODAY()),1,5),"Days","A","fill","P"),1,2),NA())</f>
        <v/>
      </c>
      <c r="I39" s="16">
        <f>IFERROR(D39*E39/100,NA())</f>
        <v/>
      </c>
    </row>
    <row r="40">
      <c r="A40">
        <f>Tickers!B9</f>
        <v/>
      </c>
      <c r="B40">
        <f>Tickers!C9</f>
        <v/>
      </c>
      <c r="C40" s="12">
        <f>Tickers!E9</f>
        <v/>
      </c>
      <c r="D40" s="13">
        <f>Tickers!D9</f>
        <v/>
      </c>
      <c r="E40" s="14">
        <f>IFERROR(BDP(Tickers!E9,"PX_LAST"),NA())</f>
        <v/>
      </c>
      <c r="F40" s="15">
        <f>IFERROR(BDP(Tickers!E9,"PX_LAST")-BDP(Tickers!E9,"PX_LAST_DT_PREV_DAY"),NA())</f>
        <v/>
      </c>
      <c r="G40" s="15">
        <f>IFERROR(BDP(Tickers!E9,"PX_LAST")-INDEX(BDH(Tickers!E9,"PX_LAST",EDATE(TODAY(),-1),EDATE(TODAY(),-1)+5,"Days","A","fill","P"),1,2),NA())</f>
        <v/>
      </c>
      <c r="H40" s="15">
        <f>IFERROR(BDP(Tickers!E9,"PX_LAST")-INDEX(BDH(Tickers!E9,"PX_LAST",DATE(YEAR(TODAY())-1,12,29),DATE(YEAR(TODAY()),1,5),"Days","A","fill","P"),1,2),NA())</f>
        <v/>
      </c>
      <c r="I40" s="16">
        <f>IFERROR(D40*E40/100,NA())</f>
        <v/>
      </c>
    </row>
    <row r="41">
      <c r="A41">
        <f>Tickers!B10</f>
        <v/>
      </c>
      <c r="B41">
        <f>Tickers!C10</f>
        <v/>
      </c>
      <c r="C41" s="12">
        <f>Tickers!E10</f>
        <v/>
      </c>
      <c r="D41" s="13">
        <f>Tickers!D10</f>
        <v/>
      </c>
      <c r="E41" s="14">
        <f>IFERROR(BDP(Tickers!E10,"PX_LAST"),NA())</f>
        <v/>
      </c>
      <c r="F41" s="15">
        <f>IFERROR(BDP(Tickers!E10,"PX_LAST")-BDP(Tickers!E10,"PX_LAST_DT_PREV_DAY"),NA())</f>
        <v/>
      </c>
      <c r="G41" s="15">
        <f>IFERROR(BDP(Tickers!E10,"PX_LAST")-INDEX(BDH(Tickers!E10,"PX_LAST",EDATE(TODAY(),-1),EDATE(TODAY(),-1)+5,"Days","A","fill","P"),1,2),NA())</f>
        <v/>
      </c>
      <c r="H41" s="15">
        <f>IFERROR(BDP(Tickers!E10,"PX_LAST")-INDEX(BDH(Tickers!E10,"PX_LAST",DATE(YEAR(TODAY())-1,12,29),DATE(YEAR(TODAY()),1,5),"Days","A","fill","P"),1,2),NA())</f>
        <v/>
      </c>
      <c r="I41" s="16">
        <f>IFERROR(D41*E41/100,NA())</f>
        <v/>
      </c>
    </row>
    <row r="42">
      <c r="A42">
        <f>Tickers!B11</f>
        <v/>
      </c>
      <c r="B42">
        <f>Tickers!C11</f>
        <v/>
      </c>
      <c r="C42" s="12">
        <f>Tickers!E11</f>
        <v/>
      </c>
      <c r="D42" s="13">
        <f>Tickers!D11</f>
        <v/>
      </c>
      <c r="E42" s="14">
        <f>IFERROR(BDP(Tickers!E11,"PX_LAST"),NA())</f>
        <v/>
      </c>
      <c r="F42" s="15">
        <f>IFERROR(BDP(Tickers!E11,"PX_LAST")-BDP(Tickers!E11,"PX_LAST_DT_PREV_DAY"),NA())</f>
        <v/>
      </c>
      <c r="G42" s="15">
        <f>IFERROR(BDP(Tickers!E11,"PX_LAST")-INDEX(BDH(Tickers!E11,"PX_LAST",EDATE(TODAY(),-1),EDATE(TODAY(),-1)+5,"Days","A","fill","P"),1,2),NA())</f>
        <v/>
      </c>
      <c r="H42" s="15">
        <f>IFERROR(BDP(Tickers!E11,"PX_LAST")-INDEX(BDH(Tickers!E11,"PX_LAST",DATE(YEAR(TODAY())-1,12,29),DATE(YEAR(TODAY()),1,5),"Days","A","fill","P"),1,2),NA())</f>
        <v/>
      </c>
      <c r="I42" s="16">
        <f>IFERROR(D42*E42/100,NA())</f>
        <v/>
      </c>
    </row>
    <row r="43">
      <c r="A43">
        <f>Tickers!B12</f>
        <v/>
      </c>
      <c r="B43">
        <f>Tickers!C12</f>
        <v/>
      </c>
      <c r="C43" s="12">
        <f>Tickers!E12</f>
        <v/>
      </c>
      <c r="D43" s="13">
        <f>Tickers!D12</f>
        <v/>
      </c>
      <c r="E43" s="14">
        <f>IFERROR(BDP(Tickers!E12,"PX_LAST"),NA())</f>
        <v/>
      </c>
      <c r="F43" s="15">
        <f>IFERROR(BDP(Tickers!E12,"PX_LAST")-BDP(Tickers!E12,"PX_LAST_DT_PREV_DAY"),NA())</f>
        <v/>
      </c>
      <c r="G43" s="15">
        <f>IFERROR(BDP(Tickers!E12,"PX_LAST")-INDEX(BDH(Tickers!E12,"PX_LAST",EDATE(TODAY(),-1),EDATE(TODAY(),-1)+5,"Days","A","fill","P"),1,2),NA())</f>
        <v/>
      </c>
      <c r="H43" s="15">
        <f>IFERROR(BDP(Tickers!E12,"PX_LAST")-INDEX(BDH(Tickers!E12,"PX_LAST",DATE(YEAR(TODAY())-1,12,29),DATE(YEAR(TODAY()),1,5),"Days","A","fill","P"),1,2),NA())</f>
        <v/>
      </c>
      <c r="I43" s="16">
        <f>IFERROR(D43*E43/100,NA())</f>
        <v/>
      </c>
    </row>
    <row r="44">
      <c r="A44">
        <f>Tickers!B13</f>
        <v/>
      </c>
      <c r="B44">
        <f>Tickers!C13</f>
        <v/>
      </c>
      <c r="C44" s="12">
        <f>Tickers!E13</f>
        <v/>
      </c>
      <c r="D44" s="13">
        <f>Tickers!D13</f>
        <v/>
      </c>
      <c r="E44" s="14">
        <f>IFERROR(BDP(Tickers!E13,"PX_LAST"),NA())</f>
        <v/>
      </c>
      <c r="F44" s="15">
        <f>IFERROR(BDP(Tickers!E13,"PX_LAST")-BDP(Tickers!E13,"PX_LAST_DT_PREV_DAY"),NA())</f>
        <v/>
      </c>
      <c r="G44" s="15">
        <f>IFERROR(BDP(Tickers!E13,"PX_LAST")-INDEX(BDH(Tickers!E13,"PX_LAST",EDATE(TODAY(),-1),EDATE(TODAY(),-1)+5,"Days","A","fill","P"),1,2),NA())</f>
        <v/>
      </c>
      <c r="H44" s="15">
        <f>IFERROR(BDP(Tickers!E13,"PX_LAST")-INDEX(BDH(Tickers!E13,"PX_LAST",DATE(YEAR(TODAY())-1,12,29),DATE(YEAR(TODAY()),1,5),"Days","A","fill","P"),1,2),NA())</f>
        <v/>
      </c>
      <c r="I44" s="16">
        <f>IFERROR(D44*E44/100,NA())</f>
        <v/>
      </c>
    </row>
    <row r="45">
      <c r="A45">
        <f>Tickers!B14</f>
        <v/>
      </c>
      <c r="B45">
        <f>Tickers!C14</f>
        <v/>
      </c>
      <c r="C45" s="12">
        <f>Tickers!E14</f>
        <v/>
      </c>
      <c r="D45" s="13">
        <f>Tickers!D14</f>
        <v/>
      </c>
      <c r="E45" s="14">
        <f>IFERROR(BDP(Tickers!E14,"PX_LAST"),NA())</f>
        <v/>
      </c>
      <c r="F45" s="15">
        <f>IFERROR(BDP(Tickers!E14,"PX_LAST")-BDP(Tickers!E14,"PX_LAST_DT_PREV_DAY"),NA())</f>
        <v/>
      </c>
      <c r="G45" s="15">
        <f>IFERROR(BDP(Tickers!E14,"PX_LAST")-INDEX(BDH(Tickers!E14,"PX_LAST",EDATE(TODAY(),-1),EDATE(TODAY(),-1)+5,"Days","A","fill","P"),1,2),NA())</f>
        <v/>
      </c>
      <c r="H45" s="15">
        <f>IFERROR(BDP(Tickers!E14,"PX_LAST")-INDEX(BDH(Tickers!E14,"PX_LAST",DATE(YEAR(TODAY())-1,12,29),DATE(YEAR(TODAY()),1,5),"Days","A","fill","P"),1,2),NA())</f>
        <v/>
      </c>
      <c r="I45" s="16">
        <f>IFERROR(D45*E45/100,NA())</f>
        <v/>
      </c>
    </row>
    <row r="46">
      <c r="A46">
        <f>Tickers!B15</f>
        <v/>
      </c>
      <c r="B46">
        <f>Tickers!C15</f>
        <v/>
      </c>
      <c r="C46" s="12">
        <f>Tickers!E15</f>
        <v/>
      </c>
      <c r="D46" s="13">
        <f>Tickers!D15</f>
        <v/>
      </c>
      <c r="E46" s="14">
        <f>IFERROR(BDP(Tickers!E15,"PX_LAST"),NA())</f>
        <v/>
      </c>
      <c r="F46" s="15">
        <f>IFERROR(BDP(Tickers!E15,"PX_LAST")-BDP(Tickers!E15,"PX_LAST_DT_PREV_DAY"),NA())</f>
        <v/>
      </c>
      <c r="G46" s="15">
        <f>IFERROR(BDP(Tickers!E15,"PX_LAST")-INDEX(BDH(Tickers!E15,"PX_LAST",EDATE(TODAY(),-1),EDATE(TODAY(),-1)+5,"Days","A","fill","P"),1,2),NA())</f>
        <v/>
      </c>
      <c r="H46" s="15">
        <f>IFERROR(BDP(Tickers!E15,"PX_LAST")-INDEX(BDH(Tickers!E15,"PX_LAST",DATE(YEAR(TODAY())-1,12,29),DATE(YEAR(TODAY()),1,5),"Days","A","fill","P"),1,2),NA())</f>
        <v/>
      </c>
      <c r="I46" s="16">
        <f>IFERROR(D46*E46/100,NA())</f>
        <v/>
      </c>
    </row>
    <row r="47">
      <c r="A47">
        <f>Tickers!B16</f>
        <v/>
      </c>
      <c r="B47">
        <f>Tickers!C16</f>
        <v/>
      </c>
      <c r="C47" s="12">
        <f>Tickers!E16</f>
        <v/>
      </c>
      <c r="D47" s="13">
        <f>Tickers!D16</f>
        <v/>
      </c>
      <c r="E47" s="14">
        <f>IFERROR(BDP(Tickers!E16,"PX_LAST"),NA())</f>
        <v/>
      </c>
      <c r="F47" s="15">
        <f>IFERROR(BDP(Tickers!E16,"PX_LAST")-BDP(Tickers!E16,"PX_LAST_DT_PREV_DAY"),NA())</f>
        <v/>
      </c>
      <c r="G47" s="15">
        <f>IFERROR(BDP(Tickers!E16,"PX_LAST")-INDEX(BDH(Tickers!E16,"PX_LAST",EDATE(TODAY(),-1),EDATE(TODAY(),-1)+5,"Days","A","fill","P"),1,2),NA())</f>
        <v/>
      </c>
      <c r="H47" s="15">
        <f>IFERROR(BDP(Tickers!E16,"PX_LAST")-INDEX(BDH(Tickers!E16,"PX_LAST",DATE(YEAR(TODAY())-1,12,29),DATE(YEAR(TODAY()),1,5),"Days","A","fill","P"),1,2),NA())</f>
        <v/>
      </c>
      <c r="I47" s="16">
        <f>IFERROR(D47*E47/100,NA())</f>
        <v/>
      </c>
    </row>
    <row r="48">
      <c r="A48">
        <f>Tickers!B17</f>
        <v/>
      </c>
      <c r="B48">
        <f>Tickers!C17</f>
        <v/>
      </c>
      <c r="C48" s="12">
        <f>Tickers!E17</f>
        <v/>
      </c>
      <c r="D48" s="13">
        <f>Tickers!D17</f>
        <v/>
      </c>
      <c r="E48" s="14">
        <f>IFERROR(BDP(Tickers!E17,"PX_LAST"),NA())</f>
        <v/>
      </c>
      <c r="F48" s="15">
        <f>IFERROR(BDP(Tickers!E17,"PX_LAST")-BDP(Tickers!E17,"PX_LAST_DT_PREV_DAY"),NA())</f>
        <v/>
      </c>
      <c r="G48" s="15">
        <f>IFERROR(BDP(Tickers!E17,"PX_LAST")-INDEX(BDH(Tickers!E17,"PX_LAST",EDATE(TODAY(),-1),EDATE(TODAY(),-1)+5,"Days","A","fill","P"),1,2),NA())</f>
        <v/>
      </c>
      <c r="H48" s="15">
        <f>IFERROR(BDP(Tickers!E17,"PX_LAST")-INDEX(BDH(Tickers!E17,"PX_LAST",DATE(YEAR(TODAY())-1,12,29),DATE(YEAR(TODAY()),1,5),"Days","A","fill","P"),1,2),NA())</f>
        <v/>
      </c>
      <c r="I48" s="16">
        <f>IFERROR(D48*E48/100,NA())</f>
        <v/>
      </c>
    </row>
    <row r="49">
      <c r="A49">
        <f>Tickers!B18</f>
        <v/>
      </c>
      <c r="B49">
        <f>Tickers!C18</f>
        <v/>
      </c>
      <c r="C49" s="12">
        <f>Tickers!E18</f>
        <v/>
      </c>
      <c r="D49" s="13">
        <f>Tickers!D18</f>
        <v/>
      </c>
      <c r="E49" s="14">
        <f>IFERROR(BDP(Tickers!E18,"PX_LAST"),NA())</f>
        <v/>
      </c>
      <c r="F49" s="15">
        <f>IFERROR(BDP(Tickers!E18,"PX_LAST")-BDP(Tickers!E18,"PX_LAST_DT_PREV_DAY"),NA())</f>
        <v/>
      </c>
      <c r="G49" s="15">
        <f>IFERROR(BDP(Tickers!E18,"PX_LAST")-INDEX(BDH(Tickers!E18,"PX_LAST",EDATE(TODAY(),-1),EDATE(TODAY(),-1)+5,"Days","A","fill","P"),1,2),NA())</f>
        <v/>
      </c>
      <c r="H49" s="15">
        <f>IFERROR(BDP(Tickers!E18,"PX_LAST")-INDEX(BDH(Tickers!E18,"PX_LAST",DATE(YEAR(TODAY())-1,12,29),DATE(YEAR(TODAY()),1,5),"Days","A","fill","P"),1,2),NA())</f>
        <v/>
      </c>
      <c r="I49" s="16">
        <f>IFERROR(D49*E49/100,NA())</f>
        <v/>
      </c>
    </row>
    <row r="50">
      <c r="A50">
        <f>Tickers!B19</f>
        <v/>
      </c>
      <c r="B50">
        <f>Tickers!C19</f>
        <v/>
      </c>
      <c r="C50" s="12">
        <f>Tickers!E19</f>
        <v/>
      </c>
      <c r="D50" s="13">
        <f>Tickers!D19</f>
        <v/>
      </c>
      <c r="E50" s="14">
        <f>IFERROR(BDP(Tickers!E19,"PX_LAST"),NA())</f>
        <v/>
      </c>
      <c r="F50" s="15">
        <f>IFERROR(BDP(Tickers!E19,"PX_LAST")-BDP(Tickers!E19,"PX_LAST_DT_PREV_DAY"),NA())</f>
        <v/>
      </c>
      <c r="G50" s="15">
        <f>IFERROR(BDP(Tickers!E19,"PX_LAST")-INDEX(BDH(Tickers!E19,"PX_LAST",EDATE(TODAY(),-1),EDATE(TODAY(),-1)+5,"Days","A","fill","P"),1,2),NA())</f>
        <v/>
      </c>
      <c r="H50" s="15">
        <f>IFERROR(BDP(Tickers!E19,"PX_LAST")-INDEX(BDH(Tickers!E19,"PX_LAST",DATE(YEAR(TODAY())-1,12,29),DATE(YEAR(TODAY()),1,5),"Days","A","fill","P"),1,2),NA())</f>
        <v/>
      </c>
      <c r="I50" s="16">
        <f>IFERROR(D50*E50/100,NA())</f>
        <v/>
      </c>
    </row>
    <row r="51">
      <c r="A51">
        <f>Tickers!B20</f>
        <v/>
      </c>
      <c r="B51">
        <f>Tickers!C20</f>
        <v/>
      </c>
      <c r="C51" s="12">
        <f>Tickers!E20</f>
        <v/>
      </c>
      <c r="D51" s="13">
        <f>Tickers!D20</f>
        <v/>
      </c>
      <c r="E51" s="14">
        <f>IFERROR(BDP(Tickers!E20,"PX_LAST"),NA())</f>
        <v/>
      </c>
      <c r="F51" s="15">
        <f>IFERROR(BDP(Tickers!E20,"PX_LAST")-BDP(Tickers!E20,"PX_LAST_DT_PREV_DAY"),NA())</f>
        <v/>
      </c>
      <c r="G51" s="15">
        <f>IFERROR(BDP(Tickers!E20,"PX_LAST")-INDEX(BDH(Tickers!E20,"PX_LAST",EDATE(TODAY(),-1),EDATE(TODAY(),-1)+5,"Days","A","fill","P"),1,2),NA())</f>
        <v/>
      </c>
      <c r="H51" s="15">
        <f>IFERROR(BDP(Tickers!E20,"PX_LAST")-INDEX(BDH(Tickers!E20,"PX_LAST",DATE(YEAR(TODAY())-1,12,29),DATE(YEAR(TODAY()),1,5),"Days","A","fill","P"),1,2),NA())</f>
        <v/>
      </c>
      <c r="I51" s="16">
        <f>IFERROR(D51*E51/100,NA())</f>
        <v/>
      </c>
    </row>
    <row r="52">
      <c r="A52">
        <f>Tickers!B21</f>
        <v/>
      </c>
      <c r="B52">
        <f>Tickers!C21</f>
        <v/>
      </c>
      <c r="C52" s="12">
        <f>Tickers!E21</f>
        <v/>
      </c>
      <c r="D52" s="13">
        <f>Tickers!D21</f>
        <v/>
      </c>
      <c r="E52" s="14">
        <f>IFERROR(BDP(Tickers!E21,"PX_LAST"),NA())</f>
        <v/>
      </c>
      <c r="F52" s="15">
        <f>IFERROR(BDP(Tickers!E21,"PX_LAST")-BDP(Tickers!E21,"PX_LAST_DT_PREV_DAY"),NA())</f>
        <v/>
      </c>
      <c r="G52" s="15">
        <f>IFERROR(BDP(Tickers!E21,"PX_LAST")-INDEX(BDH(Tickers!E21,"PX_LAST",EDATE(TODAY(),-1),EDATE(TODAY(),-1)+5,"Days","A","fill","P"),1,2),NA())</f>
        <v/>
      </c>
      <c r="H52" s="15">
        <f>IFERROR(BDP(Tickers!E21,"PX_LAST")-INDEX(BDH(Tickers!E21,"PX_LAST",DATE(YEAR(TODAY())-1,12,29),DATE(YEAR(TODAY()),1,5),"Days","A","fill","P"),1,2),NA())</f>
        <v/>
      </c>
      <c r="I52" s="16">
        <f>IFERROR(D52*E52/100,NA())</f>
        <v/>
      </c>
    </row>
    <row r="53">
      <c r="A53" s="17">
        <f>"LatAm subtotal"</f>
        <v/>
      </c>
      <c r="B53" s="17" t="n"/>
      <c r="C53" s="17" t="n"/>
      <c r="D53" s="18">
        <f>SUM(D37:D52)</f>
        <v/>
      </c>
      <c r="E53" s="19">
        <f>SUMPRODUCT(D37:D52,E37:E52)/SUM(D37:D52)</f>
        <v/>
      </c>
      <c r="F53" s="17" t="n"/>
      <c r="G53" s="17" t="n"/>
      <c r="H53" s="17" t="n"/>
      <c r="I53" s="20">
        <f>SUM(I37:I52)</f>
        <v/>
      </c>
    </row>
    <row r="55">
      <c r="A55" s="10" t="inlineStr">
        <is>
          <t>EM Europe &amp; Turkey</t>
        </is>
      </c>
      <c r="B55" s="11" t="n"/>
      <c r="C55" s="11" t="n"/>
      <c r="D55" s="11" t="n"/>
      <c r="E55" s="11" t="n"/>
      <c r="F55" s="11" t="n"/>
      <c r="G55" s="11" t="n"/>
      <c r="H55" s="11" t="n"/>
      <c r="I55" s="11" t="n"/>
    </row>
    <row r="56">
      <c r="A56">
        <f>Tickers!B22</f>
        <v/>
      </c>
      <c r="B56">
        <f>Tickers!C22</f>
        <v/>
      </c>
      <c r="C56" s="12">
        <f>Tickers!E22</f>
        <v/>
      </c>
      <c r="D56" s="13">
        <f>Tickers!D22</f>
        <v/>
      </c>
      <c r="E56" s="14">
        <f>IFERROR(BDP(Tickers!E22,"PX_LAST"),NA())</f>
        <v/>
      </c>
      <c r="F56" s="15">
        <f>IFERROR(BDP(Tickers!E22,"PX_LAST")-BDP(Tickers!E22,"PX_LAST_DT_PREV_DAY"),NA())</f>
        <v/>
      </c>
      <c r="G56" s="15">
        <f>IFERROR(BDP(Tickers!E22,"PX_LAST")-INDEX(BDH(Tickers!E22,"PX_LAST",EDATE(TODAY(),-1),EDATE(TODAY(),-1)+5,"Days","A","fill","P"),1,2),NA())</f>
        <v/>
      </c>
      <c r="H56" s="15">
        <f>IFERROR(BDP(Tickers!E22,"PX_LAST")-INDEX(BDH(Tickers!E22,"PX_LAST",DATE(YEAR(TODAY())-1,12,29),DATE(YEAR(TODAY()),1,5),"Days","A","fill","P"),1,2),NA())</f>
        <v/>
      </c>
      <c r="I56" s="16">
        <f>IFERROR(D56*E56/100,NA())</f>
        <v/>
      </c>
    </row>
    <row r="57">
      <c r="A57">
        <f>Tickers!B23</f>
        <v/>
      </c>
      <c r="B57">
        <f>Tickers!C23</f>
        <v/>
      </c>
      <c r="C57" s="12">
        <f>Tickers!E23</f>
        <v/>
      </c>
      <c r="D57" s="13">
        <f>Tickers!D23</f>
        <v/>
      </c>
      <c r="E57" s="14">
        <f>IFERROR(BDP(Tickers!E23,"PX_LAST"),NA())</f>
        <v/>
      </c>
      <c r="F57" s="15">
        <f>IFERROR(BDP(Tickers!E23,"PX_LAST")-BDP(Tickers!E23,"PX_LAST_DT_PREV_DAY"),NA())</f>
        <v/>
      </c>
      <c r="G57" s="15">
        <f>IFERROR(BDP(Tickers!E23,"PX_LAST")-INDEX(BDH(Tickers!E23,"PX_LAST",EDATE(TODAY(),-1),EDATE(TODAY(),-1)+5,"Days","A","fill","P"),1,2),NA())</f>
        <v/>
      </c>
      <c r="H57" s="15">
        <f>IFERROR(BDP(Tickers!E23,"PX_LAST")-INDEX(BDH(Tickers!E23,"PX_LAST",DATE(YEAR(TODAY())-1,12,29),DATE(YEAR(TODAY()),1,5),"Days","A","fill","P"),1,2),NA())</f>
        <v/>
      </c>
      <c r="I57" s="16">
        <f>IFERROR(D57*E57/100,NA())</f>
        <v/>
      </c>
    </row>
    <row r="58">
      <c r="A58">
        <f>Tickers!B24</f>
        <v/>
      </c>
      <c r="B58">
        <f>Tickers!C24</f>
        <v/>
      </c>
      <c r="C58" s="12">
        <f>Tickers!E24</f>
        <v/>
      </c>
      <c r="D58" s="13">
        <f>Tickers!D24</f>
        <v/>
      </c>
      <c r="E58" s="14">
        <f>IFERROR(BDP(Tickers!E24,"PX_LAST"),NA())</f>
        <v/>
      </c>
      <c r="F58" s="15">
        <f>IFERROR(BDP(Tickers!E24,"PX_LAST")-BDP(Tickers!E24,"PX_LAST_DT_PREV_DAY"),NA())</f>
        <v/>
      </c>
      <c r="G58" s="15">
        <f>IFERROR(BDP(Tickers!E24,"PX_LAST")-INDEX(BDH(Tickers!E24,"PX_LAST",EDATE(TODAY(),-1),EDATE(TODAY(),-1)+5,"Days","A","fill","P"),1,2),NA())</f>
        <v/>
      </c>
      <c r="H58" s="15">
        <f>IFERROR(BDP(Tickers!E24,"PX_LAST")-INDEX(BDH(Tickers!E24,"PX_LAST",DATE(YEAR(TODAY())-1,12,29),DATE(YEAR(TODAY()),1,5),"Days","A","fill","P"),1,2),NA())</f>
        <v/>
      </c>
      <c r="I58" s="16">
        <f>IFERROR(D58*E58/100,NA())</f>
        <v/>
      </c>
    </row>
    <row r="59">
      <c r="A59">
        <f>Tickers!B25</f>
        <v/>
      </c>
      <c r="B59">
        <f>Tickers!C25</f>
        <v/>
      </c>
      <c r="C59" s="12">
        <f>Tickers!E25</f>
        <v/>
      </c>
      <c r="D59" s="13">
        <f>Tickers!D25</f>
        <v/>
      </c>
      <c r="E59" s="14">
        <f>IFERROR(BDP(Tickers!E25,"PX_LAST"),NA())</f>
        <v/>
      </c>
      <c r="F59" s="15">
        <f>IFERROR(BDP(Tickers!E25,"PX_LAST")-BDP(Tickers!E25,"PX_LAST_DT_PREV_DAY"),NA())</f>
        <v/>
      </c>
      <c r="G59" s="15">
        <f>IFERROR(BDP(Tickers!E25,"PX_LAST")-INDEX(BDH(Tickers!E25,"PX_LAST",EDATE(TODAY(),-1),EDATE(TODAY(),-1)+5,"Days","A","fill","P"),1,2),NA())</f>
        <v/>
      </c>
      <c r="H59" s="15">
        <f>IFERROR(BDP(Tickers!E25,"PX_LAST")-INDEX(BDH(Tickers!E25,"PX_LAST",DATE(YEAR(TODAY())-1,12,29),DATE(YEAR(TODAY()),1,5),"Days","A","fill","P"),1,2),NA())</f>
        <v/>
      </c>
      <c r="I59" s="16">
        <f>IFERROR(D59*E59/100,NA())</f>
        <v/>
      </c>
    </row>
    <row r="60">
      <c r="A60">
        <f>Tickers!B26</f>
        <v/>
      </c>
      <c r="B60">
        <f>Tickers!C26</f>
        <v/>
      </c>
      <c r="C60" s="12">
        <f>Tickers!E26</f>
        <v/>
      </c>
      <c r="D60" s="13">
        <f>Tickers!D26</f>
        <v/>
      </c>
      <c r="E60" s="14">
        <f>IFERROR(BDP(Tickers!E26,"PX_LAST"),NA())</f>
        <v/>
      </c>
      <c r="F60" s="15">
        <f>IFERROR(BDP(Tickers!E26,"PX_LAST")-BDP(Tickers!E26,"PX_LAST_DT_PREV_DAY"),NA())</f>
        <v/>
      </c>
      <c r="G60" s="15">
        <f>IFERROR(BDP(Tickers!E26,"PX_LAST")-INDEX(BDH(Tickers!E26,"PX_LAST",EDATE(TODAY(),-1),EDATE(TODAY(),-1)+5,"Days","A","fill","P"),1,2),NA())</f>
        <v/>
      </c>
      <c r="H60" s="15">
        <f>IFERROR(BDP(Tickers!E26,"PX_LAST")-INDEX(BDH(Tickers!E26,"PX_LAST",DATE(YEAR(TODAY())-1,12,29),DATE(YEAR(TODAY()),1,5),"Days","A","fill","P"),1,2),NA())</f>
        <v/>
      </c>
      <c r="I60" s="16">
        <f>IFERROR(D60*E60/100,NA())</f>
        <v/>
      </c>
    </row>
    <row r="61">
      <c r="A61">
        <f>Tickers!B27</f>
        <v/>
      </c>
      <c r="B61">
        <f>Tickers!C27</f>
        <v/>
      </c>
      <c r="C61" s="12">
        <f>Tickers!E27</f>
        <v/>
      </c>
      <c r="D61" s="13">
        <f>Tickers!D27</f>
        <v/>
      </c>
      <c r="E61" s="14">
        <f>IFERROR(BDP(Tickers!E27,"PX_LAST"),NA())</f>
        <v/>
      </c>
      <c r="F61" s="15">
        <f>IFERROR(BDP(Tickers!E27,"PX_LAST")-BDP(Tickers!E27,"PX_LAST_DT_PREV_DAY"),NA())</f>
        <v/>
      </c>
      <c r="G61" s="15">
        <f>IFERROR(BDP(Tickers!E27,"PX_LAST")-INDEX(BDH(Tickers!E27,"PX_LAST",EDATE(TODAY(),-1),EDATE(TODAY(),-1)+5,"Days","A","fill","P"),1,2),NA())</f>
        <v/>
      </c>
      <c r="H61" s="15">
        <f>IFERROR(BDP(Tickers!E27,"PX_LAST")-INDEX(BDH(Tickers!E27,"PX_LAST",DATE(YEAR(TODAY())-1,12,29),DATE(YEAR(TODAY()),1,5),"Days","A","fill","P"),1,2),NA())</f>
        <v/>
      </c>
      <c r="I61" s="16">
        <f>IFERROR(D61*E61/100,NA())</f>
        <v/>
      </c>
    </row>
    <row r="62">
      <c r="A62">
        <f>Tickers!B28</f>
        <v/>
      </c>
      <c r="B62">
        <f>Tickers!C28</f>
        <v/>
      </c>
      <c r="C62" s="12">
        <f>Tickers!E28</f>
        <v/>
      </c>
      <c r="D62" s="13">
        <f>Tickers!D28</f>
        <v/>
      </c>
      <c r="E62" s="14">
        <f>IFERROR(BDP(Tickers!E28,"PX_LAST"),NA())</f>
        <v/>
      </c>
      <c r="F62" s="15">
        <f>IFERROR(BDP(Tickers!E28,"PX_LAST")-BDP(Tickers!E28,"PX_LAST_DT_PREV_DAY"),NA())</f>
        <v/>
      </c>
      <c r="G62" s="15">
        <f>IFERROR(BDP(Tickers!E28,"PX_LAST")-INDEX(BDH(Tickers!E28,"PX_LAST",EDATE(TODAY(),-1),EDATE(TODAY(),-1)+5,"Days","A","fill","P"),1,2),NA())</f>
        <v/>
      </c>
      <c r="H62" s="15">
        <f>IFERROR(BDP(Tickers!E28,"PX_LAST")-INDEX(BDH(Tickers!E28,"PX_LAST",DATE(YEAR(TODAY())-1,12,29),DATE(YEAR(TODAY()),1,5),"Days","A","fill","P"),1,2),NA())</f>
        <v/>
      </c>
      <c r="I62" s="16">
        <f>IFERROR(D62*E62/100,NA())</f>
        <v/>
      </c>
    </row>
    <row r="63">
      <c r="A63">
        <f>Tickers!B29</f>
        <v/>
      </c>
      <c r="B63">
        <f>Tickers!C29</f>
        <v/>
      </c>
      <c r="C63" s="12">
        <f>Tickers!E29</f>
        <v/>
      </c>
      <c r="D63" s="13">
        <f>Tickers!D29</f>
        <v/>
      </c>
      <c r="E63" s="14">
        <f>IFERROR(BDP(Tickers!E29,"PX_LAST"),NA())</f>
        <v/>
      </c>
      <c r="F63" s="15">
        <f>IFERROR(BDP(Tickers!E29,"PX_LAST")-BDP(Tickers!E29,"PX_LAST_DT_PREV_DAY"),NA())</f>
        <v/>
      </c>
      <c r="G63" s="15">
        <f>IFERROR(BDP(Tickers!E29,"PX_LAST")-INDEX(BDH(Tickers!E29,"PX_LAST",EDATE(TODAY(),-1),EDATE(TODAY(),-1)+5,"Days","A","fill","P"),1,2),NA())</f>
        <v/>
      </c>
      <c r="H63" s="15">
        <f>IFERROR(BDP(Tickers!E29,"PX_LAST")-INDEX(BDH(Tickers!E29,"PX_LAST",DATE(YEAR(TODAY())-1,12,29),DATE(YEAR(TODAY()),1,5),"Days","A","fill","P"),1,2),NA())</f>
        <v/>
      </c>
      <c r="I63" s="16">
        <f>IFERROR(D63*E63/100,NA())</f>
        <v/>
      </c>
    </row>
    <row r="64">
      <c r="A64">
        <f>Tickers!B30</f>
        <v/>
      </c>
      <c r="B64">
        <f>Tickers!C30</f>
        <v/>
      </c>
      <c r="C64" s="12">
        <f>Tickers!E30</f>
        <v/>
      </c>
      <c r="D64" s="13">
        <f>Tickers!D30</f>
        <v/>
      </c>
      <c r="E64" s="14">
        <f>IFERROR(BDP(Tickers!E30,"PX_LAST"),NA())</f>
        <v/>
      </c>
      <c r="F64" s="15">
        <f>IFERROR(BDP(Tickers!E30,"PX_LAST")-BDP(Tickers!E30,"PX_LAST_DT_PREV_DAY"),NA())</f>
        <v/>
      </c>
      <c r="G64" s="15">
        <f>IFERROR(BDP(Tickers!E30,"PX_LAST")-INDEX(BDH(Tickers!E30,"PX_LAST",EDATE(TODAY(),-1),EDATE(TODAY(),-1)+5,"Days","A","fill","P"),1,2),NA())</f>
        <v/>
      </c>
      <c r="H64" s="15">
        <f>IFERROR(BDP(Tickers!E30,"PX_LAST")-INDEX(BDH(Tickers!E30,"PX_LAST",DATE(YEAR(TODAY())-1,12,29),DATE(YEAR(TODAY()),1,5),"Days","A","fill","P"),1,2),NA())</f>
        <v/>
      </c>
      <c r="I64" s="16">
        <f>IFERROR(D64*E64/100,NA())</f>
        <v/>
      </c>
    </row>
    <row r="65">
      <c r="A65">
        <f>Tickers!B31</f>
        <v/>
      </c>
      <c r="B65">
        <f>Tickers!C31</f>
        <v/>
      </c>
      <c r="C65" s="12">
        <f>Tickers!E31</f>
        <v/>
      </c>
      <c r="D65" s="13">
        <f>Tickers!D31</f>
        <v/>
      </c>
      <c r="E65" s="14">
        <f>IFERROR(BDP(Tickers!E31,"PX_LAST"),NA())</f>
        <v/>
      </c>
      <c r="F65" s="15">
        <f>IFERROR(BDP(Tickers!E31,"PX_LAST")-BDP(Tickers!E31,"PX_LAST_DT_PREV_DAY"),NA())</f>
        <v/>
      </c>
      <c r="G65" s="15">
        <f>IFERROR(BDP(Tickers!E31,"PX_LAST")-INDEX(BDH(Tickers!E31,"PX_LAST",EDATE(TODAY(),-1),EDATE(TODAY(),-1)+5,"Days","A","fill","P"),1,2),NA())</f>
        <v/>
      </c>
      <c r="H65" s="15">
        <f>IFERROR(BDP(Tickers!E31,"PX_LAST")-INDEX(BDH(Tickers!E31,"PX_LAST",DATE(YEAR(TODAY())-1,12,29),DATE(YEAR(TODAY()),1,5),"Days","A","fill","P"),1,2),NA())</f>
        <v/>
      </c>
      <c r="I65" s="16">
        <f>IFERROR(D65*E65/100,NA())</f>
        <v/>
      </c>
    </row>
    <row r="66">
      <c r="A66">
        <f>Tickers!B32</f>
        <v/>
      </c>
      <c r="B66">
        <f>Tickers!C32</f>
        <v/>
      </c>
      <c r="C66" s="12">
        <f>Tickers!E32</f>
        <v/>
      </c>
      <c r="D66" s="13">
        <f>Tickers!D32</f>
        <v/>
      </c>
      <c r="E66" s="14">
        <f>IFERROR(BDP(Tickers!E32,"PX_LAST"),NA())</f>
        <v/>
      </c>
      <c r="F66" s="15">
        <f>IFERROR(BDP(Tickers!E32,"PX_LAST")-BDP(Tickers!E32,"PX_LAST_DT_PREV_DAY"),NA())</f>
        <v/>
      </c>
      <c r="G66" s="15">
        <f>IFERROR(BDP(Tickers!E32,"PX_LAST")-INDEX(BDH(Tickers!E32,"PX_LAST",EDATE(TODAY(),-1),EDATE(TODAY(),-1)+5,"Days","A","fill","P"),1,2),NA())</f>
        <v/>
      </c>
      <c r="H66" s="15">
        <f>IFERROR(BDP(Tickers!E32,"PX_LAST")-INDEX(BDH(Tickers!E32,"PX_LAST",DATE(YEAR(TODAY())-1,12,29),DATE(YEAR(TODAY()),1,5),"Days","A","fill","P"),1,2),NA())</f>
        <v/>
      </c>
      <c r="I66" s="16">
        <f>IFERROR(D66*E66/100,NA())</f>
        <v/>
      </c>
    </row>
    <row r="67">
      <c r="A67" s="17">
        <f>"EM Europe &amp; Turkey subtotal"</f>
        <v/>
      </c>
      <c r="B67" s="17" t="n"/>
      <c r="C67" s="17" t="n"/>
      <c r="D67" s="18">
        <f>SUM(D56:D66)</f>
        <v/>
      </c>
      <c r="E67" s="19">
        <f>SUMPRODUCT(D56:D66,E56:E66)/SUM(D56:D66)</f>
        <v/>
      </c>
      <c r="F67" s="17" t="n"/>
      <c r="G67" s="17" t="n"/>
      <c r="H67" s="17" t="n"/>
      <c r="I67" s="20">
        <f>SUM(I56:I66)</f>
        <v/>
      </c>
    </row>
    <row r="69">
      <c r="A69" s="10" t="inlineStr">
        <is>
          <t>GCC</t>
        </is>
      </c>
      <c r="B69" s="11" t="n"/>
      <c r="C69" s="11" t="n"/>
      <c r="D69" s="11" t="n"/>
      <c r="E69" s="11" t="n"/>
      <c r="F69" s="11" t="n"/>
      <c r="G69" s="11" t="n"/>
      <c r="H69" s="11" t="n"/>
      <c r="I69" s="11" t="n"/>
    </row>
    <row r="70">
      <c r="A70">
        <f>Tickers!B33</f>
        <v/>
      </c>
      <c r="B70">
        <f>Tickers!C33</f>
        <v/>
      </c>
      <c r="C70" s="12">
        <f>Tickers!E33</f>
        <v/>
      </c>
      <c r="D70" s="13">
        <f>Tickers!D33</f>
        <v/>
      </c>
      <c r="E70" s="14">
        <f>IFERROR(BDP(Tickers!E33,"PX_LAST"),NA())</f>
        <v/>
      </c>
      <c r="F70" s="15">
        <f>IFERROR(BDP(Tickers!E33,"PX_LAST")-BDP(Tickers!E33,"PX_LAST_DT_PREV_DAY"),NA())</f>
        <v/>
      </c>
      <c r="G70" s="15">
        <f>IFERROR(BDP(Tickers!E33,"PX_LAST")-INDEX(BDH(Tickers!E33,"PX_LAST",EDATE(TODAY(),-1),EDATE(TODAY(),-1)+5,"Days","A","fill","P"),1,2),NA())</f>
        <v/>
      </c>
      <c r="H70" s="15">
        <f>IFERROR(BDP(Tickers!E33,"PX_LAST")-INDEX(BDH(Tickers!E33,"PX_LAST",DATE(YEAR(TODAY())-1,12,29),DATE(YEAR(TODAY()),1,5),"Days","A","fill","P"),1,2),NA())</f>
        <v/>
      </c>
      <c r="I70" s="16">
        <f>IFERROR(D70*E70/100,NA())</f>
        <v/>
      </c>
    </row>
    <row r="71">
      <c r="A71">
        <f>Tickers!B34</f>
        <v/>
      </c>
      <c r="B71">
        <f>Tickers!C34</f>
        <v/>
      </c>
      <c r="C71" s="12">
        <f>Tickers!E34</f>
        <v/>
      </c>
      <c r="D71" s="13">
        <f>Tickers!D34</f>
        <v/>
      </c>
      <c r="E71" s="14">
        <f>IFERROR(BDP(Tickers!E34,"PX_LAST"),NA())</f>
        <v/>
      </c>
      <c r="F71" s="15">
        <f>IFERROR(BDP(Tickers!E34,"PX_LAST")-BDP(Tickers!E34,"PX_LAST_DT_PREV_DAY"),NA())</f>
        <v/>
      </c>
      <c r="G71" s="15">
        <f>IFERROR(BDP(Tickers!E34,"PX_LAST")-INDEX(BDH(Tickers!E34,"PX_LAST",EDATE(TODAY(),-1),EDATE(TODAY(),-1)+5,"Days","A","fill","P"),1,2),NA())</f>
        <v/>
      </c>
      <c r="H71" s="15">
        <f>IFERROR(BDP(Tickers!E34,"PX_LAST")-INDEX(BDH(Tickers!E34,"PX_LAST",DATE(YEAR(TODAY())-1,12,29),DATE(YEAR(TODAY()),1,5),"Days","A","fill","P"),1,2),NA())</f>
        <v/>
      </c>
      <c r="I71" s="16">
        <f>IFERROR(D71*E71/100,NA())</f>
        <v/>
      </c>
    </row>
    <row r="72">
      <c r="A72">
        <f>Tickers!B35</f>
        <v/>
      </c>
      <c r="B72">
        <f>Tickers!C35</f>
        <v/>
      </c>
      <c r="C72" s="12">
        <f>Tickers!E35</f>
        <v/>
      </c>
      <c r="D72" s="13">
        <f>Tickers!D35</f>
        <v/>
      </c>
      <c r="E72" s="14">
        <f>IFERROR(BDP(Tickers!E35,"PX_LAST"),NA())</f>
        <v/>
      </c>
      <c r="F72" s="15">
        <f>IFERROR(BDP(Tickers!E35,"PX_LAST")-BDP(Tickers!E35,"PX_LAST_DT_PREV_DAY"),NA())</f>
        <v/>
      </c>
      <c r="G72" s="15">
        <f>IFERROR(BDP(Tickers!E35,"PX_LAST")-INDEX(BDH(Tickers!E35,"PX_LAST",EDATE(TODAY(),-1),EDATE(TODAY(),-1)+5,"Days","A","fill","P"),1,2),NA())</f>
        <v/>
      </c>
      <c r="H72" s="15">
        <f>IFERROR(BDP(Tickers!E35,"PX_LAST")-INDEX(BDH(Tickers!E35,"PX_LAST",DATE(YEAR(TODAY())-1,12,29),DATE(YEAR(TODAY()),1,5),"Days","A","fill","P"),1,2),NA())</f>
        <v/>
      </c>
      <c r="I72" s="16">
        <f>IFERROR(D72*E72/100,NA())</f>
        <v/>
      </c>
    </row>
    <row r="73">
      <c r="A73">
        <f>Tickers!B36</f>
        <v/>
      </c>
      <c r="B73">
        <f>Tickers!C36</f>
        <v/>
      </c>
      <c r="C73" s="12">
        <f>Tickers!E36</f>
        <v/>
      </c>
      <c r="D73" s="13">
        <f>Tickers!D36</f>
        <v/>
      </c>
      <c r="E73" s="14">
        <f>IFERROR(BDP(Tickers!E36,"PX_LAST"),NA())</f>
        <v/>
      </c>
      <c r="F73" s="15">
        <f>IFERROR(BDP(Tickers!E36,"PX_LAST")-BDP(Tickers!E36,"PX_LAST_DT_PREV_DAY"),NA())</f>
        <v/>
      </c>
      <c r="G73" s="15">
        <f>IFERROR(BDP(Tickers!E36,"PX_LAST")-INDEX(BDH(Tickers!E36,"PX_LAST",EDATE(TODAY(),-1),EDATE(TODAY(),-1)+5,"Days","A","fill","P"),1,2),NA())</f>
        <v/>
      </c>
      <c r="H73" s="15">
        <f>IFERROR(BDP(Tickers!E36,"PX_LAST")-INDEX(BDH(Tickers!E36,"PX_LAST",DATE(YEAR(TODAY())-1,12,29),DATE(YEAR(TODAY()),1,5),"Days","A","fill","P"),1,2),NA())</f>
        <v/>
      </c>
      <c r="I73" s="16">
        <f>IFERROR(D73*E73/100,NA())</f>
        <v/>
      </c>
    </row>
    <row r="74">
      <c r="A74">
        <f>Tickers!B37</f>
        <v/>
      </c>
      <c r="B74">
        <f>Tickers!C37</f>
        <v/>
      </c>
      <c r="C74" s="12">
        <f>Tickers!E37</f>
        <v/>
      </c>
      <c r="D74" s="13">
        <f>Tickers!D37</f>
        <v/>
      </c>
      <c r="E74" s="14">
        <f>IFERROR(BDP(Tickers!E37,"PX_LAST"),NA())</f>
        <v/>
      </c>
      <c r="F74" s="15">
        <f>IFERROR(BDP(Tickers!E37,"PX_LAST")-BDP(Tickers!E37,"PX_LAST_DT_PREV_DAY"),NA())</f>
        <v/>
      </c>
      <c r="G74" s="15">
        <f>IFERROR(BDP(Tickers!E37,"PX_LAST")-INDEX(BDH(Tickers!E37,"PX_LAST",EDATE(TODAY(),-1),EDATE(TODAY(),-1)+5,"Days","A","fill","P"),1,2),NA())</f>
        <v/>
      </c>
      <c r="H74" s="15">
        <f>IFERROR(BDP(Tickers!E37,"PX_LAST")-INDEX(BDH(Tickers!E37,"PX_LAST",DATE(YEAR(TODAY())-1,12,29),DATE(YEAR(TODAY()),1,5),"Days","A","fill","P"),1,2),NA())</f>
        <v/>
      </c>
      <c r="I74" s="16">
        <f>IFERROR(D74*E74/100,NA())</f>
        <v/>
      </c>
    </row>
    <row r="75">
      <c r="A75">
        <f>Tickers!B38</f>
        <v/>
      </c>
      <c r="B75">
        <f>Tickers!C38</f>
        <v/>
      </c>
      <c r="C75" s="12">
        <f>Tickers!E38</f>
        <v/>
      </c>
      <c r="D75" s="13">
        <f>Tickers!D38</f>
        <v/>
      </c>
      <c r="E75" s="14">
        <f>IFERROR(BDP(Tickers!E38,"PX_LAST"),NA())</f>
        <v/>
      </c>
      <c r="F75" s="15">
        <f>IFERROR(BDP(Tickers!E38,"PX_LAST")-BDP(Tickers!E38,"PX_LAST_DT_PREV_DAY"),NA())</f>
        <v/>
      </c>
      <c r="G75" s="15">
        <f>IFERROR(BDP(Tickers!E38,"PX_LAST")-INDEX(BDH(Tickers!E38,"PX_LAST",EDATE(TODAY(),-1),EDATE(TODAY(),-1)+5,"Days","A","fill","P"),1,2),NA())</f>
        <v/>
      </c>
      <c r="H75" s="15">
        <f>IFERROR(BDP(Tickers!E38,"PX_LAST")-INDEX(BDH(Tickers!E38,"PX_LAST",DATE(YEAR(TODAY())-1,12,29),DATE(YEAR(TODAY()),1,5),"Days","A","fill","P"),1,2),NA())</f>
        <v/>
      </c>
      <c r="I75" s="16">
        <f>IFERROR(D75*E75/100,NA())</f>
        <v/>
      </c>
    </row>
    <row r="76">
      <c r="A76" s="17">
        <f>"GCC subtotal"</f>
        <v/>
      </c>
      <c r="B76" s="17" t="n"/>
      <c r="C76" s="17" t="n"/>
      <c r="D76" s="18">
        <f>SUM(D70:D75)</f>
        <v/>
      </c>
      <c r="E76" s="19">
        <f>SUMPRODUCT(D70:D75,E70:E75)/SUM(D70:D75)</f>
        <v/>
      </c>
      <c r="F76" s="17" t="n"/>
      <c r="G76" s="17" t="n"/>
      <c r="H76" s="17" t="n"/>
      <c r="I76" s="20">
        <f>SUM(I70:I75)</f>
        <v/>
      </c>
    </row>
    <row r="78">
      <c r="A78" s="10" t="inlineStr">
        <is>
          <t>Africa</t>
        </is>
      </c>
      <c r="B78" s="11" t="n"/>
      <c r="C78" s="11" t="n"/>
      <c r="D78" s="11" t="n"/>
      <c r="E78" s="11" t="n"/>
      <c r="F78" s="11" t="n"/>
      <c r="G78" s="11" t="n"/>
      <c r="H78" s="11" t="n"/>
      <c r="I78" s="11" t="n"/>
    </row>
    <row r="79">
      <c r="A79">
        <f>Tickers!B39</f>
        <v/>
      </c>
      <c r="B79">
        <f>Tickers!C39</f>
        <v/>
      </c>
      <c r="C79" s="12">
        <f>Tickers!E39</f>
        <v/>
      </c>
      <c r="D79" s="13">
        <f>Tickers!D39</f>
        <v/>
      </c>
      <c r="E79" s="14">
        <f>IFERROR(BDP(Tickers!E39,"PX_LAST"),NA())</f>
        <v/>
      </c>
      <c r="F79" s="15">
        <f>IFERROR(BDP(Tickers!E39,"PX_LAST")-BDP(Tickers!E39,"PX_LAST_DT_PREV_DAY"),NA())</f>
        <v/>
      </c>
      <c r="G79" s="15">
        <f>IFERROR(BDP(Tickers!E39,"PX_LAST")-INDEX(BDH(Tickers!E39,"PX_LAST",EDATE(TODAY(),-1),EDATE(TODAY(),-1)+5,"Days","A","fill","P"),1,2),NA())</f>
        <v/>
      </c>
      <c r="H79" s="15">
        <f>IFERROR(BDP(Tickers!E39,"PX_LAST")-INDEX(BDH(Tickers!E39,"PX_LAST",DATE(YEAR(TODAY())-1,12,29),DATE(YEAR(TODAY()),1,5),"Days","A","fill","P"),1,2),NA())</f>
        <v/>
      </c>
      <c r="I79" s="16">
        <f>IFERROR(D79*E79/100,NA())</f>
        <v/>
      </c>
    </row>
    <row r="80">
      <c r="A80">
        <f>Tickers!B40</f>
        <v/>
      </c>
      <c r="B80">
        <f>Tickers!C40</f>
        <v/>
      </c>
      <c r="C80" s="12">
        <f>Tickers!E40</f>
        <v/>
      </c>
      <c r="D80" s="13">
        <f>Tickers!D40</f>
        <v/>
      </c>
      <c r="E80" s="14">
        <f>IFERROR(BDP(Tickers!E40,"PX_LAST"),NA())</f>
        <v/>
      </c>
      <c r="F80" s="15">
        <f>IFERROR(BDP(Tickers!E40,"PX_LAST")-BDP(Tickers!E40,"PX_LAST_DT_PREV_DAY"),NA())</f>
        <v/>
      </c>
      <c r="G80" s="15">
        <f>IFERROR(BDP(Tickers!E40,"PX_LAST")-INDEX(BDH(Tickers!E40,"PX_LAST",EDATE(TODAY(),-1),EDATE(TODAY(),-1)+5,"Days","A","fill","P"),1,2),NA())</f>
        <v/>
      </c>
      <c r="H80" s="15">
        <f>IFERROR(BDP(Tickers!E40,"PX_LAST")-INDEX(BDH(Tickers!E40,"PX_LAST",DATE(YEAR(TODAY())-1,12,29),DATE(YEAR(TODAY()),1,5),"Days","A","fill","P"),1,2),NA())</f>
        <v/>
      </c>
      <c r="I80" s="16">
        <f>IFERROR(D80*E80/100,NA())</f>
        <v/>
      </c>
    </row>
    <row r="81">
      <c r="A81">
        <f>Tickers!B41</f>
        <v/>
      </c>
      <c r="B81">
        <f>Tickers!C41</f>
        <v/>
      </c>
      <c r="C81" s="12">
        <f>Tickers!E41</f>
        <v/>
      </c>
      <c r="D81" s="13">
        <f>Tickers!D41</f>
        <v/>
      </c>
      <c r="E81" s="14">
        <f>IFERROR(BDP(Tickers!E41,"PX_LAST"),NA())</f>
        <v/>
      </c>
      <c r="F81" s="15">
        <f>IFERROR(BDP(Tickers!E41,"PX_LAST")-BDP(Tickers!E41,"PX_LAST_DT_PREV_DAY"),NA())</f>
        <v/>
      </c>
      <c r="G81" s="15">
        <f>IFERROR(BDP(Tickers!E41,"PX_LAST")-INDEX(BDH(Tickers!E41,"PX_LAST",EDATE(TODAY(),-1),EDATE(TODAY(),-1)+5,"Days","A","fill","P"),1,2),NA())</f>
        <v/>
      </c>
      <c r="H81" s="15">
        <f>IFERROR(BDP(Tickers!E41,"PX_LAST")-INDEX(BDH(Tickers!E41,"PX_LAST",DATE(YEAR(TODAY())-1,12,29),DATE(YEAR(TODAY()),1,5),"Days","A","fill","P"),1,2),NA())</f>
        <v/>
      </c>
      <c r="I81" s="16">
        <f>IFERROR(D81*E81/100,NA())</f>
        <v/>
      </c>
    </row>
    <row r="82">
      <c r="A82">
        <f>Tickers!B42</f>
        <v/>
      </c>
      <c r="B82">
        <f>Tickers!C42</f>
        <v/>
      </c>
      <c r="C82" s="12">
        <f>Tickers!E42</f>
        <v/>
      </c>
      <c r="D82" s="13">
        <f>Tickers!D42</f>
        <v/>
      </c>
      <c r="E82" s="14">
        <f>IFERROR(BDP(Tickers!E42,"PX_LAST"),NA())</f>
        <v/>
      </c>
      <c r="F82" s="15">
        <f>IFERROR(BDP(Tickers!E42,"PX_LAST")-BDP(Tickers!E42,"PX_LAST_DT_PREV_DAY"),NA())</f>
        <v/>
      </c>
      <c r="G82" s="15">
        <f>IFERROR(BDP(Tickers!E42,"PX_LAST")-INDEX(BDH(Tickers!E42,"PX_LAST",EDATE(TODAY(),-1),EDATE(TODAY(),-1)+5,"Days","A","fill","P"),1,2),NA())</f>
        <v/>
      </c>
      <c r="H82" s="15">
        <f>IFERROR(BDP(Tickers!E42,"PX_LAST")-INDEX(BDH(Tickers!E42,"PX_LAST",DATE(YEAR(TODAY())-1,12,29),DATE(YEAR(TODAY()),1,5),"Days","A","fill","P"),1,2),NA())</f>
        <v/>
      </c>
      <c r="I82" s="16">
        <f>IFERROR(D82*E82/100,NA())</f>
        <v/>
      </c>
    </row>
    <row r="83">
      <c r="A83">
        <f>Tickers!B43</f>
        <v/>
      </c>
      <c r="B83">
        <f>Tickers!C43</f>
        <v/>
      </c>
      <c r="C83" s="12">
        <f>Tickers!E43</f>
        <v/>
      </c>
      <c r="D83" s="13">
        <f>Tickers!D43</f>
        <v/>
      </c>
      <c r="E83" s="14">
        <f>IFERROR(BDP(Tickers!E43,"PX_LAST"),NA())</f>
        <v/>
      </c>
      <c r="F83" s="15">
        <f>IFERROR(BDP(Tickers!E43,"PX_LAST")-BDP(Tickers!E43,"PX_LAST_DT_PREV_DAY"),NA())</f>
        <v/>
      </c>
      <c r="G83" s="15">
        <f>IFERROR(BDP(Tickers!E43,"PX_LAST")-INDEX(BDH(Tickers!E43,"PX_LAST",EDATE(TODAY(),-1),EDATE(TODAY(),-1)+5,"Days","A","fill","P"),1,2),NA())</f>
        <v/>
      </c>
      <c r="H83" s="15">
        <f>IFERROR(BDP(Tickers!E43,"PX_LAST")-INDEX(BDH(Tickers!E43,"PX_LAST",DATE(YEAR(TODAY())-1,12,29),DATE(YEAR(TODAY()),1,5),"Days","A","fill","P"),1,2),NA())</f>
        <v/>
      </c>
      <c r="I83" s="16">
        <f>IFERROR(D83*E83/100,NA())</f>
        <v/>
      </c>
    </row>
    <row r="84">
      <c r="A84">
        <f>Tickers!B44</f>
        <v/>
      </c>
      <c r="B84">
        <f>Tickers!C44</f>
        <v/>
      </c>
      <c r="C84" s="12">
        <f>Tickers!E44</f>
        <v/>
      </c>
      <c r="D84" s="13">
        <f>Tickers!D44</f>
        <v/>
      </c>
      <c r="E84" s="14">
        <f>IFERROR(BDP(Tickers!E44,"PX_LAST"),NA())</f>
        <v/>
      </c>
      <c r="F84" s="15">
        <f>IFERROR(BDP(Tickers!E44,"PX_LAST")-BDP(Tickers!E44,"PX_LAST_DT_PREV_DAY"),NA())</f>
        <v/>
      </c>
      <c r="G84" s="15">
        <f>IFERROR(BDP(Tickers!E44,"PX_LAST")-INDEX(BDH(Tickers!E44,"PX_LAST",EDATE(TODAY(),-1),EDATE(TODAY(),-1)+5,"Days","A","fill","P"),1,2),NA())</f>
        <v/>
      </c>
      <c r="H84" s="15">
        <f>IFERROR(BDP(Tickers!E44,"PX_LAST")-INDEX(BDH(Tickers!E44,"PX_LAST",DATE(YEAR(TODAY())-1,12,29),DATE(YEAR(TODAY()),1,5),"Days","A","fill","P"),1,2),NA())</f>
        <v/>
      </c>
      <c r="I84" s="16">
        <f>IFERROR(D84*E84/100,NA())</f>
        <v/>
      </c>
    </row>
    <row r="85">
      <c r="A85">
        <f>Tickers!B45</f>
        <v/>
      </c>
      <c r="B85">
        <f>Tickers!C45</f>
        <v/>
      </c>
      <c r="C85" s="12">
        <f>Tickers!E45</f>
        <v/>
      </c>
      <c r="D85" s="13">
        <f>Tickers!D45</f>
        <v/>
      </c>
      <c r="E85" s="14">
        <f>IFERROR(BDP(Tickers!E45,"PX_LAST"),NA())</f>
        <v/>
      </c>
      <c r="F85" s="15">
        <f>IFERROR(BDP(Tickers!E45,"PX_LAST")-BDP(Tickers!E45,"PX_LAST_DT_PREV_DAY"),NA())</f>
        <v/>
      </c>
      <c r="G85" s="15">
        <f>IFERROR(BDP(Tickers!E45,"PX_LAST")-INDEX(BDH(Tickers!E45,"PX_LAST",EDATE(TODAY(),-1),EDATE(TODAY(),-1)+5,"Days","A","fill","P"),1,2),NA())</f>
        <v/>
      </c>
      <c r="H85" s="15">
        <f>IFERROR(BDP(Tickers!E45,"PX_LAST")-INDEX(BDH(Tickers!E45,"PX_LAST",DATE(YEAR(TODAY())-1,12,29),DATE(YEAR(TODAY()),1,5),"Days","A","fill","P"),1,2),NA())</f>
        <v/>
      </c>
      <c r="I85" s="16">
        <f>IFERROR(D85*E85/100,NA())</f>
        <v/>
      </c>
    </row>
    <row r="86">
      <c r="A86">
        <f>Tickers!B46</f>
        <v/>
      </c>
      <c r="B86">
        <f>Tickers!C46</f>
        <v/>
      </c>
      <c r="C86" s="12">
        <f>Tickers!E46</f>
        <v/>
      </c>
      <c r="D86" s="13">
        <f>Tickers!D46</f>
        <v/>
      </c>
      <c r="E86" s="14">
        <f>IFERROR(BDP(Tickers!E46,"PX_LAST"),NA())</f>
        <v/>
      </c>
      <c r="F86" s="15">
        <f>IFERROR(BDP(Tickers!E46,"PX_LAST")-BDP(Tickers!E46,"PX_LAST_DT_PREV_DAY"),NA())</f>
        <v/>
      </c>
      <c r="G86" s="15">
        <f>IFERROR(BDP(Tickers!E46,"PX_LAST")-INDEX(BDH(Tickers!E46,"PX_LAST",EDATE(TODAY(),-1),EDATE(TODAY(),-1)+5,"Days","A","fill","P"),1,2),NA())</f>
        <v/>
      </c>
      <c r="H86" s="15">
        <f>IFERROR(BDP(Tickers!E46,"PX_LAST")-INDEX(BDH(Tickers!E46,"PX_LAST",DATE(YEAR(TODAY())-1,12,29),DATE(YEAR(TODAY()),1,5),"Days","A","fill","P"),1,2),NA())</f>
        <v/>
      </c>
      <c r="I86" s="16">
        <f>IFERROR(D86*E86/100,NA())</f>
        <v/>
      </c>
    </row>
    <row r="87">
      <c r="A87">
        <f>Tickers!B47</f>
        <v/>
      </c>
      <c r="B87">
        <f>Tickers!C47</f>
        <v/>
      </c>
      <c r="C87" s="12">
        <f>Tickers!E47</f>
        <v/>
      </c>
      <c r="D87" s="13">
        <f>Tickers!D47</f>
        <v/>
      </c>
      <c r="E87" s="14">
        <f>IFERROR(BDP(Tickers!E47,"PX_LAST"),NA())</f>
        <v/>
      </c>
      <c r="F87" s="15">
        <f>IFERROR(BDP(Tickers!E47,"PX_LAST")-BDP(Tickers!E47,"PX_LAST_DT_PREV_DAY"),NA())</f>
        <v/>
      </c>
      <c r="G87" s="15">
        <f>IFERROR(BDP(Tickers!E47,"PX_LAST")-INDEX(BDH(Tickers!E47,"PX_LAST",EDATE(TODAY(),-1),EDATE(TODAY(),-1)+5,"Days","A","fill","P"),1,2),NA())</f>
        <v/>
      </c>
      <c r="H87" s="15">
        <f>IFERROR(BDP(Tickers!E47,"PX_LAST")-INDEX(BDH(Tickers!E47,"PX_LAST",DATE(YEAR(TODAY())-1,12,29),DATE(YEAR(TODAY()),1,5),"Days","A","fill","P"),1,2),NA())</f>
        <v/>
      </c>
      <c r="I87" s="16">
        <f>IFERROR(D87*E87/100,NA())</f>
        <v/>
      </c>
    </row>
    <row r="88">
      <c r="A88">
        <f>Tickers!B48</f>
        <v/>
      </c>
      <c r="B88">
        <f>Tickers!C48</f>
        <v/>
      </c>
      <c r="C88" s="12">
        <f>Tickers!E48</f>
        <v/>
      </c>
      <c r="D88" s="13">
        <f>Tickers!D48</f>
        <v/>
      </c>
      <c r="E88" s="14">
        <f>IFERROR(BDP(Tickers!E48,"PX_LAST"),NA())</f>
        <v/>
      </c>
      <c r="F88" s="15">
        <f>IFERROR(BDP(Tickers!E48,"PX_LAST")-BDP(Tickers!E48,"PX_LAST_DT_PREV_DAY"),NA())</f>
        <v/>
      </c>
      <c r="G88" s="15">
        <f>IFERROR(BDP(Tickers!E48,"PX_LAST")-INDEX(BDH(Tickers!E48,"PX_LAST",EDATE(TODAY(),-1),EDATE(TODAY(),-1)+5,"Days","A","fill","P"),1,2),NA())</f>
        <v/>
      </c>
      <c r="H88" s="15">
        <f>IFERROR(BDP(Tickers!E48,"PX_LAST")-INDEX(BDH(Tickers!E48,"PX_LAST",DATE(YEAR(TODAY())-1,12,29),DATE(YEAR(TODAY()),1,5),"Days","A","fill","P"),1,2),NA())</f>
        <v/>
      </c>
      <c r="I88" s="16">
        <f>IFERROR(D88*E88/100,NA())</f>
        <v/>
      </c>
    </row>
    <row r="89">
      <c r="A89">
        <f>Tickers!B49</f>
        <v/>
      </c>
      <c r="B89">
        <f>Tickers!C49</f>
        <v/>
      </c>
      <c r="C89" s="12">
        <f>Tickers!E49</f>
        <v/>
      </c>
      <c r="D89" s="13">
        <f>Tickers!D49</f>
        <v/>
      </c>
      <c r="E89" s="14">
        <f>IFERROR(BDP(Tickers!E49,"PX_LAST"),NA())</f>
        <v/>
      </c>
      <c r="F89" s="15">
        <f>IFERROR(BDP(Tickers!E49,"PX_LAST")-BDP(Tickers!E49,"PX_LAST_DT_PREV_DAY"),NA())</f>
        <v/>
      </c>
      <c r="G89" s="15">
        <f>IFERROR(BDP(Tickers!E49,"PX_LAST")-INDEX(BDH(Tickers!E49,"PX_LAST",EDATE(TODAY(),-1),EDATE(TODAY(),-1)+5,"Days","A","fill","P"),1,2),NA())</f>
        <v/>
      </c>
      <c r="H89" s="15">
        <f>IFERROR(BDP(Tickers!E49,"PX_LAST")-INDEX(BDH(Tickers!E49,"PX_LAST",DATE(YEAR(TODAY())-1,12,29),DATE(YEAR(TODAY()),1,5),"Days","A","fill","P"),1,2),NA())</f>
        <v/>
      </c>
      <c r="I89" s="16">
        <f>IFERROR(D89*E89/100,NA())</f>
        <v/>
      </c>
    </row>
    <row r="90">
      <c r="A90">
        <f>Tickers!B50</f>
        <v/>
      </c>
      <c r="B90">
        <f>Tickers!C50</f>
        <v/>
      </c>
      <c r="C90" s="12">
        <f>Tickers!E50</f>
        <v/>
      </c>
      <c r="D90" s="13">
        <f>Tickers!D50</f>
        <v/>
      </c>
      <c r="E90" s="14">
        <f>IFERROR(BDP(Tickers!E50,"PX_LAST"),NA())</f>
        <v/>
      </c>
      <c r="F90" s="15">
        <f>IFERROR(BDP(Tickers!E50,"PX_LAST")-BDP(Tickers!E50,"PX_LAST_DT_PREV_DAY"),NA())</f>
        <v/>
      </c>
      <c r="G90" s="15">
        <f>IFERROR(BDP(Tickers!E50,"PX_LAST")-INDEX(BDH(Tickers!E50,"PX_LAST",EDATE(TODAY(),-1),EDATE(TODAY(),-1)+5,"Days","A","fill","P"),1,2),NA())</f>
        <v/>
      </c>
      <c r="H90" s="15">
        <f>IFERROR(BDP(Tickers!E50,"PX_LAST")-INDEX(BDH(Tickers!E50,"PX_LAST",DATE(YEAR(TODAY())-1,12,29),DATE(YEAR(TODAY()),1,5),"Days","A","fill","P"),1,2),NA())</f>
        <v/>
      </c>
      <c r="I90" s="16">
        <f>IFERROR(D90*E90/100,NA())</f>
        <v/>
      </c>
    </row>
    <row r="91">
      <c r="A91">
        <f>Tickers!B51</f>
        <v/>
      </c>
      <c r="B91">
        <f>Tickers!C51</f>
        <v/>
      </c>
      <c r="C91" s="12">
        <f>Tickers!E51</f>
        <v/>
      </c>
      <c r="D91" s="13">
        <f>Tickers!D51</f>
        <v/>
      </c>
      <c r="E91" s="14">
        <f>IFERROR(BDP(Tickers!E51,"PX_LAST"),NA())</f>
        <v/>
      </c>
      <c r="F91" s="15">
        <f>IFERROR(BDP(Tickers!E51,"PX_LAST")-BDP(Tickers!E51,"PX_LAST_DT_PREV_DAY"),NA())</f>
        <v/>
      </c>
      <c r="G91" s="15">
        <f>IFERROR(BDP(Tickers!E51,"PX_LAST")-INDEX(BDH(Tickers!E51,"PX_LAST",EDATE(TODAY(),-1),EDATE(TODAY(),-1)+5,"Days","A","fill","P"),1,2),NA())</f>
        <v/>
      </c>
      <c r="H91" s="15">
        <f>IFERROR(BDP(Tickers!E51,"PX_LAST")-INDEX(BDH(Tickers!E51,"PX_LAST",DATE(YEAR(TODAY())-1,12,29),DATE(YEAR(TODAY()),1,5),"Days","A","fill","P"),1,2),NA())</f>
        <v/>
      </c>
      <c r="I91" s="16">
        <f>IFERROR(D91*E91/100,NA())</f>
        <v/>
      </c>
    </row>
    <row r="92">
      <c r="A92">
        <f>Tickers!B52</f>
        <v/>
      </c>
      <c r="B92">
        <f>Tickers!C52</f>
        <v/>
      </c>
      <c r="C92" s="12">
        <f>Tickers!E52</f>
        <v/>
      </c>
      <c r="D92" s="13">
        <f>Tickers!D52</f>
        <v/>
      </c>
      <c r="E92" s="14">
        <f>IFERROR(BDP(Tickers!E52,"PX_LAST"),NA())</f>
        <v/>
      </c>
      <c r="F92" s="15">
        <f>IFERROR(BDP(Tickers!E52,"PX_LAST")-BDP(Tickers!E52,"PX_LAST_DT_PREV_DAY"),NA())</f>
        <v/>
      </c>
      <c r="G92" s="15">
        <f>IFERROR(BDP(Tickers!E52,"PX_LAST")-INDEX(BDH(Tickers!E52,"PX_LAST",EDATE(TODAY(),-1),EDATE(TODAY(),-1)+5,"Days","A","fill","P"),1,2),NA())</f>
        <v/>
      </c>
      <c r="H92" s="15">
        <f>IFERROR(BDP(Tickers!E52,"PX_LAST")-INDEX(BDH(Tickers!E52,"PX_LAST",DATE(YEAR(TODAY())-1,12,29),DATE(YEAR(TODAY()),1,5),"Days","A","fill","P"),1,2),NA())</f>
        <v/>
      </c>
      <c r="I92" s="16">
        <f>IFERROR(D92*E92/100,NA())</f>
        <v/>
      </c>
    </row>
    <row r="93">
      <c r="A93">
        <f>Tickers!B53</f>
        <v/>
      </c>
      <c r="B93">
        <f>Tickers!C53</f>
        <v/>
      </c>
      <c r="C93" s="12">
        <f>Tickers!E53</f>
        <v/>
      </c>
      <c r="D93" s="13">
        <f>Tickers!D53</f>
        <v/>
      </c>
      <c r="E93" s="14">
        <f>IFERROR(BDP(Tickers!E53,"PX_LAST"),NA())</f>
        <v/>
      </c>
      <c r="F93" s="15">
        <f>IFERROR(BDP(Tickers!E53,"PX_LAST")-BDP(Tickers!E53,"PX_LAST_DT_PREV_DAY"),NA())</f>
        <v/>
      </c>
      <c r="G93" s="15">
        <f>IFERROR(BDP(Tickers!E53,"PX_LAST")-INDEX(BDH(Tickers!E53,"PX_LAST",EDATE(TODAY(),-1),EDATE(TODAY(),-1)+5,"Days","A","fill","P"),1,2),NA())</f>
        <v/>
      </c>
      <c r="H93" s="15">
        <f>IFERROR(BDP(Tickers!E53,"PX_LAST")-INDEX(BDH(Tickers!E53,"PX_LAST",DATE(YEAR(TODAY())-1,12,29),DATE(YEAR(TODAY()),1,5),"Days","A","fill","P"),1,2),NA())</f>
        <v/>
      </c>
      <c r="I93" s="16">
        <f>IFERROR(D93*E93/100,NA())</f>
        <v/>
      </c>
    </row>
    <row r="94">
      <c r="A94">
        <f>Tickers!B54</f>
        <v/>
      </c>
      <c r="B94">
        <f>Tickers!C54</f>
        <v/>
      </c>
      <c r="C94" s="12">
        <f>Tickers!E54</f>
        <v/>
      </c>
      <c r="D94" s="13">
        <f>Tickers!D54</f>
        <v/>
      </c>
      <c r="E94" s="14">
        <f>IFERROR(BDP(Tickers!E54,"PX_LAST"),NA())</f>
        <v/>
      </c>
      <c r="F94" s="15">
        <f>IFERROR(BDP(Tickers!E54,"PX_LAST")-BDP(Tickers!E54,"PX_LAST_DT_PREV_DAY"),NA())</f>
        <v/>
      </c>
      <c r="G94" s="15">
        <f>IFERROR(BDP(Tickers!E54,"PX_LAST")-INDEX(BDH(Tickers!E54,"PX_LAST",EDATE(TODAY(),-1),EDATE(TODAY(),-1)+5,"Days","A","fill","P"),1,2),NA())</f>
        <v/>
      </c>
      <c r="H94" s="15">
        <f>IFERROR(BDP(Tickers!E54,"PX_LAST")-INDEX(BDH(Tickers!E54,"PX_LAST",DATE(YEAR(TODAY())-1,12,29),DATE(YEAR(TODAY()),1,5),"Days","A","fill","P"),1,2),NA())</f>
        <v/>
      </c>
      <c r="I94" s="16">
        <f>IFERROR(D94*E94/100,NA())</f>
        <v/>
      </c>
    </row>
    <row r="95">
      <c r="A95" s="17">
        <f>"Africa subtotal"</f>
        <v/>
      </c>
      <c r="B95" s="17" t="n"/>
      <c r="C95" s="17" t="n"/>
      <c r="D95" s="18">
        <f>SUM(D79:D94)</f>
        <v/>
      </c>
      <c r="E95" s="19">
        <f>SUMPRODUCT(D79:D94,E79:E94)/SUM(D79:D94)</f>
        <v/>
      </c>
      <c r="F95" s="17" t="n"/>
      <c r="G95" s="17" t="n"/>
      <c r="H95" s="17" t="n"/>
      <c r="I95" s="20">
        <f>SUM(I79:I94)</f>
        <v/>
      </c>
    </row>
    <row r="97">
      <c r="A97" s="10" t="inlineStr">
        <is>
          <t>Asia</t>
        </is>
      </c>
      <c r="B97" s="11" t="n"/>
      <c r="C97" s="11" t="n"/>
      <c r="D97" s="11" t="n"/>
      <c r="E97" s="11" t="n"/>
      <c r="F97" s="11" t="n"/>
      <c r="G97" s="11" t="n"/>
      <c r="H97" s="11" t="n"/>
      <c r="I97" s="11" t="n"/>
    </row>
    <row r="98">
      <c r="A98">
        <f>Tickers!B55</f>
        <v/>
      </c>
      <c r="B98">
        <f>Tickers!C55</f>
        <v/>
      </c>
      <c r="C98" s="12">
        <f>Tickers!E55</f>
        <v/>
      </c>
      <c r="D98" s="13">
        <f>Tickers!D55</f>
        <v/>
      </c>
      <c r="E98" s="14">
        <f>IFERROR(BDP(Tickers!E55,"PX_LAST"),NA())</f>
        <v/>
      </c>
      <c r="F98" s="15">
        <f>IFERROR(BDP(Tickers!E55,"PX_LAST")-BDP(Tickers!E55,"PX_LAST_DT_PREV_DAY"),NA())</f>
        <v/>
      </c>
      <c r="G98" s="15">
        <f>IFERROR(BDP(Tickers!E55,"PX_LAST")-INDEX(BDH(Tickers!E55,"PX_LAST",EDATE(TODAY(),-1),EDATE(TODAY(),-1)+5,"Days","A","fill","P"),1,2),NA())</f>
        <v/>
      </c>
      <c r="H98" s="15">
        <f>IFERROR(BDP(Tickers!E55,"PX_LAST")-INDEX(BDH(Tickers!E55,"PX_LAST",DATE(YEAR(TODAY())-1,12,29),DATE(YEAR(TODAY()),1,5),"Days","A","fill","P"),1,2),NA())</f>
        <v/>
      </c>
      <c r="I98" s="16">
        <f>IFERROR(D98*E98/100,NA())</f>
        <v/>
      </c>
    </row>
    <row r="99">
      <c r="A99">
        <f>Tickers!B56</f>
        <v/>
      </c>
      <c r="B99">
        <f>Tickers!C56</f>
        <v/>
      </c>
      <c r="C99" s="12">
        <f>Tickers!E56</f>
        <v/>
      </c>
      <c r="D99" s="13">
        <f>Tickers!D56</f>
        <v/>
      </c>
      <c r="E99" s="14">
        <f>IFERROR(BDP(Tickers!E56,"PX_LAST"),NA())</f>
        <v/>
      </c>
      <c r="F99" s="15">
        <f>IFERROR(BDP(Tickers!E56,"PX_LAST")-BDP(Tickers!E56,"PX_LAST_DT_PREV_DAY"),NA())</f>
        <v/>
      </c>
      <c r="G99" s="15">
        <f>IFERROR(BDP(Tickers!E56,"PX_LAST")-INDEX(BDH(Tickers!E56,"PX_LAST",EDATE(TODAY(),-1),EDATE(TODAY(),-1)+5,"Days","A","fill","P"),1,2),NA())</f>
        <v/>
      </c>
      <c r="H99" s="15">
        <f>IFERROR(BDP(Tickers!E56,"PX_LAST")-INDEX(BDH(Tickers!E56,"PX_LAST",DATE(YEAR(TODAY())-1,12,29),DATE(YEAR(TODAY()),1,5),"Days","A","fill","P"),1,2),NA())</f>
        <v/>
      </c>
      <c r="I99" s="16">
        <f>IFERROR(D99*E99/100,NA())</f>
        <v/>
      </c>
    </row>
    <row r="100">
      <c r="A100">
        <f>Tickers!B57</f>
        <v/>
      </c>
      <c r="B100">
        <f>Tickers!C57</f>
        <v/>
      </c>
      <c r="C100" s="12">
        <f>Tickers!E57</f>
        <v/>
      </c>
      <c r="D100" s="13">
        <f>Tickers!D57</f>
        <v/>
      </c>
      <c r="E100" s="14">
        <f>IFERROR(BDP(Tickers!E57,"PX_LAST"),NA())</f>
        <v/>
      </c>
      <c r="F100" s="15">
        <f>IFERROR(BDP(Tickers!E57,"PX_LAST")-BDP(Tickers!E57,"PX_LAST_DT_PREV_DAY"),NA())</f>
        <v/>
      </c>
      <c r="G100" s="15">
        <f>IFERROR(BDP(Tickers!E57,"PX_LAST")-INDEX(BDH(Tickers!E57,"PX_LAST",EDATE(TODAY(),-1),EDATE(TODAY(),-1)+5,"Days","A","fill","P"),1,2),NA())</f>
        <v/>
      </c>
      <c r="H100" s="15">
        <f>IFERROR(BDP(Tickers!E57,"PX_LAST")-INDEX(BDH(Tickers!E57,"PX_LAST",DATE(YEAR(TODAY())-1,12,29),DATE(YEAR(TODAY()),1,5),"Days","A","fill","P"),1,2),NA())</f>
        <v/>
      </c>
      <c r="I100" s="16">
        <f>IFERROR(D100*E100/100,NA())</f>
        <v/>
      </c>
    </row>
    <row r="101">
      <c r="A101">
        <f>Tickers!B58</f>
        <v/>
      </c>
      <c r="B101">
        <f>Tickers!C58</f>
        <v/>
      </c>
      <c r="C101" s="12">
        <f>Tickers!E58</f>
        <v/>
      </c>
      <c r="D101" s="13">
        <f>Tickers!D58</f>
        <v/>
      </c>
      <c r="E101" s="14">
        <f>IFERROR(BDP(Tickers!E58,"PX_LAST"),NA())</f>
        <v/>
      </c>
      <c r="F101" s="15">
        <f>IFERROR(BDP(Tickers!E58,"PX_LAST")-BDP(Tickers!E58,"PX_LAST_DT_PREV_DAY"),NA())</f>
        <v/>
      </c>
      <c r="G101" s="15">
        <f>IFERROR(BDP(Tickers!E58,"PX_LAST")-INDEX(BDH(Tickers!E58,"PX_LAST",EDATE(TODAY(),-1),EDATE(TODAY(),-1)+5,"Days","A","fill","P"),1,2),NA())</f>
        <v/>
      </c>
      <c r="H101" s="15">
        <f>IFERROR(BDP(Tickers!E58,"PX_LAST")-INDEX(BDH(Tickers!E58,"PX_LAST",DATE(YEAR(TODAY())-1,12,29),DATE(YEAR(TODAY()),1,5),"Days","A","fill","P"),1,2),NA())</f>
        <v/>
      </c>
      <c r="I101" s="16">
        <f>IFERROR(D101*E101/100,NA())</f>
        <v/>
      </c>
    </row>
    <row r="102">
      <c r="A102">
        <f>Tickers!B59</f>
        <v/>
      </c>
      <c r="B102">
        <f>Tickers!C59</f>
        <v/>
      </c>
      <c r="C102" s="12">
        <f>Tickers!E59</f>
        <v/>
      </c>
      <c r="D102" s="13">
        <f>Tickers!D59</f>
        <v/>
      </c>
      <c r="E102" s="14">
        <f>IFERROR(BDP(Tickers!E59,"PX_LAST"),NA())</f>
        <v/>
      </c>
      <c r="F102" s="15">
        <f>IFERROR(BDP(Tickers!E59,"PX_LAST")-BDP(Tickers!E59,"PX_LAST_DT_PREV_DAY"),NA())</f>
        <v/>
      </c>
      <c r="G102" s="15">
        <f>IFERROR(BDP(Tickers!E59,"PX_LAST")-INDEX(BDH(Tickers!E59,"PX_LAST",EDATE(TODAY(),-1),EDATE(TODAY(),-1)+5,"Days","A","fill","P"),1,2),NA())</f>
        <v/>
      </c>
      <c r="H102" s="15">
        <f>IFERROR(BDP(Tickers!E59,"PX_LAST")-INDEX(BDH(Tickers!E59,"PX_LAST",DATE(YEAR(TODAY())-1,12,29),DATE(YEAR(TODAY()),1,5),"Days","A","fill","P"),1,2),NA())</f>
        <v/>
      </c>
      <c r="I102" s="16">
        <f>IFERROR(D102*E102/100,NA())</f>
        <v/>
      </c>
    </row>
    <row r="103">
      <c r="A103">
        <f>Tickers!B60</f>
        <v/>
      </c>
      <c r="B103">
        <f>Tickers!C60</f>
        <v/>
      </c>
      <c r="C103" s="12">
        <f>Tickers!E60</f>
        <v/>
      </c>
      <c r="D103" s="13">
        <f>Tickers!D60</f>
        <v/>
      </c>
      <c r="E103" s="14">
        <f>IFERROR(BDP(Tickers!E60,"PX_LAST"),NA())</f>
        <v/>
      </c>
      <c r="F103" s="15">
        <f>IFERROR(BDP(Tickers!E60,"PX_LAST")-BDP(Tickers!E60,"PX_LAST_DT_PREV_DAY"),NA())</f>
        <v/>
      </c>
      <c r="G103" s="15">
        <f>IFERROR(BDP(Tickers!E60,"PX_LAST")-INDEX(BDH(Tickers!E60,"PX_LAST",EDATE(TODAY(),-1),EDATE(TODAY(),-1)+5,"Days","A","fill","P"),1,2),NA())</f>
        <v/>
      </c>
      <c r="H103" s="15">
        <f>IFERROR(BDP(Tickers!E60,"PX_LAST")-INDEX(BDH(Tickers!E60,"PX_LAST",DATE(YEAR(TODAY())-1,12,29),DATE(YEAR(TODAY()),1,5),"Days","A","fill","P"),1,2),NA())</f>
        <v/>
      </c>
      <c r="I103" s="16">
        <f>IFERROR(D103*E103/100,NA())</f>
        <v/>
      </c>
    </row>
    <row r="104">
      <c r="A104">
        <f>Tickers!B61</f>
        <v/>
      </c>
      <c r="B104">
        <f>Tickers!C61</f>
        <v/>
      </c>
      <c r="C104" s="12">
        <f>Tickers!E61</f>
        <v/>
      </c>
      <c r="D104" s="13">
        <f>Tickers!D61</f>
        <v/>
      </c>
      <c r="E104" s="14">
        <f>IFERROR(BDP(Tickers!E61,"PX_LAST"),NA())</f>
        <v/>
      </c>
      <c r="F104" s="15">
        <f>IFERROR(BDP(Tickers!E61,"PX_LAST")-BDP(Tickers!E61,"PX_LAST_DT_PREV_DAY"),NA())</f>
        <v/>
      </c>
      <c r="G104" s="15">
        <f>IFERROR(BDP(Tickers!E61,"PX_LAST")-INDEX(BDH(Tickers!E61,"PX_LAST",EDATE(TODAY(),-1),EDATE(TODAY(),-1)+5,"Days","A","fill","P"),1,2),NA())</f>
        <v/>
      </c>
      <c r="H104" s="15">
        <f>IFERROR(BDP(Tickers!E61,"PX_LAST")-INDEX(BDH(Tickers!E61,"PX_LAST",DATE(YEAR(TODAY())-1,12,29),DATE(YEAR(TODAY()),1,5),"Days","A","fill","P"),1,2),NA())</f>
        <v/>
      </c>
      <c r="I104" s="16">
        <f>IFERROR(D104*E104/100,NA())</f>
        <v/>
      </c>
    </row>
    <row r="105">
      <c r="A105">
        <f>Tickers!B62</f>
        <v/>
      </c>
      <c r="B105">
        <f>Tickers!C62</f>
        <v/>
      </c>
      <c r="C105" s="12">
        <f>Tickers!E62</f>
        <v/>
      </c>
      <c r="D105" s="13">
        <f>Tickers!D62</f>
        <v/>
      </c>
      <c r="E105" s="14">
        <f>IFERROR(BDP(Tickers!E62,"PX_LAST"),NA())</f>
        <v/>
      </c>
      <c r="F105" s="15">
        <f>IFERROR(BDP(Tickers!E62,"PX_LAST")-BDP(Tickers!E62,"PX_LAST_DT_PREV_DAY"),NA())</f>
        <v/>
      </c>
      <c r="G105" s="15">
        <f>IFERROR(BDP(Tickers!E62,"PX_LAST")-INDEX(BDH(Tickers!E62,"PX_LAST",EDATE(TODAY(),-1),EDATE(TODAY(),-1)+5,"Days","A","fill","P"),1,2),NA())</f>
        <v/>
      </c>
      <c r="H105" s="15">
        <f>IFERROR(BDP(Tickers!E62,"PX_LAST")-INDEX(BDH(Tickers!E62,"PX_LAST",DATE(YEAR(TODAY())-1,12,29),DATE(YEAR(TODAY()),1,5),"Days","A","fill","P"),1,2),NA())</f>
        <v/>
      </c>
      <c r="I105" s="16">
        <f>IFERROR(D105*E105/100,NA())</f>
        <v/>
      </c>
    </row>
    <row r="106">
      <c r="A106">
        <f>Tickers!B63</f>
        <v/>
      </c>
      <c r="B106">
        <f>Tickers!C63</f>
        <v/>
      </c>
      <c r="C106" s="12">
        <f>Tickers!E63</f>
        <v/>
      </c>
      <c r="D106" s="13">
        <f>Tickers!D63</f>
        <v/>
      </c>
      <c r="E106" s="14">
        <f>IFERROR(BDP(Tickers!E63,"PX_LAST"),NA())</f>
        <v/>
      </c>
      <c r="F106" s="15">
        <f>IFERROR(BDP(Tickers!E63,"PX_LAST")-BDP(Tickers!E63,"PX_LAST_DT_PREV_DAY"),NA())</f>
        <v/>
      </c>
      <c r="G106" s="15">
        <f>IFERROR(BDP(Tickers!E63,"PX_LAST")-INDEX(BDH(Tickers!E63,"PX_LAST",EDATE(TODAY(),-1),EDATE(TODAY(),-1)+5,"Days","A","fill","P"),1,2),NA())</f>
        <v/>
      </c>
      <c r="H106" s="15">
        <f>IFERROR(BDP(Tickers!E63,"PX_LAST")-INDEX(BDH(Tickers!E63,"PX_LAST",DATE(YEAR(TODAY())-1,12,29),DATE(YEAR(TODAY()),1,5),"Days","A","fill","P"),1,2),NA())</f>
        <v/>
      </c>
      <c r="I106" s="16">
        <f>IFERROR(D106*E106/100,NA())</f>
        <v/>
      </c>
    </row>
    <row r="107">
      <c r="A107" s="17">
        <f>"Asia subtotal"</f>
        <v/>
      </c>
      <c r="B107" s="17" t="n"/>
      <c r="C107" s="17" t="n"/>
      <c r="D107" s="18">
        <f>SUM(D98:D106)</f>
        <v/>
      </c>
      <c r="E107" s="19">
        <f>SUMPRODUCT(D98:D106,E98:E106)/SUM(D98:D106)</f>
        <v/>
      </c>
      <c r="F107" s="17" t="n"/>
      <c r="G107" s="17" t="n"/>
      <c r="H107" s="17" t="n"/>
      <c r="I107" s="20">
        <f>SUM(I98:I106)</f>
        <v/>
      </c>
    </row>
    <row r="109">
      <c r="A109" s="21" t="inlineStr">
        <is>
          <t>TOTAL (all regions)</t>
        </is>
      </c>
      <c r="B109" s="21" t="n"/>
      <c r="C109" s="21" t="n"/>
      <c r="D109" s="22">
        <f>SUMIFS(D36:D108,A36:A108,"&lt;&gt;"&amp;"*subtotal*")</f>
        <v/>
      </c>
      <c r="E109" s="23">
        <f>I109/D109*100</f>
        <v/>
      </c>
      <c r="F109" s="21" t="n"/>
      <c r="G109" s="21" t="n"/>
      <c r="H109" s="21" t="n"/>
      <c r="I109" s="24">
        <f>SUMIFS(I36:I108,A36:A108,"&lt;&gt;"&amp;"*subtotal*")</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78"/>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22" customWidth="1" min="3" max="3"/>
    <col width="10" customWidth="1" min="4" max="4"/>
    <col width="12" customWidth="1" min="5" max="5"/>
    <col width="11" customWidth="1" min="6" max="6"/>
    <col width="11" customWidth="1" min="7" max="7"/>
    <col width="11" customWidth="1" min="8" max="8"/>
    <col width="11" customWidth="1" min="9" max="9"/>
    <col width="11" customWidth="1" min="10" max="10"/>
  </cols>
  <sheetData>
    <row r="1">
      <c r="A1" s="25" t="inlineStr">
        <is>
          <t>EMBI Global Diversified — Total Return Analysis</t>
        </is>
      </c>
    </row>
    <row r="2">
      <c r="A2" s="2" t="inlineStr">
        <is>
          <t>Total returns from JPM total-return sub-indices. MTD / QTD / YTD / 1Y / 3Y per country and aggregate.</t>
        </is>
      </c>
    </row>
    <row r="4" ht="28" customHeight="1">
      <c r="A4" s="9" t="inlineStr">
        <is>
          <t>Country</t>
        </is>
      </c>
      <c r="B4" s="9" t="inlineStr">
        <is>
          <t>Region</t>
        </is>
      </c>
      <c r="C4" s="9" t="inlineStr">
        <is>
          <t>TR ticker</t>
        </is>
      </c>
      <c r="D4" s="9" t="inlineStr">
        <is>
          <t>Weight (%)</t>
        </is>
      </c>
      <c r="E4" s="9" t="inlineStr">
        <is>
          <t>Latest level</t>
        </is>
      </c>
      <c r="F4" s="9" t="inlineStr">
        <is>
          <t>MTD %</t>
        </is>
      </c>
      <c r="G4" s="9" t="inlineStr">
        <is>
          <t>QTD %</t>
        </is>
      </c>
      <c r="H4" s="9" t="inlineStr">
        <is>
          <t>YTD %</t>
        </is>
      </c>
      <c r="I4" s="9" t="inlineStr">
        <is>
          <t>1Y %</t>
        </is>
      </c>
      <c r="J4" s="9" t="inlineStr">
        <is>
          <t>3Y %</t>
        </is>
      </c>
    </row>
    <row r="5">
      <c r="A5" s="21">
        <f>Tickers!B5</f>
        <v/>
      </c>
      <c r="B5" s="21">
        <f>Tickers!C5</f>
        <v/>
      </c>
      <c r="C5" s="21">
        <f>Tickers!F5</f>
        <v/>
      </c>
      <c r="D5" s="22">
        <f>Tickers!D5</f>
        <v/>
      </c>
      <c r="E5" s="26">
        <f>IFERROR(BDP(Tickers!F5,"PX_LAST"),NA())</f>
        <v/>
      </c>
      <c r="F5" s="27">
        <f>IFERROR(BDP(Tickers!F5,"PX_LAST")/INDEX(BDH(Tickers!F5,"PX_LAST",EOMONTH(TODAY(),-1),EOMONTH(TODAY(),-1)+5,"Days","A","fill","P"),1,2)-1,NA())</f>
        <v/>
      </c>
      <c r="G5" s="27">
        <f>IFERROR(BDP(Tickers!F5,"PX_LAST")/INDEX(BDH(Tickers!F5,"PX_LAST",DATE(YEAR(TODAY()),(INT((MONTH(TODAY())-1)/3))*3+1,1)-1,DATE(YEAR(TODAY()),(INT((MONTH(TODAY())-1)/3))*3+1,1)-1+5,"Days","A","fill","P"),1,2)-1,NA())</f>
        <v/>
      </c>
      <c r="H5" s="27">
        <f>IFERROR(BDP(Tickers!F5,"PX_LAST")/INDEX(BDH(Tickers!F5,"PX_LAST",DATE(YEAR(TODAY())-1,12,31),DATE(YEAR(TODAY())-1,12,31)+5,"Days","A","fill","P"),1,2)-1,NA())</f>
        <v/>
      </c>
      <c r="I5" s="27">
        <f>IFERROR(BDP(Tickers!F5,"PX_LAST")/INDEX(BDH(Tickers!F5,"PX_LAST",EDATE(TODAY(),-12),EDATE(TODAY(),-12)+5,"Days","A","fill","P"),1,2)-1,NA())</f>
        <v/>
      </c>
      <c r="J5" s="27">
        <f>IFERROR(BDP(Tickers!F5,"PX_LAST")/INDEX(BDH(Tickers!F5,"PX_LAST",EDATE(TODAY(),-36),EDATE(TODAY(),-36)+5,"Days","A","fill","P"),1,2)-1,NA())</f>
        <v/>
      </c>
    </row>
    <row r="7">
      <c r="A7" s="10" t="inlineStr">
        <is>
          <t>LatAm</t>
        </is>
      </c>
      <c r="B7" s="11" t="n"/>
      <c r="C7" s="11" t="n"/>
      <c r="D7" s="11" t="n"/>
      <c r="E7" s="11" t="n"/>
      <c r="F7" s="11" t="n"/>
      <c r="G7" s="11" t="n"/>
      <c r="H7" s="11" t="n"/>
      <c r="I7" s="11" t="n"/>
      <c r="J7" s="11" t="n"/>
    </row>
    <row r="8">
      <c r="A8">
        <f>Tickers!B6</f>
        <v/>
      </c>
      <c r="B8">
        <f>Tickers!C6</f>
        <v/>
      </c>
      <c r="C8" s="12">
        <f>Tickers!F6</f>
        <v/>
      </c>
      <c r="D8" s="13">
        <f>Tickers!D6</f>
        <v/>
      </c>
      <c r="E8" s="28">
        <f>IFERROR(BDP(Tickers!F6,"PX_LAST"),NA())</f>
        <v/>
      </c>
      <c r="F8" s="29">
        <f>IFERROR(BDP(Tickers!F6,"PX_LAST")/INDEX(BDH(Tickers!F6,"PX_LAST",EOMONTH(TODAY(),-1),EOMONTH(TODAY(),-1)+5,"Days","A","fill","P"),1,2)-1,NA())</f>
        <v/>
      </c>
      <c r="G8" s="29">
        <f>IFERROR(BDP(Tickers!F6,"PX_LAST")/INDEX(BDH(Tickers!F6,"PX_LAST",DATE(YEAR(TODAY()),(INT((MONTH(TODAY())-1)/3))*3+1,1)-1,DATE(YEAR(TODAY()),(INT((MONTH(TODAY())-1)/3))*3+1,1)-1+5,"Days","A","fill","P"),1,2)-1,NA())</f>
        <v/>
      </c>
      <c r="H8" s="29">
        <f>IFERROR(BDP(Tickers!F6,"PX_LAST")/INDEX(BDH(Tickers!F6,"PX_LAST",DATE(YEAR(TODAY())-1,12,31),DATE(YEAR(TODAY())-1,12,31)+5,"Days","A","fill","P"),1,2)-1,NA())</f>
        <v/>
      </c>
      <c r="I8" s="29">
        <f>IFERROR(BDP(Tickers!F6,"PX_LAST")/INDEX(BDH(Tickers!F6,"PX_LAST",EDATE(TODAY(),-12),EDATE(TODAY(),-12)+5,"Days","A","fill","P"),1,2)-1,NA())</f>
        <v/>
      </c>
      <c r="J8" s="29">
        <f>IFERROR(BDP(Tickers!F6,"PX_LAST")/INDEX(BDH(Tickers!F6,"PX_LAST",EDATE(TODAY(),-36),EDATE(TODAY(),-36)+5,"Days","A","fill","P"),1,2)-1,NA())</f>
        <v/>
      </c>
    </row>
    <row r="9">
      <c r="A9">
        <f>Tickers!B7</f>
        <v/>
      </c>
      <c r="B9">
        <f>Tickers!C7</f>
        <v/>
      </c>
      <c r="C9" s="12">
        <f>Tickers!F7</f>
        <v/>
      </c>
      <c r="D9" s="13">
        <f>Tickers!D7</f>
        <v/>
      </c>
      <c r="E9" s="28">
        <f>IFERROR(BDP(Tickers!F7,"PX_LAST"),NA())</f>
        <v/>
      </c>
      <c r="F9" s="29">
        <f>IFERROR(BDP(Tickers!F7,"PX_LAST")/INDEX(BDH(Tickers!F7,"PX_LAST",EOMONTH(TODAY(),-1),EOMONTH(TODAY(),-1)+5,"Days","A","fill","P"),1,2)-1,NA())</f>
        <v/>
      </c>
      <c r="G9" s="29">
        <f>IFERROR(BDP(Tickers!F7,"PX_LAST")/INDEX(BDH(Tickers!F7,"PX_LAST",DATE(YEAR(TODAY()),(INT((MONTH(TODAY())-1)/3))*3+1,1)-1,DATE(YEAR(TODAY()),(INT((MONTH(TODAY())-1)/3))*3+1,1)-1+5,"Days","A","fill","P"),1,2)-1,NA())</f>
        <v/>
      </c>
      <c r="H9" s="29">
        <f>IFERROR(BDP(Tickers!F7,"PX_LAST")/INDEX(BDH(Tickers!F7,"PX_LAST",DATE(YEAR(TODAY())-1,12,31),DATE(YEAR(TODAY())-1,12,31)+5,"Days","A","fill","P"),1,2)-1,NA())</f>
        <v/>
      </c>
      <c r="I9" s="29">
        <f>IFERROR(BDP(Tickers!F7,"PX_LAST")/INDEX(BDH(Tickers!F7,"PX_LAST",EDATE(TODAY(),-12),EDATE(TODAY(),-12)+5,"Days","A","fill","P"),1,2)-1,NA())</f>
        <v/>
      </c>
      <c r="J9" s="29">
        <f>IFERROR(BDP(Tickers!F7,"PX_LAST")/INDEX(BDH(Tickers!F7,"PX_LAST",EDATE(TODAY(),-36),EDATE(TODAY(),-36)+5,"Days","A","fill","P"),1,2)-1,NA())</f>
        <v/>
      </c>
    </row>
    <row r="10">
      <c r="A10">
        <f>Tickers!B8</f>
        <v/>
      </c>
      <c r="B10">
        <f>Tickers!C8</f>
        <v/>
      </c>
      <c r="C10" s="12">
        <f>Tickers!F8</f>
        <v/>
      </c>
      <c r="D10" s="13">
        <f>Tickers!D8</f>
        <v/>
      </c>
      <c r="E10" s="28">
        <f>IFERROR(BDP(Tickers!F8,"PX_LAST"),NA())</f>
        <v/>
      </c>
      <c r="F10" s="29">
        <f>IFERROR(BDP(Tickers!F8,"PX_LAST")/INDEX(BDH(Tickers!F8,"PX_LAST",EOMONTH(TODAY(),-1),EOMONTH(TODAY(),-1)+5,"Days","A","fill","P"),1,2)-1,NA())</f>
        <v/>
      </c>
      <c r="G10" s="29">
        <f>IFERROR(BDP(Tickers!F8,"PX_LAST")/INDEX(BDH(Tickers!F8,"PX_LAST",DATE(YEAR(TODAY()),(INT((MONTH(TODAY())-1)/3))*3+1,1)-1,DATE(YEAR(TODAY()),(INT((MONTH(TODAY())-1)/3))*3+1,1)-1+5,"Days","A","fill","P"),1,2)-1,NA())</f>
        <v/>
      </c>
      <c r="H10" s="29">
        <f>IFERROR(BDP(Tickers!F8,"PX_LAST")/INDEX(BDH(Tickers!F8,"PX_LAST",DATE(YEAR(TODAY())-1,12,31),DATE(YEAR(TODAY())-1,12,31)+5,"Days","A","fill","P"),1,2)-1,NA())</f>
        <v/>
      </c>
      <c r="I10" s="29">
        <f>IFERROR(BDP(Tickers!F8,"PX_LAST")/INDEX(BDH(Tickers!F8,"PX_LAST",EDATE(TODAY(),-12),EDATE(TODAY(),-12)+5,"Days","A","fill","P"),1,2)-1,NA())</f>
        <v/>
      </c>
      <c r="J10" s="29">
        <f>IFERROR(BDP(Tickers!F8,"PX_LAST")/INDEX(BDH(Tickers!F8,"PX_LAST",EDATE(TODAY(),-36),EDATE(TODAY(),-36)+5,"Days","A","fill","P"),1,2)-1,NA())</f>
        <v/>
      </c>
    </row>
    <row r="11">
      <c r="A11">
        <f>Tickers!B9</f>
        <v/>
      </c>
      <c r="B11">
        <f>Tickers!C9</f>
        <v/>
      </c>
      <c r="C11" s="12">
        <f>Tickers!F9</f>
        <v/>
      </c>
      <c r="D11" s="13">
        <f>Tickers!D9</f>
        <v/>
      </c>
      <c r="E11" s="28">
        <f>IFERROR(BDP(Tickers!F9,"PX_LAST"),NA())</f>
        <v/>
      </c>
      <c r="F11" s="29">
        <f>IFERROR(BDP(Tickers!F9,"PX_LAST")/INDEX(BDH(Tickers!F9,"PX_LAST",EOMONTH(TODAY(),-1),EOMONTH(TODAY(),-1)+5,"Days","A","fill","P"),1,2)-1,NA())</f>
        <v/>
      </c>
      <c r="G11" s="29">
        <f>IFERROR(BDP(Tickers!F9,"PX_LAST")/INDEX(BDH(Tickers!F9,"PX_LAST",DATE(YEAR(TODAY()),(INT((MONTH(TODAY())-1)/3))*3+1,1)-1,DATE(YEAR(TODAY()),(INT((MONTH(TODAY())-1)/3))*3+1,1)-1+5,"Days","A","fill","P"),1,2)-1,NA())</f>
        <v/>
      </c>
      <c r="H11" s="29">
        <f>IFERROR(BDP(Tickers!F9,"PX_LAST")/INDEX(BDH(Tickers!F9,"PX_LAST",DATE(YEAR(TODAY())-1,12,31),DATE(YEAR(TODAY())-1,12,31)+5,"Days","A","fill","P"),1,2)-1,NA())</f>
        <v/>
      </c>
      <c r="I11" s="29">
        <f>IFERROR(BDP(Tickers!F9,"PX_LAST")/INDEX(BDH(Tickers!F9,"PX_LAST",EDATE(TODAY(),-12),EDATE(TODAY(),-12)+5,"Days","A","fill","P"),1,2)-1,NA())</f>
        <v/>
      </c>
      <c r="J11" s="29">
        <f>IFERROR(BDP(Tickers!F9,"PX_LAST")/INDEX(BDH(Tickers!F9,"PX_LAST",EDATE(TODAY(),-36),EDATE(TODAY(),-36)+5,"Days","A","fill","P"),1,2)-1,NA())</f>
        <v/>
      </c>
    </row>
    <row r="12">
      <c r="A12">
        <f>Tickers!B10</f>
        <v/>
      </c>
      <c r="B12">
        <f>Tickers!C10</f>
        <v/>
      </c>
      <c r="C12" s="12">
        <f>Tickers!F10</f>
        <v/>
      </c>
      <c r="D12" s="13">
        <f>Tickers!D10</f>
        <v/>
      </c>
      <c r="E12" s="28">
        <f>IFERROR(BDP(Tickers!F10,"PX_LAST"),NA())</f>
        <v/>
      </c>
      <c r="F12" s="29">
        <f>IFERROR(BDP(Tickers!F10,"PX_LAST")/INDEX(BDH(Tickers!F10,"PX_LAST",EOMONTH(TODAY(),-1),EOMONTH(TODAY(),-1)+5,"Days","A","fill","P"),1,2)-1,NA())</f>
        <v/>
      </c>
      <c r="G12" s="29">
        <f>IFERROR(BDP(Tickers!F10,"PX_LAST")/INDEX(BDH(Tickers!F10,"PX_LAST",DATE(YEAR(TODAY()),(INT((MONTH(TODAY())-1)/3))*3+1,1)-1,DATE(YEAR(TODAY()),(INT((MONTH(TODAY())-1)/3))*3+1,1)-1+5,"Days","A","fill","P"),1,2)-1,NA())</f>
        <v/>
      </c>
      <c r="H12" s="29">
        <f>IFERROR(BDP(Tickers!F10,"PX_LAST")/INDEX(BDH(Tickers!F10,"PX_LAST",DATE(YEAR(TODAY())-1,12,31),DATE(YEAR(TODAY())-1,12,31)+5,"Days","A","fill","P"),1,2)-1,NA())</f>
        <v/>
      </c>
      <c r="I12" s="29">
        <f>IFERROR(BDP(Tickers!F10,"PX_LAST")/INDEX(BDH(Tickers!F10,"PX_LAST",EDATE(TODAY(),-12),EDATE(TODAY(),-12)+5,"Days","A","fill","P"),1,2)-1,NA())</f>
        <v/>
      </c>
      <c r="J12" s="29">
        <f>IFERROR(BDP(Tickers!F10,"PX_LAST")/INDEX(BDH(Tickers!F10,"PX_LAST",EDATE(TODAY(),-36),EDATE(TODAY(),-36)+5,"Days","A","fill","P"),1,2)-1,NA())</f>
        <v/>
      </c>
    </row>
    <row r="13">
      <c r="A13">
        <f>Tickers!B11</f>
        <v/>
      </c>
      <c r="B13">
        <f>Tickers!C11</f>
        <v/>
      </c>
      <c r="C13" s="12">
        <f>Tickers!F11</f>
        <v/>
      </c>
      <c r="D13" s="13">
        <f>Tickers!D11</f>
        <v/>
      </c>
      <c r="E13" s="28">
        <f>IFERROR(BDP(Tickers!F11,"PX_LAST"),NA())</f>
        <v/>
      </c>
      <c r="F13" s="29">
        <f>IFERROR(BDP(Tickers!F11,"PX_LAST")/INDEX(BDH(Tickers!F11,"PX_LAST",EOMONTH(TODAY(),-1),EOMONTH(TODAY(),-1)+5,"Days","A","fill","P"),1,2)-1,NA())</f>
        <v/>
      </c>
      <c r="G13" s="29">
        <f>IFERROR(BDP(Tickers!F11,"PX_LAST")/INDEX(BDH(Tickers!F11,"PX_LAST",DATE(YEAR(TODAY()),(INT((MONTH(TODAY())-1)/3))*3+1,1)-1,DATE(YEAR(TODAY()),(INT((MONTH(TODAY())-1)/3))*3+1,1)-1+5,"Days","A","fill","P"),1,2)-1,NA())</f>
        <v/>
      </c>
      <c r="H13" s="29">
        <f>IFERROR(BDP(Tickers!F11,"PX_LAST")/INDEX(BDH(Tickers!F11,"PX_LAST",DATE(YEAR(TODAY())-1,12,31),DATE(YEAR(TODAY())-1,12,31)+5,"Days","A","fill","P"),1,2)-1,NA())</f>
        <v/>
      </c>
      <c r="I13" s="29">
        <f>IFERROR(BDP(Tickers!F11,"PX_LAST")/INDEX(BDH(Tickers!F11,"PX_LAST",EDATE(TODAY(),-12),EDATE(TODAY(),-12)+5,"Days","A","fill","P"),1,2)-1,NA())</f>
        <v/>
      </c>
      <c r="J13" s="29">
        <f>IFERROR(BDP(Tickers!F11,"PX_LAST")/INDEX(BDH(Tickers!F11,"PX_LAST",EDATE(TODAY(),-36),EDATE(TODAY(),-36)+5,"Days","A","fill","P"),1,2)-1,NA())</f>
        <v/>
      </c>
    </row>
    <row r="14">
      <c r="A14">
        <f>Tickers!B12</f>
        <v/>
      </c>
      <c r="B14">
        <f>Tickers!C12</f>
        <v/>
      </c>
      <c r="C14" s="12">
        <f>Tickers!F12</f>
        <v/>
      </c>
      <c r="D14" s="13">
        <f>Tickers!D12</f>
        <v/>
      </c>
      <c r="E14" s="28">
        <f>IFERROR(BDP(Tickers!F12,"PX_LAST"),NA())</f>
        <v/>
      </c>
      <c r="F14" s="29">
        <f>IFERROR(BDP(Tickers!F12,"PX_LAST")/INDEX(BDH(Tickers!F12,"PX_LAST",EOMONTH(TODAY(),-1),EOMONTH(TODAY(),-1)+5,"Days","A","fill","P"),1,2)-1,NA())</f>
        <v/>
      </c>
      <c r="G14" s="29">
        <f>IFERROR(BDP(Tickers!F12,"PX_LAST")/INDEX(BDH(Tickers!F12,"PX_LAST",DATE(YEAR(TODAY()),(INT((MONTH(TODAY())-1)/3))*3+1,1)-1,DATE(YEAR(TODAY()),(INT((MONTH(TODAY())-1)/3))*3+1,1)-1+5,"Days","A","fill","P"),1,2)-1,NA())</f>
        <v/>
      </c>
      <c r="H14" s="29">
        <f>IFERROR(BDP(Tickers!F12,"PX_LAST")/INDEX(BDH(Tickers!F12,"PX_LAST",DATE(YEAR(TODAY())-1,12,31),DATE(YEAR(TODAY())-1,12,31)+5,"Days","A","fill","P"),1,2)-1,NA())</f>
        <v/>
      </c>
      <c r="I14" s="29">
        <f>IFERROR(BDP(Tickers!F12,"PX_LAST")/INDEX(BDH(Tickers!F12,"PX_LAST",EDATE(TODAY(),-12),EDATE(TODAY(),-12)+5,"Days","A","fill","P"),1,2)-1,NA())</f>
        <v/>
      </c>
      <c r="J14" s="29">
        <f>IFERROR(BDP(Tickers!F12,"PX_LAST")/INDEX(BDH(Tickers!F12,"PX_LAST",EDATE(TODAY(),-36),EDATE(TODAY(),-36)+5,"Days","A","fill","P"),1,2)-1,NA())</f>
        <v/>
      </c>
    </row>
    <row r="15">
      <c r="A15">
        <f>Tickers!B13</f>
        <v/>
      </c>
      <c r="B15">
        <f>Tickers!C13</f>
        <v/>
      </c>
      <c r="C15" s="12">
        <f>Tickers!F13</f>
        <v/>
      </c>
      <c r="D15" s="13">
        <f>Tickers!D13</f>
        <v/>
      </c>
      <c r="E15" s="28">
        <f>IFERROR(BDP(Tickers!F13,"PX_LAST"),NA())</f>
        <v/>
      </c>
      <c r="F15" s="29">
        <f>IFERROR(BDP(Tickers!F13,"PX_LAST")/INDEX(BDH(Tickers!F13,"PX_LAST",EOMONTH(TODAY(),-1),EOMONTH(TODAY(),-1)+5,"Days","A","fill","P"),1,2)-1,NA())</f>
        <v/>
      </c>
      <c r="G15" s="29">
        <f>IFERROR(BDP(Tickers!F13,"PX_LAST")/INDEX(BDH(Tickers!F13,"PX_LAST",DATE(YEAR(TODAY()),(INT((MONTH(TODAY())-1)/3))*3+1,1)-1,DATE(YEAR(TODAY()),(INT((MONTH(TODAY())-1)/3))*3+1,1)-1+5,"Days","A","fill","P"),1,2)-1,NA())</f>
        <v/>
      </c>
      <c r="H15" s="29">
        <f>IFERROR(BDP(Tickers!F13,"PX_LAST")/INDEX(BDH(Tickers!F13,"PX_LAST",DATE(YEAR(TODAY())-1,12,31),DATE(YEAR(TODAY())-1,12,31)+5,"Days","A","fill","P"),1,2)-1,NA())</f>
        <v/>
      </c>
      <c r="I15" s="29">
        <f>IFERROR(BDP(Tickers!F13,"PX_LAST")/INDEX(BDH(Tickers!F13,"PX_LAST",EDATE(TODAY(),-12),EDATE(TODAY(),-12)+5,"Days","A","fill","P"),1,2)-1,NA())</f>
        <v/>
      </c>
      <c r="J15" s="29">
        <f>IFERROR(BDP(Tickers!F13,"PX_LAST")/INDEX(BDH(Tickers!F13,"PX_LAST",EDATE(TODAY(),-36),EDATE(TODAY(),-36)+5,"Days","A","fill","P"),1,2)-1,NA())</f>
        <v/>
      </c>
    </row>
    <row r="16">
      <c r="A16">
        <f>Tickers!B14</f>
        <v/>
      </c>
      <c r="B16">
        <f>Tickers!C14</f>
        <v/>
      </c>
      <c r="C16" s="12">
        <f>Tickers!F14</f>
        <v/>
      </c>
      <c r="D16" s="13">
        <f>Tickers!D14</f>
        <v/>
      </c>
      <c r="E16" s="28">
        <f>IFERROR(BDP(Tickers!F14,"PX_LAST"),NA())</f>
        <v/>
      </c>
      <c r="F16" s="29">
        <f>IFERROR(BDP(Tickers!F14,"PX_LAST")/INDEX(BDH(Tickers!F14,"PX_LAST",EOMONTH(TODAY(),-1),EOMONTH(TODAY(),-1)+5,"Days","A","fill","P"),1,2)-1,NA())</f>
        <v/>
      </c>
      <c r="G16" s="29">
        <f>IFERROR(BDP(Tickers!F14,"PX_LAST")/INDEX(BDH(Tickers!F14,"PX_LAST",DATE(YEAR(TODAY()),(INT((MONTH(TODAY())-1)/3))*3+1,1)-1,DATE(YEAR(TODAY()),(INT((MONTH(TODAY())-1)/3))*3+1,1)-1+5,"Days","A","fill","P"),1,2)-1,NA())</f>
        <v/>
      </c>
      <c r="H16" s="29">
        <f>IFERROR(BDP(Tickers!F14,"PX_LAST")/INDEX(BDH(Tickers!F14,"PX_LAST",DATE(YEAR(TODAY())-1,12,31),DATE(YEAR(TODAY())-1,12,31)+5,"Days","A","fill","P"),1,2)-1,NA())</f>
        <v/>
      </c>
      <c r="I16" s="29">
        <f>IFERROR(BDP(Tickers!F14,"PX_LAST")/INDEX(BDH(Tickers!F14,"PX_LAST",EDATE(TODAY(),-12),EDATE(TODAY(),-12)+5,"Days","A","fill","P"),1,2)-1,NA())</f>
        <v/>
      </c>
      <c r="J16" s="29">
        <f>IFERROR(BDP(Tickers!F14,"PX_LAST")/INDEX(BDH(Tickers!F14,"PX_LAST",EDATE(TODAY(),-36),EDATE(TODAY(),-36)+5,"Days","A","fill","P"),1,2)-1,NA())</f>
        <v/>
      </c>
    </row>
    <row r="17">
      <c r="A17">
        <f>Tickers!B15</f>
        <v/>
      </c>
      <c r="B17">
        <f>Tickers!C15</f>
        <v/>
      </c>
      <c r="C17" s="12">
        <f>Tickers!F15</f>
        <v/>
      </c>
      <c r="D17" s="13">
        <f>Tickers!D15</f>
        <v/>
      </c>
      <c r="E17" s="28">
        <f>IFERROR(BDP(Tickers!F15,"PX_LAST"),NA())</f>
        <v/>
      </c>
      <c r="F17" s="29">
        <f>IFERROR(BDP(Tickers!F15,"PX_LAST")/INDEX(BDH(Tickers!F15,"PX_LAST",EOMONTH(TODAY(),-1),EOMONTH(TODAY(),-1)+5,"Days","A","fill","P"),1,2)-1,NA())</f>
        <v/>
      </c>
      <c r="G17" s="29">
        <f>IFERROR(BDP(Tickers!F15,"PX_LAST")/INDEX(BDH(Tickers!F15,"PX_LAST",DATE(YEAR(TODAY()),(INT((MONTH(TODAY())-1)/3))*3+1,1)-1,DATE(YEAR(TODAY()),(INT((MONTH(TODAY())-1)/3))*3+1,1)-1+5,"Days","A","fill","P"),1,2)-1,NA())</f>
        <v/>
      </c>
      <c r="H17" s="29">
        <f>IFERROR(BDP(Tickers!F15,"PX_LAST")/INDEX(BDH(Tickers!F15,"PX_LAST",DATE(YEAR(TODAY())-1,12,31),DATE(YEAR(TODAY())-1,12,31)+5,"Days","A","fill","P"),1,2)-1,NA())</f>
        <v/>
      </c>
      <c r="I17" s="29">
        <f>IFERROR(BDP(Tickers!F15,"PX_LAST")/INDEX(BDH(Tickers!F15,"PX_LAST",EDATE(TODAY(),-12),EDATE(TODAY(),-12)+5,"Days","A","fill","P"),1,2)-1,NA())</f>
        <v/>
      </c>
      <c r="J17" s="29">
        <f>IFERROR(BDP(Tickers!F15,"PX_LAST")/INDEX(BDH(Tickers!F15,"PX_LAST",EDATE(TODAY(),-36),EDATE(TODAY(),-36)+5,"Days","A","fill","P"),1,2)-1,NA())</f>
        <v/>
      </c>
    </row>
    <row r="18">
      <c r="A18">
        <f>Tickers!B16</f>
        <v/>
      </c>
      <c r="B18">
        <f>Tickers!C16</f>
        <v/>
      </c>
      <c r="C18" s="12">
        <f>Tickers!F16</f>
        <v/>
      </c>
      <c r="D18" s="13">
        <f>Tickers!D16</f>
        <v/>
      </c>
      <c r="E18" s="28">
        <f>IFERROR(BDP(Tickers!F16,"PX_LAST"),NA())</f>
        <v/>
      </c>
      <c r="F18" s="29">
        <f>IFERROR(BDP(Tickers!F16,"PX_LAST")/INDEX(BDH(Tickers!F16,"PX_LAST",EOMONTH(TODAY(),-1),EOMONTH(TODAY(),-1)+5,"Days","A","fill","P"),1,2)-1,NA())</f>
        <v/>
      </c>
      <c r="G18" s="29">
        <f>IFERROR(BDP(Tickers!F16,"PX_LAST")/INDEX(BDH(Tickers!F16,"PX_LAST",DATE(YEAR(TODAY()),(INT((MONTH(TODAY())-1)/3))*3+1,1)-1,DATE(YEAR(TODAY()),(INT((MONTH(TODAY())-1)/3))*3+1,1)-1+5,"Days","A","fill","P"),1,2)-1,NA())</f>
        <v/>
      </c>
      <c r="H18" s="29">
        <f>IFERROR(BDP(Tickers!F16,"PX_LAST")/INDEX(BDH(Tickers!F16,"PX_LAST",DATE(YEAR(TODAY())-1,12,31),DATE(YEAR(TODAY())-1,12,31)+5,"Days","A","fill","P"),1,2)-1,NA())</f>
        <v/>
      </c>
      <c r="I18" s="29">
        <f>IFERROR(BDP(Tickers!F16,"PX_LAST")/INDEX(BDH(Tickers!F16,"PX_LAST",EDATE(TODAY(),-12),EDATE(TODAY(),-12)+5,"Days","A","fill","P"),1,2)-1,NA())</f>
        <v/>
      </c>
      <c r="J18" s="29">
        <f>IFERROR(BDP(Tickers!F16,"PX_LAST")/INDEX(BDH(Tickers!F16,"PX_LAST",EDATE(TODAY(),-36),EDATE(TODAY(),-36)+5,"Days","A","fill","P"),1,2)-1,NA())</f>
        <v/>
      </c>
    </row>
    <row r="19">
      <c r="A19">
        <f>Tickers!B17</f>
        <v/>
      </c>
      <c r="B19">
        <f>Tickers!C17</f>
        <v/>
      </c>
      <c r="C19" s="12">
        <f>Tickers!F17</f>
        <v/>
      </c>
      <c r="D19" s="13">
        <f>Tickers!D17</f>
        <v/>
      </c>
      <c r="E19" s="28">
        <f>IFERROR(BDP(Tickers!F17,"PX_LAST"),NA())</f>
        <v/>
      </c>
      <c r="F19" s="29">
        <f>IFERROR(BDP(Tickers!F17,"PX_LAST")/INDEX(BDH(Tickers!F17,"PX_LAST",EOMONTH(TODAY(),-1),EOMONTH(TODAY(),-1)+5,"Days","A","fill","P"),1,2)-1,NA())</f>
        <v/>
      </c>
      <c r="G19" s="29">
        <f>IFERROR(BDP(Tickers!F17,"PX_LAST")/INDEX(BDH(Tickers!F17,"PX_LAST",DATE(YEAR(TODAY()),(INT((MONTH(TODAY())-1)/3))*3+1,1)-1,DATE(YEAR(TODAY()),(INT((MONTH(TODAY())-1)/3))*3+1,1)-1+5,"Days","A","fill","P"),1,2)-1,NA())</f>
        <v/>
      </c>
      <c r="H19" s="29">
        <f>IFERROR(BDP(Tickers!F17,"PX_LAST")/INDEX(BDH(Tickers!F17,"PX_LAST",DATE(YEAR(TODAY())-1,12,31),DATE(YEAR(TODAY())-1,12,31)+5,"Days","A","fill","P"),1,2)-1,NA())</f>
        <v/>
      </c>
      <c r="I19" s="29">
        <f>IFERROR(BDP(Tickers!F17,"PX_LAST")/INDEX(BDH(Tickers!F17,"PX_LAST",EDATE(TODAY(),-12),EDATE(TODAY(),-12)+5,"Days","A","fill","P"),1,2)-1,NA())</f>
        <v/>
      </c>
      <c r="J19" s="29">
        <f>IFERROR(BDP(Tickers!F17,"PX_LAST")/INDEX(BDH(Tickers!F17,"PX_LAST",EDATE(TODAY(),-36),EDATE(TODAY(),-36)+5,"Days","A","fill","P"),1,2)-1,NA())</f>
        <v/>
      </c>
    </row>
    <row r="20">
      <c r="A20">
        <f>Tickers!B18</f>
        <v/>
      </c>
      <c r="B20">
        <f>Tickers!C18</f>
        <v/>
      </c>
      <c r="C20" s="12">
        <f>Tickers!F18</f>
        <v/>
      </c>
      <c r="D20" s="13">
        <f>Tickers!D18</f>
        <v/>
      </c>
      <c r="E20" s="28">
        <f>IFERROR(BDP(Tickers!F18,"PX_LAST"),NA())</f>
        <v/>
      </c>
      <c r="F20" s="29">
        <f>IFERROR(BDP(Tickers!F18,"PX_LAST")/INDEX(BDH(Tickers!F18,"PX_LAST",EOMONTH(TODAY(),-1),EOMONTH(TODAY(),-1)+5,"Days","A","fill","P"),1,2)-1,NA())</f>
        <v/>
      </c>
      <c r="G20" s="29">
        <f>IFERROR(BDP(Tickers!F18,"PX_LAST")/INDEX(BDH(Tickers!F18,"PX_LAST",DATE(YEAR(TODAY()),(INT((MONTH(TODAY())-1)/3))*3+1,1)-1,DATE(YEAR(TODAY()),(INT((MONTH(TODAY())-1)/3))*3+1,1)-1+5,"Days","A","fill","P"),1,2)-1,NA())</f>
        <v/>
      </c>
      <c r="H20" s="29">
        <f>IFERROR(BDP(Tickers!F18,"PX_LAST")/INDEX(BDH(Tickers!F18,"PX_LAST",DATE(YEAR(TODAY())-1,12,31),DATE(YEAR(TODAY())-1,12,31)+5,"Days","A","fill","P"),1,2)-1,NA())</f>
        <v/>
      </c>
      <c r="I20" s="29">
        <f>IFERROR(BDP(Tickers!F18,"PX_LAST")/INDEX(BDH(Tickers!F18,"PX_LAST",EDATE(TODAY(),-12),EDATE(TODAY(),-12)+5,"Days","A","fill","P"),1,2)-1,NA())</f>
        <v/>
      </c>
      <c r="J20" s="29">
        <f>IFERROR(BDP(Tickers!F18,"PX_LAST")/INDEX(BDH(Tickers!F18,"PX_LAST",EDATE(TODAY(),-36),EDATE(TODAY(),-36)+5,"Days","A","fill","P"),1,2)-1,NA())</f>
        <v/>
      </c>
    </row>
    <row r="21">
      <c r="A21">
        <f>Tickers!B19</f>
        <v/>
      </c>
      <c r="B21">
        <f>Tickers!C19</f>
        <v/>
      </c>
      <c r="C21" s="12">
        <f>Tickers!F19</f>
        <v/>
      </c>
      <c r="D21" s="13">
        <f>Tickers!D19</f>
        <v/>
      </c>
      <c r="E21" s="28">
        <f>IFERROR(BDP(Tickers!F19,"PX_LAST"),NA())</f>
        <v/>
      </c>
      <c r="F21" s="29">
        <f>IFERROR(BDP(Tickers!F19,"PX_LAST")/INDEX(BDH(Tickers!F19,"PX_LAST",EOMONTH(TODAY(),-1),EOMONTH(TODAY(),-1)+5,"Days","A","fill","P"),1,2)-1,NA())</f>
        <v/>
      </c>
      <c r="G21" s="29">
        <f>IFERROR(BDP(Tickers!F19,"PX_LAST")/INDEX(BDH(Tickers!F19,"PX_LAST",DATE(YEAR(TODAY()),(INT((MONTH(TODAY())-1)/3))*3+1,1)-1,DATE(YEAR(TODAY()),(INT((MONTH(TODAY())-1)/3))*3+1,1)-1+5,"Days","A","fill","P"),1,2)-1,NA())</f>
        <v/>
      </c>
      <c r="H21" s="29">
        <f>IFERROR(BDP(Tickers!F19,"PX_LAST")/INDEX(BDH(Tickers!F19,"PX_LAST",DATE(YEAR(TODAY())-1,12,31),DATE(YEAR(TODAY())-1,12,31)+5,"Days","A","fill","P"),1,2)-1,NA())</f>
        <v/>
      </c>
      <c r="I21" s="29">
        <f>IFERROR(BDP(Tickers!F19,"PX_LAST")/INDEX(BDH(Tickers!F19,"PX_LAST",EDATE(TODAY(),-12),EDATE(TODAY(),-12)+5,"Days","A","fill","P"),1,2)-1,NA())</f>
        <v/>
      </c>
      <c r="J21" s="29">
        <f>IFERROR(BDP(Tickers!F19,"PX_LAST")/INDEX(BDH(Tickers!F19,"PX_LAST",EDATE(TODAY(),-36),EDATE(TODAY(),-36)+5,"Days","A","fill","P"),1,2)-1,NA())</f>
        <v/>
      </c>
    </row>
    <row r="22">
      <c r="A22">
        <f>Tickers!B20</f>
        <v/>
      </c>
      <c r="B22">
        <f>Tickers!C20</f>
        <v/>
      </c>
      <c r="C22" s="12">
        <f>Tickers!F20</f>
        <v/>
      </c>
      <c r="D22" s="13">
        <f>Tickers!D20</f>
        <v/>
      </c>
      <c r="E22" s="28">
        <f>IFERROR(BDP(Tickers!F20,"PX_LAST"),NA())</f>
        <v/>
      </c>
      <c r="F22" s="29">
        <f>IFERROR(BDP(Tickers!F20,"PX_LAST")/INDEX(BDH(Tickers!F20,"PX_LAST",EOMONTH(TODAY(),-1),EOMONTH(TODAY(),-1)+5,"Days","A","fill","P"),1,2)-1,NA())</f>
        <v/>
      </c>
      <c r="G22" s="29">
        <f>IFERROR(BDP(Tickers!F20,"PX_LAST")/INDEX(BDH(Tickers!F20,"PX_LAST",DATE(YEAR(TODAY()),(INT((MONTH(TODAY())-1)/3))*3+1,1)-1,DATE(YEAR(TODAY()),(INT((MONTH(TODAY())-1)/3))*3+1,1)-1+5,"Days","A","fill","P"),1,2)-1,NA())</f>
        <v/>
      </c>
      <c r="H22" s="29">
        <f>IFERROR(BDP(Tickers!F20,"PX_LAST")/INDEX(BDH(Tickers!F20,"PX_LAST",DATE(YEAR(TODAY())-1,12,31),DATE(YEAR(TODAY())-1,12,31)+5,"Days","A","fill","P"),1,2)-1,NA())</f>
        <v/>
      </c>
      <c r="I22" s="29">
        <f>IFERROR(BDP(Tickers!F20,"PX_LAST")/INDEX(BDH(Tickers!F20,"PX_LAST",EDATE(TODAY(),-12),EDATE(TODAY(),-12)+5,"Days","A","fill","P"),1,2)-1,NA())</f>
        <v/>
      </c>
      <c r="J22" s="29">
        <f>IFERROR(BDP(Tickers!F20,"PX_LAST")/INDEX(BDH(Tickers!F20,"PX_LAST",EDATE(TODAY(),-36),EDATE(TODAY(),-36)+5,"Days","A","fill","P"),1,2)-1,NA())</f>
        <v/>
      </c>
    </row>
    <row r="23">
      <c r="A23">
        <f>Tickers!B21</f>
        <v/>
      </c>
      <c r="B23">
        <f>Tickers!C21</f>
        <v/>
      </c>
      <c r="C23" s="12">
        <f>Tickers!F21</f>
        <v/>
      </c>
      <c r="D23" s="13">
        <f>Tickers!D21</f>
        <v/>
      </c>
      <c r="E23" s="28">
        <f>IFERROR(BDP(Tickers!F21,"PX_LAST"),NA())</f>
        <v/>
      </c>
      <c r="F23" s="29">
        <f>IFERROR(BDP(Tickers!F21,"PX_LAST")/INDEX(BDH(Tickers!F21,"PX_LAST",EOMONTH(TODAY(),-1),EOMONTH(TODAY(),-1)+5,"Days","A","fill","P"),1,2)-1,NA())</f>
        <v/>
      </c>
      <c r="G23" s="29">
        <f>IFERROR(BDP(Tickers!F21,"PX_LAST")/INDEX(BDH(Tickers!F21,"PX_LAST",DATE(YEAR(TODAY()),(INT((MONTH(TODAY())-1)/3))*3+1,1)-1,DATE(YEAR(TODAY()),(INT((MONTH(TODAY())-1)/3))*3+1,1)-1+5,"Days","A","fill","P"),1,2)-1,NA())</f>
        <v/>
      </c>
      <c r="H23" s="29">
        <f>IFERROR(BDP(Tickers!F21,"PX_LAST")/INDEX(BDH(Tickers!F21,"PX_LAST",DATE(YEAR(TODAY())-1,12,31),DATE(YEAR(TODAY())-1,12,31)+5,"Days","A","fill","P"),1,2)-1,NA())</f>
        <v/>
      </c>
      <c r="I23" s="29">
        <f>IFERROR(BDP(Tickers!F21,"PX_LAST")/INDEX(BDH(Tickers!F21,"PX_LAST",EDATE(TODAY(),-12),EDATE(TODAY(),-12)+5,"Days","A","fill","P"),1,2)-1,NA())</f>
        <v/>
      </c>
      <c r="J23" s="29">
        <f>IFERROR(BDP(Tickers!F21,"PX_LAST")/INDEX(BDH(Tickers!F21,"PX_LAST",EDATE(TODAY(),-36),EDATE(TODAY(),-36)+5,"Days","A","fill","P"),1,2)-1,NA())</f>
        <v/>
      </c>
    </row>
    <row r="24">
      <c r="A24" s="17">
        <f>"LatAm weighted avg"</f>
        <v/>
      </c>
      <c r="B24" s="17" t="n"/>
      <c r="C24" s="17" t="n"/>
      <c r="D24" s="18">
        <f>SUM(D8:D23)</f>
        <v/>
      </c>
      <c r="E24" s="17" t="n"/>
      <c r="F24" s="30">
        <f>SUMPRODUCT(D8:D23,F8:F23)/SUM(D8:D23)</f>
        <v/>
      </c>
      <c r="G24" s="30">
        <f>SUMPRODUCT(D8:D23,G8:G23)/SUM(D8:D23)</f>
        <v/>
      </c>
      <c r="H24" s="30">
        <f>SUMPRODUCT(D8:D23,H8:H23)/SUM(D8:D23)</f>
        <v/>
      </c>
      <c r="I24" s="30">
        <f>SUMPRODUCT(D8:D23,I8:I23)/SUM(D8:D23)</f>
        <v/>
      </c>
      <c r="J24" s="30">
        <f>SUMPRODUCT(D8:D23,J8:J23)/SUM(D8:D23)</f>
        <v/>
      </c>
    </row>
    <row r="26">
      <c r="A26" s="10" t="inlineStr">
        <is>
          <t>EM Europe &amp; Turkey</t>
        </is>
      </c>
      <c r="B26" s="11" t="n"/>
      <c r="C26" s="11" t="n"/>
      <c r="D26" s="11" t="n"/>
      <c r="E26" s="11" t="n"/>
      <c r="F26" s="11" t="n"/>
      <c r="G26" s="11" t="n"/>
      <c r="H26" s="11" t="n"/>
      <c r="I26" s="11" t="n"/>
      <c r="J26" s="11" t="n"/>
    </row>
    <row r="27">
      <c r="A27">
        <f>Tickers!B22</f>
        <v/>
      </c>
      <c r="B27">
        <f>Tickers!C22</f>
        <v/>
      </c>
      <c r="C27" s="12">
        <f>Tickers!F22</f>
        <v/>
      </c>
      <c r="D27" s="13">
        <f>Tickers!D22</f>
        <v/>
      </c>
      <c r="E27" s="28">
        <f>IFERROR(BDP(Tickers!F22,"PX_LAST"),NA())</f>
        <v/>
      </c>
      <c r="F27" s="29">
        <f>IFERROR(BDP(Tickers!F22,"PX_LAST")/INDEX(BDH(Tickers!F22,"PX_LAST",EOMONTH(TODAY(),-1),EOMONTH(TODAY(),-1)+5,"Days","A","fill","P"),1,2)-1,NA())</f>
        <v/>
      </c>
      <c r="G27" s="29">
        <f>IFERROR(BDP(Tickers!F22,"PX_LAST")/INDEX(BDH(Tickers!F22,"PX_LAST",DATE(YEAR(TODAY()),(INT((MONTH(TODAY())-1)/3))*3+1,1)-1,DATE(YEAR(TODAY()),(INT((MONTH(TODAY())-1)/3))*3+1,1)-1+5,"Days","A","fill","P"),1,2)-1,NA())</f>
        <v/>
      </c>
      <c r="H27" s="29">
        <f>IFERROR(BDP(Tickers!F22,"PX_LAST")/INDEX(BDH(Tickers!F22,"PX_LAST",DATE(YEAR(TODAY())-1,12,31),DATE(YEAR(TODAY())-1,12,31)+5,"Days","A","fill","P"),1,2)-1,NA())</f>
        <v/>
      </c>
      <c r="I27" s="29">
        <f>IFERROR(BDP(Tickers!F22,"PX_LAST")/INDEX(BDH(Tickers!F22,"PX_LAST",EDATE(TODAY(),-12),EDATE(TODAY(),-12)+5,"Days","A","fill","P"),1,2)-1,NA())</f>
        <v/>
      </c>
      <c r="J27" s="29">
        <f>IFERROR(BDP(Tickers!F22,"PX_LAST")/INDEX(BDH(Tickers!F22,"PX_LAST",EDATE(TODAY(),-36),EDATE(TODAY(),-36)+5,"Days","A","fill","P"),1,2)-1,NA())</f>
        <v/>
      </c>
    </row>
    <row r="28">
      <c r="A28">
        <f>Tickers!B23</f>
        <v/>
      </c>
      <c r="B28">
        <f>Tickers!C23</f>
        <v/>
      </c>
      <c r="C28" s="12">
        <f>Tickers!F23</f>
        <v/>
      </c>
      <c r="D28" s="13">
        <f>Tickers!D23</f>
        <v/>
      </c>
      <c r="E28" s="28">
        <f>IFERROR(BDP(Tickers!F23,"PX_LAST"),NA())</f>
        <v/>
      </c>
      <c r="F28" s="29">
        <f>IFERROR(BDP(Tickers!F23,"PX_LAST")/INDEX(BDH(Tickers!F23,"PX_LAST",EOMONTH(TODAY(),-1),EOMONTH(TODAY(),-1)+5,"Days","A","fill","P"),1,2)-1,NA())</f>
        <v/>
      </c>
      <c r="G28" s="29">
        <f>IFERROR(BDP(Tickers!F23,"PX_LAST")/INDEX(BDH(Tickers!F23,"PX_LAST",DATE(YEAR(TODAY()),(INT((MONTH(TODAY())-1)/3))*3+1,1)-1,DATE(YEAR(TODAY()),(INT((MONTH(TODAY())-1)/3))*3+1,1)-1+5,"Days","A","fill","P"),1,2)-1,NA())</f>
        <v/>
      </c>
      <c r="H28" s="29">
        <f>IFERROR(BDP(Tickers!F23,"PX_LAST")/INDEX(BDH(Tickers!F23,"PX_LAST",DATE(YEAR(TODAY())-1,12,31),DATE(YEAR(TODAY())-1,12,31)+5,"Days","A","fill","P"),1,2)-1,NA())</f>
        <v/>
      </c>
      <c r="I28" s="29">
        <f>IFERROR(BDP(Tickers!F23,"PX_LAST")/INDEX(BDH(Tickers!F23,"PX_LAST",EDATE(TODAY(),-12),EDATE(TODAY(),-12)+5,"Days","A","fill","P"),1,2)-1,NA())</f>
        <v/>
      </c>
      <c r="J28" s="29">
        <f>IFERROR(BDP(Tickers!F23,"PX_LAST")/INDEX(BDH(Tickers!F23,"PX_LAST",EDATE(TODAY(),-36),EDATE(TODAY(),-36)+5,"Days","A","fill","P"),1,2)-1,NA())</f>
        <v/>
      </c>
    </row>
    <row r="29">
      <c r="A29">
        <f>Tickers!B24</f>
        <v/>
      </c>
      <c r="B29">
        <f>Tickers!C24</f>
        <v/>
      </c>
      <c r="C29" s="12">
        <f>Tickers!F24</f>
        <v/>
      </c>
      <c r="D29" s="13">
        <f>Tickers!D24</f>
        <v/>
      </c>
      <c r="E29" s="28">
        <f>IFERROR(BDP(Tickers!F24,"PX_LAST"),NA())</f>
        <v/>
      </c>
      <c r="F29" s="29">
        <f>IFERROR(BDP(Tickers!F24,"PX_LAST")/INDEX(BDH(Tickers!F24,"PX_LAST",EOMONTH(TODAY(),-1),EOMONTH(TODAY(),-1)+5,"Days","A","fill","P"),1,2)-1,NA())</f>
        <v/>
      </c>
      <c r="G29" s="29">
        <f>IFERROR(BDP(Tickers!F24,"PX_LAST")/INDEX(BDH(Tickers!F24,"PX_LAST",DATE(YEAR(TODAY()),(INT((MONTH(TODAY())-1)/3))*3+1,1)-1,DATE(YEAR(TODAY()),(INT((MONTH(TODAY())-1)/3))*3+1,1)-1+5,"Days","A","fill","P"),1,2)-1,NA())</f>
        <v/>
      </c>
      <c r="H29" s="29">
        <f>IFERROR(BDP(Tickers!F24,"PX_LAST")/INDEX(BDH(Tickers!F24,"PX_LAST",DATE(YEAR(TODAY())-1,12,31),DATE(YEAR(TODAY())-1,12,31)+5,"Days","A","fill","P"),1,2)-1,NA())</f>
        <v/>
      </c>
      <c r="I29" s="29">
        <f>IFERROR(BDP(Tickers!F24,"PX_LAST")/INDEX(BDH(Tickers!F24,"PX_LAST",EDATE(TODAY(),-12),EDATE(TODAY(),-12)+5,"Days","A","fill","P"),1,2)-1,NA())</f>
        <v/>
      </c>
      <c r="J29" s="29">
        <f>IFERROR(BDP(Tickers!F24,"PX_LAST")/INDEX(BDH(Tickers!F24,"PX_LAST",EDATE(TODAY(),-36),EDATE(TODAY(),-36)+5,"Days","A","fill","P"),1,2)-1,NA())</f>
        <v/>
      </c>
    </row>
    <row r="30">
      <c r="A30">
        <f>Tickers!B25</f>
        <v/>
      </c>
      <c r="B30">
        <f>Tickers!C25</f>
        <v/>
      </c>
      <c r="C30" s="12">
        <f>Tickers!F25</f>
        <v/>
      </c>
      <c r="D30" s="13">
        <f>Tickers!D25</f>
        <v/>
      </c>
      <c r="E30" s="28">
        <f>IFERROR(BDP(Tickers!F25,"PX_LAST"),NA())</f>
        <v/>
      </c>
      <c r="F30" s="29">
        <f>IFERROR(BDP(Tickers!F25,"PX_LAST")/INDEX(BDH(Tickers!F25,"PX_LAST",EOMONTH(TODAY(),-1),EOMONTH(TODAY(),-1)+5,"Days","A","fill","P"),1,2)-1,NA())</f>
        <v/>
      </c>
      <c r="G30" s="29">
        <f>IFERROR(BDP(Tickers!F25,"PX_LAST")/INDEX(BDH(Tickers!F25,"PX_LAST",DATE(YEAR(TODAY()),(INT((MONTH(TODAY())-1)/3))*3+1,1)-1,DATE(YEAR(TODAY()),(INT((MONTH(TODAY())-1)/3))*3+1,1)-1+5,"Days","A","fill","P"),1,2)-1,NA())</f>
        <v/>
      </c>
      <c r="H30" s="29">
        <f>IFERROR(BDP(Tickers!F25,"PX_LAST")/INDEX(BDH(Tickers!F25,"PX_LAST",DATE(YEAR(TODAY())-1,12,31),DATE(YEAR(TODAY())-1,12,31)+5,"Days","A","fill","P"),1,2)-1,NA())</f>
        <v/>
      </c>
      <c r="I30" s="29">
        <f>IFERROR(BDP(Tickers!F25,"PX_LAST")/INDEX(BDH(Tickers!F25,"PX_LAST",EDATE(TODAY(),-12),EDATE(TODAY(),-12)+5,"Days","A","fill","P"),1,2)-1,NA())</f>
        <v/>
      </c>
      <c r="J30" s="29">
        <f>IFERROR(BDP(Tickers!F25,"PX_LAST")/INDEX(BDH(Tickers!F25,"PX_LAST",EDATE(TODAY(),-36),EDATE(TODAY(),-36)+5,"Days","A","fill","P"),1,2)-1,NA())</f>
        <v/>
      </c>
    </row>
    <row r="31">
      <c r="A31">
        <f>Tickers!B26</f>
        <v/>
      </c>
      <c r="B31">
        <f>Tickers!C26</f>
        <v/>
      </c>
      <c r="C31" s="12">
        <f>Tickers!F26</f>
        <v/>
      </c>
      <c r="D31" s="13">
        <f>Tickers!D26</f>
        <v/>
      </c>
      <c r="E31" s="28">
        <f>IFERROR(BDP(Tickers!F26,"PX_LAST"),NA())</f>
        <v/>
      </c>
      <c r="F31" s="29">
        <f>IFERROR(BDP(Tickers!F26,"PX_LAST")/INDEX(BDH(Tickers!F26,"PX_LAST",EOMONTH(TODAY(),-1),EOMONTH(TODAY(),-1)+5,"Days","A","fill","P"),1,2)-1,NA())</f>
        <v/>
      </c>
      <c r="G31" s="29">
        <f>IFERROR(BDP(Tickers!F26,"PX_LAST")/INDEX(BDH(Tickers!F26,"PX_LAST",DATE(YEAR(TODAY()),(INT((MONTH(TODAY())-1)/3))*3+1,1)-1,DATE(YEAR(TODAY()),(INT((MONTH(TODAY())-1)/3))*3+1,1)-1+5,"Days","A","fill","P"),1,2)-1,NA())</f>
        <v/>
      </c>
      <c r="H31" s="29">
        <f>IFERROR(BDP(Tickers!F26,"PX_LAST")/INDEX(BDH(Tickers!F26,"PX_LAST",DATE(YEAR(TODAY())-1,12,31),DATE(YEAR(TODAY())-1,12,31)+5,"Days","A","fill","P"),1,2)-1,NA())</f>
        <v/>
      </c>
      <c r="I31" s="29">
        <f>IFERROR(BDP(Tickers!F26,"PX_LAST")/INDEX(BDH(Tickers!F26,"PX_LAST",EDATE(TODAY(),-12),EDATE(TODAY(),-12)+5,"Days","A","fill","P"),1,2)-1,NA())</f>
        <v/>
      </c>
      <c r="J31" s="29">
        <f>IFERROR(BDP(Tickers!F26,"PX_LAST")/INDEX(BDH(Tickers!F26,"PX_LAST",EDATE(TODAY(),-36),EDATE(TODAY(),-36)+5,"Days","A","fill","P"),1,2)-1,NA())</f>
        <v/>
      </c>
    </row>
    <row r="32">
      <c r="A32">
        <f>Tickers!B27</f>
        <v/>
      </c>
      <c r="B32">
        <f>Tickers!C27</f>
        <v/>
      </c>
      <c r="C32" s="12">
        <f>Tickers!F27</f>
        <v/>
      </c>
      <c r="D32" s="13">
        <f>Tickers!D27</f>
        <v/>
      </c>
      <c r="E32" s="28">
        <f>IFERROR(BDP(Tickers!F27,"PX_LAST"),NA())</f>
        <v/>
      </c>
      <c r="F32" s="29">
        <f>IFERROR(BDP(Tickers!F27,"PX_LAST")/INDEX(BDH(Tickers!F27,"PX_LAST",EOMONTH(TODAY(),-1),EOMONTH(TODAY(),-1)+5,"Days","A","fill","P"),1,2)-1,NA())</f>
        <v/>
      </c>
      <c r="G32" s="29">
        <f>IFERROR(BDP(Tickers!F27,"PX_LAST")/INDEX(BDH(Tickers!F27,"PX_LAST",DATE(YEAR(TODAY()),(INT((MONTH(TODAY())-1)/3))*3+1,1)-1,DATE(YEAR(TODAY()),(INT((MONTH(TODAY())-1)/3))*3+1,1)-1+5,"Days","A","fill","P"),1,2)-1,NA())</f>
        <v/>
      </c>
      <c r="H32" s="29">
        <f>IFERROR(BDP(Tickers!F27,"PX_LAST")/INDEX(BDH(Tickers!F27,"PX_LAST",DATE(YEAR(TODAY())-1,12,31),DATE(YEAR(TODAY())-1,12,31)+5,"Days","A","fill","P"),1,2)-1,NA())</f>
        <v/>
      </c>
      <c r="I32" s="29">
        <f>IFERROR(BDP(Tickers!F27,"PX_LAST")/INDEX(BDH(Tickers!F27,"PX_LAST",EDATE(TODAY(),-12),EDATE(TODAY(),-12)+5,"Days","A","fill","P"),1,2)-1,NA())</f>
        <v/>
      </c>
      <c r="J32" s="29">
        <f>IFERROR(BDP(Tickers!F27,"PX_LAST")/INDEX(BDH(Tickers!F27,"PX_LAST",EDATE(TODAY(),-36),EDATE(TODAY(),-36)+5,"Days","A","fill","P"),1,2)-1,NA())</f>
        <v/>
      </c>
    </row>
    <row r="33">
      <c r="A33">
        <f>Tickers!B28</f>
        <v/>
      </c>
      <c r="B33">
        <f>Tickers!C28</f>
        <v/>
      </c>
      <c r="C33" s="12">
        <f>Tickers!F28</f>
        <v/>
      </c>
      <c r="D33" s="13">
        <f>Tickers!D28</f>
        <v/>
      </c>
      <c r="E33" s="28">
        <f>IFERROR(BDP(Tickers!F28,"PX_LAST"),NA())</f>
        <v/>
      </c>
      <c r="F33" s="29">
        <f>IFERROR(BDP(Tickers!F28,"PX_LAST")/INDEX(BDH(Tickers!F28,"PX_LAST",EOMONTH(TODAY(),-1),EOMONTH(TODAY(),-1)+5,"Days","A","fill","P"),1,2)-1,NA())</f>
        <v/>
      </c>
      <c r="G33" s="29">
        <f>IFERROR(BDP(Tickers!F28,"PX_LAST")/INDEX(BDH(Tickers!F28,"PX_LAST",DATE(YEAR(TODAY()),(INT((MONTH(TODAY())-1)/3))*3+1,1)-1,DATE(YEAR(TODAY()),(INT((MONTH(TODAY())-1)/3))*3+1,1)-1+5,"Days","A","fill","P"),1,2)-1,NA())</f>
        <v/>
      </c>
      <c r="H33" s="29">
        <f>IFERROR(BDP(Tickers!F28,"PX_LAST")/INDEX(BDH(Tickers!F28,"PX_LAST",DATE(YEAR(TODAY())-1,12,31),DATE(YEAR(TODAY())-1,12,31)+5,"Days","A","fill","P"),1,2)-1,NA())</f>
        <v/>
      </c>
      <c r="I33" s="29">
        <f>IFERROR(BDP(Tickers!F28,"PX_LAST")/INDEX(BDH(Tickers!F28,"PX_LAST",EDATE(TODAY(),-12),EDATE(TODAY(),-12)+5,"Days","A","fill","P"),1,2)-1,NA())</f>
        <v/>
      </c>
      <c r="J33" s="29">
        <f>IFERROR(BDP(Tickers!F28,"PX_LAST")/INDEX(BDH(Tickers!F28,"PX_LAST",EDATE(TODAY(),-36),EDATE(TODAY(),-36)+5,"Days","A","fill","P"),1,2)-1,NA())</f>
        <v/>
      </c>
    </row>
    <row r="34">
      <c r="A34">
        <f>Tickers!B29</f>
        <v/>
      </c>
      <c r="B34">
        <f>Tickers!C29</f>
        <v/>
      </c>
      <c r="C34" s="12">
        <f>Tickers!F29</f>
        <v/>
      </c>
      <c r="D34" s="13">
        <f>Tickers!D29</f>
        <v/>
      </c>
      <c r="E34" s="28">
        <f>IFERROR(BDP(Tickers!F29,"PX_LAST"),NA())</f>
        <v/>
      </c>
      <c r="F34" s="29">
        <f>IFERROR(BDP(Tickers!F29,"PX_LAST")/INDEX(BDH(Tickers!F29,"PX_LAST",EOMONTH(TODAY(),-1),EOMONTH(TODAY(),-1)+5,"Days","A","fill","P"),1,2)-1,NA())</f>
        <v/>
      </c>
      <c r="G34" s="29">
        <f>IFERROR(BDP(Tickers!F29,"PX_LAST")/INDEX(BDH(Tickers!F29,"PX_LAST",DATE(YEAR(TODAY()),(INT((MONTH(TODAY())-1)/3))*3+1,1)-1,DATE(YEAR(TODAY()),(INT((MONTH(TODAY())-1)/3))*3+1,1)-1+5,"Days","A","fill","P"),1,2)-1,NA())</f>
        <v/>
      </c>
      <c r="H34" s="29">
        <f>IFERROR(BDP(Tickers!F29,"PX_LAST")/INDEX(BDH(Tickers!F29,"PX_LAST",DATE(YEAR(TODAY())-1,12,31),DATE(YEAR(TODAY())-1,12,31)+5,"Days","A","fill","P"),1,2)-1,NA())</f>
        <v/>
      </c>
      <c r="I34" s="29">
        <f>IFERROR(BDP(Tickers!F29,"PX_LAST")/INDEX(BDH(Tickers!F29,"PX_LAST",EDATE(TODAY(),-12),EDATE(TODAY(),-12)+5,"Days","A","fill","P"),1,2)-1,NA())</f>
        <v/>
      </c>
      <c r="J34" s="29">
        <f>IFERROR(BDP(Tickers!F29,"PX_LAST")/INDEX(BDH(Tickers!F29,"PX_LAST",EDATE(TODAY(),-36),EDATE(TODAY(),-36)+5,"Days","A","fill","P"),1,2)-1,NA())</f>
        <v/>
      </c>
    </row>
    <row r="35">
      <c r="A35">
        <f>Tickers!B30</f>
        <v/>
      </c>
      <c r="B35">
        <f>Tickers!C30</f>
        <v/>
      </c>
      <c r="C35" s="12">
        <f>Tickers!F30</f>
        <v/>
      </c>
      <c r="D35" s="13">
        <f>Tickers!D30</f>
        <v/>
      </c>
      <c r="E35" s="28">
        <f>IFERROR(BDP(Tickers!F30,"PX_LAST"),NA())</f>
        <v/>
      </c>
      <c r="F35" s="29">
        <f>IFERROR(BDP(Tickers!F30,"PX_LAST")/INDEX(BDH(Tickers!F30,"PX_LAST",EOMONTH(TODAY(),-1),EOMONTH(TODAY(),-1)+5,"Days","A","fill","P"),1,2)-1,NA())</f>
        <v/>
      </c>
      <c r="G35" s="29">
        <f>IFERROR(BDP(Tickers!F30,"PX_LAST")/INDEX(BDH(Tickers!F30,"PX_LAST",DATE(YEAR(TODAY()),(INT((MONTH(TODAY())-1)/3))*3+1,1)-1,DATE(YEAR(TODAY()),(INT((MONTH(TODAY())-1)/3))*3+1,1)-1+5,"Days","A","fill","P"),1,2)-1,NA())</f>
        <v/>
      </c>
      <c r="H35" s="29">
        <f>IFERROR(BDP(Tickers!F30,"PX_LAST")/INDEX(BDH(Tickers!F30,"PX_LAST",DATE(YEAR(TODAY())-1,12,31),DATE(YEAR(TODAY())-1,12,31)+5,"Days","A","fill","P"),1,2)-1,NA())</f>
        <v/>
      </c>
      <c r="I35" s="29">
        <f>IFERROR(BDP(Tickers!F30,"PX_LAST")/INDEX(BDH(Tickers!F30,"PX_LAST",EDATE(TODAY(),-12),EDATE(TODAY(),-12)+5,"Days","A","fill","P"),1,2)-1,NA())</f>
        <v/>
      </c>
      <c r="J35" s="29">
        <f>IFERROR(BDP(Tickers!F30,"PX_LAST")/INDEX(BDH(Tickers!F30,"PX_LAST",EDATE(TODAY(),-36),EDATE(TODAY(),-36)+5,"Days","A","fill","P"),1,2)-1,NA())</f>
        <v/>
      </c>
    </row>
    <row r="36">
      <c r="A36">
        <f>Tickers!B31</f>
        <v/>
      </c>
      <c r="B36">
        <f>Tickers!C31</f>
        <v/>
      </c>
      <c r="C36" s="12">
        <f>Tickers!F31</f>
        <v/>
      </c>
      <c r="D36" s="13">
        <f>Tickers!D31</f>
        <v/>
      </c>
      <c r="E36" s="28">
        <f>IFERROR(BDP(Tickers!F31,"PX_LAST"),NA())</f>
        <v/>
      </c>
      <c r="F36" s="29">
        <f>IFERROR(BDP(Tickers!F31,"PX_LAST")/INDEX(BDH(Tickers!F31,"PX_LAST",EOMONTH(TODAY(),-1),EOMONTH(TODAY(),-1)+5,"Days","A","fill","P"),1,2)-1,NA())</f>
        <v/>
      </c>
      <c r="G36" s="29">
        <f>IFERROR(BDP(Tickers!F31,"PX_LAST")/INDEX(BDH(Tickers!F31,"PX_LAST",DATE(YEAR(TODAY()),(INT((MONTH(TODAY())-1)/3))*3+1,1)-1,DATE(YEAR(TODAY()),(INT((MONTH(TODAY())-1)/3))*3+1,1)-1+5,"Days","A","fill","P"),1,2)-1,NA())</f>
        <v/>
      </c>
      <c r="H36" s="29">
        <f>IFERROR(BDP(Tickers!F31,"PX_LAST")/INDEX(BDH(Tickers!F31,"PX_LAST",DATE(YEAR(TODAY())-1,12,31),DATE(YEAR(TODAY())-1,12,31)+5,"Days","A","fill","P"),1,2)-1,NA())</f>
        <v/>
      </c>
      <c r="I36" s="29">
        <f>IFERROR(BDP(Tickers!F31,"PX_LAST")/INDEX(BDH(Tickers!F31,"PX_LAST",EDATE(TODAY(),-12),EDATE(TODAY(),-12)+5,"Days","A","fill","P"),1,2)-1,NA())</f>
        <v/>
      </c>
      <c r="J36" s="29">
        <f>IFERROR(BDP(Tickers!F31,"PX_LAST")/INDEX(BDH(Tickers!F31,"PX_LAST",EDATE(TODAY(),-36),EDATE(TODAY(),-36)+5,"Days","A","fill","P"),1,2)-1,NA())</f>
        <v/>
      </c>
    </row>
    <row r="37">
      <c r="A37">
        <f>Tickers!B32</f>
        <v/>
      </c>
      <c r="B37">
        <f>Tickers!C32</f>
        <v/>
      </c>
      <c r="C37" s="12">
        <f>Tickers!F32</f>
        <v/>
      </c>
      <c r="D37" s="13">
        <f>Tickers!D32</f>
        <v/>
      </c>
      <c r="E37" s="28">
        <f>IFERROR(BDP(Tickers!F32,"PX_LAST"),NA())</f>
        <v/>
      </c>
      <c r="F37" s="29">
        <f>IFERROR(BDP(Tickers!F32,"PX_LAST")/INDEX(BDH(Tickers!F32,"PX_LAST",EOMONTH(TODAY(),-1),EOMONTH(TODAY(),-1)+5,"Days","A","fill","P"),1,2)-1,NA())</f>
        <v/>
      </c>
      <c r="G37" s="29">
        <f>IFERROR(BDP(Tickers!F32,"PX_LAST")/INDEX(BDH(Tickers!F32,"PX_LAST",DATE(YEAR(TODAY()),(INT((MONTH(TODAY())-1)/3))*3+1,1)-1,DATE(YEAR(TODAY()),(INT((MONTH(TODAY())-1)/3))*3+1,1)-1+5,"Days","A","fill","P"),1,2)-1,NA())</f>
        <v/>
      </c>
      <c r="H37" s="29">
        <f>IFERROR(BDP(Tickers!F32,"PX_LAST")/INDEX(BDH(Tickers!F32,"PX_LAST",DATE(YEAR(TODAY())-1,12,31),DATE(YEAR(TODAY())-1,12,31)+5,"Days","A","fill","P"),1,2)-1,NA())</f>
        <v/>
      </c>
      <c r="I37" s="29">
        <f>IFERROR(BDP(Tickers!F32,"PX_LAST")/INDEX(BDH(Tickers!F32,"PX_LAST",EDATE(TODAY(),-12),EDATE(TODAY(),-12)+5,"Days","A","fill","P"),1,2)-1,NA())</f>
        <v/>
      </c>
      <c r="J37" s="29">
        <f>IFERROR(BDP(Tickers!F32,"PX_LAST")/INDEX(BDH(Tickers!F32,"PX_LAST",EDATE(TODAY(),-36),EDATE(TODAY(),-36)+5,"Days","A","fill","P"),1,2)-1,NA())</f>
        <v/>
      </c>
    </row>
    <row r="38">
      <c r="A38" s="17">
        <f>"EM Europe &amp; Turkey weighted avg"</f>
        <v/>
      </c>
      <c r="B38" s="17" t="n"/>
      <c r="C38" s="17" t="n"/>
      <c r="D38" s="18">
        <f>SUM(D27:D37)</f>
        <v/>
      </c>
      <c r="E38" s="17" t="n"/>
      <c r="F38" s="30">
        <f>SUMPRODUCT(D27:D37,F27:F37)/SUM(D27:D37)</f>
        <v/>
      </c>
      <c r="G38" s="30">
        <f>SUMPRODUCT(D27:D37,G27:G37)/SUM(D27:D37)</f>
        <v/>
      </c>
      <c r="H38" s="30">
        <f>SUMPRODUCT(D27:D37,H27:H37)/SUM(D27:D37)</f>
        <v/>
      </c>
      <c r="I38" s="30">
        <f>SUMPRODUCT(D27:D37,I27:I37)/SUM(D27:D37)</f>
        <v/>
      </c>
      <c r="J38" s="30">
        <f>SUMPRODUCT(D27:D37,J27:J37)/SUM(D27:D37)</f>
        <v/>
      </c>
    </row>
    <row r="40">
      <c r="A40" s="10" t="inlineStr">
        <is>
          <t>GCC</t>
        </is>
      </c>
      <c r="B40" s="11" t="n"/>
      <c r="C40" s="11" t="n"/>
      <c r="D40" s="11" t="n"/>
      <c r="E40" s="11" t="n"/>
      <c r="F40" s="11" t="n"/>
      <c r="G40" s="11" t="n"/>
      <c r="H40" s="11" t="n"/>
      <c r="I40" s="11" t="n"/>
      <c r="J40" s="11" t="n"/>
    </row>
    <row r="41">
      <c r="A41">
        <f>Tickers!B33</f>
        <v/>
      </c>
      <c r="B41">
        <f>Tickers!C33</f>
        <v/>
      </c>
      <c r="C41" s="12">
        <f>Tickers!F33</f>
        <v/>
      </c>
      <c r="D41" s="13">
        <f>Tickers!D33</f>
        <v/>
      </c>
      <c r="E41" s="28">
        <f>IFERROR(BDP(Tickers!F33,"PX_LAST"),NA())</f>
        <v/>
      </c>
      <c r="F41" s="29">
        <f>IFERROR(BDP(Tickers!F33,"PX_LAST")/INDEX(BDH(Tickers!F33,"PX_LAST",EOMONTH(TODAY(),-1),EOMONTH(TODAY(),-1)+5,"Days","A","fill","P"),1,2)-1,NA())</f>
        <v/>
      </c>
      <c r="G41" s="29">
        <f>IFERROR(BDP(Tickers!F33,"PX_LAST")/INDEX(BDH(Tickers!F33,"PX_LAST",DATE(YEAR(TODAY()),(INT((MONTH(TODAY())-1)/3))*3+1,1)-1,DATE(YEAR(TODAY()),(INT((MONTH(TODAY())-1)/3))*3+1,1)-1+5,"Days","A","fill","P"),1,2)-1,NA())</f>
        <v/>
      </c>
      <c r="H41" s="29">
        <f>IFERROR(BDP(Tickers!F33,"PX_LAST")/INDEX(BDH(Tickers!F33,"PX_LAST",DATE(YEAR(TODAY())-1,12,31),DATE(YEAR(TODAY())-1,12,31)+5,"Days","A","fill","P"),1,2)-1,NA())</f>
        <v/>
      </c>
      <c r="I41" s="29">
        <f>IFERROR(BDP(Tickers!F33,"PX_LAST")/INDEX(BDH(Tickers!F33,"PX_LAST",EDATE(TODAY(),-12),EDATE(TODAY(),-12)+5,"Days","A","fill","P"),1,2)-1,NA())</f>
        <v/>
      </c>
      <c r="J41" s="29">
        <f>IFERROR(BDP(Tickers!F33,"PX_LAST")/INDEX(BDH(Tickers!F33,"PX_LAST",EDATE(TODAY(),-36),EDATE(TODAY(),-36)+5,"Days","A","fill","P"),1,2)-1,NA())</f>
        <v/>
      </c>
    </row>
    <row r="42">
      <c r="A42">
        <f>Tickers!B34</f>
        <v/>
      </c>
      <c r="B42">
        <f>Tickers!C34</f>
        <v/>
      </c>
      <c r="C42" s="12">
        <f>Tickers!F34</f>
        <v/>
      </c>
      <c r="D42" s="13">
        <f>Tickers!D34</f>
        <v/>
      </c>
      <c r="E42" s="28">
        <f>IFERROR(BDP(Tickers!F34,"PX_LAST"),NA())</f>
        <v/>
      </c>
      <c r="F42" s="29">
        <f>IFERROR(BDP(Tickers!F34,"PX_LAST")/INDEX(BDH(Tickers!F34,"PX_LAST",EOMONTH(TODAY(),-1),EOMONTH(TODAY(),-1)+5,"Days","A","fill","P"),1,2)-1,NA())</f>
        <v/>
      </c>
      <c r="G42" s="29">
        <f>IFERROR(BDP(Tickers!F34,"PX_LAST")/INDEX(BDH(Tickers!F34,"PX_LAST",DATE(YEAR(TODAY()),(INT((MONTH(TODAY())-1)/3))*3+1,1)-1,DATE(YEAR(TODAY()),(INT((MONTH(TODAY())-1)/3))*3+1,1)-1+5,"Days","A","fill","P"),1,2)-1,NA())</f>
        <v/>
      </c>
      <c r="H42" s="29">
        <f>IFERROR(BDP(Tickers!F34,"PX_LAST")/INDEX(BDH(Tickers!F34,"PX_LAST",DATE(YEAR(TODAY())-1,12,31),DATE(YEAR(TODAY())-1,12,31)+5,"Days","A","fill","P"),1,2)-1,NA())</f>
        <v/>
      </c>
      <c r="I42" s="29">
        <f>IFERROR(BDP(Tickers!F34,"PX_LAST")/INDEX(BDH(Tickers!F34,"PX_LAST",EDATE(TODAY(),-12),EDATE(TODAY(),-12)+5,"Days","A","fill","P"),1,2)-1,NA())</f>
        <v/>
      </c>
      <c r="J42" s="29">
        <f>IFERROR(BDP(Tickers!F34,"PX_LAST")/INDEX(BDH(Tickers!F34,"PX_LAST",EDATE(TODAY(),-36),EDATE(TODAY(),-36)+5,"Days","A","fill","P"),1,2)-1,NA())</f>
        <v/>
      </c>
    </row>
    <row r="43">
      <c r="A43">
        <f>Tickers!B35</f>
        <v/>
      </c>
      <c r="B43">
        <f>Tickers!C35</f>
        <v/>
      </c>
      <c r="C43" s="12">
        <f>Tickers!F35</f>
        <v/>
      </c>
      <c r="D43" s="13">
        <f>Tickers!D35</f>
        <v/>
      </c>
      <c r="E43" s="28">
        <f>IFERROR(BDP(Tickers!F35,"PX_LAST"),NA())</f>
        <v/>
      </c>
      <c r="F43" s="29">
        <f>IFERROR(BDP(Tickers!F35,"PX_LAST")/INDEX(BDH(Tickers!F35,"PX_LAST",EOMONTH(TODAY(),-1),EOMONTH(TODAY(),-1)+5,"Days","A","fill","P"),1,2)-1,NA())</f>
        <v/>
      </c>
      <c r="G43" s="29">
        <f>IFERROR(BDP(Tickers!F35,"PX_LAST")/INDEX(BDH(Tickers!F35,"PX_LAST",DATE(YEAR(TODAY()),(INT((MONTH(TODAY())-1)/3))*3+1,1)-1,DATE(YEAR(TODAY()),(INT((MONTH(TODAY())-1)/3))*3+1,1)-1+5,"Days","A","fill","P"),1,2)-1,NA())</f>
        <v/>
      </c>
      <c r="H43" s="29">
        <f>IFERROR(BDP(Tickers!F35,"PX_LAST")/INDEX(BDH(Tickers!F35,"PX_LAST",DATE(YEAR(TODAY())-1,12,31),DATE(YEAR(TODAY())-1,12,31)+5,"Days","A","fill","P"),1,2)-1,NA())</f>
        <v/>
      </c>
      <c r="I43" s="29">
        <f>IFERROR(BDP(Tickers!F35,"PX_LAST")/INDEX(BDH(Tickers!F35,"PX_LAST",EDATE(TODAY(),-12),EDATE(TODAY(),-12)+5,"Days","A","fill","P"),1,2)-1,NA())</f>
        <v/>
      </c>
      <c r="J43" s="29">
        <f>IFERROR(BDP(Tickers!F35,"PX_LAST")/INDEX(BDH(Tickers!F35,"PX_LAST",EDATE(TODAY(),-36),EDATE(TODAY(),-36)+5,"Days","A","fill","P"),1,2)-1,NA())</f>
        <v/>
      </c>
    </row>
    <row r="44">
      <c r="A44">
        <f>Tickers!B36</f>
        <v/>
      </c>
      <c r="B44">
        <f>Tickers!C36</f>
        <v/>
      </c>
      <c r="C44" s="12">
        <f>Tickers!F36</f>
        <v/>
      </c>
      <c r="D44" s="13">
        <f>Tickers!D36</f>
        <v/>
      </c>
      <c r="E44" s="28">
        <f>IFERROR(BDP(Tickers!F36,"PX_LAST"),NA())</f>
        <v/>
      </c>
      <c r="F44" s="29">
        <f>IFERROR(BDP(Tickers!F36,"PX_LAST")/INDEX(BDH(Tickers!F36,"PX_LAST",EOMONTH(TODAY(),-1),EOMONTH(TODAY(),-1)+5,"Days","A","fill","P"),1,2)-1,NA())</f>
        <v/>
      </c>
      <c r="G44" s="29">
        <f>IFERROR(BDP(Tickers!F36,"PX_LAST")/INDEX(BDH(Tickers!F36,"PX_LAST",DATE(YEAR(TODAY()),(INT((MONTH(TODAY())-1)/3))*3+1,1)-1,DATE(YEAR(TODAY()),(INT((MONTH(TODAY())-1)/3))*3+1,1)-1+5,"Days","A","fill","P"),1,2)-1,NA())</f>
        <v/>
      </c>
      <c r="H44" s="29">
        <f>IFERROR(BDP(Tickers!F36,"PX_LAST")/INDEX(BDH(Tickers!F36,"PX_LAST",DATE(YEAR(TODAY())-1,12,31),DATE(YEAR(TODAY())-1,12,31)+5,"Days","A","fill","P"),1,2)-1,NA())</f>
        <v/>
      </c>
      <c r="I44" s="29">
        <f>IFERROR(BDP(Tickers!F36,"PX_LAST")/INDEX(BDH(Tickers!F36,"PX_LAST",EDATE(TODAY(),-12),EDATE(TODAY(),-12)+5,"Days","A","fill","P"),1,2)-1,NA())</f>
        <v/>
      </c>
      <c r="J44" s="29">
        <f>IFERROR(BDP(Tickers!F36,"PX_LAST")/INDEX(BDH(Tickers!F36,"PX_LAST",EDATE(TODAY(),-36),EDATE(TODAY(),-36)+5,"Days","A","fill","P"),1,2)-1,NA())</f>
        <v/>
      </c>
    </row>
    <row r="45">
      <c r="A45">
        <f>Tickers!B37</f>
        <v/>
      </c>
      <c r="B45">
        <f>Tickers!C37</f>
        <v/>
      </c>
      <c r="C45" s="12">
        <f>Tickers!F37</f>
        <v/>
      </c>
      <c r="D45" s="13">
        <f>Tickers!D37</f>
        <v/>
      </c>
      <c r="E45" s="28">
        <f>IFERROR(BDP(Tickers!F37,"PX_LAST"),NA())</f>
        <v/>
      </c>
      <c r="F45" s="29">
        <f>IFERROR(BDP(Tickers!F37,"PX_LAST")/INDEX(BDH(Tickers!F37,"PX_LAST",EOMONTH(TODAY(),-1),EOMONTH(TODAY(),-1)+5,"Days","A","fill","P"),1,2)-1,NA())</f>
        <v/>
      </c>
      <c r="G45" s="29">
        <f>IFERROR(BDP(Tickers!F37,"PX_LAST")/INDEX(BDH(Tickers!F37,"PX_LAST",DATE(YEAR(TODAY()),(INT((MONTH(TODAY())-1)/3))*3+1,1)-1,DATE(YEAR(TODAY()),(INT((MONTH(TODAY())-1)/3))*3+1,1)-1+5,"Days","A","fill","P"),1,2)-1,NA())</f>
        <v/>
      </c>
      <c r="H45" s="29">
        <f>IFERROR(BDP(Tickers!F37,"PX_LAST")/INDEX(BDH(Tickers!F37,"PX_LAST",DATE(YEAR(TODAY())-1,12,31),DATE(YEAR(TODAY())-1,12,31)+5,"Days","A","fill","P"),1,2)-1,NA())</f>
        <v/>
      </c>
      <c r="I45" s="29">
        <f>IFERROR(BDP(Tickers!F37,"PX_LAST")/INDEX(BDH(Tickers!F37,"PX_LAST",EDATE(TODAY(),-12),EDATE(TODAY(),-12)+5,"Days","A","fill","P"),1,2)-1,NA())</f>
        <v/>
      </c>
      <c r="J45" s="29">
        <f>IFERROR(BDP(Tickers!F37,"PX_LAST")/INDEX(BDH(Tickers!F37,"PX_LAST",EDATE(TODAY(),-36),EDATE(TODAY(),-36)+5,"Days","A","fill","P"),1,2)-1,NA())</f>
        <v/>
      </c>
    </row>
    <row r="46">
      <c r="A46">
        <f>Tickers!B38</f>
        <v/>
      </c>
      <c r="B46">
        <f>Tickers!C38</f>
        <v/>
      </c>
      <c r="C46" s="12">
        <f>Tickers!F38</f>
        <v/>
      </c>
      <c r="D46" s="13">
        <f>Tickers!D38</f>
        <v/>
      </c>
      <c r="E46" s="28">
        <f>IFERROR(BDP(Tickers!F38,"PX_LAST"),NA())</f>
        <v/>
      </c>
      <c r="F46" s="29">
        <f>IFERROR(BDP(Tickers!F38,"PX_LAST")/INDEX(BDH(Tickers!F38,"PX_LAST",EOMONTH(TODAY(),-1),EOMONTH(TODAY(),-1)+5,"Days","A","fill","P"),1,2)-1,NA())</f>
        <v/>
      </c>
      <c r="G46" s="29">
        <f>IFERROR(BDP(Tickers!F38,"PX_LAST")/INDEX(BDH(Tickers!F38,"PX_LAST",DATE(YEAR(TODAY()),(INT((MONTH(TODAY())-1)/3))*3+1,1)-1,DATE(YEAR(TODAY()),(INT((MONTH(TODAY())-1)/3))*3+1,1)-1+5,"Days","A","fill","P"),1,2)-1,NA())</f>
        <v/>
      </c>
      <c r="H46" s="29">
        <f>IFERROR(BDP(Tickers!F38,"PX_LAST")/INDEX(BDH(Tickers!F38,"PX_LAST",DATE(YEAR(TODAY())-1,12,31),DATE(YEAR(TODAY())-1,12,31)+5,"Days","A","fill","P"),1,2)-1,NA())</f>
        <v/>
      </c>
      <c r="I46" s="29">
        <f>IFERROR(BDP(Tickers!F38,"PX_LAST")/INDEX(BDH(Tickers!F38,"PX_LAST",EDATE(TODAY(),-12),EDATE(TODAY(),-12)+5,"Days","A","fill","P"),1,2)-1,NA())</f>
        <v/>
      </c>
      <c r="J46" s="29">
        <f>IFERROR(BDP(Tickers!F38,"PX_LAST")/INDEX(BDH(Tickers!F38,"PX_LAST",EDATE(TODAY(),-36),EDATE(TODAY(),-36)+5,"Days","A","fill","P"),1,2)-1,NA())</f>
        <v/>
      </c>
    </row>
    <row r="47">
      <c r="A47" s="17">
        <f>"GCC weighted avg"</f>
        <v/>
      </c>
      <c r="B47" s="17" t="n"/>
      <c r="C47" s="17" t="n"/>
      <c r="D47" s="18">
        <f>SUM(D41:D46)</f>
        <v/>
      </c>
      <c r="E47" s="17" t="n"/>
      <c r="F47" s="30">
        <f>SUMPRODUCT(D41:D46,F41:F46)/SUM(D41:D46)</f>
        <v/>
      </c>
      <c r="G47" s="30">
        <f>SUMPRODUCT(D41:D46,G41:G46)/SUM(D41:D46)</f>
        <v/>
      </c>
      <c r="H47" s="30">
        <f>SUMPRODUCT(D41:D46,H41:H46)/SUM(D41:D46)</f>
        <v/>
      </c>
      <c r="I47" s="30">
        <f>SUMPRODUCT(D41:D46,I41:I46)/SUM(D41:D46)</f>
        <v/>
      </c>
      <c r="J47" s="30">
        <f>SUMPRODUCT(D41:D46,J41:J46)/SUM(D41:D46)</f>
        <v/>
      </c>
    </row>
    <row r="49">
      <c r="A49" s="10" t="inlineStr">
        <is>
          <t>Africa</t>
        </is>
      </c>
      <c r="B49" s="11" t="n"/>
      <c r="C49" s="11" t="n"/>
      <c r="D49" s="11" t="n"/>
      <c r="E49" s="11" t="n"/>
      <c r="F49" s="11" t="n"/>
      <c r="G49" s="11" t="n"/>
      <c r="H49" s="11" t="n"/>
      <c r="I49" s="11" t="n"/>
      <c r="J49" s="11" t="n"/>
    </row>
    <row r="50">
      <c r="A50">
        <f>Tickers!B39</f>
        <v/>
      </c>
      <c r="B50">
        <f>Tickers!C39</f>
        <v/>
      </c>
      <c r="C50" s="12">
        <f>Tickers!F39</f>
        <v/>
      </c>
      <c r="D50" s="13">
        <f>Tickers!D39</f>
        <v/>
      </c>
      <c r="E50" s="28">
        <f>IFERROR(BDP(Tickers!F39,"PX_LAST"),NA())</f>
        <v/>
      </c>
      <c r="F50" s="29">
        <f>IFERROR(BDP(Tickers!F39,"PX_LAST")/INDEX(BDH(Tickers!F39,"PX_LAST",EOMONTH(TODAY(),-1),EOMONTH(TODAY(),-1)+5,"Days","A","fill","P"),1,2)-1,NA())</f>
        <v/>
      </c>
      <c r="G50" s="29">
        <f>IFERROR(BDP(Tickers!F39,"PX_LAST")/INDEX(BDH(Tickers!F39,"PX_LAST",DATE(YEAR(TODAY()),(INT((MONTH(TODAY())-1)/3))*3+1,1)-1,DATE(YEAR(TODAY()),(INT((MONTH(TODAY())-1)/3))*3+1,1)-1+5,"Days","A","fill","P"),1,2)-1,NA())</f>
        <v/>
      </c>
      <c r="H50" s="29">
        <f>IFERROR(BDP(Tickers!F39,"PX_LAST")/INDEX(BDH(Tickers!F39,"PX_LAST",DATE(YEAR(TODAY())-1,12,31),DATE(YEAR(TODAY())-1,12,31)+5,"Days","A","fill","P"),1,2)-1,NA())</f>
        <v/>
      </c>
      <c r="I50" s="29">
        <f>IFERROR(BDP(Tickers!F39,"PX_LAST")/INDEX(BDH(Tickers!F39,"PX_LAST",EDATE(TODAY(),-12),EDATE(TODAY(),-12)+5,"Days","A","fill","P"),1,2)-1,NA())</f>
        <v/>
      </c>
      <c r="J50" s="29">
        <f>IFERROR(BDP(Tickers!F39,"PX_LAST")/INDEX(BDH(Tickers!F39,"PX_LAST",EDATE(TODAY(),-36),EDATE(TODAY(),-36)+5,"Days","A","fill","P"),1,2)-1,NA())</f>
        <v/>
      </c>
    </row>
    <row r="51">
      <c r="A51">
        <f>Tickers!B40</f>
        <v/>
      </c>
      <c r="B51">
        <f>Tickers!C40</f>
        <v/>
      </c>
      <c r="C51" s="12">
        <f>Tickers!F40</f>
        <v/>
      </c>
      <c r="D51" s="13">
        <f>Tickers!D40</f>
        <v/>
      </c>
      <c r="E51" s="28">
        <f>IFERROR(BDP(Tickers!F40,"PX_LAST"),NA())</f>
        <v/>
      </c>
      <c r="F51" s="29">
        <f>IFERROR(BDP(Tickers!F40,"PX_LAST")/INDEX(BDH(Tickers!F40,"PX_LAST",EOMONTH(TODAY(),-1),EOMONTH(TODAY(),-1)+5,"Days","A","fill","P"),1,2)-1,NA())</f>
        <v/>
      </c>
      <c r="G51" s="29">
        <f>IFERROR(BDP(Tickers!F40,"PX_LAST")/INDEX(BDH(Tickers!F40,"PX_LAST",DATE(YEAR(TODAY()),(INT((MONTH(TODAY())-1)/3))*3+1,1)-1,DATE(YEAR(TODAY()),(INT((MONTH(TODAY())-1)/3))*3+1,1)-1+5,"Days","A","fill","P"),1,2)-1,NA())</f>
        <v/>
      </c>
      <c r="H51" s="29">
        <f>IFERROR(BDP(Tickers!F40,"PX_LAST")/INDEX(BDH(Tickers!F40,"PX_LAST",DATE(YEAR(TODAY())-1,12,31),DATE(YEAR(TODAY())-1,12,31)+5,"Days","A","fill","P"),1,2)-1,NA())</f>
        <v/>
      </c>
      <c r="I51" s="29">
        <f>IFERROR(BDP(Tickers!F40,"PX_LAST")/INDEX(BDH(Tickers!F40,"PX_LAST",EDATE(TODAY(),-12),EDATE(TODAY(),-12)+5,"Days","A","fill","P"),1,2)-1,NA())</f>
        <v/>
      </c>
      <c r="J51" s="29">
        <f>IFERROR(BDP(Tickers!F40,"PX_LAST")/INDEX(BDH(Tickers!F40,"PX_LAST",EDATE(TODAY(),-36),EDATE(TODAY(),-36)+5,"Days","A","fill","P"),1,2)-1,NA())</f>
        <v/>
      </c>
    </row>
    <row r="52">
      <c r="A52">
        <f>Tickers!B41</f>
        <v/>
      </c>
      <c r="B52">
        <f>Tickers!C41</f>
        <v/>
      </c>
      <c r="C52" s="12">
        <f>Tickers!F41</f>
        <v/>
      </c>
      <c r="D52" s="13">
        <f>Tickers!D41</f>
        <v/>
      </c>
      <c r="E52" s="28">
        <f>IFERROR(BDP(Tickers!F41,"PX_LAST"),NA())</f>
        <v/>
      </c>
      <c r="F52" s="29">
        <f>IFERROR(BDP(Tickers!F41,"PX_LAST")/INDEX(BDH(Tickers!F41,"PX_LAST",EOMONTH(TODAY(),-1),EOMONTH(TODAY(),-1)+5,"Days","A","fill","P"),1,2)-1,NA())</f>
        <v/>
      </c>
      <c r="G52" s="29">
        <f>IFERROR(BDP(Tickers!F41,"PX_LAST")/INDEX(BDH(Tickers!F41,"PX_LAST",DATE(YEAR(TODAY()),(INT((MONTH(TODAY())-1)/3))*3+1,1)-1,DATE(YEAR(TODAY()),(INT((MONTH(TODAY())-1)/3))*3+1,1)-1+5,"Days","A","fill","P"),1,2)-1,NA())</f>
        <v/>
      </c>
      <c r="H52" s="29">
        <f>IFERROR(BDP(Tickers!F41,"PX_LAST")/INDEX(BDH(Tickers!F41,"PX_LAST",DATE(YEAR(TODAY())-1,12,31),DATE(YEAR(TODAY())-1,12,31)+5,"Days","A","fill","P"),1,2)-1,NA())</f>
        <v/>
      </c>
      <c r="I52" s="29">
        <f>IFERROR(BDP(Tickers!F41,"PX_LAST")/INDEX(BDH(Tickers!F41,"PX_LAST",EDATE(TODAY(),-12),EDATE(TODAY(),-12)+5,"Days","A","fill","P"),1,2)-1,NA())</f>
        <v/>
      </c>
      <c r="J52" s="29">
        <f>IFERROR(BDP(Tickers!F41,"PX_LAST")/INDEX(BDH(Tickers!F41,"PX_LAST",EDATE(TODAY(),-36),EDATE(TODAY(),-36)+5,"Days","A","fill","P"),1,2)-1,NA())</f>
        <v/>
      </c>
    </row>
    <row r="53">
      <c r="A53">
        <f>Tickers!B42</f>
        <v/>
      </c>
      <c r="B53">
        <f>Tickers!C42</f>
        <v/>
      </c>
      <c r="C53" s="12">
        <f>Tickers!F42</f>
        <v/>
      </c>
      <c r="D53" s="13">
        <f>Tickers!D42</f>
        <v/>
      </c>
      <c r="E53" s="28">
        <f>IFERROR(BDP(Tickers!F42,"PX_LAST"),NA())</f>
        <v/>
      </c>
      <c r="F53" s="29">
        <f>IFERROR(BDP(Tickers!F42,"PX_LAST")/INDEX(BDH(Tickers!F42,"PX_LAST",EOMONTH(TODAY(),-1),EOMONTH(TODAY(),-1)+5,"Days","A","fill","P"),1,2)-1,NA())</f>
        <v/>
      </c>
      <c r="G53" s="29">
        <f>IFERROR(BDP(Tickers!F42,"PX_LAST")/INDEX(BDH(Tickers!F42,"PX_LAST",DATE(YEAR(TODAY()),(INT((MONTH(TODAY())-1)/3))*3+1,1)-1,DATE(YEAR(TODAY()),(INT((MONTH(TODAY())-1)/3))*3+1,1)-1+5,"Days","A","fill","P"),1,2)-1,NA())</f>
        <v/>
      </c>
      <c r="H53" s="29">
        <f>IFERROR(BDP(Tickers!F42,"PX_LAST")/INDEX(BDH(Tickers!F42,"PX_LAST",DATE(YEAR(TODAY())-1,12,31),DATE(YEAR(TODAY())-1,12,31)+5,"Days","A","fill","P"),1,2)-1,NA())</f>
        <v/>
      </c>
      <c r="I53" s="29">
        <f>IFERROR(BDP(Tickers!F42,"PX_LAST")/INDEX(BDH(Tickers!F42,"PX_LAST",EDATE(TODAY(),-12),EDATE(TODAY(),-12)+5,"Days","A","fill","P"),1,2)-1,NA())</f>
        <v/>
      </c>
      <c r="J53" s="29">
        <f>IFERROR(BDP(Tickers!F42,"PX_LAST")/INDEX(BDH(Tickers!F42,"PX_LAST",EDATE(TODAY(),-36),EDATE(TODAY(),-36)+5,"Days","A","fill","P"),1,2)-1,NA())</f>
        <v/>
      </c>
    </row>
    <row r="54">
      <c r="A54">
        <f>Tickers!B43</f>
        <v/>
      </c>
      <c r="B54">
        <f>Tickers!C43</f>
        <v/>
      </c>
      <c r="C54" s="12">
        <f>Tickers!F43</f>
        <v/>
      </c>
      <c r="D54" s="13">
        <f>Tickers!D43</f>
        <v/>
      </c>
      <c r="E54" s="28">
        <f>IFERROR(BDP(Tickers!F43,"PX_LAST"),NA())</f>
        <v/>
      </c>
      <c r="F54" s="29">
        <f>IFERROR(BDP(Tickers!F43,"PX_LAST")/INDEX(BDH(Tickers!F43,"PX_LAST",EOMONTH(TODAY(),-1),EOMONTH(TODAY(),-1)+5,"Days","A","fill","P"),1,2)-1,NA())</f>
        <v/>
      </c>
      <c r="G54" s="29">
        <f>IFERROR(BDP(Tickers!F43,"PX_LAST")/INDEX(BDH(Tickers!F43,"PX_LAST",DATE(YEAR(TODAY()),(INT((MONTH(TODAY())-1)/3))*3+1,1)-1,DATE(YEAR(TODAY()),(INT((MONTH(TODAY())-1)/3))*3+1,1)-1+5,"Days","A","fill","P"),1,2)-1,NA())</f>
        <v/>
      </c>
      <c r="H54" s="29">
        <f>IFERROR(BDP(Tickers!F43,"PX_LAST")/INDEX(BDH(Tickers!F43,"PX_LAST",DATE(YEAR(TODAY())-1,12,31),DATE(YEAR(TODAY())-1,12,31)+5,"Days","A","fill","P"),1,2)-1,NA())</f>
        <v/>
      </c>
      <c r="I54" s="29">
        <f>IFERROR(BDP(Tickers!F43,"PX_LAST")/INDEX(BDH(Tickers!F43,"PX_LAST",EDATE(TODAY(),-12),EDATE(TODAY(),-12)+5,"Days","A","fill","P"),1,2)-1,NA())</f>
        <v/>
      </c>
      <c r="J54" s="29">
        <f>IFERROR(BDP(Tickers!F43,"PX_LAST")/INDEX(BDH(Tickers!F43,"PX_LAST",EDATE(TODAY(),-36),EDATE(TODAY(),-36)+5,"Days","A","fill","P"),1,2)-1,NA())</f>
        <v/>
      </c>
    </row>
    <row r="55">
      <c r="A55">
        <f>Tickers!B44</f>
        <v/>
      </c>
      <c r="B55">
        <f>Tickers!C44</f>
        <v/>
      </c>
      <c r="C55" s="12">
        <f>Tickers!F44</f>
        <v/>
      </c>
      <c r="D55" s="13">
        <f>Tickers!D44</f>
        <v/>
      </c>
      <c r="E55" s="28">
        <f>IFERROR(BDP(Tickers!F44,"PX_LAST"),NA())</f>
        <v/>
      </c>
      <c r="F55" s="29">
        <f>IFERROR(BDP(Tickers!F44,"PX_LAST")/INDEX(BDH(Tickers!F44,"PX_LAST",EOMONTH(TODAY(),-1),EOMONTH(TODAY(),-1)+5,"Days","A","fill","P"),1,2)-1,NA())</f>
        <v/>
      </c>
      <c r="G55" s="29">
        <f>IFERROR(BDP(Tickers!F44,"PX_LAST")/INDEX(BDH(Tickers!F44,"PX_LAST",DATE(YEAR(TODAY()),(INT((MONTH(TODAY())-1)/3))*3+1,1)-1,DATE(YEAR(TODAY()),(INT((MONTH(TODAY())-1)/3))*3+1,1)-1+5,"Days","A","fill","P"),1,2)-1,NA())</f>
        <v/>
      </c>
      <c r="H55" s="29">
        <f>IFERROR(BDP(Tickers!F44,"PX_LAST")/INDEX(BDH(Tickers!F44,"PX_LAST",DATE(YEAR(TODAY())-1,12,31),DATE(YEAR(TODAY())-1,12,31)+5,"Days","A","fill","P"),1,2)-1,NA())</f>
        <v/>
      </c>
      <c r="I55" s="29">
        <f>IFERROR(BDP(Tickers!F44,"PX_LAST")/INDEX(BDH(Tickers!F44,"PX_LAST",EDATE(TODAY(),-12),EDATE(TODAY(),-12)+5,"Days","A","fill","P"),1,2)-1,NA())</f>
        <v/>
      </c>
      <c r="J55" s="29">
        <f>IFERROR(BDP(Tickers!F44,"PX_LAST")/INDEX(BDH(Tickers!F44,"PX_LAST",EDATE(TODAY(),-36),EDATE(TODAY(),-36)+5,"Days","A","fill","P"),1,2)-1,NA())</f>
        <v/>
      </c>
    </row>
    <row r="56">
      <c r="A56">
        <f>Tickers!B45</f>
        <v/>
      </c>
      <c r="B56">
        <f>Tickers!C45</f>
        <v/>
      </c>
      <c r="C56" s="12">
        <f>Tickers!F45</f>
        <v/>
      </c>
      <c r="D56" s="13">
        <f>Tickers!D45</f>
        <v/>
      </c>
      <c r="E56" s="28">
        <f>IFERROR(BDP(Tickers!F45,"PX_LAST"),NA())</f>
        <v/>
      </c>
      <c r="F56" s="29">
        <f>IFERROR(BDP(Tickers!F45,"PX_LAST")/INDEX(BDH(Tickers!F45,"PX_LAST",EOMONTH(TODAY(),-1),EOMONTH(TODAY(),-1)+5,"Days","A","fill","P"),1,2)-1,NA())</f>
        <v/>
      </c>
      <c r="G56" s="29">
        <f>IFERROR(BDP(Tickers!F45,"PX_LAST")/INDEX(BDH(Tickers!F45,"PX_LAST",DATE(YEAR(TODAY()),(INT((MONTH(TODAY())-1)/3))*3+1,1)-1,DATE(YEAR(TODAY()),(INT((MONTH(TODAY())-1)/3))*3+1,1)-1+5,"Days","A","fill","P"),1,2)-1,NA())</f>
        <v/>
      </c>
      <c r="H56" s="29">
        <f>IFERROR(BDP(Tickers!F45,"PX_LAST")/INDEX(BDH(Tickers!F45,"PX_LAST",DATE(YEAR(TODAY())-1,12,31),DATE(YEAR(TODAY())-1,12,31)+5,"Days","A","fill","P"),1,2)-1,NA())</f>
        <v/>
      </c>
      <c r="I56" s="29">
        <f>IFERROR(BDP(Tickers!F45,"PX_LAST")/INDEX(BDH(Tickers!F45,"PX_LAST",EDATE(TODAY(),-12),EDATE(TODAY(),-12)+5,"Days","A","fill","P"),1,2)-1,NA())</f>
        <v/>
      </c>
      <c r="J56" s="29">
        <f>IFERROR(BDP(Tickers!F45,"PX_LAST")/INDEX(BDH(Tickers!F45,"PX_LAST",EDATE(TODAY(),-36),EDATE(TODAY(),-36)+5,"Days","A","fill","P"),1,2)-1,NA())</f>
        <v/>
      </c>
    </row>
    <row r="57">
      <c r="A57">
        <f>Tickers!B46</f>
        <v/>
      </c>
      <c r="B57">
        <f>Tickers!C46</f>
        <v/>
      </c>
      <c r="C57" s="12">
        <f>Tickers!F46</f>
        <v/>
      </c>
      <c r="D57" s="13">
        <f>Tickers!D46</f>
        <v/>
      </c>
      <c r="E57" s="28">
        <f>IFERROR(BDP(Tickers!F46,"PX_LAST"),NA())</f>
        <v/>
      </c>
      <c r="F57" s="29">
        <f>IFERROR(BDP(Tickers!F46,"PX_LAST")/INDEX(BDH(Tickers!F46,"PX_LAST",EOMONTH(TODAY(),-1),EOMONTH(TODAY(),-1)+5,"Days","A","fill","P"),1,2)-1,NA())</f>
        <v/>
      </c>
      <c r="G57" s="29">
        <f>IFERROR(BDP(Tickers!F46,"PX_LAST")/INDEX(BDH(Tickers!F46,"PX_LAST",DATE(YEAR(TODAY()),(INT((MONTH(TODAY())-1)/3))*3+1,1)-1,DATE(YEAR(TODAY()),(INT((MONTH(TODAY())-1)/3))*3+1,1)-1+5,"Days","A","fill","P"),1,2)-1,NA())</f>
        <v/>
      </c>
      <c r="H57" s="29">
        <f>IFERROR(BDP(Tickers!F46,"PX_LAST")/INDEX(BDH(Tickers!F46,"PX_LAST",DATE(YEAR(TODAY())-1,12,31),DATE(YEAR(TODAY())-1,12,31)+5,"Days","A","fill","P"),1,2)-1,NA())</f>
        <v/>
      </c>
      <c r="I57" s="29">
        <f>IFERROR(BDP(Tickers!F46,"PX_LAST")/INDEX(BDH(Tickers!F46,"PX_LAST",EDATE(TODAY(),-12),EDATE(TODAY(),-12)+5,"Days","A","fill","P"),1,2)-1,NA())</f>
        <v/>
      </c>
      <c r="J57" s="29">
        <f>IFERROR(BDP(Tickers!F46,"PX_LAST")/INDEX(BDH(Tickers!F46,"PX_LAST",EDATE(TODAY(),-36),EDATE(TODAY(),-36)+5,"Days","A","fill","P"),1,2)-1,NA())</f>
        <v/>
      </c>
    </row>
    <row r="58">
      <c r="A58">
        <f>Tickers!B47</f>
        <v/>
      </c>
      <c r="B58">
        <f>Tickers!C47</f>
        <v/>
      </c>
      <c r="C58" s="12">
        <f>Tickers!F47</f>
        <v/>
      </c>
      <c r="D58" s="13">
        <f>Tickers!D47</f>
        <v/>
      </c>
      <c r="E58" s="28">
        <f>IFERROR(BDP(Tickers!F47,"PX_LAST"),NA())</f>
        <v/>
      </c>
      <c r="F58" s="29">
        <f>IFERROR(BDP(Tickers!F47,"PX_LAST")/INDEX(BDH(Tickers!F47,"PX_LAST",EOMONTH(TODAY(),-1),EOMONTH(TODAY(),-1)+5,"Days","A","fill","P"),1,2)-1,NA())</f>
        <v/>
      </c>
      <c r="G58" s="29">
        <f>IFERROR(BDP(Tickers!F47,"PX_LAST")/INDEX(BDH(Tickers!F47,"PX_LAST",DATE(YEAR(TODAY()),(INT((MONTH(TODAY())-1)/3))*3+1,1)-1,DATE(YEAR(TODAY()),(INT((MONTH(TODAY())-1)/3))*3+1,1)-1+5,"Days","A","fill","P"),1,2)-1,NA())</f>
        <v/>
      </c>
      <c r="H58" s="29">
        <f>IFERROR(BDP(Tickers!F47,"PX_LAST")/INDEX(BDH(Tickers!F47,"PX_LAST",DATE(YEAR(TODAY())-1,12,31),DATE(YEAR(TODAY())-1,12,31)+5,"Days","A","fill","P"),1,2)-1,NA())</f>
        <v/>
      </c>
      <c r="I58" s="29">
        <f>IFERROR(BDP(Tickers!F47,"PX_LAST")/INDEX(BDH(Tickers!F47,"PX_LAST",EDATE(TODAY(),-12),EDATE(TODAY(),-12)+5,"Days","A","fill","P"),1,2)-1,NA())</f>
        <v/>
      </c>
      <c r="J58" s="29">
        <f>IFERROR(BDP(Tickers!F47,"PX_LAST")/INDEX(BDH(Tickers!F47,"PX_LAST",EDATE(TODAY(),-36),EDATE(TODAY(),-36)+5,"Days","A","fill","P"),1,2)-1,NA())</f>
        <v/>
      </c>
    </row>
    <row r="59">
      <c r="A59">
        <f>Tickers!B48</f>
        <v/>
      </c>
      <c r="B59">
        <f>Tickers!C48</f>
        <v/>
      </c>
      <c r="C59" s="12">
        <f>Tickers!F48</f>
        <v/>
      </c>
      <c r="D59" s="13">
        <f>Tickers!D48</f>
        <v/>
      </c>
      <c r="E59" s="28">
        <f>IFERROR(BDP(Tickers!F48,"PX_LAST"),NA())</f>
        <v/>
      </c>
      <c r="F59" s="29">
        <f>IFERROR(BDP(Tickers!F48,"PX_LAST")/INDEX(BDH(Tickers!F48,"PX_LAST",EOMONTH(TODAY(),-1),EOMONTH(TODAY(),-1)+5,"Days","A","fill","P"),1,2)-1,NA())</f>
        <v/>
      </c>
      <c r="G59" s="29">
        <f>IFERROR(BDP(Tickers!F48,"PX_LAST")/INDEX(BDH(Tickers!F48,"PX_LAST",DATE(YEAR(TODAY()),(INT((MONTH(TODAY())-1)/3))*3+1,1)-1,DATE(YEAR(TODAY()),(INT((MONTH(TODAY())-1)/3))*3+1,1)-1+5,"Days","A","fill","P"),1,2)-1,NA())</f>
        <v/>
      </c>
      <c r="H59" s="29">
        <f>IFERROR(BDP(Tickers!F48,"PX_LAST")/INDEX(BDH(Tickers!F48,"PX_LAST",DATE(YEAR(TODAY())-1,12,31),DATE(YEAR(TODAY())-1,12,31)+5,"Days","A","fill","P"),1,2)-1,NA())</f>
        <v/>
      </c>
      <c r="I59" s="29">
        <f>IFERROR(BDP(Tickers!F48,"PX_LAST")/INDEX(BDH(Tickers!F48,"PX_LAST",EDATE(TODAY(),-12),EDATE(TODAY(),-12)+5,"Days","A","fill","P"),1,2)-1,NA())</f>
        <v/>
      </c>
      <c r="J59" s="29">
        <f>IFERROR(BDP(Tickers!F48,"PX_LAST")/INDEX(BDH(Tickers!F48,"PX_LAST",EDATE(TODAY(),-36),EDATE(TODAY(),-36)+5,"Days","A","fill","P"),1,2)-1,NA())</f>
        <v/>
      </c>
    </row>
    <row r="60">
      <c r="A60">
        <f>Tickers!B49</f>
        <v/>
      </c>
      <c r="B60">
        <f>Tickers!C49</f>
        <v/>
      </c>
      <c r="C60" s="12">
        <f>Tickers!F49</f>
        <v/>
      </c>
      <c r="D60" s="13">
        <f>Tickers!D49</f>
        <v/>
      </c>
      <c r="E60" s="28">
        <f>IFERROR(BDP(Tickers!F49,"PX_LAST"),NA())</f>
        <v/>
      </c>
      <c r="F60" s="29">
        <f>IFERROR(BDP(Tickers!F49,"PX_LAST")/INDEX(BDH(Tickers!F49,"PX_LAST",EOMONTH(TODAY(),-1),EOMONTH(TODAY(),-1)+5,"Days","A","fill","P"),1,2)-1,NA())</f>
        <v/>
      </c>
      <c r="G60" s="29">
        <f>IFERROR(BDP(Tickers!F49,"PX_LAST")/INDEX(BDH(Tickers!F49,"PX_LAST",DATE(YEAR(TODAY()),(INT((MONTH(TODAY())-1)/3))*3+1,1)-1,DATE(YEAR(TODAY()),(INT((MONTH(TODAY())-1)/3))*3+1,1)-1+5,"Days","A","fill","P"),1,2)-1,NA())</f>
        <v/>
      </c>
      <c r="H60" s="29">
        <f>IFERROR(BDP(Tickers!F49,"PX_LAST")/INDEX(BDH(Tickers!F49,"PX_LAST",DATE(YEAR(TODAY())-1,12,31),DATE(YEAR(TODAY())-1,12,31)+5,"Days","A","fill","P"),1,2)-1,NA())</f>
        <v/>
      </c>
      <c r="I60" s="29">
        <f>IFERROR(BDP(Tickers!F49,"PX_LAST")/INDEX(BDH(Tickers!F49,"PX_LAST",EDATE(TODAY(),-12),EDATE(TODAY(),-12)+5,"Days","A","fill","P"),1,2)-1,NA())</f>
        <v/>
      </c>
      <c r="J60" s="29">
        <f>IFERROR(BDP(Tickers!F49,"PX_LAST")/INDEX(BDH(Tickers!F49,"PX_LAST",EDATE(TODAY(),-36),EDATE(TODAY(),-36)+5,"Days","A","fill","P"),1,2)-1,NA())</f>
        <v/>
      </c>
    </row>
    <row r="61">
      <c r="A61">
        <f>Tickers!B50</f>
        <v/>
      </c>
      <c r="B61">
        <f>Tickers!C50</f>
        <v/>
      </c>
      <c r="C61" s="12">
        <f>Tickers!F50</f>
        <v/>
      </c>
      <c r="D61" s="13">
        <f>Tickers!D50</f>
        <v/>
      </c>
      <c r="E61" s="28">
        <f>IFERROR(BDP(Tickers!F50,"PX_LAST"),NA())</f>
        <v/>
      </c>
      <c r="F61" s="29">
        <f>IFERROR(BDP(Tickers!F50,"PX_LAST")/INDEX(BDH(Tickers!F50,"PX_LAST",EOMONTH(TODAY(),-1),EOMONTH(TODAY(),-1)+5,"Days","A","fill","P"),1,2)-1,NA())</f>
        <v/>
      </c>
      <c r="G61" s="29">
        <f>IFERROR(BDP(Tickers!F50,"PX_LAST")/INDEX(BDH(Tickers!F50,"PX_LAST",DATE(YEAR(TODAY()),(INT((MONTH(TODAY())-1)/3))*3+1,1)-1,DATE(YEAR(TODAY()),(INT((MONTH(TODAY())-1)/3))*3+1,1)-1+5,"Days","A","fill","P"),1,2)-1,NA())</f>
        <v/>
      </c>
      <c r="H61" s="29">
        <f>IFERROR(BDP(Tickers!F50,"PX_LAST")/INDEX(BDH(Tickers!F50,"PX_LAST",DATE(YEAR(TODAY())-1,12,31),DATE(YEAR(TODAY())-1,12,31)+5,"Days","A","fill","P"),1,2)-1,NA())</f>
        <v/>
      </c>
      <c r="I61" s="29">
        <f>IFERROR(BDP(Tickers!F50,"PX_LAST")/INDEX(BDH(Tickers!F50,"PX_LAST",EDATE(TODAY(),-12),EDATE(TODAY(),-12)+5,"Days","A","fill","P"),1,2)-1,NA())</f>
        <v/>
      </c>
      <c r="J61" s="29">
        <f>IFERROR(BDP(Tickers!F50,"PX_LAST")/INDEX(BDH(Tickers!F50,"PX_LAST",EDATE(TODAY(),-36),EDATE(TODAY(),-36)+5,"Days","A","fill","P"),1,2)-1,NA())</f>
        <v/>
      </c>
    </row>
    <row r="62">
      <c r="A62">
        <f>Tickers!B51</f>
        <v/>
      </c>
      <c r="B62">
        <f>Tickers!C51</f>
        <v/>
      </c>
      <c r="C62" s="12">
        <f>Tickers!F51</f>
        <v/>
      </c>
      <c r="D62" s="13">
        <f>Tickers!D51</f>
        <v/>
      </c>
      <c r="E62" s="28">
        <f>IFERROR(BDP(Tickers!F51,"PX_LAST"),NA())</f>
        <v/>
      </c>
      <c r="F62" s="29">
        <f>IFERROR(BDP(Tickers!F51,"PX_LAST")/INDEX(BDH(Tickers!F51,"PX_LAST",EOMONTH(TODAY(),-1),EOMONTH(TODAY(),-1)+5,"Days","A","fill","P"),1,2)-1,NA())</f>
        <v/>
      </c>
      <c r="G62" s="29">
        <f>IFERROR(BDP(Tickers!F51,"PX_LAST")/INDEX(BDH(Tickers!F51,"PX_LAST",DATE(YEAR(TODAY()),(INT((MONTH(TODAY())-1)/3))*3+1,1)-1,DATE(YEAR(TODAY()),(INT((MONTH(TODAY())-1)/3))*3+1,1)-1+5,"Days","A","fill","P"),1,2)-1,NA())</f>
        <v/>
      </c>
      <c r="H62" s="29">
        <f>IFERROR(BDP(Tickers!F51,"PX_LAST")/INDEX(BDH(Tickers!F51,"PX_LAST",DATE(YEAR(TODAY())-1,12,31),DATE(YEAR(TODAY())-1,12,31)+5,"Days","A","fill","P"),1,2)-1,NA())</f>
        <v/>
      </c>
      <c r="I62" s="29">
        <f>IFERROR(BDP(Tickers!F51,"PX_LAST")/INDEX(BDH(Tickers!F51,"PX_LAST",EDATE(TODAY(),-12),EDATE(TODAY(),-12)+5,"Days","A","fill","P"),1,2)-1,NA())</f>
        <v/>
      </c>
      <c r="J62" s="29">
        <f>IFERROR(BDP(Tickers!F51,"PX_LAST")/INDEX(BDH(Tickers!F51,"PX_LAST",EDATE(TODAY(),-36),EDATE(TODAY(),-36)+5,"Days","A","fill","P"),1,2)-1,NA())</f>
        <v/>
      </c>
    </row>
    <row r="63">
      <c r="A63">
        <f>Tickers!B52</f>
        <v/>
      </c>
      <c r="B63">
        <f>Tickers!C52</f>
        <v/>
      </c>
      <c r="C63" s="12">
        <f>Tickers!F52</f>
        <v/>
      </c>
      <c r="D63" s="13">
        <f>Tickers!D52</f>
        <v/>
      </c>
      <c r="E63" s="28">
        <f>IFERROR(BDP(Tickers!F52,"PX_LAST"),NA())</f>
        <v/>
      </c>
      <c r="F63" s="29">
        <f>IFERROR(BDP(Tickers!F52,"PX_LAST")/INDEX(BDH(Tickers!F52,"PX_LAST",EOMONTH(TODAY(),-1),EOMONTH(TODAY(),-1)+5,"Days","A","fill","P"),1,2)-1,NA())</f>
        <v/>
      </c>
      <c r="G63" s="29">
        <f>IFERROR(BDP(Tickers!F52,"PX_LAST")/INDEX(BDH(Tickers!F52,"PX_LAST",DATE(YEAR(TODAY()),(INT((MONTH(TODAY())-1)/3))*3+1,1)-1,DATE(YEAR(TODAY()),(INT((MONTH(TODAY())-1)/3))*3+1,1)-1+5,"Days","A","fill","P"),1,2)-1,NA())</f>
        <v/>
      </c>
      <c r="H63" s="29">
        <f>IFERROR(BDP(Tickers!F52,"PX_LAST")/INDEX(BDH(Tickers!F52,"PX_LAST",DATE(YEAR(TODAY())-1,12,31),DATE(YEAR(TODAY())-1,12,31)+5,"Days","A","fill","P"),1,2)-1,NA())</f>
        <v/>
      </c>
      <c r="I63" s="29">
        <f>IFERROR(BDP(Tickers!F52,"PX_LAST")/INDEX(BDH(Tickers!F52,"PX_LAST",EDATE(TODAY(),-12),EDATE(TODAY(),-12)+5,"Days","A","fill","P"),1,2)-1,NA())</f>
        <v/>
      </c>
      <c r="J63" s="29">
        <f>IFERROR(BDP(Tickers!F52,"PX_LAST")/INDEX(BDH(Tickers!F52,"PX_LAST",EDATE(TODAY(),-36),EDATE(TODAY(),-36)+5,"Days","A","fill","P"),1,2)-1,NA())</f>
        <v/>
      </c>
    </row>
    <row r="64">
      <c r="A64">
        <f>Tickers!B53</f>
        <v/>
      </c>
      <c r="B64">
        <f>Tickers!C53</f>
        <v/>
      </c>
      <c r="C64" s="12">
        <f>Tickers!F53</f>
        <v/>
      </c>
      <c r="D64" s="13">
        <f>Tickers!D53</f>
        <v/>
      </c>
      <c r="E64" s="28">
        <f>IFERROR(BDP(Tickers!F53,"PX_LAST"),NA())</f>
        <v/>
      </c>
      <c r="F64" s="29">
        <f>IFERROR(BDP(Tickers!F53,"PX_LAST")/INDEX(BDH(Tickers!F53,"PX_LAST",EOMONTH(TODAY(),-1),EOMONTH(TODAY(),-1)+5,"Days","A","fill","P"),1,2)-1,NA())</f>
        <v/>
      </c>
      <c r="G64" s="29">
        <f>IFERROR(BDP(Tickers!F53,"PX_LAST")/INDEX(BDH(Tickers!F53,"PX_LAST",DATE(YEAR(TODAY()),(INT((MONTH(TODAY())-1)/3))*3+1,1)-1,DATE(YEAR(TODAY()),(INT((MONTH(TODAY())-1)/3))*3+1,1)-1+5,"Days","A","fill","P"),1,2)-1,NA())</f>
        <v/>
      </c>
      <c r="H64" s="29">
        <f>IFERROR(BDP(Tickers!F53,"PX_LAST")/INDEX(BDH(Tickers!F53,"PX_LAST",DATE(YEAR(TODAY())-1,12,31),DATE(YEAR(TODAY())-1,12,31)+5,"Days","A","fill","P"),1,2)-1,NA())</f>
        <v/>
      </c>
      <c r="I64" s="29">
        <f>IFERROR(BDP(Tickers!F53,"PX_LAST")/INDEX(BDH(Tickers!F53,"PX_LAST",EDATE(TODAY(),-12),EDATE(TODAY(),-12)+5,"Days","A","fill","P"),1,2)-1,NA())</f>
        <v/>
      </c>
      <c r="J64" s="29">
        <f>IFERROR(BDP(Tickers!F53,"PX_LAST")/INDEX(BDH(Tickers!F53,"PX_LAST",EDATE(TODAY(),-36),EDATE(TODAY(),-36)+5,"Days","A","fill","P"),1,2)-1,NA())</f>
        <v/>
      </c>
    </row>
    <row r="65">
      <c r="A65">
        <f>Tickers!B54</f>
        <v/>
      </c>
      <c r="B65">
        <f>Tickers!C54</f>
        <v/>
      </c>
      <c r="C65" s="12">
        <f>Tickers!F54</f>
        <v/>
      </c>
      <c r="D65" s="13">
        <f>Tickers!D54</f>
        <v/>
      </c>
      <c r="E65" s="28">
        <f>IFERROR(BDP(Tickers!F54,"PX_LAST"),NA())</f>
        <v/>
      </c>
      <c r="F65" s="29">
        <f>IFERROR(BDP(Tickers!F54,"PX_LAST")/INDEX(BDH(Tickers!F54,"PX_LAST",EOMONTH(TODAY(),-1),EOMONTH(TODAY(),-1)+5,"Days","A","fill","P"),1,2)-1,NA())</f>
        <v/>
      </c>
      <c r="G65" s="29">
        <f>IFERROR(BDP(Tickers!F54,"PX_LAST")/INDEX(BDH(Tickers!F54,"PX_LAST",DATE(YEAR(TODAY()),(INT((MONTH(TODAY())-1)/3))*3+1,1)-1,DATE(YEAR(TODAY()),(INT((MONTH(TODAY())-1)/3))*3+1,1)-1+5,"Days","A","fill","P"),1,2)-1,NA())</f>
        <v/>
      </c>
      <c r="H65" s="29">
        <f>IFERROR(BDP(Tickers!F54,"PX_LAST")/INDEX(BDH(Tickers!F54,"PX_LAST",DATE(YEAR(TODAY())-1,12,31),DATE(YEAR(TODAY())-1,12,31)+5,"Days","A","fill","P"),1,2)-1,NA())</f>
        <v/>
      </c>
      <c r="I65" s="29">
        <f>IFERROR(BDP(Tickers!F54,"PX_LAST")/INDEX(BDH(Tickers!F54,"PX_LAST",EDATE(TODAY(),-12),EDATE(TODAY(),-12)+5,"Days","A","fill","P"),1,2)-1,NA())</f>
        <v/>
      </c>
      <c r="J65" s="29">
        <f>IFERROR(BDP(Tickers!F54,"PX_LAST")/INDEX(BDH(Tickers!F54,"PX_LAST",EDATE(TODAY(),-36),EDATE(TODAY(),-36)+5,"Days","A","fill","P"),1,2)-1,NA())</f>
        <v/>
      </c>
    </row>
    <row r="66">
      <c r="A66" s="17">
        <f>"Africa weighted avg"</f>
        <v/>
      </c>
      <c r="B66" s="17" t="n"/>
      <c r="C66" s="17" t="n"/>
      <c r="D66" s="18">
        <f>SUM(D50:D65)</f>
        <v/>
      </c>
      <c r="E66" s="17" t="n"/>
      <c r="F66" s="30">
        <f>SUMPRODUCT(D50:D65,F50:F65)/SUM(D50:D65)</f>
        <v/>
      </c>
      <c r="G66" s="30">
        <f>SUMPRODUCT(D50:D65,G50:G65)/SUM(D50:D65)</f>
        <v/>
      </c>
      <c r="H66" s="30">
        <f>SUMPRODUCT(D50:D65,H50:H65)/SUM(D50:D65)</f>
        <v/>
      </c>
      <c r="I66" s="30">
        <f>SUMPRODUCT(D50:D65,I50:I65)/SUM(D50:D65)</f>
        <v/>
      </c>
      <c r="J66" s="30">
        <f>SUMPRODUCT(D50:D65,J50:J65)/SUM(D50:D65)</f>
        <v/>
      </c>
    </row>
    <row r="68">
      <c r="A68" s="10" t="inlineStr">
        <is>
          <t>Asia</t>
        </is>
      </c>
      <c r="B68" s="11" t="n"/>
      <c r="C68" s="11" t="n"/>
      <c r="D68" s="11" t="n"/>
      <c r="E68" s="11" t="n"/>
      <c r="F68" s="11" t="n"/>
      <c r="G68" s="11" t="n"/>
      <c r="H68" s="11" t="n"/>
      <c r="I68" s="11" t="n"/>
      <c r="J68" s="11" t="n"/>
    </row>
    <row r="69">
      <c r="A69">
        <f>Tickers!B55</f>
        <v/>
      </c>
      <c r="B69">
        <f>Tickers!C55</f>
        <v/>
      </c>
      <c r="C69" s="12">
        <f>Tickers!F55</f>
        <v/>
      </c>
      <c r="D69" s="13">
        <f>Tickers!D55</f>
        <v/>
      </c>
      <c r="E69" s="28">
        <f>IFERROR(BDP(Tickers!F55,"PX_LAST"),NA())</f>
        <v/>
      </c>
      <c r="F69" s="29">
        <f>IFERROR(BDP(Tickers!F55,"PX_LAST")/INDEX(BDH(Tickers!F55,"PX_LAST",EOMONTH(TODAY(),-1),EOMONTH(TODAY(),-1)+5,"Days","A","fill","P"),1,2)-1,NA())</f>
        <v/>
      </c>
      <c r="G69" s="29">
        <f>IFERROR(BDP(Tickers!F55,"PX_LAST")/INDEX(BDH(Tickers!F55,"PX_LAST",DATE(YEAR(TODAY()),(INT((MONTH(TODAY())-1)/3))*3+1,1)-1,DATE(YEAR(TODAY()),(INT((MONTH(TODAY())-1)/3))*3+1,1)-1+5,"Days","A","fill","P"),1,2)-1,NA())</f>
        <v/>
      </c>
      <c r="H69" s="29">
        <f>IFERROR(BDP(Tickers!F55,"PX_LAST")/INDEX(BDH(Tickers!F55,"PX_LAST",DATE(YEAR(TODAY())-1,12,31),DATE(YEAR(TODAY())-1,12,31)+5,"Days","A","fill","P"),1,2)-1,NA())</f>
        <v/>
      </c>
      <c r="I69" s="29">
        <f>IFERROR(BDP(Tickers!F55,"PX_LAST")/INDEX(BDH(Tickers!F55,"PX_LAST",EDATE(TODAY(),-12),EDATE(TODAY(),-12)+5,"Days","A","fill","P"),1,2)-1,NA())</f>
        <v/>
      </c>
      <c r="J69" s="29">
        <f>IFERROR(BDP(Tickers!F55,"PX_LAST")/INDEX(BDH(Tickers!F55,"PX_LAST",EDATE(TODAY(),-36),EDATE(TODAY(),-36)+5,"Days","A","fill","P"),1,2)-1,NA())</f>
        <v/>
      </c>
    </row>
    <row r="70">
      <c r="A70">
        <f>Tickers!B56</f>
        <v/>
      </c>
      <c r="B70">
        <f>Tickers!C56</f>
        <v/>
      </c>
      <c r="C70" s="12">
        <f>Tickers!F56</f>
        <v/>
      </c>
      <c r="D70" s="13">
        <f>Tickers!D56</f>
        <v/>
      </c>
      <c r="E70" s="28">
        <f>IFERROR(BDP(Tickers!F56,"PX_LAST"),NA())</f>
        <v/>
      </c>
      <c r="F70" s="29">
        <f>IFERROR(BDP(Tickers!F56,"PX_LAST")/INDEX(BDH(Tickers!F56,"PX_LAST",EOMONTH(TODAY(),-1),EOMONTH(TODAY(),-1)+5,"Days","A","fill","P"),1,2)-1,NA())</f>
        <v/>
      </c>
      <c r="G70" s="29">
        <f>IFERROR(BDP(Tickers!F56,"PX_LAST")/INDEX(BDH(Tickers!F56,"PX_LAST",DATE(YEAR(TODAY()),(INT((MONTH(TODAY())-1)/3))*3+1,1)-1,DATE(YEAR(TODAY()),(INT((MONTH(TODAY())-1)/3))*3+1,1)-1+5,"Days","A","fill","P"),1,2)-1,NA())</f>
        <v/>
      </c>
      <c r="H70" s="29">
        <f>IFERROR(BDP(Tickers!F56,"PX_LAST")/INDEX(BDH(Tickers!F56,"PX_LAST",DATE(YEAR(TODAY())-1,12,31),DATE(YEAR(TODAY())-1,12,31)+5,"Days","A","fill","P"),1,2)-1,NA())</f>
        <v/>
      </c>
      <c r="I70" s="29">
        <f>IFERROR(BDP(Tickers!F56,"PX_LAST")/INDEX(BDH(Tickers!F56,"PX_LAST",EDATE(TODAY(),-12),EDATE(TODAY(),-12)+5,"Days","A","fill","P"),1,2)-1,NA())</f>
        <v/>
      </c>
      <c r="J70" s="29">
        <f>IFERROR(BDP(Tickers!F56,"PX_LAST")/INDEX(BDH(Tickers!F56,"PX_LAST",EDATE(TODAY(),-36),EDATE(TODAY(),-36)+5,"Days","A","fill","P"),1,2)-1,NA())</f>
        <v/>
      </c>
    </row>
    <row r="71">
      <c r="A71">
        <f>Tickers!B57</f>
        <v/>
      </c>
      <c r="B71">
        <f>Tickers!C57</f>
        <v/>
      </c>
      <c r="C71" s="12">
        <f>Tickers!F57</f>
        <v/>
      </c>
      <c r="D71" s="13">
        <f>Tickers!D57</f>
        <v/>
      </c>
      <c r="E71" s="28">
        <f>IFERROR(BDP(Tickers!F57,"PX_LAST"),NA())</f>
        <v/>
      </c>
      <c r="F71" s="29">
        <f>IFERROR(BDP(Tickers!F57,"PX_LAST")/INDEX(BDH(Tickers!F57,"PX_LAST",EOMONTH(TODAY(),-1),EOMONTH(TODAY(),-1)+5,"Days","A","fill","P"),1,2)-1,NA())</f>
        <v/>
      </c>
      <c r="G71" s="29">
        <f>IFERROR(BDP(Tickers!F57,"PX_LAST")/INDEX(BDH(Tickers!F57,"PX_LAST",DATE(YEAR(TODAY()),(INT((MONTH(TODAY())-1)/3))*3+1,1)-1,DATE(YEAR(TODAY()),(INT((MONTH(TODAY())-1)/3))*3+1,1)-1+5,"Days","A","fill","P"),1,2)-1,NA())</f>
        <v/>
      </c>
      <c r="H71" s="29">
        <f>IFERROR(BDP(Tickers!F57,"PX_LAST")/INDEX(BDH(Tickers!F57,"PX_LAST",DATE(YEAR(TODAY())-1,12,31),DATE(YEAR(TODAY())-1,12,31)+5,"Days","A","fill","P"),1,2)-1,NA())</f>
        <v/>
      </c>
      <c r="I71" s="29">
        <f>IFERROR(BDP(Tickers!F57,"PX_LAST")/INDEX(BDH(Tickers!F57,"PX_LAST",EDATE(TODAY(),-12),EDATE(TODAY(),-12)+5,"Days","A","fill","P"),1,2)-1,NA())</f>
        <v/>
      </c>
      <c r="J71" s="29">
        <f>IFERROR(BDP(Tickers!F57,"PX_LAST")/INDEX(BDH(Tickers!F57,"PX_LAST",EDATE(TODAY(),-36),EDATE(TODAY(),-36)+5,"Days","A","fill","P"),1,2)-1,NA())</f>
        <v/>
      </c>
    </row>
    <row r="72">
      <c r="A72">
        <f>Tickers!B58</f>
        <v/>
      </c>
      <c r="B72">
        <f>Tickers!C58</f>
        <v/>
      </c>
      <c r="C72" s="12">
        <f>Tickers!F58</f>
        <v/>
      </c>
      <c r="D72" s="13">
        <f>Tickers!D58</f>
        <v/>
      </c>
      <c r="E72" s="28">
        <f>IFERROR(BDP(Tickers!F58,"PX_LAST"),NA())</f>
        <v/>
      </c>
      <c r="F72" s="29">
        <f>IFERROR(BDP(Tickers!F58,"PX_LAST")/INDEX(BDH(Tickers!F58,"PX_LAST",EOMONTH(TODAY(),-1),EOMONTH(TODAY(),-1)+5,"Days","A","fill","P"),1,2)-1,NA())</f>
        <v/>
      </c>
      <c r="G72" s="29">
        <f>IFERROR(BDP(Tickers!F58,"PX_LAST")/INDEX(BDH(Tickers!F58,"PX_LAST",DATE(YEAR(TODAY()),(INT((MONTH(TODAY())-1)/3))*3+1,1)-1,DATE(YEAR(TODAY()),(INT((MONTH(TODAY())-1)/3))*3+1,1)-1+5,"Days","A","fill","P"),1,2)-1,NA())</f>
        <v/>
      </c>
      <c r="H72" s="29">
        <f>IFERROR(BDP(Tickers!F58,"PX_LAST")/INDEX(BDH(Tickers!F58,"PX_LAST",DATE(YEAR(TODAY())-1,12,31),DATE(YEAR(TODAY())-1,12,31)+5,"Days","A","fill","P"),1,2)-1,NA())</f>
        <v/>
      </c>
      <c r="I72" s="29">
        <f>IFERROR(BDP(Tickers!F58,"PX_LAST")/INDEX(BDH(Tickers!F58,"PX_LAST",EDATE(TODAY(),-12),EDATE(TODAY(),-12)+5,"Days","A","fill","P"),1,2)-1,NA())</f>
        <v/>
      </c>
      <c r="J72" s="29">
        <f>IFERROR(BDP(Tickers!F58,"PX_LAST")/INDEX(BDH(Tickers!F58,"PX_LAST",EDATE(TODAY(),-36),EDATE(TODAY(),-36)+5,"Days","A","fill","P"),1,2)-1,NA())</f>
        <v/>
      </c>
    </row>
    <row r="73">
      <c r="A73">
        <f>Tickers!B59</f>
        <v/>
      </c>
      <c r="B73">
        <f>Tickers!C59</f>
        <v/>
      </c>
      <c r="C73" s="12">
        <f>Tickers!F59</f>
        <v/>
      </c>
      <c r="D73" s="13">
        <f>Tickers!D59</f>
        <v/>
      </c>
      <c r="E73" s="28">
        <f>IFERROR(BDP(Tickers!F59,"PX_LAST"),NA())</f>
        <v/>
      </c>
      <c r="F73" s="29">
        <f>IFERROR(BDP(Tickers!F59,"PX_LAST")/INDEX(BDH(Tickers!F59,"PX_LAST",EOMONTH(TODAY(),-1),EOMONTH(TODAY(),-1)+5,"Days","A","fill","P"),1,2)-1,NA())</f>
        <v/>
      </c>
      <c r="G73" s="29">
        <f>IFERROR(BDP(Tickers!F59,"PX_LAST")/INDEX(BDH(Tickers!F59,"PX_LAST",DATE(YEAR(TODAY()),(INT((MONTH(TODAY())-1)/3))*3+1,1)-1,DATE(YEAR(TODAY()),(INT((MONTH(TODAY())-1)/3))*3+1,1)-1+5,"Days","A","fill","P"),1,2)-1,NA())</f>
        <v/>
      </c>
      <c r="H73" s="29">
        <f>IFERROR(BDP(Tickers!F59,"PX_LAST")/INDEX(BDH(Tickers!F59,"PX_LAST",DATE(YEAR(TODAY())-1,12,31),DATE(YEAR(TODAY())-1,12,31)+5,"Days","A","fill","P"),1,2)-1,NA())</f>
        <v/>
      </c>
      <c r="I73" s="29">
        <f>IFERROR(BDP(Tickers!F59,"PX_LAST")/INDEX(BDH(Tickers!F59,"PX_LAST",EDATE(TODAY(),-12),EDATE(TODAY(),-12)+5,"Days","A","fill","P"),1,2)-1,NA())</f>
        <v/>
      </c>
      <c r="J73" s="29">
        <f>IFERROR(BDP(Tickers!F59,"PX_LAST")/INDEX(BDH(Tickers!F59,"PX_LAST",EDATE(TODAY(),-36),EDATE(TODAY(),-36)+5,"Days","A","fill","P"),1,2)-1,NA())</f>
        <v/>
      </c>
    </row>
    <row r="74">
      <c r="A74">
        <f>Tickers!B60</f>
        <v/>
      </c>
      <c r="B74">
        <f>Tickers!C60</f>
        <v/>
      </c>
      <c r="C74" s="12">
        <f>Tickers!F60</f>
        <v/>
      </c>
      <c r="D74" s="13">
        <f>Tickers!D60</f>
        <v/>
      </c>
      <c r="E74" s="28">
        <f>IFERROR(BDP(Tickers!F60,"PX_LAST"),NA())</f>
        <v/>
      </c>
      <c r="F74" s="29">
        <f>IFERROR(BDP(Tickers!F60,"PX_LAST")/INDEX(BDH(Tickers!F60,"PX_LAST",EOMONTH(TODAY(),-1),EOMONTH(TODAY(),-1)+5,"Days","A","fill","P"),1,2)-1,NA())</f>
        <v/>
      </c>
      <c r="G74" s="29">
        <f>IFERROR(BDP(Tickers!F60,"PX_LAST")/INDEX(BDH(Tickers!F60,"PX_LAST",DATE(YEAR(TODAY()),(INT((MONTH(TODAY())-1)/3))*3+1,1)-1,DATE(YEAR(TODAY()),(INT((MONTH(TODAY())-1)/3))*3+1,1)-1+5,"Days","A","fill","P"),1,2)-1,NA())</f>
        <v/>
      </c>
      <c r="H74" s="29">
        <f>IFERROR(BDP(Tickers!F60,"PX_LAST")/INDEX(BDH(Tickers!F60,"PX_LAST",DATE(YEAR(TODAY())-1,12,31),DATE(YEAR(TODAY())-1,12,31)+5,"Days","A","fill","P"),1,2)-1,NA())</f>
        <v/>
      </c>
      <c r="I74" s="29">
        <f>IFERROR(BDP(Tickers!F60,"PX_LAST")/INDEX(BDH(Tickers!F60,"PX_LAST",EDATE(TODAY(),-12),EDATE(TODAY(),-12)+5,"Days","A","fill","P"),1,2)-1,NA())</f>
        <v/>
      </c>
      <c r="J74" s="29">
        <f>IFERROR(BDP(Tickers!F60,"PX_LAST")/INDEX(BDH(Tickers!F60,"PX_LAST",EDATE(TODAY(),-36),EDATE(TODAY(),-36)+5,"Days","A","fill","P"),1,2)-1,NA())</f>
        <v/>
      </c>
    </row>
    <row r="75">
      <c r="A75">
        <f>Tickers!B61</f>
        <v/>
      </c>
      <c r="B75">
        <f>Tickers!C61</f>
        <v/>
      </c>
      <c r="C75" s="12">
        <f>Tickers!F61</f>
        <v/>
      </c>
      <c r="D75" s="13">
        <f>Tickers!D61</f>
        <v/>
      </c>
      <c r="E75" s="28">
        <f>IFERROR(BDP(Tickers!F61,"PX_LAST"),NA())</f>
        <v/>
      </c>
      <c r="F75" s="29">
        <f>IFERROR(BDP(Tickers!F61,"PX_LAST")/INDEX(BDH(Tickers!F61,"PX_LAST",EOMONTH(TODAY(),-1),EOMONTH(TODAY(),-1)+5,"Days","A","fill","P"),1,2)-1,NA())</f>
        <v/>
      </c>
      <c r="G75" s="29">
        <f>IFERROR(BDP(Tickers!F61,"PX_LAST")/INDEX(BDH(Tickers!F61,"PX_LAST",DATE(YEAR(TODAY()),(INT((MONTH(TODAY())-1)/3))*3+1,1)-1,DATE(YEAR(TODAY()),(INT((MONTH(TODAY())-1)/3))*3+1,1)-1+5,"Days","A","fill","P"),1,2)-1,NA())</f>
        <v/>
      </c>
      <c r="H75" s="29">
        <f>IFERROR(BDP(Tickers!F61,"PX_LAST")/INDEX(BDH(Tickers!F61,"PX_LAST",DATE(YEAR(TODAY())-1,12,31),DATE(YEAR(TODAY())-1,12,31)+5,"Days","A","fill","P"),1,2)-1,NA())</f>
        <v/>
      </c>
      <c r="I75" s="29">
        <f>IFERROR(BDP(Tickers!F61,"PX_LAST")/INDEX(BDH(Tickers!F61,"PX_LAST",EDATE(TODAY(),-12),EDATE(TODAY(),-12)+5,"Days","A","fill","P"),1,2)-1,NA())</f>
        <v/>
      </c>
      <c r="J75" s="29">
        <f>IFERROR(BDP(Tickers!F61,"PX_LAST")/INDEX(BDH(Tickers!F61,"PX_LAST",EDATE(TODAY(),-36),EDATE(TODAY(),-36)+5,"Days","A","fill","P"),1,2)-1,NA())</f>
        <v/>
      </c>
    </row>
    <row r="76">
      <c r="A76">
        <f>Tickers!B62</f>
        <v/>
      </c>
      <c r="B76">
        <f>Tickers!C62</f>
        <v/>
      </c>
      <c r="C76" s="12">
        <f>Tickers!F62</f>
        <v/>
      </c>
      <c r="D76" s="13">
        <f>Tickers!D62</f>
        <v/>
      </c>
      <c r="E76" s="28">
        <f>IFERROR(BDP(Tickers!F62,"PX_LAST"),NA())</f>
        <v/>
      </c>
      <c r="F76" s="29">
        <f>IFERROR(BDP(Tickers!F62,"PX_LAST")/INDEX(BDH(Tickers!F62,"PX_LAST",EOMONTH(TODAY(),-1),EOMONTH(TODAY(),-1)+5,"Days","A","fill","P"),1,2)-1,NA())</f>
        <v/>
      </c>
      <c r="G76" s="29">
        <f>IFERROR(BDP(Tickers!F62,"PX_LAST")/INDEX(BDH(Tickers!F62,"PX_LAST",DATE(YEAR(TODAY()),(INT((MONTH(TODAY())-1)/3))*3+1,1)-1,DATE(YEAR(TODAY()),(INT((MONTH(TODAY())-1)/3))*3+1,1)-1+5,"Days","A","fill","P"),1,2)-1,NA())</f>
        <v/>
      </c>
      <c r="H76" s="29">
        <f>IFERROR(BDP(Tickers!F62,"PX_LAST")/INDEX(BDH(Tickers!F62,"PX_LAST",DATE(YEAR(TODAY())-1,12,31),DATE(YEAR(TODAY())-1,12,31)+5,"Days","A","fill","P"),1,2)-1,NA())</f>
        <v/>
      </c>
      <c r="I76" s="29">
        <f>IFERROR(BDP(Tickers!F62,"PX_LAST")/INDEX(BDH(Tickers!F62,"PX_LAST",EDATE(TODAY(),-12),EDATE(TODAY(),-12)+5,"Days","A","fill","P"),1,2)-1,NA())</f>
        <v/>
      </c>
      <c r="J76" s="29">
        <f>IFERROR(BDP(Tickers!F62,"PX_LAST")/INDEX(BDH(Tickers!F62,"PX_LAST",EDATE(TODAY(),-36),EDATE(TODAY(),-36)+5,"Days","A","fill","P"),1,2)-1,NA())</f>
        <v/>
      </c>
    </row>
    <row r="77">
      <c r="A77">
        <f>Tickers!B63</f>
        <v/>
      </c>
      <c r="B77">
        <f>Tickers!C63</f>
        <v/>
      </c>
      <c r="C77" s="12">
        <f>Tickers!F63</f>
        <v/>
      </c>
      <c r="D77" s="13">
        <f>Tickers!D63</f>
        <v/>
      </c>
      <c r="E77" s="28">
        <f>IFERROR(BDP(Tickers!F63,"PX_LAST"),NA())</f>
        <v/>
      </c>
      <c r="F77" s="29">
        <f>IFERROR(BDP(Tickers!F63,"PX_LAST")/INDEX(BDH(Tickers!F63,"PX_LAST",EOMONTH(TODAY(),-1),EOMONTH(TODAY(),-1)+5,"Days","A","fill","P"),1,2)-1,NA())</f>
        <v/>
      </c>
      <c r="G77" s="29">
        <f>IFERROR(BDP(Tickers!F63,"PX_LAST")/INDEX(BDH(Tickers!F63,"PX_LAST",DATE(YEAR(TODAY()),(INT((MONTH(TODAY())-1)/3))*3+1,1)-1,DATE(YEAR(TODAY()),(INT((MONTH(TODAY())-1)/3))*3+1,1)-1+5,"Days","A","fill","P"),1,2)-1,NA())</f>
        <v/>
      </c>
      <c r="H77" s="29">
        <f>IFERROR(BDP(Tickers!F63,"PX_LAST")/INDEX(BDH(Tickers!F63,"PX_LAST",DATE(YEAR(TODAY())-1,12,31),DATE(YEAR(TODAY())-1,12,31)+5,"Days","A","fill","P"),1,2)-1,NA())</f>
        <v/>
      </c>
      <c r="I77" s="29">
        <f>IFERROR(BDP(Tickers!F63,"PX_LAST")/INDEX(BDH(Tickers!F63,"PX_LAST",EDATE(TODAY(),-12),EDATE(TODAY(),-12)+5,"Days","A","fill","P"),1,2)-1,NA())</f>
        <v/>
      </c>
      <c r="J77" s="29">
        <f>IFERROR(BDP(Tickers!F63,"PX_LAST")/INDEX(BDH(Tickers!F63,"PX_LAST",EDATE(TODAY(),-36),EDATE(TODAY(),-36)+5,"Days","A","fill","P"),1,2)-1,NA())</f>
        <v/>
      </c>
    </row>
    <row r="78">
      <c r="A78" s="17">
        <f>"Asia weighted avg"</f>
        <v/>
      </c>
      <c r="B78" s="17" t="n"/>
      <c r="C78" s="17" t="n"/>
      <c r="D78" s="18">
        <f>SUM(D69:D77)</f>
        <v/>
      </c>
      <c r="E78" s="17" t="n"/>
      <c r="F78" s="30">
        <f>SUMPRODUCT(D69:D77,F69:F77)/SUM(D69:D77)</f>
        <v/>
      </c>
      <c r="G78" s="30">
        <f>SUMPRODUCT(D69:D77,G69:G77)/SUM(D69:D77)</f>
        <v/>
      </c>
      <c r="H78" s="30">
        <f>SUMPRODUCT(D69:D77,H69:H77)/SUM(D69:D77)</f>
        <v/>
      </c>
      <c r="I78" s="30">
        <f>SUMPRODUCT(D69:D77,I69:I77)/SUM(D69:D77)</f>
        <v/>
      </c>
      <c r="J78" s="30">
        <f>SUMPRODUCT(D69:D77,J69:J77)/SUM(D69:D77)</f>
        <v/>
      </c>
    </row>
  </sheetData>
  <conditionalFormatting sqref="F5:F80">
    <cfRule type="colorScale" priority="1">
      <colorScale>
        <cfvo type="num" val="-0.3"/>
        <cfvo type="num" val="0"/>
        <cfvo type="num" val="0.3"/>
        <color rgb="00C00000"/>
        <color rgb="00FFFFFF"/>
        <color rgb="00548235"/>
      </colorScale>
    </cfRule>
  </conditionalFormatting>
  <conditionalFormatting sqref="G5:G80">
    <cfRule type="colorScale" priority="2">
      <colorScale>
        <cfvo type="num" val="-0.3"/>
        <cfvo type="num" val="0"/>
        <cfvo type="num" val="0.3"/>
        <color rgb="00C00000"/>
        <color rgb="00FFFFFF"/>
        <color rgb="00548235"/>
      </colorScale>
    </cfRule>
  </conditionalFormatting>
  <conditionalFormatting sqref="H5:H80">
    <cfRule type="colorScale" priority="3">
      <colorScale>
        <cfvo type="num" val="-0.3"/>
        <cfvo type="num" val="0"/>
        <cfvo type="num" val="0.3"/>
        <color rgb="00C00000"/>
        <color rgb="00FFFFFF"/>
        <color rgb="00548235"/>
      </colorScale>
    </cfRule>
  </conditionalFormatting>
  <conditionalFormatting sqref="I5:I80">
    <cfRule type="colorScale" priority="4">
      <colorScale>
        <cfvo type="num" val="-0.3"/>
        <cfvo type="num" val="0"/>
        <cfvo type="num" val="0.3"/>
        <color rgb="00C00000"/>
        <color rgb="00FFFFFF"/>
        <color rgb="00548235"/>
      </colorScale>
    </cfRule>
  </conditionalFormatting>
  <conditionalFormatting sqref="J5:J80">
    <cfRule type="colorScale" priority="5">
      <colorScale>
        <cfvo type="num" val="-0.3"/>
        <cfvo type="num" val="0"/>
        <cfvo type="num" val="0.3"/>
        <color rgb="00C00000"/>
        <color rgb="00FFFFFF"/>
        <color rgb="00548235"/>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22" customWidth="1" min="3" max="3"/>
    <col width="12" customWidth="1" min="4" max="4"/>
    <col width="24" customWidth="1" min="5" max="5"/>
    <col width="24" customWidth="1" min="6" max="6"/>
  </cols>
  <sheetData>
    <row r="1">
      <c r="A1" s="31" t="inlineStr">
        <is>
          <t>Tickers — single source of truth</t>
        </is>
      </c>
    </row>
    <row r="2">
      <c r="A2" s="2" t="inlineStr">
        <is>
          <t>Edit yellow cells. Spread Monitor and Total Return tabs read from this list.</t>
        </is>
      </c>
    </row>
    <row r="4">
      <c r="A4" s="9" t="inlineStr">
        <is>
          <t>#</t>
        </is>
      </c>
      <c r="B4" s="9" t="inlineStr">
        <is>
          <t>Country</t>
        </is>
      </c>
      <c r="C4" s="9" t="inlineStr">
        <is>
          <t>Region</t>
        </is>
      </c>
      <c r="D4" s="9" t="inlineStr">
        <is>
          <t>Weight (%)</t>
        </is>
      </c>
      <c r="E4" s="9" t="inlineStr">
        <is>
          <t>Spread ticker</t>
        </is>
      </c>
      <c r="F4" s="9" t="inlineStr">
        <is>
          <t>TR ticker</t>
        </is>
      </c>
    </row>
    <row r="5">
      <c r="A5" s="32" t="n">
        <v>0</v>
      </c>
      <c r="B5" s="32" t="inlineStr">
        <is>
          <t>EMBI Global Diversified</t>
        </is>
      </c>
      <c r="C5" s="32" t="inlineStr">
        <is>
          <t>Aggregate</t>
        </is>
      </c>
      <c r="D5" s="33" t="n">
        <v>100</v>
      </c>
      <c r="E5" s="34" t="inlineStr">
        <is>
          <t>JPEGSOSD Index</t>
        </is>
      </c>
      <c r="F5" s="34" t="inlineStr">
        <is>
          <t>JPEIDIVR Index</t>
        </is>
      </c>
    </row>
    <row r="6">
      <c r="A6" t="n">
        <v>1</v>
      </c>
      <c r="B6" t="inlineStr">
        <is>
          <t>Mexico</t>
        </is>
      </c>
      <c r="C6" t="inlineStr">
        <is>
          <t>LatAm</t>
        </is>
      </c>
      <c r="D6" s="35" t="n">
        <v>4.8</v>
      </c>
      <c r="E6" s="36" t="inlineStr">
        <is>
          <t>JPSSMEXI Index</t>
        </is>
      </c>
      <c r="F6" s="36" t="inlineStr">
        <is>
          <t>JPMEMEXI Index</t>
        </is>
      </c>
    </row>
    <row r="7">
      <c r="A7" t="n">
        <v>2</v>
      </c>
      <c r="B7" t="inlineStr">
        <is>
          <t>Brazil</t>
        </is>
      </c>
      <c r="C7" t="inlineStr">
        <is>
          <t>LatAm</t>
        </is>
      </c>
      <c r="D7" s="35" t="n">
        <v>4.5</v>
      </c>
      <c r="E7" s="36" t="inlineStr">
        <is>
          <t>JPSSBRZL Index</t>
        </is>
      </c>
      <c r="F7" s="36" t="inlineStr">
        <is>
          <t>JPMEBRZL Index</t>
        </is>
      </c>
    </row>
    <row r="8">
      <c r="A8" t="n">
        <v>3</v>
      </c>
      <c r="B8" t="inlineStr">
        <is>
          <t>Argentina</t>
        </is>
      </c>
      <c r="C8" t="inlineStr">
        <is>
          <t>LatAm</t>
        </is>
      </c>
      <c r="D8" s="35" t="n">
        <v>3.5</v>
      </c>
      <c r="E8" s="36" t="inlineStr">
        <is>
          <t>JPSSARGE Index</t>
        </is>
      </c>
      <c r="F8" s="36" t="inlineStr">
        <is>
          <t>JPMEARGE Index</t>
        </is>
      </c>
    </row>
    <row r="9">
      <c r="A9" t="n">
        <v>4</v>
      </c>
      <c r="B9" t="inlineStr">
        <is>
          <t>Colombia</t>
        </is>
      </c>
      <c r="C9" t="inlineStr">
        <is>
          <t>LatAm</t>
        </is>
      </c>
      <c r="D9" s="35" t="n">
        <v>3</v>
      </c>
      <c r="E9" s="36" t="inlineStr">
        <is>
          <t>JPSSCOLO Index</t>
        </is>
      </c>
      <c r="F9" s="36" t="inlineStr">
        <is>
          <t>JPMECOLO Index</t>
        </is>
      </c>
    </row>
    <row r="10">
      <c r="A10" t="n">
        <v>5</v>
      </c>
      <c r="B10" t="inlineStr">
        <is>
          <t>Chile</t>
        </is>
      </c>
      <c r="C10" t="inlineStr">
        <is>
          <t>LatAm</t>
        </is>
      </c>
      <c r="D10" s="35" t="n">
        <v>2.5</v>
      </c>
      <c r="E10" s="36" t="inlineStr">
        <is>
          <t>JPSSCHIL Index</t>
        </is>
      </c>
      <c r="F10" s="36" t="inlineStr">
        <is>
          <t>JPMECHIL Index</t>
        </is>
      </c>
    </row>
    <row r="11">
      <c r="A11" t="n">
        <v>6</v>
      </c>
      <c r="B11" t="inlineStr">
        <is>
          <t>Peru</t>
        </is>
      </c>
      <c r="C11" t="inlineStr">
        <is>
          <t>LatAm</t>
        </is>
      </c>
      <c r="D11" s="35" t="n">
        <v>2</v>
      </c>
      <c r="E11" s="36" t="inlineStr">
        <is>
          <t>JPSSPERU Index</t>
        </is>
      </c>
      <c r="F11" s="36" t="inlineStr">
        <is>
          <t>JPMEPERU Index</t>
        </is>
      </c>
    </row>
    <row r="12">
      <c r="A12" t="n">
        <v>7</v>
      </c>
      <c r="B12" t="inlineStr">
        <is>
          <t>Dominican Rep.</t>
        </is>
      </c>
      <c r="C12" t="inlineStr">
        <is>
          <t>LatAm</t>
        </is>
      </c>
      <c r="D12" s="35" t="n">
        <v>1.8</v>
      </c>
      <c r="E12" s="36" t="inlineStr">
        <is>
          <t>JPSSDOMI Index</t>
        </is>
      </c>
      <c r="F12" s="36" t="inlineStr">
        <is>
          <t>JPMEDOMI Index</t>
        </is>
      </c>
    </row>
    <row r="13">
      <c r="A13" t="n">
        <v>8</v>
      </c>
      <c r="B13" t="inlineStr">
        <is>
          <t>Panama</t>
        </is>
      </c>
      <c r="C13" t="inlineStr">
        <is>
          <t>LatAm</t>
        </is>
      </c>
      <c r="D13" s="35" t="n">
        <v>1.5</v>
      </c>
      <c r="E13" s="36" t="inlineStr">
        <is>
          <t>JPSSPANA Index</t>
        </is>
      </c>
      <c r="F13" s="36" t="inlineStr">
        <is>
          <t>JPMEPANA Index</t>
        </is>
      </c>
    </row>
    <row r="14">
      <c r="A14" t="n">
        <v>9</v>
      </c>
      <c r="B14" t="inlineStr">
        <is>
          <t>Uruguay</t>
        </is>
      </c>
      <c r="C14" t="inlineStr">
        <is>
          <t>LatAm</t>
        </is>
      </c>
      <c r="D14" s="35" t="n">
        <v>0.8</v>
      </c>
      <c r="E14" s="36" t="inlineStr">
        <is>
          <t>JPSSURUG Index</t>
        </is>
      </c>
      <c r="F14" s="36" t="inlineStr">
        <is>
          <t>JPMEURUG Index</t>
        </is>
      </c>
    </row>
    <row r="15">
      <c r="A15" t="n">
        <v>10</v>
      </c>
      <c r="B15" t="inlineStr">
        <is>
          <t>Costa Rica</t>
        </is>
      </c>
      <c r="C15" t="inlineStr">
        <is>
          <t>LatAm</t>
        </is>
      </c>
      <c r="D15" s="35" t="n">
        <v>0.7</v>
      </c>
      <c r="E15" s="36" t="inlineStr">
        <is>
          <t>JPSSCOSR Index</t>
        </is>
      </c>
      <c r="F15" s="36" t="inlineStr">
        <is>
          <t>JPMECOSR Index</t>
        </is>
      </c>
    </row>
    <row r="16">
      <c r="A16" t="n">
        <v>11</v>
      </c>
      <c r="B16" t="inlineStr">
        <is>
          <t>Ecuador</t>
        </is>
      </c>
      <c r="C16" t="inlineStr">
        <is>
          <t>LatAm</t>
        </is>
      </c>
      <c r="D16" s="35" t="n">
        <v>0.6</v>
      </c>
      <c r="E16" s="36" t="inlineStr">
        <is>
          <t>JPSSECUA Index</t>
        </is>
      </c>
      <c r="F16" s="36" t="inlineStr">
        <is>
          <t>JPMEECUA Index</t>
        </is>
      </c>
    </row>
    <row r="17">
      <c r="A17" t="n">
        <v>12</v>
      </c>
      <c r="B17" t="inlineStr">
        <is>
          <t>El Salvador</t>
        </is>
      </c>
      <c r="C17" t="inlineStr">
        <is>
          <t>LatAm</t>
        </is>
      </c>
      <c r="D17" s="35" t="n">
        <v>0.4</v>
      </c>
      <c r="E17" s="36" t="inlineStr">
        <is>
          <t>JPSSELSA Index</t>
        </is>
      </c>
      <c r="F17" s="36" t="inlineStr">
        <is>
          <t>JPMEELSA Index</t>
        </is>
      </c>
    </row>
    <row r="18">
      <c r="A18" t="n">
        <v>13</v>
      </c>
      <c r="B18" t="inlineStr">
        <is>
          <t>Venezuela</t>
        </is>
      </c>
      <c r="C18" t="inlineStr">
        <is>
          <t>LatAm</t>
        </is>
      </c>
      <c r="D18" s="35" t="n">
        <v>0.5</v>
      </c>
      <c r="E18" s="36" t="inlineStr">
        <is>
          <t>JPSSVENE Index</t>
        </is>
      </c>
      <c r="F18" s="36" t="inlineStr">
        <is>
          <t>JPMEVENE Index</t>
        </is>
      </c>
    </row>
    <row r="19">
      <c r="A19" t="n">
        <v>14</v>
      </c>
      <c r="B19" t="inlineStr">
        <is>
          <t>Trinidad &amp; Tobago</t>
        </is>
      </c>
      <c r="C19" t="inlineStr">
        <is>
          <t>LatAm</t>
        </is>
      </c>
      <c r="D19" s="35" t="n">
        <v>0.2</v>
      </c>
      <c r="E19" s="36" t="inlineStr">
        <is>
          <t>JPSSTRTO Index</t>
        </is>
      </c>
      <c r="F19" s="36" t="inlineStr">
        <is>
          <t>JPMETRTO Index</t>
        </is>
      </c>
    </row>
    <row r="20">
      <c r="A20" t="n">
        <v>15</v>
      </c>
      <c r="B20" t="inlineStr">
        <is>
          <t>Bolivia</t>
        </is>
      </c>
      <c r="C20" t="inlineStr">
        <is>
          <t>LatAm</t>
        </is>
      </c>
      <c r="D20" s="35" t="n">
        <v>0.2</v>
      </c>
      <c r="E20" s="36" t="inlineStr">
        <is>
          <t>JPSSBOLI Index</t>
        </is>
      </c>
      <c r="F20" s="36" t="inlineStr">
        <is>
          <t>JPMEBOLI Index</t>
        </is>
      </c>
    </row>
    <row r="21">
      <c r="A21" t="n">
        <v>16</v>
      </c>
      <c r="B21" t="inlineStr">
        <is>
          <t>Paraguay</t>
        </is>
      </c>
      <c r="C21" t="inlineStr">
        <is>
          <t>LatAm</t>
        </is>
      </c>
      <c r="D21" s="35" t="n">
        <v>0.2</v>
      </c>
      <c r="E21" s="36" t="inlineStr">
        <is>
          <t>JPSSPARA Index</t>
        </is>
      </c>
      <c r="F21" s="36" t="inlineStr">
        <is>
          <t>JPMEPARA Index</t>
        </is>
      </c>
    </row>
    <row r="22">
      <c r="A22" t="n">
        <v>17</v>
      </c>
      <c r="B22" t="inlineStr">
        <is>
          <t>Turkey</t>
        </is>
      </c>
      <c r="C22" t="inlineStr">
        <is>
          <t>EM Europe &amp; Turkey</t>
        </is>
      </c>
      <c r="D22" s="35" t="n">
        <v>4.6</v>
      </c>
      <c r="E22" s="36" t="inlineStr">
        <is>
          <t>JPSSTRKY Index</t>
        </is>
      </c>
      <c r="F22" s="36" t="inlineStr">
        <is>
          <t>JPMETRKY Index</t>
        </is>
      </c>
    </row>
    <row r="23">
      <c r="A23" t="n">
        <v>18</v>
      </c>
      <c r="B23" t="inlineStr">
        <is>
          <t>Romania</t>
        </is>
      </c>
      <c r="C23" t="inlineStr">
        <is>
          <t>EM Europe &amp; Turkey</t>
        </is>
      </c>
      <c r="D23" s="35" t="n">
        <v>2.8</v>
      </c>
      <c r="E23" s="36" t="inlineStr">
        <is>
          <t>JPSSROMA Index</t>
        </is>
      </c>
      <c r="F23" s="36" t="inlineStr">
        <is>
          <t>JPMEROMA Index</t>
        </is>
      </c>
    </row>
    <row r="24">
      <c r="A24" t="n">
        <v>19</v>
      </c>
      <c r="B24" t="inlineStr">
        <is>
          <t>Hungary</t>
        </is>
      </c>
      <c r="C24" t="inlineStr">
        <is>
          <t>EM Europe &amp; Turkey</t>
        </is>
      </c>
      <c r="D24" s="35" t="n">
        <v>2.3</v>
      </c>
      <c r="E24" s="36" t="inlineStr">
        <is>
          <t>JPSSHUNG Index</t>
        </is>
      </c>
      <c r="F24" s="36" t="inlineStr">
        <is>
          <t>JPMEHUNG Index</t>
        </is>
      </c>
    </row>
    <row r="25">
      <c r="A25" t="n">
        <v>20</v>
      </c>
      <c r="B25" t="inlineStr">
        <is>
          <t>Poland</t>
        </is>
      </c>
      <c r="C25" t="inlineStr">
        <is>
          <t>EM Europe &amp; Turkey</t>
        </is>
      </c>
      <c r="D25" s="35" t="n">
        <v>2.2</v>
      </c>
      <c r="E25" s="36" t="inlineStr">
        <is>
          <t>JPSSPOLA Index</t>
        </is>
      </c>
      <c r="F25" s="36" t="inlineStr">
        <is>
          <t>JPMEPOLA Index</t>
        </is>
      </c>
    </row>
    <row r="26">
      <c r="A26" t="n">
        <v>21</v>
      </c>
      <c r="B26" t="inlineStr">
        <is>
          <t>Ukraine</t>
        </is>
      </c>
      <c r="C26" t="inlineStr">
        <is>
          <t>EM Europe &amp; Turkey</t>
        </is>
      </c>
      <c r="D26" s="35" t="n">
        <v>1</v>
      </c>
      <c r="E26" s="36" t="inlineStr">
        <is>
          <t>JPSSUKRA Index</t>
        </is>
      </c>
      <c r="F26" s="36" t="inlineStr">
        <is>
          <t>JPMEUKRA Index</t>
        </is>
      </c>
    </row>
    <row r="27">
      <c r="A27" t="n">
        <v>22</v>
      </c>
      <c r="B27" t="inlineStr">
        <is>
          <t>Croatia</t>
        </is>
      </c>
      <c r="C27" t="inlineStr">
        <is>
          <t>EM Europe &amp; Turkey</t>
        </is>
      </c>
      <c r="D27" s="35" t="n">
        <v>0.5</v>
      </c>
      <c r="E27" s="36" t="inlineStr">
        <is>
          <t>JPSSCROA Index</t>
        </is>
      </c>
      <c r="F27" s="36" t="inlineStr">
        <is>
          <t>JPMECROA Index</t>
        </is>
      </c>
    </row>
    <row r="28">
      <c r="A28" t="n">
        <v>23</v>
      </c>
      <c r="B28" t="inlineStr">
        <is>
          <t>Serbia</t>
        </is>
      </c>
      <c r="C28" t="inlineStr">
        <is>
          <t>EM Europe &amp; Turkey</t>
        </is>
      </c>
      <c r="D28" s="35" t="n">
        <v>0.4</v>
      </c>
      <c r="E28" s="36" t="inlineStr">
        <is>
          <t>JPSSSERB Index</t>
        </is>
      </c>
      <c r="F28" s="36" t="inlineStr">
        <is>
          <t>JPMESERB Index</t>
        </is>
      </c>
    </row>
    <row r="29">
      <c r="A29" t="n">
        <v>24</v>
      </c>
      <c r="B29" t="inlineStr">
        <is>
          <t>Bulgaria</t>
        </is>
      </c>
      <c r="C29" t="inlineStr">
        <is>
          <t>EM Europe &amp; Turkey</t>
        </is>
      </c>
      <c r="D29" s="35" t="n">
        <v>0.3</v>
      </c>
      <c r="E29" s="36" t="inlineStr">
        <is>
          <t>JPSSBULG Index</t>
        </is>
      </c>
      <c r="F29" s="36" t="inlineStr">
        <is>
          <t>JPMEBULG Index</t>
        </is>
      </c>
    </row>
    <row r="30">
      <c r="A30" t="n">
        <v>25</v>
      </c>
      <c r="B30" t="inlineStr">
        <is>
          <t>Albania</t>
        </is>
      </c>
      <c r="C30" t="inlineStr">
        <is>
          <t>EM Europe &amp; Turkey</t>
        </is>
      </c>
      <c r="D30" s="35" t="n">
        <v>0.2</v>
      </c>
      <c r="E30" s="36" t="inlineStr">
        <is>
          <t>JPSSALBA Index</t>
        </is>
      </c>
      <c r="F30" s="36" t="inlineStr">
        <is>
          <t>JPMEALBA Index</t>
        </is>
      </c>
    </row>
    <row r="31">
      <c r="A31" t="n">
        <v>26</v>
      </c>
      <c r="B31" t="inlineStr">
        <is>
          <t>North Macedonia</t>
        </is>
      </c>
      <c r="C31" t="inlineStr">
        <is>
          <t>EM Europe &amp; Turkey</t>
        </is>
      </c>
      <c r="D31" s="35" t="n">
        <v>0.2</v>
      </c>
      <c r="E31" s="36" t="inlineStr">
        <is>
          <t>JPSSMACE Index</t>
        </is>
      </c>
      <c r="F31" s="36" t="inlineStr">
        <is>
          <t>JPMEMACE Index</t>
        </is>
      </c>
    </row>
    <row r="32">
      <c r="A32" t="n">
        <v>27</v>
      </c>
      <c r="B32" t="inlineStr">
        <is>
          <t>Belarus</t>
        </is>
      </c>
      <c r="C32" t="inlineStr">
        <is>
          <t>EM Europe &amp; Turkey</t>
        </is>
      </c>
      <c r="D32" s="35" t="n">
        <v>0.1</v>
      </c>
      <c r="E32" s="36" t="inlineStr">
        <is>
          <t>JPSSBELR Index</t>
        </is>
      </c>
      <c r="F32" s="36" t="inlineStr">
        <is>
          <t>JPMEBELR Index</t>
        </is>
      </c>
    </row>
    <row r="33">
      <c r="A33" t="n">
        <v>28</v>
      </c>
      <c r="B33" t="inlineStr">
        <is>
          <t>Saudi Arabia</t>
        </is>
      </c>
      <c r="C33" t="inlineStr">
        <is>
          <t>GCC</t>
        </is>
      </c>
      <c r="D33" s="35" t="n">
        <v>5</v>
      </c>
      <c r="E33" s="36" t="inlineStr">
        <is>
          <t>JPSSSADI Index</t>
        </is>
      </c>
      <c r="F33" s="36" t="inlineStr">
        <is>
          <t>JPMESADI Index</t>
        </is>
      </c>
    </row>
    <row r="34">
      <c r="A34" t="n">
        <v>29</v>
      </c>
      <c r="B34" t="inlineStr">
        <is>
          <t>UAE</t>
        </is>
      </c>
      <c r="C34" t="inlineStr">
        <is>
          <t>GCC</t>
        </is>
      </c>
      <c r="D34" s="35" t="n">
        <v>4</v>
      </c>
      <c r="E34" s="36" t="inlineStr">
        <is>
          <t>JPSSUAEM Index</t>
        </is>
      </c>
      <c r="F34" s="36" t="inlineStr">
        <is>
          <t>JPMEUAEM Index</t>
        </is>
      </c>
    </row>
    <row r="35">
      <c r="A35" t="n">
        <v>30</v>
      </c>
      <c r="B35" t="inlineStr">
        <is>
          <t>Qatar</t>
        </is>
      </c>
      <c r="C35" t="inlineStr">
        <is>
          <t>GCC</t>
        </is>
      </c>
      <c r="D35" s="35" t="n">
        <v>1.8</v>
      </c>
      <c r="E35" s="36" t="inlineStr">
        <is>
          <t>JPSSQATA Index</t>
        </is>
      </c>
      <c r="F35" s="36" t="inlineStr">
        <is>
          <t>JPMEQATA Index</t>
        </is>
      </c>
    </row>
    <row r="36">
      <c r="A36" t="n">
        <v>31</v>
      </c>
      <c r="B36" t="inlineStr">
        <is>
          <t>Oman</t>
        </is>
      </c>
      <c r="C36" t="inlineStr">
        <is>
          <t>GCC</t>
        </is>
      </c>
      <c r="D36" s="35" t="n">
        <v>1.7</v>
      </c>
      <c r="E36" s="36" t="inlineStr">
        <is>
          <t>JPSSOMAN Index</t>
        </is>
      </c>
      <c r="F36" s="36" t="inlineStr">
        <is>
          <t>JPMEOMAN Index</t>
        </is>
      </c>
    </row>
    <row r="37">
      <c r="A37" t="n">
        <v>32</v>
      </c>
      <c r="B37" t="inlineStr">
        <is>
          <t>Bahrain</t>
        </is>
      </c>
      <c r="C37" t="inlineStr">
        <is>
          <t>GCC</t>
        </is>
      </c>
      <c r="D37" s="35" t="n">
        <v>1.4</v>
      </c>
      <c r="E37" s="36" t="inlineStr">
        <is>
          <t>JPSSBAHR Index</t>
        </is>
      </c>
      <c r="F37" s="36" t="inlineStr">
        <is>
          <t>JPMEBAHR Index</t>
        </is>
      </c>
    </row>
    <row r="38">
      <c r="A38" t="n">
        <v>33</v>
      </c>
      <c r="B38" t="inlineStr">
        <is>
          <t>Kuwait</t>
        </is>
      </c>
      <c r="C38" t="inlineStr">
        <is>
          <t>GCC</t>
        </is>
      </c>
      <c r="D38" s="35" t="n">
        <v>0.6</v>
      </c>
      <c r="E38" s="36" t="inlineStr">
        <is>
          <t>JPSSKUWA Index</t>
        </is>
      </c>
      <c r="F38" s="36" t="inlineStr">
        <is>
          <t>JPMEKUWA Index</t>
        </is>
      </c>
    </row>
    <row r="39">
      <c r="A39" t="n">
        <v>34</v>
      </c>
      <c r="B39" t="inlineStr">
        <is>
          <t>South Africa</t>
        </is>
      </c>
      <c r="C39" t="inlineStr">
        <is>
          <t>Africa</t>
        </is>
      </c>
      <c r="D39" s="35" t="n">
        <v>3.4</v>
      </c>
      <c r="E39" s="36" t="inlineStr">
        <is>
          <t>JPSSZAFR Index</t>
        </is>
      </c>
      <c r="F39" s="36" t="inlineStr">
        <is>
          <t>JPMEZAFR Index</t>
        </is>
      </c>
    </row>
    <row r="40">
      <c r="A40" t="n">
        <v>35</v>
      </c>
      <c r="B40" t="inlineStr">
        <is>
          <t>Egypt</t>
        </is>
      </c>
      <c r="C40" t="inlineStr">
        <is>
          <t>Africa</t>
        </is>
      </c>
      <c r="D40" s="35" t="n">
        <v>3.9</v>
      </c>
      <c r="E40" s="36" t="inlineStr">
        <is>
          <t>JPSSEGYP Index</t>
        </is>
      </c>
      <c r="F40" s="36" t="inlineStr">
        <is>
          <t>JPMEEGYP Index</t>
        </is>
      </c>
    </row>
    <row r="41">
      <c r="A41" t="n">
        <v>36</v>
      </c>
      <c r="B41" t="inlineStr">
        <is>
          <t>Nigeria</t>
        </is>
      </c>
      <c r="C41" t="inlineStr">
        <is>
          <t>Africa</t>
        </is>
      </c>
      <c r="D41" s="35" t="n">
        <v>1.6</v>
      </c>
      <c r="E41" s="36" t="inlineStr">
        <is>
          <t>JPSSNIGE Index</t>
        </is>
      </c>
      <c r="F41" s="36" t="inlineStr">
        <is>
          <t>JPMENIGE Index</t>
        </is>
      </c>
    </row>
    <row r="42">
      <c r="A42" t="n">
        <v>37</v>
      </c>
      <c r="B42" t="inlineStr">
        <is>
          <t>Morocco</t>
        </is>
      </c>
      <c r="C42" t="inlineStr">
        <is>
          <t>Africa</t>
        </is>
      </c>
      <c r="D42" s="35" t="n">
        <v>1</v>
      </c>
      <c r="E42" s="36" t="inlineStr">
        <is>
          <t>JPSSMORO Index</t>
        </is>
      </c>
      <c r="F42" s="36" t="inlineStr">
        <is>
          <t>JPMEMORO Index</t>
        </is>
      </c>
    </row>
    <row r="43">
      <c r="A43" t="n">
        <v>38</v>
      </c>
      <c r="B43" t="inlineStr">
        <is>
          <t>Ivory Coast</t>
        </is>
      </c>
      <c r="C43" t="inlineStr">
        <is>
          <t>Africa</t>
        </is>
      </c>
      <c r="D43" s="35" t="n">
        <v>0.7</v>
      </c>
      <c r="E43" s="36" t="inlineStr">
        <is>
          <t>JPSSIVCO Index</t>
        </is>
      </c>
      <c r="F43" s="36" t="inlineStr">
        <is>
          <t>JPMEIVCO Index</t>
        </is>
      </c>
    </row>
    <row r="44">
      <c r="A44" t="n">
        <v>39</v>
      </c>
      <c r="B44" t="inlineStr">
        <is>
          <t>Kenya</t>
        </is>
      </c>
      <c r="C44" t="inlineStr">
        <is>
          <t>Africa</t>
        </is>
      </c>
      <c r="D44" s="35" t="n">
        <v>0.6</v>
      </c>
      <c r="E44" s="36" t="inlineStr">
        <is>
          <t>JPSSKENY Index</t>
        </is>
      </c>
      <c r="F44" s="36" t="inlineStr">
        <is>
          <t>JPMEKENY Index</t>
        </is>
      </c>
    </row>
    <row r="45">
      <c r="A45" t="n">
        <v>40</v>
      </c>
      <c r="B45" t="inlineStr">
        <is>
          <t>Senegal</t>
        </is>
      </c>
      <c r="C45" t="inlineStr">
        <is>
          <t>Africa</t>
        </is>
      </c>
      <c r="D45" s="35" t="n">
        <v>0.5</v>
      </c>
      <c r="E45" s="36" t="inlineStr">
        <is>
          <t>JPSSSENE Index</t>
        </is>
      </c>
      <c r="F45" s="36" t="inlineStr">
        <is>
          <t>JPMESENE Index</t>
        </is>
      </c>
    </row>
    <row r="46">
      <c r="A46" t="n">
        <v>41</v>
      </c>
      <c r="B46" t="inlineStr">
        <is>
          <t>Ghana</t>
        </is>
      </c>
      <c r="C46" t="inlineStr">
        <is>
          <t>Africa</t>
        </is>
      </c>
      <c r="D46" s="35" t="n">
        <v>0.3</v>
      </c>
      <c r="E46" s="36" t="inlineStr">
        <is>
          <t>JPSSGHAN Index</t>
        </is>
      </c>
      <c r="F46" s="36" t="inlineStr">
        <is>
          <t>JPMEGHAN Index</t>
        </is>
      </c>
    </row>
    <row r="47">
      <c r="A47" t="n">
        <v>42</v>
      </c>
      <c r="B47" t="inlineStr">
        <is>
          <t>Tunisia</t>
        </is>
      </c>
      <c r="C47" t="inlineStr">
        <is>
          <t>Africa</t>
        </is>
      </c>
      <c r="D47" s="35" t="n">
        <v>0.4</v>
      </c>
      <c r="E47" s="36" t="inlineStr">
        <is>
          <t>JPSSTUNI Index</t>
        </is>
      </c>
      <c r="F47" s="36" t="inlineStr">
        <is>
          <t>JPMETUNI Index</t>
        </is>
      </c>
    </row>
    <row r="48">
      <c r="A48" t="n">
        <v>43</v>
      </c>
      <c r="B48" t="inlineStr">
        <is>
          <t>Angola</t>
        </is>
      </c>
      <c r="C48" t="inlineStr">
        <is>
          <t>Africa</t>
        </is>
      </c>
      <c r="D48" s="35" t="n">
        <v>0.4</v>
      </c>
      <c r="E48" s="36" t="inlineStr">
        <is>
          <t>JPSSANGO Index</t>
        </is>
      </c>
      <c r="F48" s="36" t="inlineStr">
        <is>
          <t>JPMEANGO Index</t>
        </is>
      </c>
    </row>
    <row r="49">
      <c r="A49" t="n">
        <v>44</v>
      </c>
      <c r="B49" t="inlineStr">
        <is>
          <t>Cameroon</t>
        </is>
      </c>
      <c r="C49" t="inlineStr">
        <is>
          <t>Africa</t>
        </is>
      </c>
      <c r="D49" s="35" t="n">
        <v>0.3</v>
      </c>
      <c r="E49" s="36" t="inlineStr">
        <is>
          <t>JPSSCAMR Index</t>
        </is>
      </c>
      <c r="F49" s="36" t="inlineStr">
        <is>
          <t>JPMECAMR Index</t>
        </is>
      </c>
    </row>
    <row r="50">
      <c r="A50" t="n">
        <v>45</v>
      </c>
      <c r="B50" t="inlineStr">
        <is>
          <t>Zambia</t>
        </is>
      </c>
      <c r="C50" t="inlineStr">
        <is>
          <t>Africa</t>
        </is>
      </c>
      <c r="D50" s="35" t="n">
        <v>0.3</v>
      </c>
      <c r="E50" s="36" t="inlineStr">
        <is>
          <t>JPSSZAMB Index</t>
        </is>
      </c>
      <c r="F50" s="36" t="inlineStr">
        <is>
          <t>JPMEZAMB Index</t>
        </is>
      </c>
    </row>
    <row r="51">
      <c r="A51" t="n">
        <v>46</v>
      </c>
      <c r="B51" t="inlineStr">
        <is>
          <t>Ethiopia</t>
        </is>
      </c>
      <c r="C51" t="inlineStr">
        <is>
          <t>Africa</t>
        </is>
      </c>
      <c r="D51" s="35" t="n">
        <v>0.3</v>
      </c>
      <c r="E51" s="36" t="inlineStr">
        <is>
          <t>JPSSETHI Index</t>
        </is>
      </c>
      <c r="F51" s="36" t="inlineStr">
        <is>
          <t>JPMEETHI Index</t>
        </is>
      </c>
    </row>
    <row r="52">
      <c r="A52" t="n">
        <v>47</v>
      </c>
      <c r="B52" t="inlineStr">
        <is>
          <t>Mozambique</t>
        </is>
      </c>
      <c r="C52" t="inlineStr">
        <is>
          <t>Africa</t>
        </is>
      </c>
      <c r="D52" s="35" t="n">
        <v>0.2</v>
      </c>
      <c r="E52" s="36" t="inlineStr">
        <is>
          <t>JPSSMOZA Index</t>
        </is>
      </c>
      <c r="F52" s="36" t="inlineStr">
        <is>
          <t>JPMEMOZA Index</t>
        </is>
      </c>
    </row>
    <row r="53">
      <c r="A53" t="n">
        <v>48</v>
      </c>
      <c r="B53" t="inlineStr">
        <is>
          <t>Gabon</t>
        </is>
      </c>
      <c r="C53" t="inlineStr">
        <is>
          <t>Africa</t>
        </is>
      </c>
      <c r="D53" s="35" t="n">
        <v>0.2</v>
      </c>
      <c r="E53" s="36" t="inlineStr">
        <is>
          <t>JPSSGABO Index</t>
        </is>
      </c>
      <c r="F53" s="36" t="inlineStr">
        <is>
          <t>JPMEGABO Index</t>
        </is>
      </c>
    </row>
    <row r="54">
      <c r="A54" t="n">
        <v>49</v>
      </c>
      <c r="B54" t="inlineStr">
        <is>
          <t>Namibia</t>
        </is>
      </c>
      <c r="C54" t="inlineStr">
        <is>
          <t>Africa</t>
        </is>
      </c>
      <c r="D54" s="35" t="n">
        <v>0.2</v>
      </c>
      <c r="E54" s="36" t="inlineStr">
        <is>
          <t>JPSSNAMI Index</t>
        </is>
      </c>
      <c r="F54" s="36" t="inlineStr">
        <is>
          <t>JPMENAMI Index</t>
        </is>
      </c>
    </row>
    <row r="55">
      <c r="A55" t="n">
        <v>50</v>
      </c>
      <c r="B55" t="inlineStr">
        <is>
          <t>Indonesia</t>
        </is>
      </c>
      <c r="C55" t="inlineStr">
        <is>
          <t>Asia</t>
        </is>
      </c>
      <c r="D55" s="35" t="n">
        <v>4.7</v>
      </c>
      <c r="E55" s="36" t="inlineStr">
        <is>
          <t>JPSSINDO Index</t>
        </is>
      </c>
      <c r="F55" s="36" t="inlineStr">
        <is>
          <t>JPMEINDO Index</t>
        </is>
      </c>
    </row>
    <row r="56">
      <c r="A56" t="n">
        <v>51</v>
      </c>
      <c r="B56" t="inlineStr">
        <is>
          <t>China</t>
        </is>
      </c>
      <c r="C56" t="inlineStr">
        <is>
          <t>Asia</t>
        </is>
      </c>
      <c r="D56" s="35" t="n">
        <v>4.5</v>
      </c>
      <c r="E56" s="36" t="inlineStr">
        <is>
          <t>JPSSCHIN Index</t>
        </is>
      </c>
      <c r="F56" s="36" t="inlineStr">
        <is>
          <t>JPMECHIN Index</t>
        </is>
      </c>
    </row>
    <row r="57">
      <c r="A57" t="n">
        <v>52</v>
      </c>
      <c r="B57" t="inlineStr">
        <is>
          <t>Philippines</t>
        </is>
      </c>
      <c r="C57" t="inlineStr">
        <is>
          <t>Asia</t>
        </is>
      </c>
      <c r="D57" s="35" t="n">
        <v>3</v>
      </c>
      <c r="E57" s="36" t="inlineStr">
        <is>
          <t>JPSSPHIL Index</t>
        </is>
      </c>
      <c r="F57" s="36" t="inlineStr">
        <is>
          <t>JPMEPHIL Index</t>
        </is>
      </c>
    </row>
    <row r="58">
      <c r="A58" t="n">
        <v>53</v>
      </c>
      <c r="B58" t="inlineStr">
        <is>
          <t>Pakistan</t>
        </is>
      </c>
      <c r="C58" t="inlineStr">
        <is>
          <t>Asia</t>
        </is>
      </c>
      <c r="D58" s="35" t="n">
        <v>1.5</v>
      </c>
      <c r="E58" s="36" t="inlineStr">
        <is>
          <t>JPSSPAKI Index</t>
        </is>
      </c>
      <c r="F58" s="36" t="inlineStr">
        <is>
          <t>JPMEPAKI Index</t>
        </is>
      </c>
    </row>
    <row r="59">
      <c r="A59" t="n">
        <v>54</v>
      </c>
      <c r="B59" t="inlineStr">
        <is>
          <t>Kazakhstan</t>
        </is>
      </c>
      <c r="C59" t="inlineStr">
        <is>
          <t>Asia</t>
        </is>
      </c>
      <c r="D59" s="35" t="n">
        <v>1.5</v>
      </c>
      <c r="E59" s="36" t="inlineStr">
        <is>
          <t>JPSSKAZA Index</t>
        </is>
      </c>
      <c r="F59" s="36" t="inlineStr">
        <is>
          <t>JPMEKAZA Index</t>
        </is>
      </c>
    </row>
    <row r="60">
      <c r="A60" t="n">
        <v>55</v>
      </c>
      <c r="B60" t="inlineStr">
        <is>
          <t>Vietnam</t>
        </is>
      </c>
      <c r="C60" t="inlineStr">
        <is>
          <t>Asia</t>
        </is>
      </c>
      <c r="D60" s="35" t="n">
        <v>0.8</v>
      </c>
      <c r="E60" s="36" t="inlineStr">
        <is>
          <t>JPSSVIET Index</t>
        </is>
      </c>
      <c r="F60" s="36" t="inlineStr">
        <is>
          <t>JPMEVIET Index</t>
        </is>
      </c>
    </row>
    <row r="61">
      <c r="A61" t="n">
        <v>56</v>
      </c>
      <c r="B61" t="inlineStr">
        <is>
          <t>Sri Lanka</t>
        </is>
      </c>
      <c r="C61" t="inlineStr">
        <is>
          <t>Asia</t>
        </is>
      </c>
      <c r="D61" s="35" t="n">
        <v>0.8</v>
      </c>
      <c r="E61" s="36" t="inlineStr">
        <is>
          <t>JPSSSRIL Index</t>
        </is>
      </c>
      <c r="F61" s="36" t="inlineStr">
        <is>
          <t>JPMESRIL Index</t>
        </is>
      </c>
    </row>
    <row r="62">
      <c r="A62" t="n">
        <v>57</v>
      </c>
      <c r="B62" t="inlineStr">
        <is>
          <t>Mongolia</t>
        </is>
      </c>
      <c r="C62" t="inlineStr">
        <is>
          <t>Asia</t>
        </is>
      </c>
      <c r="D62" s="35" t="n">
        <v>0.3</v>
      </c>
      <c r="E62" s="36" t="inlineStr">
        <is>
          <t>JPSSMONG Index</t>
        </is>
      </c>
      <c r="F62" s="36" t="inlineStr">
        <is>
          <t>JPMEMONG Index</t>
        </is>
      </c>
    </row>
    <row r="63">
      <c r="A63" t="n">
        <v>58</v>
      </c>
      <c r="B63" t="inlineStr">
        <is>
          <t>Malaysia</t>
        </is>
      </c>
      <c r="C63" t="inlineStr">
        <is>
          <t>Asia</t>
        </is>
      </c>
      <c r="D63" s="35" t="n">
        <v>0.5</v>
      </c>
      <c r="E63" s="36" t="inlineStr">
        <is>
          <t>JPSSMAYL Index</t>
        </is>
      </c>
      <c r="F63" s="36" t="inlineStr">
        <is>
          <t>JPMEMAYL Index</t>
        </is>
      </c>
    </row>
  </sheetData>
  <autoFilter ref="A4:F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2" customWidth="1" min="1" max="1"/>
    <col width="14" customWidth="1" min="2" max="2"/>
  </cols>
  <sheetData>
    <row r="1">
      <c r="A1" t="inlineStr">
        <is>
          <t>EMBI Global Diversified spread — daily history</t>
        </is>
      </c>
    </row>
    <row r="2">
      <c r="A2" t="inlineStr">
        <is>
          <t>Spilled by =BDH(...). Do not edit. The Spread Monitor chart reads rows A3:B5500 (≈22y headroom).</t>
        </is>
      </c>
    </row>
    <row r="3">
      <c r="A3" s="9" t="inlineStr">
        <is>
          <t>Date</t>
        </is>
      </c>
      <c r="B3" s="9" t="inlineStr">
        <is>
          <t>Spread (bps)</t>
        </is>
      </c>
    </row>
    <row r="4">
      <c r="A4">
        <f>BDH(Tickers!E5,"PX_LAST","1/1/2010",TODAY(),"Days","A","fill","P")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2026-04-28T18:27:12Z</dcterms:created>
  <dcterms:modified xmlns:dcterms="http://purl.org/dc/terms/" xmlns:xsi="http://www.w3.org/2001/XMLSchema-instance" xsi:type="dcterms:W3CDTF">2026-04-28T18:27:12Z</dcterms:modified>
</cp:coreProperties>
</file>