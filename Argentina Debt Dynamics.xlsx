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ta" sheetId="2" state="visible" r:id="rId4"/>
    <sheet name="Dynamics" sheetId="3" state="visible" r:id="rId5"/>
    <sheet name="Stabilising PB" sheetId="4" state="visible" r:id="rId6"/>
    <sheet name="Scenarios" sheetId="5" state="visible" r:id="rId7"/>
    <sheet name="Char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<sst xmlns="http://schemas.openxmlformats.org/spreadsheetml/2006/main" count="121" uniqueCount="102">
  <si>
    <t xml:space="preserve">Argentina — the fiscal balance, the interest bill and the debt burden</t>
  </si>
  <si>
    <t xml:space="preserve">Companion to the fiscal pack. Everything is live: change an input and every path moves.</t>
  </si>
  <si>
    <t xml:space="preserve">READ THIS FIRST</t>
  </si>
  <si>
    <t xml:space="preserve">The debt stock is the weak input</t>
  </si>
  <si>
    <t xml:space="preserve">Argentina's official sources disagree about WHAT to count. Gross Administracion Central debt, that same figure net of intra-public-sector holdings, and a measure including BCRA remunerated liabilities differ by more than twenty points of GDP. The stock series here is gross Administracion Central. Two anchors are solid — USD 466,921mn at Dec-2024 and USD 455,067mn at Dec-2025, both from the Secretaria de Finanzas monthly bulletin — and Dec-2019 at USD 323,177mn comes from the BCRA. The earlier years are indicative and you should overwrite them from the Secretaria de Finanzas series or Bloomberg.</t>
  </si>
  <si>
    <t xml:space="preserve">So is the exchange rate</t>
  </si>
  <si>
    <t xml:space="preserve">Debt is converted at the end-of-period Com. "A" 3500 rate, which is the official convention. Those cells are blue inputs. End-2025 in particular should be checked.</t>
  </si>
  <si>
    <t xml:space="preserve">What is NOT uncertain</t>
  </si>
  <si>
    <t xml:space="preserve">The primary balance, the interest bill and nominal GDP all come from the fiscal pack and reconcile to Hacienda and INDEC to the peso. The debt DYNAMICS engine — the decomposition and the stabilising primary balance — is arithmetic, not estimation.</t>
  </si>
  <si>
    <t xml:space="preserve">What's here</t>
  </si>
  <si>
    <t xml:space="preserve">Data</t>
  </si>
  <si>
    <t xml:space="preserve">Annual fiscal aggregates, GDP, FX and the debt stock. Blue = input you can overwrite.</t>
  </si>
  <si>
    <t xml:space="preserve">Dynamics</t>
  </si>
  <si>
    <t xml:space="preserve">The change in debt/GDP each year decomposed into what caused it: the primary balance, the interest bill, real growth, inflation eroding the domestic-currency stock, exchange-rate revaluation of the FX-denominated stock, and a residual. The residual is the honest measure of what the identity does not explain — below-the-line operations, valuation effects, and any mismatch in the debt measure.</t>
  </si>
  <si>
    <t xml:space="preserve">Stabilising PB</t>
  </si>
  <si>
    <t xml:space="preserve">The core question. For any combination of interest cost, growth, inflation and depreciation, the primary balance that holds debt/GDP flat — and how far today's actual balance sits from it.</t>
  </si>
  <si>
    <t xml:space="preserve">Scenarios</t>
  </si>
  <si>
    <t xml:space="preserve">A five-year projection with six editable assumptions. Includes the threshold test: at what primary balance does debt start rising, and what shock makes it accelerate.</t>
  </si>
  <si>
    <t xml:space="preserve">The identity</t>
  </si>
  <si>
    <t xml:space="preserve">d(t) - d(t-1) = [ (i - pi - g - alpha*eps*(1+pi)) / ((1+g)(1+pi)) ] * d(t-1) - pb + residual, where d is debt/GDP, i the effective nominal interest rate, pi the GDP deflator, g real growth, alpha the FX-denominated share and eps nominal depreciation. Everything is expressed in domestic currency, which is why depreciation raises the ratio.</t>
  </si>
  <si>
    <t xml:space="preserve">Interest is CASH</t>
  </si>
  <si>
    <t xml:space="preserve">The interest line is cash paid, as reported in base caja. Capitalising instruments accrue interest that does not appear until paid, so the EFFECTIVE interest rate computed here understates the accrual cost. This matters: it flatters the stabilising primary balance.</t>
  </si>
  <si>
    <t xml:space="preserve">Annual inputs</t>
  </si>
  <si>
    <t xml:space="preserve">Blue = input. Green = linked from the fiscal pack construction. Black = formula.</t>
  </si>
  <si>
    <t xml:space="preserve">Year</t>
  </si>
  <si>
    <t xml:space="preserve">Nominal GDP
(mn pesos)</t>
  </si>
  <si>
    <t xml:space="preserve">Primary balance
(mn pesos)</t>
  </si>
  <si>
    <t xml:space="preserve">Interest paid
(mn pesos)</t>
  </si>
  <si>
    <t xml:space="preserve">Overall balance
(mn pesos)</t>
  </si>
  <si>
    <t xml:space="preserve">FX eop
(Com. A3500)</t>
  </si>
  <si>
    <t xml:space="preserve">Gross debt
(USD mn)</t>
  </si>
  <si>
    <t xml:space="preserve">Source of
debt figure</t>
  </si>
  <si>
    <t xml:space="preserve">Debt
(mn pesos)</t>
  </si>
  <si>
    <t xml:space="preserve">Debt / GDP</t>
  </si>
  <si>
    <t xml:space="preserve">EMAE avg
(real proxy)</t>
  </si>
  <si>
    <t xml:space="preserve">CPI avg</t>
  </si>
  <si>
    <t xml:space="preserve">FX share of
debt</t>
  </si>
  <si>
    <t xml:space="preserve">FX average
(period avg)</t>
  </si>
  <si>
    <t xml:space="preserve">GDP
(USD mn)</t>
  </si>
  <si>
    <t xml:space="preserve">Debt / GDP
(both in USD)</t>
  </si>
  <si>
    <t xml:space="preserve">indicative — verify</t>
  </si>
  <si>
    <t xml:space="preserve">BCRA IPOM</t>
  </si>
  <si>
    <t xml:space="preserve">widely reported</t>
  </si>
  <si>
    <t xml:space="preserve">Sec. Finanzas bulletin</t>
  </si>
  <si>
    <t xml:space="preserve">The FX share is the portion of the debt stock denominated in or linked to foreign currency. It drives how much a devaluation raises the ratio. Roughly 45% since the 2020 restructuring; set it precisely from the Secretaria de Finanzas currency breakdown.</t>
  </si>
  <si>
    <t xml:space="preserve">Rows shown in red in the source column are indicative levels, not verified prints. Overwrite column H before using the level (as opposed to the dynamics) in a note.</t>
  </si>
  <si>
    <t xml:space="preserve">What moved the debt ratio each year</t>
  </si>
  <si>
    <t xml:space="preserve">Percentage points of GDP. A positive contribution pushed the ratio UP.</t>
  </si>
  <si>
    <t xml:space="preserve">Debt/GDP
(end)</t>
  </si>
  <si>
    <t xml:space="preserve">Change
(pp)</t>
  </si>
  <si>
    <t xml:space="preserve">Effective
interest rate i</t>
  </si>
  <si>
    <t xml:space="preserve">Real growth g</t>
  </si>
  <si>
    <t xml:space="preserve">GDP deflator pi</t>
  </si>
  <si>
    <t xml:space="preserve">Depreciation eps</t>
  </si>
  <si>
    <t xml:space="preserve">Primary
balance</t>
  </si>
  <si>
    <t xml:space="preserve">(a) Interest
cost</t>
  </si>
  <si>
    <t xml:space="preserve">(b) Real
growth</t>
  </si>
  <si>
    <t xml:space="preserve">(c) Inflation
erosion</t>
  </si>
  <si>
    <t xml:space="preserve">(d) FX
revaluation</t>
  </si>
  <si>
    <t xml:space="preserve">(e) Primary
balance</t>
  </si>
  <si>
    <t xml:space="preserve">Explained
(a..e)</t>
  </si>
  <si>
    <t xml:space="preserve">Residual
(SFA)</t>
  </si>
  <si>
    <t xml:space="preserve">The effective interest rate is cash interest paid over the previous year's debt stock. Because base caja excludes accrued-but-unpaid interest on capitalising instruments, this understates the true cost of carry.</t>
  </si>
  <si>
    <t xml:space="preserve">A large residual means the identity is not capturing the debt move: below-the-line operations, valuation changes, debt assumed or restructured, or a mismatch between the debt measure and the fiscal coverage. In Argentina it is routinely large. Do not hide it.</t>
  </si>
  <si>
    <t xml:space="preserve">The primary balance that holds debt/GDP flat</t>
  </si>
  <si>
    <t xml:space="preserve">Argentine debt is multi-currency. A single-currency (i - pi - g) formula is wrong here: inflation erodes plain peso debt, but NOT the FX-denominated stock and NOT the CER-indexed stock.</t>
  </si>
  <si>
    <t xml:space="preserve">Debt stock grows in pesos at:  alpha x (eps + i$) + beta x (pi + iCER) + gamma x iPeso</t>
  </si>
  <si>
    <t xml:space="preserve">Nominal GDP grows at:  (1+g)(1+pi).   Debt/GDP is flat when the primary balance covers the gap.</t>
  </si>
  <si>
    <t xml:space="preserve">Inputs</t>
  </si>
  <si>
    <t xml:space="preserve">Debt / GDP, d</t>
  </si>
  <si>
    <t xml:space="preserve">FX-denominated share, alpha</t>
  </si>
  <si>
    <t xml:space="preserve">CER-indexed share, beta</t>
  </si>
  <si>
    <t xml:space="preserve">Plain peso share, gamma</t>
  </si>
  <si>
    <t xml:space="preserve">Interest on FX debt, i$</t>
  </si>
  <si>
    <t xml:space="preserve">Interest on CER debt, iCER</t>
  </si>
  <si>
    <t xml:space="preserve">Interest on peso debt, iPeso</t>
  </si>
  <si>
    <t xml:space="preserve">Nominal depreciation, eps</t>
  </si>
  <si>
    <t xml:space="preserve">GDP deflator, pi</t>
  </si>
  <si>
    <t xml:space="preserve">Real growth, g</t>
  </si>
  <si>
    <t xml:space="preserve">Actual primary balance</t>
  </si>
  <si>
    <t xml:space="preserve">Result</t>
  </si>
  <si>
    <t xml:space="preserve">Debt stock nominal growth</t>
  </si>
  <si>
    <t xml:space="preserve">Nominal GDP growth</t>
  </si>
  <si>
    <t xml:space="preserve">DEBT-STABILISING PRIMARY BALANCE</t>
  </si>
  <si>
    <t xml:space="preserve">GAP — actual less required (pp of GDP)</t>
  </si>
  <si>
    <t xml:space="preserve">Implied change in debt/GDP (pp)</t>
  </si>
  <si>
    <t xml:space="preserve">A POSITIVE gap means the actual primary surplus more than covers the carry and debt/GDP falls. Negative means debt rises even with a primary surplus.</t>
  </si>
  <si>
    <t xml:space="preserve">The threshold table: required primary balance (% of GDP) by depreciation and real growth</t>
  </si>
  <si>
    <t xml:space="preserve">Everything else held at the inputs above. This is the answer to 'what makes it shoot up'.</t>
  </si>
  <si>
    <t xml:space="preserve">eps \ g</t>
  </si>
  <si>
    <t xml:space="preserve">Compare every cell against the actual primary balance in E24. Anything above it is a combination where the current fiscal stance is not enough and the ratio rises.</t>
  </si>
  <si>
    <t xml:space="preserve">Note how flat the table is across growth and how steep it is across depreciation. Growth helps at the margin; the exchange rate dominates. With 45% of the stock in foreign currency, roughly 0.45pp of extra primary surplus is needed for every 1pp of real depreciation.</t>
  </si>
  <si>
    <t xml:space="preserve">Seven-year debt path</t>
  </si>
  <si>
    <t xml:space="preserve">Same multi-currency engine. Change any yellow input and the path moves.</t>
  </si>
  <si>
    <t xml:space="preserve">Primary balance, pb</t>
  </si>
  <si>
    <t xml:space="preserve">Starting debt / GDP</t>
  </si>
  <si>
    <t xml:space="preserve">Change (pp)</t>
  </si>
  <si>
    <t xml:space="preserve">Carry (pp)</t>
  </si>
  <si>
    <t xml:space="preserve">Primary balance (pp)</t>
  </si>
  <si>
    <t xml:space="preserve">Defaults are a plausible steady state, not a forecast: a stable real exchange rate (25% depreciation against a 25% deflator), 3% real growth and a 1.5% primary surplus.</t>
  </si>
  <si>
    <t xml:space="preserve">Set depreciation to 60% and watch what happens. That is the Argentine debt problem in one line: solvency is an exchange-rate question at least as much as a fiscal one, and no plausible primary surplus offsets a large real devaluation in the year it lands.</t>
  </si>
  <si>
    <t xml:space="preserve">Charts</t>
  </si>
</sst>
</file>

<file path=xl/styles.xml><?xml version="1.0" encoding="utf-8"?>
<styleSheet xmlns="http://schemas.openxmlformats.org/spreadsheetml/2006/main">
  <numFmts count="8">
    <numFmt numFmtId="164" formatCode="General"/>
    <numFmt numFmtId="165" formatCode="0"/>
    <numFmt numFmtId="166" formatCode="#,##0;\(#,##0\);\-"/>
    <numFmt numFmtId="167" formatCode="#,##0.00;\(#,##0.00\);\-"/>
    <numFmt numFmtId="168" formatCode="0.0%"/>
    <numFmt numFmtId="169" formatCode="\+0.00;\-0.00;\-"/>
    <numFmt numFmtId="170" formatCode="0%"/>
    <numFmt numFmtId="171" formatCode="0.0"/>
  </numFmts>
  <fonts count="1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B6B6B"/>
      <name val="Arial"/>
      <family val="0"/>
      <charset val="1"/>
    </font>
    <font>
      <b val="true"/>
      <sz val="11"/>
      <color rgb="FF1F3B63"/>
      <name val="Arial"/>
      <family val="0"/>
      <charset val="1"/>
    </font>
    <font>
      <b val="true"/>
      <sz val="9"/>
      <color rgb="FF1A1A1A"/>
      <name val="Arial"/>
      <family val="0"/>
      <charset val="1"/>
    </font>
    <font>
      <sz val="9"/>
      <color rgb="FF1A1A1A"/>
      <name val="Arial"/>
      <family val="0"/>
      <charset val="1"/>
    </font>
    <font>
      <sz val="9"/>
      <color rgb="FF008000"/>
      <name val="Arial"/>
      <family val="0"/>
      <charset val="1"/>
    </font>
    <font>
      <sz val="9"/>
      <color rgb="FF0000FF"/>
      <name val="Arial"/>
      <family val="0"/>
      <charset val="1"/>
    </font>
    <font>
      <i val="true"/>
      <sz val="8"/>
      <color rgb="FFC00000"/>
      <name val="Arial"/>
      <family val="0"/>
      <charset val="1"/>
    </font>
    <font>
      <i val="true"/>
      <sz val="8"/>
      <color rgb="FF6B6B6B"/>
      <name val="Arial"/>
      <family val="0"/>
      <charset val="1"/>
    </font>
    <font>
      <sz val="9"/>
      <color rgb="FFC00000"/>
      <name val="Arial"/>
      <family val="0"/>
      <charset val="1"/>
    </font>
    <font>
      <b val="true"/>
      <sz val="9"/>
      <color rgb="FF008000"/>
      <name val="Arial"/>
      <family val="0"/>
      <charset val="1"/>
    </font>
    <font>
      <b val="true"/>
      <sz val="9"/>
      <color rgb="FFC00000"/>
      <name val="Arial"/>
      <family val="0"/>
      <charset val="1"/>
    </font>
    <font>
      <b val="true"/>
      <sz val="9"/>
      <color rgb="FF0000FF"/>
      <name val="Arial"/>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1F3B63"/>
        <bgColor rgb="FF2F5C8F"/>
      </patternFill>
    </fill>
    <fill>
      <patternFill patternType="solid">
        <fgColor rgb="FFF2F4F7"/>
        <bgColor rgb="FFFFFFFF"/>
      </patternFill>
    </fill>
    <fill>
      <patternFill patternType="solid">
        <fgColor rgb="FFFFF6CC"/>
        <bgColor rgb="FFF2F4F7"/>
      </patternFill>
    </fill>
  </fills>
  <borders count="2">
    <border diagonalUp="false" diagonalDown="false">
      <left/>
      <right/>
      <top/>
      <bottom/>
      <diagonal/>
    </border>
    <border diagonalUp="false" diagonalDown="false">
      <left/>
      <right/>
      <top/>
      <bottom style="thin">
        <color rgb="FF1F3B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10"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8" fontId="16" fillId="4" borderId="1" xfId="0" applyFont="true" applyBorder="true" applyAlignment="true" applyProtection="false">
      <alignment horizontal="center" vertical="center"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C9D4"/>
      <rgbColor rgb="FF878787"/>
      <rgbColor rgb="FF9999FF"/>
      <rgbColor rgb="FFD1495B"/>
      <rgbColor rgb="FFFFF6CC"/>
      <rgbColor rgb="FFF2F4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6B6B6B"/>
      <rgbColor rgb="FF8AA0B8"/>
      <rgbColor rgb="FF1F3B63"/>
      <rgbColor rgb="FF4F9D69"/>
      <rgbColor rgb="FF003300"/>
      <rgbColor rgb="FF333300"/>
      <rgbColor rgb="FF993300"/>
      <rgbColor rgb="FF993366"/>
      <rgbColor rgb="FF2F5C8F"/>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Debt / GDP projection</a:t>
            </a:r>
          </a:p>
        </c:rich>
      </c:tx>
      <c:overlay val="0"/>
      <c:spPr>
        <a:noFill/>
        <a:ln w="0">
          <a:noFill/>
        </a:ln>
      </c:spPr>
    </c:title>
    <c:autoTitleDeleted val="0"/>
    <c:plotArea>
      <c:lineChart>
        <c:grouping val="standard"/>
        <c:varyColors val="0"/>
        <c:ser>
          <c:idx val="0"/>
          <c:order val="0"/>
          <c:tx>
            <c:strRef>
              <c:f>Scenarios!C18</c:f>
              <c:strCache>
                <c:ptCount val="1"/>
                <c:pt idx="0">
                  <c:v>Debt / GDP</c:v>
                </c:pt>
              </c:strCache>
            </c:strRef>
          </c:tx>
          <c:spPr>
            <a:solidFill>
              <a:srgbClr val="2f5c8f"/>
            </a:solidFill>
            <a:ln w="2988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Scenarios!$B$19:$B$26</c:f>
              <c:strCache>
                <c:ptCount val="8"/>
                <c:pt idx="0">
                  <c:v>2025</c:v>
                </c:pt>
                <c:pt idx="1">
                  <c:v>2026</c:v>
                </c:pt>
                <c:pt idx="2">
                  <c:v>2027</c:v>
                </c:pt>
                <c:pt idx="3">
                  <c:v>2028</c:v>
                </c:pt>
                <c:pt idx="4">
                  <c:v>2029</c:v>
                </c:pt>
                <c:pt idx="5">
                  <c:v>2030</c:v>
                </c:pt>
                <c:pt idx="6">
                  <c:v>2031</c:v>
                </c:pt>
                <c:pt idx="7">
                  <c:v>2032</c:v>
                </c:pt>
              </c:strCache>
            </c:strRef>
          </c:cat>
          <c:val>
            <c:numRef>
              <c:f>Scenarios!$C$19:$C$26</c:f>
              <c:numCache>
                <c:formatCode>0.0%</c:formatCode>
                <c:ptCount val="8"/>
                <c:pt idx="0">
                  <c:v>0.76001516436789</c:v>
                </c:pt>
                <c:pt idx="1">
                  <c:v>0.752393952371462</c:v>
                </c:pt>
                <c:pt idx="2">
                  <c:v>0.744698748025554</c:v>
                </c:pt>
                <c:pt idx="3">
                  <c:v>0.736928832957841</c:v>
                </c:pt>
                <c:pt idx="4">
                  <c:v>0.729083481821509</c:v>
                </c:pt>
                <c:pt idx="5">
                  <c:v>0.721161962227543</c:v>
                </c:pt>
                <c:pt idx="6">
                  <c:v>0.713163534676354</c:v>
                </c:pt>
                <c:pt idx="7">
                  <c:v>0.705087452488746</c:v>
                </c:pt>
              </c:numCache>
            </c:numRef>
          </c:val>
          <c:smooth val="0"/>
        </c:ser>
        <c:hiLowLines>
          <c:spPr>
            <a:ln w="0">
              <a:noFill/>
            </a:ln>
          </c:spPr>
        </c:hiLowLines>
        <c:marker val="0"/>
        <c:axId val="19975654"/>
        <c:axId val="67840821"/>
      </c:lineChart>
      <c:catAx>
        <c:axId val="19975654"/>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840821"/>
        <c:crosses val="autoZero"/>
        <c:auto val="1"/>
        <c:lblAlgn val="ctr"/>
        <c:lblOffset val="100"/>
        <c:noMultiLvlLbl val="0"/>
      </c:catAx>
      <c:valAx>
        <c:axId val="6784082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97565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moved the debt ratio (pp of GDP)</a:t>
            </a:r>
          </a:p>
        </c:rich>
      </c:tx>
      <c:overlay val="0"/>
      <c:spPr>
        <a:noFill/>
        <a:ln w="0">
          <a:noFill/>
        </a:ln>
      </c:spPr>
    </c:title>
    <c:autoTitleDeleted val="0"/>
    <c:plotArea>
      <c:barChart>
        <c:barDir val="col"/>
        <c:grouping val="stacked"/>
        <c:varyColors val="0"/>
        <c:ser>
          <c:idx val="0"/>
          <c:order val="0"/>
          <c:tx>
            <c:strRef>
              <c:f>"Interest cost"</c:f>
              <c:strCache>
                <c:ptCount val="1"/>
                <c:pt idx="0">
                  <c:v>Interest cost</c:v>
                </c:pt>
              </c:strCache>
            </c:strRef>
          </c:tx>
          <c:spPr>
            <a:solidFill>
              <a:srgbClr val="d1495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Dynamics!$B$9:$B$17</c:f>
              <c:strCache>
                <c:ptCount val="9"/>
                <c:pt idx="0">
                  <c:v>2017</c:v>
                </c:pt>
                <c:pt idx="1">
                  <c:v>2018</c:v>
                </c:pt>
                <c:pt idx="2">
                  <c:v>2019</c:v>
                </c:pt>
                <c:pt idx="3">
                  <c:v>2020</c:v>
                </c:pt>
                <c:pt idx="4">
                  <c:v>2021</c:v>
                </c:pt>
                <c:pt idx="5">
                  <c:v>2022</c:v>
                </c:pt>
                <c:pt idx="6">
                  <c:v>2023</c:v>
                </c:pt>
                <c:pt idx="7">
                  <c:v>2024</c:v>
                </c:pt>
                <c:pt idx="8">
                  <c:v>2025</c:v>
                </c:pt>
              </c:strCache>
            </c:strRef>
          </c:cat>
          <c:val>
            <c:numRef>
              <c:f>Dynamics!$J$9:$J$17</c:f>
              <c:numCache>
                <c:formatCode>\+0.00;\-0.00;\-</c:formatCode>
                <c:ptCount val="9"/>
                <c:pt idx="0">
                  <c:v>2.10978592165759</c:v>
                </c:pt>
                <c:pt idx="1">
                  <c:v>2.63780938604851</c:v>
                </c:pt>
                <c:pt idx="2">
                  <c:v>3.3596348372239</c:v>
                </c:pt>
                <c:pt idx="3">
                  <c:v>1.99514409448446</c:v>
                </c:pt>
                <c:pt idx="4">
                  <c:v>1.48042961485262</c:v>
                </c:pt>
                <c:pt idx="5">
                  <c:v>1.80293343824245</c:v>
                </c:pt>
                <c:pt idx="6">
                  <c:v>1.67769791765289</c:v>
                </c:pt>
                <c:pt idx="7">
                  <c:v>1.47867281514353</c:v>
                </c:pt>
                <c:pt idx="8">
                  <c:v>1.21323431595844</c:v>
                </c:pt>
              </c:numCache>
            </c:numRef>
          </c:val>
        </c:ser>
        <c:ser>
          <c:idx val="1"/>
          <c:order val="1"/>
          <c:tx>
            <c:strRef>
              <c:f>"Real growth"</c:f>
              <c:strCache>
                <c:ptCount val="1"/>
                <c:pt idx="0">
                  <c:v>Real growth</c:v>
                </c:pt>
              </c:strCache>
            </c:strRef>
          </c:tx>
          <c:spPr>
            <a:solidFill>
              <a:srgbClr val="4f9d6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Dynamics!$B$9:$B$17</c:f>
              <c:strCache>
                <c:ptCount val="9"/>
                <c:pt idx="0">
                  <c:v>2017</c:v>
                </c:pt>
                <c:pt idx="1">
                  <c:v>2018</c:v>
                </c:pt>
                <c:pt idx="2">
                  <c:v>2019</c:v>
                </c:pt>
                <c:pt idx="3">
                  <c:v>2020</c:v>
                </c:pt>
                <c:pt idx="4">
                  <c:v>2021</c:v>
                </c:pt>
                <c:pt idx="5">
                  <c:v>2022</c:v>
                </c:pt>
                <c:pt idx="6">
                  <c:v>2023</c:v>
                </c:pt>
                <c:pt idx="7">
                  <c:v>2024</c:v>
                </c:pt>
                <c:pt idx="8">
                  <c:v>2025</c:v>
                </c:pt>
              </c:strCache>
            </c:strRef>
          </c:cat>
          <c:val>
            <c:numRef>
              <c:f>Dynamics!$K$9:$K$17</c:f>
              <c:numCache>
                <c:formatCode>\+0.00;\-0.00;\-</c:formatCode>
                <c:ptCount val="9"/>
                <c:pt idx="0">
                  <c:v>-1.14004028900758</c:v>
                </c:pt>
                <c:pt idx="1">
                  <c:v>0.897796880475534</c:v>
                </c:pt>
                <c:pt idx="2">
                  <c:v>1.01732531445033</c:v>
                </c:pt>
                <c:pt idx="3">
                  <c:v>7.83118337654371</c:v>
                </c:pt>
                <c:pt idx="4">
                  <c:v>-6.46027548827665</c:v>
                </c:pt>
                <c:pt idx="5">
                  <c:v>-2.32483493497934</c:v>
                </c:pt>
                <c:pt idx="6">
                  <c:v>0.430070981817319</c:v>
                </c:pt>
                <c:pt idx="7">
                  <c:v>0.881219211200625</c:v>
                </c:pt>
                <c:pt idx="8">
                  <c:v>-2.16251421061315</c:v>
                </c:pt>
              </c:numCache>
            </c:numRef>
          </c:val>
        </c:ser>
        <c:ser>
          <c:idx val="2"/>
          <c:order val="2"/>
          <c:tx>
            <c:strRef>
              <c:f>"Inflation erosion"</c:f>
              <c:strCache>
                <c:ptCount val="1"/>
                <c:pt idx="0">
                  <c:v>Inflation erosion</c:v>
                </c:pt>
              </c:strCache>
            </c:strRef>
          </c:tx>
          <c:spPr>
            <a:solidFill>
              <a:srgbClr val="2f5c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Dynamics!$B$9:$B$17</c:f>
              <c:strCache>
                <c:ptCount val="9"/>
                <c:pt idx="0">
                  <c:v>2017</c:v>
                </c:pt>
                <c:pt idx="1">
                  <c:v>2018</c:v>
                </c:pt>
                <c:pt idx="2">
                  <c:v>2019</c:v>
                </c:pt>
                <c:pt idx="3">
                  <c:v>2020</c:v>
                </c:pt>
                <c:pt idx="4">
                  <c:v>2021</c:v>
                </c:pt>
                <c:pt idx="5">
                  <c:v>2022</c:v>
                </c:pt>
                <c:pt idx="6">
                  <c:v>2023</c:v>
                </c:pt>
                <c:pt idx="7">
                  <c:v>2024</c:v>
                </c:pt>
                <c:pt idx="8">
                  <c:v>2025</c:v>
                </c:pt>
              </c:strCache>
            </c:strRef>
          </c:cat>
          <c:val>
            <c:numRef>
              <c:f>Dynamics!$L$9:$L$17</c:f>
              <c:numCache>
                <c:formatCode>\+0.00;\-0.00;\-</c:formatCode>
                <c:ptCount val="9"/>
                <c:pt idx="0">
                  <c:v>-10.6682019548261</c:v>
                </c:pt>
                <c:pt idx="1">
                  <c:v>-16.8237309097738</c:v>
                </c:pt>
                <c:pt idx="2">
                  <c:v>-28.3582845123553</c:v>
                </c:pt>
                <c:pt idx="3">
                  <c:v>-29.7536972617479</c:v>
                </c:pt>
                <c:pt idx="4">
                  <c:v>-32.7468486720346</c:v>
                </c:pt>
                <c:pt idx="5">
                  <c:v>-31.4586566162564</c:v>
                </c:pt>
                <c:pt idx="6">
                  <c:v>-49.3927565452415</c:v>
                </c:pt>
                <c:pt idx="7">
                  <c:v>-105.93378461666</c:v>
                </c:pt>
                <c:pt idx="8">
                  <c:v>-22.7654813642638</c:v>
                </c:pt>
              </c:numCache>
            </c:numRef>
          </c:val>
        </c:ser>
        <c:ser>
          <c:idx val="3"/>
          <c:order val="3"/>
          <c:tx>
            <c:strRef>
              <c:f>"FX revaluation"</c:f>
              <c:strCache>
                <c:ptCount val="1"/>
                <c:pt idx="0">
                  <c:v>FX revaluation</c:v>
                </c:pt>
              </c:strCache>
            </c:strRef>
          </c:tx>
          <c:spPr>
            <a:solidFill>
              <a:srgbClr val="e8a33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Dynamics!$B$9:$B$17</c:f>
              <c:strCache>
                <c:ptCount val="9"/>
                <c:pt idx="0">
                  <c:v>2017</c:v>
                </c:pt>
                <c:pt idx="1">
                  <c:v>2018</c:v>
                </c:pt>
                <c:pt idx="2">
                  <c:v>2019</c:v>
                </c:pt>
                <c:pt idx="3">
                  <c:v>2020</c:v>
                </c:pt>
                <c:pt idx="4">
                  <c:v>2021</c:v>
                </c:pt>
                <c:pt idx="5">
                  <c:v>2022</c:v>
                </c:pt>
                <c:pt idx="6">
                  <c:v>2023</c:v>
                </c:pt>
                <c:pt idx="7">
                  <c:v>2024</c:v>
                </c:pt>
                <c:pt idx="8">
                  <c:v>2025</c:v>
                </c:pt>
              </c:strCache>
            </c:strRef>
          </c:cat>
          <c:val>
            <c:numRef>
              <c:f>Dynamics!$M$9:$M$17</c:f>
              <c:numCache>
                <c:formatCode>\+0.00;\-0.00;\-</c:formatCode>
                <c:ptCount val="9"/>
                <c:pt idx="0">
                  <c:v>6.38359944957294</c:v>
                </c:pt>
                <c:pt idx="1">
                  <c:v>41.0541044506678</c:v>
                </c:pt>
                <c:pt idx="2">
                  <c:v>35.6187153954852</c:v>
                </c:pt>
                <c:pt idx="3">
                  <c:v>18.3899916664307</c:v>
                </c:pt>
                <c:pt idx="4">
                  <c:v>9.31733662640771</c:v>
                </c:pt>
                <c:pt idx="5">
                  <c:v>24.8484175639167</c:v>
                </c:pt>
                <c:pt idx="6">
                  <c:v>137.000092175331</c:v>
                </c:pt>
                <c:pt idx="7">
                  <c:v>19.6063284221143</c:v>
                </c:pt>
                <c:pt idx="8">
                  <c:v>13.4208210395946</c:v>
                </c:pt>
              </c:numCache>
            </c:numRef>
          </c:val>
        </c:ser>
        <c:ser>
          <c:idx val="4"/>
          <c:order val="4"/>
          <c:tx>
            <c:strRef>
              <c:f>"Primary balance"</c:f>
              <c:strCache>
                <c:ptCount val="1"/>
                <c:pt idx="0">
                  <c:v>Primary balance</c:v>
                </c:pt>
              </c:strCache>
            </c:strRef>
          </c:tx>
          <c:spPr>
            <a:solidFill>
              <a:srgbClr val="8aa0b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Dynamics!$B$9:$B$17</c:f>
              <c:strCache>
                <c:ptCount val="9"/>
                <c:pt idx="0">
                  <c:v>2017</c:v>
                </c:pt>
                <c:pt idx="1">
                  <c:v>2018</c:v>
                </c:pt>
                <c:pt idx="2">
                  <c:v>2019</c:v>
                </c:pt>
                <c:pt idx="3">
                  <c:v>2020</c:v>
                </c:pt>
                <c:pt idx="4">
                  <c:v>2021</c:v>
                </c:pt>
                <c:pt idx="5">
                  <c:v>2022</c:v>
                </c:pt>
                <c:pt idx="6">
                  <c:v>2023</c:v>
                </c:pt>
                <c:pt idx="7">
                  <c:v>2024</c:v>
                </c:pt>
                <c:pt idx="8">
                  <c:v>2025</c:v>
                </c:pt>
              </c:strCache>
            </c:strRef>
          </c:cat>
          <c:val>
            <c:numRef>
              <c:f>Dynamics!$N$9:$N$17</c:f>
              <c:numCache>
                <c:formatCode>\+0.00;\-0.00;\-</c:formatCode>
                <c:ptCount val="9"/>
                <c:pt idx="0">
                  <c:v>3.79112886929973</c:v>
                </c:pt>
                <c:pt idx="1">
                  <c:v>2.29902578893512</c:v>
                </c:pt>
                <c:pt idx="2">
                  <c:v>0.441219224085459</c:v>
                </c:pt>
                <c:pt idx="3">
                  <c:v>6.4313485964464</c:v>
                </c:pt>
                <c:pt idx="4">
                  <c:v>2.12085555478717</c:v>
                </c:pt>
                <c:pt idx="5">
                  <c:v>2.00428219859384</c:v>
                </c:pt>
                <c:pt idx="6">
                  <c:v>2.66292227919494</c:v>
                </c:pt>
                <c:pt idx="7">
                  <c:v>-1.78066741224438</c:v>
                </c:pt>
                <c:pt idx="8">
                  <c:v>-1.38422325378931</c:v>
                </c:pt>
              </c:numCache>
            </c:numRef>
          </c:val>
        </c:ser>
        <c:ser>
          <c:idx val="5"/>
          <c:order val="5"/>
          <c:tx>
            <c:strRef>
              <c:f>"Residual"</c:f>
              <c:strCache>
                <c:ptCount val="1"/>
                <c:pt idx="0">
                  <c:v>Residual</c:v>
                </c:pt>
              </c:strCache>
            </c:strRef>
          </c:tx>
          <c:spPr>
            <a:solidFill>
              <a:srgbClr val="bfc9d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Dynamics!$B$9:$B$17</c:f>
              <c:strCache>
                <c:ptCount val="9"/>
                <c:pt idx="0">
                  <c:v>2017</c:v>
                </c:pt>
                <c:pt idx="1">
                  <c:v>2018</c:v>
                </c:pt>
                <c:pt idx="2">
                  <c:v>2019</c:v>
                </c:pt>
                <c:pt idx="3">
                  <c:v>2020</c:v>
                </c:pt>
                <c:pt idx="4">
                  <c:v>2021</c:v>
                </c:pt>
                <c:pt idx="5">
                  <c:v>2022</c:v>
                </c:pt>
                <c:pt idx="6">
                  <c:v>2023</c:v>
                </c:pt>
                <c:pt idx="7">
                  <c:v>2024</c:v>
                </c:pt>
                <c:pt idx="8">
                  <c:v>2025</c:v>
                </c:pt>
              </c:strCache>
            </c:strRef>
          </c:cat>
          <c:val>
            <c:numRef>
              <c:f>Dynamics!$P$9:$P$17</c:f>
              <c:numCache>
                <c:formatCode>\+0.00;\-0.00;\-</c:formatCode>
                <c:ptCount val="9"/>
                <c:pt idx="0">
                  <c:v>2.61161108605801</c:v>
                </c:pt>
                <c:pt idx="1">
                  <c:v>-1.27646878043124</c:v>
                </c:pt>
                <c:pt idx="2">
                  <c:v>-7.23498209609054</c:v>
                </c:pt>
                <c:pt idx="3">
                  <c:v>9.07602137665595</c:v>
                </c:pt>
                <c:pt idx="4">
                  <c:v>2.69505841841727</c:v>
                </c:pt>
                <c:pt idx="5">
                  <c:v>9.38918754346264</c:v>
                </c:pt>
                <c:pt idx="6">
                  <c:v>-22.2827793301404</c:v>
                </c:pt>
                <c:pt idx="7">
                  <c:v>13.7329895487178</c:v>
                </c:pt>
                <c:pt idx="8">
                  <c:v>5.18226413151499</c:v>
                </c:pt>
              </c:numCache>
            </c:numRef>
          </c:val>
        </c:ser>
        <c:gapWidth val="150"/>
        <c:overlap val="100"/>
        <c:axId val="18706042"/>
        <c:axId val="40282297"/>
      </c:barChart>
      <c:catAx>
        <c:axId val="18706042"/>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282297"/>
        <c:crosses val="autoZero"/>
        <c:auto val="1"/>
        <c:lblAlgn val="ctr"/>
        <c:lblOffset val="100"/>
        <c:noMultiLvlLbl val="0"/>
      </c:catAx>
      <c:valAx>
        <c:axId val="4028229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70604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Debt/GDP, primary balance and interest bill</a:t>
            </a:r>
          </a:p>
        </c:rich>
      </c:tx>
      <c:overlay val="0"/>
      <c:spPr>
        <a:noFill/>
        <a:ln w="0">
          <a:noFill/>
        </a:ln>
      </c:spPr>
    </c:title>
    <c:autoTitleDeleted val="0"/>
    <c:plotArea>
      <c:lineChart>
        <c:grouping val="standard"/>
        <c:varyColors val="0"/>
        <c:ser>
          <c:idx val="0"/>
          <c:order val="0"/>
          <c:tx>
            <c:strRef>
              <c:f>Dynamics!C7</c:f>
              <c:strCache>
                <c:ptCount val="1"/>
                <c:pt idx="0">
                  <c:v>Debt/GDP
(end)</c:v>
                </c:pt>
              </c:strCache>
            </c:strRef>
          </c:tx>
          <c:spPr>
            <a:solidFill>
              <a:srgbClr val="1a1a1a"/>
            </a:solidFill>
            <a:ln w="2988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Dynamics!$B$8:$B$17</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Dynamics!$C$8:$C$17</c:f>
              <c:numCache>
                <c:formatCode>0.0%</c:formatCode>
                <c:ptCount val="10"/>
                <c:pt idx="0">
                  <c:v>0.530594851740789</c:v>
                </c:pt>
                <c:pt idx="1">
                  <c:v>0.561473682568335</c:v>
                </c:pt>
                <c:pt idx="2">
                  <c:v>0.849359050727554</c:v>
                </c:pt>
                <c:pt idx="3">
                  <c:v>0.897795332355545</c:v>
                </c:pt>
                <c:pt idx="4">
                  <c:v>1.03749525084368</c:v>
                </c:pt>
                <c:pt idx="5">
                  <c:v>0.801560811385212</c:v>
                </c:pt>
                <c:pt idx="6">
                  <c:v>0.844174103315011</c:v>
                </c:pt>
                <c:pt idx="7">
                  <c:v>1.54512657810116</c:v>
                </c:pt>
                <c:pt idx="8">
                  <c:v>0.824974157783872</c:v>
                </c:pt>
                <c:pt idx="9">
                  <c:v>0.76001516436789</c:v>
                </c:pt>
              </c:numCache>
            </c:numRef>
          </c:val>
          <c:smooth val="0"/>
        </c:ser>
        <c:hiLowLines>
          <c:spPr>
            <a:ln w="0">
              <a:noFill/>
            </a:ln>
          </c:spPr>
        </c:hiLowLines>
        <c:marker val="0"/>
        <c:axId val="89131124"/>
        <c:axId val="62948476"/>
      </c:lineChart>
      <c:catAx>
        <c:axId val="89131124"/>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948476"/>
        <c:crosses val="autoZero"/>
        <c:auto val="1"/>
        <c:lblAlgn val="ctr"/>
        <c:lblOffset val="100"/>
        <c:noMultiLvlLbl val="0"/>
      </c:catAx>
      <c:valAx>
        <c:axId val="6294847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13112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24</xdr:col>
      <xdr:colOff>404280</xdr:colOff>
      <xdr:row>26</xdr:row>
      <xdr:rowOff>107640</xdr:rowOff>
    </xdr:to>
    <xdr:graphicFrame>
      <xdr:nvGraphicFramePr>
        <xdr:cNvPr id="0" name="Chart 1"/>
        <xdr:cNvGraphicFramePr/>
      </xdr:nvGraphicFramePr>
      <xdr:xfrm>
        <a:off x="4981680" y="704880"/>
        <a:ext cx="1079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0</xdr:rowOff>
    </xdr:from>
    <xdr:to>
      <xdr:col>19</xdr:col>
      <xdr:colOff>512640</xdr:colOff>
      <xdr:row>29</xdr:row>
      <xdr:rowOff>86760</xdr:rowOff>
    </xdr:to>
    <xdr:graphicFrame>
      <xdr:nvGraphicFramePr>
        <xdr:cNvPr id="1" name="Chart 1"/>
        <xdr:cNvGraphicFramePr/>
      </xdr:nvGraphicFramePr>
      <xdr:xfrm>
        <a:off x="141120" y="704880"/>
        <a:ext cx="115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33</xdr:row>
      <xdr:rowOff>0</xdr:rowOff>
    </xdr:from>
    <xdr:to>
      <xdr:col>19</xdr:col>
      <xdr:colOff>512640</xdr:colOff>
      <xdr:row>57</xdr:row>
      <xdr:rowOff>107640</xdr:rowOff>
    </xdr:to>
    <xdr:graphicFrame>
      <xdr:nvGraphicFramePr>
        <xdr:cNvPr id="2" name="Chart 2"/>
        <xdr:cNvGraphicFramePr/>
      </xdr:nvGraphicFramePr>
      <xdr:xfrm>
        <a:off x="141120" y="6419880"/>
        <a:ext cx="11519640" cy="46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4"/>
  </cols>
  <sheetData>
    <row r="2" customFormat="false" ht="25.5" hidden="false" customHeight="tru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76.5" hidden="false" customHeight="true" outlineLevel="0" collapsed="false">
      <c r="B6" s="4" t="s">
        <v>3</v>
      </c>
      <c r="C6" s="5" t="s">
        <v>4</v>
      </c>
    </row>
    <row r="7" customFormat="false" ht="21.75" hidden="false" customHeight="true" outlineLevel="0" collapsed="false">
      <c r="B7" s="4" t="s">
        <v>5</v>
      </c>
      <c r="C7" s="5" t="s">
        <v>6</v>
      </c>
    </row>
    <row r="8" customFormat="false" ht="33" hidden="false" customHeight="true" outlineLevel="0" collapsed="false">
      <c r="B8" s="4" t="s">
        <v>7</v>
      </c>
      <c r="C8" s="5" t="s">
        <v>8</v>
      </c>
    </row>
    <row r="9" customFormat="false" ht="15" hidden="false" customHeight="false" outlineLevel="0" collapsed="false">
      <c r="B9" s="3"/>
    </row>
    <row r="10" customFormat="false" ht="15" hidden="false" customHeight="false" outlineLevel="0" collapsed="false">
      <c r="B10" s="3" t="s">
        <v>9</v>
      </c>
    </row>
    <row r="11" customFormat="false" ht="12" hidden="false" customHeight="true" outlineLevel="0" collapsed="false">
      <c r="B11" s="4" t="s">
        <v>10</v>
      </c>
      <c r="C11" s="5" t="s">
        <v>11</v>
      </c>
    </row>
    <row r="12" customFormat="false" ht="43.5" hidden="false" customHeight="true" outlineLevel="0" collapsed="false">
      <c r="B12" s="4" t="s">
        <v>12</v>
      </c>
      <c r="C12" s="5" t="s">
        <v>13</v>
      </c>
    </row>
    <row r="13" customFormat="false" ht="21.75" hidden="false" customHeight="true" outlineLevel="0" collapsed="false">
      <c r="B13" s="4" t="s">
        <v>14</v>
      </c>
      <c r="C13" s="5" t="s">
        <v>15</v>
      </c>
    </row>
    <row r="14" customFormat="false" ht="21.75" hidden="false" customHeight="true" outlineLevel="0" collapsed="false">
      <c r="B14" s="4" t="s">
        <v>16</v>
      </c>
      <c r="C14" s="5" t="s">
        <v>17</v>
      </c>
    </row>
    <row r="15" customFormat="false" ht="15" hidden="false" customHeight="false" outlineLevel="0" collapsed="false">
      <c r="B15" s="3"/>
    </row>
    <row r="16" customFormat="false" ht="43.5" hidden="false" customHeight="true" outlineLevel="0" collapsed="false">
      <c r="B16" s="4" t="s">
        <v>18</v>
      </c>
      <c r="C16" s="5" t="s">
        <v>19</v>
      </c>
    </row>
    <row r="17" customFormat="false" ht="33" hidden="false" customHeight="true" outlineLevel="0" collapsed="false">
      <c r="B17" s="4" t="s">
        <v>20</v>
      </c>
      <c r="C17" s="5"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Q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4" min="3" style="0" width="16"/>
    <col collapsed="false" customWidth="true" hidden="false" outlineLevel="0" max="5" min="5" style="0" width="15"/>
    <col collapsed="false" customWidth="true" hidden="false" outlineLevel="0" max="6" min="6" style="0" width="16"/>
    <col collapsed="false" customWidth="true" hidden="false" outlineLevel="0" max="7" min="7" style="0" width="13"/>
    <col collapsed="false" customWidth="true" hidden="false" outlineLevel="0" max="8" min="8" style="0" width="14"/>
    <col collapsed="false" customWidth="true" hidden="false" outlineLevel="0" max="9" min="9" style="0" width="18"/>
    <col collapsed="false" customWidth="true" hidden="false" outlineLevel="0" max="10" min="10" style="0" width="16"/>
    <col collapsed="false" customWidth="true" hidden="false" outlineLevel="0" max="11" min="11" style="0" width="11"/>
    <col collapsed="false" customWidth="true" hidden="false" outlineLevel="0" max="12" min="12" style="0" width="13"/>
    <col collapsed="false" customWidth="true" hidden="false" outlineLevel="0" max="14" min="13" style="0" width="12"/>
    <col collapsed="false" customWidth="true" hidden="false" outlineLevel="0" max="15" min="15" style="0" width="13"/>
    <col collapsed="false" customWidth="true" hidden="false" outlineLevel="0" max="17" min="16" style="0" width="14"/>
  </cols>
  <sheetData>
    <row r="2" customFormat="false" ht="25.5" hidden="false" customHeight="true" outlineLevel="0" collapsed="false">
      <c r="B2" s="1" t="s">
        <v>22</v>
      </c>
    </row>
    <row r="3" customFormat="false" ht="15" hidden="false" customHeight="false" outlineLevel="0" collapsed="false">
      <c r="B3" s="2" t="s">
        <v>23</v>
      </c>
    </row>
    <row r="7" customFormat="false" ht="31.5" hidden="false" customHeight="true" outlineLevel="0" collapsed="false">
      <c r="B7" s="6" t="s">
        <v>24</v>
      </c>
      <c r="C7" s="6" t="s">
        <v>25</v>
      </c>
      <c r="D7" s="6" t="s">
        <v>26</v>
      </c>
      <c r="E7" s="6" t="s">
        <v>27</v>
      </c>
      <c r="F7" s="6" t="s">
        <v>28</v>
      </c>
      <c r="G7" s="6" t="s">
        <v>29</v>
      </c>
      <c r="H7" s="6" t="s">
        <v>30</v>
      </c>
      <c r="I7" s="6" t="s">
        <v>31</v>
      </c>
      <c r="J7" s="6" t="s">
        <v>32</v>
      </c>
      <c r="K7" s="6" t="s">
        <v>33</v>
      </c>
      <c r="L7" s="6" t="s">
        <v>34</v>
      </c>
      <c r="M7" s="6" t="s">
        <v>35</v>
      </c>
      <c r="N7" s="6" t="s">
        <v>36</v>
      </c>
      <c r="O7" s="6" t="s">
        <v>37</v>
      </c>
      <c r="P7" s="6" t="s">
        <v>38</v>
      </c>
      <c r="Q7" s="6" t="s">
        <v>39</v>
      </c>
    </row>
    <row r="8" customFormat="false" ht="15" hidden="false" customHeight="false" outlineLevel="0" collapsed="false">
      <c r="B8" s="7" t="n">
        <v>2016</v>
      </c>
      <c r="C8" s="8" t="n">
        <v>8228159.55653643</v>
      </c>
      <c r="D8" s="8" t="n">
        <v>-343524</v>
      </c>
      <c r="E8" s="8" t="n">
        <v>131259</v>
      </c>
      <c r="F8" s="8" t="n">
        <v>-474785</v>
      </c>
      <c r="G8" s="9" t="n">
        <v>15.85</v>
      </c>
      <c r="H8" s="10" t="n">
        <v>275446</v>
      </c>
      <c r="I8" s="11" t="s">
        <v>40</v>
      </c>
      <c r="J8" s="12" t="n">
        <f aca="false">G8*H8</f>
        <v>4365819.1</v>
      </c>
      <c r="K8" s="13" t="n">
        <f aca="false">J8/C8</f>
        <v>0.530594851740789</v>
      </c>
      <c r="L8" s="14" t="n">
        <v>147.370620902448</v>
      </c>
      <c r="M8" s="14" t="n">
        <v>90.5294756891327</v>
      </c>
      <c r="N8" s="15" t="n">
        <v>0.7</v>
      </c>
      <c r="O8" s="9" t="n">
        <v>14.78</v>
      </c>
      <c r="P8" s="12" t="n">
        <f aca="false">C8/O8</f>
        <v>556709.036301518</v>
      </c>
      <c r="Q8" s="13" t="n">
        <f aca="false">H8/P8</f>
        <v>0.4947755147463</v>
      </c>
    </row>
    <row r="9" customFormat="false" ht="15" hidden="false" customHeight="false" outlineLevel="0" collapsed="false">
      <c r="B9" s="7" t="n">
        <v>2017</v>
      </c>
      <c r="C9" s="8" t="n">
        <v>10660228.4948085</v>
      </c>
      <c r="D9" s="8" t="n">
        <v>-404143</v>
      </c>
      <c r="E9" s="8" t="n">
        <v>224908</v>
      </c>
      <c r="F9" s="8" t="n">
        <v>-629050</v>
      </c>
      <c r="G9" s="9" t="n">
        <v>18.65</v>
      </c>
      <c r="H9" s="10" t="n">
        <v>320935</v>
      </c>
      <c r="I9" s="11" t="s">
        <v>40</v>
      </c>
      <c r="J9" s="12" t="n">
        <f aca="false">G9*H9</f>
        <v>5985437.75</v>
      </c>
      <c r="K9" s="13" t="n">
        <f aca="false">J9/C9</f>
        <v>0.561473682568335</v>
      </c>
      <c r="L9" s="14" t="n">
        <v>151.472963153339</v>
      </c>
      <c r="M9" s="14" t="n">
        <v>112.887108333333</v>
      </c>
      <c r="N9" s="15" t="n">
        <v>0.7</v>
      </c>
      <c r="O9" s="9" t="n">
        <v>16.58</v>
      </c>
      <c r="P9" s="12" t="n">
        <f aca="false">C9/O9</f>
        <v>642957.086538508</v>
      </c>
      <c r="Q9" s="13" t="n">
        <f aca="false">H9/P9</f>
        <v>0.499154619677372</v>
      </c>
    </row>
    <row r="10" customFormat="false" ht="15" hidden="false" customHeight="false" outlineLevel="0" collapsed="false">
      <c r="B10" s="7" t="n">
        <v>2018</v>
      </c>
      <c r="C10" s="8" t="n">
        <v>14744810.6772658</v>
      </c>
      <c r="D10" s="8" t="n">
        <v>-338987</v>
      </c>
      <c r="E10" s="8" t="n">
        <v>388940</v>
      </c>
      <c r="F10" s="8" t="n">
        <v>-727927</v>
      </c>
      <c r="G10" s="9" t="n">
        <v>37.7</v>
      </c>
      <c r="H10" s="10" t="n">
        <v>332192</v>
      </c>
      <c r="I10" s="11" t="s">
        <v>40</v>
      </c>
      <c r="J10" s="12" t="n">
        <f aca="false">G10*H10</f>
        <v>12523638.4</v>
      </c>
      <c r="K10" s="13" t="n">
        <f aca="false">J10/C10</f>
        <v>0.849359050727554</v>
      </c>
      <c r="L10" s="14" t="n">
        <v>148.122872991019</v>
      </c>
      <c r="M10" s="14" t="n">
        <v>151.581675</v>
      </c>
      <c r="N10" s="15" t="n">
        <v>0.7</v>
      </c>
      <c r="O10" s="9" t="n">
        <v>28.11</v>
      </c>
      <c r="P10" s="12" t="n">
        <f aca="false">C10/O10</f>
        <v>524539.689692843</v>
      </c>
      <c r="Q10" s="13" t="n">
        <f aca="false">H10/P10</f>
        <v>0.633301934110121</v>
      </c>
    </row>
    <row r="11" customFormat="false" ht="15" hidden="false" customHeight="false" outlineLevel="0" collapsed="false">
      <c r="B11" s="7" t="n">
        <v>2019</v>
      </c>
      <c r="C11" s="8" t="n">
        <v>21558444.1492006</v>
      </c>
      <c r="D11" s="8" t="n">
        <v>-95120</v>
      </c>
      <c r="E11" s="8" t="n">
        <v>724285</v>
      </c>
      <c r="F11" s="8" t="n">
        <v>-819406</v>
      </c>
      <c r="G11" s="9" t="n">
        <v>59.89</v>
      </c>
      <c r="H11" s="10" t="n">
        <v>323177</v>
      </c>
      <c r="I11" s="16" t="s">
        <v>41</v>
      </c>
      <c r="J11" s="12" t="n">
        <f aca="false">G11*H11</f>
        <v>19355070.53</v>
      </c>
      <c r="K11" s="13" t="n">
        <f aca="false">J11/C11</f>
        <v>0.897795332355545</v>
      </c>
      <c r="L11" s="14" t="n">
        <v>145.528879548633</v>
      </c>
      <c r="M11" s="14" t="n">
        <v>232.743420116667</v>
      </c>
      <c r="N11" s="15" t="n">
        <v>0.7</v>
      </c>
      <c r="O11" s="9" t="n">
        <v>48.24</v>
      </c>
      <c r="P11" s="12" t="n">
        <f aca="false">C11/O11</f>
        <v>446899.754336663</v>
      </c>
      <c r="Q11" s="13" t="n">
        <f aca="false">H11/P11</f>
        <v>0.7231532281321</v>
      </c>
    </row>
    <row r="12" customFormat="false" ht="15" hidden="false" customHeight="false" outlineLevel="0" collapsed="false">
      <c r="B12" s="7" t="n">
        <v>2020</v>
      </c>
      <c r="C12" s="8" t="n">
        <v>27209814.1432876</v>
      </c>
      <c r="D12" s="8" t="n">
        <v>-1749958</v>
      </c>
      <c r="E12" s="8" t="n">
        <v>542875</v>
      </c>
      <c r="F12" s="8" t="n">
        <v>-2292829</v>
      </c>
      <c r="G12" s="9" t="n">
        <v>84.15</v>
      </c>
      <c r="H12" s="10" t="n">
        <v>335473</v>
      </c>
      <c r="I12" s="11" t="s">
        <v>40</v>
      </c>
      <c r="J12" s="12" t="n">
        <f aca="false">G12*H12</f>
        <v>28230052.95</v>
      </c>
      <c r="K12" s="13" t="n">
        <f aca="false">J12/C12</f>
        <v>1.03749525084368</v>
      </c>
      <c r="L12" s="14" t="n">
        <v>129.5072237853</v>
      </c>
      <c r="M12" s="14" t="n">
        <v>330.541683333333</v>
      </c>
      <c r="N12" s="15" t="n">
        <v>0.45</v>
      </c>
      <c r="O12" s="9" t="n">
        <v>70.58</v>
      </c>
      <c r="P12" s="12" t="n">
        <f aca="false">C12/O12</f>
        <v>385517.344053381</v>
      </c>
      <c r="Q12" s="13" t="n">
        <f aca="false">H12/P12</f>
        <v>0.870189124237038</v>
      </c>
    </row>
    <row r="13" customFormat="false" ht="15" hidden="false" customHeight="false" outlineLevel="0" collapsed="false">
      <c r="B13" s="7" t="n">
        <v>2021</v>
      </c>
      <c r="C13" s="8" t="n">
        <v>46219083.5103038</v>
      </c>
      <c r="D13" s="8" t="n">
        <v>-980240</v>
      </c>
      <c r="E13" s="8" t="n">
        <v>684241</v>
      </c>
      <c r="F13" s="8" t="n">
        <v>-1664482</v>
      </c>
      <c r="G13" s="9" t="n">
        <v>102.72</v>
      </c>
      <c r="H13" s="10" t="n">
        <v>360664</v>
      </c>
      <c r="I13" s="11" t="s">
        <v>40</v>
      </c>
      <c r="J13" s="12" t="n">
        <f aca="false">G13*H13</f>
        <v>37047406.08</v>
      </c>
      <c r="K13" s="13" t="n">
        <f aca="false">J13/C13</f>
        <v>0.801560811385212</v>
      </c>
      <c r="L13" s="14" t="n">
        <v>143.205145144507</v>
      </c>
      <c r="M13" s="14" t="n">
        <v>490.554858333333</v>
      </c>
      <c r="N13" s="15" t="n">
        <v>0.45</v>
      </c>
      <c r="O13" s="9" t="n">
        <v>95.1</v>
      </c>
      <c r="P13" s="12" t="n">
        <f aca="false">C13/O13</f>
        <v>486005.084230324</v>
      </c>
      <c r="Q13" s="13" t="n">
        <f aca="false">H13/P13</f>
        <v>0.742099232503249</v>
      </c>
    </row>
    <row r="14" customFormat="false" ht="15" hidden="false" customHeight="false" outlineLevel="0" collapsed="false">
      <c r="B14" s="7" t="n">
        <v>2022</v>
      </c>
      <c r="C14" s="8" t="n">
        <v>82810045.4698667</v>
      </c>
      <c r="D14" s="8" t="n">
        <v>-1659747</v>
      </c>
      <c r="E14" s="8" t="n">
        <v>1493010</v>
      </c>
      <c r="F14" s="8" t="n">
        <v>-3152757</v>
      </c>
      <c r="G14" s="9" t="n">
        <v>177.16</v>
      </c>
      <c r="H14" s="10" t="n">
        <v>394593</v>
      </c>
      <c r="I14" s="11" t="s">
        <v>40</v>
      </c>
      <c r="J14" s="12" t="n">
        <f aca="false">G14*H14</f>
        <v>69906095.88</v>
      </c>
      <c r="K14" s="13" t="n">
        <f aca="false">J14/C14</f>
        <v>0.844174103315011</v>
      </c>
      <c r="L14" s="14" t="n">
        <v>150.646910328827</v>
      </c>
      <c r="M14" s="14" t="n">
        <v>845.867458333333</v>
      </c>
      <c r="N14" s="15" t="n">
        <v>0.45</v>
      </c>
      <c r="O14" s="9" t="n">
        <v>130.68</v>
      </c>
      <c r="P14" s="12" t="n">
        <f aca="false">C14/O14</f>
        <v>633685.686178961</v>
      </c>
      <c r="Q14" s="13" t="n">
        <f aca="false">H14/P14</f>
        <v>0.622695144621843</v>
      </c>
    </row>
    <row r="15" customFormat="false" ht="15" hidden="false" customHeight="false" outlineLevel="0" collapsed="false">
      <c r="B15" s="7" t="n">
        <v>2023</v>
      </c>
      <c r="C15" s="8" t="n">
        <v>193946178.615524</v>
      </c>
      <c r="D15" s="8" t="n">
        <v>-5164636</v>
      </c>
      <c r="E15" s="8" t="n">
        <v>3253831</v>
      </c>
      <c r="F15" s="8" t="n">
        <v>-8418468</v>
      </c>
      <c r="G15" s="9" t="n">
        <v>808.45</v>
      </c>
      <c r="H15" s="10" t="n">
        <v>370674</v>
      </c>
      <c r="I15" s="16" t="s">
        <v>42</v>
      </c>
      <c r="J15" s="12" t="n">
        <f aca="false">G15*H15</f>
        <v>299671395.3</v>
      </c>
      <c r="K15" s="13" t="n">
        <f aca="false">J15/C15</f>
        <v>1.54512657810116</v>
      </c>
      <c r="L15" s="14" t="n">
        <v>148.849420059316</v>
      </c>
      <c r="M15" s="14" t="n">
        <v>1975.006925</v>
      </c>
      <c r="N15" s="15" t="n">
        <v>0.45</v>
      </c>
      <c r="O15" s="9" t="n">
        <v>296.3</v>
      </c>
      <c r="P15" s="12" t="n">
        <f aca="false">C15/O15</f>
        <v>654560.170825257</v>
      </c>
      <c r="Q15" s="13" t="n">
        <f aca="false">H15/P15</f>
        <v>0.5662947678785</v>
      </c>
    </row>
    <row r="16" customFormat="false" ht="15" hidden="false" customHeight="false" outlineLevel="0" collapsed="false">
      <c r="B16" s="7" t="n">
        <v>2024</v>
      </c>
      <c r="C16" s="8" t="n">
        <v>584377011.02669</v>
      </c>
      <c r="D16" s="8" t="n">
        <v>10405811</v>
      </c>
      <c r="E16" s="8" t="n">
        <v>8641024</v>
      </c>
      <c r="F16" s="8" t="n">
        <v>1764786</v>
      </c>
      <c r="G16" s="9" t="n">
        <v>1032.5</v>
      </c>
      <c r="H16" s="10" t="n">
        <v>466921</v>
      </c>
      <c r="I16" s="16" t="s">
        <v>43</v>
      </c>
      <c r="J16" s="12" t="n">
        <f aca="false">G16*H16</f>
        <v>482095932.5</v>
      </c>
      <c r="K16" s="13" t="n">
        <f aca="false">J16/C16</f>
        <v>0.824974157783872</v>
      </c>
      <c r="L16" s="14" t="n">
        <v>146.291547303605</v>
      </c>
      <c r="M16" s="14" t="n">
        <v>6317.73994166667</v>
      </c>
      <c r="N16" s="15" t="n">
        <v>0.45</v>
      </c>
      <c r="O16" s="9" t="n">
        <v>916.9</v>
      </c>
      <c r="P16" s="12" t="n">
        <f aca="false">C16/O16</f>
        <v>637339.961857007</v>
      </c>
      <c r="Q16" s="13" t="n">
        <f aca="false">H16/P16</f>
        <v>0.732609012370007</v>
      </c>
    </row>
    <row r="17" customFormat="false" ht="15" hidden="false" customHeight="false" outlineLevel="0" collapsed="false">
      <c r="B17" s="7" t="n">
        <v>2025</v>
      </c>
      <c r="C17" s="8" t="n">
        <v>850239798.224875</v>
      </c>
      <c r="D17" s="8" t="n">
        <v>11769217</v>
      </c>
      <c r="E17" s="8" t="n">
        <v>10315401</v>
      </c>
      <c r="F17" s="8" t="n">
        <v>1453819</v>
      </c>
      <c r="G17" s="9" t="n">
        <v>1420</v>
      </c>
      <c r="H17" s="10" t="n">
        <v>455067</v>
      </c>
      <c r="I17" s="16" t="s">
        <v>43</v>
      </c>
      <c r="J17" s="12" t="n">
        <f aca="false">G17*H17</f>
        <v>646195140</v>
      </c>
      <c r="K17" s="13" t="n">
        <f aca="false">J17/C17</f>
        <v>0.76001516436789</v>
      </c>
      <c r="L17" s="14" t="n">
        <v>151.870930187633</v>
      </c>
      <c r="M17" s="14" t="n">
        <v>8966.16653333333</v>
      </c>
      <c r="N17" s="15" t="n">
        <v>0.45</v>
      </c>
      <c r="O17" s="9" t="n">
        <v>1247.6</v>
      </c>
      <c r="P17" s="12" t="n">
        <f aca="false">C17/O17</f>
        <v>681500.31919275</v>
      </c>
      <c r="Q17" s="13" t="n">
        <f aca="false">H17/P17</f>
        <v>0.667742900750267</v>
      </c>
    </row>
    <row r="19" customFormat="false" ht="15" hidden="false" customHeight="false" outlineLevel="0" collapsed="false">
      <c r="B19" s="16" t="s">
        <v>44</v>
      </c>
    </row>
    <row r="20" customFormat="false" ht="15" hidden="false" customHeight="false" outlineLevel="0" collapsed="false">
      <c r="B20" s="16"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P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11"/>
    <col collapsed="false" customWidth="true" hidden="false" outlineLevel="0" max="4" min="4" style="0" width="10"/>
    <col collapsed="false" customWidth="true" hidden="false" outlineLevel="0" max="5" min="5" style="0" width="13"/>
    <col collapsed="false" customWidth="true" hidden="false" outlineLevel="0" max="6" min="6" style="0" width="12"/>
    <col collapsed="false" customWidth="true" hidden="false" outlineLevel="0" max="7" min="7" style="0" width="13"/>
    <col collapsed="false" customWidth="true" hidden="false" outlineLevel="0" max="8" min="8" style="0" width="14"/>
    <col collapsed="false" customWidth="true" hidden="false" outlineLevel="0" max="11" min="9" style="0" width="12"/>
    <col collapsed="false" customWidth="true" hidden="false" outlineLevel="0" max="14" min="12" style="0" width="13"/>
    <col collapsed="false" customWidth="true" hidden="false" outlineLevel="0" max="15" min="15" style="0" width="12"/>
    <col collapsed="false" customWidth="true" hidden="false" outlineLevel="0" max="16" min="16" style="0" width="11"/>
  </cols>
  <sheetData>
    <row r="2" customFormat="false" ht="25.5" hidden="false" customHeight="true" outlineLevel="0" collapsed="false">
      <c r="B2" s="1" t="s">
        <v>46</v>
      </c>
    </row>
    <row r="3" customFormat="false" ht="15" hidden="false" customHeight="false" outlineLevel="0" collapsed="false">
      <c r="B3" s="2" t="s">
        <v>47</v>
      </c>
    </row>
    <row r="7" customFormat="false" ht="33.75" hidden="false" customHeight="true" outlineLevel="0" collapsed="false">
      <c r="B7" s="6" t="s">
        <v>24</v>
      </c>
      <c r="C7" s="6" t="s">
        <v>48</v>
      </c>
      <c r="D7" s="6" t="s">
        <v>49</v>
      </c>
      <c r="E7" s="6" t="s">
        <v>50</v>
      </c>
      <c r="F7" s="6" t="s">
        <v>51</v>
      </c>
      <c r="G7" s="6" t="s">
        <v>52</v>
      </c>
      <c r="H7" s="6" t="s">
        <v>53</v>
      </c>
      <c r="I7" s="6" t="s">
        <v>54</v>
      </c>
      <c r="J7" s="6" t="s">
        <v>55</v>
      </c>
      <c r="K7" s="6" t="s">
        <v>56</v>
      </c>
      <c r="L7" s="6" t="s">
        <v>57</v>
      </c>
      <c r="M7" s="6" t="s">
        <v>58</v>
      </c>
      <c r="N7" s="6" t="s">
        <v>59</v>
      </c>
      <c r="O7" s="6" t="s">
        <v>60</v>
      </c>
      <c r="P7" s="6" t="s">
        <v>61</v>
      </c>
    </row>
    <row r="8" customFormat="false" ht="15" hidden="false" customHeight="false" outlineLevel="0" collapsed="false">
      <c r="B8" s="7" t="n">
        <v>2016</v>
      </c>
      <c r="C8" s="17" t="n">
        <f aca="false">Data!K8</f>
        <v>0.530594851740789</v>
      </c>
    </row>
    <row r="9" customFormat="false" ht="15" hidden="false" customHeight="false" outlineLevel="0" collapsed="false">
      <c r="B9" s="7" t="n">
        <v>2017</v>
      </c>
      <c r="C9" s="17" t="n">
        <f aca="false">Data!K9</f>
        <v>0.561473682568335</v>
      </c>
      <c r="D9" s="18" t="n">
        <f aca="false">(C9-C8)*100</f>
        <v>3.08788308275458</v>
      </c>
      <c r="E9" s="13" t="n">
        <f aca="false">Data!E9/Data!J8</f>
        <v>0.0515156480029143</v>
      </c>
      <c r="F9" s="13" t="n">
        <f aca="false">Data!L9/Data!L8-1</f>
        <v>0.0278369068798756</v>
      </c>
      <c r="G9" s="13" t="n">
        <f aca="false">(Data!C9/Data!C8)/(Data!L9/Data!L8)-1</f>
        <v>0.260490569724267</v>
      </c>
      <c r="H9" s="13" t="n">
        <f aca="false">Data!G9/Data!G8-1</f>
        <v>0.176656151419558</v>
      </c>
      <c r="I9" s="13" t="n">
        <f aca="false">Data!D9/Data!C9</f>
        <v>-0.0379112886929973</v>
      </c>
      <c r="J9" s="19" t="n">
        <f aca="false">E9*C8/((1+F9)*(1+G9))*100</f>
        <v>2.10978592165759</v>
      </c>
      <c r="K9" s="19" t="n">
        <f aca="false">-F9*C8/((1+F9)*(1+G9))*100</f>
        <v>-1.14004028900758</v>
      </c>
      <c r="L9" s="19" t="n">
        <f aca="false">-G9*C8/((1+F9)*(1+G9))*100</f>
        <v>-10.6682019548261</v>
      </c>
      <c r="M9" s="19" t="n">
        <f aca="false">Data!N9*H9*(1+G9)*C8/((1+F9)*(1+G9))*100</f>
        <v>6.38359944957294</v>
      </c>
      <c r="N9" s="19" t="n">
        <f aca="false">-I9*100</f>
        <v>3.79112886929973</v>
      </c>
      <c r="O9" s="18" t="n">
        <f aca="false">SUM(J9:N9)</f>
        <v>0.476271996696573</v>
      </c>
      <c r="P9" s="20" t="n">
        <f aca="false">D9-O9</f>
        <v>2.61161108605801</v>
      </c>
    </row>
    <row r="10" customFormat="false" ht="15" hidden="false" customHeight="false" outlineLevel="0" collapsed="false">
      <c r="B10" s="7" t="n">
        <v>2018</v>
      </c>
      <c r="C10" s="17" t="n">
        <f aca="false">Data!K10</f>
        <v>0.849359050727554</v>
      </c>
      <c r="D10" s="18" t="n">
        <f aca="false">(C10-C9)*100</f>
        <v>28.788536815922</v>
      </c>
      <c r="E10" s="13" t="n">
        <f aca="false">Data!E10/Data!J9</f>
        <v>0.0649810450371821</v>
      </c>
      <c r="F10" s="13" t="n">
        <f aca="false">Data!L10/Data!L9-1</f>
        <v>-0.0221167533306175</v>
      </c>
      <c r="G10" s="13" t="n">
        <f aca="false">(Data!C10/Data!C9)/(Data!L10/Data!L9)-1</f>
        <v>0.414443750834899</v>
      </c>
      <c r="H10" s="13" t="n">
        <f aca="false">Data!G10/Data!G9-1</f>
        <v>1.02144772117963</v>
      </c>
      <c r="I10" s="13" t="n">
        <f aca="false">Data!D10/Data!C10</f>
        <v>-0.0229902578893512</v>
      </c>
      <c r="J10" s="19" t="n">
        <f aca="false">E10*C9/((1+F10)*(1+G10))*100</f>
        <v>2.63780938604851</v>
      </c>
      <c r="K10" s="19" t="n">
        <f aca="false">-F10*C9/((1+F10)*(1+G10))*100</f>
        <v>0.897796880475534</v>
      </c>
      <c r="L10" s="19" t="n">
        <f aca="false">-G10*C9/((1+F10)*(1+G10))*100</f>
        <v>-16.8237309097738</v>
      </c>
      <c r="M10" s="19" t="n">
        <f aca="false">Data!N10*H10*(1+G10)*C9/((1+F10)*(1+G10))*100</f>
        <v>41.0541044506678</v>
      </c>
      <c r="N10" s="19" t="n">
        <f aca="false">-I10*100</f>
        <v>2.29902578893512</v>
      </c>
      <c r="O10" s="18" t="n">
        <f aca="false">SUM(J10:N10)</f>
        <v>30.0650055963532</v>
      </c>
      <c r="P10" s="20" t="n">
        <f aca="false">D10-O10</f>
        <v>-1.27646878043124</v>
      </c>
    </row>
    <row r="11" customFormat="false" ht="15" hidden="false" customHeight="false" outlineLevel="0" collapsed="false">
      <c r="B11" s="7" t="n">
        <v>2019</v>
      </c>
      <c r="C11" s="17" t="n">
        <f aca="false">Data!K11</f>
        <v>0.897795332355545</v>
      </c>
      <c r="D11" s="18" t="n">
        <f aca="false">(C11-C10)*100</f>
        <v>4.84362816279906</v>
      </c>
      <c r="E11" s="13" t="n">
        <f aca="false">Data!E11/Data!J10</f>
        <v>0.0578334328145405</v>
      </c>
      <c r="F11" s="13" t="n">
        <f aca="false">Data!L11/Data!L10-1</f>
        <v>-0.0175124434869864</v>
      </c>
      <c r="G11" s="13" t="n">
        <f aca="false">(Data!C11/Data!C10)/(Data!L11/Data!L10)-1</f>
        <v>0.488165238647222</v>
      </c>
      <c r="H11" s="13" t="n">
        <f aca="false">Data!G11/Data!G10-1</f>
        <v>0.588594164456233</v>
      </c>
      <c r="I11" s="13" t="n">
        <f aca="false">Data!D11/Data!C11</f>
        <v>-0.00441219224085459</v>
      </c>
      <c r="J11" s="19" t="n">
        <f aca="false">E11*C10/((1+F11)*(1+G11))*100</f>
        <v>3.3596348372239</v>
      </c>
      <c r="K11" s="19" t="n">
        <f aca="false">-F11*C10/((1+F11)*(1+G11))*100</f>
        <v>1.01732531445033</v>
      </c>
      <c r="L11" s="19" t="n">
        <f aca="false">-G11*C10/((1+F11)*(1+G11))*100</f>
        <v>-28.3582845123553</v>
      </c>
      <c r="M11" s="19" t="n">
        <f aca="false">Data!N11*H11*(1+G11)*C10/((1+F11)*(1+G11))*100</f>
        <v>35.6187153954852</v>
      </c>
      <c r="N11" s="19" t="n">
        <f aca="false">-I11*100</f>
        <v>0.441219224085459</v>
      </c>
      <c r="O11" s="18" t="n">
        <f aca="false">SUM(J11:N11)</f>
        <v>12.0786102588896</v>
      </c>
      <c r="P11" s="20" t="n">
        <f aca="false">D11-O11</f>
        <v>-7.23498209609054</v>
      </c>
    </row>
    <row r="12" customFormat="false" ht="15" hidden="false" customHeight="false" outlineLevel="0" collapsed="false">
      <c r="B12" s="7" t="n">
        <v>2020</v>
      </c>
      <c r="C12" s="17" t="n">
        <f aca="false">Data!K12</f>
        <v>1.03749525084368</v>
      </c>
      <c r="D12" s="18" t="n">
        <f aca="false">(C12-C11)*100</f>
        <v>13.9699918488132</v>
      </c>
      <c r="E12" s="13" t="n">
        <f aca="false">Data!E12/Data!J11</f>
        <v>0.0280482057225549</v>
      </c>
      <c r="F12" s="13" t="n">
        <f aca="false">Data!L12/Data!L11-1</f>
        <v>-0.110092620880652</v>
      </c>
      <c r="G12" s="13" t="n">
        <f aca="false">(Data!C12/Data!C11)/(Data!L12/Data!L11)-1</f>
        <v>0.41828448587307</v>
      </c>
      <c r="H12" s="13" t="n">
        <f aca="false">Data!G12/Data!G11-1</f>
        <v>0.405075972616464</v>
      </c>
      <c r="I12" s="13" t="n">
        <f aca="false">Data!D12/Data!C12</f>
        <v>-0.064313485964464</v>
      </c>
      <c r="J12" s="19" t="n">
        <f aca="false">E12*C11/((1+F12)*(1+G12))*100</f>
        <v>1.99514409448446</v>
      </c>
      <c r="K12" s="19" t="n">
        <f aca="false">-F12*C11/((1+F12)*(1+G12))*100</f>
        <v>7.83118337654371</v>
      </c>
      <c r="L12" s="19" t="n">
        <f aca="false">-G12*C11/((1+F12)*(1+G12))*100</f>
        <v>-29.7536972617479</v>
      </c>
      <c r="M12" s="19" t="n">
        <f aca="false">Data!N12*H12*(1+G12)*C11/((1+F12)*(1+G12))*100</f>
        <v>18.3899916664307</v>
      </c>
      <c r="N12" s="19" t="n">
        <f aca="false">-I12*100</f>
        <v>6.4313485964464</v>
      </c>
      <c r="O12" s="18" t="n">
        <f aca="false">SUM(J12:N12)</f>
        <v>4.8939704721573</v>
      </c>
      <c r="P12" s="20" t="n">
        <f aca="false">D12-O12</f>
        <v>9.07602137665595</v>
      </c>
    </row>
    <row r="13" customFormat="false" ht="15" hidden="false" customHeight="false" outlineLevel="0" collapsed="false">
      <c r="B13" s="7" t="n">
        <v>2021</v>
      </c>
      <c r="C13" s="17" t="n">
        <f aca="false">Data!K13</f>
        <v>0.801560811385212</v>
      </c>
      <c r="D13" s="18" t="n">
        <f aca="false">(C13-C12)*100</f>
        <v>-23.5934439458465</v>
      </c>
      <c r="E13" s="13" t="n">
        <f aca="false">Data!E13/Data!J12</f>
        <v>0.0242380345942638</v>
      </c>
      <c r="F13" s="13" t="n">
        <f aca="false">Data!L13/Data!L12-1</f>
        <v>0.105769554460658</v>
      </c>
      <c r="G13" s="13" t="n">
        <f aca="false">(Data!C13/Data!C12)/(Data!L13/Data!L12)-1</f>
        <v>0.536141159973293</v>
      </c>
      <c r="H13" s="13" t="n">
        <f aca="false">Data!G13/Data!G12-1</f>
        <v>0.220677361853832</v>
      </c>
      <c r="I13" s="13" t="n">
        <f aca="false">Data!D13/Data!C13</f>
        <v>-0.0212085555478717</v>
      </c>
      <c r="J13" s="19" t="n">
        <f aca="false">E13*C12/((1+F13)*(1+G13))*100</f>
        <v>1.48042961485262</v>
      </c>
      <c r="K13" s="19" t="n">
        <f aca="false">-F13*C12/((1+F13)*(1+G13))*100</f>
        <v>-6.46027548827665</v>
      </c>
      <c r="L13" s="19" t="n">
        <f aca="false">-G13*C12/((1+F13)*(1+G13))*100</f>
        <v>-32.7468486720346</v>
      </c>
      <c r="M13" s="19" t="n">
        <f aca="false">Data!N13*H13*(1+G13)*C12/((1+F13)*(1+G13))*100</f>
        <v>9.31733662640771</v>
      </c>
      <c r="N13" s="19" t="n">
        <f aca="false">-I13*100</f>
        <v>2.12085555478717</v>
      </c>
      <c r="O13" s="18" t="n">
        <f aca="false">SUM(J13:N13)</f>
        <v>-26.2885023642638</v>
      </c>
      <c r="P13" s="20" t="n">
        <f aca="false">D13-O13</f>
        <v>2.69505841841727</v>
      </c>
    </row>
    <row r="14" customFormat="false" ht="15" hidden="false" customHeight="false" outlineLevel="0" collapsed="false">
      <c r="B14" s="7" t="n">
        <v>2022</v>
      </c>
      <c r="C14" s="17" t="n">
        <f aca="false">Data!K14</f>
        <v>0.844174103315011</v>
      </c>
      <c r="D14" s="18" t="n">
        <f aca="false">(C14-C13)*100</f>
        <v>4.26132919297989</v>
      </c>
      <c r="E14" s="13" t="n">
        <f aca="false">Data!E14/Data!J13</f>
        <v>0.0402999874478662</v>
      </c>
      <c r="F14" s="13" t="n">
        <f aca="false">Data!L14/Data!L13-1</f>
        <v>0.0519657668501399</v>
      </c>
      <c r="G14" s="13" t="n">
        <f aca="false">(Data!C14/Data!C13)/(Data!L14/Data!L13)-1</f>
        <v>0.703178187209028</v>
      </c>
      <c r="H14" s="13" t="n">
        <f aca="false">Data!G14/Data!G13-1</f>
        <v>0.724688473520249</v>
      </c>
      <c r="I14" s="13" t="n">
        <f aca="false">Data!D14/Data!C14</f>
        <v>-0.0200428219859384</v>
      </c>
      <c r="J14" s="19" t="n">
        <f aca="false">E14*C13/((1+F14)*(1+G14))*100</f>
        <v>1.80293343824245</v>
      </c>
      <c r="K14" s="19" t="n">
        <f aca="false">-F14*C13/((1+F14)*(1+G14))*100</f>
        <v>-2.32483493497934</v>
      </c>
      <c r="L14" s="19" t="n">
        <f aca="false">-G14*C13/((1+F14)*(1+G14))*100</f>
        <v>-31.4586566162564</v>
      </c>
      <c r="M14" s="19" t="n">
        <f aca="false">Data!N14*H14*(1+G14)*C13/((1+F14)*(1+G14))*100</f>
        <v>24.8484175639167</v>
      </c>
      <c r="N14" s="19" t="n">
        <f aca="false">-I14*100</f>
        <v>2.00428219859384</v>
      </c>
      <c r="O14" s="18" t="n">
        <f aca="false">SUM(J14:N14)</f>
        <v>-5.12785835048275</v>
      </c>
      <c r="P14" s="20" t="n">
        <f aca="false">D14-O14</f>
        <v>9.38918754346264</v>
      </c>
    </row>
    <row r="15" customFormat="false" ht="15" hidden="false" customHeight="false" outlineLevel="0" collapsed="false">
      <c r="B15" s="7" t="n">
        <v>2023</v>
      </c>
      <c r="C15" s="17" t="n">
        <f aca="false">Data!K15</f>
        <v>1.54512657810116</v>
      </c>
      <c r="D15" s="18" t="n">
        <f aca="false">(C15-C14)*100</f>
        <v>70.0952474786146</v>
      </c>
      <c r="E15" s="13" t="n">
        <f aca="false">Data!E15/Data!J14</f>
        <v>0.0465457405257689</v>
      </c>
      <c r="F15" s="13" t="n">
        <f aca="false">Data!L15/Data!L14-1</f>
        <v>-0.0119318097237295</v>
      </c>
      <c r="G15" s="13" t="n">
        <f aca="false">(Data!C15/Data!C14)/(Data!L15/Data!L14)-1</f>
        <v>1.37034349617816</v>
      </c>
      <c r="H15" s="13" t="n">
        <f aca="false">Data!G15/Data!G14-1</f>
        <v>3.56338902686837</v>
      </c>
      <c r="I15" s="13" t="n">
        <f aca="false">Data!D15/Data!C15</f>
        <v>-0.0266292227919494</v>
      </c>
      <c r="J15" s="19" t="n">
        <f aca="false">E15*C14/((1+F15)*(1+G15))*100</f>
        <v>1.67769791765289</v>
      </c>
      <c r="K15" s="19" t="n">
        <f aca="false">-F15*C14/((1+F15)*(1+G15))*100</f>
        <v>0.430070981817319</v>
      </c>
      <c r="L15" s="19" t="n">
        <f aca="false">-G15*C14/((1+F15)*(1+G15))*100</f>
        <v>-49.3927565452415</v>
      </c>
      <c r="M15" s="19" t="n">
        <f aca="false">Data!N15*H15*(1+G15)*C14/((1+F15)*(1+G15))*100</f>
        <v>137.000092175331</v>
      </c>
      <c r="N15" s="19" t="n">
        <f aca="false">-I15*100</f>
        <v>2.66292227919494</v>
      </c>
      <c r="O15" s="18" t="n">
        <f aca="false">SUM(J15:N15)</f>
        <v>92.378026808755</v>
      </c>
      <c r="P15" s="20" t="n">
        <f aca="false">D15-O15</f>
        <v>-22.2827793301404</v>
      </c>
    </row>
    <row r="16" customFormat="false" ht="15" hidden="false" customHeight="false" outlineLevel="0" collapsed="false">
      <c r="B16" s="7" t="n">
        <v>2024</v>
      </c>
      <c r="C16" s="17" t="n">
        <f aca="false">Data!K16</f>
        <v>0.824974157783872</v>
      </c>
      <c r="D16" s="18" t="n">
        <f aca="false">(C16-C15)*100</f>
        <v>-72.0152420317286</v>
      </c>
      <c r="E16" s="13" t="n">
        <f aca="false">Data!E16/Data!J15</f>
        <v>0.0288349977192501</v>
      </c>
      <c r="F16" s="13" t="n">
        <f aca="false">Data!L16/Data!L15-1</f>
        <v>-0.0171842977600578</v>
      </c>
      <c r="G16" s="13" t="n">
        <f aca="false">(Data!C16/Data!C15)/(Data!L16/Data!L15)-1</f>
        <v>2.06577168832067</v>
      </c>
      <c r="H16" s="13" t="n">
        <f aca="false">Data!G16/Data!G15-1</f>
        <v>0.277135258828623</v>
      </c>
      <c r="I16" s="13" t="n">
        <f aca="false">Data!D16/Data!C16</f>
        <v>0.0178066741224438</v>
      </c>
      <c r="J16" s="19" t="n">
        <f aca="false">E16*C15/((1+F16)*(1+G16))*100</f>
        <v>1.47867281514353</v>
      </c>
      <c r="K16" s="19" t="n">
        <f aca="false">-F16*C15/((1+F16)*(1+G16))*100</f>
        <v>0.881219211200625</v>
      </c>
      <c r="L16" s="19" t="n">
        <f aca="false">-G16*C15/((1+F16)*(1+G16))*100</f>
        <v>-105.93378461666</v>
      </c>
      <c r="M16" s="19" t="n">
        <f aca="false">Data!N16*H16*(1+G16)*C15/((1+F16)*(1+G16))*100</f>
        <v>19.6063284221143</v>
      </c>
      <c r="N16" s="19" t="n">
        <f aca="false">-I16*100</f>
        <v>-1.78066741224438</v>
      </c>
      <c r="O16" s="18" t="n">
        <f aca="false">SUM(J16:N16)</f>
        <v>-85.7482315804464</v>
      </c>
      <c r="P16" s="20" t="n">
        <f aca="false">D16-O16</f>
        <v>13.7329895487178</v>
      </c>
    </row>
    <row r="17" customFormat="false" ht="15" hidden="false" customHeight="false" outlineLevel="0" collapsed="false">
      <c r="B17" s="7" t="n">
        <v>2025</v>
      </c>
      <c r="C17" s="17" t="n">
        <f aca="false">Data!K17</f>
        <v>0.76001516436789</v>
      </c>
      <c r="D17" s="18" t="n">
        <f aca="false">(C17-C16)*100</f>
        <v>-6.49589934159819</v>
      </c>
      <c r="E17" s="13" t="n">
        <f aca="false">Data!E17/Data!J16</f>
        <v>0.021396988243621</v>
      </c>
      <c r="F17" s="13" t="n">
        <f aca="false">Data!L17/Data!L16-1</f>
        <v>0.0381387919320424</v>
      </c>
      <c r="G17" s="13" t="n">
        <f aca="false">(Data!C17/Data!C16)/(Data!L17/Data!L16)-1</f>
        <v>0.401499307021094</v>
      </c>
      <c r="H17" s="13" t="n">
        <f aca="false">Data!G17/Data!G16-1</f>
        <v>0.375302663438257</v>
      </c>
      <c r="I17" s="13" t="n">
        <f aca="false">Data!D17/Data!C17</f>
        <v>0.0138422325378931</v>
      </c>
      <c r="J17" s="19" t="n">
        <f aca="false">E17*C16/((1+F17)*(1+G17))*100</f>
        <v>1.21323431595844</v>
      </c>
      <c r="K17" s="19" t="n">
        <f aca="false">-F17*C16/((1+F17)*(1+G17))*100</f>
        <v>-2.16251421061315</v>
      </c>
      <c r="L17" s="19" t="n">
        <f aca="false">-G17*C16/((1+F17)*(1+G17))*100</f>
        <v>-22.7654813642638</v>
      </c>
      <c r="M17" s="19" t="n">
        <f aca="false">Data!N17*H17*(1+G17)*C16/((1+F17)*(1+G17))*100</f>
        <v>13.4208210395946</v>
      </c>
      <c r="N17" s="19" t="n">
        <f aca="false">-I17*100</f>
        <v>-1.38422325378931</v>
      </c>
      <c r="O17" s="18" t="n">
        <f aca="false">SUM(J17:N17)</f>
        <v>-11.6781634731132</v>
      </c>
      <c r="P17" s="20" t="n">
        <f aca="false">D17-O17</f>
        <v>5.18226413151499</v>
      </c>
    </row>
    <row r="19" customFormat="false" ht="15" hidden="false" customHeight="false" outlineLevel="0" collapsed="false">
      <c r="B19" s="16" t="s">
        <v>62</v>
      </c>
    </row>
    <row r="20" customFormat="false" ht="15" hidden="false" customHeight="false" outlineLevel="0" collapsed="false">
      <c r="B20" s="16"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7" min="3" style="0" width="12"/>
  </cols>
  <sheetData>
    <row r="2" customFormat="false" ht="25.5" hidden="false" customHeight="true" outlineLevel="0" collapsed="false">
      <c r="B2" s="1" t="s">
        <v>64</v>
      </c>
    </row>
    <row r="3" customFormat="false" ht="15" hidden="false" customHeight="false" outlineLevel="0" collapsed="false">
      <c r="B3" s="2" t="s">
        <v>65</v>
      </c>
    </row>
    <row r="4" customFormat="false" ht="15" hidden="false" customHeight="false" outlineLevel="0" collapsed="false">
      <c r="B4" s="2" t="s">
        <v>66</v>
      </c>
    </row>
    <row r="5" customFormat="false" ht="15" hidden="false" customHeight="false" outlineLevel="0" collapsed="false">
      <c r="B5" s="2" t="s">
        <v>67</v>
      </c>
    </row>
    <row r="7" customFormat="false" ht="15" hidden="false" customHeight="false" outlineLevel="0" collapsed="false">
      <c r="B7" s="3" t="s">
        <v>68</v>
      </c>
    </row>
    <row r="8" customFormat="false" ht="15" hidden="false" customHeight="false" outlineLevel="0" collapsed="false">
      <c r="B8" s="21" t="s">
        <v>69</v>
      </c>
      <c r="E8" s="22" t="n">
        <f aca="false">Data!K17</f>
        <v>0.76001516436789</v>
      </c>
    </row>
    <row r="9" customFormat="false" ht="15" hidden="false" customHeight="false" outlineLevel="0" collapsed="false">
      <c r="B9" s="21" t="s">
        <v>70</v>
      </c>
      <c r="E9" s="15" t="n">
        <v>0.45</v>
      </c>
    </row>
    <row r="10" customFormat="false" ht="15" hidden="false" customHeight="false" outlineLevel="0" collapsed="false">
      <c r="B10" s="21" t="s">
        <v>71</v>
      </c>
      <c r="E10" s="15" t="n">
        <v>0.35</v>
      </c>
    </row>
    <row r="11" customFormat="false" ht="15" hidden="false" customHeight="false" outlineLevel="0" collapsed="false">
      <c r="B11" s="21" t="s">
        <v>72</v>
      </c>
      <c r="E11" s="22" t="n">
        <f aca="false">1-E9-E10</f>
        <v>0.2</v>
      </c>
    </row>
    <row r="12" customFormat="false" ht="15" hidden="false" customHeight="false" outlineLevel="0" collapsed="false">
      <c r="B12" s="21" t="s">
        <v>73</v>
      </c>
      <c r="E12" s="15" t="n">
        <v>0.05</v>
      </c>
    </row>
    <row r="13" customFormat="false" ht="15" hidden="false" customHeight="false" outlineLevel="0" collapsed="false">
      <c r="B13" s="21" t="s">
        <v>74</v>
      </c>
      <c r="E13" s="15" t="n">
        <v>0.05</v>
      </c>
    </row>
    <row r="14" customFormat="false" ht="15" hidden="false" customHeight="false" outlineLevel="0" collapsed="false">
      <c r="B14" s="21" t="s">
        <v>75</v>
      </c>
      <c r="E14" s="15" t="n">
        <v>0.3</v>
      </c>
    </row>
    <row r="15" customFormat="false" ht="15" hidden="false" customHeight="false" outlineLevel="0" collapsed="false">
      <c r="B15" s="21" t="s">
        <v>76</v>
      </c>
      <c r="E15" s="15" t="n">
        <v>0.25</v>
      </c>
    </row>
    <row r="16" customFormat="false" ht="15" hidden="false" customHeight="false" outlineLevel="0" collapsed="false">
      <c r="B16" s="21" t="s">
        <v>77</v>
      </c>
      <c r="E16" s="15" t="n">
        <v>0.25</v>
      </c>
    </row>
    <row r="17" customFormat="false" ht="15" hidden="false" customHeight="false" outlineLevel="0" collapsed="false">
      <c r="B17" s="21" t="s">
        <v>78</v>
      </c>
      <c r="E17" s="15" t="n">
        <v>0.03</v>
      </c>
    </row>
    <row r="18" customFormat="false" ht="15" hidden="false" customHeight="false" outlineLevel="0" collapsed="false">
      <c r="B18" s="21" t="s">
        <v>79</v>
      </c>
      <c r="E18" s="22" t="n">
        <f aca="false">Data!D17/Data!C17</f>
        <v>0.0138422325378931</v>
      </c>
    </row>
    <row r="20" customFormat="false" ht="15" hidden="false" customHeight="false" outlineLevel="0" collapsed="false">
      <c r="B20" s="3" t="s">
        <v>80</v>
      </c>
    </row>
    <row r="21" customFormat="false" ht="15" hidden="false" customHeight="false" outlineLevel="0" collapsed="false">
      <c r="B21" s="21" t="s">
        <v>81</v>
      </c>
      <c r="E21" s="13" t="n">
        <f aca="false">($E$9*($E$15+$E$12)+$E$10*($E$16+$E$13)+$E$11*$E$14)</f>
        <v>0.3</v>
      </c>
    </row>
    <row r="22" customFormat="false" ht="15" hidden="false" customHeight="false" outlineLevel="0" collapsed="false">
      <c r="B22" s="21" t="s">
        <v>82</v>
      </c>
      <c r="E22" s="13" t="n">
        <f aca="false">(1+$E$17)*(1+$E$16)-1</f>
        <v>0.2875</v>
      </c>
    </row>
    <row r="23" customFormat="false" ht="15" hidden="false" customHeight="false" outlineLevel="0" collapsed="false">
      <c r="B23" s="4" t="s">
        <v>83</v>
      </c>
      <c r="E23" s="23" t="n">
        <f aca="false">$E$8*((1+($E$9*($E$15+$E$12)+$E$10*($E$16+$E$13)+$E$11*$E$14))/((1+$E$17)*(1+$E$16))-1)</f>
        <v>0.00737878800357174</v>
      </c>
    </row>
    <row r="24" customFormat="false" ht="15" hidden="false" customHeight="false" outlineLevel="0" collapsed="false">
      <c r="B24" s="21" t="s">
        <v>79</v>
      </c>
      <c r="E24" s="13" t="n">
        <f aca="false">$E$18</f>
        <v>0.0138422325378931</v>
      </c>
    </row>
    <row r="25" customFormat="false" ht="15" hidden="false" customHeight="false" outlineLevel="0" collapsed="false">
      <c r="B25" s="4" t="s">
        <v>84</v>
      </c>
      <c r="E25" s="24" t="n">
        <f aca="false">(E24-E23)*100</f>
        <v>0.646344453432132</v>
      </c>
    </row>
    <row r="26" customFormat="false" ht="15" hidden="false" customHeight="false" outlineLevel="0" collapsed="false">
      <c r="B26" s="21" t="s">
        <v>85</v>
      </c>
      <c r="E26" s="19" t="n">
        <f aca="false">-(E24-E23)*100</f>
        <v>-0.646344453432132</v>
      </c>
    </row>
    <row r="28" customFormat="false" ht="15" hidden="false" customHeight="false" outlineLevel="0" collapsed="false">
      <c r="B28" s="16" t="s">
        <v>86</v>
      </c>
    </row>
    <row r="31" customFormat="false" ht="15" hidden="false" customHeight="false" outlineLevel="0" collapsed="false">
      <c r="B31" s="3" t="s">
        <v>87</v>
      </c>
    </row>
    <row r="32" customFormat="false" ht="15" hidden="false" customHeight="false" outlineLevel="0" collapsed="false">
      <c r="B32" s="2" t="s">
        <v>88</v>
      </c>
    </row>
    <row r="34" customFormat="false" ht="15" hidden="false" customHeight="false" outlineLevel="0" collapsed="false">
      <c r="B34" s="25" t="s">
        <v>89</v>
      </c>
      <c r="C34" s="26" t="n">
        <v>-0.03</v>
      </c>
      <c r="D34" s="26" t="n">
        <v>0</v>
      </c>
      <c r="E34" s="26" t="n">
        <v>0.02</v>
      </c>
      <c r="F34" s="26" t="n">
        <v>0.04</v>
      </c>
      <c r="G34" s="26" t="n">
        <v>0.06</v>
      </c>
    </row>
    <row r="35" customFormat="false" ht="15" hidden="false" customHeight="false" outlineLevel="0" collapsed="false">
      <c r="B35" s="15" t="n">
        <v>0</v>
      </c>
      <c r="C35" s="13" t="n">
        <f aca="false">$E$8*((1+($E$9*($B35+$E$12)+$E$10*($E$16+$E$13)+$E$11*$E$14))/((1+C$34)*(1+$E$16))-1)</f>
        <v>-0.0156704157601626</v>
      </c>
      <c r="D35" s="13" t="n">
        <f aca="false">$E$8*((1+($E$9*($B35+$E$12)+$E$10*($E$16+$E$13)+$E$11*$E$14))/((1+D$34)*(1+$E$16))-1)</f>
        <v>-0.0380007582183945</v>
      </c>
      <c r="E35" s="13" t="n">
        <f aca="false">$E$8*((1+($E$9*($B35+$E$12)+$E$10*($E$16+$E$13)+$E$11*$E$14))/((1+E$34)*(1+$E$16))-1)</f>
        <v>-0.052157903437012</v>
      </c>
      <c r="F35" s="13" t="n">
        <f aca="false">$E$8*((1+($E$9*($B35+$E$12)+$E$10*($E$16+$E$13)+$E$11*$E$14))/((1+F$34)*(1+$E$16))-1)</f>
        <v>-0.0657705430702982</v>
      </c>
      <c r="G35" s="13" t="n">
        <f aca="false">$E$8*((1+($E$9*($B35+$E$12)+$E$10*($E$16+$E$13)+$E$11*$E$14))/((1+G$34)*(1+$E$16))-1)</f>
        <v>-0.0788694981891207</v>
      </c>
    </row>
    <row r="36" customFormat="false" ht="15" hidden="false" customHeight="false" outlineLevel="0" collapsed="false">
      <c r="B36" s="15" t="n">
        <v>0.15</v>
      </c>
      <c r="C36" s="13" t="n">
        <f aca="false">$E$8*((1+($E$9*($B36+$E$12)+$E$10*($E$16+$E$13)+$E$11*$E$14))/((1+C$34)*(1+$E$16))-1)</f>
        <v>0.0266397067922766</v>
      </c>
      <c r="D36" s="13" t="n">
        <f aca="false">$E$8*((1+($E$9*($B36+$E$12)+$E$10*($E$16+$E$13)+$E$11*$E$14))/((1+D$34)*(1+$E$16))-1)</f>
        <v>0.00304006065747156</v>
      </c>
      <c r="E36" s="13" t="n">
        <f aca="false">$E$8*((1+($E$9*($B36+$E$12)+$E$10*($E$16+$E$13)+$E$11*$E$14))/((1+E$34)*(1+$E$16))-1)</f>
        <v>-0.0119218064998885</v>
      </c>
      <c r="F36" s="13" t="n">
        <f aca="false">$E$8*((1+($E$9*($B36+$E$12)+$E$10*($E$16+$E$13)+$E$11*$E$14))/((1+F$34)*(1+$E$16))-1)</f>
        <v>-0.0263082172281193</v>
      </c>
      <c r="G36" s="13" t="n">
        <f aca="false">$E$8*((1+($E$9*($B36+$E$12)+$E$10*($E$16+$E$13)+$E$11*$E$14))/((1+G$34)*(1+$E$16))-1)</f>
        <v>-0.0401517445326434</v>
      </c>
    </row>
    <row r="37" customFormat="false" ht="15" hidden="false" customHeight="false" outlineLevel="0" collapsed="false">
      <c r="B37" s="15" t="n">
        <v>0.25</v>
      </c>
      <c r="C37" s="13" t="n">
        <f aca="false">$E$8*((1+($E$9*($B37+$E$12)+$E$10*($E$16+$E$13)+$E$11*$E$14))/((1+C$34)*(1+$E$16))-1)</f>
        <v>0.0548464551605695</v>
      </c>
      <c r="D37" s="13" t="n">
        <f aca="false">$E$8*((1+($E$9*($B37+$E$12)+$E$10*($E$16+$E$13)+$E$11*$E$14))/((1+D$34)*(1+$E$16))-1)</f>
        <v>0.0304006065747156</v>
      </c>
      <c r="E37" s="13" t="n">
        <f aca="false">$E$8*((1+($E$9*($B37+$E$12)+$E$10*($E$16+$E$13)+$E$11*$E$14))/((1+E$34)*(1+$E$16))-1)</f>
        <v>0.0149022581248607</v>
      </c>
      <c r="F37" s="13" t="n">
        <f aca="false">$E$8*((1+($E$9*($B37+$E$12)+$E$10*($E$16+$E$13)+$E$11*$E$14))/((1+F$34)*(1+$E$16))-1)</f>
        <v>0</v>
      </c>
      <c r="G37" s="13" t="n">
        <f aca="false">$E$8*((1+($E$9*($B37+$E$12)+$E$10*($E$16+$E$13)+$E$11*$E$14))/((1+G$34)*(1+$E$16))-1)</f>
        <v>-0.0143399087616584</v>
      </c>
    </row>
    <row r="38" customFormat="false" ht="15" hidden="false" customHeight="false" outlineLevel="0" collapsed="false">
      <c r="B38" s="15" t="n">
        <v>0.4</v>
      </c>
      <c r="C38" s="13" t="n">
        <f aca="false">$E$8*((1+($E$9*($B38+$E$12)+$E$10*($E$16+$E$13)+$E$11*$E$14))/((1+C$34)*(1+$E$16))-1)</f>
        <v>0.0971565777130086</v>
      </c>
      <c r="D38" s="13" t="n">
        <f aca="false">$E$8*((1+($E$9*($B38+$E$12)+$E$10*($E$16+$E$13)+$E$11*$E$14))/((1+D$34)*(1+$E$16))-1)</f>
        <v>0.0714414254505816</v>
      </c>
      <c r="E38" s="13" t="n">
        <f aca="false">$E$8*((1+($E$9*($B38+$E$12)+$E$10*($E$16+$E$13)+$E$11*$E$14))/((1+E$34)*(1+$E$16))-1)</f>
        <v>0.0551383550619842</v>
      </c>
      <c r="F38" s="13" t="n">
        <f aca="false">$E$8*((1+($E$9*($B38+$E$12)+$E$10*($E$16+$E$13)+$E$11*$E$14))/((1+F$34)*(1+$E$16))-1)</f>
        <v>0.0394623258421788</v>
      </c>
      <c r="G38" s="13" t="n">
        <f aca="false">$E$8*((1+($E$9*($B38+$E$12)+$E$10*($E$16+$E$13)+$E$11*$E$14))/((1+G$34)*(1+$E$16))-1)</f>
        <v>0.024377844894819</v>
      </c>
    </row>
    <row r="39" customFormat="false" ht="15" hidden="false" customHeight="false" outlineLevel="0" collapsed="false">
      <c r="B39" s="15" t="n">
        <v>0.6</v>
      </c>
      <c r="C39" s="13" t="n">
        <f aca="false">$E$8*((1+($E$9*($B39+$E$12)+$E$10*($E$16+$E$13)+$E$11*$E$14))/((1+C$34)*(1+$E$16))-1)</f>
        <v>0.153570074449594</v>
      </c>
      <c r="D39" s="13" t="n">
        <f aca="false">$E$8*((1+($E$9*($B39+$E$12)+$E$10*($E$16+$E$13)+$E$11*$E$14))/((1+D$34)*(1+$E$16))-1)</f>
        <v>0.12616251728507</v>
      </c>
      <c r="E39" s="13" t="n">
        <f aca="false">$E$8*((1+($E$9*($B39+$E$12)+$E$10*($E$16+$E$13)+$E$11*$E$14))/((1+E$34)*(1+$E$16))-1)</f>
        <v>0.108786484311482</v>
      </c>
      <c r="F39" s="13" t="n">
        <f aca="false">$E$8*((1+($E$9*($B39+$E$12)+$E$10*($E$16+$E$13)+$E$11*$E$14))/((1+F$34)*(1+$E$16))-1)</f>
        <v>0.0920787602984175</v>
      </c>
      <c r="G39" s="13" t="n">
        <f aca="false">$E$8*((1+($E$9*($B39+$E$12)+$E$10*($E$16+$E$13)+$E$11*$E$14))/((1+G$34)*(1+$E$16))-1)</f>
        <v>0.0760015164367889</v>
      </c>
    </row>
    <row r="40" customFormat="false" ht="15" hidden="false" customHeight="false" outlineLevel="0" collapsed="false">
      <c r="B40" s="15" t="n">
        <v>0.8</v>
      </c>
      <c r="C40" s="13" t="n">
        <f aca="false">$E$8*((1+($E$9*($B40+$E$12)+$E$10*($E$16+$E$13)+$E$11*$E$14))/((1+C$34)*(1+$E$16))-1)</f>
        <v>0.20998357118618</v>
      </c>
      <c r="D40" s="13" t="n">
        <f aca="false">$E$8*((1+($E$9*($B40+$E$12)+$E$10*($E$16+$E$13)+$E$11*$E$14))/((1+D$34)*(1+$E$16))-1)</f>
        <v>0.180883609119558</v>
      </c>
      <c r="E40" s="13" t="n">
        <f aca="false">$E$8*((1+($E$9*($B40+$E$12)+$E$10*($E$16+$E$13)+$E$11*$E$14))/((1+E$34)*(1+$E$16))-1)</f>
        <v>0.162434613560981</v>
      </c>
      <c r="F40" s="13" t="n">
        <f aca="false">$E$8*((1+($E$9*($B40+$E$12)+$E$10*($E$16+$E$13)+$E$11*$E$14))/((1+F$34)*(1+$E$16))-1)</f>
        <v>0.144695194754656</v>
      </c>
      <c r="G40" s="13" t="n">
        <f aca="false">$E$8*((1+($E$9*($B40+$E$12)+$E$10*($E$16+$E$13)+$E$11*$E$14))/((1+G$34)*(1+$E$16))-1)</f>
        <v>0.127625187978759</v>
      </c>
    </row>
    <row r="42" customFormat="false" ht="15" hidden="false" customHeight="false" outlineLevel="0" collapsed="false">
      <c r="B42" s="16" t="s">
        <v>90</v>
      </c>
    </row>
    <row r="43" customFormat="false" ht="15" hidden="false" customHeight="false" outlineLevel="0" collapsed="false">
      <c r="B43" s="16"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5" min="3" style="0" width="12"/>
    <col collapsed="false" customWidth="true" hidden="false" outlineLevel="0" max="6" min="6" style="0" width="16"/>
  </cols>
  <sheetData>
    <row r="2" customFormat="false" ht="25.5" hidden="false" customHeight="true" outlineLevel="0" collapsed="false">
      <c r="B2" s="1" t="s">
        <v>92</v>
      </c>
    </row>
    <row r="3" customFormat="false" ht="15" hidden="false" customHeight="false" outlineLevel="0" collapsed="false">
      <c r="B3" s="2" t="s">
        <v>93</v>
      </c>
    </row>
    <row r="5" customFormat="false" ht="15" hidden="false" customHeight="false" outlineLevel="0" collapsed="false">
      <c r="B5" s="21" t="s">
        <v>70</v>
      </c>
      <c r="E5" s="15" t="n">
        <v>0.45</v>
      </c>
    </row>
    <row r="6" customFormat="false" ht="15" hidden="false" customHeight="false" outlineLevel="0" collapsed="false">
      <c r="B6" s="21" t="s">
        <v>71</v>
      </c>
      <c r="E6" s="15" t="n">
        <v>0.35</v>
      </c>
    </row>
    <row r="7" customFormat="false" ht="15" hidden="false" customHeight="false" outlineLevel="0" collapsed="false">
      <c r="B7" s="21" t="s">
        <v>73</v>
      </c>
      <c r="E7" s="15" t="n">
        <v>0.05</v>
      </c>
    </row>
    <row r="8" customFormat="false" ht="15" hidden="false" customHeight="false" outlineLevel="0" collapsed="false">
      <c r="B8" s="21" t="s">
        <v>74</v>
      </c>
      <c r="E8" s="15" t="n">
        <v>0.05</v>
      </c>
    </row>
    <row r="9" customFormat="false" ht="15" hidden="false" customHeight="false" outlineLevel="0" collapsed="false">
      <c r="B9" s="21" t="s">
        <v>75</v>
      </c>
      <c r="E9" s="15" t="n">
        <v>0.3</v>
      </c>
    </row>
    <row r="10" customFormat="false" ht="15" hidden="false" customHeight="false" outlineLevel="0" collapsed="false">
      <c r="B10" s="21" t="s">
        <v>76</v>
      </c>
      <c r="E10" s="15" t="n">
        <v>0.25</v>
      </c>
    </row>
    <row r="11" customFormat="false" ht="15" hidden="false" customHeight="false" outlineLevel="0" collapsed="false">
      <c r="B11" s="21" t="s">
        <v>77</v>
      </c>
      <c r="E11" s="15" t="n">
        <v>0.25</v>
      </c>
    </row>
    <row r="12" customFormat="false" ht="15" hidden="false" customHeight="false" outlineLevel="0" collapsed="false">
      <c r="B12" s="21" t="s">
        <v>78</v>
      </c>
      <c r="E12" s="15" t="n">
        <v>0.03</v>
      </c>
    </row>
    <row r="13" customFormat="false" ht="15" hidden="false" customHeight="false" outlineLevel="0" collapsed="false">
      <c r="B13" s="21" t="s">
        <v>94</v>
      </c>
      <c r="E13" s="15" t="n">
        <v>0.015</v>
      </c>
    </row>
    <row r="14" customFormat="false" ht="15" hidden="false" customHeight="false" outlineLevel="0" collapsed="false">
      <c r="B14" s="21" t="s">
        <v>72</v>
      </c>
      <c r="E14" s="17" t="n">
        <f aca="false">1-E5-E6</f>
        <v>0.2</v>
      </c>
    </row>
    <row r="15" customFormat="false" ht="15" hidden="false" customHeight="false" outlineLevel="0" collapsed="false">
      <c r="B15" s="4" t="s">
        <v>95</v>
      </c>
      <c r="E15" s="22" t="n">
        <f aca="false">Data!K17</f>
        <v>0.76001516436789</v>
      </c>
    </row>
    <row r="18" customFormat="false" ht="30" hidden="false" customHeight="true" outlineLevel="0" collapsed="false">
      <c r="B18" s="6" t="s">
        <v>24</v>
      </c>
      <c r="C18" s="6" t="s">
        <v>33</v>
      </c>
      <c r="D18" s="6" t="s">
        <v>96</v>
      </c>
      <c r="E18" s="6" t="s">
        <v>97</v>
      </c>
      <c r="F18" s="6" t="s">
        <v>98</v>
      </c>
    </row>
    <row r="19" customFormat="false" ht="15" hidden="false" customHeight="false" outlineLevel="0" collapsed="false">
      <c r="B19" s="7" t="n">
        <f aca="false">2025</f>
        <v>2025</v>
      </c>
      <c r="C19" s="22" t="n">
        <f aca="false">$E$15</f>
        <v>0.76001516436789</v>
      </c>
    </row>
    <row r="20" customFormat="false" ht="15" hidden="false" customHeight="false" outlineLevel="0" collapsed="false">
      <c r="B20" s="7" t="n">
        <f aca="false">B19+1</f>
        <v>2026</v>
      </c>
      <c r="C20" s="27" t="n">
        <f aca="false">C19+D20/100</f>
        <v>0.752393952371462</v>
      </c>
      <c r="D20" s="18" t="n">
        <f aca="false">E20+F20</f>
        <v>-0.762121199642826</v>
      </c>
      <c r="E20" s="19" t="n">
        <f aca="false">C19*((1+($E$5*($E$10+$E$7)+$E$6*($E$11+$E$8)+$E$14*$E$9))/((1+$E$12)*(1+$E$11))-1)*100</f>
        <v>0.737878800357175</v>
      </c>
      <c r="F20" s="19" t="n">
        <f aca="false">-$E$13*100</f>
        <v>-1.5</v>
      </c>
    </row>
    <row r="21" customFormat="false" ht="15" hidden="false" customHeight="false" outlineLevel="0" collapsed="false">
      <c r="B21" s="7" t="n">
        <f aca="false">B20+1</f>
        <v>2027</v>
      </c>
      <c r="C21" s="27" t="n">
        <f aca="false">C20+D21/100</f>
        <v>0.744698748025554</v>
      </c>
      <c r="D21" s="18" t="n">
        <f aca="false">E21+F21</f>
        <v>-0.769520434590814</v>
      </c>
      <c r="E21" s="19" t="n">
        <f aca="false">C20*((1+($E$5*($E$10+$E$7)+$E$6*($E$11+$E$8)+$E$14*$E$9))/((1+$E$12)*(1+$E$11))-1)*100</f>
        <v>0.730479565409186</v>
      </c>
      <c r="F21" s="19" t="n">
        <f aca="false">-$E$13*100</f>
        <v>-1.5</v>
      </c>
    </row>
    <row r="22" customFormat="false" ht="15" hidden="false" customHeight="false" outlineLevel="0" collapsed="false">
      <c r="B22" s="7" t="n">
        <f aca="false">B21+1</f>
        <v>2028</v>
      </c>
      <c r="C22" s="27" t="n">
        <f aca="false">C21+D22/100</f>
        <v>0.736928832957841</v>
      </c>
      <c r="D22" s="18" t="n">
        <f aca="false">E22+F22</f>
        <v>-0.776991506771308</v>
      </c>
      <c r="E22" s="19" t="n">
        <f aca="false">C21*((1+($E$5*($E$10+$E$7)+$E$6*($E$11+$E$8)+$E$14*$E$9))/((1+$E$12)*(1+$E$11))-1)*100</f>
        <v>0.723008493228693</v>
      </c>
      <c r="F22" s="19" t="n">
        <f aca="false">-$E$13*100</f>
        <v>-1.5</v>
      </c>
    </row>
    <row r="23" customFormat="false" ht="15" hidden="false" customHeight="false" outlineLevel="0" collapsed="false">
      <c r="B23" s="7" t="n">
        <f aca="false">B22+1</f>
        <v>2029</v>
      </c>
      <c r="C23" s="27" t="n">
        <f aca="false">C22+D23/100</f>
        <v>0.729083481821509</v>
      </c>
      <c r="D23" s="18" t="n">
        <f aca="false">E23+F23</f>
        <v>-0.784535113633165</v>
      </c>
      <c r="E23" s="19" t="n">
        <f aca="false">C22*((1+($E$5*($E$10+$E$7)+$E$6*($E$11+$E$8)+$E$14*$E$9))/((1+$E$12)*(1+$E$11))-1)*100</f>
        <v>0.715464886366835</v>
      </c>
      <c r="F23" s="19" t="n">
        <f aca="false">-$E$13*100</f>
        <v>-1.5</v>
      </c>
    </row>
    <row r="24" customFormat="false" ht="15" hidden="false" customHeight="false" outlineLevel="0" collapsed="false">
      <c r="B24" s="7" t="n">
        <f aca="false">B23+1</f>
        <v>2030</v>
      </c>
      <c r="C24" s="27" t="n">
        <f aca="false">C23+D24/100</f>
        <v>0.721161962227543</v>
      </c>
      <c r="D24" s="18" t="n">
        <f aca="false">E24+F24</f>
        <v>-0.792151959396594</v>
      </c>
      <c r="E24" s="19" t="n">
        <f aca="false">C23*((1+($E$5*($E$10+$E$7)+$E$6*($E$11+$E$8)+$E$14*$E$9))/((1+$E$12)*(1+$E$11))-1)*100</f>
        <v>0.707848040603406</v>
      </c>
      <c r="F24" s="19" t="n">
        <f aca="false">-$E$13*100</f>
        <v>-1.5</v>
      </c>
    </row>
    <row r="25" customFormat="false" ht="15" hidden="false" customHeight="false" outlineLevel="0" collapsed="false">
      <c r="B25" s="7" t="n">
        <f aca="false">B24+1</f>
        <v>2031</v>
      </c>
      <c r="C25" s="27" t="n">
        <f aca="false">C24+D25/100</f>
        <v>0.713163534676354</v>
      </c>
      <c r="D25" s="18" t="n">
        <f aca="false">E25+F25</f>
        <v>-0.799842755118891</v>
      </c>
      <c r="E25" s="19" t="n">
        <f aca="false">C24*((1+($E$5*($E$10+$E$7)+$E$6*($E$11+$E$8)+$E$14*$E$9))/((1+$E$12)*(1+$E$11))-1)*100</f>
        <v>0.700157244881109</v>
      </c>
      <c r="F25" s="19" t="n">
        <f aca="false">-$E$13*100</f>
        <v>-1.5</v>
      </c>
    </row>
    <row r="26" customFormat="false" ht="15" hidden="false" customHeight="false" outlineLevel="0" collapsed="false">
      <c r="B26" s="7" t="n">
        <f aca="false">B25+1</f>
        <v>2032</v>
      </c>
      <c r="C26" s="27" t="n">
        <f aca="false">C25+D26/100</f>
        <v>0.705087452488746</v>
      </c>
      <c r="D26" s="18" t="n">
        <f aca="false">E26+F26</f>
        <v>-0.807608218760822</v>
      </c>
      <c r="E26" s="19" t="n">
        <f aca="false">C25*((1+($E$5*($E$10+$E$7)+$E$6*($E$11+$E$8)+$E$14*$E$9))/((1+$E$12)*(1+$E$11))-1)*100</f>
        <v>0.692391781239178</v>
      </c>
      <c r="F26" s="19" t="n">
        <f aca="false">-$E$13*100</f>
        <v>-1.5</v>
      </c>
    </row>
    <row r="28" customFormat="false" ht="15" hidden="false" customHeight="false" outlineLevel="0" collapsed="false">
      <c r="B28" s="16" t="s">
        <v>99</v>
      </c>
    </row>
    <row r="29" customFormat="false" ht="15" hidden="false" customHeight="false" outlineLevel="0" collapsed="false">
      <c r="B29" s="16"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s>
  <sheetData>
    <row r="2" customFormat="false" ht="25.5" hidden="false" customHeight="true" outlineLevel="0" collapsed="false">
      <c r="B2" s="1"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2026-08-04T18:51:34Z</dcterms:created>
  <dc:creator>openpyxl</dc:creator>
  <dc:description/>
  <dc:language>en-US</dc:language>
  <cp:lastModifiedBy/>
  <dcterms:modified xsi:type="dcterms:W3CDTF">2026-08-04T18:51:37Z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