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rry Model" sheetId="2" state="visible" r:id="rId4"/>
    <sheet name="Payoff Curv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<sst xmlns="http://schemas.openxmlformats.org/spreadsheetml/2006/main" count="78" uniqueCount="77">
  <si>
    <t xml:space="preserve">COP carry — the cushion, not the call</t>
  </si>
  <si>
    <t xml:space="preserve">Long COP vs USD, 12-month NDF · 27 August 2026 · Illustrative scenario analysis, not a forecast</t>
  </si>
  <si>
    <t xml:space="preserve">Purpose</t>
  </si>
  <si>
    <t xml:space="preserve">Frames a long-COP NDF position as a cushion trade rather than an appreciation call. The carry is contractually fixed at inception; terminal spot is the only variable.</t>
  </si>
  <si>
    <t xml:space="preserve">Tabs</t>
  </si>
  <si>
    <t xml:space="preserve">Carry Model — inputs, scenario grid, sensitivity. All blue cells are hardcoded inputs; everything else is a formula.</t>
  </si>
  <si>
    <t xml:space="preserve">Payoff Curve — return schedule across terminal USDCOP from 2,800 to 4,300, with the embedded chart.</t>
  </si>
  <si>
    <t xml:space="preserve">Method</t>
  </si>
  <si>
    <t xml:space="preserve">Total return on a USD-notional NDF is (F − S_T) / S_T, where F is the 12-month outright and S_T the terminal spot.</t>
  </si>
  <si>
    <t xml:space="preserve">Decomposed: spot return = S_0/S_T − 1; carry contribution = carry × S_0/S_T. The carry leg MUST be scaled by S_0/S_T. The naive additive form carry + (S_0/S_T − 1) understates losses and does not return zero at breakeven.</t>
  </si>
  <si>
    <t xml:space="preserve">Forward is computed from covered parity on the quoted differential: F = S_0 × (1 + carry). No separate NDF points are used, so the cross-currency basis is not isolated.</t>
  </si>
  <si>
    <t xml:space="preserve">Sources</t>
  </si>
  <si>
    <t xml:space="preserve">Rates and spot: Bloomberg — CLNI12M BGN Curncy (COP 12m NDF-implied), USOSFR1 BGN Curncy (USD 1y SOFR OIS), COP REGN Curncy (spot). USD LIBOR is not used: ICE ceased synthetic USD publication on 30 September 2024.</t>
  </si>
  <si>
    <t xml:space="preserve">Policy and inflation: Banco de la República, 31 July 2026 decision and 5 August 2026 minutes; BBVA Research. Ratings: S&amp;P Global Ratings, 8 April 2026. Brazil: Banco Central do Brasil, 5 August 2026.</t>
  </si>
  <si>
    <t xml:space="preserve">Open items before publication</t>
  </si>
  <si>
    <t xml:space="preserve">Start-2026 reference of ~3,700 is derived from a reported ~18% YTD appreciation against an early-August level near 3,200. Confirm against the Bloomberg series.</t>
  </si>
  <si>
    <t xml:space="preserve">Scenario probabilities are judgemental and should be agreed with the desk before client distribution.</t>
  </si>
  <si>
    <t xml:space="preserve">Carry model and scenario grid</t>
  </si>
  <si>
    <t xml:space="preserve">Blue cells are inputs. All other cells are formulas.</t>
  </si>
  <si>
    <t xml:space="preserve">Market inputs</t>
  </si>
  <si>
    <t xml:space="preserve">COP 12m NDF-implied rate</t>
  </si>
  <si>
    <t xml:space="preserve">CLNI12M BGN Curncy</t>
  </si>
  <si>
    <t xml:space="preserve">USD 1y SOFR OIS</t>
  </si>
  <si>
    <t xml:space="preserve">USOSFR1 BGN Curncy</t>
  </si>
  <si>
    <t xml:space="preserve">Spot USDCOP</t>
  </si>
  <si>
    <t xml:space="preserve">COP REGN Curncy</t>
  </si>
  <si>
    <t xml:space="preserve">Gross nominal carry</t>
  </si>
  <si>
    <t xml:space="preserve">locked at inception</t>
  </si>
  <si>
    <t xml:space="preserve">12m forward outright (breakeven)</t>
  </si>
  <si>
    <t xml:space="preserve">F = S0 × (1 + carry)</t>
  </si>
  <si>
    <t xml:space="preserve">Cushion vs spot</t>
  </si>
  <si>
    <t xml:space="preserve">Reference levels</t>
  </si>
  <si>
    <t xml:space="preserve">Start-2026 USDCOP</t>
  </si>
  <si>
    <t xml:space="preserve">derived from ~18% YTD move — confirm</t>
  </si>
  <si>
    <t xml:space="preserve">2025 all-time high</t>
  </si>
  <si>
    <t xml:space="preserve">peak stress level</t>
  </si>
  <si>
    <t xml:space="preserve">COP implied vol (12m, approx)</t>
  </si>
  <si>
    <t xml:space="preserve">used for carry-to-vol only</t>
  </si>
  <si>
    <t xml:space="preserve">Carry-to-vol ratio</t>
  </si>
  <si>
    <t xml:space="preserve">Scenario grid</t>
  </si>
  <si>
    <t xml:space="preserve">Scenario</t>
  </si>
  <si>
    <t xml:space="preserve">Prob.</t>
  </si>
  <si>
    <t xml:space="preserve">USDCOP</t>
  </si>
  <si>
    <t xml:space="preserve">Spot ret.</t>
  </si>
  <si>
    <t xml:space="preserve">Carry ret.</t>
  </si>
  <si>
    <t xml:space="preserve">Total ret.</t>
  </si>
  <si>
    <t xml:space="preserve">Driver</t>
  </si>
  <si>
    <t xml:space="preserve">Bull — fiscal credibility delivered</t>
  </si>
  <si>
    <t xml:space="preserve">COP 60tn spending freeze converts into passed legislation; fiscal rule restored; ratings outlook stabilises. Upside capped by Banrep's USD 4bn reserve accumulation programme.</t>
  </si>
  <si>
    <t xml:space="preserve">Base — election priced, programme not</t>
  </si>
  <si>
    <t xml:space="preserve">Seven-year high partially retraced. Congress delivers a diluted adjustment; Banrep on hold at 12%; monthly USD put auctions lean against further strength.</t>
  </si>
  <si>
    <t xml:space="preserve">Bear — adjustment stalls in Congress</t>
  </si>
  <si>
    <t xml:space="preserve">Pacto Histórico blocks the fiscal package; rule stays suspended; further downgrade below BB−; oil shock. Still 23% inside the 2025 high.</t>
  </si>
  <si>
    <t xml:space="preserve">Probability weighted</t>
  </si>
  <si>
    <t xml:space="preserve">Sums to 100% by construction; check C column if edited.</t>
  </si>
  <si>
    <t xml:space="preserve">Check: total = spot + carry</t>
  </si>
  <si>
    <t xml:space="preserve">Sensitivity — expected return as weight shifts from base to bear</t>
  </si>
  <si>
    <t xml:space="preserve">Bear probability</t>
  </si>
  <si>
    <t xml:space="preserve">Expected return</t>
  </si>
  <si>
    <t xml:space="preserve">Bull weight held at</t>
  </si>
  <si>
    <t xml:space="preserve">Expected return turns negative only above roughly 40% weight on a full round-trip to 3,950 — a level USDCOP traded through in January 2026.</t>
  </si>
  <si>
    <t xml:space="preserve">Payoff schedule — 12-month total return by terminal USDCOP</t>
  </si>
  <si>
    <t xml:space="preserve">Curve is formula-driven off the Carry Model tab. Scenario markers plot as a separate series.</t>
  </si>
  <si>
    <t xml:space="preserve">Spot return</t>
  </si>
  <si>
    <t xml:space="preserve">Carry return</t>
  </si>
  <si>
    <t xml:space="preserve">Total return</t>
  </si>
  <si>
    <t xml:space="preserve">Marker x</t>
  </si>
  <si>
    <t xml:space="preserve">Marker y</t>
  </si>
  <si>
    <t xml:space="preserve">Label</t>
  </si>
  <si>
    <t xml:space="preserve">Bull</t>
  </si>
  <si>
    <t xml:space="preserve">Base</t>
  </si>
  <si>
    <t xml:space="preserve">Bear</t>
  </si>
  <si>
    <t xml:space="preserve">Spot</t>
  </si>
  <si>
    <t xml:space="preserve">Breakeven</t>
  </si>
  <si>
    <t xml:space="preserve">Start-2026</t>
  </si>
  <si>
    <t xml:space="preserve">Green cells link to Carry Model.</t>
  </si>
  <si>
    <t xml:space="preserve">Total return = (F − S_T) / S_T. Spot return = S_0/S_T − 1. Carry return = carry × S_0/S_T. The carry leg is scaled by S_0/S_T; the unscaled additive form understates losses and does not return zero at the breakeven forward.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</si>
</sst>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;\(#,##0\);\-"/>
    <numFmt numFmtId="167" formatCode="0.00"/>
    <numFmt numFmtId="168" formatCode="0%"/>
    <numFmt numFmtId="169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1F3B63"/>
      <name val="Arial"/>
      <family val="0"/>
      <charset val="1"/>
    </font>
    <font>
      <sz val="9.5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8.5"/>
      <color rgb="FF6B6B6B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B63"/>
        <bgColor rgb="FF2F5C8F"/>
      </patternFill>
    </fill>
    <fill>
      <patternFill patternType="solid">
        <fgColor rgb="FFF2F4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B63"/>
      </bottom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D1495B"/>
      <rgbColor rgb="FFF2F4F7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33D"/>
      <rgbColor rgb="FFFF6600"/>
      <rgbColor rgb="FF6B6B6B"/>
      <rgbColor rgb="FF8AA0B8"/>
      <rgbColor rgb="FF1F3B63"/>
      <rgbColor rgb="FF339966"/>
      <rgbColor rgb="FF003300"/>
      <rgbColor rgb="FF333300"/>
      <rgbColor rgb="FF993300"/>
      <rgbColor rgb="FF993366"/>
      <rgbColor rgb="FF2F5C8F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12-month total return on a long-COP NDF, by terminal USDCOP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"Spot return"</c:f>
              <c:strCache>
                <c:ptCount val="1"/>
                <c:pt idx="0">
                  <c:v>Spot return</c:v>
                </c:pt>
              </c:strCache>
            </c:strRef>
          </c:tx>
          <c:spPr>
            <a:solidFill>
              <a:srgbClr val="8aa0b8"/>
            </a:solidFill>
            <a:ln w="15840">
              <a:solidFill>
                <a:srgbClr val="8aa0b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'Payoff Curve'!$B$6:$B$66</c:f>
              <c:numCache>
                <c:formatCode>#,##0;\(#,##0\);\-</c:formatCode>
                <c:ptCount val="61"/>
                <c:pt idx="0">
                  <c:v>2800</c:v>
                </c:pt>
                <c:pt idx="1">
                  <c:v>2825</c:v>
                </c:pt>
                <c:pt idx="2">
                  <c:v>2850</c:v>
                </c:pt>
                <c:pt idx="3">
                  <c:v>2875</c:v>
                </c:pt>
                <c:pt idx="4">
                  <c:v>2900</c:v>
                </c:pt>
                <c:pt idx="5">
                  <c:v>2925</c:v>
                </c:pt>
                <c:pt idx="6">
                  <c:v>2950</c:v>
                </c:pt>
                <c:pt idx="7">
                  <c:v>2975</c:v>
                </c:pt>
                <c:pt idx="8">
                  <c:v>3000</c:v>
                </c:pt>
                <c:pt idx="9">
                  <c:v>3025</c:v>
                </c:pt>
                <c:pt idx="10">
                  <c:v>3050</c:v>
                </c:pt>
                <c:pt idx="11">
                  <c:v>3075</c:v>
                </c:pt>
                <c:pt idx="12">
                  <c:v>3100</c:v>
                </c:pt>
                <c:pt idx="13">
                  <c:v>3125</c:v>
                </c:pt>
                <c:pt idx="14">
                  <c:v>3150</c:v>
                </c:pt>
                <c:pt idx="15">
                  <c:v>3175</c:v>
                </c:pt>
                <c:pt idx="16">
                  <c:v>3200</c:v>
                </c:pt>
                <c:pt idx="17">
                  <c:v>3225</c:v>
                </c:pt>
                <c:pt idx="18">
                  <c:v>3250</c:v>
                </c:pt>
                <c:pt idx="19">
                  <c:v>3275</c:v>
                </c:pt>
                <c:pt idx="20">
                  <c:v>3300</c:v>
                </c:pt>
                <c:pt idx="21">
                  <c:v>3325</c:v>
                </c:pt>
                <c:pt idx="22">
                  <c:v>3350</c:v>
                </c:pt>
                <c:pt idx="23">
                  <c:v>3375</c:v>
                </c:pt>
                <c:pt idx="24">
                  <c:v>3400</c:v>
                </c:pt>
                <c:pt idx="25">
                  <c:v>3425</c:v>
                </c:pt>
                <c:pt idx="26">
                  <c:v>3450</c:v>
                </c:pt>
                <c:pt idx="27">
                  <c:v>3475</c:v>
                </c:pt>
                <c:pt idx="28">
                  <c:v>3500</c:v>
                </c:pt>
                <c:pt idx="29">
                  <c:v>3525</c:v>
                </c:pt>
                <c:pt idx="30">
                  <c:v>3550</c:v>
                </c:pt>
                <c:pt idx="31">
                  <c:v>3575</c:v>
                </c:pt>
                <c:pt idx="32">
                  <c:v>3600</c:v>
                </c:pt>
                <c:pt idx="33">
                  <c:v>3625</c:v>
                </c:pt>
                <c:pt idx="34">
                  <c:v>3650</c:v>
                </c:pt>
                <c:pt idx="35">
                  <c:v>3675</c:v>
                </c:pt>
                <c:pt idx="36">
                  <c:v>3700</c:v>
                </c:pt>
                <c:pt idx="37">
                  <c:v>3725</c:v>
                </c:pt>
                <c:pt idx="38">
                  <c:v>3750</c:v>
                </c:pt>
                <c:pt idx="39">
                  <c:v>3775</c:v>
                </c:pt>
                <c:pt idx="40">
                  <c:v>3800</c:v>
                </c:pt>
                <c:pt idx="41">
                  <c:v>3825</c:v>
                </c:pt>
                <c:pt idx="42">
                  <c:v>3850</c:v>
                </c:pt>
                <c:pt idx="43">
                  <c:v>3875</c:v>
                </c:pt>
                <c:pt idx="44">
                  <c:v>3900</c:v>
                </c:pt>
                <c:pt idx="45">
                  <c:v>3925</c:v>
                </c:pt>
                <c:pt idx="46">
                  <c:v>3950</c:v>
                </c:pt>
                <c:pt idx="47">
                  <c:v>3975</c:v>
                </c:pt>
                <c:pt idx="48">
                  <c:v>4000</c:v>
                </c:pt>
                <c:pt idx="49">
                  <c:v>4025</c:v>
                </c:pt>
                <c:pt idx="50">
                  <c:v>4050</c:v>
                </c:pt>
                <c:pt idx="51">
                  <c:v>4075</c:v>
                </c:pt>
                <c:pt idx="52">
                  <c:v>4100</c:v>
                </c:pt>
                <c:pt idx="53">
                  <c:v>4125</c:v>
                </c:pt>
                <c:pt idx="54">
                  <c:v>4150</c:v>
                </c:pt>
                <c:pt idx="55">
                  <c:v>4175</c:v>
                </c:pt>
                <c:pt idx="56">
                  <c:v>4200</c:v>
                </c:pt>
                <c:pt idx="57">
                  <c:v>4225</c:v>
                </c:pt>
                <c:pt idx="58">
                  <c:v>4250</c:v>
                </c:pt>
                <c:pt idx="59">
                  <c:v>4275</c:v>
                </c:pt>
                <c:pt idx="60">
                  <c:v>4300</c:v>
                </c:pt>
              </c:numCache>
            </c:numRef>
          </c:xVal>
          <c:yVal>
            <c:numRef>
              <c:f>'Payoff Curve'!$C$6:$C$66</c:f>
              <c:numCache>
                <c:formatCode>0.00%</c:formatCode>
                <c:ptCount val="61"/>
                <c:pt idx="0">
                  <c:v>0.125714285714286</c:v>
                </c:pt>
                <c:pt idx="1">
                  <c:v>0.115752212389381</c:v>
                </c:pt>
                <c:pt idx="2">
                  <c:v>0.105964912280702</c:v>
                </c:pt>
                <c:pt idx="3">
                  <c:v>0.0963478260869566</c:v>
                </c:pt>
                <c:pt idx="4">
                  <c:v>0.086896551724138</c:v>
                </c:pt>
                <c:pt idx="5">
                  <c:v>0.0776068376068375</c:v>
                </c:pt>
                <c:pt idx="6">
                  <c:v>0.0684745762711865</c:v>
                </c:pt>
                <c:pt idx="7">
                  <c:v>0.0594957983193278</c:v>
                </c:pt>
                <c:pt idx="8">
                  <c:v>0.0506666666666666</c:v>
                </c:pt>
                <c:pt idx="9">
                  <c:v>0.0419834710743803</c:v>
                </c:pt>
                <c:pt idx="10">
                  <c:v>0.0334426229508196</c:v>
                </c:pt>
                <c:pt idx="11">
                  <c:v>0.0250406504065042</c:v>
                </c:pt>
                <c:pt idx="12">
                  <c:v>0.0167741935483872</c:v>
                </c:pt>
                <c:pt idx="13">
                  <c:v>0.00863999999999998</c:v>
                </c:pt>
                <c:pt idx="14">
                  <c:v>0.000634920634920544</c:v>
                </c:pt>
                <c:pt idx="15">
                  <c:v>-0.00724409448818897</c:v>
                </c:pt>
                <c:pt idx="16">
                  <c:v>-0.015</c:v>
                </c:pt>
                <c:pt idx="17">
                  <c:v>-0.0226356589147286</c:v>
                </c:pt>
                <c:pt idx="18">
                  <c:v>-0.0301538461538462</c:v>
                </c:pt>
                <c:pt idx="19">
                  <c:v>-0.037557251908397</c:v>
                </c:pt>
                <c:pt idx="20">
                  <c:v>-0.0448484848484848</c:v>
                </c:pt>
                <c:pt idx="21">
                  <c:v>-0.0520300751879699</c:v>
                </c:pt>
                <c:pt idx="22">
                  <c:v>-0.0591044776119403</c:v>
                </c:pt>
                <c:pt idx="23">
                  <c:v>-0.0660740740740741</c:v>
                </c:pt>
                <c:pt idx="24">
                  <c:v>-0.0729411764705883</c:v>
                </c:pt>
                <c:pt idx="25">
                  <c:v>-0.0797080291970803</c:v>
                </c:pt>
                <c:pt idx="26">
                  <c:v>-0.0863768115942029</c:v>
                </c:pt>
                <c:pt idx="27">
                  <c:v>-0.0929496402877698</c:v>
                </c:pt>
                <c:pt idx="28">
                  <c:v>-0.0994285714285714</c:v>
                </c:pt>
                <c:pt idx="29">
                  <c:v>-0.105815602836879</c:v>
                </c:pt>
                <c:pt idx="30">
                  <c:v>-0.112112676056338</c:v>
                </c:pt>
                <c:pt idx="31">
                  <c:v>-0.118321678321678</c:v>
                </c:pt>
                <c:pt idx="32">
                  <c:v>-0.124444444444444</c:v>
                </c:pt>
                <c:pt idx="33">
                  <c:v>-0.13048275862069</c:v>
                </c:pt>
                <c:pt idx="34">
                  <c:v>-0.136438356164384</c:v>
                </c:pt>
                <c:pt idx="35">
                  <c:v>-0.142312925170068</c:v>
                </c:pt>
                <c:pt idx="36">
                  <c:v>-0.148108108108108</c:v>
                </c:pt>
                <c:pt idx="37">
                  <c:v>-0.153825503355705</c:v>
                </c:pt>
                <c:pt idx="38">
                  <c:v>-0.159466666666667</c:v>
                </c:pt>
                <c:pt idx="39">
                  <c:v>-0.165033112582781</c:v>
                </c:pt>
                <c:pt idx="40">
                  <c:v>-0.170526315789474</c:v>
                </c:pt>
                <c:pt idx="41">
                  <c:v>-0.175947712418301</c:v>
                </c:pt>
                <c:pt idx="42">
                  <c:v>-0.181298701298701</c:v>
                </c:pt>
                <c:pt idx="43">
                  <c:v>-0.18658064516129</c:v>
                </c:pt>
                <c:pt idx="44">
                  <c:v>-0.191794871794872</c:v>
                </c:pt>
                <c:pt idx="45">
                  <c:v>-0.196942675159236</c:v>
                </c:pt>
                <c:pt idx="46">
                  <c:v>-0.202025316455696</c:v>
                </c:pt>
                <c:pt idx="47">
                  <c:v>-0.207044025157233</c:v>
                </c:pt>
                <c:pt idx="48">
                  <c:v>-0.212</c:v>
                </c:pt>
                <c:pt idx="49">
                  <c:v>-0.216894409937888</c:v>
                </c:pt>
                <c:pt idx="50">
                  <c:v>-0.221728395061728</c:v>
                </c:pt>
                <c:pt idx="51">
                  <c:v>-0.226503067484663</c:v>
                </c:pt>
                <c:pt idx="52">
                  <c:v>-0.231219512195122</c:v>
                </c:pt>
                <c:pt idx="53">
                  <c:v>-0.235878787878788</c:v>
                </c:pt>
                <c:pt idx="54">
                  <c:v>-0.240481927710843</c:v>
                </c:pt>
                <c:pt idx="55">
                  <c:v>-0.24502994011976</c:v>
                </c:pt>
                <c:pt idx="56">
                  <c:v>-0.249523809523809</c:v>
                </c:pt>
                <c:pt idx="57">
                  <c:v>-0.25396449704142</c:v>
                </c:pt>
                <c:pt idx="58">
                  <c:v>-0.258352941176471</c:v>
                </c:pt>
                <c:pt idx="59">
                  <c:v>-0.262690058479532</c:v>
                </c:pt>
                <c:pt idx="60">
                  <c:v>-0.266976744186047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"Carry return"</c:f>
              <c:strCache>
                <c:ptCount val="1"/>
                <c:pt idx="0">
                  <c:v>Carry return</c:v>
                </c:pt>
              </c:strCache>
            </c:strRef>
          </c:tx>
          <c:spPr>
            <a:solidFill>
              <a:srgbClr val="e8a33d"/>
            </a:solidFill>
            <a:ln w="15840">
              <a:solidFill>
                <a:srgbClr val="e8a33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'Payoff Curve'!$B$6:$B$66</c:f>
              <c:numCache>
                <c:formatCode>#,##0;\(#,##0\);\-</c:formatCode>
                <c:ptCount val="61"/>
                <c:pt idx="0">
                  <c:v>2800</c:v>
                </c:pt>
                <c:pt idx="1">
                  <c:v>2825</c:v>
                </c:pt>
                <c:pt idx="2">
                  <c:v>2850</c:v>
                </c:pt>
                <c:pt idx="3">
                  <c:v>2875</c:v>
                </c:pt>
                <c:pt idx="4">
                  <c:v>2900</c:v>
                </c:pt>
                <c:pt idx="5">
                  <c:v>2925</c:v>
                </c:pt>
                <c:pt idx="6">
                  <c:v>2950</c:v>
                </c:pt>
                <c:pt idx="7">
                  <c:v>2975</c:v>
                </c:pt>
                <c:pt idx="8">
                  <c:v>3000</c:v>
                </c:pt>
                <c:pt idx="9">
                  <c:v>3025</c:v>
                </c:pt>
                <c:pt idx="10">
                  <c:v>3050</c:v>
                </c:pt>
                <c:pt idx="11">
                  <c:v>3075</c:v>
                </c:pt>
                <c:pt idx="12">
                  <c:v>3100</c:v>
                </c:pt>
                <c:pt idx="13">
                  <c:v>3125</c:v>
                </c:pt>
                <c:pt idx="14">
                  <c:v>3150</c:v>
                </c:pt>
                <c:pt idx="15">
                  <c:v>3175</c:v>
                </c:pt>
                <c:pt idx="16">
                  <c:v>3200</c:v>
                </c:pt>
                <c:pt idx="17">
                  <c:v>3225</c:v>
                </c:pt>
                <c:pt idx="18">
                  <c:v>3250</c:v>
                </c:pt>
                <c:pt idx="19">
                  <c:v>3275</c:v>
                </c:pt>
                <c:pt idx="20">
                  <c:v>3300</c:v>
                </c:pt>
                <c:pt idx="21">
                  <c:v>3325</c:v>
                </c:pt>
                <c:pt idx="22">
                  <c:v>3350</c:v>
                </c:pt>
                <c:pt idx="23">
                  <c:v>3375</c:v>
                </c:pt>
                <c:pt idx="24">
                  <c:v>3400</c:v>
                </c:pt>
                <c:pt idx="25">
                  <c:v>3425</c:v>
                </c:pt>
                <c:pt idx="26">
                  <c:v>3450</c:v>
                </c:pt>
                <c:pt idx="27">
                  <c:v>3475</c:v>
                </c:pt>
                <c:pt idx="28">
                  <c:v>3500</c:v>
                </c:pt>
                <c:pt idx="29">
                  <c:v>3525</c:v>
                </c:pt>
                <c:pt idx="30">
                  <c:v>3550</c:v>
                </c:pt>
                <c:pt idx="31">
                  <c:v>3575</c:v>
                </c:pt>
                <c:pt idx="32">
                  <c:v>3600</c:v>
                </c:pt>
                <c:pt idx="33">
                  <c:v>3625</c:v>
                </c:pt>
                <c:pt idx="34">
                  <c:v>3650</c:v>
                </c:pt>
                <c:pt idx="35">
                  <c:v>3675</c:v>
                </c:pt>
                <c:pt idx="36">
                  <c:v>3700</c:v>
                </c:pt>
                <c:pt idx="37">
                  <c:v>3725</c:v>
                </c:pt>
                <c:pt idx="38">
                  <c:v>3750</c:v>
                </c:pt>
                <c:pt idx="39">
                  <c:v>3775</c:v>
                </c:pt>
                <c:pt idx="40">
                  <c:v>3800</c:v>
                </c:pt>
                <c:pt idx="41">
                  <c:v>3825</c:v>
                </c:pt>
                <c:pt idx="42">
                  <c:v>3850</c:v>
                </c:pt>
                <c:pt idx="43">
                  <c:v>3875</c:v>
                </c:pt>
                <c:pt idx="44">
                  <c:v>3900</c:v>
                </c:pt>
                <c:pt idx="45">
                  <c:v>3925</c:v>
                </c:pt>
                <c:pt idx="46">
                  <c:v>3950</c:v>
                </c:pt>
                <c:pt idx="47">
                  <c:v>3975</c:v>
                </c:pt>
                <c:pt idx="48">
                  <c:v>4000</c:v>
                </c:pt>
                <c:pt idx="49">
                  <c:v>4025</c:v>
                </c:pt>
                <c:pt idx="50">
                  <c:v>4050</c:v>
                </c:pt>
                <c:pt idx="51">
                  <c:v>4075</c:v>
                </c:pt>
                <c:pt idx="52">
                  <c:v>4100</c:v>
                </c:pt>
                <c:pt idx="53">
                  <c:v>4125</c:v>
                </c:pt>
                <c:pt idx="54">
                  <c:v>4150</c:v>
                </c:pt>
                <c:pt idx="55">
                  <c:v>4175</c:v>
                </c:pt>
                <c:pt idx="56">
                  <c:v>4200</c:v>
                </c:pt>
                <c:pt idx="57">
                  <c:v>4225</c:v>
                </c:pt>
                <c:pt idx="58">
                  <c:v>4250</c:v>
                </c:pt>
                <c:pt idx="59">
                  <c:v>4275</c:v>
                </c:pt>
                <c:pt idx="60">
                  <c:v>4300</c:v>
                </c:pt>
              </c:numCache>
            </c:numRef>
          </c:xVal>
          <c:yVal>
            <c:numRef>
              <c:f>'Payoff Curve'!$D$6:$D$66</c:f>
              <c:numCache>
                <c:formatCode>0.00%</c:formatCode>
                <c:ptCount val="61"/>
                <c:pt idx="0">
                  <c:v>0.0964860971428572</c:v>
                </c:pt>
                <c:pt idx="1">
                  <c:v>0.0956322378761062</c:v>
                </c:pt>
                <c:pt idx="2">
                  <c:v>0.0947933585964912</c:v>
                </c:pt>
                <c:pt idx="3">
                  <c:v>0.0939690685217391</c:v>
                </c:pt>
                <c:pt idx="4">
                  <c:v>0.0931589903448276</c:v>
                </c:pt>
                <c:pt idx="5">
                  <c:v>0.0923627596581197</c:v>
                </c:pt>
                <c:pt idx="6">
                  <c:v>0.0915800244067797</c:v>
                </c:pt>
                <c:pt idx="7">
                  <c:v>0.0908104443697479</c:v>
                </c:pt>
                <c:pt idx="8">
                  <c:v>0.0900536906666667</c:v>
                </c:pt>
                <c:pt idx="9">
                  <c:v>0.0893094452892562</c:v>
                </c:pt>
                <c:pt idx="10">
                  <c:v>0.0885774006557377</c:v>
                </c:pt>
                <c:pt idx="11">
                  <c:v>0.0878572591869919</c:v>
                </c:pt>
                <c:pt idx="12">
                  <c:v>0.0871487329032258</c:v>
                </c:pt>
                <c:pt idx="13">
                  <c:v>0.08645154304</c:v>
                </c:pt>
                <c:pt idx="14">
                  <c:v>0.0857654196825397</c:v>
                </c:pt>
                <c:pt idx="15">
                  <c:v>0.0850901014173228</c:v>
                </c:pt>
                <c:pt idx="16">
                  <c:v>0.084425335</c:v>
                </c:pt>
                <c:pt idx="17">
                  <c:v>0.0837708750387597</c:v>
                </c:pt>
                <c:pt idx="18">
                  <c:v>0.0831264836923077</c:v>
                </c:pt>
                <c:pt idx="19">
                  <c:v>0.0824919303816794</c:v>
                </c:pt>
                <c:pt idx="20">
                  <c:v>0.0818669915151515</c:v>
                </c:pt>
                <c:pt idx="21">
                  <c:v>0.0812514502255639</c:v>
                </c:pt>
                <c:pt idx="22">
                  <c:v>0.080645096119403</c:v>
                </c:pt>
                <c:pt idx="23">
                  <c:v>0.0800477250370371</c:v>
                </c:pt>
                <c:pt idx="24">
                  <c:v>0.0794591388235294</c:v>
                </c:pt>
                <c:pt idx="25">
                  <c:v>0.0788791451094891</c:v>
                </c:pt>
                <c:pt idx="26">
                  <c:v>0.0783075571014493</c:v>
                </c:pt>
                <c:pt idx="27">
                  <c:v>0.077744193381295</c:v>
                </c:pt>
                <c:pt idx="28">
                  <c:v>0.0771888777142857</c:v>
                </c:pt>
                <c:pt idx="29">
                  <c:v>0.0766414388652482</c:v>
                </c:pt>
                <c:pt idx="30">
                  <c:v>0.0761017104225352</c:v>
                </c:pt>
                <c:pt idx="31">
                  <c:v>0.0755695306293707</c:v>
                </c:pt>
                <c:pt idx="32">
                  <c:v>0.0750447422222222</c:v>
                </c:pt>
                <c:pt idx="33">
                  <c:v>0.0745271922758621</c:v>
                </c:pt>
                <c:pt idx="34">
                  <c:v>0.0740167320547945</c:v>
                </c:pt>
                <c:pt idx="35">
                  <c:v>0.0735132168707483</c:v>
                </c:pt>
                <c:pt idx="36">
                  <c:v>0.073016505945946</c:v>
                </c:pt>
                <c:pt idx="37">
                  <c:v>0.0725264622818792</c:v>
                </c:pt>
                <c:pt idx="38">
                  <c:v>0.0720429525333333</c:v>
                </c:pt>
                <c:pt idx="39">
                  <c:v>0.0715658468874172</c:v>
                </c:pt>
                <c:pt idx="40">
                  <c:v>0.0710950189473684</c:v>
                </c:pt>
                <c:pt idx="41">
                  <c:v>0.070630345620915</c:v>
                </c:pt>
                <c:pt idx="42">
                  <c:v>0.070171707012987</c:v>
                </c:pt>
                <c:pt idx="43">
                  <c:v>0.0697189863225807</c:v>
                </c:pt>
                <c:pt idx="44">
                  <c:v>0.0692720697435898</c:v>
                </c:pt>
                <c:pt idx="45">
                  <c:v>0.0688308463694268</c:v>
                </c:pt>
                <c:pt idx="46">
                  <c:v>0.0683952081012658</c:v>
                </c:pt>
                <c:pt idx="47">
                  <c:v>0.0679650495597484</c:v>
                </c:pt>
                <c:pt idx="48">
                  <c:v>0.067540268</c:v>
                </c:pt>
                <c:pt idx="49">
                  <c:v>0.0671207632298137</c:v>
                </c:pt>
                <c:pt idx="50">
                  <c:v>0.0667064375308642</c:v>
                </c:pt>
                <c:pt idx="51">
                  <c:v>0.0662971955828221</c:v>
                </c:pt>
                <c:pt idx="52">
                  <c:v>0.0658929443902439</c:v>
                </c:pt>
                <c:pt idx="53">
                  <c:v>0.0654935932121212</c:v>
                </c:pt>
                <c:pt idx="54">
                  <c:v>0.0650990534939759</c:v>
                </c:pt>
                <c:pt idx="55">
                  <c:v>0.0647092388023952</c:v>
                </c:pt>
                <c:pt idx="56">
                  <c:v>0.0643240647619048</c:v>
                </c:pt>
                <c:pt idx="57">
                  <c:v>0.0639434489940829</c:v>
                </c:pt>
                <c:pt idx="58">
                  <c:v>0.0635673110588235</c:v>
                </c:pt>
                <c:pt idx="59">
                  <c:v>0.0631955723976608</c:v>
                </c:pt>
                <c:pt idx="60">
                  <c:v>0.0628281562790698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"Total return"</c:f>
              <c:strCache>
                <c:ptCount val="1"/>
                <c:pt idx="0">
                  <c:v>Total return</c:v>
                </c:pt>
              </c:strCache>
            </c:strRef>
          </c:tx>
          <c:spPr>
            <a:solidFill>
              <a:srgbClr val="2f5c8f"/>
            </a:solidFill>
            <a:ln w="28080">
              <a:solidFill>
                <a:srgbClr val="2f5c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'Payoff Curve'!$B$6:$B$66</c:f>
              <c:numCache>
                <c:formatCode>#,##0;\(#,##0\);\-</c:formatCode>
                <c:ptCount val="61"/>
                <c:pt idx="0">
                  <c:v>2800</c:v>
                </c:pt>
                <c:pt idx="1">
                  <c:v>2825</c:v>
                </c:pt>
                <c:pt idx="2">
                  <c:v>2850</c:v>
                </c:pt>
                <c:pt idx="3">
                  <c:v>2875</c:v>
                </c:pt>
                <c:pt idx="4">
                  <c:v>2900</c:v>
                </c:pt>
                <c:pt idx="5">
                  <c:v>2925</c:v>
                </c:pt>
                <c:pt idx="6">
                  <c:v>2950</c:v>
                </c:pt>
                <c:pt idx="7">
                  <c:v>2975</c:v>
                </c:pt>
                <c:pt idx="8">
                  <c:v>3000</c:v>
                </c:pt>
                <c:pt idx="9">
                  <c:v>3025</c:v>
                </c:pt>
                <c:pt idx="10">
                  <c:v>3050</c:v>
                </c:pt>
                <c:pt idx="11">
                  <c:v>3075</c:v>
                </c:pt>
                <c:pt idx="12">
                  <c:v>3100</c:v>
                </c:pt>
                <c:pt idx="13">
                  <c:v>3125</c:v>
                </c:pt>
                <c:pt idx="14">
                  <c:v>3150</c:v>
                </c:pt>
                <c:pt idx="15">
                  <c:v>3175</c:v>
                </c:pt>
                <c:pt idx="16">
                  <c:v>3200</c:v>
                </c:pt>
                <c:pt idx="17">
                  <c:v>3225</c:v>
                </c:pt>
                <c:pt idx="18">
                  <c:v>3250</c:v>
                </c:pt>
                <c:pt idx="19">
                  <c:v>3275</c:v>
                </c:pt>
                <c:pt idx="20">
                  <c:v>3300</c:v>
                </c:pt>
                <c:pt idx="21">
                  <c:v>3325</c:v>
                </c:pt>
                <c:pt idx="22">
                  <c:v>3350</c:v>
                </c:pt>
                <c:pt idx="23">
                  <c:v>3375</c:v>
                </c:pt>
                <c:pt idx="24">
                  <c:v>3400</c:v>
                </c:pt>
                <c:pt idx="25">
                  <c:v>3425</c:v>
                </c:pt>
                <c:pt idx="26">
                  <c:v>3450</c:v>
                </c:pt>
                <c:pt idx="27">
                  <c:v>3475</c:v>
                </c:pt>
                <c:pt idx="28">
                  <c:v>3500</c:v>
                </c:pt>
                <c:pt idx="29">
                  <c:v>3525</c:v>
                </c:pt>
                <c:pt idx="30">
                  <c:v>3550</c:v>
                </c:pt>
                <c:pt idx="31">
                  <c:v>3575</c:v>
                </c:pt>
                <c:pt idx="32">
                  <c:v>3600</c:v>
                </c:pt>
                <c:pt idx="33">
                  <c:v>3625</c:v>
                </c:pt>
                <c:pt idx="34">
                  <c:v>3650</c:v>
                </c:pt>
                <c:pt idx="35">
                  <c:v>3675</c:v>
                </c:pt>
                <c:pt idx="36">
                  <c:v>3700</c:v>
                </c:pt>
                <c:pt idx="37">
                  <c:v>3725</c:v>
                </c:pt>
                <c:pt idx="38">
                  <c:v>3750</c:v>
                </c:pt>
                <c:pt idx="39">
                  <c:v>3775</c:v>
                </c:pt>
                <c:pt idx="40">
                  <c:v>3800</c:v>
                </c:pt>
                <c:pt idx="41">
                  <c:v>3825</c:v>
                </c:pt>
                <c:pt idx="42">
                  <c:v>3850</c:v>
                </c:pt>
                <c:pt idx="43">
                  <c:v>3875</c:v>
                </c:pt>
                <c:pt idx="44">
                  <c:v>3900</c:v>
                </c:pt>
                <c:pt idx="45">
                  <c:v>3925</c:v>
                </c:pt>
                <c:pt idx="46">
                  <c:v>3950</c:v>
                </c:pt>
                <c:pt idx="47">
                  <c:v>3975</c:v>
                </c:pt>
                <c:pt idx="48">
                  <c:v>4000</c:v>
                </c:pt>
                <c:pt idx="49">
                  <c:v>4025</c:v>
                </c:pt>
                <c:pt idx="50">
                  <c:v>4050</c:v>
                </c:pt>
                <c:pt idx="51">
                  <c:v>4075</c:v>
                </c:pt>
                <c:pt idx="52">
                  <c:v>4100</c:v>
                </c:pt>
                <c:pt idx="53">
                  <c:v>4125</c:v>
                </c:pt>
                <c:pt idx="54">
                  <c:v>4150</c:v>
                </c:pt>
                <c:pt idx="55">
                  <c:v>4175</c:v>
                </c:pt>
                <c:pt idx="56">
                  <c:v>4200</c:v>
                </c:pt>
                <c:pt idx="57">
                  <c:v>4225</c:v>
                </c:pt>
                <c:pt idx="58">
                  <c:v>4250</c:v>
                </c:pt>
                <c:pt idx="59">
                  <c:v>4275</c:v>
                </c:pt>
                <c:pt idx="60">
                  <c:v>4300</c:v>
                </c:pt>
              </c:numCache>
            </c:numRef>
          </c:xVal>
          <c:yVal>
            <c:numRef>
              <c:f>'Payoff Curve'!$E$6:$E$66</c:f>
              <c:numCache>
                <c:formatCode>0.00%</c:formatCode>
                <c:ptCount val="61"/>
                <c:pt idx="0">
                  <c:v>0.222200382857143</c:v>
                </c:pt>
                <c:pt idx="1">
                  <c:v>0.211384450265487</c:v>
                </c:pt>
                <c:pt idx="2">
                  <c:v>0.200758270877193</c:v>
                </c:pt>
                <c:pt idx="3">
                  <c:v>0.190316894608696</c:v>
                </c:pt>
                <c:pt idx="4">
                  <c:v>0.180055542068966</c:v>
                </c:pt>
                <c:pt idx="5">
                  <c:v>0.169969597264957</c:v>
                </c:pt>
                <c:pt idx="6">
                  <c:v>0.160054600677966</c:v>
                </c:pt>
                <c:pt idx="7">
                  <c:v>0.150306242689076</c:v>
                </c:pt>
                <c:pt idx="8">
                  <c:v>0.140720357333333</c:v>
                </c:pt>
                <c:pt idx="9">
                  <c:v>0.131292916363636</c:v>
                </c:pt>
                <c:pt idx="10">
                  <c:v>0.122020023606557</c:v>
                </c:pt>
                <c:pt idx="11">
                  <c:v>0.112897909593496</c:v>
                </c:pt>
                <c:pt idx="12">
                  <c:v>0.103922926451613</c:v>
                </c:pt>
                <c:pt idx="13">
                  <c:v>0.0950915430400001</c:v>
                </c:pt>
                <c:pt idx="14">
                  <c:v>0.0864003403174604</c:v>
                </c:pt>
                <c:pt idx="15">
                  <c:v>0.077846006929134</c:v>
                </c:pt>
                <c:pt idx="16">
                  <c:v>0.0694253350000001</c:v>
                </c:pt>
                <c:pt idx="17">
                  <c:v>0.0611352161240311</c:v>
                </c:pt>
                <c:pt idx="18">
                  <c:v>0.0529726375384616</c:v>
                </c:pt>
                <c:pt idx="19">
                  <c:v>0.0449346784732825</c:v>
                </c:pt>
                <c:pt idx="20">
                  <c:v>0.0370185066666668</c:v>
                </c:pt>
                <c:pt idx="21">
                  <c:v>0.0292213750375941</c:v>
                </c:pt>
                <c:pt idx="22">
                  <c:v>0.0215406185074628</c:v>
                </c:pt>
                <c:pt idx="23">
                  <c:v>0.0139736509629631</c:v>
                </c:pt>
                <c:pt idx="24">
                  <c:v>0.00651796235294127</c:v>
                </c:pt>
                <c:pt idx="25">
                  <c:v>-0.000828884087591144</c:v>
                </c:pt>
                <c:pt idx="26">
                  <c:v>-0.00806925449275353</c:v>
                </c:pt>
                <c:pt idx="27">
                  <c:v>-0.0152054469064747</c:v>
                </c:pt>
                <c:pt idx="28">
                  <c:v>-0.0222396937142856</c:v>
                </c:pt>
                <c:pt idx="29">
                  <c:v>-0.0291741639716311</c:v>
                </c:pt>
                <c:pt idx="30">
                  <c:v>-0.0360109656338027</c:v>
                </c:pt>
                <c:pt idx="31">
                  <c:v>-0.0427521476923076</c:v>
                </c:pt>
                <c:pt idx="32">
                  <c:v>-0.0493997022222221</c:v>
                </c:pt>
                <c:pt idx="33">
                  <c:v>-0.0559555663448275</c:v>
                </c:pt>
                <c:pt idx="34">
                  <c:v>-0.062421624109589</c:v>
                </c:pt>
                <c:pt idx="35">
                  <c:v>-0.0687997082993196</c:v>
                </c:pt>
                <c:pt idx="36">
                  <c:v>-0.0750916021621621</c:v>
                </c:pt>
                <c:pt idx="37">
                  <c:v>-0.0812990410738254</c:v>
                </c:pt>
                <c:pt idx="38">
                  <c:v>-0.0874237141333333</c:v>
                </c:pt>
                <c:pt idx="39">
                  <c:v>-0.0934672656953642</c:v>
                </c:pt>
                <c:pt idx="40">
                  <c:v>-0.0994312968421052</c:v>
                </c:pt>
                <c:pt idx="41">
                  <c:v>-0.105317366797386</c:v>
                </c:pt>
                <c:pt idx="42">
                  <c:v>-0.111126994285714</c:v>
                </c:pt>
                <c:pt idx="43">
                  <c:v>-0.11686165883871</c:v>
                </c:pt>
                <c:pt idx="44">
                  <c:v>-0.122522802051282</c:v>
                </c:pt>
                <c:pt idx="45">
                  <c:v>-0.128111828789809</c:v>
                </c:pt>
                <c:pt idx="46">
                  <c:v>-0.13363010835443</c:v>
                </c:pt>
                <c:pt idx="47">
                  <c:v>-0.139078975597484</c:v>
                </c:pt>
                <c:pt idx="48">
                  <c:v>-0.144459732</c:v>
                </c:pt>
                <c:pt idx="49">
                  <c:v>-0.149773646708074</c:v>
                </c:pt>
                <c:pt idx="50">
                  <c:v>-0.155021957530864</c:v>
                </c:pt>
                <c:pt idx="51">
                  <c:v>-0.16020587190184</c:v>
                </c:pt>
                <c:pt idx="52">
                  <c:v>-0.165326567804878</c:v>
                </c:pt>
                <c:pt idx="53">
                  <c:v>-0.170385194666667</c:v>
                </c:pt>
                <c:pt idx="54">
                  <c:v>-0.175382874216867</c:v>
                </c:pt>
                <c:pt idx="55">
                  <c:v>-0.180320701317365</c:v>
                </c:pt>
                <c:pt idx="56">
                  <c:v>-0.185199744761905</c:v>
                </c:pt>
                <c:pt idx="57">
                  <c:v>-0.190021048047337</c:v>
                </c:pt>
                <c:pt idx="58">
                  <c:v>-0.194785630117647</c:v>
                </c:pt>
                <c:pt idx="59">
                  <c:v>-0.199494486081871</c:v>
                </c:pt>
                <c:pt idx="60">
                  <c:v>-0.204148587906977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"Scenarios"</c:f>
              <c:strCache>
                <c:ptCount val="1"/>
                <c:pt idx="0">
                  <c:v>Scenarios</c:v>
                </c:pt>
              </c:strCache>
            </c:strRef>
          </c:tx>
          <c:spPr>
            <a:solidFill>
              <a:srgbClr val="d1495b"/>
            </a:solidFill>
            <a:ln w="28440">
              <a:noFill/>
            </a:ln>
          </c:spPr>
          <c:marker>
            <c:symbol val="circle"/>
            <c:size val="9"/>
            <c:spPr>
              <a:solidFill>
                <a:srgbClr val="d149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'Payoff Curve'!$G$6:$G$8</c:f>
              <c:numCache>
                <c:formatCode>#,##0;\(#,##0\);\-</c:formatCode>
                <c:ptCount val="3"/>
                <c:pt idx="0">
                  <c:v>2950</c:v>
                </c:pt>
                <c:pt idx="1">
                  <c:v>3250</c:v>
                </c:pt>
                <c:pt idx="2">
                  <c:v>3950</c:v>
                </c:pt>
              </c:numCache>
            </c:numRef>
          </c:xVal>
          <c:yVal>
            <c:numRef>
              <c:f>'Payoff Curve'!$H$6:$H$8</c:f>
              <c:numCache>
                <c:formatCode>0.00%</c:formatCode>
                <c:ptCount val="3"/>
                <c:pt idx="0">
                  <c:v>0.160054600677966</c:v>
                </c:pt>
                <c:pt idx="1">
                  <c:v>0.0529726375384616</c:v>
                </c:pt>
                <c:pt idx="2">
                  <c:v>-0.13363010835443</c:v>
                </c:pt>
              </c:numCache>
            </c:numRef>
          </c:yVal>
          <c:smooth val="1"/>
        </c:ser>
        <c:axId val="76897930"/>
        <c:axId val="93143307"/>
      </c:scatterChart>
      <c:valAx>
        <c:axId val="76897930"/>
        <c:scaling>
          <c:orientation val="minMax"/>
          <c:max val="4300"/>
          <c:min val="280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Terminal USDCOP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43307"/>
        <c:crosses val="autoZero"/>
        <c:crossBetween val="midCat"/>
      </c:valAx>
      <c:valAx>
        <c:axId val="93143307"/>
        <c:scaling>
          <c:orientation val="minMax"/>
          <c:max val="0.25"/>
          <c:min val="-0.2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9793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0</xdr:rowOff>
    </xdr:from>
    <xdr:to>
      <xdr:col>27</xdr:col>
      <xdr:colOff>403920</xdr:colOff>
      <xdr:row>30</xdr:row>
      <xdr:rowOff>86760</xdr:rowOff>
    </xdr:to>
    <xdr:graphicFrame>
      <xdr:nvGraphicFramePr>
        <xdr:cNvPr id="0" name="Chart 1"/>
        <xdr:cNvGraphicFramePr/>
      </xdr:nvGraphicFramePr>
      <xdr:xfrm>
        <a:off x="8576280" y="895320"/>
        <a:ext cx="107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8"/>
  </cols>
  <sheetData>
    <row r="2" customFormat="false" ht="25.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5.5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25.5" hidden="false" customHeight="true" outlineLevel="0" collapsed="false">
      <c r="B9" s="4" t="s">
        <v>5</v>
      </c>
    </row>
    <row r="10" customFormat="false" ht="12.75" hidden="false" customHeight="true" outlineLevel="0" collapsed="false">
      <c r="B10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12.75" hidden="false" customHeight="true" outlineLevel="0" collapsed="false">
      <c r="B13" s="4" t="s">
        <v>8</v>
      </c>
    </row>
    <row r="14" customFormat="false" ht="25.5" hidden="false" customHeight="true" outlineLevel="0" collapsed="false">
      <c r="B14" s="4" t="s">
        <v>9</v>
      </c>
    </row>
    <row r="15" customFormat="false" ht="25.5" hidden="false" customHeight="true" outlineLevel="0" collapsed="false">
      <c r="B15" s="4" t="s">
        <v>10</v>
      </c>
    </row>
    <row r="17" customFormat="false" ht="15" hidden="false" customHeight="false" outlineLevel="0" collapsed="false">
      <c r="B17" s="3" t="s">
        <v>11</v>
      </c>
    </row>
    <row r="18" customFormat="false" ht="25.5" hidden="false" customHeight="true" outlineLevel="0" collapsed="false">
      <c r="B18" s="4" t="s">
        <v>12</v>
      </c>
    </row>
    <row r="19" customFormat="false" ht="25.5" hidden="false" customHeight="true" outlineLevel="0" collapsed="false">
      <c r="B19" s="4" t="s">
        <v>13</v>
      </c>
    </row>
    <row r="21" customFormat="false" ht="15" hidden="false" customHeight="false" outlineLevel="0" collapsed="false">
      <c r="B21" s="3" t="s">
        <v>14</v>
      </c>
    </row>
    <row r="22" customFormat="false" ht="25.5" hidden="false" customHeight="true" outlineLevel="0" collapsed="false">
      <c r="B22" s="4" t="s">
        <v>15</v>
      </c>
    </row>
    <row r="23" customFormat="false" ht="12.75" hidden="false" customHeight="true" outlineLevel="0" collapsed="false">
      <c r="B23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1"/>
    <col collapsed="false" customWidth="true" hidden="false" outlineLevel="0" max="8" min="8" style="0" width="62"/>
  </cols>
  <sheetData>
    <row r="2" customFormat="false" ht="25.5" hidden="false" customHeight="true" outlineLevel="0" collapsed="false">
      <c r="B2" s="1" t="s">
        <v>17</v>
      </c>
    </row>
    <row r="3" customFormat="false" ht="15" hidden="false" customHeight="false" outlineLevel="0" collapsed="false">
      <c r="B3" s="2" t="s">
        <v>18</v>
      </c>
    </row>
    <row r="5" customFormat="false" ht="15" hidden="false" customHeight="false" outlineLevel="0" collapsed="false">
      <c r="B5" s="3" t="s">
        <v>19</v>
      </c>
    </row>
    <row r="6" customFormat="false" ht="15" hidden="false" customHeight="false" outlineLevel="0" collapsed="false">
      <c r="B6" s="5" t="s">
        <v>20</v>
      </c>
      <c r="C6" s="6" t="n">
        <v>0.125911</v>
      </c>
      <c r="D6" s="7" t="s">
        <v>21</v>
      </c>
    </row>
    <row r="7" customFormat="false" ht="15" hidden="false" customHeight="false" outlineLevel="0" collapsed="false">
      <c r="B7" s="5" t="s">
        <v>22</v>
      </c>
      <c r="C7" s="6" t="n">
        <v>0.0402</v>
      </c>
      <c r="D7" s="7" t="s">
        <v>23</v>
      </c>
    </row>
    <row r="8" customFormat="false" ht="15" hidden="false" customHeight="false" outlineLevel="0" collapsed="false">
      <c r="B8" s="5" t="s">
        <v>24</v>
      </c>
      <c r="C8" s="8" t="n">
        <v>3152</v>
      </c>
      <c r="D8" s="7" t="s">
        <v>25</v>
      </c>
    </row>
    <row r="9" customFormat="false" ht="15" hidden="false" customHeight="false" outlineLevel="0" collapsed="false">
      <c r="B9" s="9" t="s">
        <v>26</v>
      </c>
      <c r="C9" s="10" t="n">
        <f aca="false">C6-C7</f>
        <v>0.085711</v>
      </c>
      <c r="D9" s="7" t="s">
        <v>27</v>
      </c>
    </row>
    <row r="10" customFormat="false" ht="15" hidden="false" customHeight="false" outlineLevel="0" collapsed="false">
      <c r="B10" s="9" t="s">
        <v>28</v>
      </c>
      <c r="C10" s="11" t="n">
        <f aca="false">C8*(1+C9)</f>
        <v>3422.161072</v>
      </c>
      <c r="D10" s="7" t="s">
        <v>29</v>
      </c>
    </row>
    <row r="11" customFormat="false" ht="15" hidden="false" customHeight="false" outlineLevel="0" collapsed="false">
      <c r="B11" s="5" t="s">
        <v>30</v>
      </c>
      <c r="C11" s="12" t="n">
        <f aca="false">C10/C8-1</f>
        <v>0.0857110000000001</v>
      </c>
    </row>
    <row r="13" customFormat="false" ht="15" hidden="false" customHeight="false" outlineLevel="0" collapsed="false">
      <c r="B13" s="3" t="s">
        <v>31</v>
      </c>
    </row>
    <row r="14" customFormat="false" ht="15" hidden="false" customHeight="false" outlineLevel="0" collapsed="false">
      <c r="B14" s="5" t="s">
        <v>32</v>
      </c>
      <c r="C14" s="8" t="n">
        <v>3700</v>
      </c>
      <c r="D14" s="7" t="s">
        <v>33</v>
      </c>
    </row>
    <row r="15" customFormat="false" ht="15" hidden="false" customHeight="false" outlineLevel="0" collapsed="false">
      <c r="B15" s="5" t="s">
        <v>34</v>
      </c>
      <c r="C15" s="8" t="n">
        <v>5118</v>
      </c>
      <c r="D15" s="7" t="s">
        <v>35</v>
      </c>
    </row>
    <row r="16" customFormat="false" ht="15" hidden="false" customHeight="false" outlineLevel="0" collapsed="false">
      <c r="B16" s="5" t="s">
        <v>36</v>
      </c>
      <c r="C16" s="6" t="n">
        <v>0.13</v>
      </c>
      <c r="D16" s="7" t="s">
        <v>37</v>
      </c>
    </row>
    <row r="17" customFormat="false" ht="15" hidden="false" customHeight="false" outlineLevel="0" collapsed="false">
      <c r="B17" s="5" t="s">
        <v>38</v>
      </c>
      <c r="C17" s="13" t="n">
        <f aca="false">C9/C16</f>
        <v>0.659315384615385</v>
      </c>
    </row>
    <row r="19" customFormat="false" ht="15" hidden="false" customHeight="false" outlineLevel="0" collapsed="false">
      <c r="B19" s="3" t="s">
        <v>39</v>
      </c>
    </row>
    <row r="20" customFormat="false" ht="25.5" hidden="false" customHeight="true" outlineLevel="0" collapsed="false">
      <c r="B20" s="14" t="s">
        <v>40</v>
      </c>
      <c r="C20" s="14" t="s">
        <v>41</v>
      </c>
      <c r="D20" s="14" t="s">
        <v>42</v>
      </c>
      <c r="E20" s="14" t="s">
        <v>43</v>
      </c>
      <c r="F20" s="14" t="s">
        <v>44</v>
      </c>
      <c r="G20" s="14" t="s">
        <v>45</v>
      </c>
      <c r="H20" s="14" t="s">
        <v>46</v>
      </c>
    </row>
    <row r="21" customFormat="false" ht="39.75" hidden="false" customHeight="true" outlineLevel="0" collapsed="false">
      <c r="B21" s="15" t="s">
        <v>47</v>
      </c>
      <c r="C21" s="16" t="n">
        <v>0.2</v>
      </c>
      <c r="D21" s="17" t="n">
        <v>2950</v>
      </c>
      <c r="E21" s="18" t="n">
        <f aca="false">$C$8/D21-1</f>
        <v>0.0684745762711865</v>
      </c>
      <c r="F21" s="18" t="n">
        <f aca="false">$C$9*$C$8/D21</f>
        <v>0.0915800244067797</v>
      </c>
      <c r="G21" s="19" t="n">
        <f aca="false">($C$10-D21)/D21</f>
        <v>0.160054600677966</v>
      </c>
      <c r="H21" s="20" t="s">
        <v>48</v>
      </c>
    </row>
    <row r="22" customFormat="false" ht="39.75" hidden="false" customHeight="true" outlineLevel="0" collapsed="false">
      <c r="B22" s="15" t="s">
        <v>49</v>
      </c>
      <c r="C22" s="16" t="n">
        <v>0.55</v>
      </c>
      <c r="D22" s="17" t="n">
        <v>3250</v>
      </c>
      <c r="E22" s="18" t="n">
        <f aca="false">$C$8/D22-1</f>
        <v>-0.0301538461538462</v>
      </c>
      <c r="F22" s="18" t="n">
        <f aca="false">$C$9*$C$8/D22</f>
        <v>0.0831264836923077</v>
      </c>
      <c r="G22" s="19" t="n">
        <f aca="false">($C$10-D22)/D22</f>
        <v>0.0529726375384616</v>
      </c>
      <c r="H22" s="20" t="s">
        <v>50</v>
      </c>
    </row>
    <row r="23" customFormat="false" ht="39.75" hidden="false" customHeight="true" outlineLevel="0" collapsed="false">
      <c r="B23" s="15" t="s">
        <v>51</v>
      </c>
      <c r="C23" s="16" t="n">
        <v>0.25</v>
      </c>
      <c r="D23" s="17" t="n">
        <v>3950</v>
      </c>
      <c r="E23" s="18" t="n">
        <f aca="false">$C$8/D23-1</f>
        <v>-0.202025316455696</v>
      </c>
      <c r="F23" s="18" t="n">
        <f aca="false">$C$9*$C$8/D23</f>
        <v>0.0683952081012658</v>
      </c>
      <c r="G23" s="21" t="n">
        <f aca="false">($C$10-D23)/D23</f>
        <v>-0.13363010835443</v>
      </c>
      <c r="H23" s="20" t="s">
        <v>52</v>
      </c>
    </row>
    <row r="24" customFormat="false" ht="15" hidden="false" customHeight="false" outlineLevel="0" collapsed="false">
      <c r="B24" s="9" t="s">
        <v>53</v>
      </c>
      <c r="C24" s="22" t="n">
        <f aca="false">SUM(C21:C23)</f>
        <v>1</v>
      </c>
      <c r="G24" s="10" t="n">
        <f aca="false">SUMPRODUCT(C21:C23,G21:G23)</f>
        <v>0.0277383436931396</v>
      </c>
      <c r="H24" s="7" t="s">
        <v>54</v>
      </c>
    </row>
    <row r="25" customFormat="false" ht="15" hidden="false" customHeight="false" outlineLevel="0" collapsed="false">
      <c r="B25" s="7" t="s">
        <v>55</v>
      </c>
      <c r="G25" s="7" t="str">
        <f aca="false">IF(SUMPRODUCT(ABS(E21:E23+F21:F23-G21:G23))&lt;0.0000001,"OK","ERROR")</f>
        <v>OK</v>
      </c>
    </row>
    <row r="27" customFormat="false" ht="15" hidden="false" customHeight="false" outlineLevel="0" collapsed="false">
      <c r="B27" s="3" t="s">
        <v>56</v>
      </c>
    </row>
    <row r="28" customFormat="false" ht="15" hidden="false" customHeight="false" outlineLevel="0" collapsed="false">
      <c r="B28" s="9" t="s">
        <v>57</v>
      </c>
      <c r="C28" s="23" t="n">
        <v>0.1</v>
      </c>
      <c r="D28" s="23" t="n">
        <v>0.15</v>
      </c>
      <c r="E28" s="23" t="n">
        <v>0.2</v>
      </c>
      <c r="F28" s="23" t="n">
        <v>0.25</v>
      </c>
      <c r="G28" s="23" t="n">
        <v>0.3</v>
      </c>
      <c r="H28" s="23" t="n">
        <v>0.35</v>
      </c>
      <c r="I28" s="23" t="n">
        <v>0.4</v>
      </c>
      <c r="J28" s="23" t="n">
        <v>0.45</v>
      </c>
    </row>
    <row r="29" customFormat="false" ht="15" hidden="false" customHeight="false" outlineLevel="0" collapsed="false">
      <c r="B29" s="9" t="s">
        <v>58</v>
      </c>
      <c r="C29" s="24" t="n">
        <f aca="false">$C$21*$G$21+(1-$C$21-C28)*$G$22+C28*$G$23</f>
        <v>0.0557287555770734</v>
      </c>
      <c r="D29" s="24" t="n">
        <f aca="false">$C$21*$G$21+(1-$C$21-D28)*$G$22+D28*$G$23</f>
        <v>0.0463986182824288</v>
      </c>
      <c r="E29" s="24" t="n">
        <f aca="false">$C$21*$G$21+(1-$C$21-E28)*$G$22+E28*$G$23</f>
        <v>0.0370684809877842</v>
      </c>
      <c r="F29" s="24" t="n">
        <f aca="false">$C$21*$G$21+(1-$C$21-F28)*$G$22+F28*$G$23</f>
        <v>0.0277383436931396</v>
      </c>
      <c r="G29" s="24" t="n">
        <f aca="false">$C$21*$G$21+(1-$C$21-G28)*$G$22+G28*$G$23</f>
        <v>0.018408206398495</v>
      </c>
      <c r="H29" s="24" t="n">
        <f aca="false">$C$21*$G$21+(1-$C$21-H28)*$G$22+H28*$G$23</f>
        <v>0.00907806910385038</v>
      </c>
      <c r="I29" s="24" t="n">
        <f aca="false">$C$21*$G$21+(1-$C$21-I28)*$G$22+I28*$G$23</f>
        <v>-0.000252068190794215</v>
      </c>
      <c r="J29" s="24" t="n">
        <f aca="false">$C$21*$G$21+(1-$C$21-J28)*$G$22+J28*$G$23</f>
        <v>-0.00958220548543881</v>
      </c>
    </row>
    <row r="30" customFormat="false" ht="15" hidden="false" customHeight="false" outlineLevel="0" collapsed="false">
      <c r="B30" s="7" t="s">
        <v>59</v>
      </c>
      <c r="C30" s="25" t="n">
        <f aca="false">C21</f>
        <v>0.2</v>
      </c>
    </row>
    <row r="31" customFormat="false" ht="15" hidden="false" customHeight="false" outlineLevel="0" collapsed="false">
      <c r="B31" s="7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6"/>
  </cols>
  <sheetData>
    <row r="2" customFormat="false" ht="25.5" hidden="false" customHeight="true" outlineLevel="0" collapsed="false">
      <c r="B2" s="1" t="s">
        <v>61</v>
      </c>
    </row>
    <row r="3" customFormat="false" ht="15" hidden="false" customHeight="false" outlineLevel="0" collapsed="false">
      <c r="B3" s="2" t="s">
        <v>62</v>
      </c>
    </row>
    <row r="5" customFormat="false" ht="15" hidden="false" customHeight="false" outlineLevel="0" collapsed="false">
      <c r="B5" s="26" t="s">
        <v>42</v>
      </c>
      <c r="C5" s="26" t="s">
        <v>63</v>
      </c>
      <c r="D5" s="26" t="s">
        <v>64</v>
      </c>
      <c r="E5" s="26" t="s">
        <v>65</v>
      </c>
      <c r="G5" s="26" t="s">
        <v>66</v>
      </c>
      <c r="H5" s="26" t="s">
        <v>67</v>
      </c>
      <c r="I5" s="26" t="s">
        <v>68</v>
      </c>
    </row>
    <row r="6" customFormat="false" ht="15" hidden="false" customHeight="false" outlineLevel="0" collapsed="false">
      <c r="B6" s="8" t="n">
        <v>2800</v>
      </c>
      <c r="C6" s="12" t="n">
        <f aca="false">'Carry Model'!$C$8/B6-1</f>
        <v>0.125714285714286</v>
      </c>
      <c r="D6" s="12" t="n">
        <f aca="false">'Carry Model'!$C$9*'Carry Model'!$C$8/B6</f>
        <v>0.0964860971428572</v>
      </c>
      <c r="E6" s="12" t="n">
        <f aca="false">('Carry Model'!$C$10-B6)/B6</f>
        <v>0.222200382857143</v>
      </c>
      <c r="G6" s="27" t="n">
        <f aca="false">'Carry Model'!D21</f>
        <v>2950</v>
      </c>
      <c r="H6" s="28" t="n">
        <f aca="false">'Carry Model'!G21</f>
        <v>0.160054600677966</v>
      </c>
      <c r="I6" s="5" t="s">
        <v>69</v>
      </c>
    </row>
    <row r="7" customFormat="false" ht="15" hidden="false" customHeight="false" outlineLevel="0" collapsed="false">
      <c r="B7" s="8" t="n">
        <v>2825</v>
      </c>
      <c r="C7" s="12" t="n">
        <f aca="false">'Carry Model'!$C$8/B7-1</f>
        <v>0.115752212389381</v>
      </c>
      <c r="D7" s="12" t="n">
        <f aca="false">'Carry Model'!$C$9*'Carry Model'!$C$8/B7</f>
        <v>0.0956322378761062</v>
      </c>
      <c r="E7" s="12" t="n">
        <f aca="false">('Carry Model'!$C$10-B7)/B7</f>
        <v>0.211384450265487</v>
      </c>
      <c r="G7" s="27" t="n">
        <f aca="false">'Carry Model'!D22</f>
        <v>3250</v>
      </c>
      <c r="H7" s="28" t="n">
        <f aca="false">'Carry Model'!G22</f>
        <v>0.0529726375384616</v>
      </c>
      <c r="I7" s="5" t="s">
        <v>70</v>
      </c>
    </row>
    <row r="8" customFormat="false" ht="15" hidden="false" customHeight="false" outlineLevel="0" collapsed="false">
      <c r="B8" s="8" t="n">
        <v>2850</v>
      </c>
      <c r="C8" s="12" t="n">
        <f aca="false">'Carry Model'!$C$8/B8-1</f>
        <v>0.105964912280702</v>
      </c>
      <c r="D8" s="12" t="n">
        <f aca="false">'Carry Model'!$C$9*'Carry Model'!$C$8/B8</f>
        <v>0.0947933585964912</v>
      </c>
      <c r="E8" s="12" t="n">
        <f aca="false">('Carry Model'!$C$10-B8)/B8</f>
        <v>0.200758270877193</v>
      </c>
      <c r="G8" s="27" t="n">
        <f aca="false">'Carry Model'!D23</f>
        <v>3950</v>
      </c>
      <c r="H8" s="28" t="n">
        <f aca="false">'Carry Model'!G23</f>
        <v>-0.13363010835443</v>
      </c>
      <c r="I8" s="5" t="s">
        <v>71</v>
      </c>
    </row>
    <row r="9" customFormat="false" ht="15" hidden="false" customHeight="false" outlineLevel="0" collapsed="false">
      <c r="B9" s="8" t="n">
        <v>2875</v>
      </c>
      <c r="C9" s="12" t="n">
        <f aca="false">'Carry Model'!$C$8/B9-1</f>
        <v>0.0963478260869566</v>
      </c>
      <c r="D9" s="12" t="n">
        <f aca="false">'Carry Model'!$C$9*'Carry Model'!$C$8/B9</f>
        <v>0.0939690685217391</v>
      </c>
      <c r="E9" s="12" t="n">
        <f aca="false">('Carry Model'!$C$10-B9)/B9</f>
        <v>0.190316894608696</v>
      </c>
    </row>
    <row r="10" customFormat="false" ht="15" hidden="false" customHeight="false" outlineLevel="0" collapsed="false">
      <c r="B10" s="8" t="n">
        <v>2900</v>
      </c>
      <c r="C10" s="12" t="n">
        <f aca="false">'Carry Model'!$C$8/B10-1</f>
        <v>0.086896551724138</v>
      </c>
      <c r="D10" s="12" t="n">
        <f aca="false">'Carry Model'!$C$9*'Carry Model'!$C$8/B10</f>
        <v>0.0931589903448276</v>
      </c>
      <c r="E10" s="12" t="n">
        <f aca="false">('Carry Model'!$C$10-B10)/B10</f>
        <v>0.180055542068966</v>
      </c>
    </row>
    <row r="11" customFormat="false" ht="15" hidden="false" customHeight="false" outlineLevel="0" collapsed="false">
      <c r="B11" s="8" t="n">
        <v>2925</v>
      </c>
      <c r="C11" s="12" t="n">
        <f aca="false">'Carry Model'!$C$8/B11-1</f>
        <v>0.0776068376068375</v>
      </c>
      <c r="D11" s="12" t="n">
        <f aca="false">'Carry Model'!$C$9*'Carry Model'!$C$8/B11</f>
        <v>0.0923627596581197</v>
      </c>
      <c r="E11" s="12" t="n">
        <f aca="false">('Carry Model'!$C$10-B11)/B11</f>
        <v>0.169969597264957</v>
      </c>
      <c r="G11" s="9" t="s">
        <v>72</v>
      </c>
      <c r="H11" s="27" t="n">
        <f aca="false">'Carry Model'!C8</f>
        <v>3152</v>
      </c>
    </row>
    <row r="12" customFormat="false" ht="15" hidden="false" customHeight="false" outlineLevel="0" collapsed="false">
      <c r="B12" s="8" t="n">
        <v>2950</v>
      </c>
      <c r="C12" s="12" t="n">
        <f aca="false">'Carry Model'!$C$8/B12-1</f>
        <v>0.0684745762711865</v>
      </c>
      <c r="D12" s="12" t="n">
        <f aca="false">'Carry Model'!$C$9*'Carry Model'!$C$8/B12</f>
        <v>0.0915800244067797</v>
      </c>
      <c r="E12" s="12" t="n">
        <f aca="false">('Carry Model'!$C$10-B12)/B12</f>
        <v>0.160054600677966</v>
      </c>
      <c r="G12" s="9" t="s">
        <v>73</v>
      </c>
      <c r="H12" s="27" t="n">
        <f aca="false">'Carry Model'!C10</f>
        <v>3422.161072</v>
      </c>
    </row>
    <row r="13" customFormat="false" ht="15" hidden="false" customHeight="false" outlineLevel="0" collapsed="false">
      <c r="B13" s="8" t="n">
        <v>2975</v>
      </c>
      <c r="C13" s="12" t="n">
        <f aca="false">'Carry Model'!$C$8/B13-1</f>
        <v>0.0594957983193278</v>
      </c>
      <c r="D13" s="12" t="n">
        <f aca="false">'Carry Model'!$C$9*'Carry Model'!$C$8/B13</f>
        <v>0.0908104443697479</v>
      </c>
      <c r="E13" s="12" t="n">
        <f aca="false">('Carry Model'!$C$10-B13)/B13</f>
        <v>0.150306242689076</v>
      </c>
      <c r="G13" s="9" t="s">
        <v>74</v>
      </c>
      <c r="H13" s="27" t="n">
        <f aca="false">'Carry Model'!C14</f>
        <v>3700</v>
      </c>
    </row>
    <row r="14" customFormat="false" ht="15" hidden="false" customHeight="false" outlineLevel="0" collapsed="false">
      <c r="B14" s="8" t="n">
        <v>3000</v>
      </c>
      <c r="C14" s="12" t="n">
        <f aca="false">'Carry Model'!$C$8/B14-1</f>
        <v>0.0506666666666666</v>
      </c>
      <c r="D14" s="12" t="n">
        <f aca="false">'Carry Model'!$C$9*'Carry Model'!$C$8/B14</f>
        <v>0.0900536906666667</v>
      </c>
      <c r="E14" s="12" t="n">
        <f aca="false">('Carry Model'!$C$10-B14)/B14</f>
        <v>0.140720357333333</v>
      </c>
    </row>
    <row r="15" customFormat="false" ht="15" hidden="false" customHeight="false" outlineLevel="0" collapsed="false">
      <c r="B15" s="8" t="n">
        <v>3025</v>
      </c>
      <c r="C15" s="12" t="n">
        <f aca="false">'Carry Model'!$C$8/B15-1</f>
        <v>0.0419834710743803</v>
      </c>
      <c r="D15" s="12" t="n">
        <f aca="false">'Carry Model'!$C$9*'Carry Model'!$C$8/B15</f>
        <v>0.0893094452892562</v>
      </c>
      <c r="E15" s="12" t="n">
        <f aca="false">('Carry Model'!$C$10-B15)/B15</f>
        <v>0.131292916363636</v>
      </c>
      <c r="G15" s="7" t="s">
        <v>75</v>
      </c>
    </row>
    <row r="16" customFormat="false" ht="15" hidden="false" customHeight="false" outlineLevel="0" collapsed="false">
      <c r="B16" s="8" t="n">
        <v>3050</v>
      </c>
      <c r="C16" s="12" t="n">
        <f aca="false">'Carry Model'!$C$8/B16-1</f>
        <v>0.0334426229508196</v>
      </c>
      <c r="D16" s="12" t="n">
        <f aca="false">'Carry Model'!$C$9*'Carry Model'!$C$8/B16</f>
        <v>0.0885774006557377</v>
      </c>
      <c r="E16" s="12" t="n">
        <f aca="false">('Carry Model'!$C$10-B16)/B16</f>
        <v>0.122020023606557</v>
      </c>
    </row>
    <row r="17" customFormat="false" ht="15" hidden="false" customHeight="false" outlineLevel="0" collapsed="false">
      <c r="B17" s="8" t="n">
        <v>3075</v>
      </c>
      <c r="C17" s="12" t="n">
        <f aca="false">'Carry Model'!$C$8/B17-1</f>
        <v>0.0250406504065042</v>
      </c>
      <c r="D17" s="12" t="n">
        <f aca="false">'Carry Model'!$C$9*'Carry Model'!$C$8/B17</f>
        <v>0.0878572591869919</v>
      </c>
      <c r="E17" s="12" t="n">
        <f aca="false">('Carry Model'!$C$10-B17)/B17</f>
        <v>0.112897909593496</v>
      </c>
    </row>
    <row r="18" customFormat="false" ht="15" hidden="false" customHeight="false" outlineLevel="0" collapsed="false">
      <c r="B18" s="8" t="n">
        <v>3100</v>
      </c>
      <c r="C18" s="12" t="n">
        <f aca="false">'Carry Model'!$C$8/B18-1</f>
        <v>0.0167741935483872</v>
      </c>
      <c r="D18" s="12" t="n">
        <f aca="false">'Carry Model'!$C$9*'Carry Model'!$C$8/B18</f>
        <v>0.0871487329032258</v>
      </c>
      <c r="E18" s="12" t="n">
        <f aca="false">('Carry Model'!$C$10-B18)/B18</f>
        <v>0.103922926451613</v>
      </c>
    </row>
    <row r="19" customFormat="false" ht="15" hidden="false" customHeight="false" outlineLevel="0" collapsed="false">
      <c r="B19" s="8" t="n">
        <v>3125</v>
      </c>
      <c r="C19" s="12" t="n">
        <f aca="false">'Carry Model'!$C$8/B19-1</f>
        <v>0.00863999999999998</v>
      </c>
      <c r="D19" s="12" t="n">
        <f aca="false">'Carry Model'!$C$9*'Carry Model'!$C$8/B19</f>
        <v>0.08645154304</v>
      </c>
      <c r="E19" s="12" t="n">
        <f aca="false">('Carry Model'!$C$10-B19)/B19</f>
        <v>0.0950915430400001</v>
      </c>
    </row>
    <row r="20" customFormat="false" ht="15" hidden="false" customHeight="false" outlineLevel="0" collapsed="false">
      <c r="B20" s="8" t="n">
        <v>3150</v>
      </c>
      <c r="C20" s="12" t="n">
        <f aca="false">'Carry Model'!$C$8/B20-1</f>
        <v>0.000634920634920544</v>
      </c>
      <c r="D20" s="12" t="n">
        <f aca="false">'Carry Model'!$C$9*'Carry Model'!$C$8/B20</f>
        <v>0.0857654196825397</v>
      </c>
      <c r="E20" s="12" t="n">
        <f aca="false">('Carry Model'!$C$10-B20)/B20</f>
        <v>0.0864003403174604</v>
      </c>
    </row>
    <row r="21" customFormat="false" ht="15" hidden="false" customHeight="false" outlineLevel="0" collapsed="false">
      <c r="B21" s="8" t="n">
        <v>3175</v>
      </c>
      <c r="C21" s="12" t="n">
        <f aca="false">'Carry Model'!$C$8/B21-1</f>
        <v>-0.00724409448818897</v>
      </c>
      <c r="D21" s="12" t="n">
        <f aca="false">'Carry Model'!$C$9*'Carry Model'!$C$8/B21</f>
        <v>0.0850901014173228</v>
      </c>
      <c r="E21" s="12" t="n">
        <f aca="false">('Carry Model'!$C$10-B21)/B21</f>
        <v>0.077846006929134</v>
      </c>
    </row>
    <row r="22" customFormat="false" ht="15" hidden="false" customHeight="false" outlineLevel="0" collapsed="false">
      <c r="B22" s="8" t="n">
        <v>3200</v>
      </c>
      <c r="C22" s="12" t="n">
        <f aca="false">'Carry Model'!$C$8/B22-1</f>
        <v>-0.015</v>
      </c>
      <c r="D22" s="12" t="n">
        <f aca="false">'Carry Model'!$C$9*'Carry Model'!$C$8/B22</f>
        <v>0.084425335</v>
      </c>
      <c r="E22" s="12" t="n">
        <f aca="false">('Carry Model'!$C$10-B22)/B22</f>
        <v>0.0694253350000001</v>
      </c>
    </row>
    <row r="23" customFormat="false" ht="15" hidden="false" customHeight="false" outlineLevel="0" collapsed="false">
      <c r="B23" s="8" t="n">
        <v>3225</v>
      </c>
      <c r="C23" s="12" t="n">
        <f aca="false">'Carry Model'!$C$8/B23-1</f>
        <v>-0.0226356589147286</v>
      </c>
      <c r="D23" s="12" t="n">
        <f aca="false">'Carry Model'!$C$9*'Carry Model'!$C$8/B23</f>
        <v>0.0837708750387597</v>
      </c>
      <c r="E23" s="12" t="n">
        <f aca="false">('Carry Model'!$C$10-B23)/B23</f>
        <v>0.0611352161240311</v>
      </c>
    </row>
    <row r="24" customFormat="false" ht="15" hidden="false" customHeight="false" outlineLevel="0" collapsed="false">
      <c r="B24" s="8" t="n">
        <v>3250</v>
      </c>
      <c r="C24" s="12" t="n">
        <f aca="false">'Carry Model'!$C$8/B24-1</f>
        <v>-0.0301538461538462</v>
      </c>
      <c r="D24" s="12" t="n">
        <f aca="false">'Carry Model'!$C$9*'Carry Model'!$C$8/B24</f>
        <v>0.0831264836923077</v>
      </c>
      <c r="E24" s="12" t="n">
        <f aca="false">('Carry Model'!$C$10-B24)/B24</f>
        <v>0.0529726375384616</v>
      </c>
    </row>
    <row r="25" customFormat="false" ht="15" hidden="false" customHeight="false" outlineLevel="0" collapsed="false">
      <c r="B25" s="8" t="n">
        <v>3275</v>
      </c>
      <c r="C25" s="12" t="n">
        <f aca="false">'Carry Model'!$C$8/B25-1</f>
        <v>-0.037557251908397</v>
      </c>
      <c r="D25" s="12" t="n">
        <f aca="false">'Carry Model'!$C$9*'Carry Model'!$C$8/B25</f>
        <v>0.0824919303816794</v>
      </c>
      <c r="E25" s="12" t="n">
        <f aca="false">('Carry Model'!$C$10-B25)/B25</f>
        <v>0.0449346784732825</v>
      </c>
    </row>
    <row r="26" customFormat="false" ht="15" hidden="false" customHeight="false" outlineLevel="0" collapsed="false">
      <c r="B26" s="8" t="n">
        <v>3300</v>
      </c>
      <c r="C26" s="12" t="n">
        <f aca="false">'Carry Model'!$C$8/B26-1</f>
        <v>-0.0448484848484848</v>
      </c>
      <c r="D26" s="12" t="n">
        <f aca="false">'Carry Model'!$C$9*'Carry Model'!$C$8/B26</f>
        <v>0.0818669915151515</v>
      </c>
      <c r="E26" s="12" t="n">
        <f aca="false">('Carry Model'!$C$10-B26)/B26</f>
        <v>0.0370185066666668</v>
      </c>
    </row>
    <row r="27" customFormat="false" ht="15" hidden="false" customHeight="false" outlineLevel="0" collapsed="false">
      <c r="B27" s="8" t="n">
        <v>3325</v>
      </c>
      <c r="C27" s="12" t="n">
        <f aca="false">'Carry Model'!$C$8/B27-1</f>
        <v>-0.0520300751879699</v>
      </c>
      <c r="D27" s="12" t="n">
        <f aca="false">'Carry Model'!$C$9*'Carry Model'!$C$8/B27</f>
        <v>0.0812514502255639</v>
      </c>
      <c r="E27" s="12" t="n">
        <f aca="false">('Carry Model'!$C$10-B27)/B27</f>
        <v>0.0292213750375941</v>
      </c>
    </row>
    <row r="28" customFormat="false" ht="15" hidden="false" customHeight="false" outlineLevel="0" collapsed="false">
      <c r="B28" s="8" t="n">
        <v>3350</v>
      </c>
      <c r="C28" s="12" t="n">
        <f aca="false">'Carry Model'!$C$8/B28-1</f>
        <v>-0.0591044776119403</v>
      </c>
      <c r="D28" s="12" t="n">
        <f aca="false">'Carry Model'!$C$9*'Carry Model'!$C$8/B28</f>
        <v>0.080645096119403</v>
      </c>
      <c r="E28" s="12" t="n">
        <f aca="false">('Carry Model'!$C$10-B28)/B28</f>
        <v>0.0215406185074628</v>
      </c>
    </row>
    <row r="29" customFormat="false" ht="15" hidden="false" customHeight="false" outlineLevel="0" collapsed="false">
      <c r="B29" s="8" t="n">
        <v>3375</v>
      </c>
      <c r="C29" s="12" t="n">
        <f aca="false">'Carry Model'!$C$8/B29-1</f>
        <v>-0.0660740740740741</v>
      </c>
      <c r="D29" s="12" t="n">
        <f aca="false">'Carry Model'!$C$9*'Carry Model'!$C$8/B29</f>
        <v>0.0800477250370371</v>
      </c>
      <c r="E29" s="12" t="n">
        <f aca="false">('Carry Model'!$C$10-B29)/B29</f>
        <v>0.0139736509629631</v>
      </c>
    </row>
    <row r="30" customFormat="false" ht="15" hidden="false" customHeight="false" outlineLevel="0" collapsed="false">
      <c r="B30" s="8" t="n">
        <v>3400</v>
      </c>
      <c r="C30" s="12" t="n">
        <f aca="false">'Carry Model'!$C$8/B30-1</f>
        <v>-0.0729411764705883</v>
      </c>
      <c r="D30" s="12" t="n">
        <f aca="false">'Carry Model'!$C$9*'Carry Model'!$C$8/B30</f>
        <v>0.0794591388235294</v>
      </c>
      <c r="E30" s="12" t="n">
        <f aca="false">('Carry Model'!$C$10-B30)/B30</f>
        <v>0.00651796235294127</v>
      </c>
    </row>
    <row r="31" customFormat="false" ht="15" hidden="false" customHeight="false" outlineLevel="0" collapsed="false">
      <c r="B31" s="8" t="n">
        <v>3425</v>
      </c>
      <c r="C31" s="12" t="n">
        <f aca="false">'Carry Model'!$C$8/B31-1</f>
        <v>-0.0797080291970803</v>
      </c>
      <c r="D31" s="12" t="n">
        <f aca="false">'Carry Model'!$C$9*'Carry Model'!$C$8/B31</f>
        <v>0.0788791451094891</v>
      </c>
      <c r="E31" s="12" t="n">
        <f aca="false">('Carry Model'!$C$10-B31)/B31</f>
        <v>-0.000828884087591144</v>
      </c>
    </row>
    <row r="32" customFormat="false" ht="15" hidden="false" customHeight="false" outlineLevel="0" collapsed="false">
      <c r="B32" s="8" t="n">
        <v>3450</v>
      </c>
      <c r="C32" s="12" t="n">
        <f aca="false">'Carry Model'!$C$8/B32-1</f>
        <v>-0.0863768115942029</v>
      </c>
      <c r="D32" s="12" t="n">
        <f aca="false">'Carry Model'!$C$9*'Carry Model'!$C$8/B32</f>
        <v>0.0783075571014493</v>
      </c>
      <c r="E32" s="12" t="n">
        <f aca="false">('Carry Model'!$C$10-B32)/B32</f>
        <v>-0.00806925449275353</v>
      </c>
    </row>
    <row r="33" customFormat="false" ht="15" hidden="false" customHeight="false" outlineLevel="0" collapsed="false">
      <c r="B33" s="8" t="n">
        <v>3475</v>
      </c>
      <c r="C33" s="12" t="n">
        <f aca="false">'Carry Model'!$C$8/B33-1</f>
        <v>-0.0929496402877698</v>
      </c>
      <c r="D33" s="12" t="n">
        <f aca="false">'Carry Model'!$C$9*'Carry Model'!$C$8/B33</f>
        <v>0.077744193381295</v>
      </c>
      <c r="E33" s="12" t="n">
        <f aca="false">('Carry Model'!$C$10-B33)/B33</f>
        <v>-0.0152054469064747</v>
      </c>
    </row>
    <row r="34" customFormat="false" ht="15" hidden="false" customHeight="false" outlineLevel="0" collapsed="false">
      <c r="B34" s="8" t="n">
        <v>3500</v>
      </c>
      <c r="C34" s="12" t="n">
        <f aca="false">'Carry Model'!$C$8/B34-1</f>
        <v>-0.0994285714285714</v>
      </c>
      <c r="D34" s="12" t="n">
        <f aca="false">'Carry Model'!$C$9*'Carry Model'!$C$8/B34</f>
        <v>0.0771888777142857</v>
      </c>
      <c r="E34" s="12" t="n">
        <f aca="false">('Carry Model'!$C$10-B34)/B34</f>
        <v>-0.0222396937142856</v>
      </c>
    </row>
    <row r="35" customFormat="false" ht="15" hidden="false" customHeight="false" outlineLevel="0" collapsed="false">
      <c r="B35" s="8" t="n">
        <v>3525</v>
      </c>
      <c r="C35" s="12" t="n">
        <f aca="false">'Carry Model'!$C$8/B35-1</f>
        <v>-0.105815602836879</v>
      </c>
      <c r="D35" s="12" t="n">
        <f aca="false">'Carry Model'!$C$9*'Carry Model'!$C$8/B35</f>
        <v>0.0766414388652482</v>
      </c>
      <c r="E35" s="12" t="n">
        <f aca="false">('Carry Model'!$C$10-B35)/B35</f>
        <v>-0.0291741639716311</v>
      </c>
    </row>
    <row r="36" customFormat="false" ht="15" hidden="false" customHeight="false" outlineLevel="0" collapsed="false">
      <c r="B36" s="8" t="n">
        <v>3550</v>
      </c>
      <c r="C36" s="12" t="n">
        <f aca="false">'Carry Model'!$C$8/B36-1</f>
        <v>-0.112112676056338</v>
      </c>
      <c r="D36" s="12" t="n">
        <f aca="false">'Carry Model'!$C$9*'Carry Model'!$C$8/B36</f>
        <v>0.0761017104225352</v>
      </c>
      <c r="E36" s="12" t="n">
        <f aca="false">('Carry Model'!$C$10-B36)/B36</f>
        <v>-0.0360109656338027</v>
      </c>
    </row>
    <row r="37" customFormat="false" ht="15" hidden="false" customHeight="false" outlineLevel="0" collapsed="false">
      <c r="B37" s="8" t="n">
        <v>3575</v>
      </c>
      <c r="C37" s="12" t="n">
        <f aca="false">'Carry Model'!$C$8/B37-1</f>
        <v>-0.118321678321678</v>
      </c>
      <c r="D37" s="12" t="n">
        <f aca="false">'Carry Model'!$C$9*'Carry Model'!$C$8/B37</f>
        <v>0.0755695306293707</v>
      </c>
      <c r="E37" s="12" t="n">
        <f aca="false">('Carry Model'!$C$10-B37)/B37</f>
        <v>-0.0427521476923076</v>
      </c>
    </row>
    <row r="38" customFormat="false" ht="15" hidden="false" customHeight="false" outlineLevel="0" collapsed="false">
      <c r="B38" s="8" t="n">
        <v>3600</v>
      </c>
      <c r="C38" s="12" t="n">
        <f aca="false">'Carry Model'!$C$8/B38-1</f>
        <v>-0.124444444444444</v>
      </c>
      <c r="D38" s="12" t="n">
        <f aca="false">'Carry Model'!$C$9*'Carry Model'!$C$8/B38</f>
        <v>0.0750447422222222</v>
      </c>
      <c r="E38" s="12" t="n">
        <f aca="false">('Carry Model'!$C$10-B38)/B38</f>
        <v>-0.0493997022222221</v>
      </c>
    </row>
    <row r="39" customFormat="false" ht="15" hidden="false" customHeight="false" outlineLevel="0" collapsed="false">
      <c r="B39" s="8" t="n">
        <v>3625</v>
      </c>
      <c r="C39" s="12" t="n">
        <f aca="false">'Carry Model'!$C$8/B39-1</f>
        <v>-0.13048275862069</v>
      </c>
      <c r="D39" s="12" t="n">
        <f aca="false">'Carry Model'!$C$9*'Carry Model'!$C$8/B39</f>
        <v>0.0745271922758621</v>
      </c>
      <c r="E39" s="12" t="n">
        <f aca="false">('Carry Model'!$C$10-B39)/B39</f>
        <v>-0.0559555663448275</v>
      </c>
    </row>
    <row r="40" customFormat="false" ht="15" hidden="false" customHeight="false" outlineLevel="0" collapsed="false">
      <c r="B40" s="8" t="n">
        <v>3650</v>
      </c>
      <c r="C40" s="12" t="n">
        <f aca="false">'Carry Model'!$C$8/B40-1</f>
        <v>-0.136438356164384</v>
      </c>
      <c r="D40" s="12" t="n">
        <f aca="false">'Carry Model'!$C$9*'Carry Model'!$C$8/B40</f>
        <v>0.0740167320547945</v>
      </c>
      <c r="E40" s="12" t="n">
        <f aca="false">('Carry Model'!$C$10-B40)/B40</f>
        <v>-0.062421624109589</v>
      </c>
    </row>
    <row r="41" customFormat="false" ht="15" hidden="false" customHeight="false" outlineLevel="0" collapsed="false">
      <c r="B41" s="8" t="n">
        <v>3675</v>
      </c>
      <c r="C41" s="12" t="n">
        <f aca="false">'Carry Model'!$C$8/B41-1</f>
        <v>-0.142312925170068</v>
      </c>
      <c r="D41" s="12" t="n">
        <f aca="false">'Carry Model'!$C$9*'Carry Model'!$C$8/B41</f>
        <v>0.0735132168707483</v>
      </c>
      <c r="E41" s="12" t="n">
        <f aca="false">('Carry Model'!$C$10-B41)/B41</f>
        <v>-0.0687997082993196</v>
      </c>
    </row>
    <row r="42" customFormat="false" ht="15" hidden="false" customHeight="false" outlineLevel="0" collapsed="false">
      <c r="B42" s="8" t="n">
        <v>3700</v>
      </c>
      <c r="C42" s="12" t="n">
        <f aca="false">'Carry Model'!$C$8/B42-1</f>
        <v>-0.148108108108108</v>
      </c>
      <c r="D42" s="12" t="n">
        <f aca="false">'Carry Model'!$C$9*'Carry Model'!$C$8/B42</f>
        <v>0.073016505945946</v>
      </c>
      <c r="E42" s="12" t="n">
        <f aca="false">('Carry Model'!$C$10-B42)/B42</f>
        <v>-0.0750916021621621</v>
      </c>
    </row>
    <row r="43" customFormat="false" ht="15" hidden="false" customHeight="false" outlineLevel="0" collapsed="false">
      <c r="B43" s="8" t="n">
        <v>3725</v>
      </c>
      <c r="C43" s="12" t="n">
        <f aca="false">'Carry Model'!$C$8/B43-1</f>
        <v>-0.153825503355705</v>
      </c>
      <c r="D43" s="12" t="n">
        <f aca="false">'Carry Model'!$C$9*'Carry Model'!$C$8/B43</f>
        <v>0.0725264622818792</v>
      </c>
      <c r="E43" s="12" t="n">
        <f aca="false">('Carry Model'!$C$10-B43)/B43</f>
        <v>-0.0812990410738254</v>
      </c>
    </row>
    <row r="44" customFormat="false" ht="15" hidden="false" customHeight="false" outlineLevel="0" collapsed="false">
      <c r="B44" s="8" t="n">
        <v>3750</v>
      </c>
      <c r="C44" s="12" t="n">
        <f aca="false">'Carry Model'!$C$8/B44-1</f>
        <v>-0.159466666666667</v>
      </c>
      <c r="D44" s="12" t="n">
        <f aca="false">'Carry Model'!$C$9*'Carry Model'!$C$8/B44</f>
        <v>0.0720429525333333</v>
      </c>
      <c r="E44" s="12" t="n">
        <f aca="false">('Carry Model'!$C$10-B44)/B44</f>
        <v>-0.0874237141333333</v>
      </c>
    </row>
    <row r="45" customFormat="false" ht="15" hidden="false" customHeight="false" outlineLevel="0" collapsed="false">
      <c r="B45" s="8" t="n">
        <v>3775</v>
      </c>
      <c r="C45" s="12" t="n">
        <f aca="false">'Carry Model'!$C$8/B45-1</f>
        <v>-0.165033112582781</v>
      </c>
      <c r="D45" s="12" t="n">
        <f aca="false">'Carry Model'!$C$9*'Carry Model'!$C$8/B45</f>
        <v>0.0715658468874172</v>
      </c>
      <c r="E45" s="12" t="n">
        <f aca="false">('Carry Model'!$C$10-B45)/B45</f>
        <v>-0.0934672656953642</v>
      </c>
    </row>
    <row r="46" customFormat="false" ht="15" hidden="false" customHeight="false" outlineLevel="0" collapsed="false">
      <c r="B46" s="8" t="n">
        <v>3800</v>
      </c>
      <c r="C46" s="12" t="n">
        <f aca="false">'Carry Model'!$C$8/B46-1</f>
        <v>-0.170526315789474</v>
      </c>
      <c r="D46" s="12" t="n">
        <f aca="false">'Carry Model'!$C$9*'Carry Model'!$C$8/B46</f>
        <v>0.0710950189473684</v>
      </c>
      <c r="E46" s="12" t="n">
        <f aca="false">('Carry Model'!$C$10-B46)/B46</f>
        <v>-0.0994312968421052</v>
      </c>
    </row>
    <row r="47" customFormat="false" ht="15" hidden="false" customHeight="false" outlineLevel="0" collapsed="false">
      <c r="B47" s="8" t="n">
        <v>3825</v>
      </c>
      <c r="C47" s="12" t="n">
        <f aca="false">'Carry Model'!$C$8/B47-1</f>
        <v>-0.175947712418301</v>
      </c>
      <c r="D47" s="12" t="n">
        <f aca="false">'Carry Model'!$C$9*'Carry Model'!$C$8/B47</f>
        <v>0.070630345620915</v>
      </c>
      <c r="E47" s="12" t="n">
        <f aca="false">('Carry Model'!$C$10-B47)/B47</f>
        <v>-0.105317366797386</v>
      </c>
    </row>
    <row r="48" customFormat="false" ht="15" hidden="false" customHeight="false" outlineLevel="0" collapsed="false">
      <c r="B48" s="8" t="n">
        <v>3850</v>
      </c>
      <c r="C48" s="12" t="n">
        <f aca="false">'Carry Model'!$C$8/B48-1</f>
        <v>-0.181298701298701</v>
      </c>
      <c r="D48" s="12" t="n">
        <f aca="false">'Carry Model'!$C$9*'Carry Model'!$C$8/B48</f>
        <v>0.070171707012987</v>
      </c>
      <c r="E48" s="12" t="n">
        <f aca="false">('Carry Model'!$C$10-B48)/B48</f>
        <v>-0.111126994285714</v>
      </c>
    </row>
    <row r="49" customFormat="false" ht="15" hidden="false" customHeight="false" outlineLevel="0" collapsed="false">
      <c r="B49" s="8" t="n">
        <v>3875</v>
      </c>
      <c r="C49" s="12" t="n">
        <f aca="false">'Carry Model'!$C$8/B49-1</f>
        <v>-0.18658064516129</v>
      </c>
      <c r="D49" s="12" t="n">
        <f aca="false">'Carry Model'!$C$9*'Carry Model'!$C$8/B49</f>
        <v>0.0697189863225807</v>
      </c>
      <c r="E49" s="12" t="n">
        <f aca="false">('Carry Model'!$C$10-B49)/B49</f>
        <v>-0.11686165883871</v>
      </c>
    </row>
    <row r="50" customFormat="false" ht="15" hidden="false" customHeight="false" outlineLevel="0" collapsed="false">
      <c r="B50" s="8" t="n">
        <v>3900</v>
      </c>
      <c r="C50" s="12" t="n">
        <f aca="false">'Carry Model'!$C$8/B50-1</f>
        <v>-0.191794871794872</v>
      </c>
      <c r="D50" s="12" t="n">
        <f aca="false">'Carry Model'!$C$9*'Carry Model'!$C$8/B50</f>
        <v>0.0692720697435898</v>
      </c>
      <c r="E50" s="12" t="n">
        <f aca="false">('Carry Model'!$C$10-B50)/B50</f>
        <v>-0.122522802051282</v>
      </c>
    </row>
    <row r="51" customFormat="false" ht="15" hidden="false" customHeight="false" outlineLevel="0" collapsed="false">
      <c r="B51" s="8" t="n">
        <v>3925</v>
      </c>
      <c r="C51" s="12" t="n">
        <f aca="false">'Carry Model'!$C$8/B51-1</f>
        <v>-0.196942675159236</v>
      </c>
      <c r="D51" s="12" t="n">
        <f aca="false">'Carry Model'!$C$9*'Carry Model'!$C$8/B51</f>
        <v>0.0688308463694268</v>
      </c>
      <c r="E51" s="12" t="n">
        <f aca="false">('Carry Model'!$C$10-B51)/B51</f>
        <v>-0.128111828789809</v>
      </c>
    </row>
    <row r="52" customFormat="false" ht="15" hidden="false" customHeight="false" outlineLevel="0" collapsed="false">
      <c r="B52" s="8" t="n">
        <v>3950</v>
      </c>
      <c r="C52" s="12" t="n">
        <f aca="false">'Carry Model'!$C$8/B52-1</f>
        <v>-0.202025316455696</v>
      </c>
      <c r="D52" s="12" t="n">
        <f aca="false">'Carry Model'!$C$9*'Carry Model'!$C$8/B52</f>
        <v>0.0683952081012658</v>
      </c>
      <c r="E52" s="12" t="n">
        <f aca="false">('Carry Model'!$C$10-B52)/B52</f>
        <v>-0.13363010835443</v>
      </c>
    </row>
    <row r="53" customFormat="false" ht="15" hidden="false" customHeight="false" outlineLevel="0" collapsed="false">
      <c r="B53" s="8" t="n">
        <v>3975</v>
      </c>
      <c r="C53" s="12" t="n">
        <f aca="false">'Carry Model'!$C$8/B53-1</f>
        <v>-0.207044025157233</v>
      </c>
      <c r="D53" s="12" t="n">
        <f aca="false">'Carry Model'!$C$9*'Carry Model'!$C$8/B53</f>
        <v>0.0679650495597484</v>
      </c>
      <c r="E53" s="12" t="n">
        <f aca="false">('Carry Model'!$C$10-B53)/B53</f>
        <v>-0.139078975597484</v>
      </c>
    </row>
    <row r="54" customFormat="false" ht="15" hidden="false" customHeight="false" outlineLevel="0" collapsed="false">
      <c r="B54" s="8" t="n">
        <v>4000</v>
      </c>
      <c r="C54" s="12" t="n">
        <f aca="false">'Carry Model'!$C$8/B54-1</f>
        <v>-0.212</v>
      </c>
      <c r="D54" s="12" t="n">
        <f aca="false">'Carry Model'!$C$9*'Carry Model'!$C$8/B54</f>
        <v>0.067540268</v>
      </c>
      <c r="E54" s="12" t="n">
        <f aca="false">('Carry Model'!$C$10-B54)/B54</f>
        <v>-0.144459732</v>
      </c>
    </row>
    <row r="55" customFormat="false" ht="15" hidden="false" customHeight="false" outlineLevel="0" collapsed="false">
      <c r="B55" s="8" t="n">
        <v>4025</v>
      </c>
      <c r="C55" s="12" t="n">
        <f aca="false">'Carry Model'!$C$8/B55-1</f>
        <v>-0.216894409937888</v>
      </c>
      <c r="D55" s="12" t="n">
        <f aca="false">'Carry Model'!$C$9*'Carry Model'!$C$8/B55</f>
        <v>0.0671207632298137</v>
      </c>
      <c r="E55" s="12" t="n">
        <f aca="false">('Carry Model'!$C$10-B55)/B55</f>
        <v>-0.149773646708074</v>
      </c>
    </row>
    <row r="56" customFormat="false" ht="15" hidden="false" customHeight="false" outlineLevel="0" collapsed="false">
      <c r="B56" s="8" t="n">
        <v>4050</v>
      </c>
      <c r="C56" s="12" t="n">
        <f aca="false">'Carry Model'!$C$8/B56-1</f>
        <v>-0.221728395061728</v>
      </c>
      <c r="D56" s="12" t="n">
        <f aca="false">'Carry Model'!$C$9*'Carry Model'!$C$8/B56</f>
        <v>0.0667064375308642</v>
      </c>
      <c r="E56" s="12" t="n">
        <f aca="false">('Carry Model'!$C$10-B56)/B56</f>
        <v>-0.155021957530864</v>
      </c>
    </row>
    <row r="57" customFormat="false" ht="15" hidden="false" customHeight="false" outlineLevel="0" collapsed="false">
      <c r="B57" s="8" t="n">
        <v>4075</v>
      </c>
      <c r="C57" s="12" t="n">
        <f aca="false">'Carry Model'!$C$8/B57-1</f>
        <v>-0.226503067484663</v>
      </c>
      <c r="D57" s="12" t="n">
        <f aca="false">'Carry Model'!$C$9*'Carry Model'!$C$8/B57</f>
        <v>0.0662971955828221</v>
      </c>
      <c r="E57" s="12" t="n">
        <f aca="false">('Carry Model'!$C$10-B57)/B57</f>
        <v>-0.16020587190184</v>
      </c>
    </row>
    <row r="58" customFormat="false" ht="15" hidden="false" customHeight="false" outlineLevel="0" collapsed="false">
      <c r="B58" s="8" t="n">
        <v>4100</v>
      </c>
      <c r="C58" s="12" t="n">
        <f aca="false">'Carry Model'!$C$8/B58-1</f>
        <v>-0.231219512195122</v>
      </c>
      <c r="D58" s="12" t="n">
        <f aca="false">'Carry Model'!$C$9*'Carry Model'!$C$8/B58</f>
        <v>0.0658929443902439</v>
      </c>
      <c r="E58" s="12" t="n">
        <f aca="false">('Carry Model'!$C$10-B58)/B58</f>
        <v>-0.165326567804878</v>
      </c>
    </row>
    <row r="59" customFormat="false" ht="15" hidden="false" customHeight="false" outlineLevel="0" collapsed="false">
      <c r="B59" s="8" t="n">
        <v>4125</v>
      </c>
      <c r="C59" s="12" t="n">
        <f aca="false">'Carry Model'!$C$8/B59-1</f>
        <v>-0.235878787878788</v>
      </c>
      <c r="D59" s="12" t="n">
        <f aca="false">'Carry Model'!$C$9*'Carry Model'!$C$8/B59</f>
        <v>0.0654935932121212</v>
      </c>
      <c r="E59" s="12" t="n">
        <f aca="false">('Carry Model'!$C$10-B59)/B59</f>
        <v>-0.170385194666667</v>
      </c>
    </row>
    <row r="60" customFormat="false" ht="15" hidden="false" customHeight="false" outlineLevel="0" collapsed="false">
      <c r="B60" s="8" t="n">
        <v>4150</v>
      </c>
      <c r="C60" s="12" t="n">
        <f aca="false">'Carry Model'!$C$8/B60-1</f>
        <v>-0.240481927710843</v>
      </c>
      <c r="D60" s="12" t="n">
        <f aca="false">'Carry Model'!$C$9*'Carry Model'!$C$8/B60</f>
        <v>0.0650990534939759</v>
      </c>
      <c r="E60" s="12" t="n">
        <f aca="false">('Carry Model'!$C$10-B60)/B60</f>
        <v>-0.175382874216867</v>
      </c>
    </row>
    <row r="61" customFormat="false" ht="15" hidden="false" customHeight="false" outlineLevel="0" collapsed="false">
      <c r="B61" s="8" t="n">
        <v>4175</v>
      </c>
      <c r="C61" s="12" t="n">
        <f aca="false">'Carry Model'!$C$8/B61-1</f>
        <v>-0.24502994011976</v>
      </c>
      <c r="D61" s="12" t="n">
        <f aca="false">'Carry Model'!$C$9*'Carry Model'!$C$8/B61</f>
        <v>0.0647092388023952</v>
      </c>
      <c r="E61" s="12" t="n">
        <f aca="false">('Carry Model'!$C$10-B61)/B61</f>
        <v>-0.180320701317365</v>
      </c>
    </row>
    <row r="62" customFormat="false" ht="15" hidden="false" customHeight="false" outlineLevel="0" collapsed="false">
      <c r="B62" s="8" t="n">
        <v>4200</v>
      </c>
      <c r="C62" s="12" t="n">
        <f aca="false">'Carry Model'!$C$8/B62-1</f>
        <v>-0.249523809523809</v>
      </c>
      <c r="D62" s="12" t="n">
        <f aca="false">'Carry Model'!$C$9*'Carry Model'!$C$8/B62</f>
        <v>0.0643240647619048</v>
      </c>
      <c r="E62" s="12" t="n">
        <f aca="false">('Carry Model'!$C$10-B62)/B62</f>
        <v>-0.185199744761905</v>
      </c>
    </row>
    <row r="63" customFormat="false" ht="15" hidden="false" customHeight="false" outlineLevel="0" collapsed="false">
      <c r="B63" s="8" t="n">
        <v>4225</v>
      </c>
      <c r="C63" s="12" t="n">
        <f aca="false">'Carry Model'!$C$8/B63-1</f>
        <v>-0.25396449704142</v>
      </c>
      <c r="D63" s="12" t="n">
        <f aca="false">'Carry Model'!$C$9*'Carry Model'!$C$8/B63</f>
        <v>0.0639434489940829</v>
      </c>
      <c r="E63" s="12" t="n">
        <f aca="false">('Carry Model'!$C$10-B63)/B63</f>
        <v>-0.190021048047337</v>
      </c>
    </row>
    <row r="64" customFormat="false" ht="15" hidden="false" customHeight="false" outlineLevel="0" collapsed="false">
      <c r="B64" s="8" t="n">
        <v>4250</v>
      </c>
      <c r="C64" s="12" t="n">
        <f aca="false">'Carry Model'!$C$8/B64-1</f>
        <v>-0.258352941176471</v>
      </c>
      <c r="D64" s="12" t="n">
        <f aca="false">'Carry Model'!$C$9*'Carry Model'!$C$8/B64</f>
        <v>0.0635673110588235</v>
      </c>
      <c r="E64" s="12" t="n">
        <f aca="false">('Carry Model'!$C$10-B64)/B64</f>
        <v>-0.194785630117647</v>
      </c>
    </row>
    <row r="65" customFormat="false" ht="15" hidden="false" customHeight="false" outlineLevel="0" collapsed="false">
      <c r="B65" s="8" t="n">
        <v>4275</v>
      </c>
      <c r="C65" s="12" t="n">
        <f aca="false">'Carry Model'!$C$8/B65-1</f>
        <v>-0.262690058479532</v>
      </c>
      <c r="D65" s="12" t="n">
        <f aca="false">'Carry Model'!$C$9*'Carry Model'!$C$8/B65</f>
        <v>0.0631955723976608</v>
      </c>
      <c r="E65" s="12" t="n">
        <f aca="false">('Carry Model'!$C$10-B65)/B65</f>
        <v>-0.199494486081871</v>
      </c>
    </row>
    <row r="66" customFormat="false" ht="15" hidden="false" customHeight="false" outlineLevel="0" collapsed="false">
      <c r="B66" s="8" t="n">
        <v>4300</v>
      </c>
      <c r="C66" s="12" t="n">
        <f aca="false">'Carry Model'!$C$8/B66-1</f>
        <v>-0.266976744186047</v>
      </c>
      <c r="D66" s="12" t="n">
        <f aca="false">'Carry Model'!$C$9*'Carry Model'!$C$8/B66</f>
        <v>0.0628281562790698</v>
      </c>
      <c r="E66" s="12" t="n">
        <f aca="false">('Carry Model'!$C$10-B66)/B66</f>
        <v>-0.204148587906977</v>
      </c>
    </row>
    <row r="68" customFormat="false" ht="15" hidden="false" customHeight="false" outlineLevel="0" collapsed="false">
      <c r="B68" s="7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2026-08-27T16:02:10Z</dcterms:created>
  <dc:creator>openpyxl</dc:creator>
  <dc:description/>
  <dc:language>en-US</dc:language>
  <cp:lastModifiedBy/>
  <dcterms:modified xsi:type="dcterms:W3CDTF">2026-08-27T16:02:12Z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