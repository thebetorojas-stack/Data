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Election 2025" sheetId="2" state="visible" r:id="rId4"/>
    <sheet name="Approval trend" sheetId="3" state="visible" r:id="rId5"/>
    <sheet name="Attributes" sheetId="4" state="visible" r:id="rId6"/>
    <sheet name="Agenda &amp; flashpoints" sheetId="5" state="visible" r:id="rId7"/>
    <sheet name="Governability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<sst xmlns="http://schemas.openxmlformats.org/spreadsheetml/2006/main" count="205" uniqueCount="178">
  <si>
    <t xml:space="preserve">Chile — political support under the Kast government</t>
  </si>
  <si>
    <t xml:space="preserve">Data to 3 August 2026. Kast took office 11 March 2026; the term runs to 11 March 2030.</t>
  </si>
  <si>
    <t xml:space="preserve">THE SHORT VERSION</t>
  </si>
  <si>
    <t xml:space="preserve">A very fast honeymoon</t>
  </si>
  <si>
    <t xml:space="preserve">Kast entered with 57% approval in Cadem's first reading of the term. Five months later he is at 36-37% with disapproval at 60%. Three houses — Cadem, Criteria and Pulso Ciudadano — differ on levels but agree completely on direction.</t>
  </si>
  <si>
    <t xml:space="preserve">It is not security, it is the economy</t>
  </si>
  <si>
    <t xml:space="preserve">He was elected on crime and immigration. The agenda has moved under him: economy and unemployment now rank first at 67%, ahead of security at 61%, and 83% say the country faces a labour emergency. His approval is falling on a dimension he did not campaign on.</t>
  </si>
  <si>
    <t xml:space="preserve">The coalition is the weak point</t>
  </si>
  <si>
    <t xml:space="preserve">His worst-rated attributes are not policy. 'Can keep his coalition orderly' sits at 20%, down eleven points in a single reading, and 'has a good relationship with the opposition' at 18%. He governs a three-party right that ran separately in the first round.</t>
  </si>
  <si>
    <t xml:space="preserve">HOW TO USE IT</t>
  </si>
  <si>
    <t xml:space="preserve">Never mix houses</t>
  </si>
  <si>
    <t xml:space="preserve">Cadem and Criteria disagree by 2-5 points on the level at any moment. Both series are here, kept apart. Compare a house to itself over time.</t>
  </si>
  <si>
    <t xml:space="preserve">Cadem is weekly and bounces</t>
  </si>
  <si>
    <t xml:space="preserve">Readings sit in a 36-38 band and outlets report adjacent weeks inconsistently. The signal is the level and the trend, not the week-on-week point.</t>
  </si>
  <si>
    <t xml:space="preserve">Approval is not vote</t>
  </si>
  <si>
    <t xml:space="preserve">The next presidential election is November 2029. Nothing here is a voting-intention read; there is no meaningful 2029 field yet. Treat this as governability, not as an electoral forecast.</t>
  </si>
  <si>
    <t xml:space="preserve">Tabs</t>
  </si>
  <si>
    <t xml:space="preserve">Election 2025</t>
  </si>
  <si>
    <t xml:space="preserve">How he got here: first round, runoff, and the arithmetic of right consolidation.</t>
  </si>
  <si>
    <t xml:space="preserve">Approval trend</t>
  </si>
  <si>
    <t xml:space="preserve">Cadem and Criteria series with charts.</t>
  </si>
  <si>
    <t xml:space="preserve">Attributes</t>
  </si>
  <si>
    <t xml:space="preserve">Where the support is eroding, attribute by attribute — the most diagnostic tab.</t>
  </si>
  <si>
    <t xml:space="preserve">Agenda &amp; flashpoints</t>
  </si>
  <si>
    <t xml:space="preserve">What voters want addressed, and the specific policy fights moving the numbers.</t>
  </si>
  <si>
    <t xml:space="preserve">Governability</t>
  </si>
  <si>
    <t xml:space="preserve">Congressional arithmetic and why the coalition is the binding constraint.</t>
  </si>
  <si>
    <t xml:space="preserve">How Kast got here — the 2025 election</t>
  </si>
  <si>
    <t xml:space="preserve">First round 16 November 2025, runoff 14 December 2025.</t>
  </si>
  <si>
    <t xml:space="preserve">First round</t>
  </si>
  <si>
    <t xml:space="preserve">Candidate</t>
  </si>
  <si>
    <t xml:space="preserve">Bloc</t>
  </si>
  <si>
    <t xml:space="preserve">First round %</t>
  </si>
  <si>
    <t xml:space="preserve">Jeannette Jara</t>
  </si>
  <si>
    <t xml:space="preserve">Unidad por Chile (PC)</t>
  </si>
  <si>
    <t xml:space="preserve">Jose Antonio Kast</t>
  </si>
  <si>
    <t xml:space="preserve">Partido Republicano</t>
  </si>
  <si>
    <t xml:space="preserve">Combined right (Kast + Kaiser + Matthei)</t>
  </si>
  <si>
    <t xml:space="preserve">Jara led the first round and still lost by sixteen points. The whole election was decided by whether the right could consolidate — and it did so immediately, because the three candidates differed on emphasis rather than on economics.</t>
  </si>
  <si>
    <t xml:space="preserve">Runoff</t>
  </si>
  <si>
    <t xml:space="preserve">Runoff %</t>
  </si>
  <si>
    <t xml:space="preserve">Margin (pp)</t>
  </si>
  <si>
    <t xml:space="preserve">What it was a vote for</t>
  </si>
  <si>
    <t xml:space="preserve">- Public security, crime and irregular immigration were the dominant campaign themes.</t>
  </si>
  <si>
    <t xml:space="preserve">- Jara ran below the Boric government's own 31-34% support base — the candidacy never expanded past the core.</t>
  </si>
  <si>
    <t xml:space="preserve">- The left won more votes for Congress than for the presidency, so this was a rejection of the incumbent presidency rather than a collapse of the left's electoral base.</t>
  </si>
  <si>
    <t xml:space="preserve">- Read as a punitive vote against the status quo more than an ideological realignment — which is exactly why the honeymoon was short.</t>
  </si>
  <si>
    <t xml:space="preserve">Approval since 11 March 2026</t>
  </si>
  <si>
    <t xml:space="preserve">Two houses, kept separate. Both fall; they disagree on level.</t>
  </si>
  <si>
    <t xml:space="preserve">A | Cadem Plaza Publica (weekly)</t>
  </si>
  <si>
    <t xml:space="preserve">Reading</t>
  </si>
  <si>
    <t xml:space="preserve">Approve %</t>
  </si>
  <si>
    <t xml:space="preserve">Disapprove %</t>
  </si>
  <si>
    <t xml:space="preserve">Net</t>
  </si>
  <si>
    <t xml:space="preserve">Note</t>
  </si>
  <si>
    <t xml:space="preserve">Mar-26 (first)</t>
  </si>
  <si>
    <t xml:space="preserve">Opening reading of the term</t>
  </si>
  <si>
    <t xml:space="preserve">17-May-26</t>
  </si>
  <si>
    <t xml:space="preserve">First 'lowest of the term'</t>
  </si>
  <si>
    <t xml:space="preserve">01-Jul-26</t>
  </si>
  <si>
    <t xml:space="preserve">Approval -3, disapproval +5</t>
  </si>
  <si>
    <t xml:space="preserve">05-Jul-26</t>
  </si>
  <si>
    <t xml:space="preserve">Worst week since 11 March</t>
  </si>
  <si>
    <t xml:space="preserve">early Aug-26</t>
  </si>
  <si>
    <t xml:space="preserve">Equals the early-July disapproval high</t>
  </si>
  <si>
    <t xml:space="preserve">03-Aug-26</t>
  </si>
  <si>
    <t xml:space="preserve">New disapproval maximum reported</t>
  </si>
  <si>
    <t xml:space="preserve">Fall from opening reading (pp)</t>
  </si>
  <si>
    <t xml:space="preserve">Weekly readings bounce in a 36-38 band and outlets report adjacent weeks inconsistently. Read the level and the trend, not any single week.</t>
  </si>
  <si>
    <t xml:space="preserve">B | Criteria (weekly online panel)</t>
  </si>
  <si>
    <t xml:space="preserve">No opinion %</t>
  </si>
  <si>
    <t xml:space="preserve">early Jun-26</t>
  </si>
  <si>
    <t xml:space="preserve">Criteria runs 2-3 points below Cadem on approval. Pulso Ciudadano, the third major house, reports the same direction. The agreement across houses on DIRECTION is what makes the trend credible.</t>
  </si>
  <si>
    <t xml:space="preserve">Where the erosion is — attribute by attribute</t>
  </si>
  <si>
    <t xml:space="preserve">Cadem, early August 2026. The most diagnostic tab in the pack.</t>
  </si>
  <si>
    <t xml:space="preserve">Personal attributes</t>
  </si>
  <si>
    <t xml:space="preserve">Attribute</t>
  </si>
  <si>
    <t xml:space="preserve">%</t>
  </si>
  <si>
    <t xml:space="preserve">Direction</t>
  </si>
  <si>
    <t xml:space="preserve">Responsible</t>
  </si>
  <si>
    <t xml:space="preserve">down</t>
  </si>
  <si>
    <t xml:space="preserve">Authority and leadership</t>
  </si>
  <si>
    <t xml:space="preserve">Brave</t>
  </si>
  <si>
    <t xml:space="preserve">Able to dialogue</t>
  </si>
  <si>
    <t xml:space="preserve">Close to people</t>
  </si>
  <si>
    <t xml:space="preserve">Empathetic</t>
  </si>
  <si>
    <t xml:space="preserve">The ranking is coherent: he is credited with strength and denied warmth. That is a stable profile for a law-and-order president and a poor one for coalition management.</t>
  </si>
  <si>
    <t xml:space="preserve">Management attributes — the weak spot</t>
  </si>
  <si>
    <t xml:space="preserve">Change (pp)</t>
  </si>
  <si>
    <t xml:space="preserve">Has a good government team</t>
  </si>
  <si>
    <t xml:space="preserve">Can keep his coalition orderly</t>
  </si>
  <si>
    <t xml:space="preserve">Has a good relationship with the opposition</t>
  </si>
  <si>
    <t xml:space="preserve">This is the finding. Coalition management at 20% and down eleven points in one reading is worse than any policy score. His problem is not that voters reject the programme; it is that they do not believe he can hold his own side together to deliver it.</t>
  </si>
  <si>
    <t xml:space="preserve">Perceived capability by policy area</t>
  </si>
  <si>
    <t xml:space="preserve">Area</t>
  </si>
  <si>
    <t xml:space="preserve">Grow the economy and create jobs</t>
  </si>
  <si>
    <t xml:space="preserve">down from 47%</t>
  </si>
  <si>
    <t xml:space="preserve">Change education</t>
  </si>
  <si>
    <t xml:space="preserve">Change health</t>
  </si>
  <si>
    <t xml:space="preserve">Manage immigration</t>
  </si>
  <si>
    <t xml:space="preserve">Confront crime and drug trafficking</t>
  </si>
  <si>
    <t xml:space="preserve">Crime is his lowest capability score at 38% — on the issue he was elected to fix. In May, 64% already doubted there was a concrete security plan and 61% thought the pledge to deport 300,000 irregular migrants was impossible to fulfil.</t>
  </si>
  <si>
    <t xml:space="preserve">What voters want, and what is moving the numbers</t>
  </si>
  <si>
    <t xml:space="preserve">Issue priorities (Cadem, July 2026)</t>
  </si>
  <si>
    <t xml:space="preserve">Issue</t>
  </si>
  <si>
    <t xml:space="preserve">Economy and unemployment</t>
  </si>
  <si>
    <t xml:space="preserve">Security, crime and drug trafficking</t>
  </si>
  <si>
    <t xml:space="preserve">The inversion is the story. He was elected on security; the agenda has moved to the economy, where his capability score is falling fastest.</t>
  </si>
  <si>
    <t xml:space="preserve">The labour emergency</t>
  </si>
  <si>
    <t xml:space="preserve">Metric</t>
  </si>
  <si>
    <t xml:space="preserve">Say Chile faces a labour emergency</t>
  </si>
  <si>
    <t xml:space="preserve">Cite layoffs and job instability</t>
  </si>
  <si>
    <t xml:space="preserve">Cite difficulty re-entering work after job loss</t>
  </si>
  <si>
    <t xml:space="preserve">Cite low wages</t>
  </si>
  <si>
    <t xml:space="preserve">Policy flashpoints</t>
  </si>
  <si>
    <t xml:space="preserve">Flashpoint</t>
  </si>
  <si>
    <t xml:space="preserve">Public position</t>
  </si>
  <si>
    <t xml:space="preserve">Codelco privatisation</t>
  </si>
  <si>
    <t xml:space="preserve">Against selling the state copper company</t>
  </si>
  <si>
    <t xml:space="preserve">Prefer fully public with better management</t>
  </si>
  <si>
    <t xml:space="preserve">US relations / tariffs</t>
  </si>
  <si>
    <t xml:space="preserve">Disapprove handling of the US relationship</t>
  </si>
  <si>
    <t xml:space="preserve">Approve handling of the US relationship</t>
  </si>
  <si>
    <t xml:space="preserve">Trade model</t>
  </si>
  <si>
    <t xml:space="preserve">Chile should keep an economy open to the world</t>
  </si>
  <si>
    <t xml:space="preserve">Prefer a more protectionist model</t>
  </si>
  <si>
    <t xml:space="preserve">Preferred partner</t>
  </si>
  <si>
    <t xml:space="preserve">China</t>
  </si>
  <si>
    <t xml:space="preserve">European Union</t>
  </si>
  <si>
    <t xml:space="preserve">Strategic posture</t>
  </si>
  <si>
    <t xml:space="preserve">Keep a balanced relationship with the US and China</t>
  </si>
  <si>
    <t xml:space="preserve">Codelco is the sharpest collision between the programme and public opinion: 74% oppose selling it. The government has also moved to sell state stakes in water utilities for up to US$150mn without going through Congress, which sets up an institutional fight as well as a political one.</t>
  </si>
  <si>
    <t xml:space="preserve">Social climate (Cadem, August 2026)</t>
  </si>
  <si>
    <t xml:space="preserve">Say Chilean society is very or quite divided</t>
  </si>
  <si>
    <t xml:space="preserve">Prefer pragmatic over ideological government decisions</t>
  </si>
  <si>
    <t xml:space="preserve">80% wanting pragmatism over ideology is a direct constraint on a president elected as an ideological corrective. Named drivers of the slide: the fuel price rise, unemployment and the winter storms.</t>
  </si>
  <si>
    <t xml:space="preserve">Congressional arithmetic and coalition risk</t>
  </si>
  <si>
    <t xml:space="preserve">Why the constraint on this government is internal, not electoral.</t>
  </si>
  <si>
    <t xml:space="preserve">Opposition strength — Unidad por Chile</t>
  </si>
  <si>
    <t xml:space="preserve">Chamber</t>
  </si>
  <si>
    <t xml:space="preserve">UpCh seats</t>
  </si>
  <si>
    <t xml:space="preserve">Total</t>
  </si>
  <si>
    <t xml:space="preserve">Share</t>
  </si>
  <si>
    <t xml:space="preserve">Senate</t>
  </si>
  <si>
    <t xml:space="preserve">Chamber of Deputies</t>
  </si>
  <si>
    <t xml:space="preserve">Other opposition footholds</t>
  </si>
  <si>
    <t xml:space="preserve">Level</t>
  </si>
  <si>
    <t xml:space="preserve">UpCh</t>
  </si>
  <si>
    <t xml:space="preserve">Regional governors</t>
  </si>
  <si>
    <t xml:space="preserve">Mayors</t>
  </si>
  <si>
    <t xml:space="preserve">Regional councillors</t>
  </si>
  <si>
    <t xml:space="preserve">The governing coalition is three parties that ran separately</t>
  </si>
  <si>
    <t xml:space="preserve">- Chile Vamos (RN and UDI) — the traditional right of the transition, weakened and short of clear identity.</t>
  </si>
  <si>
    <t xml:space="preserve">- Partido Republicano — Kast's own vehicle, a hard-conservative split from the UDI formed in rejection of UDI pragmatism.</t>
  </si>
  <si>
    <t xml:space="preserve">- Nacional Libertarios (Kaiser) — the newest and least institutionalised of the three.</t>
  </si>
  <si>
    <t xml:space="preserve">- They converge on economics and diverge on emphasis and style, which is what let them consolidate in the runoff and what makes them hard to hold together in office.</t>
  </si>
  <si>
    <t xml:space="preserve">The paradox worth writing up: a leadership built on criticising the right's pragmatism now depends on coalition-building for its own governability. Analysts flagged before he took office that a single-party government was not viable given the fragmentation.</t>
  </si>
  <si>
    <t xml:space="preserve">Cadem puts 'can keep his coalition orderly' at 20%. The public has already reached the same conclusion the political scientists did.</t>
  </si>
  <si>
    <t xml:space="preserve">Next electoral events: municipal and regional elections in 2028; presidential November 2029, handover March 2030. There is no near-term electoral test, so the risk is legislative obstruction rather than the ballot box.</t>
  </si>
  <si>
    <t xml:space="preserve">Sources and caveats</t>
  </si>
  <si>
    <t xml:space="preserve">Cadem Plaza Publica</t>
  </si>
  <si>
    <t xml:space="preserve">Weekly national survey. Readings cited from 17 May, 1 July, 5 July and 3 August 2026, plus the opening reading of the term. Reported by Cadem directly and by Emol, Publimetro, Pudahuel, Puranoticia, BioBioChile and El Dinamo.</t>
  </si>
  <si>
    <t xml:space="preserve">Criteria</t>
  </si>
  <si>
    <t xml:space="preserve">Weekly online panel. Early June and early August 2026 readings, reported by El Dinamo.</t>
  </si>
  <si>
    <t xml:space="preserve">Pulso Ciudadano</t>
  </si>
  <si>
    <t xml:space="preserve">Third major house; cited as confirming the direction, figures not reproduced here.</t>
  </si>
  <si>
    <t xml:space="preserve">Election results</t>
  </si>
  <si>
    <t xml:space="preserve">First round 16 November 2025 and runoff 14 December 2025, as reported by CELAG, Agenda Publica and CNN en Espanol.</t>
  </si>
  <si>
    <t xml:space="preserve">Congressional composition</t>
  </si>
  <si>
    <t xml:space="preserve">Unidad por Chile seat counts as published; verify against SERVEL before using in a note.</t>
  </si>
  <si>
    <t xml:space="preserve">Caveat — weekly noise</t>
  </si>
  <si>
    <t xml:space="preserve">Cadem readings sit in a 36-38 approval band and different outlets report adjacent weeks with slightly different figures. The 2 and 3 August readings are reported at 36% and 37% respectively. Both are shown; neither is treated as definitive.</t>
  </si>
  <si>
    <t xml:space="preserve">Caveat — no vote data</t>
  </si>
  <si>
    <t xml:space="preserve">There is no meaningful 2029 voting-intention field yet. This pack measures governability, not electoral prospects.</t>
  </si>
  <si>
    <t xml:space="preserve">Caveat — house levels differ</t>
  </si>
  <si>
    <t xml:space="preserve">Criteria runs 2-3 points below Cadem. Do not compute gaps across houses.</t>
  </si>
  <si>
    <t xml:space="preserve">Prepared</t>
  </si>
  <si>
    <t xml:space="preserve">4 August 2026.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</si>
</sst>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\+0.0;\-0.0;\-"/>
    <numFmt numFmtId="167" formatCode="0"/>
    <numFmt numFmtId="168" formatCode="0.0%"/>
    <numFmt numFmtId="169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1"/>
      <color rgb="FF1F3B63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sz val="9"/>
      <color rgb="FF6B6B6B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i val="true"/>
      <sz val="8"/>
      <color rgb="FF6B6B6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B63"/>
        <bgColor rgb="FF2F5C8F"/>
      </patternFill>
    </fill>
    <fill>
      <patternFill patternType="solid">
        <fgColor rgb="FFF2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3B6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C00000"/>
        <sz val="9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D1495B"/>
      <rgbColor rgb="FFF2F4F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33D"/>
      <rgbColor rgb="FFFF6600"/>
      <rgbColor rgb="FF6B6B6B"/>
      <rgbColor rgb="FF969696"/>
      <rgbColor rgb="FF1F3B63"/>
      <rgbColor rgb="FF4F9D69"/>
      <rgbColor rgb="FF003300"/>
      <rgbColor rgb="FF333300"/>
      <rgbColor rgb="FF993300"/>
      <rgbColor rgb="FF993366"/>
      <rgbColor rgb="FF2F5C8F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Kast approval and disapproval — Cadem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'Approval trend'!C6</c:f>
              <c:strCache>
                <c:ptCount val="1"/>
                <c:pt idx="0">
                  <c:v>Approve %</c:v>
                </c:pt>
              </c:strCache>
            </c:strRef>
          </c:tx>
          <c:spPr>
            <a:solidFill>
              <a:srgbClr val="4f9d69"/>
            </a:solidFill>
            <a:ln w="28080">
              <a:solidFill>
                <a:srgbClr val="4f9d6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'Approval trend'!$B$7:$B$12</c:f>
              <c:strCache>
                <c:ptCount val="6"/>
                <c:pt idx="0">
                  <c:v>Mar-26 (first)</c:v>
                </c:pt>
                <c:pt idx="1">
                  <c:v>17-May-26</c:v>
                </c:pt>
                <c:pt idx="2">
                  <c:v>01-Jul-26</c:v>
                </c:pt>
                <c:pt idx="3">
                  <c:v>05-Jul-26</c:v>
                </c:pt>
                <c:pt idx="4">
                  <c:v>early Aug-26</c:v>
                </c:pt>
                <c:pt idx="5">
                  <c:v>03-Aug-26</c:v>
                </c:pt>
              </c:strCache>
            </c:strRef>
          </c:cat>
          <c:val>
            <c:numRef>
              <c:f>'Approval trend'!$C$7:$C$12</c:f>
              <c:numCache>
                <c:formatCode>#,##0.0;\(#,##0.0\);\-</c:formatCode>
                <c:ptCount val="6"/>
                <c:pt idx="0">
                  <c:v>57</c:v>
                </c:pt>
                <c:pt idx="1">
                  <c:v>36</c:v>
                </c:pt>
                <c:pt idx="2">
                  <c:v>38</c:v>
                </c:pt>
                <c:pt idx="3">
                  <c:v>37</c:v>
                </c:pt>
                <c:pt idx="4">
                  <c:v>36</c:v>
                </c:pt>
                <c:pt idx="5">
                  <c:v>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'Approval trend'!D6</c:f>
              <c:strCache>
                <c:ptCount val="1"/>
                <c:pt idx="0">
                  <c:v>Disapprove %</c:v>
                </c:pt>
              </c:strCache>
            </c:strRef>
          </c:tx>
          <c:spPr>
            <a:solidFill>
              <a:srgbClr val="d1495b"/>
            </a:solidFill>
            <a:ln w="28080">
              <a:solidFill>
                <a:srgbClr val="d1495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'Approval trend'!$B$7:$B$12</c:f>
              <c:strCache>
                <c:ptCount val="6"/>
                <c:pt idx="0">
                  <c:v>Mar-26 (first)</c:v>
                </c:pt>
                <c:pt idx="1">
                  <c:v>17-May-26</c:v>
                </c:pt>
                <c:pt idx="2">
                  <c:v>01-Jul-26</c:v>
                </c:pt>
                <c:pt idx="3">
                  <c:v>05-Jul-26</c:v>
                </c:pt>
                <c:pt idx="4">
                  <c:v>early Aug-26</c:v>
                </c:pt>
                <c:pt idx="5">
                  <c:v>03-Aug-26</c:v>
                </c:pt>
              </c:strCache>
            </c:strRef>
          </c:cat>
          <c:val>
            <c:numRef>
              <c:f>'Approval trend'!$D$7:$D$12</c:f>
              <c:numCache>
                <c:formatCode>#,##0.0;\(#,##0.0\);\-</c:formatCode>
                <c:ptCount val="6"/>
                <c:pt idx="1">
                  <c:v>58</c:v>
                </c:pt>
                <c:pt idx="2">
                  <c:v>58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541101"/>
        <c:axId val="68397499"/>
      </c:lineChart>
      <c:catAx>
        <c:axId val="43541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97499"/>
        <c:crosses val="autoZero"/>
        <c:auto val="1"/>
        <c:lblAlgn val="ctr"/>
        <c:lblOffset val="100"/>
        <c:noMultiLvlLbl val="0"/>
      </c:catAx>
      <c:valAx>
        <c:axId val="683974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411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Attribute scores — personal versus management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"Personal"</c:f>
              <c:strCache>
                <c:ptCount val="1"/>
                <c:pt idx="0">
                  <c:v>Personal</c:v>
                </c:pt>
              </c:strCache>
            </c:strRef>
          </c:tx>
          <c:spPr>
            <a:solidFill>
              <a:srgbClr val="2f5c8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Attributes!$B$7:$B$12</c:f>
              <c:strCache>
                <c:ptCount val="6"/>
                <c:pt idx="0">
                  <c:v>Responsible</c:v>
                </c:pt>
                <c:pt idx="1">
                  <c:v>Authority and leadership</c:v>
                </c:pt>
                <c:pt idx="2">
                  <c:v>Brave</c:v>
                </c:pt>
                <c:pt idx="3">
                  <c:v>Able to dialogue</c:v>
                </c:pt>
                <c:pt idx="4">
                  <c:v>Close to people</c:v>
                </c:pt>
                <c:pt idx="5">
                  <c:v>Empathetic</c:v>
                </c:pt>
              </c:strCache>
            </c:strRef>
          </c:cat>
          <c:val>
            <c:numRef>
              <c:f>Attributes!$C$6:$C$12</c:f>
              <c:numCache>
                <c:formatCode>#,##0.0;\(#,##0.0\);\-</c:formatCode>
                <c:ptCount val="7"/>
                <c:pt idx="1">
                  <c:v>45</c:v>
                </c:pt>
                <c:pt idx="2">
                  <c:v>41</c:v>
                </c:pt>
                <c:pt idx="3">
                  <c:v>40</c:v>
                </c:pt>
                <c:pt idx="4">
                  <c:v>33</c:v>
                </c:pt>
                <c:pt idx="5">
                  <c:v>31</c:v>
                </c:pt>
                <c:pt idx="6">
                  <c:v>30</c:v>
                </c:pt>
              </c:numCache>
            </c:numRef>
          </c:val>
        </c:ser>
        <c:gapWidth val="150"/>
        <c:overlap val="0"/>
        <c:axId val="78043019"/>
        <c:axId val="97874140"/>
      </c:barChart>
      <c:catAx>
        <c:axId val="780430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74140"/>
        <c:crosses val="autoZero"/>
        <c:auto val="1"/>
        <c:lblAlgn val="ctr"/>
        <c:lblOffset val="100"/>
        <c:noMultiLvlLbl val="0"/>
      </c:catAx>
      <c:valAx>
        <c:axId val="978741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430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Management attributes — the binding constraint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"Management"</c:f>
              <c:strCache>
                <c:ptCount val="1"/>
                <c:pt idx="0">
                  <c:v>Management</c:v>
                </c:pt>
              </c:strCache>
            </c:strRef>
          </c:tx>
          <c:spPr>
            <a:solidFill>
              <a:srgbClr val="d149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Attributes!$B$17:$B$19</c:f>
              <c:strCache>
                <c:ptCount val="3"/>
                <c:pt idx="0">
                  <c:v>Has a good government team</c:v>
                </c:pt>
                <c:pt idx="1">
                  <c:v>Can keep his coalition orderly</c:v>
                </c:pt>
                <c:pt idx="2">
                  <c:v>Has a good relationship with the opposition</c:v>
                </c:pt>
              </c:strCache>
            </c:strRef>
          </c:cat>
          <c:val>
            <c:numRef>
              <c:f>Attributes!$C$16:$C$19</c:f>
              <c:numCache>
                <c:formatCode>#,##0.0;\(#,##0.0\);\-</c:formatCode>
                <c:ptCount val="4"/>
                <c:pt idx="1">
                  <c:v>33</c:v>
                </c:pt>
                <c:pt idx="2">
                  <c:v>20</c:v>
                </c:pt>
                <c:pt idx="3">
                  <c:v>18</c:v>
                </c:pt>
              </c:numCache>
            </c:numRef>
          </c:val>
        </c:ser>
        <c:gapWidth val="150"/>
        <c:overlap val="0"/>
        <c:axId val="44038429"/>
        <c:axId val="68337685"/>
      </c:barChart>
      <c:catAx>
        <c:axId val="440384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37685"/>
        <c:crosses val="autoZero"/>
        <c:auto val="1"/>
        <c:lblAlgn val="ctr"/>
        <c:lblOffset val="100"/>
        <c:noMultiLvlLbl val="0"/>
      </c:catAx>
      <c:valAx>
        <c:axId val="683376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384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Policy flashpoints — where opinion sits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"% of respondents"</c:f>
              <c:strCache>
                <c:ptCount val="1"/>
                <c:pt idx="0">
                  <c:v>% of respondents</c:v>
                </c:pt>
              </c:strCache>
            </c:strRef>
          </c:tx>
          <c:spPr>
            <a:solidFill>
              <a:srgbClr val="e8a33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'Agenda &amp; flashpoints'!$C$20:$C$28</c:f>
              <c:strCache>
                <c:ptCount val="9"/>
                <c:pt idx="0">
                  <c:v>Against selling the state copper company</c:v>
                </c:pt>
                <c:pt idx="1">
                  <c:v>Prefer fully public with better management</c:v>
                </c:pt>
                <c:pt idx="2">
                  <c:v>Disapprove handling of the US relationship</c:v>
                </c:pt>
                <c:pt idx="3">
                  <c:v>Approve handling of the US relationship</c:v>
                </c:pt>
                <c:pt idx="4">
                  <c:v>Chile should keep an economy open to the world</c:v>
                </c:pt>
                <c:pt idx="5">
                  <c:v>Prefer a more protectionist model</c:v>
                </c:pt>
                <c:pt idx="6">
                  <c:v>China</c:v>
                </c:pt>
                <c:pt idx="7">
                  <c:v>European Union</c:v>
                </c:pt>
                <c:pt idx="8">
                  <c:v>Keep a balanced relationship with the US and China</c:v>
                </c:pt>
              </c:strCache>
            </c:strRef>
          </c:cat>
          <c:val>
            <c:numRef>
              <c:f>'Agenda &amp; flashpoints'!$D$19:$D$28</c:f>
              <c:numCache>
                <c:formatCode>#,##0.0;\(#,##0.0\);\-</c:formatCode>
                <c:ptCount val="10"/>
                <c:pt idx="1">
                  <c:v>74</c:v>
                </c:pt>
                <c:pt idx="2">
                  <c:v>49</c:v>
                </c:pt>
                <c:pt idx="3">
                  <c:v>57</c:v>
                </c:pt>
                <c:pt idx="4">
                  <c:v>29</c:v>
                </c:pt>
                <c:pt idx="5">
                  <c:v>67</c:v>
                </c:pt>
                <c:pt idx="6">
                  <c:v>24</c:v>
                </c:pt>
                <c:pt idx="7">
                  <c:v>52</c:v>
                </c:pt>
                <c:pt idx="8">
                  <c:v>38</c:v>
                </c:pt>
                <c:pt idx="9">
                  <c:v>54</c:v>
                </c:pt>
              </c:numCache>
            </c:numRef>
          </c:val>
        </c:ser>
        <c:gapWidth val="150"/>
        <c:overlap val="0"/>
        <c:axId val="75099976"/>
        <c:axId val="77808020"/>
      </c:barChart>
      <c:catAx>
        <c:axId val="75099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08020"/>
        <c:crosses val="autoZero"/>
        <c:auto val="1"/>
        <c:lblAlgn val="ctr"/>
        <c:lblOffset val="100"/>
        <c:noMultiLvlLbl val="0"/>
      </c:catAx>
      <c:valAx>
        <c:axId val="778080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999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Opposition share by chamber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"Unidad por Chile share"</c:f>
              <c:strCache>
                <c:ptCount val="1"/>
                <c:pt idx="0">
                  <c:v>Unidad por Chile share</c:v>
                </c:pt>
              </c:strCache>
            </c:strRef>
          </c:tx>
          <c:spPr>
            <a:solidFill>
              <a:srgbClr val="2f5c8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Governability!$B$7:$B$8</c:f>
              <c:strCache>
                <c:ptCount val="2"/>
                <c:pt idx="0">
                  <c:v>Senate</c:v>
                </c:pt>
                <c:pt idx="1">
                  <c:v>Chamber of Deputies</c:v>
                </c:pt>
              </c:strCache>
            </c:strRef>
          </c:cat>
          <c:val>
            <c:numRef>
              <c:f>Governability!$E$6:$E$8</c:f>
              <c:numCache>
                <c:formatCode>0.0%</c:formatCode>
                <c:ptCount val="3"/>
                <c:pt idx="1">
                  <c:v>0.4</c:v>
                </c:pt>
                <c:pt idx="2">
                  <c:v>0.393548387096774</c:v>
                </c:pt>
              </c:numCache>
            </c:numRef>
          </c:val>
        </c:ser>
        <c:gapWidth val="150"/>
        <c:overlap val="0"/>
        <c:axId val="12717936"/>
        <c:axId val="17375808"/>
      </c:barChart>
      <c:catAx>
        <c:axId val="1271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75808"/>
        <c:crosses val="autoZero"/>
        <c:auto val="1"/>
        <c:lblAlgn val="ctr"/>
        <c:lblOffset val="100"/>
        <c:noMultiLvlLbl val="0"/>
      </c:catAx>
      <c:valAx>
        <c:axId val="173758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179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23</xdr:col>
      <xdr:colOff>295560</xdr:colOff>
      <xdr:row>24</xdr:row>
      <xdr:rowOff>33480</xdr:rowOff>
    </xdr:to>
    <xdr:graphicFrame>
      <xdr:nvGraphicFramePr>
        <xdr:cNvPr id="0" name="Chart 1"/>
        <xdr:cNvGraphicFramePr/>
      </xdr:nvGraphicFramePr>
      <xdr:xfrm>
        <a:off x="5545440" y="895320"/>
        <a:ext cx="100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23</xdr:col>
      <xdr:colOff>295560</xdr:colOff>
      <xdr:row>24</xdr:row>
      <xdr:rowOff>155160</xdr:rowOff>
    </xdr:to>
    <xdr:graphicFrame>
      <xdr:nvGraphicFramePr>
        <xdr:cNvPr id="1" name="Chart 1"/>
        <xdr:cNvGraphicFramePr/>
      </xdr:nvGraphicFramePr>
      <xdr:xfrm>
        <a:off x="7473240" y="895320"/>
        <a:ext cx="100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23</xdr:col>
      <xdr:colOff>295560</xdr:colOff>
      <xdr:row>47</xdr:row>
      <xdr:rowOff>170640</xdr:rowOff>
    </xdr:to>
    <xdr:graphicFrame>
      <xdr:nvGraphicFramePr>
        <xdr:cNvPr id="2" name="Chart 2"/>
        <xdr:cNvGraphicFramePr/>
      </xdr:nvGraphicFramePr>
      <xdr:xfrm>
        <a:off x="7473240" y="637236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24</xdr:col>
      <xdr:colOff>403920</xdr:colOff>
      <xdr:row>22</xdr:row>
      <xdr:rowOff>176400</xdr:rowOff>
    </xdr:to>
    <xdr:graphicFrame>
      <xdr:nvGraphicFramePr>
        <xdr:cNvPr id="3" name="Chart 1"/>
        <xdr:cNvGraphicFramePr/>
      </xdr:nvGraphicFramePr>
      <xdr:xfrm>
        <a:off x="7896240" y="895320"/>
        <a:ext cx="107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22</xdr:col>
      <xdr:colOff>186840</xdr:colOff>
      <xdr:row>20</xdr:row>
      <xdr:rowOff>75240</xdr:rowOff>
    </xdr:to>
    <xdr:graphicFrame>
      <xdr:nvGraphicFramePr>
        <xdr:cNvPr id="4" name="Chart 1"/>
        <xdr:cNvGraphicFramePr/>
      </xdr:nvGraphicFramePr>
      <xdr:xfrm>
        <a:off x="5592960" y="89532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04"/>
  </cols>
  <sheetData>
    <row r="2" customFormat="false" ht="25.5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3" hidden="false" customHeight="true" outlineLevel="0" collapsed="false">
      <c r="B6" s="4" t="s">
        <v>3</v>
      </c>
      <c r="C6" s="5" t="s">
        <v>4</v>
      </c>
    </row>
    <row r="7" customFormat="false" ht="33" hidden="false" customHeight="true" outlineLevel="0" collapsed="false">
      <c r="B7" s="4" t="s">
        <v>5</v>
      </c>
      <c r="C7" s="5" t="s">
        <v>6</v>
      </c>
    </row>
    <row r="8" customFormat="false" ht="33" hidden="false" customHeight="tru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B10" s="3" t="s">
        <v>9</v>
      </c>
    </row>
    <row r="11" customFormat="false" ht="21.75" hidden="false" customHeight="true" outlineLevel="0" collapsed="false">
      <c r="B11" s="4" t="s">
        <v>10</v>
      </c>
      <c r="C11" s="5" t="s">
        <v>11</v>
      </c>
    </row>
    <row r="12" customFormat="false" ht="21.75" hidden="false" customHeight="true" outlineLevel="0" collapsed="false">
      <c r="B12" s="4" t="s">
        <v>12</v>
      </c>
      <c r="C12" s="5" t="s">
        <v>13</v>
      </c>
    </row>
    <row r="13" customFormat="false" ht="21.75" hidden="false" customHeight="true" outlineLevel="0" collapsed="false">
      <c r="B13" s="4" t="s">
        <v>14</v>
      </c>
      <c r="C13" s="5" t="s">
        <v>15</v>
      </c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B15" s="3" t="s">
        <v>16</v>
      </c>
    </row>
    <row r="16" customFormat="false" ht="12" hidden="false" customHeight="true" outlineLevel="0" collapsed="false">
      <c r="B16" s="4" t="s">
        <v>17</v>
      </c>
      <c r="C16" s="5" t="s">
        <v>18</v>
      </c>
    </row>
    <row r="17" customFormat="false" ht="12" hidden="false" customHeight="true" outlineLevel="0" collapsed="false">
      <c r="B17" s="4" t="s">
        <v>19</v>
      </c>
      <c r="C17" s="5" t="s">
        <v>20</v>
      </c>
    </row>
    <row r="18" customFormat="false" ht="12" hidden="false" customHeight="true" outlineLevel="0" collapsed="false">
      <c r="B18" s="4" t="s">
        <v>21</v>
      </c>
      <c r="C18" s="5" t="s">
        <v>22</v>
      </c>
    </row>
    <row r="19" customFormat="false" ht="12" hidden="false" customHeight="true" outlineLevel="0" collapsed="false">
      <c r="B19" s="4" t="s">
        <v>23</v>
      </c>
      <c r="C19" s="5" t="s">
        <v>24</v>
      </c>
    </row>
    <row r="20" customFormat="false" ht="12" hidden="false" customHeight="true" outlineLevel="0" collapsed="false">
      <c r="B20" s="4" t="s">
        <v>25</v>
      </c>
      <c r="C20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4" min="3" style="0" width="14"/>
  </cols>
  <sheetData>
    <row r="2" customFormat="false" ht="25.5" hidden="false" customHeight="true" outlineLevel="0" collapsed="false">
      <c r="B2" s="1" t="s">
        <v>27</v>
      </c>
    </row>
    <row r="3" customFormat="false" ht="15" hidden="false" customHeight="false" outlineLevel="0" collapsed="false">
      <c r="B3" s="2" t="s">
        <v>28</v>
      </c>
    </row>
    <row r="5" customFormat="false" ht="15" hidden="false" customHeight="false" outlineLevel="0" collapsed="false">
      <c r="B5" s="3" t="s">
        <v>29</v>
      </c>
    </row>
    <row r="6" customFormat="false" ht="33.75" hidden="false" customHeight="true" outlineLevel="0" collapsed="false">
      <c r="B6" s="6" t="s">
        <v>30</v>
      </c>
      <c r="C6" s="6" t="s">
        <v>31</v>
      </c>
      <c r="D6" s="6" t="s">
        <v>32</v>
      </c>
    </row>
    <row r="7" customFormat="false" ht="15" hidden="false" customHeight="false" outlineLevel="0" collapsed="false">
      <c r="B7" s="4" t="s">
        <v>33</v>
      </c>
      <c r="C7" s="7" t="s">
        <v>34</v>
      </c>
      <c r="D7" s="8" t="n">
        <v>26.8</v>
      </c>
    </row>
    <row r="8" customFormat="false" ht="15" hidden="false" customHeight="false" outlineLevel="0" collapsed="false">
      <c r="B8" s="4" t="s">
        <v>35</v>
      </c>
      <c r="C8" s="7" t="s">
        <v>36</v>
      </c>
      <c r="D8" s="8" t="n">
        <v>23.9</v>
      </c>
    </row>
    <row r="9" customFormat="false" ht="15" hidden="false" customHeight="false" outlineLevel="0" collapsed="false">
      <c r="B9" s="4" t="s">
        <v>37</v>
      </c>
      <c r="D9" s="9" t="n">
        <v>50.5</v>
      </c>
    </row>
    <row r="10" customFormat="false" ht="15" hidden="false" customHeight="false" outlineLevel="0" collapsed="false">
      <c r="B10" s="10" t="s">
        <v>38</v>
      </c>
    </row>
    <row r="12" customFormat="false" ht="15" hidden="false" customHeight="false" outlineLevel="0" collapsed="false">
      <c r="B12" s="3" t="s">
        <v>39</v>
      </c>
    </row>
    <row r="13" customFormat="false" ht="33.75" hidden="false" customHeight="true" outlineLevel="0" collapsed="false">
      <c r="B13" s="6" t="s">
        <v>30</v>
      </c>
      <c r="C13" s="6" t="s">
        <v>40</v>
      </c>
    </row>
    <row r="14" customFormat="false" ht="15" hidden="false" customHeight="false" outlineLevel="0" collapsed="false">
      <c r="B14" s="4" t="s">
        <v>35</v>
      </c>
      <c r="C14" s="8" t="n">
        <v>58.2</v>
      </c>
    </row>
    <row r="15" customFormat="false" ht="15" hidden="false" customHeight="false" outlineLevel="0" collapsed="false">
      <c r="B15" s="11" t="s">
        <v>33</v>
      </c>
      <c r="C15" s="8" t="n">
        <v>41.8</v>
      </c>
    </row>
    <row r="16" customFormat="false" ht="15" hidden="false" customHeight="false" outlineLevel="0" collapsed="false">
      <c r="B16" s="4" t="s">
        <v>41</v>
      </c>
      <c r="C16" s="12" t="n">
        <f aca="false">C14-C15</f>
        <v>16.4</v>
      </c>
    </row>
    <row r="18" customFormat="false" ht="15" hidden="false" customHeight="false" outlineLevel="0" collapsed="false">
      <c r="B18" s="3" t="s">
        <v>42</v>
      </c>
    </row>
    <row r="19" customFormat="false" ht="15" hidden="false" customHeight="false" outlineLevel="0" collapsed="false">
      <c r="B19" s="13" t="s">
        <v>43</v>
      </c>
      <c r="C19" s="13"/>
      <c r="D19" s="13"/>
      <c r="E19" s="13"/>
      <c r="F19" s="13"/>
      <c r="G19" s="13"/>
      <c r="H19" s="13"/>
    </row>
    <row r="20" customFormat="false" ht="15" hidden="false" customHeight="false" outlineLevel="0" collapsed="false">
      <c r="B20" s="13" t="s">
        <v>44</v>
      </c>
      <c r="C20" s="13"/>
      <c r="D20" s="13"/>
      <c r="E20" s="13"/>
      <c r="F20" s="13"/>
      <c r="G20" s="13"/>
      <c r="H20" s="13"/>
    </row>
    <row r="21" customFormat="false" ht="15" hidden="false" customHeight="false" outlineLevel="0" collapsed="false">
      <c r="B21" s="13" t="s">
        <v>45</v>
      </c>
      <c r="C21" s="13"/>
      <c r="D21" s="13"/>
      <c r="E21" s="13"/>
      <c r="F21" s="13"/>
      <c r="G21" s="13"/>
      <c r="H21" s="13"/>
    </row>
    <row r="22" customFormat="false" ht="15" hidden="false" customHeight="false" outlineLevel="0" collapsed="false">
      <c r="B22" s="13" t="s">
        <v>46</v>
      </c>
      <c r="C22" s="13"/>
      <c r="D22" s="13"/>
      <c r="E22" s="13"/>
      <c r="F22" s="13"/>
      <c r="G22" s="13"/>
      <c r="H22" s="13"/>
    </row>
  </sheetData>
  <mergeCells count="4">
    <mergeCell ref="B19:H19"/>
    <mergeCell ref="B20:H20"/>
    <mergeCell ref="B21:H21"/>
    <mergeCell ref="B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5" min="4" style="0" width="14"/>
    <col collapsed="false" customWidth="true" hidden="false" outlineLevel="0" max="6" min="6" style="0" width="11"/>
  </cols>
  <sheetData>
    <row r="2" customFormat="false" ht="25.5" hidden="false" customHeight="true" outlineLevel="0" collapsed="false">
      <c r="B2" s="1" t="s">
        <v>47</v>
      </c>
    </row>
    <row r="3" customFormat="false" ht="15" hidden="false" customHeight="false" outlineLevel="0" collapsed="false">
      <c r="B3" s="2" t="s">
        <v>48</v>
      </c>
    </row>
    <row r="5" customFormat="false" ht="15" hidden="false" customHeight="false" outlineLevel="0" collapsed="false">
      <c r="B5" s="3" t="s">
        <v>49</v>
      </c>
    </row>
    <row r="6" customFormat="false" ht="33.75" hidden="false" customHeight="true" outlineLevel="0" collapsed="false">
      <c r="B6" s="6" t="s">
        <v>50</v>
      </c>
      <c r="C6" s="6" t="s">
        <v>51</v>
      </c>
      <c r="D6" s="6" t="s">
        <v>52</v>
      </c>
      <c r="E6" s="6" t="s">
        <v>53</v>
      </c>
      <c r="F6" s="6" t="s">
        <v>54</v>
      </c>
    </row>
    <row r="7" customFormat="false" ht="15" hidden="false" customHeight="false" outlineLevel="0" collapsed="false">
      <c r="B7" s="11" t="s">
        <v>55</v>
      </c>
      <c r="C7" s="8" t="n">
        <v>57</v>
      </c>
      <c r="E7" s="14" t="str">
        <f aca="false">IF(AND(ISNUMBER(C7),ISNUMBER(D7)),C7-D7,"n/p")</f>
        <v>n/p</v>
      </c>
      <c r="F7" s="10" t="s">
        <v>56</v>
      </c>
    </row>
    <row r="8" customFormat="false" ht="15" hidden="false" customHeight="false" outlineLevel="0" collapsed="false">
      <c r="B8" s="11" t="s">
        <v>57</v>
      </c>
      <c r="C8" s="8" t="n">
        <v>36</v>
      </c>
      <c r="D8" s="8" t="n">
        <v>58</v>
      </c>
      <c r="E8" s="14" t="n">
        <f aca="false">IF(AND(ISNUMBER(C8),ISNUMBER(D8)),C8-D8,"n/p")</f>
        <v>-22</v>
      </c>
      <c r="F8" s="10" t="s">
        <v>58</v>
      </c>
    </row>
    <row r="9" customFormat="false" ht="15" hidden="false" customHeight="false" outlineLevel="0" collapsed="false">
      <c r="B9" s="11" t="s">
        <v>59</v>
      </c>
      <c r="C9" s="8" t="n">
        <v>38</v>
      </c>
      <c r="D9" s="8" t="n">
        <v>58</v>
      </c>
      <c r="E9" s="14" t="n">
        <f aca="false">IF(AND(ISNUMBER(C9),ISNUMBER(D9)),C9-D9,"n/p")</f>
        <v>-20</v>
      </c>
      <c r="F9" s="10" t="s">
        <v>60</v>
      </c>
    </row>
    <row r="10" customFormat="false" ht="15" hidden="false" customHeight="false" outlineLevel="0" collapsed="false">
      <c r="B10" s="11" t="s">
        <v>61</v>
      </c>
      <c r="C10" s="8" t="n">
        <v>37</v>
      </c>
      <c r="D10" s="8" t="n">
        <v>60</v>
      </c>
      <c r="E10" s="14" t="n">
        <f aca="false">IF(AND(ISNUMBER(C10),ISNUMBER(D10)),C10-D10,"n/p")</f>
        <v>-23</v>
      </c>
      <c r="F10" s="10" t="s">
        <v>62</v>
      </c>
    </row>
    <row r="11" customFormat="false" ht="15" hidden="false" customHeight="false" outlineLevel="0" collapsed="false">
      <c r="B11" s="11" t="s">
        <v>63</v>
      </c>
      <c r="C11" s="8" t="n">
        <v>36</v>
      </c>
      <c r="D11" s="8" t="n">
        <v>60</v>
      </c>
      <c r="E11" s="14" t="n">
        <f aca="false">IF(AND(ISNUMBER(C11),ISNUMBER(D11)),C11-D11,"n/p")</f>
        <v>-24</v>
      </c>
      <c r="F11" s="10" t="s">
        <v>64</v>
      </c>
    </row>
    <row r="12" customFormat="false" ht="15" hidden="false" customHeight="false" outlineLevel="0" collapsed="false">
      <c r="B12" s="11" t="s">
        <v>65</v>
      </c>
      <c r="C12" s="8" t="n">
        <v>37</v>
      </c>
      <c r="D12" s="8" t="n">
        <v>60</v>
      </c>
      <c r="E12" s="14" t="n">
        <f aca="false">IF(AND(ISNUMBER(C12),ISNUMBER(D12)),C12-D12,"n/p")</f>
        <v>-23</v>
      </c>
      <c r="F12" s="10" t="s">
        <v>66</v>
      </c>
    </row>
    <row r="14" customFormat="false" ht="15" hidden="false" customHeight="false" outlineLevel="0" collapsed="false">
      <c r="B14" s="4" t="s">
        <v>67</v>
      </c>
      <c r="C14" s="12" t="n">
        <f aca="false">C12-C7</f>
        <v>-20</v>
      </c>
    </row>
    <row r="15" customFormat="false" ht="15" hidden="false" customHeight="false" outlineLevel="0" collapsed="false">
      <c r="B15" s="10" t="s">
        <v>68</v>
      </c>
    </row>
    <row r="17" customFormat="false" ht="15" hidden="false" customHeight="false" outlineLevel="0" collapsed="false">
      <c r="B17" s="3" t="s">
        <v>69</v>
      </c>
    </row>
    <row r="18" customFormat="false" ht="33.75" hidden="false" customHeight="true" outlineLevel="0" collapsed="false">
      <c r="B18" s="6" t="s">
        <v>50</v>
      </c>
      <c r="C18" s="6" t="s">
        <v>51</v>
      </c>
      <c r="D18" s="6" t="s">
        <v>52</v>
      </c>
      <c r="E18" s="6" t="s">
        <v>70</v>
      </c>
      <c r="F18" s="6" t="s">
        <v>53</v>
      </c>
    </row>
    <row r="19" customFormat="false" ht="15" hidden="false" customHeight="false" outlineLevel="0" collapsed="false">
      <c r="B19" s="11" t="s">
        <v>71</v>
      </c>
      <c r="C19" s="8" t="n">
        <v>40</v>
      </c>
      <c r="F19" s="14" t="str">
        <f aca="false">IF(AND(ISNUMBER(C19),ISNUMBER(D19)),C19-D19,"n/p")</f>
        <v>n/p</v>
      </c>
    </row>
    <row r="20" customFormat="false" ht="15" hidden="false" customHeight="false" outlineLevel="0" collapsed="false">
      <c r="B20" s="11" t="s">
        <v>63</v>
      </c>
      <c r="C20" s="8" t="n">
        <v>34</v>
      </c>
      <c r="D20" s="8" t="n">
        <v>55</v>
      </c>
      <c r="E20" s="8" t="n">
        <v>11</v>
      </c>
      <c r="F20" s="14" t="n">
        <f aca="false">IF(AND(ISNUMBER(C20),ISNUMBER(D20)),C20-D20,"n/p")</f>
        <v>-21</v>
      </c>
    </row>
    <row r="22" customFormat="false" ht="15" hidden="false" customHeight="false" outlineLevel="0" collapsed="false">
      <c r="B22" s="10" t="s">
        <v>72</v>
      </c>
    </row>
  </sheetData>
  <conditionalFormatting sqref="E7:E12">
    <cfRule type="cellIs" priority="2" operator="lessThan" aboveAverage="0" equalAverage="0" bottom="0" percent="0" rank="0" text="" dxfId="0">
      <formula>0</formula>
    </cfRule>
  </conditionalFormatting>
  <conditionalFormatting sqref="F19:F20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34"/>
  </cols>
  <sheetData>
    <row r="2" customFormat="false" ht="25.5" hidden="false" customHeight="true" outlineLevel="0" collapsed="false">
      <c r="B2" s="1" t="s">
        <v>73</v>
      </c>
    </row>
    <row r="3" customFormat="false" ht="15" hidden="false" customHeight="false" outlineLevel="0" collapsed="false">
      <c r="B3" s="2" t="s">
        <v>74</v>
      </c>
    </row>
    <row r="5" customFormat="false" ht="15" hidden="false" customHeight="false" outlineLevel="0" collapsed="false">
      <c r="B5" s="3" t="s">
        <v>75</v>
      </c>
    </row>
    <row r="6" customFormat="false" ht="33.75" hidden="false" customHeight="true" outlineLevel="0" collapsed="false">
      <c r="B6" s="6" t="s">
        <v>76</v>
      </c>
      <c r="C6" s="6" t="s">
        <v>77</v>
      </c>
      <c r="D6" s="6" t="s">
        <v>78</v>
      </c>
    </row>
    <row r="7" customFormat="false" ht="15" hidden="false" customHeight="false" outlineLevel="0" collapsed="false">
      <c r="B7" s="11" t="s">
        <v>79</v>
      </c>
      <c r="C7" s="8" t="n">
        <v>45</v>
      </c>
      <c r="D7" s="10" t="s">
        <v>80</v>
      </c>
    </row>
    <row r="8" customFormat="false" ht="15" hidden="false" customHeight="false" outlineLevel="0" collapsed="false">
      <c r="B8" s="11" t="s">
        <v>81</v>
      </c>
      <c r="C8" s="8" t="n">
        <v>41</v>
      </c>
      <c r="D8" s="10" t="s">
        <v>80</v>
      </c>
    </row>
    <row r="9" customFormat="false" ht="15" hidden="false" customHeight="false" outlineLevel="0" collapsed="false">
      <c r="B9" s="11" t="s">
        <v>82</v>
      </c>
      <c r="C9" s="8" t="n">
        <v>40</v>
      </c>
      <c r="D9" s="10" t="s">
        <v>80</v>
      </c>
    </row>
    <row r="10" customFormat="false" ht="15" hidden="false" customHeight="false" outlineLevel="0" collapsed="false">
      <c r="B10" s="11" t="s">
        <v>83</v>
      </c>
      <c r="C10" s="8" t="n">
        <v>33</v>
      </c>
      <c r="D10" s="10" t="s">
        <v>80</v>
      </c>
    </row>
    <row r="11" customFormat="false" ht="15" hidden="false" customHeight="false" outlineLevel="0" collapsed="false">
      <c r="B11" s="11" t="s">
        <v>84</v>
      </c>
      <c r="C11" s="8" t="n">
        <v>31</v>
      </c>
      <c r="D11" s="10" t="s">
        <v>80</v>
      </c>
    </row>
    <row r="12" customFormat="false" ht="15" hidden="false" customHeight="false" outlineLevel="0" collapsed="false">
      <c r="B12" s="11" t="s">
        <v>85</v>
      </c>
      <c r="C12" s="8" t="n">
        <v>30</v>
      </c>
      <c r="D12" s="10" t="s">
        <v>80</v>
      </c>
    </row>
    <row r="13" customFormat="false" ht="15" hidden="false" customHeight="false" outlineLevel="0" collapsed="false">
      <c r="B13" s="10" t="s">
        <v>86</v>
      </c>
    </row>
    <row r="15" customFormat="false" ht="15" hidden="false" customHeight="false" outlineLevel="0" collapsed="false">
      <c r="B15" s="3" t="s">
        <v>87</v>
      </c>
    </row>
    <row r="16" customFormat="false" ht="33.75" hidden="false" customHeight="true" outlineLevel="0" collapsed="false">
      <c r="B16" s="6" t="s">
        <v>76</v>
      </c>
      <c r="C16" s="6" t="s">
        <v>77</v>
      </c>
      <c r="D16" s="6" t="s">
        <v>88</v>
      </c>
    </row>
    <row r="17" customFormat="false" ht="15" hidden="false" customHeight="false" outlineLevel="0" collapsed="false">
      <c r="B17" s="11" t="s">
        <v>89</v>
      </c>
      <c r="C17" s="8" t="n">
        <v>33</v>
      </c>
      <c r="D17" s="12" t="n">
        <v>2</v>
      </c>
    </row>
    <row r="18" customFormat="false" ht="15" hidden="false" customHeight="false" outlineLevel="0" collapsed="false">
      <c r="B18" s="4" t="s">
        <v>90</v>
      </c>
      <c r="C18" s="8" t="n">
        <v>20</v>
      </c>
      <c r="D18" s="12" t="n">
        <v>-11</v>
      </c>
    </row>
    <row r="19" customFormat="false" ht="15" hidden="false" customHeight="false" outlineLevel="0" collapsed="false">
      <c r="B19" s="4" t="s">
        <v>91</v>
      </c>
      <c r="C19" s="8" t="n">
        <v>18</v>
      </c>
      <c r="D19" s="12" t="n">
        <v>-1</v>
      </c>
    </row>
    <row r="21" customFormat="false" ht="15" hidden="false" customHeight="false" outlineLevel="0" collapsed="false">
      <c r="B21" s="10" t="s">
        <v>92</v>
      </c>
    </row>
    <row r="23" customFormat="false" ht="15" hidden="false" customHeight="false" outlineLevel="0" collapsed="false">
      <c r="B23" s="3" t="s">
        <v>93</v>
      </c>
    </row>
    <row r="24" customFormat="false" ht="33.75" hidden="false" customHeight="true" outlineLevel="0" collapsed="false">
      <c r="B24" s="6" t="s">
        <v>94</v>
      </c>
      <c r="C24" s="6" t="s">
        <v>77</v>
      </c>
      <c r="D24" s="6" t="s">
        <v>54</v>
      </c>
    </row>
    <row r="25" customFormat="false" ht="15" hidden="false" customHeight="false" outlineLevel="0" collapsed="false">
      <c r="B25" s="11" t="s">
        <v>95</v>
      </c>
      <c r="C25" s="8" t="n">
        <v>42</v>
      </c>
      <c r="D25" s="10" t="s">
        <v>96</v>
      </c>
    </row>
    <row r="26" customFormat="false" ht="15" hidden="false" customHeight="false" outlineLevel="0" collapsed="false">
      <c r="B26" s="11" t="s">
        <v>97</v>
      </c>
      <c r="C26" s="8" t="n">
        <v>43</v>
      </c>
      <c r="D26" s="10"/>
    </row>
    <row r="27" customFormat="false" ht="15" hidden="false" customHeight="false" outlineLevel="0" collapsed="false">
      <c r="B27" s="11" t="s">
        <v>98</v>
      </c>
      <c r="C27" s="8" t="n">
        <v>42</v>
      </c>
      <c r="D27" s="10"/>
    </row>
    <row r="28" customFormat="false" ht="15" hidden="false" customHeight="false" outlineLevel="0" collapsed="false">
      <c r="B28" s="11" t="s">
        <v>99</v>
      </c>
      <c r="C28" s="8" t="n">
        <v>40</v>
      </c>
      <c r="D28" s="10"/>
    </row>
    <row r="29" customFormat="false" ht="15" hidden="false" customHeight="false" outlineLevel="0" collapsed="false">
      <c r="B29" s="11" t="s">
        <v>100</v>
      </c>
      <c r="C29" s="8" t="n">
        <v>38</v>
      </c>
      <c r="D29" s="10" t="s">
        <v>80</v>
      </c>
    </row>
    <row r="31" customFormat="false" ht="15" hidden="false" customHeight="false" outlineLevel="0" collapsed="false">
      <c r="B31" s="10" t="s">
        <v>101</v>
      </c>
    </row>
  </sheetData>
  <conditionalFormatting sqref="D17:D19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10"/>
  </cols>
  <sheetData>
    <row r="2" customFormat="false" ht="25.5" hidden="false" customHeight="true" outlineLevel="0" collapsed="false">
      <c r="B2" s="1" t="s">
        <v>102</v>
      </c>
    </row>
    <row r="5" customFormat="false" ht="15" hidden="false" customHeight="false" outlineLevel="0" collapsed="false">
      <c r="B5" s="3" t="s">
        <v>103</v>
      </c>
    </row>
    <row r="6" customFormat="false" ht="33.75" hidden="false" customHeight="true" outlineLevel="0" collapsed="false">
      <c r="B6" s="6" t="s">
        <v>104</v>
      </c>
      <c r="C6" s="6" t="s">
        <v>77</v>
      </c>
      <c r="D6" s="6" t="s">
        <v>88</v>
      </c>
    </row>
    <row r="7" customFormat="false" ht="15" hidden="false" customHeight="false" outlineLevel="0" collapsed="false">
      <c r="B7" s="4" t="s">
        <v>105</v>
      </c>
      <c r="C7" s="8" t="n">
        <v>67</v>
      </c>
      <c r="D7" s="14" t="n">
        <v>1</v>
      </c>
    </row>
    <row r="8" customFormat="false" ht="15" hidden="false" customHeight="false" outlineLevel="0" collapsed="false">
      <c r="B8" s="4" t="s">
        <v>106</v>
      </c>
      <c r="C8" s="8" t="n">
        <v>61</v>
      </c>
      <c r="D8" s="14" t="n">
        <v>-5</v>
      </c>
    </row>
    <row r="9" customFormat="false" ht="15" hidden="false" customHeight="false" outlineLevel="0" collapsed="false">
      <c r="B9" s="10" t="s">
        <v>107</v>
      </c>
    </row>
    <row r="11" customFormat="false" ht="15" hidden="false" customHeight="false" outlineLevel="0" collapsed="false">
      <c r="B11" s="3" t="s">
        <v>108</v>
      </c>
    </row>
    <row r="12" customFormat="false" ht="33.75" hidden="false" customHeight="true" outlineLevel="0" collapsed="false">
      <c r="B12" s="6" t="s">
        <v>109</v>
      </c>
      <c r="C12" s="6" t="s">
        <v>77</v>
      </c>
    </row>
    <row r="13" customFormat="false" ht="15" hidden="false" customHeight="false" outlineLevel="0" collapsed="false">
      <c r="B13" s="11" t="s">
        <v>110</v>
      </c>
      <c r="C13" s="8" t="n">
        <v>83</v>
      </c>
    </row>
    <row r="14" customFormat="false" ht="15" hidden="false" customHeight="false" outlineLevel="0" collapsed="false">
      <c r="B14" s="11" t="s">
        <v>111</v>
      </c>
      <c r="C14" s="8" t="n">
        <v>46</v>
      </c>
    </row>
    <row r="15" customFormat="false" ht="15" hidden="false" customHeight="false" outlineLevel="0" collapsed="false">
      <c r="B15" s="11" t="s">
        <v>112</v>
      </c>
      <c r="C15" s="8" t="n">
        <v>39</v>
      </c>
    </row>
    <row r="16" customFormat="false" ht="15" hidden="false" customHeight="false" outlineLevel="0" collapsed="false">
      <c r="B16" s="11" t="s">
        <v>113</v>
      </c>
      <c r="C16" s="8" t="n">
        <v>36</v>
      </c>
    </row>
    <row r="18" customFormat="false" ht="15" hidden="false" customHeight="false" outlineLevel="0" collapsed="false">
      <c r="B18" s="3" t="s">
        <v>114</v>
      </c>
    </row>
    <row r="19" customFormat="false" ht="33.75" hidden="false" customHeight="true" outlineLevel="0" collapsed="false">
      <c r="B19" s="6" t="s">
        <v>115</v>
      </c>
      <c r="C19" s="6" t="s">
        <v>116</v>
      </c>
      <c r="D19" s="6" t="s">
        <v>77</v>
      </c>
    </row>
    <row r="20" customFormat="false" ht="15" hidden="false" customHeight="false" outlineLevel="0" collapsed="false">
      <c r="B20" s="11" t="s">
        <v>117</v>
      </c>
      <c r="C20" s="11" t="s">
        <v>118</v>
      </c>
      <c r="D20" s="8" t="n">
        <v>74</v>
      </c>
    </row>
    <row r="21" customFormat="false" ht="15" hidden="false" customHeight="false" outlineLevel="0" collapsed="false">
      <c r="B21" s="11" t="s">
        <v>117</v>
      </c>
      <c r="C21" s="11" t="s">
        <v>119</v>
      </c>
      <c r="D21" s="8" t="n">
        <v>49</v>
      </c>
    </row>
    <row r="22" customFormat="false" ht="15" hidden="false" customHeight="false" outlineLevel="0" collapsed="false">
      <c r="B22" s="11" t="s">
        <v>120</v>
      </c>
      <c r="C22" s="11" t="s">
        <v>121</v>
      </c>
      <c r="D22" s="8" t="n">
        <v>57</v>
      </c>
    </row>
    <row r="23" customFormat="false" ht="15" hidden="false" customHeight="false" outlineLevel="0" collapsed="false">
      <c r="B23" s="11" t="s">
        <v>120</v>
      </c>
      <c r="C23" s="11" t="s">
        <v>122</v>
      </c>
      <c r="D23" s="8" t="n">
        <v>29</v>
      </c>
    </row>
    <row r="24" customFormat="false" ht="15" hidden="false" customHeight="false" outlineLevel="0" collapsed="false">
      <c r="B24" s="11" t="s">
        <v>123</v>
      </c>
      <c r="C24" s="11" t="s">
        <v>124</v>
      </c>
      <c r="D24" s="8" t="n">
        <v>67</v>
      </c>
    </row>
    <row r="25" customFormat="false" ht="15" hidden="false" customHeight="false" outlineLevel="0" collapsed="false">
      <c r="B25" s="11" t="s">
        <v>123</v>
      </c>
      <c r="C25" s="11" t="s">
        <v>125</v>
      </c>
      <c r="D25" s="8" t="n">
        <v>24</v>
      </c>
    </row>
    <row r="26" customFormat="false" ht="15" hidden="false" customHeight="false" outlineLevel="0" collapsed="false">
      <c r="B26" s="11" t="s">
        <v>126</v>
      </c>
      <c r="C26" s="11" t="s">
        <v>127</v>
      </c>
      <c r="D26" s="8" t="n">
        <v>52</v>
      </c>
    </row>
    <row r="27" customFormat="false" ht="15" hidden="false" customHeight="false" outlineLevel="0" collapsed="false">
      <c r="B27" s="11" t="s">
        <v>126</v>
      </c>
      <c r="C27" s="11" t="s">
        <v>128</v>
      </c>
      <c r="D27" s="8" t="n">
        <v>38</v>
      </c>
    </row>
    <row r="28" customFormat="false" ht="15" hidden="false" customHeight="false" outlineLevel="0" collapsed="false">
      <c r="B28" s="11" t="s">
        <v>129</v>
      </c>
      <c r="C28" s="11" t="s">
        <v>130</v>
      </c>
      <c r="D28" s="8" t="n">
        <v>54</v>
      </c>
    </row>
    <row r="30" customFormat="false" ht="15" hidden="false" customHeight="false" outlineLevel="0" collapsed="false">
      <c r="B30" s="10" t="s">
        <v>131</v>
      </c>
    </row>
    <row r="32" customFormat="false" ht="15" hidden="false" customHeight="false" outlineLevel="0" collapsed="false">
      <c r="B32" s="3" t="s">
        <v>132</v>
      </c>
    </row>
    <row r="33" customFormat="false" ht="15" hidden="false" customHeight="false" outlineLevel="0" collapsed="false">
      <c r="B33" s="11" t="s">
        <v>133</v>
      </c>
      <c r="D33" s="9" t="n">
        <v>76</v>
      </c>
    </row>
    <row r="34" customFormat="false" ht="15" hidden="false" customHeight="false" outlineLevel="0" collapsed="false">
      <c r="B34" s="11" t="s">
        <v>134</v>
      </c>
      <c r="D34" s="9" t="n">
        <v>80</v>
      </c>
    </row>
    <row r="36" customFormat="false" ht="15" hidden="false" customHeight="false" outlineLevel="0" collapsed="false">
      <c r="B36" s="10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2"/>
  </cols>
  <sheetData>
    <row r="2" customFormat="false" ht="25.5" hidden="false" customHeight="true" outlineLevel="0" collapsed="false">
      <c r="B2" s="1" t="s">
        <v>136</v>
      </c>
    </row>
    <row r="3" customFormat="false" ht="15" hidden="false" customHeight="false" outlineLevel="0" collapsed="false">
      <c r="B3" s="2" t="s">
        <v>137</v>
      </c>
    </row>
    <row r="5" customFormat="false" ht="15" hidden="false" customHeight="false" outlineLevel="0" collapsed="false">
      <c r="B5" s="3" t="s">
        <v>138</v>
      </c>
    </row>
    <row r="6" customFormat="false" ht="33.75" hidden="false" customHeight="true" outlineLevel="0" collapsed="false">
      <c r="B6" s="6" t="s">
        <v>139</v>
      </c>
      <c r="C6" s="6" t="s">
        <v>140</v>
      </c>
      <c r="D6" s="6" t="s">
        <v>141</v>
      </c>
      <c r="E6" s="6" t="s">
        <v>142</v>
      </c>
    </row>
    <row r="7" customFormat="false" ht="15" hidden="false" customHeight="false" outlineLevel="0" collapsed="false">
      <c r="B7" s="11" t="s">
        <v>143</v>
      </c>
      <c r="C7" s="15" t="n">
        <v>20</v>
      </c>
      <c r="D7" s="15" t="n">
        <v>50</v>
      </c>
      <c r="E7" s="16" t="n">
        <f aca="false">C7/D7</f>
        <v>0.4</v>
      </c>
    </row>
    <row r="8" customFormat="false" ht="15" hidden="false" customHeight="false" outlineLevel="0" collapsed="false">
      <c r="B8" s="11" t="s">
        <v>144</v>
      </c>
      <c r="C8" s="15" t="n">
        <v>61</v>
      </c>
      <c r="D8" s="15" t="n">
        <v>155</v>
      </c>
      <c r="E8" s="16" t="n">
        <f aca="false">C8/D8</f>
        <v>0.393548387096774</v>
      </c>
    </row>
    <row r="10" customFormat="false" ht="15" hidden="false" customHeight="false" outlineLevel="0" collapsed="false">
      <c r="B10" s="3" t="s">
        <v>145</v>
      </c>
    </row>
    <row r="11" customFormat="false" ht="33.75" hidden="false" customHeight="true" outlineLevel="0" collapsed="false">
      <c r="B11" s="6" t="s">
        <v>146</v>
      </c>
      <c r="C11" s="6" t="s">
        <v>147</v>
      </c>
      <c r="D11" s="6" t="s">
        <v>141</v>
      </c>
    </row>
    <row r="12" customFormat="false" ht="15" hidden="false" customHeight="false" outlineLevel="0" collapsed="false">
      <c r="B12" s="11" t="s">
        <v>148</v>
      </c>
      <c r="C12" s="15" t="n">
        <v>7</v>
      </c>
      <c r="D12" s="15" t="n">
        <v>16</v>
      </c>
    </row>
    <row r="13" customFormat="false" ht="15" hidden="false" customHeight="false" outlineLevel="0" collapsed="false">
      <c r="B13" s="11" t="s">
        <v>149</v>
      </c>
      <c r="C13" s="15" t="n">
        <v>82</v>
      </c>
      <c r="D13" s="15" t="n">
        <v>345</v>
      </c>
    </row>
    <row r="14" customFormat="false" ht="15" hidden="false" customHeight="false" outlineLevel="0" collapsed="false">
      <c r="B14" s="11" t="s">
        <v>150</v>
      </c>
      <c r="C14" s="15" t="n">
        <v>106</v>
      </c>
      <c r="D14" s="15" t="n">
        <v>302</v>
      </c>
    </row>
    <row r="17" customFormat="false" ht="15" hidden="false" customHeight="false" outlineLevel="0" collapsed="false">
      <c r="B17" s="3" t="s">
        <v>151</v>
      </c>
    </row>
    <row r="18" customFormat="false" ht="15" hidden="false" customHeight="false" outlineLevel="0" collapsed="false">
      <c r="B18" s="13" t="s">
        <v>152</v>
      </c>
      <c r="C18" s="13"/>
      <c r="D18" s="13"/>
      <c r="E18" s="13"/>
      <c r="F18" s="13"/>
      <c r="G18" s="13"/>
      <c r="H18" s="13"/>
      <c r="I18" s="13"/>
    </row>
    <row r="19" customFormat="false" ht="15" hidden="false" customHeight="false" outlineLevel="0" collapsed="false">
      <c r="B19" s="13" t="s">
        <v>153</v>
      </c>
      <c r="C19" s="13"/>
      <c r="D19" s="13"/>
      <c r="E19" s="13"/>
      <c r="F19" s="13"/>
      <c r="G19" s="13"/>
      <c r="H19" s="13"/>
      <c r="I19" s="13"/>
    </row>
    <row r="20" customFormat="false" ht="15" hidden="false" customHeight="false" outlineLevel="0" collapsed="false">
      <c r="B20" s="13" t="s">
        <v>154</v>
      </c>
      <c r="C20" s="13"/>
      <c r="D20" s="13"/>
      <c r="E20" s="13"/>
      <c r="F20" s="13"/>
      <c r="G20" s="13"/>
      <c r="H20" s="13"/>
      <c r="I20" s="13"/>
    </row>
    <row r="21" customFormat="false" ht="15" hidden="false" customHeight="false" outlineLevel="0" collapsed="false">
      <c r="B21" s="13" t="s">
        <v>155</v>
      </c>
      <c r="C21" s="13"/>
      <c r="D21" s="13"/>
      <c r="E21" s="13"/>
      <c r="F21" s="13"/>
      <c r="G21" s="13"/>
      <c r="H21" s="13"/>
      <c r="I21" s="13"/>
    </row>
    <row r="23" customFormat="false" ht="15" hidden="false" customHeight="false" outlineLevel="0" collapsed="false">
      <c r="B23" s="10" t="s">
        <v>156</v>
      </c>
    </row>
    <row r="24" customFormat="false" ht="15" hidden="false" customHeight="false" outlineLevel="0" collapsed="false">
      <c r="B24" s="10" t="s">
        <v>157</v>
      </c>
    </row>
    <row r="25" customFormat="false" ht="15" hidden="false" customHeight="false" outlineLevel="0" collapsed="false">
      <c r="B25" s="10" t="s">
        <v>158</v>
      </c>
    </row>
  </sheetData>
  <mergeCells count="4">
    <mergeCell ref="B18:I18"/>
    <mergeCell ref="B19:I19"/>
    <mergeCell ref="B20:I20"/>
    <mergeCell ref="B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B63"/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96"/>
  </cols>
  <sheetData>
    <row r="2" customFormat="false" ht="25.5" hidden="false" customHeight="true" outlineLevel="0" collapsed="false">
      <c r="B2" s="1" t="s">
        <v>159</v>
      </c>
    </row>
    <row r="4" customFormat="false" ht="33" hidden="false" customHeight="true" outlineLevel="0" collapsed="false">
      <c r="B4" s="4" t="s">
        <v>160</v>
      </c>
      <c r="C4" s="5" t="s">
        <v>161</v>
      </c>
    </row>
    <row r="5" customFormat="false" ht="12" hidden="false" customHeight="true" outlineLevel="0" collapsed="false">
      <c r="B5" s="4" t="s">
        <v>162</v>
      </c>
      <c r="C5" s="5" t="s">
        <v>163</v>
      </c>
    </row>
    <row r="6" customFormat="false" ht="12" hidden="false" customHeight="true" outlineLevel="0" collapsed="false">
      <c r="B6" s="4" t="s">
        <v>164</v>
      </c>
      <c r="C6" s="5" t="s">
        <v>165</v>
      </c>
    </row>
    <row r="7" customFormat="false" ht="21.75" hidden="false" customHeight="true" outlineLevel="0" collapsed="false">
      <c r="B7" s="4" t="s">
        <v>166</v>
      </c>
      <c r="C7" s="5" t="s">
        <v>167</v>
      </c>
    </row>
    <row r="8" customFormat="false" ht="12" hidden="false" customHeight="true" outlineLevel="0" collapsed="false">
      <c r="B8" s="4" t="s">
        <v>168</v>
      </c>
      <c r="C8" s="5" t="s">
        <v>169</v>
      </c>
    </row>
    <row r="10" customFormat="false" ht="33" hidden="false" customHeight="true" outlineLevel="0" collapsed="false">
      <c r="B10" s="4" t="s">
        <v>170</v>
      </c>
      <c r="C10" s="5" t="s">
        <v>171</v>
      </c>
    </row>
    <row r="11" customFormat="false" ht="21.75" hidden="false" customHeight="true" outlineLevel="0" collapsed="false">
      <c r="B11" s="4" t="s">
        <v>172</v>
      </c>
      <c r="C11" s="5" t="s">
        <v>173</v>
      </c>
    </row>
    <row r="12" customFormat="false" ht="12" hidden="false" customHeight="true" outlineLevel="0" collapsed="false">
      <c r="B12" s="4" t="s">
        <v>174</v>
      </c>
      <c r="C12" s="5" t="s">
        <v>175</v>
      </c>
    </row>
    <row r="14" customFormat="false" ht="12" hidden="false" customHeight="true" outlineLevel="0" collapsed="false">
      <c r="B14" s="4" t="s">
        <v>176</v>
      </c>
      <c r="C14" s="5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2026-08-04T21:57:24Z</dcterms:created>
  <dc:creator>openpyxl</dc:creator>
  <dc:description/>
  <dc:language>en-US</dc:language>
  <cp:lastModifiedBy/>
  <dcterms:modified xsi:type="dcterms:W3CDTF">2026-08-04T21:57:28Z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