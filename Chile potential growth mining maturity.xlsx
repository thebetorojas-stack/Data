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h1 Trend vintages" sheetId="2" state="visible" r:id="rId2"/>
    <sheet xmlns:r="http://schemas.openxmlformats.org/officeDocument/2006/relationships" name="Ch2 Realised growth" sheetId="3" state="visible" r:id="rId3"/>
    <sheet xmlns:r="http://schemas.openxmlformats.org/officeDocument/2006/relationships" name="Ch3 Mining volume index" sheetId="4" state="visible" r:id="rId4"/>
    <sheet xmlns:r="http://schemas.openxmlformats.org/officeDocument/2006/relationships" name="Ch4 Grade and output" sheetId="5" state="visible" r:id="rId5"/>
    <sheet xmlns:r="http://schemas.openxmlformats.org/officeDocument/2006/relationships" name="Ch5 Capital and labour" sheetId="6" state="visible" r:id="rId6"/>
  </sheets>
  <definedNames/>
  <calcPr calcId="124519" fullCalcOnLoad="1"/>
</workbook>
</file>

<file path=xl/styles.xml><?xml version="1.0" encoding="utf-8"?>
<styleSheet xmlns="http://schemas.openxmlformats.org/spreadsheetml/2006/main">
  <numFmts count="3">
    <numFmt numFmtId="164" formatCode="0.0%"/>
    <numFmt numFmtId="165" formatCode="#,##0.0;(#,##0.0);-"/>
    <numFmt numFmtId="166" formatCode="#,##0;(#,##0);-"/>
  </numFmts>
  <fonts count="8">
    <font>
      <name val="Calibri"/>
      <family val="2"/>
      <color theme="1"/>
      <sz val="11"/>
      <scheme val="minor"/>
    </font>
    <font>
      <name val="Arial"/>
      <b val="1"/>
      <color rgb="00FFFFFF"/>
      <sz val="14"/>
    </font>
    <font>
      <name val="Arial"/>
      <i val="1"/>
      <color rgb="006B6B6B"/>
      <sz val="9"/>
    </font>
    <font>
      <name val="Arial"/>
      <b val="1"/>
      <color rgb="001A1A1A"/>
      <sz val="9"/>
    </font>
    <font>
      <name val="Arial"/>
      <color rgb="001A1A1A"/>
      <sz val="9"/>
    </font>
    <font>
      <name val="Arial"/>
      <b val="1"/>
      <color rgb="001F3B63"/>
      <sz val="11"/>
    </font>
    <font>
      <name val="Arial"/>
      <color rgb="000000FF"/>
      <sz val="9"/>
    </font>
    <font>
      <name val="Arial"/>
      <i val="1"/>
      <color rgb="006B6B6B"/>
      <sz val="8"/>
    </font>
  </fonts>
  <fills count="4">
    <fill>
      <patternFill/>
    </fill>
    <fill>
      <patternFill patternType="gray125"/>
    </fill>
    <fill>
      <patternFill patternType="solid">
        <fgColor rgb="001F3B63"/>
      </patternFill>
    </fill>
    <fill>
      <patternFill patternType="solid">
        <fgColor rgb="00F2F4F7"/>
      </patternFill>
    </fill>
  </fills>
  <borders count="2">
    <border>
      <left/>
      <right/>
      <top/>
      <bottom/>
      <diagonal/>
    </border>
    <border>
      <bottom style="thin">
        <color rgb="001F3B63"/>
      </bottom>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3" fillId="3" borderId="1" applyAlignment="1" pivotButton="0" quotePrefix="0" xfId="0">
      <alignment horizontal="center" vertical="center" wrapText="1"/>
    </xf>
    <xf numFmtId="164" fontId="6" fillId="0" borderId="0" pivotButton="0" quotePrefix="0" xfId="0"/>
    <xf numFmtId="0" fontId="7" fillId="0" borderId="0" pivotButton="0" quotePrefix="0" xfId="0"/>
    <xf numFmtId="165" fontId="4" fillId="0" borderId="0" pivotButton="0" quotePrefix="0" xfId="0"/>
    <xf numFmtId="0" fontId="3" fillId="3" borderId="1" applyAlignment="1" pivotButton="0" quotePrefix="0" xfId="0">
      <alignment horizontal="center" vertical="center"/>
    </xf>
    <xf numFmtId="164" fontId="4" fillId="0" borderId="0" pivotButton="0" quotePrefix="0" xfId="0"/>
    <xf numFmtId="10" fontId="6" fillId="0" borderId="0" pivotButton="0" quotePrefix="0" xfId="0"/>
    <xf numFmtId="166" fontId="4" fillId="0" borderId="0" pivotButton="0" quotePrefix="0" xfId="0"/>
    <xf numFmtId="166" fontId="6" fillId="0" borderId="0" pivotButton="0" quotePrefix="0" xfId="0"/>
    <xf numFmtId="165"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Trend growth estimates by vintage (%)</a:t>
            </a:r>
          </a:p>
        </rich>
      </tx>
    </title>
    <plotArea>
      <barChart>
        <barDir val="col"/>
        <grouping val="clustered"/>
        <ser>
          <idx val="0"/>
          <order val="0"/>
          <tx>
            <strRef>
              <f>'Ch1 Trend vintages'!D6</f>
            </strRef>
          </tx>
          <spPr>
            <a:solidFill xmlns:a="http://schemas.openxmlformats.org/drawingml/2006/main">
              <a:srgbClr val="2F5C8F"/>
            </a:solidFill>
            <a:ln xmlns:a="http://schemas.openxmlformats.org/drawingml/2006/main">
              <a:noFill/>
              <a:prstDash val="solid"/>
            </a:ln>
          </spPr>
          <cat>
            <numRef>
              <f>'Ch1 Trend vintages'!$B$7:$B$13</f>
            </numRef>
          </cat>
          <val>
            <numRef>
              <f>'Ch1 Trend vintages'!$D$7:$D$13</f>
            </numRef>
          </val>
        </ser>
        <ser>
          <idx val="1"/>
          <order val="1"/>
          <tx>
            <strRef>
              <f>'Ch1 Trend vintages'!E6</f>
            </strRef>
          </tx>
          <spPr>
            <a:solidFill xmlns:a="http://schemas.openxmlformats.org/drawingml/2006/main">
              <a:srgbClr val="3E8E8C"/>
            </a:solidFill>
            <a:ln xmlns:a="http://schemas.openxmlformats.org/drawingml/2006/main">
              <a:noFill/>
              <a:prstDash val="solid"/>
            </a:ln>
          </spPr>
          <cat>
            <numRef>
              <f>'Ch1 Trend vintages'!$B$7:$B$13</f>
            </numRef>
          </cat>
          <val>
            <numRef>
              <f>'Ch1 Trend vintages'!$E$7:$E$13</f>
            </numRef>
          </val>
        </ser>
        <ser>
          <idx val="2"/>
          <order val="2"/>
          <tx>
            <strRef>
              <f>'Ch1 Trend vintages'!F6</f>
            </strRef>
          </tx>
          <spPr>
            <a:solidFill xmlns:a="http://schemas.openxmlformats.org/drawingml/2006/main">
              <a:srgbClr val="E8A33D"/>
            </a:solidFill>
            <a:ln xmlns:a="http://schemas.openxmlformats.org/drawingml/2006/main">
              <a:noFill/>
              <a:prstDash val="solid"/>
            </a:ln>
          </spPr>
          <cat>
            <numRef>
              <f>'Ch1 Trend vintages'!$B$7:$B$13</f>
            </numRef>
          </cat>
          <val>
            <numRef>
              <f>'Ch1 Trend vintages'!$F$7:$F$13</f>
            </numRef>
          </val>
        </ser>
        <gapWidth val="60"/>
        <axId val="10"/>
        <axId val="100"/>
      </barChart>
      <catAx>
        <axId val="10"/>
        <scaling>
          <orientation val="minMax"/>
        </scaling>
        <axPos val="l"/>
        <majorTickMark val="none"/>
        <minorTickMark val="none"/>
        <crossAx val="100"/>
        <lblOffset val="100"/>
      </catAx>
      <valAx>
        <axId val="100"/>
        <scaling>
          <orientation val="minMax"/>
          <max val="0.032"/>
        </scaling>
        <axPos val="l"/>
        <majorGridlines/>
        <numFmt formatCode="0.0%" sourceLinked="0"/>
        <majorTickMark val="none"/>
        <minorTickMark val="none"/>
        <crossAx val="10"/>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Real GDP growth, national vs mining (%)</a:t>
            </a:r>
          </a:p>
        </rich>
      </tx>
    </title>
    <plotArea>
      <barChart>
        <barDir val="col"/>
        <grouping val="clustered"/>
        <ser>
          <idx val="0"/>
          <order val="0"/>
          <tx>
            <strRef>
              <f>'Ch2 Realised growth'!C6</f>
            </strRef>
          </tx>
          <spPr>
            <a:solidFill xmlns:a="http://schemas.openxmlformats.org/drawingml/2006/main">
              <a:srgbClr val="2F5C8F"/>
            </a:solidFill>
            <a:ln xmlns:a="http://schemas.openxmlformats.org/drawingml/2006/main">
              <a:noFill/>
              <a:prstDash val="solid"/>
            </a:ln>
          </spPr>
          <cat>
            <numRef>
              <f>'Ch2 Realised growth'!$B$8:$B$23</f>
            </numRef>
          </cat>
          <val>
            <numRef>
              <f>'Ch2 Realised growth'!$C$7:$C$23</f>
            </numRef>
          </val>
        </ser>
        <ser>
          <idx val="1"/>
          <order val="1"/>
          <tx>
            <strRef>
              <f>'Ch2 Realised growth'!D6</f>
            </strRef>
          </tx>
          <spPr>
            <a:solidFill xmlns:a="http://schemas.openxmlformats.org/drawingml/2006/main">
              <a:srgbClr val="E8A33D"/>
            </a:solidFill>
            <a:ln xmlns:a="http://schemas.openxmlformats.org/drawingml/2006/main">
              <a:noFill/>
              <a:prstDash val="solid"/>
            </a:ln>
          </spPr>
          <cat>
            <numRef>
              <f>'Ch2 Realised growth'!$B$8:$B$23</f>
            </numRef>
          </cat>
          <val>
            <numRef>
              <f>'Ch2 Realised growth'!$D$7:$D$23</f>
            </numRef>
          </val>
        </ser>
        <gapWidth val="4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b"/>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Real GDP volume index, 2008 = 100</a:t>
            </a:r>
          </a:p>
        </rich>
      </tx>
    </title>
    <plotArea>
      <lineChart>
        <grouping val="standard"/>
        <ser>
          <idx val="0"/>
          <order val="0"/>
          <tx>
            <strRef>
              <f>'Ch2 Realised growth'!E6</f>
            </strRef>
          </tx>
          <spPr>
            <a:ln xmlns:a="http://schemas.openxmlformats.org/drawingml/2006/main" w="28000">
              <a:solidFill>
                <a:srgbClr val="2F5C8F"/>
              </a:solidFill>
              <a:prstDash val="solid"/>
            </a:ln>
          </spPr>
          <marker>
            <symbol val="none"/>
            <spPr>
              <a:ln xmlns:a="http://schemas.openxmlformats.org/drawingml/2006/main">
                <a:prstDash val="solid"/>
              </a:ln>
            </spPr>
          </marker>
          <cat>
            <numRef>
              <f>'Ch2 Realised growth'!$B$7:$B$23</f>
            </numRef>
          </cat>
          <val>
            <numRef>
              <f>'Ch2 Realised growth'!$E$7:$E$23</f>
            </numRef>
          </val>
          <smooth val="0"/>
        </ser>
        <ser>
          <idx val="1"/>
          <order val="1"/>
          <tx>
            <strRef>
              <f>'Ch2 Realised growth'!F6</f>
            </strRef>
          </tx>
          <spPr>
            <a:ln xmlns:a="http://schemas.openxmlformats.org/drawingml/2006/main" w="28000">
              <a:solidFill>
                <a:srgbClr val="E8A33D"/>
              </a:solidFill>
              <a:prstDash val="solid"/>
            </a:ln>
          </spPr>
          <marker>
            <symbol val="none"/>
            <spPr>
              <a:ln xmlns:a="http://schemas.openxmlformats.org/drawingml/2006/main">
                <a:prstDash val="solid"/>
              </a:ln>
            </spPr>
          </marker>
          <cat>
            <numRef>
              <f>'Ch2 Realised growth'!$B$7:$B$23</f>
            </numRef>
          </cat>
          <val>
            <numRef>
              <f>'Ch2 Realised growth'!$F$7:$F$23</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b"/>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Copper output (kt, bars) and average ore grade (%, line)</a:t>
            </a:r>
          </a:p>
        </rich>
      </tx>
    </title>
    <plotArea>
      <barChart>
        <barDir val="col"/>
        <grouping val="clustered"/>
        <ser>
          <idx val="0"/>
          <order val="0"/>
          <tx>
            <strRef>
              <f>'Ch4 Grade and output'!D6</f>
            </strRef>
          </tx>
          <spPr>
            <a:solidFill xmlns:a="http://schemas.openxmlformats.org/drawingml/2006/main">
              <a:srgbClr val="8AA0B8"/>
            </a:solidFill>
            <a:ln xmlns:a="http://schemas.openxmlformats.org/drawingml/2006/main">
              <a:noFill/>
              <a:prstDash val="solid"/>
            </a:ln>
          </spPr>
          <cat>
            <numRef>
              <f>'Ch4 Grade and output'!$B$7:$B$29</f>
            </numRef>
          </cat>
          <val>
            <numRef>
              <f>'Ch4 Grade and output'!$D$7:$D$29</f>
            </numRef>
          </val>
        </ser>
        <gapWidth val="40"/>
        <axId val="10"/>
        <axId val="100"/>
      </barChart>
      <lineChart>
        <grouping val="standard"/>
        <ser>
          <idx val="1"/>
          <order val="1"/>
          <tx>
            <strRef>
              <f>'Ch4 Grade and output'!C6</f>
            </strRef>
          </tx>
          <spPr>
            <a:ln xmlns:a="http://schemas.openxmlformats.org/drawingml/2006/main" w="30000">
              <a:solidFill>
                <a:srgbClr val="D1495B"/>
              </a:solidFill>
              <a:prstDash val="solid"/>
            </a:ln>
          </spPr>
          <marker>
            <symbol val="none"/>
            <spPr>
              <a:ln xmlns:a="http://schemas.openxmlformats.org/drawingml/2006/main">
                <a:prstDash val="solid"/>
              </a:ln>
            </spPr>
          </marker>
          <val>
            <numRef>
              <f>'Ch4 Grade and output'!$C$7:$C$29</f>
            </numRef>
          </val>
          <smooth val="0"/>
        </ser>
        <axId val="10"/>
        <axId val="200"/>
      </lineChart>
      <catAx>
        <axId val="10"/>
        <scaling>
          <orientation val="minMax"/>
        </scaling>
        <axPos val="l"/>
        <majorTickMark val="none"/>
        <minorTickMark val="none"/>
        <crossAx val="100"/>
        <lblOffset val="100"/>
      </catAx>
      <valAx>
        <axId val="100"/>
        <scaling>
          <orientation val="minMax"/>
          <max val="7000"/>
        </scaling>
        <axPos val="l"/>
        <majorGridlines/>
        <title>
          <tx>
            <rich>
              <a:bodyPr xmlns:a="http://schemas.openxmlformats.org/drawingml/2006/main"/>
              <a:p xmlns:a="http://schemas.openxmlformats.org/drawingml/2006/main">
                <a:pPr>
                  <a:defRPr/>
                </a:pPr>
                <a:r>
                  <a:t>kt fine Cu</a:t>
                </a:r>
              </a:p>
            </rich>
          </tx>
        </title>
        <numFmt formatCode="#,##0" sourceLinked="0"/>
        <majorTickMark val="none"/>
        <minorTickMark val="none"/>
        <crossAx val="10"/>
      </valAx>
      <valAx>
        <axId val="200"/>
        <scaling>
          <orientation val="minMax"/>
        </scaling>
        <axPos val="l"/>
        <title>
          <tx>
            <rich>
              <a:bodyPr xmlns:a="http://schemas.openxmlformats.org/drawingml/2006/main"/>
              <a:p xmlns:a="http://schemas.openxmlformats.org/drawingml/2006/main">
                <a:pPr>
                  <a:defRPr/>
                </a:pPr>
                <a:r>
                  <a:t>% Cu</a:t>
                </a:r>
              </a:p>
            </rich>
          </tx>
        </title>
        <numFmt formatCode="0.00%" sourceLinked="0"/>
        <majorTickMark val="none"/>
        <minorTickMark val="none"/>
        <crossAx val="10"/>
        <crosses val="max"/>
      </valAx>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Capital intensity (US$k per tonne of new capacity)</a:t>
            </a:r>
          </a:p>
        </rich>
      </tx>
    </title>
    <plotArea>
      <lineChart>
        <grouping val="standard"/>
        <ser>
          <idx val="0"/>
          <order val="0"/>
          <tx>
            <strRef>
              <f>'Ch5 Capital and labour'!C6</f>
            </strRef>
          </tx>
          <spPr>
            <a:ln xmlns:a="http://schemas.openxmlformats.org/drawingml/2006/main" w="28000">
              <a:solidFill>
                <a:srgbClr val="2F5C8F"/>
              </a:solidFill>
              <a:prstDash val="solid"/>
            </a:ln>
          </spPr>
          <marker>
            <symbol val="none"/>
            <spPr>
              <a:ln xmlns:a="http://schemas.openxmlformats.org/drawingml/2006/main">
                <a:prstDash val="solid"/>
              </a:ln>
            </spPr>
          </marker>
          <cat>
            <numRef>
              <f>'Ch5 Capital and labour'!$B$7:$B$29</f>
            </numRef>
          </cat>
          <val>
            <numRef>
              <f>'Ch5 Capital and labour'!$C$7:$C$29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0" sourceLinked="0"/>
        <majorTickMark val="none"/>
        <minorTickMark val="none"/>
        <crossAx val="10"/>
      </valAx>
    </plotArea>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Output per worker (t fine Cu) and unit costs (cUS$/lb)</a:t>
            </a:r>
          </a:p>
        </rich>
      </tx>
    </title>
    <plotArea>
      <lineChart>
        <grouping val="standard"/>
        <ser>
          <idx val="0"/>
          <order val="0"/>
          <tx>
            <strRef>
              <f>'Ch5 Capital and labour'!D6</f>
            </strRef>
          </tx>
          <spPr>
            <a:ln xmlns:a="http://schemas.openxmlformats.org/drawingml/2006/main" w="28000">
              <a:solidFill>
                <a:srgbClr val="4F9D69"/>
              </a:solidFill>
              <a:prstDash val="solid"/>
            </a:ln>
          </spPr>
          <marker>
            <symbol val="none"/>
            <spPr>
              <a:ln xmlns:a="http://schemas.openxmlformats.org/drawingml/2006/main">
                <a:prstDash val="solid"/>
              </a:ln>
            </spPr>
          </marker>
          <cat>
            <numRef>
              <f>'Ch5 Capital and labour'!$B$7:$B$29</f>
            </numRef>
          </cat>
          <val>
            <numRef>
              <f>'Ch5 Capital and labour'!$D$7:$D$29</f>
            </numRef>
          </val>
          <smooth val="0"/>
        </ser>
        <ser>
          <idx val="1"/>
          <order val="1"/>
          <tx>
            <strRef>
              <f>'Ch5 Capital and labour'!E6</f>
            </strRef>
          </tx>
          <spPr>
            <a:ln xmlns:a="http://schemas.openxmlformats.org/drawingml/2006/main" w="24000">
              <a:solidFill>
                <a:srgbClr val="D1495B"/>
              </a:solidFill>
              <a:prstDash val="solid"/>
            </a:ln>
          </spPr>
          <marker>
            <symbol val="none"/>
            <spPr>
              <a:ln xmlns:a="http://schemas.openxmlformats.org/drawingml/2006/main">
                <a:prstDash val="solid"/>
              </a:ln>
            </spPr>
          </marker>
          <cat>
            <numRef>
              <f>'Ch5 Capital and labour'!$B$7:$B$29</f>
            </numRef>
          </cat>
          <val>
            <numRef>
              <f>'Ch5 Capital and labour'!$E$7:$E$29</f>
            </numRef>
          </val>
          <smooth val="0"/>
        </ser>
        <ser>
          <idx val="2"/>
          <order val="2"/>
          <tx>
            <strRef>
              <f>'Ch5 Capital and labour'!F6</f>
            </strRef>
          </tx>
          <spPr>
            <a:ln xmlns:a="http://schemas.openxmlformats.org/drawingml/2006/main" w="24000">
              <a:solidFill>
                <a:srgbClr val="E8A33D"/>
              </a:solidFill>
              <a:prstDash val="solid"/>
            </a:ln>
          </spPr>
          <marker>
            <symbol val="none"/>
            <spPr>
              <a:ln xmlns:a="http://schemas.openxmlformats.org/drawingml/2006/main">
                <a:prstDash val="solid"/>
              </a:ln>
            </spPr>
          </marker>
          <cat>
            <numRef>
              <f>'Ch5 Capital and labour'!$B$7:$B$29</f>
            </numRef>
          </cat>
          <val>
            <numRef>
              <f>'Ch5 Capital and labour'!$F$7:$F$29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s>
</file>

<file path=xl/drawings/drawing1.xml><?xml version="1.0" encoding="utf-8"?>
<wsDr xmlns="http://schemas.openxmlformats.org/drawingml/2006/spreadsheetDrawing">
  <oneCellAnchor>
    <from>
      <col>8</col>
      <colOff>0</colOff>
      <row>4</row>
      <rowOff>0</rowOff>
    </from>
    <ext cx="936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7</col>
      <colOff>0</colOff>
      <row>4</row>
      <rowOff>0</rowOff>
    </from>
    <ext cx="936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col>
      <colOff>0</colOff>
      <row>5</row>
      <rowOff>0</rowOff>
    </from>
    <ext cx="1080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7</col>
      <colOff>0</colOff>
      <row>4</row>
      <rowOff>0</rowOff>
    </from>
    <ext cx="1080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8</col>
      <colOff>0</colOff>
      <row>4</row>
      <rowOff>0</rowOff>
    </from>
    <ext cx="936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27</row>
      <rowOff>0</rowOff>
    </from>
    <ext cx="936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tabColor rgb="001F3B63"/>
    <outlinePr summaryBelow="1" summaryRight="1"/>
    <pageSetUpPr/>
  </sheetPr>
  <dimension ref="B2:D20"/>
  <sheetViews>
    <sheetView showGridLines="0" workbookViewId="0">
      <selection activeCell="A1" sqref="A1"/>
    </sheetView>
  </sheetViews>
  <sheetFormatPr baseColWidth="8" defaultRowHeight="15"/>
  <cols>
    <col width="2" customWidth="1" min="1" max="1"/>
    <col width="30" customWidth="1" min="2" max="2"/>
    <col width="2" customWidth="1" min="3" max="3"/>
    <col width="120" customWidth="1" min="4" max="4"/>
  </cols>
  <sheetData>
    <row r="2" ht="26" customHeight="1">
      <c r="B2" s="1" t="inlineStr">
        <is>
          <t>Chile — potential growth and mining maturity</t>
        </is>
      </c>
    </row>
    <row r="3">
      <c r="B3" s="2" t="inlineStr">
        <is>
          <t>Five charts. Blue cells are hardcoded source inputs; black cells are formulas. Sources listed on each tab and in full below.</t>
        </is>
      </c>
    </row>
    <row r="6">
      <c r="B6" s="3" t="inlineStr">
        <is>
          <t>Ch1 Trend growth vintages</t>
        </is>
      </c>
      <c r="D6" s="4" t="inlineStr">
        <is>
          <t>Successive official estimates of trend/potential growth. Each new vintage is lower than the last. BCCh non-mining trend fell from 2.9% (2021-30) to 1.9% (2024-33); total trend now 1.9% for 2026-35.</t>
        </is>
      </c>
    </row>
    <row r="7">
      <c r="B7" s="3" t="inlineStr">
        <is>
          <t>Ch2 Realised growth</t>
        </is>
      </c>
      <c r="D7" s="4" t="inlineStr">
        <is>
          <t>Actual real GDP growth, national vs mining, 2009-2024, and period averages. National growth averaged 4.4% in 2006-13 and 2.0% in 2014-19.</t>
        </is>
      </c>
    </row>
    <row r="8">
      <c r="B8" s="3" t="inlineStr">
        <is>
          <t>Ch3 Mining volume index</t>
        </is>
      </c>
      <c r="D8" s="4" t="inlineStr">
        <is>
          <t>The maturity chart. Mining real GDP is BELOW its 2008 level in 2024 (index 96.5) while total GDP is 51% above it. Two decades of capex, no volume growth.</t>
        </is>
      </c>
    </row>
    <row r="9">
      <c r="B9" s="3" t="inlineStr">
        <is>
          <t>Ch4 Grade and output</t>
        </is>
      </c>
      <c r="D9" s="4" t="inlineStr">
        <is>
          <t>Why. Average copper head grade halved from 1.13% (2002) to 0.58% (2023). Ore processed per tonne of fine copper has roughly doubled, from 88t to 172t. Output has been flat at 5.2-5.8Mt since 2010.</t>
        </is>
      </c>
    </row>
    <row r="10">
      <c r="B10" s="3" t="inlineStr">
        <is>
          <t>Ch5 Capital and labour</t>
        </is>
      </c>
      <c r="D10" s="4" t="inlineStr">
        <is>
          <t>The cost of standing still. Capital intensity per tonne of new capacity roughly doubled since 2006; output per worker fell from 46 to 19 tonnes; cash costs are at series highs.</t>
        </is>
      </c>
    </row>
    <row r="11">
      <c r="B11" s="4" t="inlineStr"/>
      <c r="D11" s="4" t="inlineStr"/>
    </row>
    <row r="12">
      <c r="B12" s="5" t="inlineStr">
        <is>
          <t>Headline framing</t>
        </is>
      </c>
    </row>
    <row r="13">
      <c r="B13" s="3" t="inlineStr">
        <is>
          <t>Potential growth</t>
        </is>
      </c>
      <c r="D13" s="4" t="inlineStr">
        <is>
          <t>Chile's trend growth has been revised down in essentially every vintage since 2013. The BCCh now puts total trend growth at 1.9% for 2026-35, of which mining contributes 1.0% p.a. — cut from 1.9% in the 2024 vintage. The mining share of GDP was also cut from 12% to 11%.</t>
        </is>
      </c>
    </row>
    <row r="14">
      <c r="B14" s="3" t="inlineStr">
        <is>
          <t>Mining maturity</t>
        </is>
      </c>
      <c r="D14" s="4" t="inlineStr">
        <is>
          <t>Mining is not cyclically weak, it is geologically mature. Grade decline means constant output requires rising throughput, capital and energy. Chile's copper production has oscillated in a 5.2-5.8Mt band for two decades against investment that roughly tripled versus 1990-2003. Cochilco projects national output bottoming near 5.43Mt in 2030 on natural grade decay at large-scale operations.</t>
        </is>
      </c>
    </row>
    <row r="15">
      <c r="B15" s="4" t="inlineStr"/>
      <c r="D15" s="4" t="inlineStr"/>
    </row>
    <row r="16">
      <c r="B16" s="5" t="inlineStr">
        <is>
          <t>Sources</t>
        </is>
      </c>
    </row>
    <row r="17">
      <c r="B17" s="3" t="inlineStr">
        <is>
          <t>Grade, production, costs, capital intensity, TFP, output per worker</t>
        </is>
      </c>
      <c r="D17" s="4" t="inlineStr">
        <is>
          <t>Consejo Minero, 'Updated Mining Figures', June 2025, based on Cochilco and Plusmining. Grade is a weighted average of ore treated across concentration and leaching lines.</t>
        </is>
      </c>
    </row>
    <row r="18">
      <c r="B18" s="3" t="inlineStr">
        <is>
          <t>Real GDP growth, national and mining</t>
        </is>
      </c>
      <c r="D18" s="4" t="inlineStr">
        <is>
          <t>Consejo Minero, June 2025, based on Banco Central de Chile, chain-linked volumes at previous-year prices.</t>
        </is>
      </c>
    </row>
    <row r="19">
      <c r="B19" s="3" t="inlineStr">
        <is>
          <t>Trend growth estimates</t>
        </is>
      </c>
      <c r="D19" s="4" t="inlineStr">
        <is>
          <t>Banco Central de Chile, IPoM structural-parameter boxes (Dec-2021, Sep-2023, Sep-2024, Mar-2026); DIPRES / Ministerio de Hacienda, Comite Consultivo del PIB No Minero Tendencial (2023 and 2025 rounds).</t>
        </is>
      </c>
    </row>
    <row r="20">
      <c r="B20" s="3" t="inlineStr">
        <is>
          <t>Investment 1990-2003 vs 2004-2022</t>
        </is>
      </c>
      <c r="D20" s="4" t="inlineStr">
        <is>
          <t>Cochilco, cited in Betancour (2024): annual average copper investment of US$3,442mn in 1990-2003 vs US$9,911mn in 2004-2022, both in 2023 dollars.</t>
        </is>
      </c>
    </row>
  </sheetData>
  <pageMargins left="0.75" right="0.75" top="1" bottom="1" header="0.5" footer="0.5"/>
</worksheet>
</file>

<file path=xl/worksheets/sheet2.xml><?xml version="1.0" encoding="utf-8"?>
<worksheet xmlns="http://schemas.openxmlformats.org/spreadsheetml/2006/main">
  <sheetPr>
    <tabColor rgb="001F3B63"/>
    <outlinePr summaryBelow="1" summaryRight="1"/>
    <pageSetUpPr/>
  </sheetPr>
  <dimension ref="B2:G16"/>
  <sheetViews>
    <sheetView showGridLines="0" workbookViewId="0">
      <selection activeCell="A1" sqref="A1"/>
    </sheetView>
  </sheetViews>
  <sheetFormatPr baseColWidth="8" defaultRowHeight="15"/>
  <cols>
    <col width="2" customWidth="1" min="1" max="1"/>
    <col width="22" customWidth="1" min="2" max="2"/>
    <col width="14" customWidth="1" min="3" max="3"/>
    <col width="12" customWidth="1" min="4" max="4"/>
    <col width="11" customWidth="1" min="5" max="5"/>
    <col width="11" customWidth="1" min="6" max="6"/>
    <col width="46" customWidth="1" min="7" max="7"/>
  </cols>
  <sheetData>
    <row r="2" ht="26" customHeight="1">
      <c r="B2" s="1" t="inlineStr">
        <is>
          <t>Trend growth: every vintage is lower than the last</t>
        </is>
      </c>
    </row>
    <row r="3">
      <c r="B3" s="2" t="inlineStr">
        <is>
          <t>Official estimates of ten-year-ahead trend growth, by publication vintage. Non-mining and total are separate concepts and are plotted separately.</t>
        </is>
      </c>
    </row>
    <row r="6" ht="30" customHeight="1">
      <c r="B6" s="6" t="inlineStr">
        <is>
          <t>Vintage</t>
        </is>
      </c>
      <c r="C6" s="6" t="inlineStr">
        <is>
          <t>Horizon</t>
        </is>
      </c>
      <c r="D6" s="6" t="inlineStr">
        <is>
          <t>Non-mining
trend, %</t>
        </is>
      </c>
      <c r="E6" s="6" t="inlineStr">
        <is>
          <t>Total
trend, %</t>
        </is>
      </c>
      <c r="F6" s="6" t="inlineStr">
        <is>
          <t>Mining
trend, %</t>
        </is>
      </c>
      <c r="G6" s="6" t="inlineStr">
        <is>
          <t>Source</t>
        </is>
      </c>
    </row>
    <row r="7">
      <c r="B7" s="3" t="inlineStr">
        <is>
          <t>IPoM Dec-2021</t>
        </is>
      </c>
      <c r="C7" s="4" t="inlineStr">
        <is>
          <t>2021-2030</t>
        </is>
      </c>
      <c r="D7" s="7" t="n">
        <v>0.029</v>
      </c>
      <c r="G7" s="8" t="inlineStr">
        <is>
          <t>BCCh, Recuadro V.1 PIB tendencial</t>
        </is>
      </c>
    </row>
    <row r="8">
      <c r="B8" s="3" t="inlineStr">
        <is>
          <t>IPoM Sep-2022</t>
        </is>
      </c>
      <c r="C8" s="4" t="inlineStr">
        <is>
          <t>2023-2032</t>
        </is>
      </c>
      <c r="D8" s="7" t="n">
        <v>0.022</v>
      </c>
      <c r="G8" s="8" t="inlineStr">
        <is>
          <t>BCCh, prior estimate cited in Recuadro II.1</t>
        </is>
      </c>
    </row>
    <row r="9">
      <c r="B9" s="3" t="inlineStr">
        <is>
          <t>IPoM Sep-2023</t>
        </is>
      </c>
      <c r="C9" s="4" t="inlineStr">
        <is>
          <t>2024-2033</t>
        </is>
      </c>
      <c r="D9" s="7" t="n">
        <v>0.019</v>
      </c>
      <c r="G9" s="8" t="inlineStr">
        <is>
          <t>BCCh, Recuadro II.1 PIB tendencial</t>
        </is>
      </c>
    </row>
    <row r="10">
      <c r="B10" s="3" t="inlineStr">
        <is>
          <t>Comite Dipres 2023</t>
        </is>
      </c>
      <c r="C10" s="4" t="inlineStr">
        <is>
          <t>2024-2028</t>
        </is>
      </c>
      <c r="D10" s="7" t="n">
        <v>0.021</v>
      </c>
      <c r="G10" s="8" t="inlineStr">
        <is>
          <t>Comite Consultivo PIB No Minero Tendencial</t>
        </is>
      </c>
    </row>
    <row r="11">
      <c r="B11" s="3" t="inlineStr">
        <is>
          <t>IPoM Sep-2024</t>
        </is>
      </c>
      <c r="C11" s="4" t="inlineStr">
        <is>
          <t>2025-2034</t>
        </is>
      </c>
      <c r="E11" s="7" t="n">
        <v>0.018</v>
      </c>
      <c r="F11" s="7" t="n">
        <v>0.019</v>
      </c>
      <c r="G11" s="8" t="inlineStr">
        <is>
          <t>BCCh, structural parameters box</t>
        </is>
      </c>
    </row>
    <row r="12">
      <c r="B12" s="3" t="inlineStr">
        <is>
          <t>Comite Dipres 2025</t>
        </is>
      </c>
      <c r="C12" s="4" t="inlineStr">
        <is>
          <t>2026-2030</t>
        </is>
      </c>
      <c r="D12" s="7" t="n">
        <v>0.021</v>
      </c>
      <c r="G12" s="8" t="inlineStr">
        <is>
          <t>Comite Consultivo PIB No Minero Tendencial</t>
        </is>
      </c>
    </row>
    <row r="13">
      <c r="B13" s="3" t="inlineStr">
        <is>
          <t>IPoM Mar-2026</t>
        </is>
      </c>
      <c r="C13" s="4" t="inlineStr">
        <is>
          <t>2026-2035</t>
        </is>
      </c>
      <c r="E13" s="7" t="n">
        <v>0.019</v>
      </c>
      <c r="F13" s="7" t="n">
        <v>0.01</v>
      </c>
      <c r="G13" s="8" t="inlineStr">
        <is>
          <t>BCCh, structural parameters box</t>
        </is>
      </c>
    </row>
    <row r="15">
      <c r="B15" s="8" t="inlineStr">
        <is>
          <t>The BCCh reports non-mining trend growth in most vintages and total trend growth from 2024. The two are not directly comparable: total trend blends a mining component that the BCCh cut from 1.9% p.a. (2025-2034 vintage) to 1.0% p.a. (2026-2035 vintage), on lower projected copper output and weak historic mining GDP growth. The mining share of GDP used in the calculation was cut from 12% to 11% at the same time.</t>
        </is>
      </c>
    </row>
    <row r="16">
      <c r="B16" s="8" t="inlineStr">
        <is>
          <t>Source: Banco Central de Chile IPoM structural-parameter boxes; DIPRES / Ministerio de Hacienda, Comite Consultivo del PIB No Minero Tendencial. Dipres figures are the medium-term average of the horizon shown.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1F3B63"/>
    <outlinePr summaryBelow="1" summaryRight="1"/>
    <pageSetUpPr/>
  </sheetPr>
  <dimension ref="B2:F34"/>
  <sheetViews>
    <sheetView showGridLines="0" workbookViewId="0">
      <selection activeCell="A1" sqref="A1"/>
    </sheetView>
  </sheetViews>
  <sheetFormatPr baseColWidth="8" defaultRowHeight="15"/>
  <cols>
    <col width="2" customWidth="1" min="1" max="1"/>
    <col width="16" customWidth="1" min="2" max="2"/>
    <col width="12" customWidth="1" min="3" max="3"/>
    <col width="12" customWidth="1" min="4" max="4"/>
    <col width="15" customWidth="1" min="5" max="5"/>
    <col width="15" customWidth="1" min="6" max="6"/>
  </cols>
  <sheetData>
    <row r="2" ht="26" customHeight="1">
      <c r="B2" s="1" t="inlineStr">
        <is>
          <t>Realised growth: national vs mining</t>
        </is>
      </c>
    </row>
    <row r="3">
      <c r="B3" s="2" t="inlineStr">
        <is>
          <t>Real GDP, chain-linked volumes at previous-year prices. Mining has contracted in 8 of the 16 years since 2009.</t>
        </is>
      </c>
    </row>
    <row r="6" ht="30" customHeight="1">
      <c r="B6" s="6" t="inlineStr">
        <is>
          <t>Year</t>
        </is>
      </c>
      <c r="C6" s="6" t="inlineStr">
        <is>
          <t>National
GDP</t>
        </is>
      </c>
      <c r="D6" s="6" t="inlineStr">
        <is>
          <t>Mining
GDP</t>
        </is>
      </c>
      <c r="E6" s="6" t="inlineStr">
        <is>
          <t>National,
index 2008=100</t>
        </is>
      </c>
      <c r="F6" s="6" t="inlineStr">
        <is>
          <t>Mining,
index 2008=100</t>
        </is>
      </c>
    </row>
    <row r="7">
      <c r="B7" s="3" t="inlineStr">
        <is>
          <t>2008</t>
        </is>
      </c>
      <c r="E7" s="9" t="n">
        <v>100</v>
      </c>
      <c r="F7" s="9" t="n">
        <v>100</v>
      </c>
    </row>
    <row r="8">
      <c r="B8" s="3" t="inlineStr">
        <is>
          <t>2009</t>
        </is>
      </c>
      <c r="C8" s="7" t="n">
        <v>-0.011</v>
      </c>
      <c r="D8" s="7" t="n">
        <v>-0.004</v>
      </c>
      <c r="E8" s="9">
        <f>E7*(1+C8)</f>
        <v/>
      </c>
      <c r="F8" s="9">
        <f>F7*(1+D8)</f>
        <v/>
      </c>
    </row>
    <row r="9">
      <c r="B9" s="3" t="inlineStr">
        <is>
          <t>2010</t>
        </is>
      </c>
      <c r="C9" s="7" t="n">
        <v>0.059</v>
      </c>
      <c r="D9" s="7" t="n">
        <v>0.034</v>
      </c>
      <c r="E9" s="9">
        <f>E8*(1+C9)</f>
        <v/>
      </c>
      <c r="F9" s="9">
        <f>F8*(1+D9)</f>
        <v/>
      </c>
    </row>
    <row r="10">
      <c r="B10" s="3" t="inlineStr">
        <is>
          <t>2011</t>
        </is>
      </c>
      <c r="C10" s="7" t="n">
        <v>0.062</v>
      </c>
      <c r="D10" s="7" t="n">
        <v>-0.066</v>
      </c>
      <c r="E10" s="9">
        <f>E9*(1+C10)</f>
        <v/>
      </c>
      <c r="F10" s="9">
        <f>F9*(1+D10)</f>
        <v/>
      </c>
    </row>
    <row r="11">
      <c r="B11" s="3" t="inlineStr">
        <is>
          <t>2012</t>
        </is>
      </c>
      <c r="C11" s="7" t="n">
        <v>0.062</v>
      </c>
      <c r="D11" s="7" t="n">
        <v>0.036</v>
      </c>
      <c r="E11" s="9">
        <f>E10*(1+C11)</f>
        <v/>
      </c>
      <c r="F11" s="9">
        <f>F10*(1+D11)</f>
        <v/>
      </c>
    </row>
    <row r="12">
      <c r="B12" s="3" t="inlineStr">
        <is>
          <t>2013</t>
        </is>
      </c>
      <c r="C12" s="7" t="n">
        <v>0.033</v>
      </c>
      <c r="D12" s="7" t="n">
        <v>0.053</v>
      </c>
      <c r="E12" s="9">
        <f>E11*(1+C12)</f>
        <v/>
      </c>
      <c r="F12" s="9">
        <f>F11*(1+D12)</f>
        <v/>
      </c>
    </row>
    <row r="13">
      <c r="B13" s="3" t="inlineStr">
        <is>
          <t>2014</t>
        </is>
      </c>
      <c r="C13" s="7" t="n">
        <v>0.018</v>
      </c>
      <c r="D13" s="7" t="n">
        <v>0.022</v>
      </c>
      <c r="E13" s="9">
        <f>E12*(1+C13)</f>
        <v/>
      </c>
      <c r="F13" s="9">
        <f>F12*(1+D13)</f>
        <v/>
      </c>
    </row>
    <row r="14">
      <c r="B14" s="3" t="inlineStr">
        <is>
          <t>2015</t>
        </is>
      </c>
      <c r="C14" s="7" t="n">
        <v>0.022</v>
      </c>
      <c r="D14" s="7" t="n">
        <v>-0.013</v>
      </c>
      <c r="E14" s="9">
        <f>E13*(1+C14)</f>
        <v/>
      </c>
      <c r="F14" s="9">
        <f>F13*(1+D14)</f>
        <v/>
      </c>
    </row>
    <row r="15">
      <c r="B15" s="3" t="inlineStr">
        <is>
          <t>2016</t>
        </is>
      </c>
      <c r="C15" s="7" t="n">
        <v>0.018</v>
      </c>
      <c r="D15" s="7" t="n">
        <v>-0.031</v>
      </c>
      <c r="E15" s="9">
        <f>E14*(1+C15)</f>
        <v/>
      </c>
      <c r="F15" s="9">
        <f>F14*(1+D15)</f>
        <v/>
      </c>
    </row>
    <row r="16">
      <c r="B16" s="3" t="inlineStr">
        <is>
          <t>2017</t>
        </is>
      </c>
      <c r="C16" s="7" t="n">
        <v>0.014</v>
      </c>
      <c r="D16" s="7" t="n">
        <v>-0.021</v>
      </c>
      <c r="E16" s="9">
        <f>E15*(1+C16)</f>
        <v/>
      </c>
      <c r="F16" s="9">
        <f>F15*(1+D16)</f>
        <v/>
      </c>
    </row>
    <row r="17">
      <c r="B17" s="3" t="inlineStr">
        <is>
          <t>2018</t>
        </is>
      </c>
      <c r="C17" s="7" t="n">
        <v>0.04</v>
      </c>
      <c r="D17" s="7" t="n">
        <v>0.06</v>
      </c>
      <c r="E17" s="9">
        <f>E16*(1+C17)</f>
        <v/>
      </c>
      <c r="F17" s="9">
        <f>F16*(1+D17)</f>
        <v/>
      </c>
    </row>
    <row r="18">
      <c r="B18" s="3" t="inlineStr">
        <is>
          <t>2019</t>
        </is>
      </c>
      <c r="C18" s="7" t="n">
        <v>0.006</v>
      </c>
      <c r="D18" s="7" t="n">
        <v>-0.045</v>
      </c>
      <c r="E18" s="9">
        <f>E17*(1+C18)</f>
        <v/>
      </c>
      <c r="F18" s="9">
        <f>F17*(1+D18)</f>
        <v/>
      </c>
    </row>
    <row r="19">
      <c r="B19" s="3" t="inlineStr">
        <is>
          <t>2020</t>
        </is>
      </c>
      <c r="C19" s="7" t="n">
        <v>-0.061</v>
      </c>
      <c r="D19" s="7" t="n">
        <v>0.008</v>
      </c>
      <c r="E19" s="9">
        <f>E18*(1+C19)</f>
        <v/>
      </c>
      <c r="F19" s="9">
        <f>F18*(1+D19)</f>
        <v/>
      </c>
    </row>
    <row r="20">
      <c r="B20" s="3" t="inlineStr">
        <is>
          <t>2021</t>
        </is>
      </c>
      <c r="C20" s="7" t="n">
        <v>0.113</v>
      </c>
      <c r="D20" s="7" t="n">
        <v>-0.045</v>
      </c>
      <c r="E20" s="9">
        <f>E19*(1+C20)</f>
        <v/>
      </c>
      <c r="F20" s="9">
        <f>F19*(1+D20)</f>
        <v/>
      </c>
    </row>
    <row r="21">
      <c r="B21" s="3" t="inlineStr">
        <is>
          <t>2022</t>
        </is>
      </c>
      <c r="C21" s="7" t="n">
        <v>0.022</v>
      </c>
      <c r="D21" s="7" t="n">
        <v>-0.064</v>
      </c>
      <c r="E21" s="9">
        <f>E20*(1+C21)</f>
        <v/>
      </c>
      <c r="F21" s="9">
        <f>F20*(1+D21)</f>
        <v/>
      </c>
    </row>
    <row r="22">
      <c r="B22" s="3" t="inlineStr">
        <is>
          <t>2023</t>
        </is>
      </c>
      <c r="C22" s="7" t="n">
        <v>0.005</v>
      </c>
      <c r="D22" s="7" t="n">
        <v>0</v>
      </c>
      <c r="E22" s="9">
        <f>E21*(1+C22)</f>
        <v/>
      </c>
      <c r="F22" s="9">
        <f>F21*(1+D22)</f>
        <v/>
      </c>
    </row>
    <row r="23">
      <c r="B23" s="3" t="inlineStr">
        <is>
          <t>2024</t>
        </is>
      </c>
      <c r="C23" s="7" t="n">
        <v>0.026</v>
      </c>
      <c r="D23" s="7" t="n">
        <v>0.052</v>
      </c>
      <c r="E23" s="9">
        <f>E22*(1+C23)</f>
        <v/>
      </c>
      <c r="F23" s="9">
        <f>F22*(1+D23)</f>
        <v/>
      </c>
    </row>
    <row r="26">
      <c r="B26" s="5" t="inlineStr">
        <is>
          <t>Average annual growth</t>
        </is>
      </c>
    </row>
    <row r="27">
      <c r="B27" s="10" t="inlineStr">
        <is>
          <t>Period</t>
        </is>
      </c>
      <c r="C27" s="10" t="inlineStr">
        <is>
          <t>National</t>
        </is>
      </c>
      <c r="D27" s="10" t="inlineStr">
        <is>
          <t>Mining</t>
        </is>
      </c>
    </row>
    <row r="28">
      <c r="B28" s="3" t="inlineStr">
        <is>
          <t>2009-2013</t>
        </is>
      </c>
      <c r="C28" s="11">
        <f>AVERAGE(C8:C12)</f>
        <v/>
      </c>
      <c r="D28" s="11">
        <f>AVERAGE(D8:D12)</f>
        <v/>
      </c>
    </row>
    <row r="29">
      <c r="B29" s="3" t="inlineStr">
        <is>
          <t>2014-2019</t>
        </is>
      </c>
      <c r="C29" s="11">
        <f>AVERAGE(C13:C18)</f>
        <v/>
      </c>
      <c r="D29" s="11">
        <f>AVERAGE(D13:D18)</f>
        <v/>
      </c>
    </row>
    <row r="30">
      <c r="B30" s="3" t="inlineStr">
        <is>
          <t>2020-2024</t>
        </is>
      </c>
      <c r="C30" s="11">
        <f>AVERAGE(C19:C23)</f>
        <v/>
      </c>
      <c r="D30" s="11">
        <f>AVERAGE(D19:D23)</f>
        <v/>
      </c>
    </row>
    <row r="31">
      <c r="B31" s="3" t="inlineStr">
        <is>
          <t>Trend, 2026-35</t>
        </is>
      </c>
      <c r="C31" s="7" t="n">
        <v>0.019</v>
      </c>
      <c r="D31" s="7" t="n">
        <v>0.01</v>
      </c>
    </row>
    <row r="32">
      <c r="B32" s="8" t="inlineStr">
        <is>
          <t>Trend line: BCCh IPoM Mar-2026 structural parameters (total and mining components).</t>
        </is>
      </c>
    </row>
    <row r="34">
      <c r="B34" s="8" t="inlineStr">
        <is>
          <t>Source: Consejo Minero, Updated Mining Figures (June 2025), based on Banco Central de Chile. 2020-2024 national average is distorted by the pandemic collapse and rebound; 2014-2019 is the cleaner read on the underlying pace.</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1F3B63"/>
    <outlinePr summaryBelow="1" summaryRight="1"/>
    <pageSetUpPr/>
  </sheetPr>
  <dimension ref="B2:B34"/>
  <sheetViews>
    <sheetView showGridLines="0" workbookViewId="0">
      <selection activeCell="A1" sqref="A1"/>
    </sheetView>
  </sheetViews>
  <sheetFormatPr baseColWidth="8" defaultRowHeight="15"/>
  <cols>
    <col width="2" customWidth="1" min="1" max="1"/>
  </cols>
  <sheetData>
    <row r="2" ht="26" customHeight="1">
      <c r="B2" s="1" t="inlineStr">
        <is>
          <t>Two decades of capex, no volume growth</t>
        </is>
      </c>
    </row>
    <row r="3">
      <c r="B3" s="2" t="inlineStr">
        <is>
          <t>Real GDP volume index, 2008 = 100. Mining output in 2024 is still below its 2008 level. Data are on the 'Ch2 Realised growth' tab.</t>
        </is>
      </c>
    </row>
    <row r="34">
      <c r="B34" s="8" t="inlineStr">
        <is>
          <t>Total GDP is 51% above its 2008 level in 2024; mining GDP is 3.5% below it. Over the same period annual copper mining investment averaged roughly three times the 1990-2003 pace (US$9.9bn vs US$3.4bn a year in 2023 dollars, Cochilco). This is the maturity result: capital spent to hold output flat against grade decline, not to expand it.</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1F3B63"/>
    <outlinePr summaryBelow="1" summaryRight="1"/>
    <pageSetUpPr/>
  </sheetPr>
  <dimension ref="B2:F32"/>
  <sheetViews>
    <sheetView showGridLines="0" workbookViewId="0">
      <selection activeCell="A1" sqref="A1"/>
    </sheetView>
  </sheetViews>
  <sheetFormatPr baseColWidth="8" defaultRowHeight="15"/>
  <cols>
    <col width="2" customWidth="1" min="1" max="1"/>
    <col width="8" customWidth="1" min="2" max="2"/>
    <col width="12" customWidth="1" min="3" max="3"/>
    <col width="13" customWidth="1" min="4" max="4"/>
    <col width="14" customWidth="1" min="5" max="5"/>
    <col width="14" customWidth="1" min="6" max="6"/>
  </cols>
  <sheetData>
    <row r="2" ht="26" customHeight="1">
      <c r="B2" s="1" t="inlineStr">
        <is>
          <t>Grade decline: more rock for the same copper</t>
        </is>
      </c>
    </row>
    <row r="3">
      <c r="B3" s="2" t="inlineStr">
        <is>
          <t>Average copper head grade, weighted across concentration and leaching lines, vs mine output. Grade has halved since 2002; output has been flat since 2010.</t>
        </is>
      </c>
    </row>
    <row r="6" ht="30" customHeight="1">
      <c r="B6" s="6" t="inlineStr">
        <is>
          <t>Year</t>
        </is>
      </c>
      <c r="C6" s="6" t="inlineStr">
        <is>
          <t>Copper grade
%</t>
        </is>
      </c>
      <c r="D6" s="6" t="inlineStr">
        <is>
          <t>Mine output
kt fine Cu</t>
        </is>
      </c>
      <c r="E6" s="6" t="inlineStr">
        <is>
          <t>Ore per tonne
of fine Cu, t</t>
        </is>
      </c>
      <c r="F6" s="6" t="inlineStr">
        <is>
          <t>Grade,
index 2002=100</t>
        </is>
      </c>
    </row>
    <row r="7">
      <c r="B7" s="3" t="inlineStr">
        <is>
          <t>2002</t>
        </is>
      </c>
      <c r="C7" s="12" t="n">
        <v>0.0113</v>
      </c>
      <c r="E7" s="13">
        <f>1/C7</f>
        <v/>
      </c>
      <c r="F7" s="9">
        <f>C7/$C$7*100</f>
        <v/>
      </c>
    </row>
    <row r="8">
      <c r="B8" s="3" t="inlineStr">
        <is>
          <t>2003</t>
        </is>
      </c>
      <c r="C8" s="12" t="n">
        <v>0.011</v>
      </c>
      <c r="E8" s="13">
        <f>1/C8</f>
        <v/>
      </c>
      <c r="F8" s="9">
        <f>C8/$C$7*100</f>
        <v/>
      </c>
    </row>
    <row r="9">
      <c r="B9" s="3" t="inlineStr">
        <is>
          <t>2004</t>
        </is>
      </c>
      <c r="C9" s="12" t="n">
        <v>0.01</v>
      </c>
      <c r="E9" s="13">
        <f>1/C9</f>
        <v/>
      </c>
      <c r="F9" s="9">
        <f>C9/$C$7*100</f>
        <v/>
      </c>
    </row>
    <row r="10">
      <c r="B10" s="3" t="inlineStr">
        <is>
          <t>2005</t>
        </is>
      </c>
      <c r="C10" s="12" t="n">
        <v>0.009300000000000001</v>
      </c>
      <c r="E10" s="13">
        <f>1/C10</f>
        <v/>
      </c>
      <c r="F10" s="9">
        <f>C10/$C$7*100</f>
        <v/>
      </c>
    </row>
    <row r="11">
      <c r="B11" s="3" t="inlineStr">
        <is>
          <t>2006</t>
        </is>
      </c>
      <c r="C11" s="12" t="n">
        <v>0.009399999999999999</v>
      </c>
      <c r="E11" s="13">
        <f>1/C11</f>
        <v/>
      </c>
      <c r="F11" s="9">
        <f>C11/$C$7*100</f>
        <v/>
      </c>
    </row>
    <row r="12">
      <c r="B12" s="3" t="inlineStr">
        <is>
          <t>2007</t>
        </is>
      </c>
      <c r="C12" s="12" t="n">
        <v>0.008699999999999999</v>
      </c>
      <c r="E12" s="13">
        <f>1/C12</f>
        <v/>
      </c>
      <c r="F12" s="9">
        <f>C12/$C$7*100</f>
        <v/>
      </c>
    </row>
    <row r="13">
      <c r="B13" s="3" t="inlineStr">
        <is>
          <t>2008</t>
        </is>
      </c>
      <c r="C13" s="12" t="n">
        <v>0.0074</v>
      </c>
      <c r="E13" s="13">
        <f>1/C13</f>
        <v/>
      </c>
      <c r="F13" s="9">
        <f>C13/$C$7*100</f>
        <v/>
      </c>
    </row>
    <row r="14">
      <c r="B14" s="3" t="inlineStr">
        <is>
          <t>2009</t>
        </is>
      </c>
      <c r="C14" s="12" t="n">
        <v>0.0076</v>
      </c>
      <c r="E14" s="13">
        <f>1/C14</f>
        <v/>
      </c>
      <c r="F14" s="9">
        <f>C14/$C$7*100</f>
        <v/>
      </c>
    </row>
    <row r="15">
      <c r="B15" s="3" t="inlineStr">
        <is>
          <t>2010</t>
        </is>
      </c>
      <c r="C15" s="12" t="n">
        <v>0.0075</v>
      </c>
      <c r="D15" s="14" t="n">
        <v>5419</v>
      </c>
      <c r="E15" s="13">
        <f>1/C15</f>
        <v/>
      </c>
      <c r="F15" s="9">
        <f>C15/$C$7*100</f>
        <v/>
      </c>
    </row>
    <row r="16">
      <c r="B16" s="3" t="inlineStr">
        <is>
          <t>2011</t>
        </is>
      </c>
      <c r="C16" s="12" t="n">
        <v>0.006999999999999999</v>
      </c>
      <c r="D16" s="14" t="n">
        <v>5263</v>
      </c>
      <c r="E16" s="13">
        <f>1/C16</f>
        <v/>
      </c>
      <c r="F16" s="9">
        <f>C16/$C$7*100</f>
        <v/>
      </c>
    </row>
    <row r="17">
      <c r="B17" s="3" t="inlineStr">
        <is>
          <t>2012</t>
        </is>
      </c>
      <c r="C17" s="12" t="n">
        <v>0.0072</v>
      </c>
      <c r="D17" s="14" t="n">
        <v>5434</v>
      </c>
      <c r="E17" s="13">
        <f>1/C17</f>
        <v/>
      </c>
      <c r="F17" s="9">
        <f>C17/$C$7*100</f>
        <v/>
      </c>
    </row>
    <row r="18">
      <c r="B18" s="3" t="inlineStr">
        <is>
          <t>2013</t>
        </is>
      </c>
      <c r="C18" s="12" t="n">
        <v>0.0071</v>
      </c>
      <c r="D18" s="14" t="n">
        <v>5776</v>
      </c>
      <c r="E18" s="13">
        <f>1/C18</f>
        <v/>
      </c>
      <c r="F18" s="9">
        <f>C18/$C$7*100</f>
        <v/>
      </c>
    </row>
    <row r="19">
      <c r="B19" s="3" t="inlineStr">
        <is>
          <t>2014</t>
        </is>
      </c>
      <c r="C19" s="12" t="n">
        <v>0.0072</v>
      </c>
      <c r="D19" s="14" t="n">
        <v>5750</v>
      </c>
      <c r="E19" s="13">
        <f>1/C19</f>
        <v/>
      </c>
      <c r="F19" s="9">
        <f>C19/$C$7*100</f>
        <v/>
      </c>
    </row>
    <row r="20">
      <c r="B20" s="3" t="inlineStr">
        <is>
          <t>2015</t>
        </is>
      </c>
      <c r="C20" s="12" t="n">
        <v>0.0069</v>
      </c>
      <c r="D20" s="14" t="n">
        <v>5765</v>
      </c>
      <c r="E20" s="13">
        <f>1/C20</f>
        <v/>
      </c>
      <c r="F20" s="9">
        <f>C20/$C$7*100</f>
        <v/>
      </c>
    </row>
    <row r="21">
      <c r="B21" s="3" t="inlineStr">
        <is>
          <t>2016</t>
        </is>
      </c>
      <c r="C21" s="12" t="n">
        <v>0.006500000000000001</v>
      </c>
      <c r="D21" s="14" t="n">
        <v>5545</v>
      </c>
      <c r="E21" s="13">
        <f>1/C21</f>
        <v/>
      </c>
      <c r="F21" s="9">
        <f>C21/$C$7*100</f>
        <v/>
      </c>
    </row>
    <row r="22">
      <c r="B22" s="3" t="inlineStr">
        <is>
          <t>2017</t>
        </is>
      </c>
      <c r="C22" s="12" t="n">
        <v>0.006500000000000001</v>
      </c>
      <c r="D22" s="14" t="n">
        <v>5504</v>
      </c>
      <c r="E22" s="13">
        <f>1/C22</f>
        <v/>
      </c>
      <c r="F22" s="9">
        <f>C22/$C$7*100</f>
        <v/>
      </c>
    </row>
    <row r="23">
      <c r="B23" s="3" t="inlineStr">
        <is>
          <t>2018</t>
        </is>
      </c>
      <c r="C23" s="12" t="n">
        <v>0.0061</v>
      </c>
      <c r="D23" s="14" t="n">
        <v>5831</v>
      </c>
      <c r="E23" s="13">
        <f>1/C23</f>
        <v/>
      </c>
      <c r="F23" s="9">
        <f>C23/$C$7*100</f>
        <v/>
      </c>
    </row>
    <row r="24">
      <c r="B24" s="3" t="inlineStr">
        <is>
          <t>2019</t>
        </is>
      </c>
      <c r="C24" s="12" t="n">
        <v>0.0064</v>
      </c>
      <c r="D24" s="14" t="n">
        <v>5787</v>
      </c>
      <c r="E24" s="13">
        <f>1/C24</f>
        <v/>
      </c>
      <c r="F24" s="9">
        <f>C24/$C$7*100</f>
        <v/>
      </c>
    </row>
    <row r="25">
      <c r="B25" s="3" t="inlineStr">
        <is>
          <t>2020</t>
        </is>
      </c>
      <c r="C25" s="12" t="n">
        <v>0.0064</v>
      </c>
      <c r="D25" s="14" t="n">
        <v>5732</v>
      </c>
      <c r="E25" s="13">
        <f>1/C25</f>
        <v/>
      </c>
      <c r="F25" s="9">
        <f>C25/$C$7*100</f>
        <v/>
      </c>
    </row>
    <row r="26">
      <c r="B26" s="3" t="inlineStr">
        <is>
          <t>2021</t>
        </is>
      </c>
      <c r="C26" s="12" t="n">
        <v>0.0063</v>
      </c>
      <c r="D26" s="14" t="n">
        <v>5624</v>
      </c>
      <c r="E26" s="13">
        <f>1/C26</f>
        <v/>
      </c>
      <c r="F26" s="9">
        <f>C26/$C$7*100</f>
        <v/>
      </c>
    </row>
    <row r="27">
      <c r="B27" s="3" t="inlineStr">
        <is>
          <t>2022</t>
        </is>
      </c>
      <c r="C27" s="12" t="n">
        <v>0.0059</v>
      </c>
      <c r="D27" s="14" t="n">
        <v>5330</v>
      </c>
      <c r="E27" s="13">
        <f>1/C27</f>
        <v/>
      </c>
      <c r="F27" s="9">
        <f>C27/$C$7*100</f>
        <v/>
      </c>
    </row>
    <row r="28">
      <c r="B28" s="3" t="inlineStr">
        <is>
          <t>2023</t>
        </is>
      </c>
      <c r="C28" s="12" t="n">
        <v>0.0058</v>
      </c>
      <c r="D28" s="14" t="n">
        <v>5251</v>
      </c>
      <c r="E28" s="13">
        <f>1/C28</f>
        <v/>
      </c>
      <c r="F28" s="9">
        <f>C28/$C$7*100</f>
        <v/>
      </c>
    </row>
    <row r="29">
      <c r="B29" s="3" t="inlineStr">
        <is>
          <t>2024</t>
        </is>
      </c>
      <c r="D29" s="14" t="n">
        <v>5506</v>
      </c>
    </row>
    <row r="31">
      <c r="B31" s="8" t="inlineStr">
        <is>
          <t>Ore per tonne of fine copper is 1/grade: at 1.13% grade a tonne of fine copper needs 89 tonnes of ore, at 0.58% it needs 172 tonnes. That is the physical driver of rising energy, water, capital and cost intensity, and it is why constant output requires continuous investment.</t>
        </is>
      </c>
    </row>
    <row r="32">
      <c r="B32" s="8" t="inlineStr">
        <is>
          <t>Source: Consejo Minero, Updated Mining Figures (June 2025), from Cochilco. Grade is a weighted average per ore treated in concentration and leaching lines; series ends 2023. Output is Cochilco mine production; annual detail shown from 2010. Cochilco projects national output falling to about 5.43Mt by 2030 on natural grade decay at large-scale operations.</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1F3B63"/>
    <outlinePr summaryBelow="1" summaryRight="1"/>
    <pageSetUpPr/>
  </sheetPr>
  <dimension ref="B2:G32"/>
  <sheetViews>
    <sheetView showGridLines="0" workbookViewId="0">
      <selection activeCell="A1" sqref="A1"/>
    </sheetView>
  </sheetViews>
  <sheetFormatPr baseColWidth="8" defaultRowHeight="15"/>
  <cols>
    <col width="2" customWidth="1" min="1" max="1"/>
    <col width="8" customWidth="1" min="2" max="2"/>
    <col width="15" customWidth="1" min="3" max="3"/>
    <col width="15" customWidth="1" min="4" max="4"/>
    <col width="12" customWidth="1" min="5" max="5"/>
    <col width="12" customWidth="1" min="6" max="6"/>
    <col width="12" customWidth="1" min="7" max="7"/>
  </cols>
  <sheetData>
    <row r="2" ht="26" customHeight="1">
      <c r="B2" s="1" t="inlineStr">
        <is>
          <t>The cost of standing still</t>
        </is>
      </c>
    </row>
    <row r="3">
      <c r="B3" s="2" t="inlineStr">
        <is>
          <t>Capital needed per tonne of new capacity, output per worker, and unit costs. All three say the same thing: the marginal tonne is getting harder.</t>
        </is>
      </c>
    </row>
    <row r="6" ht="30" customHeight="1">
      <c r="B6" s="6" t="inlineStr">
        <is>
          <t>Year</t>
        </is>
      </c>
      <c r="C6" s="6" t="inlineStr">
        <is>
          <t>Capital intensity
US$k per t Cu</t>
        </is>
      </c>
      <c r="D6" s="6" t="inlineStr">
        <is>
          <t>Output per worker
t fine Cu</t>
        </is>
      </c>
      <c r="E6" s="6" t="inlineStr">
        <is>
          <t>Cash cost
cUS$/lb</t>
        </is>
      </c>
      <c r="F6" s="6" t="inlineStr">
        <is>
          <t>Net cost
cUS$/lb</t>
        </is>
      </c>
      <c r="G6" s="6" t="inlineStr">
        <is>
          <t>TFP index
2004=100</t>
        </is>
      </c>
    </row>
    <row r="7">
      <c r="B7" s="3" t="inlineStr">
        <is>
          <t>2002</t>
        </is>
      </c>
      <c r="D7" s="14" t="n">
        <v>46</v>
      </c>
    </row>
    <row r="8">
      <c r="B8" s="3" t="inlineStr">
        <is>
          <t>2003</t>
        </is>
      </c>
      <c r="D8" s="14" t="n">
        <v>49</v>
      </c>
    </row>
    <row r="9">
      <c r="B9" s="3" t="inlineStr">
        <is>
          <t>2004</t>
        </is>
      </c>
      <c r="D9" s="14" t="n">
        <v>48</v>
      </c>
      <c r="G9" s="15" t="n">
        <v>100</v>
      </c>
    </row>
    <row r="10">
      <c r="B10" s="3" t="inlineStr">
        <is>
          <t>2005</t>
        </is>
      </c>
      <c r="D10" s="14" t="n">
        <v>40</v>
      </c>
      <c r="G10" s="15" t="n">
        <v>101</v>
      </c>
    </row>
    <row r="11">
      <c r="B11" s="3" t="inlineStr">
        <is>
          <t>2006</t>
        </is>
      </c>
      <c r="C11" s="15" t="n">
        <v>8.1</v>
      </c>
      <c r="D11" s="14" t="n">
        <v>40</v>
      </c>
      <c r="G11" s="15" t="n">
        <v>91.5</v>
      </c>
    </row>
    <row r="12">
      <c r="B12" s="3" t="inlineStr">
        <is>
          <t>2007</t>
        </is>
      </c>
      <c r="C12" s="15" t="n">
        <v>9</v>
      </c>
      <c r="D12" s="14" t="n">
        <v>36</v>
      </c>
      <c r="G12" s="15" t="n">
        <v>89.2</v>
      </c>
    </row>
    <row r="13">
      <c r="B13" s="3" t="inlineStr">
        <is>
          <t>2008</t>
        </is>
      </c>
      <c r="C13" s="15" t="n">
        <v>10.2</v>
      </c>
      <c r="D13" s="14" t="n">
        <v>32</v>
      </c>
      <c r="G13" s="15" t="n">
        <v>83.09999999999999</v>
      </c>
    </row>
    <row r="14">
      <c r="B14" s="3" t="inlineStr">
        <is>
          <t>2009</t>
        </is>
      </c>
      <c r="C14" s="15" t="n">
        <v>13</v>
      </c>
      <c r="D14" s="14" t="n">
        <v>31</v>
      </c>
      <c r="G14" s="15" t="n">
        <v>73.59999999999999</v>
      </c>
    </row>
    <row r="15">
      <c r="B15" s="3" t="inlineStr">
        <is>
          <t>2010</t>
        </is>
      </c>
      <c r="C15" s="15" t="n">
        <v>11</v>
      </c>
      <c r="D15" s="14" t="n">
        <v>28</v>
      </c>
      <c r="G15" s="15" t="n">
        <v>75.3</v>
      </c>
    </row>
    <row r="16">
      <c r="B16" s="3" t="inlineStr">
        <is>
          <t>2011</t>
        </is>
      </c>
      <c r="C16" s="15" t="n">
        <v>16.6</v>
      </c>
      <c r="D16" s="14" t="n">
        <v>27</v>
      </c>
      <c r="G16" s="15" t="n">
        <v>76.3</v>
      </c>
    </row>
    <row r="17">
      <c r="B17" s="3" t="inlineStr">
        <is>
          <t>2012</t>
        </is>
      </c>
      <c r="C17" s="15" t="n">
        <v>20.5</v>
      </c>
      <c r="D17" s="14" t="n">
        <v>23</v>
      </c>
      <c r="G17" s="15" t="n">
        <v>74.3</v>
      </c>
    </row>
    <row r="18">
      <c r="B18" s="3" t="inlineStr">
        <is>
          <t>2013</t>
        </is>
      </c>
      <c r="C18" s="15" t="n">
        <v>19</v>
      </c>
      <c r="D18" s="14" t="n">
        <v>25</v>
      </c>
      <c r="G18" s="15" t="n">
        <v>74.90000000000001</v>
      </c>
    </row>
    <row r="19">
      <c r="B19" s="3" t="inlineStr">
        <is>
          <t>2014</t>
        </is>
      </c>
      <c r="C19" s="15" t="n">
        <v>16.5</v>
      </c>
      <c r="D19" s="14" t="n">
        <v>23</v>
      </c>
      <c r="G19" s="15" t="n">
        <v>74.90000000000001</v>
      </c>
    </row>
    <row r="20">
      <c r="B20" s="3" t="inlineStr">
        <is>
          <t>2015</t>
        </is>
      </c>
      <c r="C20" s="15" t="n">
        <v>17.7</v>
      </c>
      <c r="D20" s="14" t="n">
        <v>24</v>
      </c>
      <c r="E20" s="14" t="n">
        <v>154</v>
      </c>
      <c r="F20" s="14" t="n">
        <v>226</v>
      </c>
      <c r="G20" s="15" t="n">
        <v>73.8</v>
      </c>
    </row>
    <row r="21">
      <c r="B21" s="3" t="inlineStr">
        <is>
          <t>2016</t>
        </is>
      </c>
      <c r="C21" s="15" t="n">
        <v>19.6</v>
      </c>
      <c r="D21" s="14" t="n">
        <v>25</v>
      </c>
      <c r="E21" s="14" t="n">
        <v>132</v>
      </c>
      <c r="F21" s="14" t="n">
        <v>242</v>
      </c>
      <c r="G21" s="15" t="n">
        <v>71.40000000000001</v>
      </c>
    </row>
    <row r="22">
      <c r="B22" s="3" t="inlineStr">
        <is>
          <t>2017</t>
        </is>
      </c>
      <c r="C22" s="15" t="n">
        <v>16.6</v>
      </c>
      <c r="D22" s="14" t="n">
        <v>25</v>
      </c>
      <c r="E22" s="14" t="n">
        <v>138</v>
      </c>
      <c r="F22" s="14" t="n">
        <v>226</v>
      </c>
      <c r="G22" s="15" t="n">
        <v>73.3</v>
      </c>
    </row>
    <row r="23">
      <c r="B23" s="3" t="inlineStr">
        <is>
          <t>2018</t>
        </is>
      </c>
      <c r="C23" s="15" t="n">
        <v>15.8</v>
      </c>
      <c r="D23" s="14" t="n">
        <v>26</v>
      </c>
      <c r="E23" s="14" t="n">
        <v>137</v>
      </c>
      <c r="F23" s="14" t="n">
        <v>215</v>
      </c>
      <c r="G23" s="15" t="n">
        <v>77.59999999999999</v>
      </c>
    </row>
    <row r="24">
      <c r="B24" s="3" t="inlineStr">
        <is>
          <t>2019</t>
        </is>
      </c>
      <c r="C24" s="15" t="n">
        <v>18.2</v>
      </c>
      <c r="D24" s="14" t="n">
        <v>23</v>
      </c>
      <c r="E24" s="14" t="n">
        <v>135</v>
      </c>
      <c r="F24" s="14" t="n">
        <v>220</v>
      </c>
      <c r="G24" s="15" t="n">
        <v>76.2</v>
      </c>
    </row>
    <row r="25">
      <c r="B25" s="3" t="inlineStr">
        <is>
          <t>2020</t>
        </is>
      </c>
      <c r="C25" s="15" t="n">
        <v>17.3</v>
      </c>
      <c r="D25" s="14" t="n">
        <v>24</v>
      </c>
      <c r="E25" s="14" t="n">
        <v>123</v>
      </c>
      <c r="F25" s="14" t="n">
        <v>222</v>
      </c>
      <c r="G25" s="15" t="n">
        <v>83.7</v>
      </c>
    </row>
    <row r="26">
      <c r="B26" s="3" t="inlineStr">
        <is>
          <t>2021</t>
        </is>
      </c>
      <c r="C26" s="15" t="n">
        <v>16.6</v>
      </c>
      <c r="D26" s="14" t="n">
        <v>20</v>
      </c>
      <c r="E26" s="14" t="n">
        <v>134</v>
      </c>
      <c r="F26" s="14" t="n">
        <v>207</v>
      </c>
      <c r="G26" s="15" t="n">
        <v>72.90000000000001</v>
      </c>
    </row>
    <row r="27">
      <c r="B27" s="3" t="inlineStr">
        <is>
          <t>2022</t>
        </is>
      </c>
      <c r="C27" s="15" t="n">
        <v>16</v>
      </c>
      <c r="D27" s="14" t="n">
        <v>20</v>
      </c>
      <c r="E27" s="14" t="n">
        <v>167</v>
      </c>
      <c r="F27" s="14" t="n">
        <v>266</v>
      </c>
    </row>
    <row r="28">
      <c r="B28" s="3" t="inlineStr">
        <is>
          <t>2023</t>
        </is>
      </c>
      <c r="C28" s="15" t="n">
        <v>15.3</v>
      </c>
      <c r="D28" s="14" t="n">
        <v>19</v>
      </c>
      <c r="E28" s="14" t="n">
        <v>192</v>
      </c>
      <c r="F28" s="14" t="n">
        <v>290</v>
      </c>
    </row>
    <row r="29">
      <c r="B29" s="3" t="inlineStr">
        <is>
          <t>2024</t>
        </is>
      </c>
      <c r="D29" s="14" t="n">
        <v>19</v>
      </c>
      <c r="E29" s="14" t="n">
        <v>185</v>
      </c>
      <c r="F29" s="14" t="n">
        <v>297</v>
      </c>
    </row>
    <row r="31">
      <c r="B31" s="8" t="inlineStr">
        <is>
          <t>Capital intensity is the aggregate investment of each year's project portfolio divided by the annual production capacity of that portfolio. Net cost is cash cost plus depreciation, interest and indirect costs, net of by-product credits. TFP is measured net of workforce, capital and grade effects.</t>
        </is>
      </c>
    </row>
    <row r="32">
      <c r="B32" s="8" t="inlineStr">
        <is>
          <t>Source: Consejo Minero, Updated Mining Figures (June 2025), from Cochilco (Observatorio de Costos) and Plusmining.</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2026-08-14T13:01:21Z</dcterms:created>
  <dcterms:modified xmlns:dcterms="http://purl.org/dc/terms/" xmlns:xsi="http://www.w3.org/2001/XMLSchema-instance" xsi:type="dcterms:W3CDTF">2026-08-14T13:01:21Z</dcterms:modified>
</cp:coreProperties>
</file>