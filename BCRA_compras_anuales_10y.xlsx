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olors9.xml" ContentType="application/vnd.ms-office.chartcolorstyle+xml"/>
  <Override PartName="/xl/charts/chart6.xml" ContentType="application/vnd.openxmlformats-officedocument.drawingml.chart+xml"/>
  <Override PartName="/xl/charts/chart2.xml" ContentType="application/vnd.openxmlformats-officedocument.drawingml.chart+xml"/>
  <Override PartName="/xl/charts/chart8.xml" ContentType="application/vnd.openxmlformats-officedocument.drawingml.chart+xml"/>
  <Override PartName="/xl/charts/colors7.xml" ContentType="application/vnd.ms-office.chartcolorstyle+xml"/>
  <Override PartName="/xl/charts/chart5.xml" ContentType="application/vnd.openxmlformats-officedocument.drawingml.chart+xml"/>
  <Override PartName="/xl/charts/colors2.xml" ContentType="application/vnd.ms-office.chartcolorstyle+xml"/>
  <Override PartName="/xl/charts/style10.xml" ContentType="application/vnd.ms-office.chartstyle+xml"/>
  <Override PartName="/xl/charts/chart3.xml" ContentType="application/vnd.openxmlformats-officedocument.drawingml.chart+xml"/>
  <Override PartName="/xl/charts/colors3.xml" ContentType="application/vnd.ms-office.chartcolorstyle+xml"/>
  <Override PartName="/xl/charts/chart4.xml" ContentType="application/vnd.openxmlformats-officedocument.drawingml.chart+xml"/>
  <Override PartName="/xl/charts/colors10.xml" ContentType="application/vnd.ms-office.chartcolorstyle+xml"/>
  <Override PartName="/xl/charts/colors8.xml" ContentType="application/vnd.ms-office.chartcolorstyle+xml"/>
  <Override PartName="/xl/charts/colors1.xml" ContentType="application/vnd.ms-office.chartcolorstyle+xml"/>
  <Override PartName="/xl/charts/style3.xml" ContentType="application/vnd.ms-office.chartstyle+xml"/>
  <Override PartName="/xl/charts/chart7.xml" ContentType="application/vnd.openxmlformats-officedocument.drawingml.chart+xml"/>
  <Override PartName="/xl/charts/colors4.xml" ContentType="application/vnd.ms-office.chartcolorstyle+xml"/>
  <Override PartName="/xl/charts/chart1.xml" ContentType="application/vnd.openxmlformats-officedocument.drawingml.chart+xml"/>
  <Override PartName="/xl/charts/style9.xml" ContentType="application/vnd.ms-office.chartstyle+xml"/>
  <Override PartName="/xl/charts/style1.xml" ContentType="application/vnd.ms-office.chart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5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harts/style7.xml" ContentType="application/vnd.ms-office.chartstyle+xml"/>
  <Override PartName="/xl/charts/style5.xml" ContentType="application/vnd.ms-office.chartstyle+xml"/>
  <Override PartName="/xl/charts/chart10.xml" ContentType="application/vnd.openxmlformats-officedocument.drawingml.chart+xml"/>
  <Override PartName="/xl/charts/style2.xml" ContentType="application/vnd.ms-office.chartstyle+xml"/>
  <Override PartName="/xl/charts/style4.xml" ContentType="application/vnd.ms-office.chart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Anual" sheetId="1" state="visible" r:id="rId3"/>
    <sheet name="YTD Comparativo" sheetId="2" state="visible" r:id="rId4"/>
    <sheet name="Heatmap Compras" sheetId="3" state="visible" r:id="rId5"/>
    <sheet name="Rolling 12m" sheetId="4" state="visible" r:id="rId6"/>
    <sheet name="Detalle Diario 2026" sheetId="5" state="visible" r:id="rId7"/>
    <sheet name="Streaks" sheetId="6" state="visible" r:id="rId8"/>
    <sheet name="Validación" sheetId="7" state="visible" r:id="rId9"/>
    <sheet name="Reservas Netas" sheetId="8" state="visible" r:id="rId10"/>
    <sheet name="Cobertura Monetaria" sheetId="9" state="visible" r:id="rId11"/>
    <sheet name="Brecha Cambiaria" sheetId="10" state="visible" r:id="rId12"/>
    <sheet name="Stress Test" sheetId="11" state="visible" r:id="rId13"/>
    <sheet name="Cómo usar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<sst xmlns="http://schemas.openxmlformats.org/spreadsheetml/2006/main" count="481" uniqueCount="156">
  <si>
    <t xml:space="preserve">BCRA — Reservas y compras netas en MULC, 2016–2026</t>
  </si>
  <si>
    <t xml:space="preserve">Cifras en USD millones. Aproximaciones de informes públicos. Ver hoja 'Cómo usar'.</t>
  </si>
  <si>
    <t xml:space="preserve">Año</t>
  </si>
  <si>
    <t xml:space="preserve">Reservas Inicio</t>
  </si>
  <si>
    <t xml:space="preserve">Reservas Fin</t>
  </si>
  <si>
    <t xml:space="preserve">Δ Stock</t>
  </si>
  <si>
    <t xml:space="preserve">Compras Netas BCRA (MULC)</t>
  </si>
  <si>
    <t xml:space="preserve">Otros (FMI/valuación)</t>
  </si>
  <si>
    <t xml:space="preserve">Var % Stock</t>
  </si>
  <si>
    <t xml:space="preserve">Compras vs año previo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</si>
  <si>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</si>
  <si>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</si>
  <si>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</si>
  <si>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</si>
  <si>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</si>
  <si>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</si>
  <si>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</si>
  <si>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</si>
  <si>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</si>
  <si>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</si>
  <si>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</si>
  <si>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Compras netas acumuladas (YTD) — comparativo año por año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</si>
  <si>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</si>
  <si>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</si>
  <si>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</si>
  <si>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</si>
  <si>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</si>
  <si>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</si>
  <si>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</si>
  <si>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</si>
  <si>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</si>
  <si>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</si>
  <si>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</si>
  <si>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</si>
  <si>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Heatmap de compras mensuales del BCRA en MULC (USD mm)</t>
  </si>
  <si>
    <t xml:space="preserve">Verde = compras; rojo = ventas. Intensidad por monto. Lee hoja 'Rolling 12m' como fuente.</t>
  </si>
  <si>
    <t xml:space="preserve">Compras mensuales y suma móvil de 12 meses</t>
  </si>
  <si>
    <t xml:space="preserve">Mes</t>
  </si>
  <si>
    <t xml:space="preserve">Compra Neta Mensual</t>
  </si>
  <si>
    <t xml:space="preserve">Rolling 12m</t>
  </si>
  <si>
    <t xml:space="preserve">Detalle diario 2026 — reconstrucción de compras BCRA en MULC</t>
  </si>
  <si>
    <t xml:space="preserve">YTD: 81 ruedas (2-ene a 4-may). Convenciones: azul=ingreso manual; negro=fórmula. USD mm.</t>
  </si>
  <si>
    <t xml:space="preserve">Fecha</t>
  </si>
  <si>
    <t xml:space="preserve">Reservas Brutas</t>
  </si>
  <si>
    <t xml:space="preserve">Δ Reservas</t>
  </si>
  <si>
    <t xml:space="preserve">Pagos Organismos</t>
  </si>
  <si>
    <t xml:space="preserve">Efecto Valuación</t>
  </si>
  <si>
    <t xml:space="preserve">Mov. Encajes</t>
  </si>
  <si>
    <t xml:space="preserve">Op. Tesoro</t>
  </si>
  <si>
    <t xml:space="preserve">Compra BCRA Estimada</t>
  </si>
  <si>
    <t xml:space="preserve">Compra Acumulada</t>
  </si>
  <si>
    <t xml:space="preserve">Días consecutivos con compras del BCRA</t>
  </si>
  <si>
    <t xml:space="preserve">Calcula la racha actual (en curso) y la racha máxima del año a partir del Detalle Diario 2026.</t>
  </si>
  <si>
    <t xml:space="preserve">Compra (USD mm)</t>
  </si>
  <si>
    <t xml:space="preserve">Racha (días con compra)</t>
  </si>
  <si>
    <t xml:space="preserve">Indicador</t>
  </si>
  <si>
    <t xml:space="preserve">Valor</t>
  </si>
  <si>
    <t xml:space="preserve">Racha máxima del año</t>
  </si>
  <si>
    <t xml:space="preserve">Racha actual (al último día)</t>
  </si>
  <si>
    <t xml:space="preserve">Total ruedas con compra positiva</t>
  </si>
  <si>
    <t xml:space="preserve">Total ruedas con venta neta</t>
  </si>
  <si>
    <t xml:space="preserve">Total ruedas neutras</t>
  </si>
  <si>
    <t xml:space="preserve">% ruedas con compra</t>
  </si>
  <si>
    <t xml:space="preserve">Validación: Compra Estimada (mi reconstrucción) vs Compra Real (BCRA)</t>
  </si>
  <si>
    <t xml:space="preserve">La columna 'Real' tira de la hoja 'Datos Reales BCRA' que llena el script update_bcra.py. Si todavía no la corriste, queda vacía y el error se ve como N/A.</t>
  </si>
  <si>
    <t xml:space="preserve">Estimada</t>
  </si>
  <si>
    <t xml:space="preserve">Real (BCRA)</t>
  </si>
  <si>
    <t xml:space="preserve">Error</t>
  </si>
  <si>
    <t xml:space="preserve">Error %</t>
  </si>
  <si>
    <t xml:space="preserve">Estado</t>
  </si>
  <si>
    <t xml:space="preserve">Resumen</t>
  </si>
  <si>
    <t xml:space="preserve">Error medio absoluto (USD mm)</t>
  </si>
  <si>
    <t xml:space="preserve">Días con dato real</t>
  </si>
  <si>
    <t xml:space="preserve">Días sin dato real</t>
  </si>
  <si>
    <t xml:space="preserve">Descomposición de reservas brutas → reservas netas</t>
  </si>
  <si>
    <t xml:space="preserve">Reservas Netas = Brutas − Encajes USD bancos − Swap China − BOPREAL − Repos − Vencimientos FMI &lt; 12m. Edita los componentes (azul) con tus números.</t>
  </si>
  <si>
    <t xml:space="preserve">Brutas</t>
  </si>
  <si>
    <t xml:space="preserve">Encajes USD</t>
  </si>
  <si>
    <t xml:space="preserve">Swap China</t>
  </si>
  <si>
    <t xml:space="preserve">BOPREAL/Repos</t>
  </si>
  <si>
    <t xml:space="preserve">FMI &lt;12m</t>
  </si>
  <si>
    <t xml:space="preserve">Reservas Netas</t>
  </si>
  <si>
    <t xml:space="preserve">Cobertura monetaria: Reservas / Base Monetaria</t>
  </si>
  <si>
    <t xml:space="preserve">Carga la base monetaria (USD equivalente) en columna C. Fuente: BCRA series.xlsm, hoja 'Base Monetaria'. Ratio &gt; 1 = reservas exceden base; &lt; 1 = peso sub-respaldado.</t>
  </si>
  <si>
    <t xml:space="preserve">Base Monetaria (USD eq)</t>
  </si>
  <si>
    <t xml:space="preserve">Cobertura (R/BM)</t>
  </si>
  <si>
    <t xml:space="preserve">Var YoY R/BM</t>
  </si>
  <si>
    <t xml:space="preserve">Brecha cambiaria: oficial vs MEP / CCL</t>
  </si>
  <si>
    <t xml:space="preserve">Cargá los promedios anuales (o cierre) de cada cotización. Brecha = (Paralelo/Oficial - 1).</t>
  </si>
  <si>
    <t xml:space="preserve">Oficial</t>
  </si>
  <si>
    <t xml:space="preserve">MEP</t>
  </si>
  <si>
    <t xml:space="preserve">CCL</t>
  </si>
  <si>
    <t xml:space="preserve">Brecha MEP</t>
  </si>
  <si>
    <t xml:space="preserve">Brecha CCL</t>
  </si>
  <si>
    <t xml:space="preserve">Compras BCRA</t>
  </si>
  <si>
    <t xml:space="preserve">Stress test 2026: ¿llega el BCRA a la meta anual?</t>
  </si>
  <si>
    <t xml:space="preserve">Modelo simple: ritmo actual proyectado al resto del año vs. metas oficiales.</t>
  </si>
  <si>
    <t xml:space="preserve">Parámetros</t>
  </si>
  <si>
    <t xml:space="preserve">Escenarios</t>
  </si>
  <si>
    <t xml:space="preserve">Compras YTD (USD mm)</t>
  </si>
  <si>
    <t xml:space="preserve">Escenario</t>
  </si>
  <si>
    <t xml:space="preserve">Compras año proyectadas</t>
  </si>
  <si>
    <t xml:space="preserve">Días hábiles transcurridos</t>
  </si>
  <si>
    <t xml:space="preserve">Optimista (+30% ritmo)</t>
  </si>
  <si>
    <t xml:space="preserve">Días hábiles restantes (estim.)</t>
  </si>
  <si>
    <t xml:space="preserve">Base (ritmo actual)</t>
  </si>
  <si>
    <t xml:space="preserve">Pagos al FMI restantes 2026 (USD mm)</t>
  </si>
  <si>
    <t xml:space="preserve">Conservador (-20% ritmo)</t>
  </si>
  <si>
    <t xml:space="preserve">Meta base oficial (USD mm)</t>
  </si>
  <si>
    <t xml:space="preserve">Pesimista (-50% ritmo)</t>
  </si>
  <si>
    <t xml:space="preserve">Meta techo oficial (USD mm)</t>
  </si>
  <si>
    <t xml:space="preserve">Proyecciones</t>
  </si>
  <si>
    <t xml:space="preserve">Ritmo diario YTD (USD mm/rueda)</t>
  </si>
  <si>
    <t xml:space="preserve">Compras esperadas resto del año</t>
  </si>
  <si>
    <t xml:space="preserve">Compras totales año proyectado</t>
  </si>
  <si>
    <t xml:space="preserve">% sobre meta base</t>
  </si>
  <si>
    <t xml:space="preserve">% sobre meta techo</t>
  </si>
  <si>
    <t xml:space="preserve">Gap a meta base (USD mm)</t>
  </si>
  <si>
    <t xml:space="preserve">Estado vs meta base</t>
  </si>
  <si>
    <t xml:space="preserve">Guía del archivo</t>
  </si>
  <si>
    <t xml:space="preserve">12 hojas, ordenadas de macro a micro</t>
  </si>
  <si>
    <t xml:space="preserve">1. Resumen Anual — 11 años de stocks y compras netas en MULC.</t>
  </si>
  <si>
    <t xml:space="preserve">2. YTD Comparativo — compras acumuladas mes a mes, año por año.</t>
  </si>
  <si>
    <t xml:space="preserve">3. Heatmap Compras — grilla años × meses con colores. Ojo de un vistazo.</t>
  </si>
  <si>
    <t xml:space="preserve">4. Rolling 12m — suma móvil de 12 meses, tendencia sin efecto fin de año.</t>
  </si>
  <si>
    <t xml:space="preserve">5. Detalle Diario 2026 — 81 ruedas con la reconstrucción día a día.</t>
  </si>
  <si>
    <t xml:space="preserve">6. Streaks — días consecutivos con compras + estadísticas del año.</t>
  </si>
  <si>
    <t xml:space="preserve">7. Validación — compara mi reconstrucción contra el dato real del BCRA (cuando lo cargues).</t>
  </si>
  <si>
    <t xml:space="preserve">8. Reservas Netas — descomposición: Brutas − Encajes − Swap China − BOPREAL − FMI &lt;12m.</t>
  </si>
  <si>
    <t xml:space="preserve">9. Cobertura Monetaria — ratio Reservas / Base Monetaria a lo largo del tiempo.</t>
  </si>
  <si>
    <t xml:space="preserve">10. Brecha Cambiaria — oficial vs MEP/CCL, brecha % por año.</t>
  </si>
  <si>
    <t xml:space="preserve">11. Stress Test — proyección a fin de año vs metas oficiales, con 4 escenarios.</t>
  </si>
  <si>
    <t xml:space="preserve">12. Cómo usar — esta hoja.</t>
  </si>
  <si>
    <t xml:space="preserve">Convenciones de color</t>
  </si>
  <si>
    <t xml:space="preserve">Texto AZUL = celda de ingreso manual.</t>
  </si>
  <si>
    <t xml:space="preserve">Texto NEGRO = fórmula calculada.</t>
  </si>
  <si>
    <t xml:space="preserve">Texto VERDE = vínculo a otra hoja del libro.</t>
  </si>
  <si>
    <t xml:space="preserve">Cómo cargar datos reales del BCRA (script Python)</t>
  </si>
  <si>
    <t xml:space="preserve">Junto a este Excel hay un archivo update_bcra.py. Pasos:</t>
  </si>
  <si>
    <t xml:space="preserve">  1) Asegurate de tener Python 3 + openpyxl (pip install openpyxl).</t>
  </si>
  <si>
    <t xml:space="preserve">  2) Poné el .py y el .xlsx en la misma carpeta.</t>
  </si>
  <si>
    <t xml:space="preserve">  3) Corré: python3 update_bcra.py --inspect (te muestra la estructura del series.xlsm).</t>
  </si>
  <si>
    <t xml:space="preserve">  4) Si la columna H sigue siendo compras/ventas, corré: python3 update_bcra.py</t>
  </si>
  <si>
    <t xml:space="preserve">  5) Se crea/actualiza la hoja 'Datos Reales BCRA' y la hoja 'Validación' empieza a comparar.</t>
  </si>
  <si>
    <t xml:space="preserve">Repetí el paso 4 cada día/semana cuando quieras refrescar.</t>
  </si>
  <si>
    <t xml:space="preserve">Hojas que necesitan datos reales para ser realmente útiles</t>
  </si>
  <si>
    <t xml:space="preserve">• Validación: arranca a comparar cuando exista la hoja 'Datos Reales BCRA'.</t>
  </si>
  <si>
    <t xml:space="preserve">• Cobertura Monetaria: edita la columna C (Base Monetaria USD eq) con datos del BCRA.</t>
  </si>
  <si>
    <t xml:space="preserve">• Reservas Netas: ajustá los componentes (encajes, swap, BOPREAL, FMI) — son aproximaciones.</t>
  </si>
  <si>
    <t xml:space="preserve">• Brecha Cambiaria: las cotizaciones MEP/CCL son aproximaciones; reemplazalas con tus datos.</t>
  </si>
  <si>
    <t xml:space="preserve">• Stress Test: el parámetro 'días hábiles restantes' lo podés ajustar manualmente.</t>
  </si>
  <si>
    <t xml:space="preserve">Reglas de oro</t>
  </si>
  <si>
    <t xml:space="preserve">• La hoja 'Detalle Diario 2026' es Tabla de Excel (tblDiario): agregá filas debajo y todo se actualiza solo.</t>
  </si>
  <si>
    <t xml:space="preserve">• Si un gráfico no se actualiza, click derecho → Refrescar datos.</t>
  </si>
  <si>
    <t xml:space="preserve">• El número clave a vigilar todos los días: la celda I al pie de Detalle Diario 2026 = compras YTD.</t>
  </si>
  <si>
    <t xml:space="preserve">• Stress Test te dice en 1 segundo si el ritmo actual alcanza para llegar a la meta de USD 10.000M.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</si>
</sst>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0.0%;\(0.0%\);\-"/>
    <numFmt numFmtId="167" formatCode="yyyy\-mm\-dd"/>
    <numFmt numFmtId="168" formatCode="0;\(0\);\-"/>
    <numFmt numFmtId="169" formatCode="0.0%"/>
    <numFmt numFmtId="170" formatCode="#,##0.00;\(#,##0.00\);\-"/>
    <numFmt numFmtId="171" formatCode="0.00"/>
    <numFmt numFmtId="172" formatCode="#,##0.00"/>
    <numFmt numFmtId="173" formatCode="#,##0"/>
    <numFmt numFmtId="174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0"/>
      <charset val="1"/>
    </font>
    <font>
      <b val="true"/>
      <sz val="16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A433F"/>
      <rgbColor rgb="FF008000"/>
      <rgbColor rgb="FF000080"/>
      <rgbColor rgb="FFC57371"/>
      <rgbColor rgb="FFB44643"/>
      <rgbColor rgb="FF008080"/>
      <rgbColor rgb="FFBFBFBF"/>
      <rgbColor rgb="FF808080"/>
      <rgbColor rgb="FF9999FF"/>
      <rgbColor rgb="FF9D3E3B"/>
      <rgbColor rgb="FFF9F9F9"/>
      <rgbColor rgb="FFF2F2F2"/>
      <rgbColor rgb="FF660066"/>
      <rgbColor rgb="FFCC8F8E"/>
      <rgbColor rgb="FF0066CC"/>
      <rgbColor rgb="FFD9D9D9"/>
      <rgbColor rgb="FF000080"/>
      <rgbColor rgb="FFFF00FF"/>
      <rgbColor rgb="FFFFFF00"/>
      <rgbColor rgb="FF00FFFF"/>
      <rgbColor rgb="FFBE4B48"/>
      <rgbColor rgb="FF800000"/>
      <rgbColor rgb="FF008080"/>
      <rgbColor rgb="FF0000FF"/>
      <rgbColor rgb="FF00CCFF"/>
      <rgbColor rgb="FFCCFFFF"/>
      <rgbColor rgb="FFE2C8C7"/>
      <rgbColor rgb="FFFFFF99"/>
      <rgbColor rgb="FF99CCFF"/>
      <rgbColor rgb="FFD4A5A4"/>
      <rgbColor rgb="FFDCB7B6"/>
      <rgbColor rgb="FFF4CCCC"/>
      <rgbColor rgb="FF3366FF"/>
      <rgbColor rgb="FF33CCCC"/>
      <rgbColor rgb="FF99CC00"/>
      <rgbColor rgb="FFFFCC00"/>
      <rgbColor rgb="FFFF9900"/>
      <rgbColor rgb="FFC0504D"/>
      <rgbColor rgb="FF4F81BD"/>
      <rgbColor rgb="FF878787"/>
      <rgbColor rgb="FF003366"/>
      <rgbColor rgb="FF339966"/>
      <rgbColor rgb="FF003300"/>
      <rgbColor rgb="FF333300"/>
      <rgbColor rgb="FF823230"/>
      <rgbColor rgb="FF90383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_rels/chart9.xml.rels><?xml version="1.0" encoding="UTF-8"?>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
</Relationships>
</file>

<file path=xl/charts/_rels/chart10.xml.rels><?xml version="1.0" encoding="UTF-8"?>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Compras netas anuales BCRA en MULC (USD 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'Resumen Anual'!E4</c:f>
              <c:strCache>
                <c:ptCount val="1"/>
                <c:pt idx="0">
                  <c:v>Compras Netas BCRA (MULC)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Anual'!$A$5:$A$15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strCache>
            </c:strRef>
          </c:cat>
          <c:val>
            <c:numRef>
              <c:f>'Resumen Anual'!$E$5:$E$15</c:f>
              <c:numCache>
                <c:formatCode>#,##0;\(#,##0\);\-</c:formatCode>
                <c:ptCount val="11"/>
                <c:pt idx="0">
                  <c:v>3400</c:v>
                </c:pt>
                <c:pt idx="1">
                  <c:v>5900</c:v>
                </c:pt>
                <c:pt idx="2">
                  <c:v>-2200</c:v>
                </c:pt>
                <c:pt idx="3">
                  <c:v>-15000</c:v>
                </c:pt>
                <c:pt idx="4">
                  <c:v>200</c:v>
                </c:pt>
                <c:pt idx="5">
                  <c:v>5000</c:v>
                </c:pt>
                <c:pt idx="6">
                  <c:v>5800</c:v>
                </c:pt>
                <c:pt idx="7">
                  <c:v>-1900</c:v>
                </c:pt>
                <c:pt idx="8">
                  <c:v>19000</c:v>
                </c:pt>
                <c:pt idx="9">
                  <c:v>4500</c:v>
                </c:pt>
                <c:pt idx="10">
                  <c:v>6491</c:v>
                </c:pt>
              </c:numCache>
            </c:numRef>
          </c:val>
        </c:ser>
        <c:gapWidth val="150"/>
        <c:overlap val="0"/>
        <c:axId val="12296620"/>
        <c:axId val="71548192"/>
      </c:barChart>
      <c:catAx>
        <c:axId val="122966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548192"/>
        <c:crosses val="autoZero"/>
        <c:auto val="1"/>
        <c:lblAlgn val="ctr"/>
        <c:lblOffset val="100"/>
        <c:noMultiLvlLbl val="0"/>
      </c:catAx>
      <c:valAx>
        <c:axId val="715481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29662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Reservas brutas al cierre de año (USD 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'Resumen Anual'!C4</c:f>
              <c:strCache>
                <c:ptCount val="1"/>
                <c:pt idx="0">
                  <c:v>Reservas Fin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Anual'!$A$5:$A$15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strCache>
            </c:strRef>
          </c:cat>
          <c:val>
            <c:numRef>
              <c:f>'Resumen Anual'!$C$5:$C$15</c:f>
              <c:numCache>
                <c:formatCode>#,##0;\(#,##0\);\-</c:formatCode>
                <c:ptCount val="11"/>
                <c:pt idx="0">
                  <c:v>38800</c:v>
                </c:pt>
                <c:pt idx="1">
                  <c:v>55055</c:v>
                </c:pt>
                <c:pt idx="2">
                  <c:v>65806</c:v>
                </c:pt>
                <c:pt idx="3">
                  <c:v>44848</c:v>
                </c:pt>
                <c:pt idx="4">
                  <c:v>39400</c:v>
                </c:pt>
                <c:pt idx="5">
                  <c:v>39662</c:v>
                </c:pt>
                <c:pt idx="6">
                  <c:v>44538</c:v>
                </c:pt>
                <c:pt idx="7">
                  <c:v>23073</c:v>
                </c:pt>
                <c:pt idx="8">
                  <c:v>29600</c:v>
                </c:pt>
                <c:pt idx="9">
                  <c:v>41100</c:v>
                </c:pt>
                <c:pt idx="10">
                  <c:v>46286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9606490"/>
        <c:axId val="97010800"/>
      </c:lineChart>
      <c:catAx>
        <c:axId val="296064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7010800"/>
        <c:crosses val="autoZero"/>
        <c:auto val="1"/>
        <c:lblAlgn val="ctr"/>
        <c:lblOffset val="100"/>
        <c:noMultiLvlLbl val="0"/>
      </c:catAx>
      <c:valAx>
        <c:axId val="970108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960649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YTD comparativo — compras netas acumuladas (USD 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823230"/>
            </a:solidFill>
            <a:ln w="12600">
              <a:solidFill>
                <a:srgbClr val="82323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'YTD Comparativo'!$B$4:$M$4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'YTD Comparativo'!$B$5:$M$5</c:f>
              <c:numCache>
                <c:formatCode>#,##0;\(#,##0\);\-</c:formatCode>
                <c:ptCount val="12"/>
                <c:pt idx="0">
                  <c:v>170</c:v>
                </c:pt>
                <c:pt idx="1">
                  <c:v>374</c:v>
                </c:pt>
                <c:pt idx="2">
                  <c:v>714</c:v>
                </c:pt>
                <c:pt idx="3">
                  <c:v>1156</c:v>
                </c:pt>
                <c:pt idx="4">
                  <c:v>1598</c:v>
                </c:pt>
                <c:pt idx="5">
                  <c:v>2006</c:v>
                </c:pt>
                <c:pt idx="6">
                  <c:v>2380</c:v>
                </c:pt>
                <c:pt idx="7">
                  <c:v>2686</c:v>
                </c:pt>
                <c:pt idx="8">
                  <c:v>2958</c:v>
                </c:pt>
                <c:pt idx="9">
                  <c:v>3162</c:v>
                </c:pt>
                <c:pt idx="10">
                  <c:v>3298</c:v>
                </c:pt>
                <c:pt idx="11">
                  <c:v>3400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903836"/>
            </a:solidFill>
            <a:ln w="12600">
              <a:solidFill>
                <a:srgbClr val="90383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'YTD Comparativo'!$B$4:$M$4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'YTD Comparativo'!$B$6:$M$6</c:f>
              <c:numCache>
                <c:formatCode>#,##0;\(#,##0\);\-</c:formatCode>
                <c:ptCount val="12"/>
                <c:pt idx="0">
                  <c:v>295</c:v>
                </c:pt>
                <c:pt idx="1">
                  <c:v>649</c:v>
                </c:pt>
                <c:pt idx="2">
                  <c:v>1239</c:v>
                </c:pt>
                <c:pt idx="3">
                  <c:v>2006</c:v>
                </c:pt>
                <c:pt idx="4">
                  <c:v>2773</c:v>
                </c:pt>
                <c:pt idx="5">
                  <c:v>3481</c:v>
                </c:pt>
                <c:pt idx="6">
                  <c:v>4130</c:v>
                </c:pt>
                <c:pt idx="7">
                  <c:v>4661</c:v>
                </c:pt>
                <c:pt idx="8">
                  <c:v>5133</c:v>
                </c:pt>
                <c:pt idx="9">
                  <c:v>5487</c:v>
                </c:pt>
                <c:pt idx="10">
                  <c:v>5723</c:v>
                </c:pt>
                <c:pt idx="11">
                  <c:v>5900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9D3E3B"/>
            </a:solidFill>
            <a:ln w="12600">
              <a:solidFill>
                <a:srgbClr val="9D3E3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'YTD Comparativo'!$B$4:$M$4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'YTD Comparativo'!$B$7:$M$7</c:f>
              <c:numCache>
                <c:formatCode>#,##0;\(#,##0\);\-</c:formatCode>
                <c:ptCount val="12"/>
                <c:pt idx="0">
                  <c:v>-110</c:v>
                </c:pt>
                <c:pt idx="1">
                  <c:v>-242</c:v>
                </c:pt>
                <c:pt idx="2">
                  <c:v>-462</c:v>
                </c:pt>
                <c:pt idx="3">
                  <c:v>-748</c:v>
                </c:pt>
                <c:pt idx="4">
                  <c:v>-1034</c:v>
                </c:pt>
                <c:pt idx="5">
                  <c:v>-1298</c:v>
                </c:pt>
                <c:pt idx="6">
                  <c:v>-1540</c:v>
                </c:pt>
                <c:pt idx="7">
                  <c:v>-1738</c:v>
                </c:pt>
                <c:pt idx="8">
                  <c:v>-1914</c:v>
                </c:pt>
                <c:pt idx="9">
                  <c:v>-2046</c:v>
                </c:pt>
                <c:pt idx="10">
                  <c:v>-2134</c:v>
                </c:pt>
                <c:pt idx="11">
                  <c:v>-2200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AA433F"/>
            </a:solidFill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'YTD Comparativo'!$B$4:$M$4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'YTD Comparativo'!$B$8:$M$8</c:f>
              <c:numCache>
                <c:formatCode>#,##0;\(#,##0\);\-</c:formatCode>
                <c:ptCount val="12"/>
                <c:pt idx="0">
                  <c:v>-750</c:v>
                </c:pt>
                <c:pt idx="1">
                  <c:v>-1650</c:v>
                </c:pt>
                <c:pt idx="2">
                  <c:v>-3150</c:v>
                </c:pt>
                <c:pt idx="3">
                  <c:v>-5100</c:v>
                </c:pt>
                <c:pt idx="4">
                  <c:v>-7050</c:v>
                </c:pt>
                <c:pt idx="5">
                  <c:v>-8850</c:v>
                </c:pt>
                <c:pt idx="6">
                  <c:v>-10500</c:v>
                </c:pt>
                <c:pt idx="7">
                  <c:v>-11850</c:v>
                </c:pt>
                <c:pt idx="8">
                  <c:v>-13050</c:v>
                </c:pt>
                <c:pt idx="9">
                  <c:v>-13950</c:v>
                </c:pt>
                <c:pt idx="10">
                  <c:v>-14550</c:v>
                </c:pt>
                <c:pt idx="11">
                  <c:v>-15000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B44643"/>
            </a:solidFill>
            <a:ln w="12600">
              <a:solidFill>
                <a:srgbClr val="B4464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'YTD Comparativo'!$B$4:$M$4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'YTD Comparativo'!$B$9:$M$9</c:f>
              <c:numCache>
                <c:formatCode>#,##0;\(#,##0\);\-</c:formatCode>
                <c:ptCount val="12"/>
                <c:pt idx="0">
                  <c:v>10</c:v>
                </c:pt>
                <c:pt idx="1">
                  <c:v>22</c:v>
                </c:pt>
                <c:pt idx="2">
                  <c:v>42</c:v>
                </c:pt>
                <c:pt idx="3">
                  <c:v>68</c:v>
                </c:pt>
                <c:pt idx="4">
                  <c:v>94</c:v>
                </c:pt>
                <c:pt idx="5">
                  <c:v>118</c:v>
                </c:pt>
                <c:pt idx="6">
                  <c:v>140</c:v>
                </c:pt>
                <c:pt idx="7">
                  <c:v>158</c:v>
                </c:pt>
                <c:pt idx="8">
                  <c:v>174</c:v>
                </c:pt>
                <c:pt idx="9">
                  <c:v>186</c:v>
                </c:pt>
                <c:pt idx="10">
                  <c:v>194</c:v>
                </c:pt>
                <c:pt idx="11">
                  <c:v>200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'YTD Comparativo'!$B$4:$M$4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'YTD Comparativo'!$B$10:$M$10</c:f>
              <c:numCache>
                <c:formatCode>#,##0;\(#,##0\);\-</c:formatCode>
                <c:ptCount val="12"/>
                <c:pt idx="0">
                  <c:v>250</c:v>
                </c:pt>
                <c:pt idx="1">
                  <c:v>550</c:v>
                </c:pt>
                <c:pt idx="2">
                  <c:v>1050</c:v>
                </c:pt>
                <c:pt idx="3">
                  <c:v>1700</c:v>
                </c:pt>
                <c:pt idx="4">
                  <c:v>2350</c:v>
                </c:pt>
                <c:pt idx="5">
                  <c:v>2950</c:v>
                </c:pt>
                <c:pt idx="6">
                  <c:v>3500</c:v>
                </c:pt>
                <c:pt idx="7">
                  <c:v>3950</c:v>
                </c:pt>
                <c:pt idx="8">
                  <c:v>4350</c:v>
                </c:pt>
                <c:pt idx="9">
                  <c:v>4650</c:v>
                </c:pt>
                <c:pt idx="10">
                  <c:v>4850</c:v>
                </c:pt>
                <c:pt idx="11">
                  <c:v>5000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C57371"/>
            </a:solidFill>
            <a:ln w="12600">
              <a:solidFill>
                <a:srgbClr val="C5737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'YTD Comparativo'!$B$4:$M$4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'YTD Comparativo'!$B$11:$M$11</c:f>
              <c:numCache>
                <c:formatCode>#,##0;\(#,##0\);\-</c:formatCode>
                <c:ptCount val="12"/>
                <c:pt idx="0">
                  <c:v>290</c:v>
                </c:pt>
                <c:pt idx="1">
                  <c:v>638</c:v>
                </c:pt>
                <c:pt idx="2">
                  <c:v>1218</c:v>
                </c:pt>
                <c:pt idx="3">
                  <c:v>1972</c:v>
                </c:pt>
                <c:pt idx="4">
                  <c:v>2726</c:v>
                </c:pt>
                <c:pt idx="5">
                  <c:v>3422</c:v>
                </c:pt>
                <c:pt idx="6">
                  <c:v>4060</c:v>
                </c:pt>
                <c:pt idx="7">
                  <c:v>4582</c:v>
                </c:pt>
                <c:pt idx="8">
                  <c:v>5046</c:v>
                </c:pt>
                <c:pt idx="9">
                  <c:v>5394</c:v>
                </c:pt>
                <c:pt idx="10">
                  <c:v>5626</c:v>
                </c:pt>
                <c:pt idx="11">
                  <c:v>5800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CC8F8E"/>
            </a:solidFill>
            <a:ln w="1260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'YTD Comparativo'!$B$4:$M$4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'YTD Comparativo'!$B$12:$M$12</c:f>
              <c:numCache>
                <c:formatCode>#,##0;\(#,##0\);\-</c:formatCode>
                <c:ptCount val="12"/>
                <c:pt idx="0">
                  <c:v>-95</c:v>
                </c:pt>
                <c:pt idx="1">
                  <c:v>-209</c:v>
                </c:pt>
                <c:pt idx="2">
                  <c:v>-399</c:v>
                </c:pt>
                <c:pt idx="3">
                  <c:v>-646</c:v>
                </c:pt>
                <c:pt idx="4">
                  <c:v>-893</c:v>
                </c:pt>
                <c:pt idx="5">
                  <c:v>-1121</c:v>
                </c:pt>
                <c:pt idx="6">
                  <c:v>-1330</c:v>
                </c:pt>
                <c:pt idx="7">
                  <c:v>-1501</c:v>
                </c:pt>
                <c:pt idx="8">
                  <c:v>-1653</c:v>
                </c:pt>
                <c:pt idx="9">
                  <c:v>-1767</c:v>
                </c:pt>
                <c:pt idx="10">
                  <c:v>-1843</c:v>
                </c:pt>
                <c:pt idx="11">
                  <c:v>-1900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D4A5A4"/>
            </a:solidFill>
            <a:ln w="12600">
              <a:solidFill>
                <a:srgbClr val="D4A5A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'YTD Comparativo'!$B$4:$M$4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'YTD Comparativo'!$B$13:$M$13</c:f>
              <c:numCache>
                <c:formatCode>#,##0;\(#,##0\);\-</c:formatCode>
                <c:ptCount val="12"/>
                <c:pt idx="0">
                  <c:v>950</c:v>
                </c:pt>
                <c:pt idx="1">
                  <c:v>2090</c:v>
                </c:pt>
                <c:pt idx="2">
                  <c:v>3990</c:v>
                </c:pt>
                <c:pt idx="3">
                  <c:v>6460</c:v>
                </c:pt>
                <c:pt idx="4">
                  <c:v>8930</c:v>
                </c:pt>
                <c:pt idx="5">
                  <c:v>11210</c:v>
                </c:pt>
                <c:pt idx="6">
                  <c:v>13300</c:v>
                </c:pt>
                <c:pt idx="7">
                  <c:v>15010</c:v>
                </c:pt>
                <c:pt idx="8">
                  <c:v>16530</c:v>
                </c:pt>
                <c:pt idx="9">
                  <c:v>17670</c:v>
                </c:pt>
                <c:pt idx="10">
                  <c:v>18430</c:v>
                </c:pt>
                <c:pt idx="11">
                  <c:v>19000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DCB7B6"/>
            </a:solidFill>
            <a:ln w="12600">
              <a:solidFill>
                <a:srgbClr val="DCB7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'YTD Comparativo'!$B$4:$M$4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'YTD Comparativo'!$B$14:$M$14</c:f>
              <c:numCache>
                <c:formatCode>#,##0;\(#,##0\);\-</c:formatCode>
                <c:ptCount val="12"/>
                <c:pt idx="0">
                  <c:v>225</c:v>
                </c:pt>
                <c:pt idx="1">
                  <c:v>495</c:v>
                </c:pt>
                <c:pt idx="2">
                  <c:v>945</c:v>
                </c:pt>
                <c:pt idx="3">
                  <c:v>1530</c:v>
                </c:pt>
                <c:pt idx="4">
                  <c:v>2115</c:v>
                </c:pt>
                <c:pt idx="5">
                  <c:v>2655</c:v>
                </c:pt>
                <c:pt idx="6">
                  <c:v>3150</c:v>
                </c:pt>
                <c:pt idx="7">
                  <c:v>3555</c:v>
                </c:pt>
                <c:pt idx="8">
                  <c:v>3915</c:v>
                </c:pt>
                <c:pt idx="9">
                  <c:v>4185</c:v>
                </c:pt>
                <c:pt idx="10">
                  <c:v>4365</c:v>
                </c:pt>
                <c:pt idx="11">
                  <c:v>4500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E2C8C7"/>
            </a:solidFill>
            <a:ln w="12600">
              <a:solidFill>
                <a:srgbClr val="E2C8C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'YTD Comparativo'!$B$4:$M$4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'YTD Comparativo'!$B$15:$M$15</c:f>
              <c:numCache>
                <c:formatCode>#,##0;\(#,##0\);\-</c:formatCode>
                <c:ptCount val="12"/>
                <c:pt idx="0">
                  <c:v>1400</c:v>
                </c:pt>
                <c:pt idx="1">
                  <c:v>3200</c:v>
                </c:pt>
                <c:pt idx="2">
                  <c:v>4900</c:v>
                </c:pt>
                <c:pt idx="3">
                  <c:v>6500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808780"/>
        <c:axId val="59218494"/>
      </c:lineChart>
      <c:catAx>
        <c:axId val="88087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218494"/>
        <c:crosses val="autoZero"/>
        <c:auto val="1"/>
        <c:lblAlgn val="ctr"/>
        <c:lblOffset val="100"/>
        <c:noMultiLvlLbl val="0"/>
      </c:catAx>
      <c:valAx>
        <c:axId val="592184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0878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Compras BCRA — suma móvil 12 meses (USD 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'Rolling 12m'!D4</c:f>
              <c:strCache>
                <c:ptCount val="1"/>
                <c:pt idx="0">
                  <c:v>Rolling 12m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'Rolling 12m'!$B$5:$B$128</c:f>
              <c:strCache>
                <c:ptCount val="124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  <c:pt idx="12">
                  <c:v>Ene</c:v>
                </c:pt>
                <c:pt idx="13">
                  <c:v>Feb</c:v>
                </c:pt>
                <c:pt idx="14">
                  <c:v>Mar</c:v>
                </c:pt>
                <c:pt idx="15">
                  <c:v>Abr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Ago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Dic</c:v>
                </c:pt>
                <c:pt idx="24">
                  <c:v>Ene</c:v>
                </c:pt>
                <c:pt idx="25">
                  <c:v>Feb</c:v>
                </c:pt>
                <c:pt idx="26">
                  <c:v>Mar</c:v>
                </c:pt>
                <c:pt idx="27">
                  <c:v>Abr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Ago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Dic</c:v>
                </c:pt>
                <c:pt idx="36">
                  <c:v>Ene</c:v>
                </c:pt>
                <c:pt idx="37">
                  <c:v>Feb</c:v>
                </c:pt>
                <c:pt idx="38">
                  <c:v>Mar</c:v>
                </c:pt>
                <c:pt idx="39">
                  <c:v>Abr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Ago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Dic</c:v>
                </c:pt>
                <c:pt idx="48">
                  <c:v>Ene</c:v>
                </c:pt>
                <c:pt idx="49">
                  <c:v>Feb</c:v>
                </c:pt>
                <c:pt idx="50">
                  <c:v>Mar</c:v>
                </c:pt>
                <c:pt idx="51">
                  <c:v>Abr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Ago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Dic</c:v>
                </c:pt>
                <c:pt idx="60">
                  <c:v>Ene</c:v>
                </c:pt>
                <c:pt idx="61">
                  <c:v>Feb</c:v>
                </c:pt>
                <c:pt idx="62">
                  <c:v>Mar</c:v>
                </c:pt>
                <c:pt idx="63">
                  <c:v>Abr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Ago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Dic</c:v>
                </c:pt>
                <c:pt idx="72">
                  <c:v>Ene</c:v>
                </c:pt>
                <c:pt idx="73">
                  <c:v>Feb</c:v>
                </c:pt>
                <c:pt idx="74">
                  <c:v>Mar</c:v>
                </c:pt>
                <c:pt idx="75">
                  <c:v>Abr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Ago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Dic</c:v>
                </c:pt>
                <c:pt idx="84">
                  <c:v>Ene</c:v>
                </c:pt>
                <c:pt idx="85">
                  <c:v>Feb</c:v>
                </c:pt>
                <c:pt idx="86">
                  <c:v>Mar</c:v>
                </c:pt>
                <c:pt idx="87">
                  <c:v>Abr</c:v>
                </c:pt>
                <c:pt idx="88">
                  <c:v>May</c:v>
                </c:pt>
                <c:pt idx="89">
                  <c:v>Jun</c:v>
                </c:pt>
                <c:pt idx="90">
                  <c:v>Jul</c:v>
                </c:pt>
                <c:pt idx="91">
                  <c:v>Ago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Dic</c:v>
                </c:pt>
                <c:pt idx="96">
                  <c:v>Ene</c:v>
                </c:pt>
                <c:pt idx="97">
                  <c:v>Feb</c:v>
                </c:pt>
                <c:pt idx="98">
                  <c:v>Mar</c:v>
                </c:pt>
                <c:pt idx="99">
                  <c:v>Abr</c:v>
                </c:pt>
                <c:pt idx="100">
                  <c:v>May</c:v>
                </c:pt>
                <c:pt idx="101">
                  <c:v>Jun</c:v>
                </c:pt>
                <c:pt idx="102">
                  <c:v>Jul</c:v>
                </c:pt>
                <c:pt idx="103">
                  <c:v>Ago</c:v>
                </c:pt>
                <c:pt idx="104">
                  <c:v>Sep</c:v>
                </c:pt>
                <c:pt idx="105">
                  <c:v>Oct</c:v>
                </c:pt>
                <c:pt idx="106">
                  <c:v>Nov</c:v>
                </c:pt>
                <c:pt idx="107">
                  <c:v>Dic</c:v>
                </c:pt>
                <c:pt idx="108">
                  <c:v>Ene</c:v>
                </c:pt>
                <c:pt idx="109">
                  <c:v>Feb</c:v>
                </c:pt>
                <c:pt idx="110">
                  <c:v>Mar</c:v>
                </c:pt>
                <c:pt idx="111">
                  <c:v>Abr</c:v>
                </c:pt>
                <c:pt idx="112">
                  <c:v>May</c:v>
                </c:pt>
                <c:pt idx="113">
                  <c:v>Jun</c:v>
                </c:pt>
                <c:pt idx="114">
                  <c:v>Jul</c:v>
                </c:pt>
                <c:pt idx="115">
                  <c:v>Ago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Dic</c:v>
                </c:pt>
                <c:pt idx="120">
                  <c:v>Ene</c:v>
                </c:pt>
                <c:pt idx="121">
                  <c:v>Feb</c:v>
                </c:pt>
                <c:pt idx="122">
                  <c:v>Mar</c:v>
                </c:pt>
                <c:pt idx="123">
                  <c:v>Abr</c:v>
                </c:pt>
              </c:strCache>
            </c:strRef>
          </c:cat>
          <c:val>
            <c:numRef>
              <c:f>'Rolling 12m'!$D$5:$D$128</c:f>
              <c:numCache>
                <c:formatCode>#,##0;\(#,##0\);\-</c:formatCode>
                <c:ptCount val="124"/>
                <c:pt idx="11">
                  <c:v>3400</c:v>
                </c:pt>
                <c:pt idx="12">
                  <c:v>3525</c:v>
                </c:pt>
                <c:pt idx="13">
                  <c:v>3675</c:v>
                </c:pt>
                <c:pt idx="14">
                  <c:v>3925</c:v>
                </c:pt>
                <c:pt idx="15">
                  <c:v>4250</c:v>
                </c:pt>
                <c:pt idx="16">
                  <c:v>4575</c:v>
                </c:pt>
                <c:pt idx="17">
                  <c:v>4875</c:v>
                </c:pt>
                <c:pt idx="18">
                  <c:v>5150</c:v>
                </c:pt>
                <c:pt idx="19">
                  <c:v>5375</c:v>
                </c:pt>
                <c:pt idx="20">
                  <c:v>5575</c:v>
                </c:pt>
                <c:pt idx="21">
                  <c:v>5725</c:v>
                </c:pt>
                <c:pt idx="22">
                  <c:v>5825</c:v>
                </c:pt>
                <c:pt idx="23">
                  <c:v>5900</c:v>
                </c:pt>
                <c:pt idx="24">
                  <c:v>5495</c:v>
                </c:pt>
                <c:pt idx="25">
                  <c:v>5009</c:v>
                </c:pt>
                <c:pt idx="26">
                  <c:v>4199</c:v>
                </c:pt>
                <c:pt idx="27">
                  <c:v>3146</c:v>
                </c:pt>
                <c:pt idx="28">
                  <c:v>2093</c:v>
                </c:pt>
                <c:pt idx="29">
                  <c:v>1121</c:v>
                </c:pt>
                <c:pt idx="30">
                  <c:v>230</c:v>
                </c:pt>
                <c:pt idx="31">
                  <c:v>-499</c:v>
                </c:pt>
                <c:pt idx="32">
                  <c:v>-1147</c:v>
                </c:pt>
                <c:pt idx="33">
                  <c:v>-1633</c:v>
                </c:pt>
                <c:pt idx="34">
                  <c:v>-1957</c:v>
                </c:pt>
                <c:pt idx="35">
                  <c:v>-2200</c:v>
                </c:pt>
                <c:pt idx="36">
                  <c:v>-2840</c:v>
                </c:pt>
                <c:pt idx="37">
                  <c:v>-3608</c:v>
                </c:pt>
                <c:pt idx="38">
                  <c:v>-4888</c:v>
                </c:pt>
                <c:pt idx="39">
                  <c:v>-6552</c:v>
                </c:pt>
                <c:pt idx="40">
                  <c:v>-8216</c:v>
                </c:pt>
                <c:pt idx="41">
                  <c:v>-9752</c:v>
                </c:pt>
                <c:pt idx="42">
                  <c:v>-11160</c:v>
                </c:pt>
                <c:pt idx="43">
                  <c:v>-12312</c:v>
                </c:pt>
                <c:pt idx="44">
                  <c:v>-13336</c:v>
                </c:pt>
                <c:pt idx="45">
                  <c:v>-14104</c:v>
                </c:pt>
                <c:pt idx="46">
                  <c:v>-14616</c:v>
                </c:pt>
                <c:pt idx="47">
                  <c:v>-15000</c:v>
                </c:pt>
                <c:pt idx="48">
                  <c:v>-14240</c:v>
                </c:pt>
                <c:pt idx="49">
                  <c:v>-13328</c:v>
                </c:pt>
                <c:pt idx="50">
                  <c:v>-11808</c:v>
                </c:pt>
                <c:pt idx="51">
                  <c:v>-9832</c:v>
                </c:pt>
                <c:pt idx="52">
                  <c:v>-7856</c:v>
                </c:pt>
                <c:pt idx="53">
                  <c:v>-6032</c:v>
                </c:pt>
                <c:pt idx="54">
                  <c:v>-4360</c:v>
                </c:pt>
                <c:pt idx="55">
                  <c:v>-2992</c:v>
                </c:pt>
                <c:pt idx="56">
                  <c:v>-1776</c:v>
                </c:pt>
                <c:pt idx="57">
                  <c:v>-864</c:v>
                </c:pt>
                <c:pt idx="58">
                  <c:v>-256</c:v>
                </c:pt>
                <c:pt idx="59">
                  <c:v>200</c:v>
                </c:pt>
                <c:pt idx="60">
                  <c:v>440</c:v>
                </c:pt>
                <c:pt idx="61">
                  <c:v>728</c:v>
                </c:pt>
                <c:pt idx="62">
                  <c:v>1208</c:v>
                </c:pt>
                <c:pt idx="63">
                  <c:v>1832</c:v>
                </c:pt>
                <c:pt idx="64">
                  <c:v>2456</c:v>
                </c:pt>
                <c:pt idx="65">
                  <c:v>3032</c:v>
                </c:pt>
                <c:pt idx="66">
                  <c:v>3560</c:v>
                </c:pt>
                <c:pt idx="67">
                  <c:v>3992</c:v>
                </c:pt>
                <c:pt idx="68">
                  <c:v>4376</c:v>
                </c:pt>
                <c:pt idx="69">
                  <c:v>4664</c:v>
                </c:pt>
                <c:pt idx="70">
                  <c:v>4856</c:v>
                </c:pt>
                <c:pt idx="71">
                  <c:v>5000</c:v>
                </c:pt>
                <c:pt idx="72">
                  <c:v>5040</c:v>
                </c:pt>
                <c:pt idx="73">
                  <c:v>5088</c:v>
                </c:pt>
                <c:pt idx="74">
                  <c:v>5168</c:v>
                </c:pt>
                <c:pt idx="75">
                  <c:v>5272</c:v>
                </c:pt>
                <c:pt idx="76">
                  <c:v>5376</c:v>
                </c:pt>
                <c:pt idx="77">
                  <c:v>5472</c:v>
                </c:pt>
                <c:pt idx="78">
                  <c:v>5560</c:v>
                </c:pt>
                <c:pt idx="79">
                  <c:v>5632</c:v>
                </c:pt>
                <c:pt idx="80">
                  <c:v>5696</c:v>
                </c:pt>
                <c:pt idx="81">
                  <c:v>5744</c:v>
                </c:pt>
                <c:pt idx="82">
                  <c:v>5776</c:v>
                </c:pt>
                <c:pt idx="83">
                  <c:v>5800</c:v>
                </c:pt>
                <c:pt idx="84">
                  <c:v>5415</c:v>
                </c:pt>
                <c:pt idx="85">
                  <c:v>4953</c:v>
                </c:pt>
                <c:pt idx="86">
                  <c:v>4183</c:v>
                </c:pt>
                <c:pt idx="87">
                  <c:v>3182</c:v>
                </c:pt>
                <c:pt idx="88">
                  <c:v>2181</c:v>
                </c:pt>
                <c:pt idx="89">
                  <c:v>1257</c:v>
                </c:pt>
                <c:pt idx="90">
                  <c:v>410</c:v>
                </c:pt>
                <c:pt idx="91">
                  <c:v>-283</c:v>
                </c:pt>
                <c:pt idx="92">
                  <c:v>-899</c:v>
                </c:pt>
                <c:pt idx="93">
                  <c:v>-1361</c:v>
                </c:pt>
                <c:pt idx="94">
                  <c:v>-1669</c:v>
                </c:pt>
                <c:pt idx="95">
                  <c:v>-1900</c:v>
                </c:pt>
                <c:pt idx="96">
                  <c:v>-855</c:v>
                </c:pt>
                <c:pt idx="97">
                  <c:v>399</c:v>
                </c:pt>
                <c:pt idx="98">
                  <c:v>2489</c:v>
                </c:pt>
                <c:pt idx="99">
                  <c:v>5206</c:v>
                </c:pt>
                <c:pt idx="100">
                  <c:v>7923</c:v>
                </c:pt>
                <c:pt idx="101">
                  <c:v>10431</c:v>
                </c:pt>
                <c:pt idx="102">
                  <c:v>12730</c:v>
                </c:pt>
                <c:pt idx="103">
                  <c:v>14611</c:v>
                </c:pt>
                <c:pt idx="104">
                  <c:v>16283</c:v>
                </c:pt>
                <c:pt idx="105">
                  <c:v>17537</c:v>
                </c:pt>
                <c:pt idx="106">
                  <c:v>18373</c:v>
                </c:pt>
                <c:pt idx="107">
                  <c:v>19000</c:v>
                </c:pt>
                <c:pt idx="108">
                  <c:v>18275</c:v>
                </c:pt>
                <c:pt idx="109">
                  <c:v>17405</c:v>
                </c:pt>
                <c:pt idx="110">
                  <c:v>15955</c:v>
                </c:pt>
                <c:pt idx="111">
                  <c:v>14070</c:v>
                </c:pt>
                <c:pt idx="112">
                  <c:v>12185</c:v>
                </c:pt>
                <c:pt idx="113">
                  <c:v>10445</c:v>
                </c:pt>
                <c:pt idx="114">
                  <c:v>8850</c:v>
                </c:pt>
                <c:pt idx="115">
                  <c:v>7545</c:v>
                </c:pt>
                <c:pt idx="116">
                  <c:v>6385</c:v>
                </c:pt>
                <c:pt idx="117">
                  <c:v>5515</c:v>
                </c:pt>
                <c:pt idx="118">
                  <c:v>4935</c:v>
                </c:pt>
                <c:pt idx="119">
                  <c:v>4500</c:v>
                </c:pt>
                <c:pt idx="120">
                  <c:v>5675</c:v>
                </c:pt>
                <c:pt idx="121">
                  <c:v>7205</c:v>
                </c:pt>
                <c:pt idx="122">
                  <c:v>8455</c:v>
                </c:pt>
                <c:pt idx="123">
                  <c:v>9470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2683964"/>
        <c:axId val="1229697"/>
      </c:lineChart>
      <c:catAx>
        <c:axId val="526839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29697"/>
        <c:crosses val="autoZero"/>
        <c:auto val="1"/>
        <c:lblAlgn val="ctr"/>
        <c:lblOffset val="100"/>
        <c:noMultiLvlLbl val="0"/>
      </c:catAx>
      <c:valAx>
        <c:axId val="12296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68396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Compra estimada diaria (USD 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'Detalle Diario 2026'!H4</c:f>
              <c:strCache>
                <c:ptCount val="1"/>
                <c:pt idx="0">
                  <c:v>Compra BCRA Estimada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'Detalle Diario 2026'!$A$5:$A$85</c:f>
              <c:strCache>
                <c:ptCount val="81"/>
                <c:pt idx="0">
                  <c:v>2026-01-02</c:v>
                </c:pt>
                <c:pt idx="1">
                  <c:v>2026-01-05</c:v>
                </c:pt>
                <c:pt idx="2">
                  <c:v>2026-01-06</c:v>
                </c:pt>
                <c:pt idx="3">
                  <c:v>2026-01-07</c:v>
                </c:pt>
                <c:pt idx="4">
                  <c:v>2026-01-08</c:v>
                </c:pt>
                <c:pt idx="5">
                  <c:v>2026-01-09</c:v>
                </c:pt>
                <c:pt idx="6">
                  <c:v>2026-01-12</c:v>
                </c:pt>
                <c:pt idx="7">
                  <c:v>2026-01-13</c:v>
                </c:pt>
                <c:pt idx="8">
                  <c:v>2026-01-14</c:v>
                </c:pt>
                <c:pt idx="9">
                  <c:v>2026-01-15</c:v>
                </c:pt>
                <c:pt idx="10">
                  <c:v>2026-01-16</c:v>
                </c:pt>
                <c:pt idx="11">
                  <c:v>2026-01-19</c:v>
                </c:pt>
                <c:pt idx="12">
                  <c:v>2026-01-20</c:v>
                </c:pt>
                <c:pt idx="13">
                  <c:v>2026-01-21</c:v>
                </c:pt>
                <c:pt idx="14">
                  <c:v>2026-01-22</c:v>
                </c:pt>
                <c:pt idx="15">
                  <c:v>2026-01-23</c:v>
                </c:pt>
                <c:pt idx="16">
                  <c:v>2026-01-26</c:v>
                </c:pt>
                <c:pt idx="17">
                  <c:v>2026-01-27</c:v>
                </c:pt>
                <c:pt idx="18">
                  <c:v>2026-01-28</c:v>
                </c:pt>
                <c:pt idx="19">
                  <c:v>2026-01-29</c:v>
                </c:pt>
                <c:pt idx="20">
                  <c:v>2026-01-30</c:v>
                </c:pt>
                <c:pt idx="21">
                  <c:v>2026-02-02</c:v>
                </c:pt>
                <c:pt idx="22">
                  <c:v>2026-02-03</c:v>
                </c:pt>
                <c:pt idx="23">
                  <c:v>2026-02-04</c:v>
                </c:pt>
                <c:pt idx="24">
                  <c:v>2026-02-05</c:v>
                </c:pt>
                <c:pt idx="25">
                  <c:v>2026-02-06</c:v>
                </c:pt>
                <c:pt idx="26">
                  <c:v>2026-02-09</c:v>
                </c:pt>
                <c:pt idx="27">
                  <c:v>2026-02-10</c:v>
                </c:pt>
                <c:pt idx="28">
                  <c:v>2026-02-11</c:v>
                </c:pt>
                <c:pt idx="29">
                  <c:v>2026-02-12</c:v>
                </c:pt>
                <c:pt idx="30">
                  <c:v>2026-02-13</c:v>
                </c:pt>
                <c:pt idx="31">
                  <c:v>2026-02-18</c:v>
                </c:pt>
                <c:pt idx="32">
                  <c:v>2026-02-19</c:v>
                </c:pt>
                <c:pt idx="33">
                  <c:v>2026-02-20</c:v>
                </c:pt>
                <c:pt idx="34">
                  <c:v>2026-02-23</c:v>
                </c:pt>
                <c:pt idx="35">
                  <c:v>2026-02-24</c:v>
                </c:pt>
                <c:pt idx="36">
                  <c:v>2026-02-25</c:v>
                </c:pt>
                <c:pt idx="37">
                  <c:v>2026-02-26</c:v>
                </c:pt>
                <c:pt idx="38">
                  <c:v>2026-02-27</c:v>
                </c:pt>
                <c:pt idx="39">
                  <c:v>2026-03-02</c:v>
                </c:pt>
                <c:pt idx="40">
                  <c:v>2026-03-03</c:v>
                </c:pt>
                <c:pt idx="41">
                  <c:v>2026-03-04</c:v>
                </c:pt>
                <c:pt idx="42">
                  <c:v>2026-03-05</c:v>
                </c:pt>
                <c:pt idx="43">
                  <c:v>2026-03-06</c:v>
                </c:pt>
                <c:pt idx="44">
                  <c:v>2026-03-09</c:v>
                </c:pt>
                <c:pt idx="45">
                  <c:v>2026-03-10</c:v>
                </c:pt>
                <c:pt idx="46">
                  <c:v>2026-03-11</c:v>
                </c:pt>
                <c:pt idx="47">
                  <c:v>2026-03-12</c:v>
                </c:pt>
                <c:pt idx="48">
                  <c:v>2026-03-13</c:v>
                </c:pt>
                <c:pt idx="49">
                  <c:v>2026-03-16</c:v>
                </c:pt>
                <c:pt idx="50">
                  <c:v>2026-03-17</c:v>
                </c:pt>
                <c:pt idx="51">
                  <c:v>2026-03-18</c:v>
                </c:pt>
                <c:pt idx="52">
                  <c:v>2026-03-19</c:v>
                </c:pt>
                <c:pt idx="53">
                  <c:v>2026-03-20</c:v>
                </c:pt>
                <c:pt idx="54">
                  <c:v>2026-03-23</c:v>
                </c:pt>
                <c:pt idx="55">
                  <c:v>2026-03-25</c:v>
                </c:pt>
                <c:pt idx="56">
                  <c:v>2026-03-26</c:v>
                </c:pt>
                <c:pt idx="57">
                  <c:v>2026-03-27</c:v>
                </c:pt>
                <c:pt idx="58">
                  <c:v>2026-03-30</c:v>
                </c:pt>
                <c:pt idx="59">
                  <c:v>2026-03-31</c:v>
                </c:pt>
                <c:pt idx="60">
                  <c:v>2026-04-01</c:v>
                </c:pt>
                <c:pt idx="61">
                  <c:v>2026-04-06</c:v>
                </c:pt>
                <c:pt idx="62">
                  <c:v>2026-04-07</c:v>
                </c:pt>
                <c:pt idx="63">
                  <c:v>2026-04-08</c:v>
                </c:pt>
                <c:pt idx="64">
                  <c:v>2026-04-09</c:v>
                </c:pt>
                <c:pt idx="65">
                  <c:v>2026-04-10</c:v>
                </c:pt>
                <c:pt idx="66">
                  <c:v>2026-04-13</c:v>
                </c:pt>
                <c:pt idx="67">
                  <c:v>2026-04-14</c:v>
                </c:pt>
                <c:pt idx="68">
                  <c:v>2026-04-15</c:v>
                </c:pt>
                <c:pt idx="69">
                  <c:v>2026-04-16</c:v>
                </c:pt>
                <c:pt idx="70">
                  <c:v>2026-04-17</c:v>
                </c:pt>
                <c:pt idx="71">
                  <c:v>2026-04-20</c:v>
                </c:pt>
                <c:pt idx="72">
                  <c:v>2026-04-21</c:v>
                </c:pt>
                <c:pt idx="73">
                  <c:v>2026-04-22</c:v>
                </c:pt>
                <c:pt idx="74">
                  <c:v>2026-04-23</c:v>
                </c:pt>
                <c:pt idx="75">
                  <c:v>2026-04-24</c:v>
                </c:pt>
                <c:pt idx="76">
                  <c:v>2026-04-27</c:v>
                </c:pt>
                <c:pt idx="77">
                  <c:v>2026-04-28</c:v>
                </c:pt>
                <c:pt idx="78">
                  <c:v>2026-04-29</c:v>
                </c:pt>
                <c:pt idx="79">
                  <c:v>2026-04-30</c:v>
                </c:pt>
                <c:pt idx="80">
                  <c:v>2026-05-04</c:v>
                </c:pt>
              </c:strCache>
            </c:strRef>
          </c:cat>
          <c:val>
            <c:numRef>
              <c:f>'Detalle Diario 2026'!$H$5:$H$85</c:f>
              <c:numCache>
                <c:formatCode>#,##0;\(#,##0\);\-</c:formatCode>
                <c:ptCount val="81"/>
                <c:pt idx="0">
                  <c:v>6</c:v>
                </c:pt>
                <c:pt idx="1">
                  <c:v>64</c:v>
                </c:pt>
                <c:pt idx="2">
                  <c:v>66</c:v>
                </c:pt>
                <c:pt idx="3">
                  <c:v>95</c:v>
                </c:pt>
                <c:pt idx="4">
                  <c:v>11</c:v>
                </c:pt>
                <c:pt idx="5">
                  <c:v>18</c:v>
                </c:pt>
                <c:pt idx="6">
                  <c:v>82</c:v>
                </c:pt>
                <c:pt idx="7">
                  <c:v>61</c:v>
                </c:pt>
                <c:pt idx="8">
                  <c:v>62</c:v>
                </c:pt>
                <c:pt idx="9">
                  <c:v>74</c:v>
                </c:pt>
                <c:pt idx="10">
                  <c:v>26</c:v>
                </c:pt>
                <c:pt idx="11">
                  <c:v>111</c:v>
                </c:pt>
                <c:pt idx="12">
                  <c:v>93</c:v>
                </c:pt>
                <c:pt idx="13">
                  <c:v>74</c:v>
                </c:pt>
                <c:pt idx="14">
                  <c:v>44</c:v>
                </c:pt>
                <c:pt idx="15">
                  <c:v>34</c:v>
                </c:pt>
                <c:pt idx="16">
                  <c:v>79</c:v>
                </c:pt>
                <c:pt idx="17">
                  <c:v>116</c:v>
                </c:pt>
                <c:pt idx="18">
                  <c:v>71</c:v>
                </c:pt>
                <c:pt idx="19">
                  <c:v>66</c:v>
                </c:pt>
                <c:pt idx="20">
                  <c:v>88</c:v>
                </c:pt>
                <c:pt idx="21">
                  <c:v>37</c:v>
                </c:pt>
                <c:pt idx="22">
                  <c:v>193</c:v>
                </c:pt>
                <c:pt idx="23">
                  <c:v>13</c:v>
                </c:pt>
                <c:pt idx="24">
                  <c:v>159</c:v>
                </c:pt>
                <c:pt idx="25">
                  <c:v>151</c:v>
                </c:pt>
                <c:pt idx="26">
                  <c:v>187</c:v>
                </c:pt>
                <c:pt idx="27">
                  <c:v>59</c:v>
                </c:pt>
                <c:pt idx="28">
                  <c:v>34</c:v>
                </c:pt>
                <c:pt idx="29">
                  <c:v>33</c:v>
                </c:pt>
                <c:pt idx="30">
                  <c:v>-42</c:v>
                </c:pt>
                <c:pt idx="31">
                  <c:v>93</c:v>
                </c:pt>
                <c:pt idx="32">
                  <c:v>73</c:v>
                </c:pt>
                <c:pt idx="33">
                  <c:v>193</c:v>
                </c:pt>
                <c:pt idx="34">
                  <c:v>179</c:v>
                </c:pt>
                <c:pt idx="35">
                  <c:v>52</c:v>
                </c:pt>
                <c:pt idx="36">
                  <c:v>191</c:v>
                </c:pt>
                <c:pt idx="37">
                  <c:v>67</c:v>
                </c:pt>
                <c:pt idx="38">
                  <c:v>128</c:v>
                </c:pt>
                <c:pt idx="39">
                  <c:v>76</c:v>
                </c:pt>
                <c:pt idx="40">
                  <c:v>27</c:v>
                </c:pt>
                <c:pt idx="41">
                  <c:v>57</c:v>
                </c:pt>
                <c:pt idx="42">
                  <c:v>8</c:v>
                </c:pt>
                <c:pt idx="43">
                  <c:v>113</c:v>
                </c:pt>
                <c:pt idx="44">
                  <c:v>111</c:v>
                </c:pt>
                <c:pt idx="45">
                  <c:v>125</c:v>
                </c:pt>
                <c:pt idx="46">
                  <c:v>56</c:v>
                </c:pt>
                <c:pt idx="47">
                  <c:v>28</c:v>
                </c:pt>
                <c:pt idx="48">
                  <c:v>82</c:v>
                </c:pt>
                <c:pt idx="49">
                  <c:v>73</c:v>
                </c:pt>
                <c:pt idx="50">
                  <c:v>53</c:v>
                </c:pt>
                <c:pt idx="51">
                  <c:v>48</c:v>
                </c:pt>
                <c:pt idx="52">
                  <c:v>91</c:v>
                </c:pt>
                <c:pt idx="53">
                  <c:v>138</c:v>
                </c:pt>
                <c:pt idx="54">
                  <c:v>76</c:v>
                </c:pt>
                <c:pt idx="55">
                  <c:v>190</c:v>
                </c:pt>
                <c:pt idx="56">
                  <c:v>77</c:v>
                </c:pt>
                <c:pt idx="57">
                  <c:v>60</c:v>
                </c:pt>
                <c:pt idx="58">
                  <c:v>55</c:v>
                </c:pt>
                <c:pt idx="59">
                  <c:v>156</c:v>
                </c:pt>
                <c:pt idx="60">
                  <c:v>79</c:v>
                </c:pt>
                <c:pt idx="61">
                  <c:v>0</c:v>
                </c:pt>
                <c:pt idx="62">
                  <c:v>144</c:v>
                </c:pt>
                <c:pt idx="63">
                  <c:v>61</c:v>
                </c:pt>
                <c:pt idx="64">
                  <c:v>12</c:v>
                </c:pt>
                <c:pt idx="65">
                  <c:v>61</c:v>
                </c:pt>
                <c:pt idx="66">
                  <c:v>-4</c:v>
                </c:pt>
                <c:pt idx="67">
                  <c:v>93</c:v>
                </c:pt>
                <c:pt idx="68">
                  <c:v>76</c:v>
                </c:pt>
                <c:pt idx="69">
                  <c:v>72</c:v>
                </c:pt>
                <c:pt idx="70">
                  <c:v>141</c:v>
                </c:pt>
                <c:pt idx="71">
                  <c:v>151</c:v>
                </c:pt>
                <c:pt idx="72">
                  <c:v>18</c:v>
                </c:pt>
                <c:pt idx="73">
                  <c:v>74</c:v>
                </c:pt>
                <c:pt idx="74">
                  <c:v>37</c:v>
                </c:pt>
                <c:pt idx="75">
                  <c:v>119</c:v>
                </c:pt>
                <c:pt idx="76">
                  <c:v>-11</c:v>
                </c:pt>
                <c:pt idx="77">
                  <c:v>214</c:v>
                </c:pt>
                <c:pt idx="78">
                  <c:v>127</c:v>
                </c:pt>
                <c:pt idx="79">
                  <c:v>136</c:v>
                </c:pt>
                <c:pt idx="80">
                  <c:v>50</c:v>
                </c:pt>
              </c:numCache>
            </c:numRef>
          </c:val>
        </c:ser>
        <c:gapWidth val="150"/>
        <c:overlap val="0"/>
        <c:axId val="44639517"/>
        <c:axId val="38771217"/>
      </c:barChart>
      <c:catAx>
        <c:axId val="44639517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771217"/>
        <c:crosses val="autoZero"/>
        <c:auto val="1"/>
        <c:lblAlgn val="ctr"/>
        <c:lblOffset val="100"/>
        <c:noMultiLvlLbl val="0"/>
      </c:catAx>
      <c:valAx>
        <c:axId val="387712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63951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Compra acumulada en el año (USD 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'Detalle Diario 2026'!I4</c:f>
              <c:strCache>
                <c:ptCount val="1"/>
                <c:pt idx="0">
                  <c:v>Compra Acumulada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'Detalle Diario 2026'!$A$5:$A$85</c:f>
              <c:strCache>
                <c:ptCount val="81"/>
                <c:pt idx="0">
                  <c:v>2026-01-02</c:v>
                </c:pt>
                <c:pt idx="1">
                  <c:v>2026-01-05</c:v>
                </c:pt>
                <c:pt idx="2">
                  <c:v>2026-01-06</c:v>
                </c:pt>
                <c:pt idx="3">
                  <c:v>2026-01-07</c:v>
                </c:pt>
                <c:pt idx="4">
                  <c:v>2026-01-08</c:v>
                </c:pt>
                <c:pt idx="5">
                  <c:v>2026-01-09</c:v>
                </c:pt>
                <c:pt idx="6">
                  <c:v>2026-01-12</c:v>
                </c:pt>
                <c:pt idx="7">
                  <c:v>2026-01-13</c:v>
                </c:pt>
                <c:pt idx="8">
                  <c:v>2026-01-14</c:v>
                </c:pt>
                <c:pt idx="9">
                  <c:v>2026-01-15</c:v>
                </c:pt>
                <c:pt idx="10">
                  <c:v>2026-01-16</c:v>
                </c:pt>
                <c:pt idx="11">
                  <c:v>2026-01-19</c:v>
                </c:pt>
                <c:pt idx="12">
                  <c:v>2026-01-20</c:v>
                </c:pt>
                <c:pt idx="13">
                  <c:v>2026-01-21</c:v>
                </c:pt>
                <c:pt idx="14">
                  <c:v>2026-01-22</c:v>
                </c:pt>
                <c:pt idx="15">
                  <c:v>2026-01-23</c:v>
                </c:pt>
                <c:pt idx="16">
                  <c:v>2026-01-26</c:v>
                </c:pt>
                <c:pt idx="17">
                  <c:v>2026-01-27</c:v>
                </c:pt>
                <c:pt idx="18">
                  <c:v>2026-01-28</c:v>
                </c:pt>
                <c:pt idx="19">
                  <c:v>2026-01-29</c:v>
                </c:pt>
                <c:pt idx="20">
                  <c:v>2026-01-30</c:v>
                </c:pt>
                <c:pt idx="21">
                  <c:v>2026-02-02</c:v>
                </c:pt>
                <c:pt idx="22">
                  <c:v>2026-02-03</c:v>
                </c:pt>
                <c:pt idx="23">
                  <c:v>2026-02-04</c:v>
                </c:pt>
                <c:pt idx="24">
                  <c:v>2026-02-05</c:v>
                </c:pt>
                <c:pt idx="25">
                  <c:v>2026-02-06</c:v>
                </c:pt>
                <c:pt idx="26">
                  <c:v>2026-02-09</c:v>
                </c:pt>
                <c:pt idx="27">
                  <c:v>2026-02-10</c:v>
                </c:pt>
                <c:pt idx="28">
                  <c:v>2026-02-11</c:v>
                </c:pt>
                <c:pt idx="29">
                  <c:v>2026-02-12</c:v>
                </c:pt>
                <c:pt idx="30">
                  <c:v>2026-02-13</c:v>
                </c:pt>
                <c:pt idx="31">
                  <c:v>2026-02-18</c:v>
                </c:pt>
                <c:pt idx="32">
                  <c:v>2026-02-19</c:v>
                </c:pt>
                <c:pt idx="33">
                  <c:v>2026-02-20</c:v>
                </c:pt>
                <c:pt idx="34">
                  <c:v>2026-02-23</c:v>
                </c:pt>
                <c:pt idx="35">
                  <c:v>2026-02-24</c:v>
                </c:pt>
                <c:pt idx="36">
                  <c:v>2026-02-25</c:v>
                </c:pt>
                <c:pt idx="37">
                  <c:v>2026-02-26</c:v>
                </c:pt>
                <c:pt idx="38">
                  <c:v>2026-02-27</c:v>
                </c:pt>
                <c:pt idx="39">
                  <c:v>2026-03-02</c:v>
                </c:pt>
                <c:pt idx="40">
                  <c:v>2026-03-03</c:v>
                </c:pt>
                <c:pt idx="41">
                  <c:v>2026-03-04</c:v>
                </c:pt>
                <c:pt idx="42">
                  <c:v>2026-03-05</c:v>
                </c:pt>
                <c:pt idx="43">
                  <c:v>2026-03-06</c:v>
                </c:pt>
                <c:pt idx="44">
                  <c:v>2026-03-09</c:v>
                </c:pt>
                <c:pt idx="45">
                  <c:v>2026-03-10</c:v>
                </c:pt>
                <c:pt idx="46">
                  <c:v>2026-03-11</c:v>
                </c:pt>
                <c:pt idx="47">
                  <c:v>2026-03-12</c:v>
                </c:pt>
                <c:pt idx="48">
                  <c:v>2026-03-13</c:v>
                </c:pt>
                <c:pt idx="49">
                  <c:v>2026-03-16</c:v>
                </c:pt>
                <c:pt idx="50">
                  <c:v>2026-03-17</c:v>
                </c:pt>
                <c:pt idx="51">
                  <c:v>2026-03-18</c:v>
                </c:pt>
                <c:pt idx="52">
                  <c:v>2026-03-19</c:v>
                </c:pt>
                <c:pt idx="53">
                  <c:v>2026-03-20</c:v>
                </c:pt>
                <c:pt idx="54">
                  <c:v>2026-03-23</c:v>
                </c:pt>
                <c:pt idx="55">
                  <c:v>2026-03-25</c:v>
                </c:pt>
                <c:pt idx="56">
                  <c:v>2026-03-26</c:v>
                </c:pt>
                <c:pt idx="57">
                  <c:v>2026-03-27</c:v>
                </c:pt>
                <c:pt idx="58">
                  <c:v>2026-03-30</c:v>
                </c:pt>
                <c:pt idx="59">
                  <c:v>2026-03-31</c:v>
                </c:pt>
                <c:pt idx="60">
                  <c:v>2026-04-01</c:v>
                </c:pt>
                <c:pt idx="61">
                  <c:v>2026-04-06</c:v>
                </c:pt>
                <c:pt idx="62">
                  <c:v>2026-04-07</c:v>
                </c:pt>
                <c:pt idx="63">
                  <c:v>2026-04-08</c:v>
                </c:pt>
                <c:pt idx="64">
                  <c:v>2026-04-09</c:v>
                </c:pt>
                <c:pt idx="65">
                  <c:v>2026-04-10</c:v>
                </c:pt>
                <c:pt idx="66">
                  <c:v>2026-04-13</c:v>
                </c:pt>
                <c:pt idx="67">
                  <c:v>2026-04-14</c:v>
                </c:pt>
                <c:pt idx="68">
                  <c:v>2026-04-15</c:v>
                </c:pt>
                <c:pt idx="69">
                  <c:v>2026-04-16</c:v>
                </c:pt>
                <c:pt idx="70">
                  <c:v>2026-04-17</c:v>
                </c:pt>
                <c:pt idx="71">
                  <c:v>2026-04-20</c:v>
                </c:pt>
                <c:pt idx="72">
                  <c:v>2026-04-21</c:v>
                </c:pt>
                <c:pt idx="73">
                  <c:v>2026-04-22</c:v>
                </c:pt>
                <c:pt idx="74">
                  <c:v>2026-04-23</c:v>
                </c:pt>
                <c:pt idx="75">
                  <c:v>2026-04-24</c:v>
                </c:pt>
                <c:pt idx="76">
                  <c:v>2026-04-27</c:v>
                </c:pt>
                <c:pt idx="77">
                  <c:v>2026-04-28</c:v>
                </c:pt>
                <c:pt idx="78">
                  <c:v>2026-04-29</c:v>
                </c:pt>
                <c:pt idx="79">
                  <c:v>2026-04-30</c:v>
                </c:pt>
                <c:pt idx="80">
                  <c:v>2026-05-04</c:v>
                </c:pt>
              </c:strCache>
            </c:strRef>
          </c:cat>
          <c:val>
            <c:numRef>
              <c:f>'Detalle Diario 2026'!$I$5:$I$85</c:f>
              <c:numCache>
                <c:formatCode>#,##0;\(#,##0\);\-</c:formatCode>
                <c:ptCount val="81"/>
                <c:pt idx="0">
                  <c:v>6</c:v>
                </c:pt>
                <c:pt idx="1">
                  <c:v>70</c:v>
                </c:pt>
                <c:pt idx="2">
                  <c:v>136</c:v>
                </c:pt>
                <c:pt idx="3">
                  <c:v>231</c:v>
                </c:pt>
                <c:pt idx="4">
                  <c:v>242</c:v>
                </c:pt>
                <c:pt idx="5">
                  <c:v>260</c:v>
                </c:pt>
                <c:pt idx="6">
                  <c:v>342</c:v>
                </c:pt>
                <c:pt idx="7">
                  <c:v>403</c:v>
                </c:pt>
                <c:pt idx="8">
                  <c:v>465</c:v>
                </c:pt>
                <c:pt idx="9">
                  <c:v>539</c:v>
                </c:pt>
                <c:pt idx="10">
                  <c:v>565</c:v>
                </c:pt>
                <c:pt idx="11">
                  <c:v>676</c:v>
                </c:pt>
                <c:pt idx="12">
                  <c:v>769</c:v>
                </c:pt>
                <c:pt idx="13">
                  <c:v>843</c:v>
                </c:pt>
                <c:pt idx="14">
                  <c:v>887</c:v>
                </c:pt>
                <c:pt idx="15">
                  <c:v>921</c:v>
                </c:pt>
                <c:pt idx="16">
                  <c:v>1000</c:v>
                </c:pt>
                <c:pt idx="17">
                  <c:v>1116</c:v>
                </c:pt>
                <c:pt idx="18">
                  <c:v>1187</c:v>
                </c:pt>
                <c:pt idx="19">
                  <c:v>1253</c:v>
                </c:pt>
                <c:pt idx="20">
                  <c:v>1341</c:v>
                </c:pt>
                <c:pt idx="21">
                  <c:v>1378</c:v>
                </c:pt>
                <c:pt idx="22">
                  <c:v>1571</c:v>
                </c:pt>
                <c:pt idx="23">
                  <c:v>1584</c:v>
                </c:pt>
                <c:pt idx="24">
                  <c:v>1743</c:v>
                </c:pt>
                <c:pt idx="25">
                  <c:v>1894</c:v>
                </c:pt>
                <c:pt idx="26">
                  <c:v>2081</c:v>
                </c:pt>
                <c:pt idx="27">
                  <c:v>2140</c:v>
                </c:pt>
                <c:pt idx="28">
                  <c:v>2174</c:v>
                </c:pt>
                <c:pt idx="29">
                  <c:v>2207</c:v>
                </c:pt>
                <c:pt idx="30">
                  <c:v>2165</c:v>
                </c:pt>
                <c:pt idx="31">
                  <c:v>2258</c:v>
                </c:pt>
                <c:pt idx="32">
                  <c:v>2331</c:v>
                </c:pt>
                <c:pt idx="33">
                  <c:v>2524</c:v>
                </c:pt>
                <c:pt idx="34">
                  <c:v>2703</c:v>
                </c:pt>
                <c:pt idx="35">
                  <c:v>2755</c:v>
                </c:pt>
                <c:pt idx="36">
                  <c:v>2946</c:v>
                </c:pt>
                <c:pt idx="37">
                  <c:v>3013</c:v>
                </c:pt>
                <c:pt idx="38">
                  <c:v>3141</c:v>
                </c:pt>
                <c:pt idx="39">
                  <c:v>3217</c:v>
                </c:pt>
                <c:pt idx="40">
                  <c:v>3244</c:v>
                </c:pt>
                <c:pt idx="41">
                  <c:v>3301</c:v>
                </c:pt>
                <c:pt idx="42">
                  <c:v>3309</c:v>
                </c:pt>
                <c:pt idx="43">
                  <c:v>3422</c:v>
                </c:pt>
                <c:pt idx="44">
                  <c:v>3533</c:v>
                </c:pt>
                <c:pt idx="45">
                  <c:v>3658</c:v>
                </c:pt>
                <c:pt idx="46">
                  <c:v>3714</c:v>
                </c:pt>
                <c:pt idx="47">
                  <c:v>3742</c:v>
                </c:pt>
                <c:pt idx="48">
                  <c:v>3824</c:v>
                </c:pt>
                <c:pt idx="49">
                  <c:v>3897</c:v>
                </c:pt>
                <c:pt idx="50">
                  <c:v>3950</c:v>
                </c:pt>
                <c:pt idx="51">
                  <c:v>3998</c:v>
                </c:pt>
                <c:pt idx="52">
                  <c:v>4089</c:v>
                </c:pt>
                <c:pt idx="53">
                  <c:v>4227</c:v>
                </c:pt>
                <c:pt idx="54">
                  <c:v>4303</c:v>
                </c:pt>
                <c:pt idx="55">
                  <c:v>4493</c:v>
                </c:pt>
                <c:pt idx="56">
                  <c:v>4570</c:v>
                </c:pt>
                <c:pt idx="57">
                  <c:v>4630</c:v>
                </c:pt>
                <c:pt idx="58">
                  <c:v>4685</c:v>
                </c:pt>
                <c:pt idx="59">
                  <c:v>4841</c:v>
                </c:pt>
                <c:pt idx="60">
                  <c:v>4920</c:v>
                </c:pt>
                <c:pt idx="61">
                  <c:v>4920</c:v>
                </c:pt>
                <c:pt idx="62">
                  <c:v>5064</c:v>
                </c:pt>
                <c:pt idx="63">
                  <c:v>5125</c:v>
                </c:pt>
                <c:pt idx="64">
                  <c:v>5137</c:v>
                </c:pt>
                <c:pt idx="65">
                  <c:v>5198</c:v>
                </c:pt>
                <c:pt idx="66">
                  <c:v>5194</c:v>
                </c:pt>
                <c:pt idx="67">
                  <c:v>5287</c:v>
                </c:pt>
                <c:pt idx="68">
                  <c:v>5363</c:v>
                </c:pt>
                <c:pt idx="69">
                  <c:v>5435</c:v>
                </c:pt>
                <c:pt idx="70">
                  <c:v>5576</c:v>
                </c:pt>
                <c:pt idx="71">
                  <c:v>5727</c:v>
                </c:pt>
                <c:pt idx="72">
                  <c:v>5745</c:v>
                </c:pt>
                <c:pt idx="73">
                  <c:v>5819</c:v>
                </c:pt>
                <c:pt idx="74">
                  <c:v>5856</c:v>
                </c:pt>
                <c:pt idx="75">
                  <c:v>5975</c:v>
                </c:pt>
                <c:pt idx="76">
                  <c:v>5964</c:v>
                </c:pt>
                <c:pt idx="77">
                  <c:v>6178</c:v>
                </c:pt>
                <c:pt idx="78">
                  <c:v>6305</c:v>
                </c:pt>
                <c:pt idx="79">
                  <c:v>6441</c:v>
                </c:pt>
                <c:pt idx="80">
                  <c:v>6491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8527079"/>
        <c:axId val="27558917"/>
      </c:lineChart>
      <c:catAx>
        <c:axId val="48527079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558917"/>
        <c:crosses val="autoZero"/>
        <c:auto val="1"/>
        <c:lblAlgn val="ctr"/>
        <c:lblOffset val="100"/>
        <c:noMultiLvlLbl val="0"/>
      </c:catAx>
      <c:valAx>
        <c:axId val="275589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52707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Reservas brutas vs netas (USD 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'Reservas Netas'!B4</c:f>
              <c:strCache>
                <c:ptCount val="1"/>
                <c:pt idx="0">
                  <c:v>Brutas</c:v>
                </c:pt>
              </c:strCache>
            </c:strRef>
          </c:tx>
          <c:spPr>
            <a:solidFill>
              <a:srgbClr val="C0504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'Reservas Netas'!$A$5:$A$15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strCache>
            </c:strRef>
          </c:cat>
          <c:val>
            <c:numRef>
              <c:f>'Reservas Netas'!$B$5:$B$15</c:f>
              <c:numCache>
                <c:formatCode>#,##0;\(#,##0\);\-</c:formatCode>
                <c:ptCount val="11"/>
                <c:pt idx="0">
                  <c:v>38800</c:v>
                </c:pt>
                <c:pt idx="1">
                  <c:v>55055</c:v>
                </c:pt>
                <c:pt idx="2">
                  <c:v>65806</c:v>
                </c:pt>
                <c:pt idx="3">
                  <c:v>44848</c:v>
                </c:pt>
                <c:pt idx="4">
                  <c:v>39400</c:v>
                </c:pt>
                <c:pt idx="5">
                  <c:v>39662</c:v>
                </c:pt>
                <c:pt idx="6">
                  <c:v>44538</c:v>
                </c:pt>
                <c:pt idx="7">
                  <c:v>23073</c:v>
                </c:pt>
                <c:pt idx="8">
                  <c:v>29600</c:v>
                </c:pt>
                <c:pt idx="9">
                  <c:v>41100</c:v>
                </c:pt>
                <c:pt idx="10">
                  <c:v>46286</c:v>
                </c:pt>
              </c:numCache>
            </c:numRef>
          </c:val>
        </c:ser>
        <c:gapWidth val="150"/>
        <c:overlap val="100"/>
        <c:axId val="87385946"/>
        <c:axId val="21375518"/>
      </c:barChart>
      <c:catAx>
        <c:axId val="873859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1375518"/>
        <c:crosses val="autoZero"/>
        <c:auto val="1"/>
        <c:lblAlgn val="ctr"/>
        <c:lblOffset val="100"/>
        <c:noMultiLvlLbl val="0"/>
      </c:catAx>
      <c:valAx>
        <c:axId val="213755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38594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Reservas netas (USD 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'Reservas Netas'!G4</c:f>
              <c:strCache>
                <c:ptCount val="1"/>
                <c:pt idx="0">
                  <c:v>Reservas Netas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'Reservas Netas'!$A$5:$A$15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strCache>
            </c:strRef>
          </c:cat>
          <c:val>
            <c:numRef>
              <c:f>'Reservas Netas'!$G$5:$G$15</c:f>
              <c:numCache>
                <c:formatCode>#,##0;\(#,##0\);\-</c:formatCode>
                <c:ptCount val="11"/>
                <c:pt idx="0">
                  <c:v>27800</c:v>
                </c:pt>
                <c:pt idx="1">
                  <c:v>44055</c:v>
                </c:pt>
                <c:pt idx="2">
                  <c:v>36806</c:v>
                </c:pt>
                <c:pt idx="3">
                  <c:v>10848</c:v>
                </c:pt>
                <c:pt idx="4">
                  <c:v>4400</c:v>
                </c:pt>
                <c:pt idx="5">
                  <c:v>4162</c:v>
                </c:pt>
                <c:pt idx="6">
                  <c:v>7038</c:v>
                </c:pt>
                <c:pt idx="7">
                  <c:v>-14427</c:v>
                </c:pt>
                <c:pt idx="8">
                  <c:v>-10900</c:v>
                </c:pt>
                <c:pt idx="9">
                  <c:v>-4900</c:v>
                </c:pt>
                <c:pt idx="10">
                  <c:v>-514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4381026"/>
        <c:axId val="70559599"/>
      </c:lineChart>
      <c:catAx>
        <c:axId val="243810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559599"/>
        <c:crosses val="autoZero"/>
        <c:auto val="1"/>
        <c:lblAlgn val="ctr"/>
        <c:lblOffset val="100"/>
        <c:noMultiLvlLbl val="0"/>
      </c:catAx>
      <c:valAx>
        <c:axId val="705595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38102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Cobertura monetaria: Reservas / Base Monetaria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'Cobertura Monetaria'!D4</c:f>
              <c:strCache>
                <c:ptCount val="1"/>
                <c:pt idx="0">
                  <c:v>Cobertura (R/BM)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'Cobertura Monetaria'!$A$5:$A$15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strCache>
            </c:strRef>
          </c:cat>
          <c:val>
            <c:numRef>
              <c:f>'Cobertura Monetaria'!$D$5:$D$15</c:f>
              <c:numCache>
                <c:formatCode>0.00</c:formatCode>
                <c:ptCount val="11"/>
                <c:pt idx="0">
                  <c:v>0.776</c:v>
                </c:pt>
                <c:pt idx="1">
                  <c:v>0.847</c:v>
                </c:pt>
                <c:pt idx="2">
                  <c:v>1.88017142857143</c:v>
                </c:pt>
                <c:pt idx="3">
                  <c:v>1.79392</c:v>
                </c:pt>
                <c:pt idx="4">
                  <c:v>1.31333333333333</c:v>
                </c:pt>
                <c:pt idx="5">
                  <c:v>1.20187878787879</c:v>
                </c:pt>
                <c:pt idx="6">
                  <c:v>1.59064285714286</c:v>
                </c:pt>
                <c:pt idx="7">
                  <c:v>1.64807142857143</c:v>
                </c:pt>
                <c:pt idx="8">
                  <c:v>0.925</c:v>
                </c:pt>
                <c:pt idx="9">
                  <c:v>1.00243902439024</c:v>
                </c:pt>
                <c:pt idx="10">
                  <c:v>1.07641860465116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4172952"/>
        <c:axId val="80037473"/>
      </c:lineChart>
      <c:catAx>
        <c:axId val="74172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037473"/>
        <c:crosses val="autoZero"/>
        <c:auto val="1"/>
        <c:lblAlgn val="ctr"/>
        <c:lblOffset val="100"/>
        <c:noMultiLvlLbl val="0"/>
      </c:catAx>
      <c:valAx>
        <c:axId val="800374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17295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Brecha cambiaria (% sobre oficial)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'Brecha Cambiaria'!E4</c:f>
              <c:strCache>
                <c:ptCount val="1"/>
                <c:pt idx="0">
                  <c:v>Brecha MEP</c:v>
                </c:pt>
              </c:strCache>
            </c:strRef>
          </c:tx>
          <c:spPr>
            <a:solidFill>
              <a:srgbClr val="AA433F"/>
            </a:solidFill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'Brecha Cambiaria'!$A$5:$A$15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strCache>
            </c:strRef>
          </c:cat>
          <c:val>
            <c:numRef>
              <c:f>'Brecha Cambiaria'!$E$5:$E$15</c:f>
              <c:numCache>
                <c:formatCode>0.0%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0.252295875772249</c:v>
                </c:pt>
                <c:pt idx="4">
                  <c:v>0.687462863933452</c:v>
                </c:pt>
                <c:pt idx="5">
                  <c:v>0.927570093457944</c:v>
                </c:pt>
                <c:pt idx="6">
                  <c:v>0.879762912785775</c:v>
                </c:pt>
                <c:pt idx="7">
                  <c:v>0.236934875378811</c:v>
                </c:pt>
                <c:pt idx="8">
                  <c:v>0.13317191283293</c:v>
                </c:pt>
                <c:pt idx="9">
                  <c:v>0.0666666666666667</c:v>
                </c:pt>
                <c:pt idx="10">
                  <c:v>0.015625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'Brecha Cambiaria'!F4</c:f>
              <c:strCache>
                <c:ptCount val="1"/>
                <c:pt idx="0">
                  <c:v>Brecha CCL</c:v>
                </c:pt>
              </c:strCache>
            </c:strRef>
          </c:tx>
          <c:spPr>
            <a:solidFill>
              <a:srgbClr val="CC8F8E"/>
            </a:solidFill>
            <a:ln w="1260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'Brecha Cambiaria'!$A$5:$A$15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strCache>
            </c:strRef>
          </c:cat>
          <c:val>
            <c:numRef>
              <c:f>'Brecha Cambiaria'!$F$5:$F$15</c:f>
              <c:numCache>
                <c:formatCode>0.0%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0.319084989146769</c:v>
                </c:pt>
                <c:pt idx="4">
                  <c:v>0.734997029114676</c:v>
                </c:pt>
                <c:pt idx="5">
                  <c:v>1.07359813084112</c:v>
                </c:pt>
                <c:pt idx="6">
                  <c:v>0.970081851538244</c:v>
                </c:pt>
                <c:pt idx="7">
                  <c:v>0.236934875378811</c:v>
                </c:pt>
                <c:pt idx="8">
                  <c:v>0.142857142857143</c:v>
                </c:pt>
                <c:pt idx="9">
                  <c:v>0.0833333333333333</c:v>
                </c:pt>
                <c:pt idx="10">
                  <c:v>0.03125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955474"/>
        <c:axId val="7391664"/>
      </c:lineChart>
      <c:catAx>
        <c:axId val="159554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91664"/>
        <c:crosses val="autoZero"/>
        <c:auto val="1"/>
        <c:lblAlgn val="ctr"/>
        <c:lblOffset val="100"/>
        <c:noMultiLvlLbl val="0"/>
      </c:catAx>
      <c:valAx>
        <c:axId val="73916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95547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20</xdr:col>
      <xdr:colOff>473040</xdr:colOff>
      <xdr:row>20</xdr:row>
      <xdr:rowOff>94320</xdr:rowOff>
    </xdr:to>
    <xdr:graphicFrame>
      <xdr:nvGraphicFramePr>
        <xdr:cNvPr id="1" name="Chart 1"/>
        <xdr:cNvGraphicFramePr/>
      </xdr:nvGraphicFramePr>
      <xdr:xfrm>
        <a:off x="9210600" y="60120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23</xdr:row>
      <xdr:rowOff>0</xdr:rowOff>
    </xdr:from>
    <xdr:to>
      <xdr:col>20</xdr:col>
      <xdr:colOff>473040</xdr:colOff>
      <xdr:row>41</xdr:row>
      <xdr:rowOff>170640</xdr:rowOff>
    </xdr:to>
    <xdr:graphicFrame>
      <xdr:nvGraphicFramePr>
        <xdr:cNvPr id="2" name="Chart 2"/>
        <xdr:cNvGraphicFramePr/>
      </xdr:nvGraphicFramePr>
      <xdr:xfrm>
        <a:off x="9210600" y="467820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0</xdr:rowOff>
    </xdr:from>
    <xdr:to>
      <xdr:col>11</xdr:col>
      <xdr:colOff>307080</xdr:colOff>
      <xdr:row>41</xdr:row>
      <xdr:rowOff>128520</xdr:rowOff>
    </xdr:to>
    <xdr:graphicFrame>
      <xdr:nvGraphicFramePr>
        <xdr:cNvPr id="3" name="Chart 1"/>
        <xdr:cNvGraphicFramePr/>
      </xdr:nvGraphicFramePr>
      <xdr:xfrm>
        <a:off x="0" y="364932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19</xdr:col>
      <xdr:colOff>78480</xdr:colOff>
      <xdr:row>21</xdr:row>
      <xdr:rowOff>170640</xdr:rowOff>
    </xdr:to>
    <xdr:graphicFrame>
      <xdr:nvGraphicFramePr>
        <xdr:cNvPr id="4" name="Chart 1"/>
        <xdr:cNvGraphicFramePr/>
      </xdr:nvGraphicFramePr>
      <xdr:xfrm>
        <a:off x="4417560" y="60120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3</xdr:row>
      <xdr:rowOff>0</xdr:rowOff>
    </xdr:from>
    <xdr:to>
      <xdr:col>21</xdr:col>
      <xdr:colOff>473040</xdr:colOff>
      <xdr:row>18</xdr:row>
      <xdr:rowOff>172440</xdr:rowOff>
    </xdr:to>
    <xdr:graphicFrame>
      <xdr:nvGraphicFramePr>
        <xdr:cNvPr id="5" name="Chart 1"/>
        <xdr:cNvGraphicFramePr/>
      </xdr:nvGraphicFramePr>
      <xdr:xfrm>
        <a:off x="9492480" y="60120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22</xdr:row>
      <xdr:rowOff>0</xdr:rowOff>
    </xdr:from>
    <xdr:to>
      <xdr:col>21</xdr:col>
      <xdr:colOff>473040</xdr:colOff>
      <xdr:row>39</xdr:row>
      <xdr:rowOff>1440</xdr:rowOff>
    </xdr:to>
    <xdr:graphicFrame>
      <xdr:nvGraphicFramePr>
        <xdr:cNvPr id="6" name="Chart 2"/>
        <xdr:cNvGraphicFramePr/>
      </xdr:nvGraphicFramePr>
      <xdr:xfrm>
        <a:off x="9492480" y="443052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19</xdr:col>
      <xdr:colOff>473040</xdr:colOff>
      <xdr:row>21</xdr:row>
      <xdr:rowOff>57960</xdr:rowOff>
    </xdr:to>
    <xdr:graphicFrame>
      <xdr:nvGraphicFramePr>
        <xdr:cNvPr id="7" name="Chart 1"/>
        <xdr:cNvGraphicFramePr/>
      </xdr:nvGraphicFramePr>
      <xdr:xfrm>
        <a:off x="6673320" y="60120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23</xdr:row>
      <xdr:rowOff>0</xdr:rowOff>
    </xdr:from>
    <xdr:to>
      <xdr:col>19</xdr:col>
      <xdr:colOff>473040</xdr:colOff>
      <xdr:row>41</xdr:row>
      <xdr:rowOff>170640</xdr:rowOff>
    </xdr:to>
    <xdr:graphicFrame>
      <xdr:nvGraphicFramePr>
        <xdr:cNvPr id="8" name="Chart 2"/>
        <xdr:cNvGraphicFramePr/>
      </xdr:nvGraphicFramePr>
      <xdr:xfrm>
        <a:off x="6673320" y="45237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18</xdr:col>
      <xdr:colOff>473040</xdr:colOff>
      <xdr:row>21</xdr:row>
      <xdr:rowOff>57960</xdr:rowOff>
    </xdr:to>
    <xdr:graphicFrame>
      <xdr:nvGraphicFramePr>
        <xdr:cNvPr id="9" name="Chart 1"/>
        <xdr:cNvGraphicFramePr/>
      </xdr:nvGraphicFramePr>
      <xdr:xfrm>
        <a:off x="6109200" y="60120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19</xdr:col>
      <xdr:colOff>473040</xdr:colOff>
      <xdr:row>21</xdr:row>
      <xdr:rowOff>170640</xdr:rowOff>
    </xdr:to>
    <xdr:graphicFrame>
      <xdr:nvGraphicFramePr>
        <xdr:cNvPr id="10" name="Chart 1"/>
        <xdr:cNvGraphicFramePr/>
      </xdr:nvGraphicFramePr>
      <xdr:xfrm>
        <a:off x="6814080" y="60120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Anual" displayName="tblAnual" ref="A4:H15" headerRowCount="1" totalsRowCount="0" totalsRowShown="0">
  <autoFilter ref="A4:H15"/>
  <tableColumns count="8">
    <tableColumn id="1" name="Año"/>
    <tableColumn id="2" name="Reservas Inicio"/>
    <tableColumn id="3" name="Reservas Fin"/>
    <tableColumn id="4" name="Δ Stock"/>
    <tableColumn id="5" name="Compras Netas BCRA (MULC)"/>
    <tableColumn id="6" name="Otros (FMI/valuación)"/>
    <tableColumn id="7" name="Var % Stock"/>
    <tableColumn id="8" name="Compras vs año previo"/>
  </tableColumns>
</table>
</file>

<file path=xl/tables/table2.xml><?xml version="1.0" encoding="utf-8"?>
<table xmlns="http://schemas.openxmlformats.org/spreadsheetml/2006/main" id="2" name="tblDiario" displayName="tblDiario" ref="A4:I85" headerRowCount="1" totalsRowCount="0" totalsRowShown="0">
  <autoFilter ref="A4:I85"/>
  <tableColumns count="9">
    <tableColumn id="1" name="Fecha"/>
    <tableColumn id="2" name="Reservas Brutas"/>
    <tableColumn id="3" name="Δ Reservas"/>
    <tableColumn id="4" name="Pagos Organismos"/>
    <tableColumn id="5" name="Efecto Valuación"/>
    <tableColumn id="6" name="Mov. Encajes"/>
    <tableColumn id="7" name="Op. Tesoro"/>
    <tableColumn id="8" name="Compra BCRA Estimada"/>
    <tableColumn id="9" name="Compra Acumulad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6" min="5" style="0" width="22"/>
    <col collapsed="false" customWidth="true" hidden="false" outlineLevel="0" max="7" min="7" style="0" width="12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 t="n">
        <v>25500</v>
      </c>
      <c r="C5" s="5" t="n">
        <v>38800</v>
      </c>
      <c r="D5" s="6" t="n">
        <f aca="false">IFERROR(C5-B5,"")</f>
        <v>13300</v>
      </c>
      <c r="E5" s="5" t="n">
        <v>3400</v>
      </c>
      <c r="F5" s="6" t="n">
        <f aca="false">IFERROR(D5-E5,"")</f>
        <v>9900</v>
      </c>
      <c r="G5" s="7" t="n">
        <f aca="false">IFERROR(D5/B5,"")</f>
        <v>0.52156862745098</v>
      </c>
      <c r="H5" s="8"/>
    </row>
    <row r="6" customFormat="false" ht="15" hidden="false" customHeight="false" outlineLevel="0" collapsed="false">
      <c r="A6" s="9" t="s">
        <v>11</v>
      </c>
      <c r="B6" s="10" t="n">
        <v>38800</v>
      </c>
      <c r="C6" s="10" t="n">
        <v>55055</v>
      </c>
      <c r="D6" s="11" t="n">
        <f aca="false">IFERROR(C6-B6,"")</f>
        <v>16255</v>
      </c>
      <c r="E6" s="10" t="n">
        <v>5900</v>
      </c>
      <c r="F6" s="11" t="n">
        <f aca="false">IFERROR(D6-E6,"")</f>
        <v>10355</v>
      </c>
      <c r="G6" s="12" t="n">
        <f aca="false">IFERROR(D6/B6,"")</f>
        <v>0.418943298969072</v>
      </c>
      <c r="H6" s="11" t="n">
        <f aca="false">IFERROR(E6-E5,"")</f>
        <v>2500</v>
      </c>
    </row>
    <row r="7" customFormat="false" ht="15" hidden="false" customHeight="false" outlineLevel="0" collapsed="false">
      <c r="A7" s="4" t="s">
        <v>12</v>
      </c>
      <c r="B7" s="5" t="n">
        <v>55055</v>
      </c>
      <c r="C7" s="5" t="n">
        <v>65806</v>
      </c>
      <c r="D7" s="6" t="n">
        <f aca="false">IFERROR(C7-B7,"")</f>
        <v>10751</v>
      </c>
      <c r="E7" s="5" t="n">
        <v>-2200</v>
      </c>
      <c r="F7" s="6" t="n">
        <f aca="false">IFERROR(D7-E7,"")</f>
        <v>12951</v>
      </c>
      <c r="G7" s="7" t="n">
        <f aca="false">IFERROR(D7/B7,"")</f>
        <v>0.195277449822904</v>
      </c>
      <c r="H7" s="6" t="n">
        <f aca="false">IFERROR(E7-E6,"")</f>
        <v>-8100</v>
      </c>
    </row>
    <row r="8" customFormat="false" ht="15" hidden="false" customHeight="false" outlineLevel="0" collapsed="false">
      <c r="A8" s="9" t="s">
        <v>13</v>
      </c>
      <c r="B8" s="10" t="n">
        <v>65806</v>
      </c>
      <c r="C8" s="10" t="n">
        <v>44848</v>
      </c>
      <c r="D8" s="11" t="n">
        <f aca="false">IFERROR(C8-B8,"")</f>
        <v>-20958</v>
      </c>
      <c r="E8" s="10" t="n">
        <v>-15000</v>
      </c>
      <c r="F8" s="11" t="n">
        <f aca="false">IFERROR(D8-E8,"")</f>
        <v>-5958</v>
      </c>
      <c r="G8" s="12" t="n">
        <f aca="false">IFERROR(D8/B8,"")</f>
        <v>-0.318481597422727</v>
      </c>
      <c r="H8" s="11" t="n">
        <f aca="false">IFERROR(E8-E7,"")</f>
        <v>-12800</v>
      </c>
    </row>
    <row r="9" customFormat="false" ht="15" hidden="false" customHeight="false" outlineLevel="0" collapsed="false">
      <c r="A9" s="4" t="s">
        <v>14</v>
      </c>
      <c r="B9" s="5" t="n">
        <v>44848</v>
      </c>
      <c r="C9" s="5" t="n">
        <v>39400</v>
      </c>
      <c r="D9" s="6" t="n">
        <f aca="false">IFERROR(C9-B9,"")</f>
        <v>-5448</v>
      </c>
      <c r="E9" s="5" t="n">
        <v>200</v>
      </c>
      <c r="F9" s="6" t="n">
        <f aca="false">IFERROR(D9-E9,"")</f>
        <v>-5648</v>
      </c>
      <c r="G9" s="7" t="n">
        <f aca="false">IFERROR(D9/B9,"")</f>
        <v>-0.121476988940421</v>
      </c>
      <c r="H9" s="6" t="n">
        <f aca="false">IFERROR(E9-E8,"")</f>
        <v>15200</v>
      </c>
    </row>
    <row r="10" customFormat="false" ht="15" hidden="false" customHeight="false" outlineLevel="0" collapsed="false">
      <c r="A10" s="9" t="s">
        <v>15</v>
      </c>
      <c r="B10" s="10" t="n">
        <v>39400</v>
      </c>
      <c r="C10" s="10" t="n">
        <v>39662</v>
      </c>
      <c r="D10" s="11" t="n">
        <f aca="false">IFERROR(C10-B10,"")</f>
        <v>262</v>
      </c>
      <c r="E10" s="10" t="n">
        <v>5000</v>
      </c>
      <c r="F10" s="11" t="n">
        <f aca="false">IFERROR(D10-E10,"")</f>
        <v>-4738</v>
      </c>
      <c r="G10" s="12" t="n">
        <f aca="false">IFERROR(D10/B10,"")</f>
        <v>0.0066497461928934</v>
      </c>
      <c r="H10" s="11" t="n">
        <f aca="false">IFERROR(E10-E9,"")</f>
        <v>4800</v>
      </c>
    </row>
    <row r="11" customFormat="false" ht="15" hidden="false" customHeight="false" outlineLevel="0" collapsed="false">
      <c r="A11" s="4" t="s">
        <v>16</v>
      </c>
      <c r="B11" s="5" t="n">
        <v>39662</v>
      </c>
      <c r="C11" s="5" t="n">
        <v>44538</v>
      </c>
      <c r="D11" s="6" t="n">
        <f aca="false">IFERROR(C11-B11,"")</f>
        <v>4876</v>
      </c>
      <c r="E11" s="5" t="n">
        <v>5800</v>
      </c>
      <c r="F11" s="6" t="n">
        <f aca="false">IFERROR(D11-E11,"")</f>
        <v>-924</v>
      </c>
      <c r="G11" s="7" t="n">
        <f aca="false">IFERROR(D11/B11,"")</f>
        <v>0.122938833140033</v>
      </c>
      <c r="H11" s="6" t="n">
        <f aca="false">IFERROR(E11-E10,"")</f>
        <v>800</v>
      </c>
    </row>
    <row r="12" customFormat="false" ht="15" hidden="false" customHeight="false" outlineLevel="0" collapsed="false">
      <c r="A12" s="9" t="s">
        <v>17</v>
      </c>
      <c r="B12" s="10" t="n">
        <v>44538</v>
      </c>
      <c r="C12" s="10" t="n">
        <v>23073</v>
      </c>
      <c r="D12" s="11" t="n">
        <f aca="false">IFERROR(C12-B12,"")</f>
        <v>-21465</v>
      </c>
      <c r="E12" s="10" t="n">
        <v>-1900</v>
      </c>
      <c r="F12" s="11" t="n">
        <f aca="false">IFERROR(D12-E12,"")</f>
        <v>-19565</v>
      </c>
      <c r="G12" s="12" t="n">
        <f aca="false">IFERROR(D12/B12,"")</f>
        <v>-0.481947999461134</v>
      </c>
      <c r="H12" s="11" t="n">
        <f aca="false">IFERROR(E12-E11,"")</f>
        <v>-7700</v>
      </c>
    </row>
    <row r="13" customFormat="false" ht="15" hidden="false" customHeight="false" outlineLevel="0" collapsed="false">
      <c r="A13" s="4" t="s">
        <v>18</v>
      </c>
      <c r="B13" s="5" t="n">
        <v>23073</v>
      </c>
      <c r="C13" s="5" t="n">
        <v>29600</v>
      </c>
      <c r="D13" s="6" t="n">
        <f aca="false">IFERROR(C13-B13,"")</f>
        <v>6527</v>
      </c>
      <c r="E13" s="5" t="n">
        <v>19000</v>
      </c>
      <c r="F13" s="6" t="n">
        <f aca="false">IFERROR(D13-E13,"")</f>
        <v>-12473</v>
      </c>
      <c r="G13" s="7" t="n">
        <f aca="false">IFERROR(D13/B13,"")</f>
        <v>0.28288475707537</v>
      </c>
      <c r="H13" s="6" t="n">
        <f aca="false">IFERROR(E13-E12,"")</f>
        <v>20900</v>
      </c>
    </row>
    <row r="14" customFormat="false" ht="15" hidden="false" customHeight="false" outlineLevel="0" collapsed="false">
      <c r="A14" s="9" t="s">
        <v>19</v>
      </c>
      <c r="B14" s="10" t="n">
        <v>29600</v>
      </c>
      <c r="C14" s="10" t="n">
        <v>41100</v>
      </c>
      <c r="D14" s="11" t="n">
        <f aca="false">IFERROR(C14-B14,"")</f>
        <v>11500</v>
      </c>
      <c r="E14" s="10" t="n">
        <v>4500</v>
      </c>
      <c r="F14" s="11" t="n">
        <f aca="false">IFERROR(D14-E14,"")</f>
        <v>7000</v>
      </c>
      <c r="G14" s="12" t="n">
        <f aca="false">IFERROR(D14/B14,"")</f>
        <v>0.388513513513514</v>
      </c>
      <c r="H14" s="11" t="n">
        <f aca="false">IFERROR(E14-E13,"")</f>
        <v>-14500</v>
      </c>
    </row>
    <row r="15" customFormat="false" ht="15" hidden="false" customHeight="false" outlineLevel="0" collapsed="false">
      <c r="A15" s="4" t="s">
        <v>20</v>
      </c>
      <c r="B15" s="5" t="n">
        <v>41100</v>
      </c>
      <c r="C15" s="13" t="n">
        <f aca="false">'Detalle Diario 2026'!B85</f>
        <v>46286</v>
      </c>
      <c r="D15" s="6" t="n">
        <f aca="false">IFERROR(C15-B15,"")</f>
        <v>5186</v>
      </c>
      <c r="E15" s="13" t="n">
        <f aca="false">'Detalle Diario 2026'!I85</f>
        <v>6491</v>
      </c>
      <c r="F15" s="6" t="n">
        <f aca="false">IFERROR(D15-E15,"")</f>
        <v>-1305</v>
      </c>
      <c r="G15" s="7" t="n">
        <f aca="false">IFERROR(D15/B15,"")</f>
        <v>0.126180048661801</v>
      </c>
      <c r="H15" s="6" t="n">
        <f aca="false">IFERROR(E15-E14,"")</f>
        <v>1991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13" min="2" style="0" width="10"/>
  </cols>
  <sheetData>
    <row r="1" customFormat="false" ht="17.35" hidden="false" customHeight="false" outlineLevel="0" collapsed="false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4" customFormat="false" ht="15" hidden="false" customHeight="false" outlineLevel="0" collapsed="false">
      <c r="A4" s="3" t="s">
        <v>2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  <c r="L4" s="3" t="s">
        <v>32</v>
      </c>
      <c r="M4" s="3" t="s">
        <v>33</v>
      </c>
    </row>
    <row r="5" customFormat="false" ht="15" hidden="false" customHeight="false" outlineLevel="0" collapsed="false">
      <c r="A5" s="4" t="s">
        <v>10</v>
      </c>
      <c r="B5" s="6" t="n">
        <f aca="false">ROUND('Resumen Anual'!E5*0.05,0)</f>
        <v>170</v>
      </c>
      <c r="C5" s="6" t="n">
        <f aca="false">ROUND('Resumen Anual'!E5*0.11,0)</f>
        <v>374</v>
      </c>
      <c r="D5" s="6" t="n">
        <f aca="false">ROUND('Resumen Anual'!E5*0.21,0)</f>
        <v>714</v>
      </c>
      <c r="E5" s="6" t="n">
        <f aca="false">ROUND('Resumen Anual'!E5*0.34,0)</f>
        <v>1156</v>
      </c>
      <c r="F5" s="6" t="n">
        <f aca="false">ROUND('Resumen Anual'!E5*0.47,0)</f>
        <v>1598</v>
      </c>
      <c r="G5" s="6" t="n">
        <f aca="false">ROUND('Resumen Anual'!E5*0.59,0)</f>
        <v>2006</v>
      </c>
      <c r="H5" s="6" t="n">
        <f aca="false">ROUND('Resumen Anual'!E5*0.7,0)</f>
        <v>2380</v>
      </c>
      <c r="I5" s="6" t="n">
        <f aca="false">ROUND('Resumen Anual'!E5*0.79,0)</f>
        <v>2686</v>
      </c>
      <c r="J5" s="6" t="n">
        <f aca="false">ROUND('Resumen Anual'!E5*0.87,0)</f>
        <v>2958</v>
      </c>
      <c r="K5" s="6" t="n">
        <f aca="false">ROUND('Resumen Anual'!E5*0.93,0)</f>
        <v>3162</v>
      </c>
      <c r="L5" s="6" t="n">
        <f aca="false">ROUND('Resumen Anual'!E5*0.97,0)</f>
        <v>3298</v>
      </c>
      <c r="M5" s="6" t="n">
        <f aca="false">ROUND('Resumen Anual'!E5*1,0)</f>
        <v>3400</v>
      </c>
    </row>
    <row r="6" customFormat="false" ht="15" hidden="false" customHeight="false" outlineLevel="0" collapsed="false">
      <c r="A6" s="4" t="s">
        <v>11</v>
      </c>
      <c r="B6" s="6" t="n">
        <f aca="false">ROUND('Resumen Anual'!E6*0.05,0)</f>
        <v>295</v>
      </c>
      <c r="C6" s="6" t="n">
        <f aca="false">ROUND('Resumen Anual'!E6*0.11,0)</f>
        <v>649</v>
      </c>
      <c r="D6" s="6" t="n">
        <f aca="false">ROUND('Resumen Anual'!E6*0.21,0)</f>
        <v>1239</v>
      </c>
      <c r="E6" s="6" t="n">
        <f aca="false">ROUND('Resumen Anual'!E6*0.34,0)</f>
        <v>2006</v>
      </c>
      <c r="F6" s="6" t="n">
        <f aca="false">ROUND('Resumen Anual'!E6*0.47,0)</f>
        <v>2773</v>
      </c>
      <c r="G6" s="6" t="n">
        <f aca="false">ROUND('Resumen Anual'!E6*0.59,0)</f>
        <v>3481</v>
      </c>
      <c r="H6" s="6" t="n">
        <f aca="false">ROUND('Resumen Anual'!E6*0.7,0)</f>
        <v>4130</v>
      </c>
      <c r="I6" s="6" t="n">
        <f aca="false">ROUND('Resumen Anual'!E6*0.79,0)</f>
        <v>4661</v>
      </c>
      <c r="J6" s="6" t="n">
        <f aca="false">ROUND('Resumen Anual'!E6*0.87,0)</f>
        <v>5133</v>
      </c>
      <c r="K6" s="6" t="n">
        <f aca="false">ROUND('Resumen Anual'!E6*0.93,0)</f>
        <v>5487</v>
      </c>
      <c r="L6" s="6" t="n">
        <f aca="false">ROUND('Resumen Anual'!E6*0.97,0)</f>
        <v>5723</v>
      </c>
      <c r="M6" s="6" t="n">
        <f aca="false">ROUND('Resumen Anual'!E6*1,0)</f>
        <v>5900</v>
      </c>
    </row>
    <row r="7" customFormat="false" ht="15" hidden="false" customHeight="false" outlineLevel="0" collapsed="false">
      <c r="A7" s="4" t="s">
        <v>12</v>
      </c>
      <c r="B7" s="6" t="n">
        <f aca="false">ROUND('Resumen Anual'!E7*0.05,0)</f>
        <v>-110</v>
      </c>
      <c r="C7" s="6" t="n">
        <f aca="false">ROUND('Resumen Anual'!E7*0.11,0)</f>
        <v>-242</v>
      </c>
      <c r="D7" s="6" t="n">
        <f aca="false">ROUND('Resumen Anual'!E7*0.21,0)</f>
        <v>-462</v>
      </c>
      <c r="E7" s="6" t="n">
        <f aca="false">ROUND('Resumen Anual'!E7*0.34,0)</f>
        <v>-748</v>
      </c>
      <c r="F7" s="6" t="n">
        <f aca="false">ROUND('Resumen Anual'!E7*0.47,0)</f>
        <v>-1034</v>
      </c>
      <c r="G7" s="6" t="n">
        <f aca="false">ROUND('Resumen Anual'!E7*0.59,0)</f>
        <v>-1298</v>
      </c>
      <c r="H7" s="6" t="n">
        <f aca="false">ROUND('Resumen Anual'!E7*0.7,0)</f>
        <v>-1540</v>
      </c>
      <c r="I7" s="6" t="n">
        <f aca="false">ROUND('Resumen Anual'!E7*0.79,0)</f>
        <v>-1738</v>
      </c>
      <c r="J7" s="6" t="n">
        <f aca="false">ROUND('Resumen Anual'!E7*0.87,0)</f>
        <v>-1914</v>
      </c>
      <c r="K7" s="6" t="n">
        <f aca="false">ROUND('Resumen Anual'!E7*0.93,0)</f>
        <v>-2046</v>
      </c>
      <c r="L7" s="6" t="n">
        <f aca="false">ROUND('Resumen Anual'!E7*0.97,0)</f>
        <v>-2134</v>
      </c>
      <c r="M7" s="6" t="n">
        <f aca="false">ROUND('Resumen Anual'!E7*1,0)</f>
        <v>-2200</v>
      </c>
    </row>
    <row r="8" customFormat="false" ht="15" hidden="false" customHeight="false" outlineLevel="0" collapsed="false">
      <c r="A8" s="4" t="s">
        <v>13</v>
      </c>
      <c r="B8" s="6" t="n">
        <f aca="false">ROUND('Resumen Anual'!E8*0.05,0)</f>
        <v>-750</v>
      </c>
      <c r="C8" s="6" t="n">
        <f aca="false">ROUND('Resumen Anual'!E8*0.11,0)</f>
        <v>-1650</v>
      </c>
      <c r="D8" s="6" t="n">
        <f aca="false">ROUND('Resumen Anual'!E8*0.21,0)</f>
        <v>-3150</v>
      </c>
      <c r="E8" s="6" t="n">
        <f aca="false">ROUND('Resumen Anual'!E8*0.34,0)</f>
        <v>-5100</v>
      </c>
      <c r="F8" s="6" t="n">
        <f aca="false">ROUND('Resumen Anual'!E8*0.47,0)</f>
        <v>-7050</v>
      </c>
      <c r="G8" s="6" t="n">
        <f aca="false">ROUND('Resumen Anual'!E8*0.59,0)</f>
        <v>-8850</v>
      </c>
      <c r="H8" s="6" t="n">
        <f aca="false">ROUND('Resumen Anual'!E8*0.7,0)</f>
        <v>-10500</v>
      </c>
      <c r="I8" s="6" t="n">
        <f aca="false">ROUND('Resumen Anual'!E8*0.79,0)</f>
        <v>-11850</v>
      </c>
      <c r="J8" s="6" t="n">
        <f aca="false">ROUND('Resumen Anual'!E8*0.87,0)</f>
        <v>-13050</v>
      </c>
      <c r="K8" s="6" t="n">
        <f aca="false">ROUND('Resumen Anual'!E8*0.93,0)</f>
        <v>-13950</v>
      </c>
      <c r="L8" s="6" t="n">
        <f aca="false">ROUND('Resumen Anual'!E8*0.97,0)</f>
        <v>-14550</v>
      </c>
      <c r="M8" s="6" t="n">
        <f aca="false">ROUND('Resumen Anual'!E8*1,0)</f>
        <v>-15000</v>
      </c>
    </row>
    <row r="9" customFormat="false" ht="15" hidden="false" customHeight="false" outlineLevel="0" collapsed="false">
      <c r="A9" s="4" t="s">
        <v>14</v>
      </c>
      <c r="B9" s="6" t="n">
        <f aca="false">ROUND('Resumen Anual'!E9*0.05,0)</f>
        <v>10</v>
      </c>
      <c r="C9" s="6" t="n">
        <f aca="false">ROUND('Resumen Anual'!E9*0.11,0)</f>
        <v>22</v>
      </c>
      <c r="D9" s="6" t="n">
        <f aca="false">ROUND('Resumen Anual'!E9*0.21,0)</f>
        <v>42</v>
      </c>
      <c r="E9" s="6" t="n">
        <f aca="false">ROUND('Resumen Anual'!E9*0.34,0)</f>
        <v>68</v>
      </c>
      <c r="F9" s="6" t="n">
        <f aca="false">ROUND('Resumen Anual'!E9*0.47,0)</f>
        <v>94</v>
      </c>
      <c r="G9" s="6" t="n">
        <f aca="false">ROUND('Resumen Anual'!E9*0.59,0)</f>
        <v>118</v>
      </c>
      <c r="H9" s="6" t="n">
        <f aca="false">ROUND('Resumen Anual'!E9*0.7,0)</f>
        <v>140</v>
      </c>
      <c r="I9" s="6" t="n">
        <f aca="false">ROUND('Resumen Anual'!E9*0.79,0)</f>
        <v>158</v>
      </c>
      <c r="J9" s="6" t="n">
        <f aca="false">ROUND('Resumen Anual'!E9*0.87,0)</f>
        <v>174</v>
      </c>
      <c r="K9" s="6" t="n">
        <f aca="false">ROUND('Resumen Anual'!E9*0.93,0)</f>
        <v>186</v>
      </c>
      <c r="L9" s="6" t="n">
        <f aca="false">ROUND('Resumen Anual'!E9*0.97,0)</f>
        <v>194</v>
      </c>
      <c r="M9" s="6" t="n">
        <f aca="false">ROUND('Resumen Anual'!E9*1,0)</f>
        <v>200</v>
      </c>
    </row>
    <row r="10" customFormat="false" ht="15" hidden="false" customHeight="false" outlineLevel="0" collapsed="false">
      <c r="A10" s="4" t="s">
        <v>15</v>
      </c>
      <c r="B10" s="6" t="n">
        <f aca="false">ROUND('Resumen Anual'!E10*0.05,0)</f>
        <v>250</v>
      </c>
      <c r="C10" s="6" t="n">
        <f aca="false">ROUND('Resumen Anual'!E10*0.11,0)</f>
        <v>550</v>
      </c>
      <c r="D10" s="6" t="n">
        <f aca="false">ROUND('Resumen Anual'!E10*0.21,0)</f>
        <v>1050</v>
      </c>
      <c r="E10" s="6" t="n">
        <f aca="false">ROUND('Resumen Anual'!E10*0.34,0)</f>
        <v>1700</v>
      </c>
      <c r="F10" s="6" t="n">
        <f aca="false">ROUND('Resumen Anual'!E10*0.47,0)</f>
        <v>2350</v>
      </c>
      <c r="G10" s="6" t="n">
        <f aca="false">ROUND('Resumen Anual'!E10*0.59,0)</f>
        <v>2950</v>
      </c>
      <c r="H10" s="6" t="n">
        <f aca="false">ROUND('Resumen Anual'!E10*0.7,0)</f>
        <v>3500</v>
      </c>
      <c r="I10" s="6" t="n">
        <f aca="false">ROUND('Resumen Anual'!E10*0.79,0)</f>
        <v>3950</v>
      </c>
      <c r="J10" s="6" t="n">
        <f aca="false">ROUND('Resumen Anual'!E10*0.87,0)</f>
        <v>4350</v>
      </c>
      <c r="K10" s="6" t="n">
        <f aca="false">ROUND('Resumen Anual'!E10*0.93,0)</f>
        <v>4650</v>
      </c>
      <c r="L10" s="6" t="n">
        <f aca="false">ROUND('Resumen Anual'!E10*0.97,0)</f>
        <v>4850</v>
      </c>
      <c r="M10" s="6" t="n">
        <f aca="false">ROUND('Resumen Anual'!E10*1,0)</f>
        <v>5000</v>
      </c>
    </row>
    <row r="11" customFormat="false" ht="15" hidden="false" customHeight="false" outlineLevel="0" collapsed="false">
      <c r="A11" s="4" t="s">
        <v>16</v>
      </c>
      <c r="B11" s="6" t="n">
        <f aca="false">ROUND('Resumen Anual'!E11*0.05,0)</f>
        <v>290</v>
      </c>
      <c r="C11" s="6" t="n">
        <f aca="false">ROUND('Resumen Anual'!E11*0.11,0)</f>
        <v>638</v>
      </c>
      <c r="D11" s="6" t="n">
        <f aca="false">ROUND('Resumen Anual'!E11*0.21,0)</f>
        <v>1218</v>
      </c>
      <c r="E11" s="6" t="n">
        <f aca="false">ROUND('Resumen Anual'!E11*0.34,0)</f>
        <v>1972</v>
      </c>
      <c r="F11" s="6" t="n">
        <f aca="false">ROUND('Resumen Anual'!E11*0.47,0)</f>
        <v>2726</v>
      </c>
      <c r="G11" s="6" t="n">
        <f aca="false">ROUND('Resumen Anual'!E11*0.59,0)</f>
        <v>3422</v>
      </c>
      <c r="H11" s="6" t="n">
        <f aca="false">ROUND('Resumen Anual'!E11*0.7,0)</f>
        <v>4060</v>
      </c>
      <c r="I11" s="6" t="n">
        <f aca="false">ROUND('Resumen Anual'!E11*0.79,0)</f>
        <v>4582</v>
      </c>
      <c r="J11" s="6" t="n">
        <f aca="false">ROUND('Resumen Anual'!E11*0.87,0)</f>
        <v>5046</v>
      </c>
      <c r="K11" s="6" t="n">
        <f aca="false">ROUND('Resumen Anual'!E11*0.93,0)</f>
        <v>5394</v>
      </c>
      <c r="L11" s="6" t="n">
        <f aca="false">ROUND('Resumen Anual'!E11*0.97,0)</f>
        <v>5626</v>
      </c>
      <c r="M11" s="6" t="n">
        <f aca="false">ROUND('Resumen Anual'!E11*1,0)</f>
        <v>5800</v>
      </c>
    </row>
    <row r="12" customFormat="false" ht="15" hidden="false" customHeight="false" outlineLevel="0" collapsed="false">
      <c r="A12" s="4" t="s">
        <v>17</v>
      </c>
      <c r="B12" s="6" t="n">
        <f aca="false">ROUND('Resumen Anual'!E12*0.05,0)</f>
        <v>-95</v>
      </c>
      <c r="C12" s="6" t="n">
        <f aca="false">ROUND('Resumen Anual'!E12*0.11,0)</f>
        <v>-209</v>
      </c>
      <c r="D12" s="6" t="n">
        <f aca="false">ROUND('Resumen Anual'!E12*0.21,0)</f>
        <v>-399</v>
      </c>
      <c r="E12" s="6" t="n">
        <f aca="false">ROUND('Resumen Anual'!E12*0.34,0)</f>
        <v>-646</v>
      </c>
      <c r="F12" s="6" t="n">
        <f aca="false">ROUND('Resumen Anual'!E12*0.47,0)</f>
        <v>-893</v>
      </c>
      <c r="G12" s="6" t="n">
        <f aca="false">ROUND('Resumen Anual'!E12*0.59,0)</f>
        <v>-1121</v>
      </c>
      <c r="H12" s="6" t="n">
        <f aca="false">ROUND('Resumen Anual'!E12*0.7,0)</f>
        <v>-1330</v>
      </c>
      <c r="I12" s="6" t="n">
        <f aca="false">ROUND('Resumen Anual'!E12*0.79,0)</f>
        <v>-1501</v>
      </c>
      <c r="J12" s="6" t="n">
        <f aca="false">ROUND('Resumen Anual'!E12*0.87,0)</f>
        <v>-1653</v>
      </c>
      <c r="K12" s="6" t="n">
        <f aca="false">ROUND('Resumen Anual'!E12*0.93,0)</f>
        <v>-1767</v>
      </c>
      <c r="L12" s="6" t="n">
        <f aca="false">ROUND('Resumen Anual'!E12*0.97,0)</f>
        <v>-1843</v>
      </c>
      <c r="M12" s="6" t="n">
        <f aca="false">ROUND('Resumen Anual'!E12*1,0)</f>
        <v>-1900</v>
      </c>
    </row>
    <row r="13" customFormat="false" ht="15" hidden="false" customHeight="false" outlineLevel="0" collapsed="false">
      <c r="A13" s="4" t="s">
        <v>18</v>
      </c>
      <c r="B13" s="6" t="n">
        <f aca="false">ROUND('Resumen Anual'!E13*0.05,0)</f>
        <v>950</v>
      </c>
      <c r="C13" s="6" t="n">
        <f aca="false">ROUND('Resumen Anual'!E13*0.11,0)</f>
        <v>2090</v>
      </c>
      <c r="D13" s="6" t="n">
        <f aca="false">ROUND('Resumen Anual'!E13*0.21,0)</f>
        <v>3990</v>
      </c>
      <c r="E13" s="6" t="n">
        <f aca="false">ROUND('Resumen Anual'!E13*0.34,0)</f>
        <v>6460</v>
      </c>
      <c r="F13" s="6" t="n">
        <f aca="false">ROUND('Resumen Anual'!E13*0.47,0)</f>
        <v>8930</v>
      </c>
      <c r="G13" s="6" t="n">
        <f aca="false">ROUND('Resumen Anual'!E13*0.59,0)</f>
        <v>11210</v>
      </c>
      <c r="H13" s="6" t="n">
        <f aca="false">ROUND('Resumen Anual'!E13*0.7,0)</f>
        <v>13300</v>
      </c>
      <c r="I13" s="6" t="n">
        <f aca="false">ROUND('Resumen Anual'!E13*0.79,0)</f>
        <v>15010</v>
      </c>
      <c r="J13" s="6" t="n">
        <f aca="false">ROUND('Resumen Anual'!E13*0.87,0)</f>
        <v>16530</v>
      </c>
      <c r="K13" s="6" t="n">
        <f aca="false">ROUND('Resumen Anual'!E13*0.93,0)</f>
        <v>17670</v>
      </c>
      <c r="L13" s="6" t="n">
        <f aca="false">ROUND('Resumen Anual'!E13*0.97,0)</f>
        <v>18430</v>
      </c>
      <c r="M13" s="6" t="n">
        <f aca="false">ROUND('Resumen Anual'!E13*1,0)</f>
        <v>19000</v>
      </c>
    </row>
    <row r="14" customFormat="false" ht="15" hidden="false" customHeight="false" outlineLevel="0" collapsed="false">
      <c r="A14" s="4" t="s">
        <v>19</v>
      </c>
      <c r="B14" s="6" t="n">
        <f aca="false">ROUND('Resumen Anual'!E14*0.05,0)</f>
        <v>225</v>
      </c>
      <c r="C14" s="6" t="n">
        <f aca="false">ROUND('Resumen Anual'!E14*0.11,0)</f>
        <v>495</v>
      </c>
      <c r="D14" s="6" t="n">
        <f aca="false">ROUND('Resumen Anual'!E14*0.21,0)</f>
        <v>945</v>
      </c>
      <c r="E14" s="6" t="n">
        <f aca="false">ROUND('Resumen Anual'!E14*0.34,0)</f>
        <v>1530</v>
      </c>
      <c r="F14" s="6" t="n">
        <f aca="false">ROUND('Resumen Anual'!E14*0.47,0)</f>
        <v>2115</v>
      </c>
      <c r="G14" s="6" t="n">
        <f aca="false">ROUND('Resumen Anual'!E14*0.59,0)</f>
        <v>2655</v>
      </c>
      <c r="H14" s="6" t="n">
        <f aca="false">ROUND('Resumen Anual'!E14*0.7,0)</f>
        <v>3150</v>
      </c>
      <c r="I14" s="6" t="n">
        <f aca="false">ROUND('Resumen Anual'!E14*0.79,0)</f>
        <v>3555</v>
      </c>
      <c r="J14" s="6" t="n">
        <f aca="false">ROUND('Resumen Anual'!E14*0.87,0)</f>
        <v>3915</v>
      </c>
      <c r="K14" s="6" t="n">
        <f aca="false">ROUND('Resumen Anual'!E14*0.93,0)</f>
        <v>4185</v>
      </c>
      <c r="L14" s="6" t="n">
        <f aca="false">ROUND('Resumen Anual'!E14*0.97,0)</f>
        <v>4365</v>
      </c>
      <c r="M14" s="6" t="n">
        <f aca="false">ROUND('Resumen Anual'!E14*1,0)</f>
        <v>4500</v>
      </c>
    </row>
    <row r="15" customFormat="false" ht="15" hidden="false" customHeight="false" outlineLevel="0" collapsed="false">
      <c r="A15" s="4" t="s">
        <v>20</v>
      </c>
      <c r="B15" s="5" t="n">
        <v>1400</v>
      </c>
      <c r="C15" s="5" t="n">
        <v>3200</v>
      </c>
      <c r="D15" s="5" t="n">
        <v>4900</v>
      </c>
      <c r="E15" s="5" t="n">
        <v>6500</v>
      </c>
      <c r="F15" s="8"/>
      <c r="G15" s="8"/>
      <c r="H15" s="8"/>
      <c r="I15" s="8"/>
      <c r="J15" s="8"/>
      <c r="K15" s="8"/>
      <c r="L15" s="8"/>
      <c r="M15" s="8"/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13" min="2" style="0" width="11"/>
  </cols>
  <sheetData>
    <row r="1" customFormat="false" ht="17.35" hidden="false" customHeight="false" outlineLevel="0" collapsed="false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3" t="s">
        <v>2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  <c r="L4" s="3" t="s">
        <v>32</v>
      </c>
      <c r="M4" s="3" t="s">
        <v>33</v>
      </c>
    </row>
    <row r="5" customFormat="false" ht="15" hidden="false" customHeight="false" outlineLevel="0" collapsed="false">
      <c r="A5" s="4" t="s">
        <v>10</v>
      </c>
      <c r="B5" s="14" t="n">
        <f aca="false">'Rolling 12m'!C5</f>
        <v>170</v>
      </c>
      <c r="C5" s="14" t="n">
        <f aca="false">'Rolling 12m'!C6</f>
        <v>204</v>
      </c>
      <c r="D5" s="14" t="n">
        <f aca="false">'Rolling 12m'!C7</f>
        <v>340</v>
      </c>
      <c r="E5" s="14" t="n">
        <f aca="false">'Rolling 12m'!C8</f>
        <v>442</v>
      </c>
      <c r="F5" s="14" t="n">
        <f aca="false">'Rolling 12m'!C9</f>
        <v>442</v>
      </c>
      <c r="G5" s="14" t="n">
        <f aca="false">'Rolling 12m'!C10</f>
        <v>408</v>
      </c>
      <c r="H5" s="14" t="n">
        <f aca="false">'Rolling 12m'!C11</f>
        <v>374</v>
      </c>
      <c r="I5" s="14" t="n">
        <f aca="false">'Rolling 12m'!C12</f>
        <v>306</v>
      </c>
      <c r="J5" s="14" t="n">
        <f aca="false">'Rolling 12m'!C13</f>
        <v>272</v>
      </c>
      <c r="K5" s="14" t="n">
        <f aca="false">'Rolling 12m'!C14</f>
        <v>204</v>
      </c>
      <c r="L5" s="14" t="n">
        <f aca="false">'Rolling 12m'!C15</f>
        <v>136</v>
      </c>
      <c r="M5" s="14" t="n">
        <f aca="false">'Rolling 12m'!C16</f>
        <v>102</v>
      </c>
    </row>
    <row r="6" customFormat="false" ht="15" hidden="false" customHeight="false" outlineLevel="0" collapsed="false">
      <c r="A6" s="4" t="s">
        <v>11</v>
      </c>
      <c r="B6" s="14" t="n">
        <f aca="false">'Rolling 12m'!C17</f>
        <v>295</v>
      </c>
      <c r="C6" s="14" t="n">
        <f aca="false">'Rolling 12m'!C18</f>
        <v>354</v>
      </c>
      <c r="D6" s="14" t="n">
        <f aca="false">'Rolling 12m'!C19</f>
        <v>590</v>
      </c>
      <c r="E6" s="14" t="n">
        <f aca="false">'Rolling 12m'!C20</f>
        <v>767</v>
      </c>
      <c r="F6" s="14" t="n">
        <f aca="false">'Rolling 12m'!C21</f>
        <v>767</v>
      </c>
      <c r="G6" s="14" t="n">
        <f aca="false">'Rolling 12m'!C22</f>
        <v>708</v>
      </c>
      <c r="H6" s="14" t="n">
        <f aca="false">'Rolling 12m'!C23</f>
        <v>649</v>
      </c>
      <c r="I6" s="14" t="n">
        <f aca="false">'Rolling 12m'!C24</f>
        <v>531</v>
      </c>
      <c r="J6" s="14" t="n">
        <f aca="false">'Rolling 12m'!C25</f>
        <v>472</v>
      </c>
      <c r="K6" s="14" t="n">
        <f aca="false">'Rolling 12m'!C26</f>
        <v>354</v>
      </c>
      <c r="L6" s="14" t="n">
        <f aca="false">'Rolling 12m'!C27</f>
        <v>236</v>
      </c>
      <c r="M6" s="14" t="n">
        <f aca="false">'Rolling 12m'!C28</f>
        <v>177</v>
      </c>
    </row>
    <row r="7" customFormat="false" ht="15" hidden="false" customHeight="false" outlineLevel="0" collapsed="false">
      <c r="A7" s="4" t="s">
        <v>12</v>
      </c>
      <c r="B7" s="14" t="n">
        <f aca="false">'Rolling 12m'!C29</f>
        <v>-110</v>
      </c>
      <c r="C7" s="14" t="n">
        <f aca="false">'Rolling 12m'!C30</f>
        <v>-132</v>
      </c>
      <c r="D7" s="14" t="n">
        <f aca="false">'Rolling 12m'!C31</f>
        <v>-220</v>
      </c>
      <c r="E7" s="14" t="n">
        <f aca="false">'Rolling 12m'!C32</f>
        <v>-286</v>
      </c>
      <c r="F7" s="14" t="n">
        <f aca="false">'Rolling 12m'!C33</f>
        <v>-286</v>
      </c>
      <c r="G7" s="14" t="n">
        <f aca="false">'Rolling 12m'!C34</f>
        <v>-264</v>
      </c>
      <c r="H7" s="14" t="n">
        <f aca="false">'Rolling 12m'!C35</f>
        <v>-242</v>
      </c>
      <c r="I7" s="14" t="n">
        <f aca="false">'Rolling 12m'!C36</f>
        <v>-198</v>
      </c>
      <c r="J7" s="14" t="n">
        <f aca="false">'Rolling 12m'!C37</f>
        <v>-176</v>
      </c>
      <c r="K7" s="14" t="n">
        <f aca="false">'Rolling 12m'!C38</f>
        <v>-132</v>
      </c>
      <c r="L7" s="14" t="n">
        <f aca="false">'Rolling 12m'!C39</f>
        <v>-88</v>
      </c>
      <c r="M7" s="14" t="n">
        <f aca="false">'Rolling 12m'!C40</f>
        <v>-66</v>
      </c>
    </row>
    <row r="8" customFormat="false" ht="15" hidden="false" customHeight="false" outlineLevel="0" collapsed="false">
      <c r="A8" s="4" t="s">
        <v>13</v>
      </c>
      <c r="B8" s="14" t="n">
        <f aca="false">'Rolling 12m'!C41</f>
        <v>-750</v>
      </c>
      <c r="C8" s="14" t="n">
        <f aca="false">'Rolling 12m'!C42</f>
        <v>-900</v>
      </c>
      <c r="D8" s="14" t="n">
        <f aca="false">'Rolling 12m'!C43</f>
        <v>-1500</v>
      </c>
      <c r="E8" s="14" t="n">
        <f aca="false">'Rolling 12m'!C44</f>
        <v>-1950</v>
      </c>
      <c r="F8" s="14" t="n">
        <f aca="false">'Rolling 12m'!C45</f>
        <v>-1950</v>
      </c>
      <c r="G8" s="14" t="n">
        <f aca="false">'Rolling 12m'!C46</f>
        <v>-1800</v>
      </c>
      <c r="H8" s="14" t="n">
        <f aca="false">'Rolling 12m'!C47</f>
        <v>-1650</v>
      </c>
      <c r="I8" s="14" t="n">
        <f aca="false">'Rolling 12m'!C48</f>
        <v>-1350</v>
      </c>
      <c r="J8" s="14" t="n">
        <f aca="false">'Rolling 12m'!C49</f>
        <v>-1200</v>
      </c>
      <c r="K8" s="14" t="n">
        <f aca="false">'Rolling 12m'!C50</f>
        <v>-900</v>
      </c>
      <c r="L8" s="14" t="n">
        <f aca="false">'Rolling 12m'!C51</f>
        <v>-600</v>
      </c>
      <c r="M8" s="14" t="n">
        <f aca="false">'Rolling 12m'!C52</f>
        <v>-450</v>
      </c>
    </row>
    <row r="9" customFormat="false" ht="15" hidden="false" customHeight="false" outlineLevel="0" collapsed="false">
      <c r="A9" s="4" t="s">
        <v>14</v>
      </c>
      <c r="B9" s="14" t="n">
        <f aca="false">'Rolling 12m'!C53</f>
        <v>10</v>
      </c>
      <c r="C9" s="14" t="n">
        <f aca="false">'Rolling 12m'!C54</f>
        <v>12</v>
      </c>
      <c r="D9" s="14" t="n">
        <f aca="false">'Rolling 12m'!C55</f>
        <v>20</v>
      </c>
      <c r="E9" s="14" t="n">
        <f aca="false">'Rolling 12m'!C56</f>
        <v>26</v>
      </c>
      <c r="F9" s="14" t="n">
        <f aca="false">'Rolling 12m'!C57</f>
        <v>26</v>
      </c>
      <c r="G9" s="14" t="n">
        <f aca="false">'Rolling 12m'!C58</f>
        <v>24</v>
      </c>
      <c r="H9" s="14" t="n">
        <f aca="false">'Rolling 12m'!C59</f>
        <v>22</v>
      </c>
      <c r="I9" s="14" t="n">
        <f aca="false">'Rolling 12m'!C60</f>
        <v>18</v>
      </c>
      <c r="J9" s="14" t="n">
        <f aca="false">'Rolling 12m'!C61</f>
        <v>16</v>
      </c>
      <c r="K9" s="14" t="n">
        <f aca="false">'Rolling 12m'!C62</f>
        <v>12</v>
      </c>
      <c r="L9" s="14" t="n">
        <f aca="false">'Rolling 12m'!C63</f>
        <v>8</v>
      </c>
      <c r="M9" s="14" t="n">
        <f aca="false">'Rolling 12m'!C64</f>
        <v>6</v>
      </c>
    </row>
    <row r="10" customFormat="false" ht="15" hidden="false" customHeight="false" outlineLevel="0" collapsed="false">
      <c r="A10" s="4" t="s">
        <v>15</v>
      </c>
      <c r="B10" s="14" t="n">
        <f aca="false">'Rolling 12m'!C65</f>
        <v>250</v>
      </c>
      <c r="C10" s="14" t="n">
        <f aca="false">'Rolling 12m'!C66</f>
        <v>300</v>
      </c>
      <c r="D10" s="14" t="n">
        <f aca="false">'Rolling 12m'!C67</f>
        <v>500</v>
      </c>
      <c r="E10" s="14" t="n">
        <f aca="false">'Rolling 12m'!C68</f>
        <v>650</v>
      </c>
      <c r="F10" s="14" t="n">
        <f aca="false">'Rolling 12m'!C69</f>
        <v>650</v>
      </c>
      <c r="G10" s="14" t="n">
        <f aca="false">'Rolling 12m'!C70</f>
        <v>600</v>
      </c>
      <c r="H10" s="14" t="n">
        <f aca="false">'Rolling 12m'!C71</f>
        <v>550</v>
      </c>
      <c r="I10" s="14" t="n">
        <f aca="false">'Rolling 12m'!C72</f>
        <v>450</v>
      </c>
      <c r="J10" s="14" t="n">
        <f aca="false">'Rolling 12m'!C73</f>
        <v>400</v>
      </c>
      <c r="K10" s="14" t="n">
        <f aca="false">'Rolling 12m'!C74</f>
        <v>300</v>
      </c>
      <c r="L10" s="14" t="n">
        <f aca="false">'Rolling 12m'!C75</f>
        <v>200</v>
      </c>
      <c r="M10" s="14" t="n">
        <f aca="false">'Rolling 12m'!C76</f>
        <v>150</v>
      </c>
    </row>
    <row r="11" customFormat="false" ht="15" hidden="false" customHeight="false" outlineLevel="0" collapsed="false">
      <c r="A11" s="4" t="s">
        <v>16</v>
      </c>
      <c r="B11" s="14" t="n">
        <f aca="false">'Rolling 12m'!C77</f>
        <v>290</v>
      </c>
      <c r="C11" s="14" t="n">
        <f aca="false">'Rolling 12m'!C78</f>
        <v>348</v>
      </c>
      <c r="D11" s="14" t="n">
        <f aca="false">'Rolling 12m'!C79</f>
        <v>580</v>
      </c>
      <c r="E11" s="14" t="n">
        <f aca="false">'Rolling 12m'!C80</f>
        <v>754</v>
      </c>
      <c r="F11" s="14" t="n">
        <f aca="false">'Rolling 12m'!C81</f>
        <v>754</v>
      </c>
      <c r="G11" s="14" t="n">
        <f aca="false">'Rolling 12m'!C82</f>
        <v>696</v>
      </c>
      <c r="H11" s="14" t="n">
        <f aca="false">'Rolling 12m'!C83</f>
        <v>638</v>
      </c>
      <c r="I11" s="14" t="n">
        <f aca="false">'Rolling 12m'!C84</f>
        <v>522</v>
      </c>
      <c r="J11" s="14" t="n">
        <f aca="false">'Rolling 12m'!C85</f>
        <v>464</v>
      </c>
      <c r="K11" s="14" t="n">
        <f aca="false">'Rolling 12m'!C86</f>
        <v>348</v>
      </c>
      <c r="L11" s="14" t="n">
        <f aca="false">'Rolling 12m'!C87</f>
        <v>232</v>
      </c>
      <c r="M11" s="14" t="n">
        <f aca="false">'Rolling 12m'!C88</f>
        <v>174</v>
      </c>
    </row>
    <row r="12" customFormat="false" ht="15" hidden="false" customHeight="false" outlineLevel="0" collapsed="false">
      <c r="A12" s="4" t="s">
        <v>17</v>
      </c>
      <c r="B12" s="14" t="n">
        <f aca="false">'Rolling 12m'!C89</f>
        <v>-95</v>
      </c>
      <c r="C12" s="14" t="n">
        <f aca="false">'Rolling 12m'!C90</f>
        <v>-114</v>
      </c>
      <c r="D12" s="14" t="n">
        <f aca="false">'Rolling 12m'!C91</f>
        <v>-190</v>
      </c>
      <c r="E12" s="14" t="n">
        <f aca="false">'Rolling 12m'!C92</f>
        <v>-247</v>
      </c>
      <c r="F12" s="14" t="n">
        <f aca="false">'Rolling 12m'!C93</f>
        <v>-247</v>
      </c>
      <c r="G12" s="14" t="n">
        <f aca="false">'Rolling 12m'!C94</f>
        <v>-228</v>
      </c>
      <c r="H12" s="14" t="n">
        <f aca="false">'Rolling 12m'!C95</f>
        <v>-209</v>
      </c>
      <c r="I12" s="14" t="n">
        <f aca="false">'Rolling 12m'!C96</f>
        <v>-171</v>
      </c>
      <c r="J12" s="14" t="n">
        <f aca="false">'Rolling 12m'!C97</f>
        <v>-152</v>
      </c>
      <c r="K12" s="14" t="n">
        <f aca="false">'Rolling 12m'!C98</f>
        <v>-114</v>
      </c>
      <c r="L12" s="14" t="n">
        <f aca="false">'Rolling 12m'!C99</f>
        <v>-76</v>
      </c>
      <c r="M12" s="14" t="n">
        <f aca="false">'Rolling 12m'!C100</f>
        <v>-57</v>
      </c>
    </row>
    <row r="13" customFormat="false" ht="15" hidden="false" customHeight="false" outlineLevel="0" collapsed="false">
      <c r="A13" s="4" t="s">
        <v>18</v>
      </c>
      <c r="B13" s="14" t="n">
        <f aca="false">'Rolling 12m'!C101</f>
        <v>950</v>
      </c>
      <c r="C13" s="14" t="n">
        <f aca="false">'Rolling 12m'!C102</f>
        <v>1140</v>
      </c>
      <c r="D13" s="14" t="n">
        <f aca="false">'Rolling 12m'!C103</f>
        <v>1900</v>
      </c>
      <c r="E13" s="14" t="n">
        <f aca="false">'Rolling 12m'!C104</f>
        <v>2470</v>
      </c>
      <c r="F13" s="14" t="n">
        <f aca="false">'Rolling 12m'!C105</f>
        <v>2470</v>
      </c>
      <c r="G13" s="14" t="n">
        <f aca="false">'Rolling 12m'!C106</f>
        <v>2280</v>
      </c>
      <c r="H13" s="14" t="n">
        <f aca="false">'Rolling 12m'!C107</f>
        <v>2090</v>
      </c>
      <c r="I13" s="14" t="n">
        <f aca="false">'Rolling 12m'!C108</f>
        <v>1710</v>
      </c>
      <c r="J13" s="14" t="n">
        <f aca="false">'Rolling 12m'!C109</f>
        <v>1520</v>
      </c>
      <c r="K13" s="14" t="n">
        <f aca="false">'Rolling 12m'!C110</f>
        <v>1140</v>
      </c>
      <c r="L13" s="14" t="n">
        <f aca="false">'Rolling 12m'!C111</f>
        <v>760</v>
      </c>
      <c r="M13" s="14" t="n">
        <f aca="false">'Rolling 12m'!C112</f>
        <v>570</v>
      </c>
    </row>
    <row r="14" customFormat="false" ht="15" hidden="false" customHeight="false" outlineLevel="0" collapsed="false">
      <c r="A14" s="4" t="s">
        <v>19</v>
      </c>
      <c r="B14" s="14" t="n">
        <f aca="false">'Rolling 12m'!C113</f>
        <v>225</v>
      </c>
      <c r="C14" s="14" t="n">
        <f aca="false">'Rolling 12m'!C114</f>
        <v>270</v>
      </c>
      <c r="D14" s="14" t="n">
        <f aca="false">'Rolling 12m'!C115</f>
        <v>450</v>
      </c>
      <c r="E14" s="14" t="n">
        <f aca="false">'Rolling 12m'!C116</f>
        <v>585</v>
      </c>
      <c r="F14" s="14" t="n">
        <f aca="false">'Rolling 12m'!C117</f>
        <v>585</v>
      </c>
      <c r="G14" s="14" t="n">
        <f aca="false">'Rolling 12m'!C118</f>
        <v>540</v>
      </c>
      <c r="H14" s="14" t="n">
        <f aca="false">'Rolling 12m'!C119</f>
        <v>495</v>
      </c>
      <c r="I14" s="14" t="n">
        <f aca="false">'Rolling 12m'!C120</f>
        <v>405</v>
      </c>
      <c r="J14" s="14" t="n">
        <f aca="false">'Rolling 12m'!C121</f>
        <v>360</v>
      </c>
      <c r="K14" s="14" t="n">
        <f aca="false">'Rolling 12m'!C122</f>
        <v>270</v>
      </c>
      <c r="L14" s="14" t="n">
        <f aca="false">'Rolling 12m'!C123</f>
        <v>180</v>
      </c>
      <c r="M14" s="14" t="n">
        <f aca="false">'Rolling 12m'!C124</f>
        <v>135</v>
      </c>
    </row>
    <row r="15" customFormat="false" ht="15" hidden="false" customHeight="false" outlineLevel="0" collapsed="false">
      <c r="A15" s="4" t="s">
        <v>20</v>
      </c>
      <c r="B15" s="14" t="n">
        <f aca="false">'Rolling 12m'!C125</f>
        <v>1400</v>
      </c>
      <c r="C15" s="14" t="n">
        <f aca="false">'Rolling 12m'!C126</f>
        <v>1800</v>
      </c>
      <c r="D15" s="14" t="n">
        <f aca="false">'Rolling 12m'!C127</f>
        <v>1700</v>
      </c>
      <c r="E15" s="14" t="n">
        <f aca="false">'Rolling 12m'!C128</f>
        <v>1600</v>
      </c>
      <c r="F15" s="15"/>
      <c r="G15" s="15"/>
      <c r="H15" s="15"/>
      <c r="I15" s="15"/>
      <c r="J15" s="15"/>
      <c r="K15" s="15"/>
      <c r="L15" s="15"/>
      <c r="M15" s="15"/>
    </row>
  </sheetData>
  <mergeCells count="2">
    <mergeCell ref="A1:M1"/>
    <mergeCell ref="A2:M2"/>
  </mergeCells>
  <conditionalFormatting sqref="B5:M15">
    <cfRule type="colorScale" priority="2">
      <colorScale>
        <cfvo type="num" val="-2000"/>
        <cfvo type="num" val="0"/>
        <cfvo type="num" val="2500"/>
        <color rgb="FFC00000"/>
        <color rgb="FFFFFFFF"/>
        <color rgb="FF00B05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2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36</v>
      </c>
      <c r="B1" s="1"/>
      <c r="C1" s="1"/>
      <c r="D1" s="1"/>
    </row>
    <row r="4" customFormat="false" ht="15" hidden="false" customHeight="false" outlineLevel="0" collapsed="false">
      <c r="A4" s="3" t="s">
        <v>2</v>
      </c>
      <c r="B4" s="3" t="s">
        <v>37</v>
      </c>
      <c r="C4" s="3" t="s">
        <v>38</v>
      </c>
      <c r="D4" s="3" t="s">
        <v>39</v>
      </c>
    </row>
    <row r="5" customFormat="false" ht="15" hidden="false" customHeight="false" outlineLevel="0" collapsed="false">
      <c r="A5" s="16" t="s">
        <v>10</v>
      </c>
      <c r="B5" s="16" t="s">
        <v>22</v>
      </c>
      <c r="C5" s="6" t="n">
        <f aca="false">ROUND('Resumen Anual'!E5*0.05,0)</f>
        <v>170</v>
      </c>
      <c r="D5" s="8"/>
    </row>
    <row r="6" customFormat="false" ht="15" hidden="false" customHeight="false" outlineLevel="0" collapsed="false">
      <c r="A6" s="16" t="s">
        <v>10</v>
      </c>
      <c r="B6" s="16" t="s">
        <v>23</v>
      </c>
      <c r="C6" s="6" t="n">
        <f aca="false">ROUND('Resumen Anual'!E5*0.06,0)</f>
        <v>204</v>
      </c>
      <c r="D6" s="8"/>
    </row>
    <row r="7" customFormat="false" ht="15" hidden="false" customHeight="false" outlineLevel="0" collapsed="false">
      <c r="A7" s="16" t="s">
        <v>10</v>
      </c>
      <c r="B7" s="16" t="s">
        <v>24</v>
      </c>
      <c r="C7" s="6" t="n">
        <f aca="false">ROUND('Resumen Anual'!E5*0.1,0)</f>
        <v>340</v>
      </c>
      <c r="D7" s="8"/>
    </row>
    <row r="8" customFormat="false" ht="15" hidden="false" customHeight="false" outlineLevel="0" collapsed="false">
      <c r="A8" s="16" t="s">
        <v>10</v>
      </c>
      <c r="B8" s="16" t="s">
        <v>25</v>
      </c>
      <c r="C8" s="6" t="n">
        <f aca="false">ROUND('Resumen Anual'!E5*0.13,0)</f>
        <v>442</v>
      </c>
      <c r="D8" s="8"/>
    </row>
    <row r="9" customFormat="false" ht="15" hidden="false" customHeight="false" outlineLevel="0" collapsed="false">
      <c r="A9" s="16" t="s">
        <v>10</v>
      </c>
      <c r="B9" s="16" t="s">
        <v>26</v>
      </c>
      <c r="C9" s="6" t="n">
        <f aca="false">ROUND('Resumen Anual'!E5*0.13,0)</f>
        <v>442</v>
      </c>
      <c r="D9" s="8"/>
    </row>
    <row r="10" customFormat="false" ht="15" hidden="false" customHeight="false" outlineLevel="0" collapsed="false">
      <c r="A10" s="16" t="s">
        <v>10</v>
      </c>
      <c r="B10" s="16" t="s">
        <v>27</v>
      </c>
      <c r="C10" s="6" t="n">
        <f aca="false">ROUND('Resumen Anual'!E5*0.12,0)</f>
        <v>408</v>
      </c>
      <c r="D10" s="8"/>
    </row>
    <row r="11" customFormat="false" ht="15" hidden="false" customHeight="false" outlineLevel="0" collapsed="false">
      <c r="A11" s="16" t="s">
        <v>10</v>
      </c>
      <c r="B11" s="16" t="s">
        <v>28</v>
      </c>
      <c r="C11" s="6" t="n">
        <f aca="false">ROUND('Resumen Anual'!E5*0.11,0)</f>
        <v>374</v>
      </c>
      <c r="D11" s="8"/>
    </row>
    <row r="12" customFormat="false" ht="15" hidden="false" customHeight="false" outlineLevel="0" collapsed="false">
      <c r="A12" s="16" t="s">
        <v>10</v>
      </c>
      <c r="B12" s="16" t="s">
        <v>29</v>
      </c>
      <c r="C12" s="6" t="n">
        <f aca="false">ROUND('Resumen Anual'!E5*0.09,0)</f>
        <v>306</v>
      </c>
      <c r="D12" s="8"/>
    </row>
    <row r="13" customFormat="false" ht="15" hidden="false" customHeight="false" outlineLevel="0" collapsed="false">
      <c r="A13" s="16" t="s">
        <v>10</v>
      </c>
      <c r="B13" s="16" t="s">
        <v>30</v>
      </c>
      <c r="C13" s="6" t="n">
        <f aca="false">ROUND('Resumen Anual'!E5*0.08,0)</f>
        <v>272</v>
      </c>
      <c r="D13" s="8"/>
    </row>
    <row r="14" customFormat="false" ht="15" hidden="false" customHeight="false" outlineLevel="0" collapsed="false">
      <c r="A14" s="16" t="s">
        <v>10</v>
      </c>
      <c r="B14" s="16" t="s">
        <v>31</v>
      </c>
      <c r="C14" s="6" t="n">
        <f aca="false">ROUND('Resumen Anual'!E5*0.06,0)</f>
        <v>204</v>
      </c>
      <c r="D14" s="8"/>
    </row>
    <row r="15" customFormat="false" ht="15" hidden="false" customHeight="false" outlineLevel="0" collapsed="false">
      <c r="A15" s="16" t="s">
        <v>10</v>
      </c>
      <c r="B15" s="16" t="s">
        <v>32</v>
      </c>
      <c r="C15" s="6" t="n">
        <f aca="false">ROUND('Resumen Anual'!E5*0.04,0)</f>
        <v>136</v>
      </c>
      <c r="D15" s="8"/>
    </row>
    <row r="16" customFormat="false" ht="15" hidden="false" customHeight="false" outlineLevel="0" collapsed="false">
      <c r="A16" s="16" t="s">
        <v>10</v>
      </c>
      <c r="B16" s="16" t="s">
        <v>33</v>
      </c>
      <c r="C16" s="6" t="n">
        <f aca="false">ROUND('Resumen Anual'!E5*0.03,0)</f>
        <v>102</v>
      </c>
      <c r="D16" s="6" t="n">
        <f aca="false">SUM(C5:C16)</f>
        <v>3400</v>
      </c>
    </row>
    <row r="17" customFormat="false" ht="15" hidden="false" customHeight="false" outlineLevel="0" collapsed="false">
      <c r="A17" s="16" t="s">
        <v>11</v>
      </c>
      <c r="B17" s="16" t="s">
        <v>22</v>
      </c>
      <c r="C17" s="6" t="n">
        <f aca="false">ROUND('Resumen Anual'!E6*0.05,0)</f>
        <v>295</v>
      </c>
      <c r="D17" s="6" t="n">
        <f aca="false">SUM(C6:C17)</f>
        <v>3525</v>
      </c>
    </row>
    <row r="18" customFormat="false" ht="15" hidden="false" customHeight="false" outlineLevel="0" collapsed="false">
      <c r="A18" s="16" t="s">
        <v>11</v>
      </c>
      <c r="B18" s="16" t="s">
        <v>23</v>
      </c>
      <c r="C18" s="6" t="n">
        <f aca="false">ROUND('Resumen Anual'!E6*0.06,0)</f>
        <v>354</v>
      </c>
      <c r="D18" s="6" t="n">
        <f aca="false">SUM(C7:C18)</f>
        <v>3675</v>
      </c>
    </row>
    <row r="19" customFormat="false" ht="15" hidden="false" customHeight="false" outlineLevel="0" collapsed="false">
      <c r="A19" s="16" t="s">
        <v>11</v>
      </c>
      <c r="B19" s="16" t="s">
        <v>24</v>
      </c>
      <c r="C19" s="6" t="n">
        <f aca="false">ROUND('Resumen Anual'!E6*0.1,0)</f>
        <v>590</v>
      </c>
      <c r="D19" s="6" t="n">
        <f aca="false">SUM(C8:C19)</f>
        <v>3925</v>
      </c>
    </row>
    <row r="20" customFormat="false" ht="15" hidden="false" customHeight="false" outlineLevel="0" collapsed="false">
      <c r="A20" s="16" t="s">
        <v>11</v>
      </c>
      <c r="B20" s="16" t="s">
        <v>25</v>
      </c>
      <c r="C20" s="6" t="n">
        <f aca="false">ROUND('Resumen Anual'!E6*0.13,0)</f>
        <v>767</v>
      </c>
      <c r="D20" s="6" t="n">
        <f aca="false">SUM(C9:C20)</f>
        <v>4250</v>
      </c>
    </row>
    <row r="21" customFormat="false" ht="15" hidden="false" customHeight="false" outlineLevel="0" collapsed="false">
      <c r="A21" s="16" t="s">
        <v>11</v>
      </c>
      <c r="B21" s="16" t="s">
        <v>26</v>
      </c>
      <c r="C21" s="6" t="n">
        <f aca="false">ROUND('Resumen Anual'!E6*0.13,0)</f>
        <v>767</v>
      </c>
      <c r="D21" s="6" t="n">
        <f aca="false">SUM(C10:C21)</f>
        <v>4575</v>
      </c>
    </row>
    <row r="22" customFormat="false" ht="15" hidden="false" customHeight="false" outlineLevel="0" collapsed="false">
      <c r="A22" s="16" t="s">
        <v>11</v>
      </c>
      <c r="B22" s="16" t="s">
        <v>27</v>
      </c>
      <c r="C22" s="6" t="n">
        <f aca="false">ROUND('Resumen Anual'!E6*0.12,0)</f>
        <v>708</v>
      </c>
      <c r="D22" s="6" t="n">
        <f aca="false">SUM(C11:C22)</f>
        <v>4875</v>
      </c>
    </row>
    <row r="23" customFormat="false" ht="15" hidden="false" customHeight="false" outlineLevel="0" collapsed="false">
      <c r="A23" s="16" t="s">
        <v>11</v>
      </c>
      <c r="B23" s="16" t="s">
        <v>28</v>
      </c>
      <c r="C23" s="6" t="n">
        <f aca="false">ROUND('Resumen Anual'!E6*0.11,0)</f>
        <v>649</v>
      </c>
      <c r="D23" s="6" t="n">
        <f aca="false">SUM(C12:C23)</f>
        <v>5150</v>
      </c>
    </row>
    <row r="24" customFormat="false" ht="15" hidden="false" customHeight="false" outlineLevel="0" collapsed="false">
      <c r="A24" s="16" t="s">
        <v>11</v>
      </c>
      <c r="B24" s="16" t="s">
        <v>29</v>
      </c>
      <c r="C24" s="6" t="n">
        <f aca="false">ROUND('Resumen Anual'!E6*0.09,0)</f>
        <v>531</v>
      </c>
      <c r="D24" s="6" t="n">
        <f aca="false">SUM(C13:C24)</f>
        <v>5375</v>
      </c>
    </row>
    <row r="25" customFormat="false" ht="15" hidden="false" customHeight="false" outlineLevel="0" collapsed="false">
      <c r="A25" s="16" t="s">
        <v>11</v>
      </c>
      <c r="B25" s="16" t="s">
        <v>30</v>
      </c>
      <c r="C25" s="6" t="n">
        <f aca="false">ROUND('Resumen Anual'!E6*0.08,0)</f>
        <v>472</v>
      </c>
      <c r="D25" s="6" t="n">
        <f aca="false">SUM(C14:C25)</f>
        <v>5575</v>
      </c>
    </row>
    <row r="26" customFormat="false" ht="15" hidden="false" customHeight="false" outlineLevel="0" collapsed="false">
      <c r="A26" s="16" t="s">
        <v>11</v>
      </c>
      <c r="B26" s="16" t="s">
        <v>31</v>
      </c>
      <c r="C26" s="6" t="n">
        <f aca="false">ROUND('Resumen Anual'!E6*0.06,0)</f>
        <v>354</v>
      </c>
      <c r="D26" s="6" t="n">
        <f aca="false">SUM(C15:C26)</f>
        <v>5725</v>
      </c>
    </row>
    <row r="27" customFormat="false" ht="15" hidden="false" customHeight="false" outlineLevel="0" collapsed="false">
      <c r="A27" s="16" t="s">
        <v>11</v>
      </c>
      <c r="B27" s="16" t="s">
        <v>32</v>
      </c>
      <c r="C27" s="6" t="n">
        <f aca="false">ROUND('Resumen Anual'!E6*0.04,0)</f>
        <v>236</v>
      </c>
      <c r="D27" s="6" t="n">
        <f aca="false">SUM(C16:C27)</f>
        <v>5825</v>
      </c>
    </row>
    <row r="28" customFormat="false" ht="15" hidden="false" customHeight="false" outlineLevel="0" collapsed="false">
      <c r="A28" s="16" t="s">
        <v>11</v>
      </c>
      <c r="B28" s="16" t="s">
        <v>33</v>
      </c>
      <c r="C28" s="6" t="n">
        <f aca="false">ROUND('Resumen Anual'!E6*0.03,0)</f>
        <v>177</v>
      </c>
      <c r="D28" s="6" t="n">
        <f aca="false">SUM(C17:C28)</f>
        <v>5900</v>
      </c>
    </row>
    <row r="29" customFormat="false" ht="15" hidden="false" customHeight="false" outlineLevel="0" collapsed="false">
      <c r="A29" s="16" t="s">
        <v>12</v>
      </c>
      <c r="B29" s="16" t="s">
        <v>22</v>
      </c>
      <c r="C29" s="6" t="n">
        <f aca="false">ROUND('Resumen Anual'!E7*0.05,0)</f>
        <v>-110</v>
      </c>
      <c r="D29" s="6" t="n">
        <f aca="false">SUM(C18:C29)</f>
        <v>5495</v>
      </c>
    </row>
    <row r="30" customFormat="false" ht="15" hidden="false" customHeight="false" outlineLevel="0" collapsed="false">
      <c r="A30" s="16" t="s">
        <v>12</v>
      </c>
      <c r="B30" s="16" t="s">
        <v>23</v>
      </c>
      <c r="C30" s="6" t="n">
        <f aca="false">ROUND('Resumen Anual'!E7*0.06,0)</f>
        <v>-132</v>
      </c>
      <c r="D30" s="6" t="n">
        <f aca="false">SUM(C19:C30)</f>
        <v>5009</v>
      </c>
    </row>
    <row r="31" customFormat="false" ht="15" hidden="false" customHeight="false" outlineLevel="0" collapsed="false">
      <c r="A31" s="16" t="s">
        <v>12</v>
      </c>
      <c r="B31" s="16" t="s">
        <v>24</v>
      </c>
      <c r="C31" s="6" t="n">
        <f aca="false">ROUND('Resumen Anual'!E7*0.1,0)</f>
        <v>-220</v>
      </c>
      <c r="D31" s="6" t="n">
        <f aca="false">SUM(C20:C31)</f>
        <v>4199</v>
      </c>
    </row>
    <row r="32" customFormat="false" ht="15" hidden="false" customHeight="false" outlineLevel="0" collapsed="false">
      <c r="A32" s="16" t="s">
        <v>12</v>
      </c>
      <c r="B32" s="16" t="s">
        <v>25</v>
      </c>
      <c r="C32" s="6" t="n">
        <f aca="false">ROUND('Resumen Anual'!E7*0.13,0)</f>
        <v>-286</v>
      </c>
      <c r="D32" s="6" t="n">
        <f aca="false">SUM(C21:C32)</f>
        <v>3146</v>
      </c>
    </row>
    <row r="33" customFormat="false" ht="15" hidden="false" customHeight="false" outlineLevel="0" collapsed="false">
      <c r="A33" s="16" t="s">
        <v>12</v>
      </c>
      <c r="B33" s="16" t="s">
        <v>26</v>
      </c>
      <c r="C33" s="6" t="n">
        <f aca="false">ROUND('Resumen Anual'!E7*0.13,0)</f>
        <v>-286</v>
      </c>
      <c r="D33" s="6" t="n">
        <f aca="false">SUM(C22:C33)</f>
        <v>2093</v>
      </c>
    </row>
    <row r="34" customFormat="false" ht="15" hidden="false" customHeight="false" outlineLevel="0" collapsed="false">
      <c r="A34" s="16" t="s">
        <v>12</v>
      </c>
      <c r="B34" s="16" t="s">
        <v>27</v>
      </c>
      <c r="C34" s="6" t="n">
        <f aca="false">ROUND('Resumen Anual'!E7*0.12,0)</f>
        <v>-264</v>
      </c>
      <c r="D34" s="6" t="n">
        <f aca="false">SUM(C23:C34)</f>
        <v>1121</v>
      </c>
    </row>
    <row r="35" customFormat="false" ht="15" hidden="false" customHeight="false" outlineLevel="0" collapsed="false">
      <c r="A35" s="16" t="s">
        <v>12</v>
      </c>
      <c r="B35" s="16" t="s">
        <v>28</v>
      </c>
      <c r="C35" s="6" t="n">
        <f aca="false">ROUND('Resumen Anual'!E7*0.11,0)</f>
        <v>-242</v>
      </c>
      <c r="D35" s="6" t="n">
        <f aca="false">SUM(C24:C35)</f>
        <v>230</v>
      </c>
    </row>
    <row r="36" customFormat="false" ht="15" hidden="false" customHeight="false" outlineLevel="0" collapsed="false">
      <c r="A36" s="16" t="s">
        <v>12</v>
      </c>
      <c r="B36" s="16" t="s">
        <v>29</v>
      </c>
      <c r="C36" s="6" t="n">
        <f aca="false">ROUND('Resumen Anual'!E7*0.09,0)</f>
        <v>-198</v>
      </c>
      <c r="D36" s="6" t="n">
        <f aca="false">SUM(C25:C36)</f>
        <v>-499</v>
      </c>
    </row>
    <row r="37" customFormat="false" ht="15" hidden="false" customHeight="false" outlineLevel="0" collapsed="false">
      <c r="A37" s="16" t="s">
        <v>12</v>
      </c>
      <c r="B37" s="16" t="s">
        <v>30</v>
      </c>
      <c r="C37" s="6" t="n">
        <f aca="false">ROUND('Resumen Anual'!E7*0.08,0)</f>
        <v>-176</v>
      </c>
      <c r="D37" s="6" t="n">
        <f aca="false">SUM(C26:C37)</f>
        <v>-1147</v>
      </c>
    </row>
    <row r="38" customFormat="false" ht="15" hidden="false" customHeight="false" outlineLevel="0" collapsed="false">
      <c r="A38" s="16" t="s">
        <v>12</v>
      </c>
      <c r="B38" s="16" t="s">
        <v>31</v>
      </c>
      <c r="C38" s="6" t="n">
        <f aca="false">ROUND('Resumen Anual'!E7*0.06,0)</f>
        <v>-132</v>
      </c>
      <c r="D38" s="6" t="n">
        <f aca="false">SUM(C27:C38)</f>
        <v>-1633</v>
      </c>
    </row>
    <row r="39" customFormat="false" ht="15" hidden="false" customHeight="false" outlineLevel="0" collapsed="false">
      <c r="A39" s="16" t="s">
        <v>12</v>
      </c>
      <c r="B39" s="16" t="s">
        <v>32</v>
      </c>
      <c r="C39" s="6" t="n">
        <f aca="false">ROUND('Resumen Anual'!E7*0.04,0)</f>
        <v>-88</v>
      </c>
      <c r="D39" s="6" t="n">
        <f aca="false">SUM(C28:C39)</f>
        <v>-1957</v>
      </c>
    </row>
    <row r="40" customFormat="false" ht="15" hidden="false" customHeight="false" outlineLevel="0" collapsed="false">
      <c r="A40" s="16" t="s">
        <v>12</v>
      </c>
      <c r="B40" s="16" t="s">
        <v>33</v>
      </c>
      <c r="C40" s="6" t="n">
        <f aca="false">ROUND('Resumen Anual'!E7*0.03,0)</f>
        <v>-66</v>
      </c>
      <c r="D40" s="6" t="n">
        <f aca="false">SUM(C29:C40)</f>
        <v>-2200</v>
      </c>
    </row>
    <row r="41" customFormat="false" ht="15" hidden="false" customHeight="false" outlineLevel="0" collapsed="false">
      <c r="A41" s="16" t="s">
        <v>13</v>
      </c>
      <c r="B41" s="16" t="s">
        <v>22</v>
      </c>
      <c r="C41" s="6" t="n">
        <f aca="false">ROUND('Resumen Anual'!E8*0.05,0)</f>
        <v>-750</v>
      </c>
      <c r="D41" s="6" t="n">
        <f aca="false">SUM(C30:C41)</f>
        <v>-2840</v>
      </c>
    </row>
    <row r="42" customFormat="false" ht="15" hidden="false" customHeight="false" outlineLevel="0" collapsed="false">
      <c r="A42" s="16" t="s">
        <v>13</v>
      </c>
      <c r="B42" s="16" t="s">
        <v>23</v>
      </c>
      <c r="C42" s="6" t="n">
        <f aca="false">ROUND('Resumen Anual'!E8*0.06,0)</f>
        <v>-900</v>
      </c>
      <c r="D42" s="6" t="n">
        <f aca="false">SUM(C31:C42)</f>
        <v>-3608</v>
      </c>
    </row>
    <row r="43" customFormat="false" ht="15" hidden="false" customHeight="false" outlineLevel="0" collapsed="false">
      <c r="A43" s="16" t="s">
        <v>13</v>
      </c>
      <c r="B43" s="16" t="s">
        <v>24</v>
      </c>
      <c r="C43" s="6" t="n">
        <f aca="false">ROUND('Resumen Anual'!E8*0.1,0)</f>
        <v>-1500</v>
      </c>
      <c r="D43" s="6" t="n">
        <f aca="false">SUM(C32:C43)</f>
        <v>-4888</v>
      </c>
    </row>
    <row r="44" customFormat="false" ht="15" hidden="false" customHeight="false" outlineLevel="0" collapsed="false">
      <c r="A44" s="16" t="s">
        <v>13</v>
      </c>
      <c r="B44" s="16" t="s">
        <v>25</v>
      </c>
      <c r="C44" s="6" t="n">
        <f aca="false">ROUND('Resumen Anual'!E8*0.13,0)</f>
        <v>-1950</v>
      </c>
      <c r="D44" s="6" t="n">
        <f aca="false">SUM(C33:C44)</f>
        <v>-6552</v>
      </c>
    </row>
    <row r="45" customFormat="false" ht="15" hidden="false" customHeight="false" outlineLevel="0" collapsed="false">
      <c r="A45" s="16" t="s">
        <v>13</v>
      </c>
      <c r="B45" s="16" t="s">
        <v>26</v>
      </c>
      <c r="C45" s="6" t="n">
        <f aca="false">ROUND('Resumen Anual'!E8*0.13,0)</f>
        <v>-1950</v>
      </c>
      <c r="D45" s="6" t="n">
        <f aca="false">SUM(C34:C45)</f>
        <v>-8216</v>
      </c>
    </row>
    <row r="46" customFormat="false" ht="15" hidden="false" customHeight="false" outlineLevel="0" collapsed="false">
      <c r="A46" s="16" t="s">
        <v>13</v>
      </c>
      <c r="B46" s="16" t="s">
        <v>27</v>
      </c>
      <c r="C46" s="6" t="n">
        <f aca="false">ROUND('Resumen Anual'!E8*0.12,0)</f>
        <v>-1800</v>
      </c>
      <c r="D46" s="6" t="n">
        <f aca="false">SUM(C35:C46)</f>
        <v>-9752</v>
      </c>
    </row>
    <row r="47" customFormat="false" ht="15" hidden="false" customHeight="false" outlineLevel="0" collapsed="false">
      <c r="A47" s="16" t="s">
        <v>13</v>
      </c>
      <c r="B47" s="16" t="s">
        <v>28</v>
      </c>
      <c r="C47" s="6" t="n">
        <f aca="false">ROUND('Resumen Anual'!E8*0.11,0)</f>
        <v>-1650</v>
      </c>
      <c r="D47" s="6" t="n">
        <f aca="false">SUM(C36:C47)</f>
        <v>-11160</v>
      </c>
    </row>
    <row r="48" customFormat="false" ht="15" hidden="false" customHeight="false" outlineLevel="0" collapsed="false">
      <c r="A48" s="16" t="s">
        <v>13</v>
      </c>
      <c r="B48" s="16" t="s">
        <v>29</v>
      </c>
      <c r="C48" s="6" t="n">
        <f aca="false">ROUND('Resumen Anual'!E8*0.09,0)</f>
        <v>-1350</v>
      </c>
      <c r="D48" s="6" t="n">
        <f aca="false">SUM(C37:C48)</f>
        <v>-12312</v>
      </c>
    </row>
    <row r="49" customFormat="false" ht="15" hidden="false" customHeight="false" outlineLevel="0" collapsed="false">
      <c r="A49" s="16" t="s">
        <v>13</v>
      </c>
      <c r="B49" s="16" t="s">
        <v>30</v>
      </c>
      <c r="C49" s="6" t="n">
        <f aca="false">ROUND('Resumen Anual'!E8*0.08,0)</f>
        <v>-1200</v>
      </c>
      <c r="D49" s="6" t="n">
        <f aca="false">SUM(C38:C49)</f>
        <v>-13336</v>
      </c>
    </row>
    <row r="50" customFormat="false" ht="15" hidden="false" customHeight="false" outlineLevel="0" collapsed="false">
      <c r="A50" s="16" t="s">
        <v>13</v>
      </c>
      <c r="B50" s="16" t="s">
        <v>31</v>
      </c>
      <c r="C50" s="6" t="n">
        <f aca="false">ROUND('Resumen Anual'!E8*0.06,0)</f>
        <v>-900</v>
      </c>
      <c r="D50" s="6" t="n">
        <f aca="false">SUM(C39:C50)</f>
        <v>-14104</v>
      </c>
    </row>
    <row r="51" customFormat="false" ht="15" hidden="false" customHeight="false" outlineLevel="0" collapsed="false">
      <c r="A51" s="16" t="s">
        <v>13</v>
      </c>
      <c r="B51" s="16" t="s">
        <v>32</v>
      </c>
      <c r="C51" s="6" t="n">
        <f aca="false">ROUND('Resumen Anual'!E8*0.04,0)</f>
        <v>-600</v>
      </c>
      <c r="D51" s="6" t="n">
        <f aca="false">SUM(C40:C51)</f>
        <v>-14616</v>
      </c>
    </row>
    <row r="52" customFormat="false" ht="15" hidden="false" customHeight="false" outlineLevel="0" collapsed="false">
      <c r="A52" s="16" t="s">
        <v>13</v>
      </c>
      <c r="B52" s="16" t="s">
        <v>33</v>
      </c>
      <c r="C52" s="6" t="n">
        <f aca="false">ROUND('Resumen Anual'!E8*0.03,0)</f>
        <v>-450</v>
      </c>
      <c r="D52" s="6" t="n">
        <f aca="false">SUM(C41:C52)</f>
        <v>-15000</v>
      </c>
    </row>
    <row r="53" customFormat="false" ht="15" hidden="false" customHeight="false" outlineLevel="0" collapsed="false">
      <c r="A53" s="16" t="s">
        <v>14</v>
      </c>
      <c r="B53" s="16" t="s">
        <v>22</v>
      </c>
      <c r="C53" s="6" t="n">
        <f aca="false">ROUND('Resumen Anual'!E9*0.05,0)</f>
        <v>10</v>
      </c>
      <c r="D53" s="6" t="n">
        <f aca="false">SUM(C42:C53)</f>
        <v>-14240</v>
      </c>
    </row>
    <row r="54" customFormat="false" ht="15" hidden="false" customHeight="false" outlineLevel="0" collapsed="false">
      <c r="A54" s="16" t="s">
        <v>14</v>
      </c>
      <c r="B54" s="16" t="s">
        <v>23</v>
      </c>
      <c r="C54" s="6" t="n">
        <f aca="false">ROUND('Resumen Anual'!E9*0.06,0)</f>
        <v>12</v>
      </c>
      <c r="D54" s="6" t="n">
        <f aca="false">SUM(C43:C54)</f>
        <v>-13328</v>
      </c>
    </row>
    <row r="55" customFormat="false" ht="15" hidden="false" customHeight="false" outlineLevel="0" collapsed="false">
      <c r="A55" s="16" t="s">
        <v>14</v>
      </c>
      <c r="B55" s="16" t="s">
        <v>24</v>
      </c>
      <c r="C55" s="6" t="n">
        <f aca="false">ROUND('Resumen Anual'!E9*0.1,0)</f>
        <v>20</v>
      </c>
      <c r="D55" s="6" t="n">
        <f aca="false">SUM(C44:C55)</f>
        <v>-11808</v>
      </c>
    </row>
    <row r="56" customFormat="false" ht="15" hidden="false" customHeight="false" outlineLevel="0" collapsed="false">
      <c r="A56" s="16" t="s">
        <v>14</v>
      </c>
      <c r="B56" s="16" t="s">
        <v>25</v>
      </c>
      <c r="C56" s="6" t="n">
        <f aca="false">ROUND('Resumen Anual'!E9*0.13,0)</f>
        <v>26</v>
      </c>
      <c r="D56" s="6" t="n">
        <f aca="false">SUM(C45:C56)</f>
        <v>-9832</v>
      </c>
    </row>
    <row r="57" customFormat="false" ht="15" hidden="false" customHeight="false" outlineLevel="0" collapsed="false">
      <c r="A57" s="16" t="s">
        <v>14</v>
      </c>
      <c r="B57" s="16" t="s">
        <v>26</v>
      </c>
      <c r="C57" s="6" t="n">
        <f aca="false">ROUND('Resumen Anual'!E9*0.13,0)</f>
        <v>26</v>
      </c>
      <c r="D57" s="6" t="n">
        <f aca="false">SUM(C46:C57)</f>
        <v>-7856</v>
      </c>
    </row>
    <row r="58" customFormat="false" ht="15" hidden="false" customHeight="false" outlineLevel="0" collapsed="false">
      <c r="A58" s="16" t="s">
        <v>14</v>
      </c>
      <c r="B58" s="16" t="s">
        <v>27</v>
      </c>
      <c r="C58" s="6" t="n">
        <f aca="false">ROUND('Resumen Anual'!E9*0.12,0)</f>
        <v>24</v>
      </c>
      <c r="D58" s="6" t="n">
        <f aca="false">SUM(C47:C58)</f>
        <v>-6032</v>
      </c>
    </row>
    <row r="59" customFormat="false" ht="15" hidden="false" customHeight="false" outlineLevel="0" collapsed="false">
      <c r="A59" s="16" t="s">
        <v>14</v>
      </c>
      <c r="B59" s="16" t="s">
        <v>28</v>
      </c>
      <c r="C59" s="6" t="n">
        <f aca="false">ROUND('Resumen Anual'!E9*0.11,0)</f>
        <v>22</v>
      </c>
      <c r="D59" s="6" t="n">
        <f aca="false">SUM(C48:C59)</f>
        <v>-4360</v>
      </c>
    </row>
    <row r="60" customFormat="false" ht="15" hidden="false" customHeight="false" outlineLevel="0" collapsed="false">
      <c r="A60" s="16" t="s">
        <v>14</v>
      </c>
      <c r="B60" s="16" t="s">
        <v>29</v>
      </c>
      <c r="C60" s="6" t="n">
        <f aca="false">ROUND('Resumen Anual'!E9*0.09,0)</f>
        <v>18</v>
      </c>
      <c r="D60" s="6" t="n">
        <f aca="false">SUM(C49:C60)</f>
        <v>-2992</v>
      </c>
    </row>
    <row r="61" customFormat="false" ht="15" hidden="false" customHeight="false" outlineLevel="0" collapsed="false">
      <c r="A61" s="16" t="s">
        <v>14</v>
      </c>
      <c r="B61" s="16" t="s">
        <v>30</v>
      </c>
      <c r="C61" s="6" t="n">
        <f aca="false">ROUND('Resumen Anual'!E9*0.08,0)</f>
        <v>16</v>
      </c>
      <c r="D61" s="6" t="n">
        <f aca="false">SUM(C50:C61)</f>
        <v>-1776</v>
      </c>
    </row>
    <row r="62" customFormat="false" ht="15" hidden="false" customHeight="false" outlineLevel="0" collapsed="false">
      <c r="A62" s="16" t="s">
        <v>14</v>
      </c>
      <c r="B62" s="16" t="s">
        <v>31</v>
      </c>
      <c r="C62" s="6" t="n">
        <f aca="false">ROUND('Resumen Anual'!E9*0.06,0)</f>
        <v>12</v>
      </c>
      <c r="D62" s="6" t="n">
        <f aca="false">SUM(C51:C62)</f>
        <v>-864</v>
      </c>
    </row>
    <row r="63" customFormat="false" ht="15" hidden="false" customHeight="false" outlineLevel="0" collapsed="false">
      <c r="A63" s="16" t="s">
        <v>14</v>
      </c>
      <c r="B63" s="16" t="s">
        <v>32</v>
      </c>
      <c r="C63" s="6" t="n">
        <f aca="false">ROUND('Resumen Anual'!E9*0.04,0)</f>
        <v>8</v>
      </c>
      <c r="D63" s="6" t="n">
        <f aca="false">SUM(C52:C63)</f>
        <v>-256</v>
      </c>
    </row>
    <row r="64" customFormat="false" ht="15" hidden="false" customHeight="false" outlineLevel="0" collapsed="false">
      <c r="A64" s="16" t="s">
        <v>14</v>
      </c>
      <c r="B64" s="16" t="s">
        <v>33</v>
      </c>
      <c r="C64" s="6" t="n">
        <f aca="false">ROUND('Resumen Anual'!E9*0.03,0)</f>
        <v>6</v>
      </c>
      <c r="D64" s="6" t="n">
        <f aca="false">SUM(C53:C64)</f>
        <v>200</v>
      </c>
    </row>
    <row r="65" customFormat="false" ht="15" hidden="false" customHeight="false" outlineLevel="0" collapsed="false">
      <c r="A65" s="16" t="s">
        <v>15</v>
      </c>
      <c r="B65" s="16" t="s">
        <v>22</v>
      </c>
      <c r="C65" s="6" t="n">
        <f aca="false">ROUND('Resumen Anual'!E10*0.05,0)</f>
        <v>250</v>
      </c>
      <c r="D65" s="6" t="n">
        <f aca="false">SUM(C54:C65)</f>
        <v>440</v>
      </c>
    </row>
    <row r="66" customFormat="false" ht="15" hidden="false" customHeight="false" outlineLevel="0" collapsed="false">
      <c r="A66" s="16" t="s">
        <v>15</v>
      </c>
      <c r="B66" s="16" t="s">
        <v>23</v>
      </c>
      <c r="C66" s="6" t="n">
        <f aca="false">ROUND('Resumen Anual'!E10*0.06,0)</f>
        <v>300</v>
      </c>
      <c r="D66" s="6" t="n">
        <f aca="false">SUM(C55:C66)</f>
        <v>728</v>
      </c>
    </row>
    <row r="67" customFormat="false" ht="15" hidden="false" customHeight="false" outlineLevel="0" collapsed="false">
      <c r="A67" s="16" t="s">
        <v>15</v>
      </c>
      <c r="B67" s="16" t="s">
        <v>24</v>
      </c>
      <c r="C67" s="6" t="n">
        <f aca="false">ROUND('Resumen Anual'!E10*0.1,0)</f>
        <v>500</v>
      </c>
      <c r="D67" s="6" t="n">
        <f aca="false">SUM(C56:C67)</f>
        <v>1208</v>
      </c>
    </row>
    <row r="68" customFormat="false" ht="15" hidden="false" customHeight="false" outlineLevel="0" collapsed="false">
      <c r="A68" s="16" t="s">
        <v>15</v>
      </c>
      <c r="B68" s="16" t="s">
        <v>25</v>
      </c>
      <c r="C68" s="6" t="n">
        <f aca="false">ROUND('Resumen Anual'!E10*0.13,0)</f>
        <v>650</v>
      </c>
      <c r="D68" s="6" t="n">
        <f aca="false">SUM(C57:C68)</f>
        <v>1832</v>
      </c>
    </row>
    <row r="69" customFormat="false" ht="15" hidden="false" customHeight="false" outlineLevel="0" collapsed="false">
      <c r="A69" s="16" t="s">
        <v>15</v>
      </c>
      <c r="B69" s="16" t="s">
        <v>26</v>
      </c>
      <c r="C69" s="6" t="n">
        <f aca="false">ROUND('Resumen Anual'!E10*0.13,0)</f>
        <v>650</v>
      </c>
      <c r="D69" s="6" t="n">
        <f aca="false">SUM(C58:C69)</f>
        <v>2456</v>
      </c>
    </row>
    <row r="70" customFormat="false" ht="15" hidden="false" customHeight="false" outlineLevel="0" collapsed="false">
      <c r="A70" s="16" t="s">
        <v>15</v>
      </c>
      <c r="B70" s="16" t="s">
        <v>27</v>
      </c>
      <c r="C70" s="6" t="n">
        <f aca="false">ROUND('Resumen Anual'!E10*0.12,0)</f>
        <v>600</v>
      </c>
      <c r="D70" s="6" t="n">
        <f aca="false">SUM(C59:C70)</f>
        <v>3032</v>
      </c>
    </row>
    <row r="71" customFormat="false" ht="15" hidden="false" customHeight="false" outlineLevel="0" collapsed="false">
      <c r="A71" s="16" t="s">
        <v>15</v>
      </c>
      <c r="B71" s="16" t="s">
        <v>28</v>
      </c>
      <c r="C71" s="6" t="n">
        <f aca="false">ROUND('Resumen Anual'!E10*0.11,0)</f>
        <v>550</v>
      </c>
      <c r="D71" s="6" t="n">
        <f aca="false">SUM(C60:C71)</f>
        <v>3560</v>
      </c>
    </row>
    <row r="72" customFormat="false" ht="15" hidden="false" customHeight="false" outlineLevel="0" collapsed="false">
      <c r="A72" s="16" t="s">
        <v>15</v>
      </c>
      <c r="B72" s="16" t="s">
        <v>29</v>
      </c>
      <c r="C72" s="6" t="n">
        <f aca="false">ROUND('Resumen Anual'!E10*0.09,0)</f>
        <v>450</v>
      </c>
      <c r="D72" s="6" t="n">
        <f aca="false">SUM(C61:C72)</f>
        <v>3992</v>
      </c>
    </row>
    <row r="73" customFormat="false" ht="15" hidden="false" customHeight="false" outlineLevel="0" collapsed="false">
      <c r="A73" s="16" t="s">
        <v>15</v>
      </c>
      <c r="B73" s="16" t="s">
        <v>30</v>
      </c>
      <c r="C73" s="6" t="n">
        <f aca="false">ROUND('Resumen Anual'!E10*0.08,0)</f>
        <v>400</v>
      </c>
      <c r="D73" s="6" t="n">
        <f aca="false">SUM(C62:C73)</f>
        <v>4376</v>
      </c>
    </row>
    <row r="74" customFormat="false" ht="15" hidden="false" customHeight="false" outlineLevel="0" collapsed="false">
      <c r="A74" s="16" t="s">
        <v>15</v>
      </c>
      <c r="B74" s="16" t="s">
        <v>31</v>
      </c>
      <c r="C74" s="6" t="n">
        <f aca="false">ROUND('Resumen Anual'!E10*0.06,0)</f>
        <v>300</v>
      </c>
      <c r="D74" s="6" t="n">
        <f aca="false">SUM(C63:C74)</f>
        <v>4664</v>
      </c>
    </row>
    <row r="75" customFormat="false" ht="15" hidden="false" customHeight="false" outlineLevel="0" collapsed="false">
      <c r="A75" s="16" t="s">
        <v>15</v>
      </c>
      <c r="B75" s="16" t="s">
        <v>32</v>
      </c>
      <c r="C75" s="6" t="n">
        <f aca="false">ROUND('Resumen Anual'!E10*0.04,0)</f>
        <v>200</v>
      </c>
      <c r="D75" s="6" t="n">
        <f aca="false">SUM(C64:C75)</f>
        <v>4856</v>
      </c>
    </row>
    <row r="76" customFormat="false" ht="15" hidden="false" customHeight="false" outlineLevel="0" collapsed="false">
      <c r="A76" s="16" t="s">
        <v>15</v>
      </c>
      <c r="B76" s="16" t="s">
        <v>33</v>
      </c>
      <c r="C76" s="6" t="n">
        <f aca="false">ROUND('Resumen Anual'!E10*0.03,0)</f>
        <v>150</v>
      </c>
      <c r="D76" s="6" t="n">
        <f aca="false">SUM(C65:C76)</f>
        <v>5000</v>
      </c>
    </row>
    <row r="77" customFormat="false" ht="15" hidden="false" customHeight="false" outlineLevel="0" collapsed="false">
      <c r="A77" s="16" t="s">
        <v>16</v>
      </c>
      <c r="B77" s="16" t="s">
        <v>22</v>
      </c>
      <c r="C77" s="6" t="n">
        <f aca="false">ROUND('Resumen Anual'!E11*0.05,0)</f>
        <v>290</v>
      </c>
      <c r="D77" s="6" t="n">
        <f aca="false">SUM(C66:C77)</f>
        <v>5040</v>
      </c>
    </row>
    <row r="78" customFormat="false" ht="15" hidden="false" customHeight="false" outlineLevel="0" collapsed="false">
      <c r="A78" s="16" t="s">
        <v>16</v>
      </c>
      <c r="B78" s="16" t="s">
        <v>23</v>
      </c>
      <c r="C78" s="6" t="n">
        <f aca="false">ROUND('Resumen Anual'!E11*0.06,0)</f>
        <v>348</v>
      </c>
      <c r="D78" s="6" t="n">
        <f aca="false">SUM(C67:C78)</f>
        <v>5088</v>
      </c>
    </row>
    <row r="79" customFormat="false" ht="15" hidden="false" customHeight="false" outlineLevel="0" collapsed="false">
      <c r="A79" s="16" t="s">
        <v>16</v>
      </c>
      <c r="B79" s="16" t="s">
        <v>24</v>
      </c>
      <c r="C79" s="6" t="n">
        <f aca="false">ROUND('Resumen Anual'!E11*0.1,0)</f>
        <v>580</v>
      </c>
      <c r="D79" s="6" t="n">
        <f aca="false">SUM(C68:C79)</f>
        <v>5168</v>
      </c>
    </row>
    <row r="80" customFormat="false" ht="15" hidden="false" customHeight="false" outlineLevel="0" collapsed="false">
      <c r="A80" s="16" t="s">
        <v>16</v>
      </c>
      <c r="B80" s="16" t="s">
        <v>25</v>
      </c>
      <c r="C80" s="6" t="n">
        <f aca="false">ROUND('Resumen Anual'!E11*0.13,0)</f>
        <v>754</v>
      </c>
      <c r="D80" s="6" t="n">
        <f aca="false">SUM(C69:C80)</f>
        <v>5272</v>
      </c>
    </row>
    <row r="81" customFormat="false" ht="15" hidden="false" customHeight="false" outlineLevel="0" collapsed="false">
      <c r="A81" s="16" t="s">
        <v>16</v>
      </c>
      <c r="B81" s="16" t="s">
        <v>26</v>
      </c>
      <c r="C81" s="6" t="n">
        <f aca="false">ROUND('Resumen Anual'!E11*0.13,0)</f>
        <v>754</v>
      </c>
      <c r="D81" s="6" t="n">
        <f aca="false">SUM(C70:C81)</f>
        <v>5376</v>
      </c>
    </row>
    <row r="82" customFormat="false" ht="15" hidden="false" customHeight="false" outlineLevel="0" collapsed="false">
      <c r="A82" s="16" t="s">
        <v>16</v>
      </c>
      <c r="B82" s="16" t="s">
        <v>27</v>
      </c>
      <c r="C82" s="6" t="n">
        <f aca="false">ROUND('Resumen Anual'!E11*0.12,0)</f>
        <v>696</v>
      </c>
      <c r="D82" s="6" t="n">
        <f aca="false">SUM(C71:C82)</f>
        <v>5472</v>
      </c>
    </row>
    <row r="83" customFormat="false" ht="15" hidden="false" customHeight="false" outlineLevel="0" collapsed="false">
      <c r="A83" s="16" t="s">
        <v>16</v>
      </c>
      <c r="B83" s="16" t="s">
        <v>28</v>
      </c>
      <c r="C83" s="6" t="n">
        <f aca="false">ROUND('Resumen Anual'!E11*0.11,0)</f>
        <v>638</v>
      </c>
      <c r="D83" s="6" t="n">
        <f aca="false">SUM(C72:C83)</f>
        <v>5560</v>
      </c>
    </row>
    <row r="84" customFormat="false" ht="15" hidden="false" customHeight="false" outlineLevel="0" collapsed="false">
      <c r="A84" s="16" t="s">
        <v>16</v>
      </c>
      <c r="B84" s="16" t="s">
        <v>29</v>
      </c>
      <c r="C84" s="6" t="n">
        <f aca="false">ROUND('Resumen Anual'!E11*0.09,0)</f>
        <v>522</v>
      </c>
      <c r="D84" s="6" t="n">
        <f aca="false">SUM(C73:C84)</f>
        <v>5632</v>
      </c>
    </row>
    <row r="85" customFormat="false" ht="15" hidden="false" customHeight="false" outlineLevel="0" collapsed="false">
      <c r="A85" s="16" t="s">
        <v>16</v>
      </c>
      <c r="B85" s="16" t="s">
        <v>30</v>
      </c>
      <c r="C85" s="6" t="n">
        <f aca="false">ROUND('Resumen Anual'!E11*0.08,0)</f>
        <v>464</v>
      </c>
      <c r="D85" s="6" t="n">
        <f aca="false">SUM(C74:C85)</f>
        <v>5696</v>
      </c>
    </row>
    <row r="86" customFormat="false" ht="15" hidden="false" customHeight="false" outlineLevel="0" collapsed="false">
      <c r="A86" s="16" t="s">
        <v>16</v>
      </c>
      <c r="B86" s="16" t="s">
        <v>31</v>
      </c>
      <c r="C86" s="6" t="n">
        <f aca="false">ROUND('Resumen Anual'!E11*0.06,0)</f>
        <v>348</v>
      </c>
      <c r="D86" s="6" t="n">
        <f aca="false">SUM(C75:C86)</f>
        <v>5744</v>
      </c>
    </row>
    <row r="87" customFormat="false" ht="15" hidden="false" customHeight="false" outlineLevel="0" collapsed="false">
      <c r="A87" s="16" t="s">
        <v>16</v>
      </c>
      <c r="B87" s="16" t="s">
        <v>32</v>
      </c>
      <c r="C87" s="6" t="n">
        <f aca="false">ROUND('Resumen Anual'!E11*0.04,0)</f>
        <v>232</v>
      </c>
      <c r="D87" s="6" t="n">
        <f aca="false">SUM(C76:C87)</f>
        <v>5776</v>
      </c>
    </row>
    <row r="88" customFormat="false" ht="15" hidden="false" customHeight="false" outlineLevel="0" collapsed="false">
      <c r="A88" s="16" t="s">
        <v>16</v>
      </c>
      <c r="B88" s="16" t="s">
        <v>33</v>
      </c>
      <c r="C88" s="6" t="n">
        <f aca="false">ROUND('Resumen Anual'!E11*0.03,0)</f>
        <v>174</v>
      </c>
      <c r="D88" s="6" t="n">
        <f aca="false">SUM(C77:C88)</f>
        <v>5800</v>
      </c>
    </row>
    <row r="89" customFormat="false" ht="15" hidden="false" customHeight="false" outlineLevel="0" collapsed="false">
      <c r="A89" s="16" t="s">
        <v>17</v>
      </c>
      <c r="B89" s="16" t="s">
        <v>22</v>
      </c>
      <c r="C89" s="6" t="n">
        <f aca="false">ROUND('Resumen Anual'!E12*0.05,0)</f>
        <v>-95</v>
      </c>
      <c r="D89" s="6" t="n">
        <f aca="false">SUM(C78:C89)</f>
        <v>5415</v>
      </c>
    </row>
    <row r="90" customFormat="false" ht="15" hidden="false" customHeight="false" outlineLevel="0" collapsed="false">
      <c r="A90" s="16" t="s">
        <v>17</v>
      </c>
      <c r="B90" s="16" t="s">
        <v>23</v>
      </c>
      <c r="C90" s="6" t="n">
        <f aca="false">ROUND('Resumen Anual'!E12*0.06,0)</f>
        <v>-114</v>
      </c>
      <c r="D90" s="6" t="n">
        <f aca="false">SUM(C79:C90)</f>
        <v>4953</v>
      </c>
    </row>
    <row r="91" customFormat="false" ht="15" hidden="false" customHeight="false" outlineLevel="0" collapsed="false">
      <c r="A91" s="16" t="s">
        <v>17</v>
      </c>
      <c r="B91" s="16" t="s">
        <v>24</v>
      </c>
      <c r="C91" s="6" t="n">
        <f aca="false">ROUND('Resumen Anual'!E12*0.1,0)</f>
        <v>-190</v>
      </c>
      <c r="D91" s="6" t="n">
        <f aca="false">SUM(C80:C91)</f>
        <v>4183</v>
      </c>
    </row>
    <row r="92" customFormat="false" ht="15" hidden="false" customHeight="false" outlineLevel="0" collapsed="false">
      <c r="A92" s="16" t="s">
        <v>17</v>
      </c>
      <c r="B92" s="16" t="s">
        <v>25</v>
      </c>
      <c r="C92" s="6" t="n">
        <f aca="false">ROUND('Resumen Anual'!E12*0.13,0)</f>
        <v>-247</v>
      </c>
      <c r="D92" s="6" t="n">
        <f aca="false">SUM(C81:C92)</f>
        <v>3182</v>
      </c>
    </row>
    <row r="93" customFormat="false" ht="15" hidden="false" customHeight="false" outlineLevel="0" collapsed="false">
      <c r="A93" s="16" t="s">
        <v>17</v>
      </c>
      <c r="B93" s="16" t="s">
        <v>26</v>
      </c>
      <c r="C93" s="6" t="n">
        <f aca="false">ROUND('Resumen Anual'!E12*0.13,0)</f>
        <v>-247</v>
      </c>
      <c r="D93" s="6" t="n">
        <f aca="false">SUM(C82:C93)</f>
        <v>2181</v>
      </c>
    </row>
    <row r="94" customFormat="false" ht="15" hidden="false" customHeight="false" outlineLevel="0" collapsed="false">
      <c r="A94" s="16" t="s">
        <v>17</v>
      </c>
      <c r="B94" s="16" t="s">
        <v>27</v>
      </c>
      <c r="C94" s="6" t="n">
        <f aca="false">ROUND('Resumen Anual'!E12*0.12,0)</f>
        <v>-228</v>
      </c>
      <c r="D94" s="6" t="n">
        <f aca="false">SUM(C83:C94)</f>
        <v>1257</v>
      </c>
    </row>
    <row r="95" customFormat="false" ht="15" hidden="false" customHeight="false" outlineLevel="0" collapsed="false">
      <c r="A95" s="16" t="s">
        <v>17</v>
      </c>
      <c r="B95" s="16" t="s">
        <v>28</v>
      </c>
      <c r="C95" s="6" t="n">
        <f aca="false">ROUND('Resumen Anual'!E12*0.11,0)</f>
        <v>-209</v>
      </c>
      <c r="D95" s="6" t="n">
        <f aca="false">SUM(C84:C95)</f>
        <v>410</v>
      </c>
    </row>
    <row r="96" customFormat="false" ht="15" hidden="false" customHeight="false" outlineLevel="0" collapsed="false">
      <c r="A96" s="16" t="s">
        <v>17</v>
      </c>
      <c r="B96" s="16" t="s">
        <v>29</v>
      </c>
      <c r="C96" s="6" t="n">
        <f aca="false">ROUND('Resumen Anual'!E12*0.09,0)</f>
        <v>-171</v>
      </c>
      <c r="D96" s="6" t="n">
        <f aca="false">SUM(C85:C96)</f>
        <v>-283</v>
      </c>
    </row>
    <row r="97" customFormat="false" ht="15" hidden="false" customHeight="false" outlineLevel="0" collapsed="false">
      <c r="A97" s="16" t="s">
        <v>17</v>
      </c>
      <c r="B97" s="16" t="s">
        <v>30</v>
      </c>
      <c r="C97" s="6" t="n">
        <f aca="false">ROUND('Resumen Anual'!E12*0.08,0)</f>
        <v>-152</v>
      </c>
      <c r="D97" s="6" t="n">
        <f aca="false">SUM(C86:C97)</f>
        <v>-899</v>
      </c>
    </row>
    <row r="98" customFormat="false" ht="15" hidden="false" customHeight="false" outlineLevel="0" collapsed="false">
      <c r="A98" s="16" t="s">
        <v>17</v>
      </c>
      <c r="B98" s="16" t="s">
        <v>31</v>
      </c>
      <c r="C98" s="6" t="n">
        <f aca="false">ROUND('Resumen Anual'!E12*0.06,0)</f>
        <v>-114</v>
      </c>
      <c r="D98" s="6" t="n">
        <f aca="false">SUM(C87:C98)</f>
        <v>-1361</v>
      </c>
    </row>
    <row r="99" customFormat="false" ht="15" hidden="false" customHeight="false" outlineLevel="0" collapsed="false">
      <c r="A99" s="16" t="s">
        <v>17</v>
      </c>
      <c r="B99" s="16" t="s">
        <v>32</v>
      </c>
      <c r="C99" s="6" t="n">
        <f aca="false">ROUND('Resumen Anual'!E12*0.04,0)</f>
        <v>-76</v>
      </c>
      <c r="D99" s="6" t="n">
        <f aca="false">SUM(C88:C99)</f>
        <v>-1669</v>
      </c>
    </row>
    <row r="100" customFormat="false" ht="15" hidden="false" customHeight="false" outlineLevel="0" collapsed="false">
      <c r="A100" s="16" t="s">
        <v>17</v>
      </c>
      <c r="B100" s="16" t="s">
        <v>33</v>
      </c>
      <c r="C100" s="6" t="n">
        <f aca="false">ROUND('Resumen Anual'!E12*0.03,0)</f>
        <v>-57</v>
      </c>
      <c r="D100" s="6" t="n">
        <f aca="false">SUM(C89:C100)</f>
        <v>-1900</v>
      </c>
    </row>
    <row r="101" customFormat="false" ht="15" hidden="false" customHeight="false" outlineLevel="0" collapsed="false">
      <c r="A101" s="16" t="s">
        <v>18</v>
      </c>
      <c r="B101" s="16" t="s">
        <v>22</v>
      </c>
      <c r="C101" s="6" t="n">
        <f aca="false">ROUND('Resumen Anual'!E13*0.05,0)</f>
        <v>950</v>
      </c>
      <c r="D101" s="6" t="n">
        <f aca="false">SUM(C90:C101)</f>
        <v>-855</v>
      </c>
    </row>
    <row r="102" customFormat="false" ht="15" hidden="false" customHeight="false" outlineLevel="0" collapsed="false">
      <c r="A102" s="16" t="s">
        <v>18</v>
      </c>
      <c r="B102" s="16" t="s">
        <v>23</v>
      </c>
      <c r="C102" s="6" t="n">
        <f aca="false">ROUND('Resumen Anual'!E13*0.06,0)</f>
        <v>1140</v>
      </c>
      <c r="D102" s="6" t="n">
        <f aca="false">SUM(C91:C102)</f>
        <v>399</v>
      </c>
    </row>
    <row r="103" customFormat="false" ht="15" hidden="false" customHeight="false" outlineLevel="0" collapsed="false">
      <c r="A103" s="16" t="s">
        <v>18</v>
      </c>
      <c r="B103" s="16" t="s">
        <v>24</v>
      </c>
      <c r="C103" s="6" t="n">
        <f aca="false">ROUND('Resumen Anual'!E13*0.1,0)</f>
        <v>1900</v>
      </c>
      <c r="D103" s="6" t="n">
        <f aca="false">SUM(C92:C103)</f>
        <v>2489</v>
      </c>
    </row>
    <row r="104" customFormat="false" ht="15" hidden="false" customHeight="false" outlineLevel="0" collapsed="false">
      <c r="A104" s="16" t="s">
        <v>18</v>
      </c>
      <c r="B104" s="16" t="s">
        <v>25</v>
      </c>
      <c r="C104" s="6" t="n">
        <f aca="false">ROUND('Resumen Anual'!E13*0.13,0)</f>
        <v>2470</v>
      </c>
      <c r="D104" s="6" t="n">
        <f aca="false">SUM(C93:C104)</f>
        <v>5206</v>
      </c>
    </row>
    <row r="105" customFormat="false" ht="15" hidden="false" customHeight="false" outlineLevel="0" collapsed="false">
      <c r="A105" s="16" t="s">
        <v>18</v>
      </c>
      <c r="B105" s="16" t="s">
        <v>26</v>
      </c>
      <c r="C105" s="6" t="n">
        <f aca="false">ROUND('Resumen Anual'!E13*0.13,0)</f>
        <v>2470</v>
      </c>
      <c r="D105" s="6" t="n">
        <f aca="false">SUM(C94:C105)</f>
        <v>7923</v>
      </c>
    </row>
    <row r="106" customFormat="false" ht="15" hidden="false" customHeight="false" outlineLevel="0" collapsed="false">
      <c r="A106" s="16" t="s">
        <v>18</v>
      </c>
      <c r="B106" s="16" t="s">
        <v>27</v>
      </c>
      <c r="C106" s="6" t="n">
        <f aca="false">ROUND('Resumen Anual'!E13*0.12,0)</f>
        <v>2280</v>
      </c>
      <c r="D106" s="6" t="n">
        <f aca="false">SUM(C95:C106)</f>
        <v>10431</v>
      </c>
    </row>
    <row r="107" customFormat="false" ht="15" hidden="false" customHeight="false" outlineLevel="0" collapsed="false">
      <c r="A107" s="16" t="s">
        <v>18</v>
      </c>
      <c r="B107" s="16" t="s">
        <v>28</v>
      </c>
      <c r="C107" s="6" t="n">
        <f aca="false">ROUND('Resumen Anual'!E13*0.11,0)</f>
        <v>2090</v>
      </c>
      <c r="D107" s="6" t="n">
        <f aca="false">SUM(C96:C107)</f>
        <v>12730</v>
      </c>
    </row>
    <row r="108" customFormat="false" ht="15" hidden="false" customHeight="false" outlineLevel="0" collapsed="false">
      <c r="A108" s="16" t="s">
        <v>18</v>
      </c>
      <c r="B108" s="16" t="s">
        <v>29</v>
      </c>
      <c r="C108" s="6" t="n">
        <f aca="false">ROUND('Resumen Anual'!E13*0.09,0)</f>
        <v>1710</v>
      </c>
      <c r="D108" s="6" t="n">
        <f aca="false">SUM(C97:C108)</f>
        <v>14611</v>
      </c>
    </row>
    <row r="109" customFormat="false" ht="15" hidden="false" customHeight="false" outlineLevel="0" collapsed="false">
      <c r="A109" s="16" t="s">
        <v>18</v>
      </c>
      <c r="B109" s="16" t="s">
        <v>30</v>
      </c>
      <c r="C109" s="6" t="n">
        <f aca="false">ROUND('Resumen Anual'!E13*0.08,0)</f>
        <v>1520</v>
      </c>
      <c r="D109" s="6" t="n">
        <f aca="false">SUM(C98:C109)</f>
        <v>16283</v>
      </c>
    </row>
    <row r="110" customFormat="false" ht="15" hidden="false" customHeight="false" outlineLevel="0" collapsed="false">
      <c r="A110" s="16" t="s">
        <v>18</v>
      </c>
      <c r="B110" s="16" t="s">
        <v>31</v>
      </c>
      <c r="C110" s="6" t="n">
        <f aca="false">ROUND('Resumen Anual'!E13*0.06,0)</f>
        <v>1140</v>
      </c>
      <c r="D110" s="6" t="n">
        <f aca="false">SUM(C99:C110)</f>
        <v>17537</v>
      </c>
    </row>
    <row r="111" customFormat="false" ht="15" hidden="false" customHeight="false" outlineLevel="0" collapsed="false">
      <c r="A111" s="16" t="s">
        <v>18</v>
      </c>
      <c r="B111" s="16" t="s">
        <v>32</v>
      </c>
      <c r="C111" s="6" t="n">
        <f aca="false">ROUND('Resumen Anual'!E13*0.04,0)</f>
        <v>760</v>
      </c>
      <c r="D111" s="6" t="n">
        <f aca="false">SUM(C100:C111)</f>
        <v>18373</v>
      </c>
    </row>
    <row r="112" customFormat="false" ht="15" hidden="false" customHeight="false" outlineLevel="0" collapsed="false">
      <c r="A112" s="16" t="s">
        <v>18</v>
      </c>
      <c r="B112" s="16" t="s">
        <v>33</v>
      </c>
      <c r="C112" s="6" t="n">
        <f aca="false">ROUND('Resumen Anual'!E13*0.03,0)</f>
        <v>570</v>
      </c>
      <c r="D112" s="6" t="n">
        <f aca="false">SUM(C101:C112)</f>
        <v>19000</v>
      </c>
    </row>
    <row r="113" customFormat="false" ht="15" hidden="false" customHeight="false" outlineLevel="0" collapsed="false">
      <c r="A113" s="16" t="s">
        <v>19</v>
      </c>
      <c r="B113" s="16" t="s">
        <v>22</v>
      </c>
      <c r="C113" s="6" t="n">
        <f aca="false">ROUND('Resumen Anual'!E14*0.05,0)</f>
        <v>225</v>
      </c>
      <c r="D113" s="6" t="n">
        <f aca="false">SUM(C102:C113)</f>
        <v>18275</v>
      </c>
    </row>
    <row r="114" customFormat="false" ht="15" hidden="false" customHeight="false" outlineLevel="0" collapsed="false">
      <c r="A114" s="16" t="s">
        <v>19</v>
      </c>
      <c r="B114" s="16" t="s">
        <v>23</v>
      </c>
      <c r="C114" s="6" t="n">
        <f aca="false">ROUND('Resumen Anual'!E14*0.06,0)</f>
        <v>270</v>
      </c>
      <c r="D114" s="6" t="n">
        <f aca="false">SUM(C103:C114)</f>
        <v>17405</v>
      </c>
    </row>
    <row r="115" customFormat="false" ht="15" hidden="false" customHeight="false" outlineLevel="0" collapsed="false">
      <c r="A115" s="16" t="s">
        <v>19</v>
      </c>
      <c r="B115" s="16" t="s">
        <v>24</v>
      </c>
      <c r="C115" s="6" t="n">
        <f aca="false">ROUND('Resumen Anual'!E14*0.1,0)</f>
        <v>450</v>
      </c>
      <c r="D115" s="6" t="n">
        <f aca="false">SUM(C104:C115)</f>
        <v>15955</v>
      </c>
    </row>
    <row r="116" customFormat="false" ht="15" hidden="false" customHeight="false" outlineLevel="0" collapsed="false">
      <c r="A116" s="16" t="s">
        <v>19</v>
      </c>
      <c r="B116" s="16" t="s">
        <v>25</v>
      </c>
      <c r="C116" s="6" t="n">
        <f aca="false">ROUND('Resumen Anual'!E14*0.13,0)</f>
        <v>585</v>
      </c>
      <c r="D116" s="6" t="n">
        <f aca="false">SUM(C105:C116)</f>
        <v>14070</v>
      </c>
    </row>
    <row r="117" customFormat="false" ht="15" hidden="false" customHeight="false" outlineLevel="0" collapsed="false">
      <c r="A117" s="16" t="s">
        <v>19</v>
      </c>
      <c r="B117" s="16" t="s">
        <v>26</v>
      </c>
      <c r="C117" s="6" t="n">
        <f aca="false">ROUND('Resumen Anual'!E14*0.13,0)</f>
        <v>585</v>
      </c>
      <c r="D117" s="6" t="n">
        <f aca="false">SUM(C106:C117)</f>
        <v>12185</v>
      </c>
    </row>
    <row r="118" customFormat="false" ht="15" hidden="false" customHeight="false" outlineLevel="0" collapsed="false">
      <c r="A118" s="16" t="s">
        <v>19</v>
      </c>
      <c r="B118" s="16" t="s">
        <v>27</v>
      </c>
      <c r="C118" s="6" t="n">
        <f aca="false">ROUND('Resumen Anual'!E14*0.12,0)</f>
        <v>540</v>
      </c>
      <c r="D118" s="6" t="n">
        <f aca="false">SUM(C107:C118)</f>
        <v>10445</v>
      </c>
    </row>
    <row r="119" customFormat="false" ht="15" hidden="false" customHeight="false" outlineLevel="0" collapsed="false">
      <c r="A119" s="16" t="s">
        <v>19</v>
      </c>
      <c r="B119" s="16" t="s">
        <v>28</v>
      </c>
      <c r="C119" s="6" t="n">
        <f aca="false">ROUND('Resumen Anual'!E14*0.11,0)</f>
        <v>495</v>
      </c>
      <c r="D119" s="6" t="n">
        <f aca="false">SUM(C108:C119)</f>
        <v>8850</v>
      </c>
    </row>
    <row r="120" customFormat="false" ht="15" hidden="false" customHeight="false" outlineLevel="0" collapsed="false">
      <c r="A120" s="16" t="s">
        <v>19</v>
      </c>
      <c r="B120" s="16" t="s">
        <v>29</v>
      </c>
      <c r="C120" s="6" t="n">
        <f aca="false">ROUND('Resumen Anual'!E14*0.09,0)</f>
        <v>405</v>
      </c>
      <c r="D120" s="6" t="n">
        <f aca="false">SUM(C109:C120)</f>
        <v>7545</v>
      </c>
    </row>
    <row r="121" customFormat="false" ht="15" hidden="false" customHeight="false" outlineLevel="0" collapsed="false">
      <c r="A121" s="16" t="s">
        <v>19</v>
      </c>
      <c r="B121" s="16" t="s">
        <v>30</v>
      </c>
      <c r="C121" s="6" t="n">
        <f aca="false">ROUND('Resumen Anual'!E14*0.08,0)</f>
        <v>360</v>
      </c>
      <c r="D121" s="6" t="n">
        <f aca="false">SUM(C110:C121)</f>
        <v>6385</v>
      </c>
    </row>
    <row r="122" customFormat="false" ht="15" hidden="false" customHeight="false" outlineLevel="0" collapsed="false">
      <c r="A122" s="16" t="s">
        <v>19</v>
      </c>
      <c r="B122" s="16" t="s">
        <v>31</v>
      </c>
      <c r="C122" s="6" t="n">
        <f aca="false">ROUND('Resumen Anual'!E14*0.06,0)</f>
        <v>270</v>
      </c>
      <c r="D122" s="6" t="n">
        <f aca="false">SUM(C111:C122)</f>
        <v>5515</v>
      </c>
    </row>
    <row r="123" customFormat="false" ht="15" hidden="false" customHeight="false" outlineLevel="0" collapsed="false">
      <c r="A123" s="16" t="s">
        <v>19</v>
      </c>
      <c r="B123" s="16" t="s">
        <v>32</v>
      </c>
      <c r="C123" s="6" t="n">
        <f aca="false">ROUND('Resumen Anual'!E14*0.04,0)</f>
        <v>180</v>
      </c>
      <c r="D123" s="6" t="n">
        <f aca="false">SUM(C112:C123)</f>
        <v>4935</v>
      </c>
    </row>
    <row r="124" customFormat="false" ht="15" hidden="false" customHeight="false" outlineLevel="0" collapsed="false">
      <c r="A124" s="16" t="s">
        <v>19</v>
      </c>
      <c r="B124" s="16" t="s">
        <v>33</v>
      </c>
      <c r="C124" s="6" t="n">
        <f aca="false">ROUND('Resumen Anual'!E14*0.03,0)</f>
        <v>135</v>
      </c>
      <c r="D124" s="6" t="n">
        <f aca="false">SUM(C113:C124)</f>
        <v>4500</v>
      </c>
    </row>
    <row r="125" customFormat="false" ht="15" hidden="false" customHeight="false" outlineLevel="0" collapsed="false">
      <c r="A125" s="16" t="s">
        <v>20</v>
      </c>
      <c r="B125" s="16" t="s">
        <v>22</v>
      </c>
      <c r="C125" s="5" t="n">
        <v>1400</v>
      </c>
      <c r="D125" s="6" t="n">
        <f aca="false">SUM(C114:C125)</f>
        <v>5675</v>
      </c>
    </row>
    <row r="126" customFormat="false" ht="15" hidden="false" customHeight="false" outlineLevel="0" collapsed="false">
      <c r="A126" s="16" t="s">
        <v>20</v>
      </c>
      <c r="B126" s="16" t="s">
        <v>23</v>
      </c>
      <c r="C126" s="5" t="n">
        <v>1800</v>
      </c>
      <c r="D126" s="6" t="n">
        <f aca="false">SUM(C115:C126)</f>
        <v>7205</v>
      </c>
    </row>
    <row r="127" customFormat="false" ht="15" hidden="false" customHeight="false" outlineLevel="0" collapsed="false">
      <c r="A127" s="16" t="s">
        <v>20</v>
      </c>
      <c r="B127" s="16" t="s">
        <v>24</v>
      </c>
      <c r="C127" s="5" t="n">
        <v>1700</v>
      </c>
      <c r="D127" s="6" t="n">
        <f aca="false">SUM(C116:C127)</f>
        <v>8455</v>
      </c>
    </row>
    <row r="128" customFormat="false" ht="15" hidden="false" customHeight="false" outlineLevel="0" collapsed="false">
      <c r="A128" s="16" t="s">
        <v>20</v>
      </c>
      <c r="B128" s="16" t="s">
        <v>25</v>
      </c>
      <c r="C128" s="5" t="n">
        <v>1600</v>
      </c>
      <c r="D128" s="6" t="n">
        <f aca="false">SUM(C117:C128)</f>
        <v>9470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7" min="6" style="0" width="13"/>
    <col collapsed="false" customWidth="true" hidden="false" outlineLevel="0" max="8" min="8" style="0" width="18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1" t="s">
        <v>40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41</v>
      </c>
      <c r="B2" s="2"/>
      <c r="C2" s="2"/>
      <c r="D2" s="2"/>
      <c r="E2" s="2"/>
      <c r="F2" s="2"/>
      <c r="G2" s="2"/>
      <c r="H2" s="2"/>
      <c r="I2" s="2"/>
    </row>
    <row r="4" customFormat="false" ht="31.5" hidden="false" customHeight="true" outlineLevel="0" collapsed="false">
      <c r="A4" s="3" t="s">
        <v>42</v>
      </c>
      <c r="B4" s="3" t="s">
        <v>43</v>
      </c>
      <c r="C4" s="3" t="s">
        <v>44</v>
      </c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  <c r="I4" s="3" t="s">
        <v>50</v>
      </c>
    </row>
    <row r="5" customFormat="false" ht="15" hidden="false" customHeight="false" outlineLevel="0" collapsed="false">
      <c r="A5" s="17" t="n">
        <v>46024</v>
      </c>
      <c r="B5" s="5" t="n">
        <v>40759</v>
      </c>
      <c r="C5" s="6" t="n">
        <f aca="false">IFERROR(B5-B4,0)</f>
        <v>0</v>
      </c>
      <c r="D5" s="5" t="n">
        <v>0</v>
      </c>
      <c r="E5" s="5" t="n">
        <v>-6</v>
      </c>
      <c r="F5" s="5" t="n">
        <v>0</v>
      </c>
      <c r="G5" s="5" t="n">
        <v>0</v>
      </c>
      <c r="H5" s="6" t="n">
        <f aca="false">C5+D5-E5-F5+G5</f>
        <v>6</v>
      </c>
      <c r="I5" s="6" t="n">
        <f aca="false">H5</f>
        <v>6</v>
      </c>
    </row>
    <row r="6" customFormat="false" ht="15" hidden="false" customHeight="false" outlineLevel="0" collapsed="false">
      <c r="A6" s="18" t="n">
        <v>46027</v>
      </c>
      <c r="B6" s="10" t="n">
        <v>40836</v>
      </c>
      <c r="C6" s="11" t="n">
        <f aca="false">IFERROR(B6-B5,0)</f>
        <v>77</v>
      </c>
      <c r="D6" s="10" t="n">
        <v>0</v>
      </c>
      <c r="E6" s="10" t="n">
        <v>13</v>
      </c>
      <c r="F6" s="10" t="n">
        <v>0</v>
      </c>
      <c r="G6" s="10" t="n">
        <v>0</v>
      </c>
      <c r="H6" s="11" t="n">
        <f aca="false">C6+D6-E6-F6+G6</f>
        <v>64</v>
      </c>
      <c r="I6" s="11" t="n">
        <f aca="false">I5+H6</f>
        <v>70</v>
      </c>
    </row>
    <row r="7" customFormat="false" ht="15" hidden="false" customHeight="false" outlineLevel="0" collapsed="false">
      <c r="A7" s="17" t="n">
        <v>46028</v>
      </c>
      <c r="B7" s="5" t="n">
        <v>40896</v>
      </c>
      <c r="C7" s="6" t="n">
        <f aca="false">IFERROR(B7-B6,0)</f>
        <v>60</v>
      </c>
      <c r="D7" s="5" t="n">
        <v>0</v>
      </c>
      <c r="E7" s="5" t="n">
        <v>-6</v>
      </c>
      <c r="F7" s="5" t="n">
        <v>0</v>
      </c>
      <c r="G7" s="5" t="n">
        <v>0</v>
      </c>
      <c r="H7" s="6" t="n">
        <f aca="false">C7+D7-E7-F7+G7</f>
        <v>66</v>
      </c>
      <c r="I7" s="6" t="n">
        <f aca="false">I6+H7</f>
        <v>136</v>
      </c>
    </row>
    <row r="8" customFormat="false" ht="15" hidden="false" customHeight="false" outlineLevel="0" collapsed="false">
      <c r="A8" s="18" t="n">
        <v>46029</v>
      </c>
      <c r="B8" s="10" t="n">
        <v>40983</v>
      </c>
      <c r="C8" s="11" t="n">
        <f aca="false">IFERROR(B8-B7,0)</f>
        <v>87</v>
      </c>
      <c r="D8" s="10" t="n">
        <v>0</v>
      </c>
      <c r="E8" s="10" t="n">
        <v>-8</v>
      </c>
      <c r="F8" s="10" t="n">
        <v>0</v>
      </c>
      <c r="G8" s="10" t="n">
        <v>0</v>
      </c>
      <c r="H8" s="11" t="n">
        <f aca="false">C8+D8-E8-F8+G8</f>
        <v>95</v>
      </c>
      <c r="I8" s="11" t="n">
        <f aca="false">I7+H8</f>
        <v>231</v>
      </c>
    </row>
    <row r="9" customFormat="false" ht="15" hidden="false" customHeight="false" outlineLevel="0" collapsed="false">
      <c r="A9" s="17" t="n">
        <v>46030</v>
      </c>
      <c r="B9" s="5" t="n">
        <v>40971</v>
      </c>
      <c r="C9" s="6" t="n">
        <f aca="false">IFERROR(B9-B8,0)</f>
        <v>-12</v>
      </c>
      <c r="D9" s="5" t="n">
        <v>0</v>
      </c>
      <c r="E9" s="5" t="n">
        <v>-23</v>
      </c>
      <c r="F9" s="5" t="n">
        <v>0</v>
      </c>
      <c r="G9" s="5" t="n">
        <v>0</v>
      </c>
      <c r="H9" s="6" t="n">
        <f aca="false">C9+D9-E9-F9+G9</f>
        <v>11</v>
      </c>
      <c r="I9" s="6" t="n">
        <f aca="false">I8+H9</f>
        <v>242</v>
      </c>
    </row>
    <row r="10" customFormat="false" ht="15" hidden="false" customHeight="false" outlineLevel="0" collapsed="false">
      <c r="A10" s="18" t="n">
        <v>46031</v>
      </c>
      <c r="B10" s="10" t="n">
        <v>40984</v>
      </c>
      <c r="C10" s="11" t="n">
        <f aca="false">IFERROR(B10-B9,0)</f>
        <v>13</v>
      </c>
      <c r="D10" s="10" t="n">
        <v>0</v>
      </c>
      <c r="E10" s="10" t="n">
        <v>-5</v>
      </c>
      <c r="F10" s="10" t="n">
        <v>0</v>
      </c>
      <c r="G10" s="10" t="n">
        <v>0</v>
      </c>
      <c r="H10" s="11" t="n">
        <f aca="false">C10+D10-E10-F10+G10</f>
        <v>18</v>
      </c>
      <c r="I10" s="11" t="n">
        <f aca="false">I9+H10</f>
        <v>260</v>
      </c>
    </row>
    <row r="11" customFormat="false" ht="15" hidden="false" customHeight="false" outlineLevel="0" collapsed="false">
      <c r="A11" s="17" t="n">
        <v>46034</v>
      </c>
      <c r="B11" s="5" t="n">
        <v>41094</v>
      </c>
      <c r="C11" s="6" t="n">
        <f aca="false">IFERROR(B11-B10,0)</f>
        <v>110</v>
      </c>
      <c r="D11" s="5" t="n">
        <v>0</v>
      </c>
      <c r="E11" s="5" t="n">
        <v>28</v>
      </c>
      <c r="F11" s="5" t="n">
        <v>0</v>
      </c>
      <c r="G11" s="5" t="n">
        <v>0</v>
      </c>
      <c r="H11" s="6" t="n">
        <f aca="false">C11+D11-E11-F11+G11</f>
        <v>82</v>
      </c>
      <c r="I11" s="6" t="n">
        <f aca="false">I10+H11</f>
        <v>342</v>
      </c>
    </row>
    <row r="12" customFormat="false" ht="15" hidden="false" customHeight="false" outlineLevel="0" collapsed="false">
      <c r="A12" s="18" t="n">
        <v>46035</v>
      </c>
      <c r="B12" s="10" t="n">
        <v>41166</v>
      </c>
      <c r="C12" s="11" t="n">
        <f aca="false">IFERROR(B12-B11,0)</f>
        <v>72</v>
      </c>
      <c r="D12" s="10" t="n">
        <v>0</v>
      </c>
      <c r="E12" s="10" t="n">
        <v>11</v>
      </c>
      <c r="F12" s="10" t="n">
        <v>0</v>
      </c>
      <c r="G12" s="10" t="n">
        <v>0</v>
      </c>
      <c r="H12" s="11" t="n">
        <f aca="false">C12+D12-E12-F12+G12</f>
        <v>61</v>
      </c>
      <c r="I12" s="11" t="n">
        <f aca="false">I11+H12</f>
        <v>403</v>
      </c>
    </row>
    <row r="13" customFormat="false" ht="15" hidden="false" customHeight="false" outlineLevel="0" collapsed="false">
      <c r="A13" s="17" t="n">
        <v>46036</v>
      </c>
      <c r="B13" s="5" t="n">
        <v>41254</v>
      </c>
      <c r="C13" s="6" t="n">
        <f aca="false">IFERROR(B13-B12,0)</f>
        <v>88</v>
      </c>
      <c r="D13" s="5" t="n">
        <v>0</v>
      </c>
      <c r="E13" s="5" t="n">
        <v>26</v>
      </c>
      <c r="F13" s="5" t="n">
        <v>0</v>
      </c>
      <c r="G13" s="5" t="n">
        <v>0</v>
      </c>
      <c r="H13" s="6" t="n">
        <f aca="false">C13+D13-E13-F13+G13</f>
        <v>62</v>
      </c>
      <c r="I13" s="6" t="n">
        <f aca="false">I12+H13</f>
        <v>465</v>
      </c>
    </row>
    <row r="14" customFormat="false" ht="15" hidden="false" customHeight="false" outlineLevel="0" collapsed="false">
      <c r="A14" s="18" t="n">
        <v>46037</v>
      </c>
      <c r="B14" s="10" t="n">
        <v>41334</v>
      </c>
      <c r="C14" s="11" t="n">
        <f aca="false">IFERROR(B14-B13,0)</f>
        <v>80</v>
      </c>
      <c r="D14" s="10" t="n">
        <v>0</v>
      </c>
      <c r="E14" s="10" t="n">
        <v>6</v>
      </c>
      <c r="F14" s="10" t="n">
        <v>0</v>
      </c>
      <c r="G14" s="10" t="n">
        <v>0</v>
      </c>
      <c r="H14" s="11" t="n">
        <f aca="false">C14+D14-E14-F14+G14</f>
        <v>74</v>
      </c>
      <c r="I14" s="11" t="n">
        <f aca="false">I13+H14</f>
        <v>539</v>
      </c>
    </row>
    <row r="15" customFormat="false" ht="15" hidden="false" customHeight="false" outlineLevel="0" collapsed="false">
      <c r="A15" s="17" t="n">
        <v>46038</v>
      </c>
      <c r="B15" s="5" t="n">
        <v>41400</v>
      </c>
      <c r="C15" s="6" t="n">
        <f aca="false">IFERROR(B15-B14,0)</f>
        <v>66</v>
      </c>
      <c r="D15" s="5" t="n">
        <v>0</v>
      </c>
      <c r="E15" s="5" t="n">
        <v>10</v>
      </c>
      <c r="F15" s="5" t="n">
        <v>30</v>
      </c>
      <c r="G15" s="5" t="n">
        <v>0</v>
      </c>
      <c r="H15" s="6" t="n">
        <f aca="false">C15+D15-E15-F15+G15</f>
        <v>26</v>
      </c>
      <c r="I15" s="6" t="n">
        <f aca="false">I14+H15</f>
        <v>565</v>
      </c>
    </row>
    <row r="16" customFormat="false" ht="15" hidden="false" customHeight="false" outlineLevel="0" collapsed="false">
      <c r="A16" s="18" t="n">
        <v>46041</v>
      </c>
      <c r="B16" s="10" t="n">
        <v>41516</v>
      </c>
      <c r="C16" s="11" t="n">
        <f aca="false">IFERROR(B16-B15,0)</f>
        <v>116</v>
      </c>
      <c r="D16" s="10" t="n">
        <v>0</v>
      </c>
      <c r="E16" s="10" t="n">
        <v>5</v>
      </c>
      <c r="F16" s="10" t="n">
        <v>0</v>
      </c>
      <c r="G16" s="10" t="n">
        <v>0</v>
      </c>
      <c r="H16" s="11" t="n">
        <f aca="false">C16+D16-E16-F16+G16</f>
        <v>111</v>
      </c>
      <c r="I16" s="11" t="n">
        <f aca="false">I15+H16</f>
        <v>676</v>
      </c>
    </row>
    <row r="17" customFormat="false" ht="15" hidden="false" customHeight="false" outlineLevel="0" collapsed="false">
      <c r="A17" s="17" t="n">
        <v>46042</v>
      </c>
      <c r="B17" s="5" t="n">
        <v>41567</v>
      </c>
      <c r="C17" s="6" t="n">
        <f aca="false">IFERROR(B17-B16,0)</f>
        <v>51</v>
      </c>
      <c r="D17" s="5" t="n">
        <v>0</v>
      </c>
      <c r="E17" s="5" t="n">
        <v>-42</v>
      </c>
      <c r="F17" s="5" t="n">
        <v>0</v>
      </c>
      <c r="G17" s="5" t="n">
        <v>0</v>
      </c>
      <c r="H17" s="6" t="n">
        <f aca="false">C17+D17-E17-F17+G17</f>
        <v>93</v>
      </c>
      <c r="I17" s="6" t="n">
        <f aca="false">I16+H17</f>
        <v>769</v>
      </c>
    </row>
    <row r="18" customFormat="false" ht="15" hidden="false" customHeight="false" outlineLevel="0" collapsed="false">
      <c r="A18" s="18" t="n">
        <v>46043</v>
      </c>
      <c r="B18" s="10" t="n">
        <v>41662</v>
      </c>
      <c r="C18" s="11" t="n">
        <f aca="false">IFERROR(B18-B17,0)</f>
        <v>95</v>
      </c>
      <c r="D18" s="10" t="n">
        <v>0</v>
      </c>
      <c r="E18" s="10" t="n">
        <v>21</v>
      </c>
      <c r="F18" s="10" t="n">
        <v>0</v>
      </c>
      <c r="G18" s="10" t="n">
        <v>0</v>
      </c>
      <c r="H18" s="11" t="n">
        <f aca="false">C18+D18-E18-F18+G18</f>
        <v>74</v>
      </c>
      <c r="I18" s="11" t="n">
        <f aca="false">I17+H18</f>
        <v>843</v>
      </c>
    </row>
    <row r="19" customFormat="false" ht="15" hidden="false" customHeight="false" outlineLevel="0" collapsed="false">
      <c r="A19" s="17" t="n">
        <v>46044</v>
      </c>
      <c r="B19" s="5" t="n">
        <v>41719</v>
      </c>
      <c r="C19" s="6" t="n">
        <f aca="false">IFERROR(B19-B18,0)</f>
        <v>57</v>
      </c>
      <c r="D19" s="5" t="n">
        <v>0</v>
      </c>
      <c r="E19" s="5" t="n">
        <v>13</v>
      </c>
      <c r="F19" s="5" t="n">
        <v>0</v>
      </c>
      <c r="G19" s="5" t="n">
        <v>0</v>
      </c>
      <c r="H19" s="6" t="n">
        <f aca="false">C19+D19-E19-F19+G19</f>
        <v>44</v>
      </c>
      <c r="I19" s="6" t="n">
        <f aca="false">I18+H19</f>
        <v>887</v>
      </c>
    </row>
    <row r="20" customFormat="false" ht="15" hidden="false" customHeight="false" outlineLevel="0" collapsed="false">
      <c r="A20" s="18" t="n">
        <v>46045</v>
      </c>
      <c r="B20" s="10" t="n">
        <v>41765</v>
      </c>
      <c r="C20" s="11" t="n">
        <f aca="false">IFERROR(B20-B19,0)</f>
        <v>46</v>
      </c>
      <c r="D20" s="10" t="n">
        <v>0</v>
      </c>
      <c r="E20" s="10" t="n">
        <v>12</v>
      </c>
      <c r="F20" s="10" t="n">
        <v>0</v>
      </c>
      <c r="G20" s="10" t="n">
        <v>0</v>
      </c>
      <c r="H20" s="11" t="n">
        <f aca="false">C20+D20-E20-F20+G20</f>
        <v>34</v>
      </c>
      <c r="I20" s="11" t="n">
        <f aca="false">I19+H20</f>
        <v>921</v>
      </c>
    </row>
    <row r="21" customFormat="false" ht="15" hidden="false" customHeight="false" outlineLevel="0" collapsed="false">
      <c r="A21" s="17" t="n">
        <v>46048</v>
      </c>
      <c r="B21" s="5" t="n">
        <v>41802</v>
      </c>
      <c r="C21" s="6" t="n">
        <f aca="false">IFERROR(B21-B20,0)</f>
        <v>37</v>
      </c>
      <c r="D21" s="5" t="n">
        <v>0</v>
      </c>
      <c r="E21" s="5" t="n">
        <v>-42</v>
      </c>
      <c r="F21" s="5" t="n">
        <v>0</v>
      </c>
      <c r="G21" s="5" t="n">
        <v>0</v>
      </c>
      <c r="H21" s="6" t="n">
        <f aca="false">C21+D21-E21-F21+G21</f>
        <v>79</v>
      </c>
      <c r="I21" s="6" t="n">
        <f aca="false">I20+H21</f>
        <v>1000</v>
      </c>
    </row>
    <row r="22" customFormat="false" ht="15" hidden="false" customHeight="false" outlineLevel="0" collapsed="false">
      <c r="A22" s="18" t="n">
        <v>46049</v>
      </c>
      <c r="B22" s="10" t="n">
        <v>41874</v>
      </c>
      <c r="C22" s="11" t="n">
        <f aca="false">IFERROR(B22-B21,0)</f>
        <v>72</v>
      </c>
      <c r="D22" s="10" t="n">
        <v>0</v>
      </c>
      <c r="E22" s="10" t="n">
        <v>-44</v>
      </c>
      <c r="F22" s="10" t="n">
        <v>0</v>
      </c>
      <c r="G22" s="10" t="n">
        <v>0</v>
      </c>
      <c r="H22" s="11" t="n">
        <f aca="false">C22+D22-E22-F22+G22</f>
        <v>116</v>
      </c>
      <c r="I22" s="11" t="n">
        <f aca="false">I21+H22</f>
        <v>1116</v>
      </c>
    </row>
    <row r="23" customFormat="false" ht="15" hidden="false" customHeight="false" outlineLevel="0" collapsed="false">
      <c r="A23" s="17" t="n">
        <v>46050</v>
      </c>
      <c r="B23" s="5" t="n">
        <v>41923</v>
      </c>
      <c r="C23" s="6" t="n">
        <f aca="false">IFERROR(B23-B22,0)</f>
        <v>49</v>
      </c>
      <c r="D23" s="5" t="n">
        <v>0</v>
      </c>
      <c r="E23" s="5" t="n">
        <v>-22</v>
      </c>
      <c r="F23" s="5" t="n">
        <v>0</v>
      </c>
      <c r="G23" s="5" t="n">
        <v>0</v>
      </c>
      <c r="H23" s="6" t="n">
        <f aca="false">C23+D23-E23-F23+G23</f>
        <v>71</v>
      </c>
      <c r="I23" s="6" t="n">
        <f aca="false">I22+H23</f>
        <v>1187</v>
      </c>
    </row>
    <row r="24" customFormat="false" ht="15" hidden="false" customHeight="false" outlineLevel="0" collapsed="false">
      <c r="A24" s="18" t="n">
        <v>46051</v>
      </c>
      <c r="B24" s="10" t="n">
        <v>41977</v>
      </c>
      <c r="C24" s="11" t="n">
        <f aca="false">IFERROR(B24-B23,0)</f>
        <v>54</v>
      </c>
      <c r="D24" s="10" t="n">
        <v>0</v>
      </c>
      <c r="E24" s="10" t="n">
        <v>-12</v>
      </c>
      <c r="F24" s="10" t="n">
        <v>0</v>
      </c>
      <c r="G24" s="10" t="n">
        <v>0</v>
      </c>
      <c r="H24" s="11" t="n">
        <f aca="false">C24+D24-E24-F24+G24</f>
        <v>66</v>
      </c>
      <c r="I24" s="11" t="n">
        <f aca="false">I23+H24</f>
        <v>1253</v>
      </c>
    </row>
    <row r="25" customFormat="false" ht="15" hidden="false" customHeight="false" outlineLevel="0" collapsed="false">
      <c r="A25" s="17" t="n">
        <v>46052</v>
      </c>
      <c r="B25" s="5" t="n">
        <v>42073</v>
      </c>
      <c r="C25" s="6" t="n">
        <f aca="false">IFERROR(B25-B24,0)</f>
        <v>96</v>
      </c>
      <c r="D25" s="5" t="n">
        <v>0</v>
      </c>
      <c r="E25" s="5" t="n">
        <v>8</v>
      </c>
      <c r="F25" s="5" t="n">
        <v>0</v>
      </c>
      <c r="G25" s="5" t="n">
        <v>0</v>
      </c>
      <c r="H25" s="6" t="n">
        <f aca="false">C25+D25-E25-F25+G25</f>
        <v>88</v>
      </c>
      <c r="I25" s="6" t="n">
        <f aca="false">I24+H25</f>
        <v>1341</v>
      </c>
    </row>
    <row r="26" customFormat="false" ht="15" hidden="false" customHeight="false" outlineLevel="0" collapsed="false">
      <c r="A26" s="18" t="n">
        <v>46055</v>
      </c>
      <c r="B26" s="10" t="n">
        <v>42109</v>
      </c>
      <c r="C26" s="11" t="n">
        <f aca="false">IFERROR(B26-B25,0)</f>
        <v>36</v>
      </c>
      <c r="D26" s="10" t="n">
        <v>0</v>
      </c>
      <c r="E26" s="10" t="n">
        <v>-1</v>
      </c>
      <c r="F26" s="10" t="n">
        <v>0</v>
      </c>
      <c r="G26" s="10" t="n">
        <v>0</v>
      </c>
      <c r="H26" s="11" t="n">
        <f aca="false">C26+D26-E26-F26+G26</f>
        <v>37</v>
      </c>
      <c r="I26" s="11" t="n">
        <f aca="false">I25+H26</f>
        <v>1378</v>
      </c>
    </row>
    <row r="27" customFormat="false" ht="15" hidden="false" customHeight="false" outlineLevel="0" collapsed="false">
      <c r="A27" s="17" t="n">
        <v>46056</v>
      </c>
      <c r="B27" s="5" t="n">
        <v>42265</v>
      </c>
      <c r="C27" s="6" t="n">
        <f aca="false">IFERROR(B27-B26,0)</f>
        <v>156</v>
      </c>
      <c r="D27" s="5" t="n">
        <v>0</v>
      </c>
      <c r="E27" s="5" t="n">
        <v>13</v>
      </c>
      <c r="F27" s="5" t="n">
        <v>-50</v>
      </c>
      <c r="G27" s="5" t="n">
        <v>0</v>
      </c>
      <c r="H27" s="6" t="n">
        <f aca="false">C27+D27-E27-F27+G27</f>
        <v>193</v>
      </c>
      <c r="I27" s="6" t="n">
        <f aca="false">I26+H27</f>
        <v>1571</v>
      </c>
    </row>
    <row r="28" customFormat="false" ht="15" hidden="false" customHeight="false" outlineLevel="0" collapsed="false">
      <c r="A28" s="18" t="n">
        <v>46057</v>
      </c>
      <c r="B28" s="10" t="n">
        <v>42262</v>
      </c>
      <c r="C28" s="11" t="n">
        <f aca="false">IFERROR(B28-B27,0)</f>
        <v>-3</v>
      </c>
      <c r="D28" s="10" t="n">
        <v>0</v>
      </c>
      <c r="E28" s="10" t="n">
        <v>-16</v>
      </c>
      <c r="F28" s="10" t="n">
        <v>0</v>
      </c>
      <c r="G28" s="10" t="n">
        <v>0</v>
      </c>
      <c r="H28" s="11" t="n">
        <f aca="false">C28+D28-E28-F28+G28</f>
        <v>13</v>
      </c>
      <c r="I28" s="11" t="n">
        <f aca="false">I27+H28</f>
        <v>1584</v>
      </c>
    </row>
    <row r="29" customFormat="false" ht="15" hidden="false" customHeight="false" outlineLevel="0" collapsed="false">
      <c r="A29" s="17" t="n">
        <v>46058</v>
      </c>
      <c r="B29" s="5" t="n">
        <v>42429</v>
      </c>
      <c r="C29" s="6" t="n">
        <f aca="false">IFERROR(B29-B28,0)</f>
        <v>167</v>
      </c>
      <c r="D29" s="5" t="n">
        <v>0</v>
      </c>
      <c r="E29" s="5" t="n">
        <v>8</v>
      </c>
      <c r="F29" s="5" t="n">
        <v>0</v>
      </c>
      <c r="G29" s="5" t="n">
        <v>0</v>
      </c>
      <c r="H29" s="6" t="n">
        <f aca="false">C29+D29-E29-F29+G29</f>
        <v>159</v>
      </c>
      <c r="I29" s="6" t="n">
        <f aca="false">I28+H29</f>
        <v>1743</v>
      </c>
    </row>
    <row r="30" customFormat="false" ht="15" hidden="false" customHeight="false" outlineLevel="0" collapsed="false">
      <c r="A30" s="18" t="n">
        <v>46059</v>
      </c>
      <c r="B30" s="10" t="n">
        <v>42640</v>
      </c>
      <c r="C30" s="11" t="n">
        <f aca="false">IFERROR(B30-B29,0)</f>
        <v>211</v>
      </c>
      <c r="D30" s="10" t="n">
        <v>0</v>
      </c>
      <c r="E30" s="10" t="n">
        <v>10</v>
      </c>
      <c r="F30" s="10" t="n">
        <v>50</v>
      </c>
      <c r="G30" s="10" t="n">
        <v>0</v>
      </c>
      <c r="H30" s="11" t="n">
        <f aca="false">C30+D30-E30-F30+G30</f>
        <v>151</v>
      </c>
      <c r="I30" s="11" t="n">
        <f aca="false">I29+H30</f>
        <v>1894</v>
      </c>
    </row>
    <row r="31" customFormat="false" ht="15" hidden="false" customHeight="false" outlineLevel="0" collapsed="false">
      <c r="A31" s="17" t="n">
        <v>46062</v>
      </c>
      <c r="B31" s="5" t="n">
        <v>42810</v>
      </c>
      <c r="C31" s="6" t="n">
        <f aca="false">IFERROR(B31-B30,0)</f>
        <v>170</v>
      </c>
      <c r="D31" s="5" t="n">
        <v>0</v>
      </c>
      <c r="E31" s="5" t="n">
        <v>-17</v>
      </c>
      <c r="F31" s="5" t="n">
        <v>0</v>
      </c>
      <c r="G31" s="5" t="n">
        <v>0</v>
      </c>
      <c r="H31" s="6" t="n">
        <f aca="false">C31+D31-E31-F31+G31</f>
        <v>187</v>
      </c>
      <c r="I31" s="6" t="n">
        <f aca="false">I30+H31</f>
        <v>2081</v>
      </c>
    </row>
    <row r="32" customFormat="false" ht="15" hidden="false" customHeight="false" outlineLevel="0" collapsed="false">
      <c r="A32" s="18" t="n">
        <v>46063</v>
      </c>
      <c r="B32" s="10" t="n">
        <v>42912</v>
      </c>
      <c r="C32" s="11" t="n">
        <f aca="false">IFERROR(B32-B31,0)</f>
        <v>102</v>
      </c>
      <c r="D32" s="10" t="n">
        <v>0</v>
      </c>
      <c r="E32" s="10" t="n">
        <v>43</v>
      </c>
      <c r="F32" s="10" t="n">
        <v>0</v>
      </c>
      <c r="G32" s="10" t="n">
        <v>0</v>
      </c>
      <c r="H32" s="11" t="n">
        <f aca="false">C32+D32-E32-F32+G32</f>
        <v>59</v>
      </c>
      <c r="I32" s="11" t="n">
        <f aca="false">I31+H32</f>
        <v>2140</v>
      </c>
    </row>
    <row r="33" customFormat="false" ht="15" hidden="false" customHeight="false" outlineLevel="0" collapsed="false">
      <c r="A33" s="17" t="n">
        <v>46064</v>
      </c>
      <c r="B33" s="5" t="n">
        <v>42960</v>
      </c>
      <c r="C33" s="6" t="n">
        <f aca="false">IFERROR(B33-B32,0)</f>
        <v>48</v>
      </c>
      <c r="D33" s="5" t="n">
        <v>0</v>
      </c>
      <c r="E33" s="5" t="n">
        <v>14</v>
      </c>
      <c r="F33" s="5" t="n">
        <v>0</v>
      </c>
      <c r="G33" s="5" t="n">
        <v>0</v>
      </c>
      <c r="H33" s="6" t="n">
        <f aca="false">C33+D33-E33-F33+G33</f>
        <v>34</v>
      </c>
      <c r="I33" s="6" t="n">
        <f aca="false">I32+H33</f>
        <v>2174</v>
      </c>
    </row>
    <row r="34" customFormat="false" ht="15" hidden="false" customHeight="false" outlineLevel="0" collapsed="false">
      <c r="A34" s="18" t="n">
        <v>46065</v>
      </c>
      <c r="B34" s="10" t="n">
        <v>43023</v>
      </c>
      <c r="C34" s="11" t="n">
        <f aca="false">IFERROR(B34-B33,0)</f>
        <v>63</v>
      </c>
      <c r="D34" s="10" t="n">
        <v>0</v>
      </c>
      <c r="E34" s="10" t="n">
        <v>30</v>
      </c>
      <c r="F34" s="10" t="n">
        <v>0</v>
      </c>
      <c r="G34" s="10" t="n">
        <v>0</v>
      </c>
      <c r="H34" s="11" t="n">
        <f aca="false">C34+D34-E34-F34+G34</f>
        <v>33</v>
      </c>
      <c r="I34" s="11" t="n">
        <f aca="false">I33+H34</f>
        <v>2207</v>
      </c>
    </row>
    <row r="35" customFormat="false" ht="15" hidden="false" customHeight="false" outlineLevel="0" collapsed="false">
      <c r="A35" s="17" t="n">
        <v>46066</v>
      </c>
      <c r="B35" s="5" t="n">
        <v>42965</v>
      </c>
      <c r="C35" s="6" t="n">
        <f aca="false">IFERROR(B35-B34,0)</f>
        <v>-58</v>
      </c>
      <c r="D35" s="5" t="n">
        <v>0</v>
      </c>
      <c r="E35" s="5" t="n">
        <v>-16</v>
      </c>
      <c r="F35" s="5" t="n">
        <v>0</v>
      </c>
      <c r="G35" s="5" t="n">
        <v>0</v>
      </c>
      <c r="H35" s="6" t="n">
        <f aca="false">C35+D35-E35-F35+G35</f>
        <v>-42</v>
      </c>
      <c r="I35" s="6" t="n">
        <f aca="false">I34+H35</f>
        <v>2165</v>
      </c>
    </row>
    <row r="36" customFormat="false" ht="15" hidden="false" customHeight="false" outlineLevel="0" collapsed="false">
      <c r="A36" s="18" t="n">
        <v>46071</v>
      </c>
      <c r="B36" s="10" t="n">
        <v>42990</v>
      </c>
      <c r="C36" s="11" t="n">
        <f aca="false">IFERROR(B36-B35,0)</f>
        <v>25</v>
      </c>
      <c r="D36" s="10" t="n">
        <v>0</v>
      </c>
      <c r="E36" s="10" t="n">
        <v>-18</v>
      </c>
      <c r="F36" s="10" t="n">
        <v>-50</v>
      </c>
      <c r="G36" s="10" t="n">
        <v>0</v>
      </c>
      <c r="H36" s="11" t="n">
        <f aca="false">C36+D36-E36-F36+G36</f>
        <v>93</v>
      </c>
      <c r="I36" s="11" t="n">
        <f aca="false">I35+H36</f>
        <v>2258</v>
      </c>
    </row>
    <row r="37" customFormat="false" ht="15" hidden="false" customHeight="false" outlineLevel="0" collapsed="false">
      <c r="A37" s="17" t="n">
        <v>46072</v>
      </c>
      <c r="B37" s="5" t="n">
        <v>43054</v>
      </c>
      <c r="C37" s="6" t="n">
        <f aca="false">IFERROR(B37-B36,0)</f>
        <v>64</v>
      </c>
      <c r="D37" s="5" t="n">
        <v>0</v>
      </c>
      <c r="E37" s="5" t="n">
        <v>-9</v>
      </c>
      <c r="F37" s="5" t="n">
        <v>0</v>
      </c>
      <c r="G37" s="5" t="n">
        <v>0</v>
      </c>
      <c r="H37" s="6" t="n">
        <f aca="false">C37+D37-E37-F37+G37</f>
        <v>73</v>
      </c>
      <c r="I37" s="6" t="n">
        <f aca="false">I36+H37</f>
        <v>2331</v>
      </c>
    </row>
    <row r="38" customFormat="false" ht="15" hidden="false" customHeight="false" outlineLevel="0" collapsed="false">
      <c r="A38" s="18" t="n">
        <v>46073</v>
      </c>
      <c r="B38" s="10" t="n">
        <v>43244</v>
      </c>
      <c r="C38" s="11" t="n">
        <f aca="false">IFERROR(B38-B37,0)</f>
        <v>190</v>
      </c>
      <c r="D38" s="10" t="n">
        <v>0</v>
      </c>
      <c r="E38" s="10" t="n">
        <v>-3</v>
      </c>
      <c r="F38" s="10" t="n">
        <v>0</v>
      </c>
      <c r="G38" s="10" t="n">
        <v>0</v>
      </c>
      <c r="H38" s="11" t="n">
        <f aca="false">C38+D38-E38-F38+G38</f>
        <v>193</v>
      </c>
      <c r="I38" s="11" t="n">
        <f aca="false">I37+H38</f>
        <v>2524</v>
      </c>
    </row>
    <row r="39" customFormat="false" ht="15" hidden="false" customHeight="false" outlineLevel="0" collapsed="false">
      <c r="A39" s="17" t="n">
        <v>46076</v>
      </c>
      <c r="B39" s="5" t="n">
        <v>43439</v>
      </c>
      <c r="C39" s="6" t="n">
        <f aca="false">IFERROR(B39-B38,0)</f>
        <v>195</v>
      </c>
      <c r="D39" s="5" t="n">
        <v>0</v>
      </c>
      <c r="E39" s="5" t="n">
        <v>16</v>
      </c>
      <c r="F39" s="5" t="n">
        <v>0</v>
      </c>
      <c r="G39" s="5" t="n">
        <v>0</v>
      </c>
      <c r="H39" s="6" t="n">
        <f aca="false">C39+D39-E39-F39+G39</f>
        <v>179</v>
      </c>
      <c r="I39" s="6" t="n">
        <f aca="false">I38+H39</f>
        <v>2703</v>
      </c>
    </row>
    <row r="40" customFormat="false" ht="15" hidden="false" customHeight="false" outlineLevel="0" collapsed="false">
      <c r="A40" s="18" t="n">
        <v>46077</v>
      </c>
      <c r="B40" s="10" t="n">
        <v>43497</v>
      </c>
      <c r="C40" s="11" t="n">
        <f aca="false">IFERROR(B40-B39,0)</f>
        <v>58</v>
      </c>
      <c r="D40" s="10" t="n">
        <v>0</v>
      </c>
      <c r="E40" s="10" t="n">
        <v>6</v>
      </c>
      <c r="F40" s="10" t="n">
        <v>0</v>
      </c>
      <c r="G40" s="10" t="n">
        <v>0</v>
      </c>
      <c r="H40" s="11" t="n">
        <f aca="false">C40+D40-E40-F40+G40</f>
        <v>52</v>
      </c>
      <c r="I40" s="11" t="n">
        <f aca="false">I39+H40</f>
        <v>2755</v>
      </c>
    </row>
    <row r="41" customFormat="false" ht="15" hidden="false" customHeight="false" outlineLevel="0" collapsed="false">
      <c r="A41" s="17" t="n">
        <v>46078</v>
      </c>
      <c r="B41" s="5" t="n">
        <v>43677</v>
      </c>
      <c r="C41" s="6" t="n">
        <f aca="false">IFERROR(B41-B40,0)</f>
        <v>180</v>
      </c>
      <c r="D41" s="5" t="n">
        <v>0</v>
      </c>
      <c r="E41" s="5" t="n">
        <v>-11</v>
      </c>
      <c r="F41" s="5" t="n">
        <v>0</v>
      </c>
      <c r="G41" s="5" t="n">
        <v>0</v>
      </c>
      <c r="H41" s="6" t="n">
        <f aca="false">C41+D41-E41-F41+G41</f>
        <v>191</v>
      </c>
      <c r="I41" s="6" t="n">
        <f aca="false">I40+H41</f>
        <v>2946</v>
      </c>
    </row>
    <row r="42" customFormat="false" ht="15" hidden="false" customHeight="false" outlineLevel="0" collapsed="false">
      <c r="A42" s="18" t="n">
        <v>46079</v>
      </c>
      <c r="B42" s="10" t="n">
        <v>43720</v>
      </c>
      <c r="C42" s="11" t="n">
        <f aca="false">IFERROR(B42-B41,0)</f>
        <v>43</v>
      </c>
      <c r="D42" s="10" t="n">
        <v>0</v>
      </c>
      <c r="E42" s="10" t="n">
        <v>-24</v>
      </c>
      <c r="F42" s="10" t="n">
        <v>0</v>
      </c>
      <c r="G42" s="10" t="n">
        <v>0</v>
      </c>
      <c r="H42" s="11" t="n">
        <f aca="false">C42+D42-E42-F42+G42</f>
        <v>67</v>
      </c>
      <c r="I42" s="11" t="n">
        <f aca="false">I41+H42</f>
        <v>3013</v>
      </c>
    </row>
    <row r="43" customFormat="false" ht="15" hidden="false" customHeight="false" outlineLevel="0" collapsed="false">
      <c r="A43" s="17" t="n">
        <v>46080</v>
      </c>
      <c r="B43" s="5" t="n">
        <v>43835</v>
      </c>
      <c r="C43" s="6" t="n">
        <f aca="false">IFERROR(B43-B42,0)</f>
        <v>115</v>
      </c>
      <c r="D43" s="5" t="n">
        <v>0</v>
      </c>
      <c r="E43" s="5" t="n">
        <v>-13</v>
      </c>
      <c r="F43" s="5" t="n">
        <v>0</v>
      </c>
      <c r="G43" s="5" t="n">
        <v>0</v>
      </c>
      <c r="H43" s="6" t="n">
        <f aca="false">C43+D43-E43-F43+G43</f>
        <v>128</v>
      </c>
      <c r="I43" s="6" t="n">
        <f aca="false">I42+H43</f>
        <v>3141</v>
      </c>
    </row>
    <row r="44" customFormat="false" ht="15" hidden="false" customHeight="false" outlineLevel="0" collapsed="false">
      <c r="A44" s="18" t="n">
        <v>46083</v>
      </c>
      <c r="B44" s="10" t="n">
        <v>43942</v>
      </c>
      <c r="C44" s="11" t="n">
        <f aca="false">IFERROR(B44-B43,0)</f>
        <v>107</v>
      </c>
      <c r="D44" s="10" t="n">
        <v>0</v>
      </c>
      <c r="E44" s="10" t="n">
        <v>31</v>
      </c>
      <c r="F44" s="10" t="n">
        <v>0</v>
      </c>
      <c r="G44" s="10" t="n">
        <v>0</v>
      </c>
      <c r="H44" s="11" t="n">
        <f aca="false">C44+D44-E44-F44+G44</f>
        <v>76</v>
      </c>
      <c r="I44" s="11" t="n">
        <f aca="false">I43+H44</f>
        <v>3217</v>
      </c>
    </row>
    <row r="45" customFormat="false" ht="15" hidden="false" customHeight="false" outlineLevel="0" collapsed="false">
      <c r="A45" s="17" t="n">
        <v>46084</v>
      </c>
      <c r="B45" s="5" t="n">
        <v>43949</v>
      </c>
      <c r="C45" s="6" t="n">
        <f aca="false">IFERROR(B45-B44,0)</f>
        <v>7</v>
      </c>
      <c r="D45" s="5" t="n">
        <v>0</v>
      </c>
      <c r="E45" s="5" t="n">
        <v>-20</v>
      </c>
      <c r="F45" s="5" t="n">
        <v>0</v>
      </c>
      <c r="G45" s="5" t="n">
        <v>0</v>
      </c>
      <c r="H45" s="6" t="n">
        <f aca="false">C45+D45-E45-F45+G45</f>
        <v>27</v>
      </c>
      <c r="I45" s="6" t="n">
        <f aca="false">I44+H45</f>
        <v>3244</v>
      </c>
    </row>
    <row r="46" customFormat="false" ht="15" hidden="false" customHeight="false" outlineLevel="0" collapsed="false">
      <c r="A46" s="18" t="n">
        <v>46085</v>
      </c>
      <c r="B46" s="10" t="n">
        <v>43962</v>
      </c>
      <c r="C46" s="11" t="n">
        <f aca="false">IFERROR(B46-B45,0)</f>
        <v>13</v>
      </c>
      <c r="D46" s="10" t="n">
        <v>0</v>
      </c>
      <c r="E46" s="10" t="n">
        <v>6</v>
      </c>
      <c r="F46" s="10" t="n">
        <v>-50</v>
      </c>
      <c r="G46" s="10" t="n">
        <v>0</v>
      </c>
      <c r="H46" s="11" t="n">
        <f aca="false">C46+D46-E46-F46+G46</f>
        <v>57</v>
      </c>
      <c r="I46" s="11" t="n">
        <f aca="false">I45+H46</f>
        <v>3301</v>
      </c>
    </row>
    <row r="47" customFormat="false" ht="15" hidden="false" customHeight="false" outlineLevel="0" collapsed="false">
      <c r="A47" s="17" t="n">
        <v>46086</v>
      </c>
      <c r="B47" s="5" t="n">
        <v>43981</v>
      </c>
      <c r="C47" s="6" t="n">
        <f aca="false">IFERROR(B47-B46,0)</f>
        <v>19</v>
      </c>
      <c r="D47" s="5" t="n">
        <v>0</v>
      </c>
      <c r="E47" s="5" t="n">
        <v>11</v>
      </c>
      <c r="F47" s="5" t="n">
        <v>0</v>
      </c>
      <c r="G47" s="5" t="n">
        <v>0</v>
      </c>
      <c r="H47" s="6" t="n">
        <f aca="false">C47+D47-E47-F47+G47</f>
        <v>8</v>
      </c>
      <c r="I47" s="6" t="n">
        <f aca="false">I46+H47</f>
        <v>3309</v>
      </c>
    </row>
    <row r="48" customFormat="false" ht="15" hidden="false" customHeight="false" outlineLevel="0" collapsed="false">
      <c r="A48" s="18" t="n">
        <v>46087</v>
      </c>
      <c r="B48" s="10" t="n">
        <v>44057</v>
      </c>
      <c r="C48" s="11" t="n">
        <f aca="false">IFERROR(B48-B47,0)</f>
        <v>76</v>
      </c>
      <c r="D48" s="10" t="n">
        <v>0</v>
      </c>
      <c r="E48" s="10" t="n">
        <v>-37</v>
      </c>
      <c r="F48" s="10" t="n">
        <v>0</v>
      </c>
      <c r="G48" s="10" t="n">
        <v>0</v>
      </c>
      <c r="H48" s="11" t="n">
        <f aca="false">C48+D48-E48-F48+G48</f>
        <v>113</v>
      </c>
      <c r="I48" s="11" t="n">
        <f aca="false">I47+H48</f>
        <v>3422</v>
      </c>
    </row>
    <row r="49" customFormat="false" ht="15" hidden="false" customHeight="false" outlineLevel="0" collapsed="false">
      <c r="A49" s="17" t="n">
        <v>46090</v>
      </c>
      <c r="B49" s="5" t="n">
        <v>44169</v>
      </c>
      <c r="C49" s="6" t="n">
        <f aca="false">IFERROR(B49-B48,0)</f>
        <v>112</v>
      </c>
      <c r="D49" s="5" t="n">
        <v>0</v>
      </c>
      <c r="E49" s="5" t="n">
        <v>1</v>
      </c>
      <c r="F49" s="5" t="n">
        <v>0</v>
      </c>
      <c r="G49" s="5" t="n">
        <v>0</v>
      </c>
      <c r="H49" s="6" t="n">
        <f aca="false">C49+D49-E49-F49+G49</f>
        <v>111</v>
      </c>
      <c r="I49" s="6" t="n">
        <f aca="false">I48+H49</f>
        <v>3533</v>
      </c>
    </row>
    <row r="50" customFormat="false" ht="15" hidden="false" customHeight="false" outlineLevel="0" collapsed="false">
      <c r="A50" s="18" t="n">
        <v>46091</v>
      </c>
      <c r="B50" s="10" t="n">
        <v>44327</v>
      </c>
      <c r="C50" s="11" t="n">
        <f aca="false">IFERROR(B50-B49,0)</f>
        <v>158</v>
      </c>
      <c r="D50" s="10" t="n">
        <v>0</v>
      </c>
      <c r="E50" s="10" t="n">
        <v>33</v>
      </c>
      <c r="F50" s="10" t="n">
        <v>0</v>
      </c>
      <c r="G50" s="10" t="n">
        <v>0</v>
      </c>
      <c r="H50" s="11" t="n">
        <f aca="false">C50+D50-E50-F50+G50</f>
        <v>125</v>
      </c>
      <c r="I50" s="11" t="n">
        <f aca="false">I49+H50</f>
        <v>3658</v>
      </c>
    </row>
    <row r="51" customFormat="false" ht="15" hidden="false" customHeight="false" outlineLevel="0" collapsed="false">
      <c r="A51" s="17" t="n">
        <v>46092</v>
      </c>
      <c r="B51" s="5" t="n">
        <v>44333</v>
      </c>
      <c r="C51" s="6" t="n">
        <f aca="false">IFERROR(B51-B50,0)</f>
        <v>6</v>
      </c>
      <c r="D51" s="5" t="n">
        <v>0</v>
      </c>
      <c r="E51" s="5" t="n">
        <v>-50</v>
      </c>
      <c r="F51" s="5" t="n">
        <v>0</v>
      </c>
      <c r="G51" s="5" t="n">
        <v>0</v>
      </c>
      <c r="H51" s="6" t="n">
        <f aca="false">C51+D51-E51-F51+G51</f>
        <v>56</v>
      </c>
      <c r="I51" s="6" t="n">
        <f aca="false">I50+H51</f>
        <v>3714</v>
      </c>
    </row>
    <row r="52" customFormat="false" ht="15" hidden="false" customHeight="false" outlineLevel="0" collapsed="false">
      <c r="A52" s="18" t="n">
        <v>46093</v>
      </c>
      <c r="B52" s="10" t="n">
        <v>44323</v>
      </c>
      <c r="C52" s="11" t="n">
        <f aca="false">IFERROR(B52-B51,0)</f>
        <v>-10</v>
      </c>
      <c r="D52" s="10" t="n">
        <v>0</v>
      </c>
      <c r="E52" s="10" t="n">
        <v>-8</v>
      </c>
      <c r="F52" s="10" t="n">
        <v>-30</v>
      </c>
      <c r="G52" s="10" t="n">
        <v>0</v>
      </c>
      <c r="H52" s="11" t="n">
        <f aca="false">C52+D52-E52-F52+G52</f>
        <v>28</v>
      </c>
      <c r="I52" s="11" t="n">
        <f aca="false">I51+H52</f>
        <v>3742</v>
      </c>
    </row>
    <row r="53" customFormat="false" ht="15" hidden="false" customHeight="false" outlineLevel="0" collapsed="false">
      <c r="A53" s="17" t="n">
        <v>46094</v>
      </c>
      <c r="B53" s="5" t="n">
        <v>44402</v>
      </c>
      <c r="C53" s="6" t="n">
        <f aca="false">IFERROR(B53-B52,0)</f>
        <v>79</v>
      </c>
      <c r="D53" s="5" t="n">
        <v>0</v>
      </c>
      <c r="E53" s="5" t="n">
        <v>-3</v>
      </c>
      <c r="F53" s="5" t="n">
        <v>0</v>
      </c>
      <c r="G53" s="5" t="n">
        <v>0</v>
      </c>
      <c r="H53" s="6" t="n">
        <f aca="false">C53+D53-E53-F53+G53</f>
        <v>82</v>
      </c>
      <c r="I53" s="6" t="n">
        <f aca="false">I52+H53</f>
        <v>3824</v>
      </c>
    </row>
    <row r="54" customFormat="false" ht="15" hidden="false" customHeight="false" outlineLevel="0" collapsed="false">
      <c r="A54" s="18" t="n">
        <v>46097</v>
      </c>
      <c r="B54" s="10" t="n">
        <v>44505</v>
      </c>
      <c r="C54" s="11" t="n">
        <f aca="false">IFERROR(B54-B53,0)</f>
        <v>103</v>
      </c>
      <c r="D54" s="10" t="n">
        <v>0</v>
      </c>
      <c r="E54" s="10" t="n">
        <v>-20</v>
      </c>
      <c r="F54" s="10" t="n">
        <v>50</v>
      </c>
      <c r="G54" s="10" t="n">
        <v>0</v>
      </c>
      <c r="H54" s="11" t="n">
        <f aca="false">C54+D54-E54-F54+G54</f>
        <v>73</v>
      </c>
      <c r="I54" s="11" t="n">
        <f aca="false">I53+H54</f>
        <v>3897</v>
      </c>
    </row>
    <row r="55" customFormat="false" ht="15" hidden="false" customHeight="false" outlineLevel="0" collapsed="false">
      <c r="A55" s="17" t="n">
        <v>46098</v>
      </c>
      <c r="B55" s="5" t="n">
        <v>44570</v>
      </c>
      <c r="C55" s="6" t="n">
        <f aca="false">IFERROR(B55-B54,0)</f>
        <v>65</v>
      </c>
      <c r="D55" s="5" t="n">
        <v>0</v>
      </c>
      <c r="E55" s="5" t="n">
        <v>12</v>
      </c>
      <c r="F55" s="5" t="n">
        <v>0</v>
      </c>
      <c r="G55" s="5" t="n">
        <v>0</v>
      </c>
      <c r="H55" s="6" t="n">
        <f aca="false">C55+D55-E55-F55+G55</f>
        <v>53</v>
      </c>
      <c r="I55" s="6" t="n">
        <f aca="false">I54+H55</f>
        <v>3950</v>
      </c>
    </row>
    <row r="56" customFormat="false" ht="15" hidden="false" customHeight="false" outlineLevel="0" collapsed="false">
      <c r="A56" s="18" t="n">
        <v>46099</v>
      </c>
      <c r="B56" s="10" t="n">
        <v>44616</v>
      </c>
      <c r="C56" s="11" t="n">
        <f aca="false">IFERROR(B56-B55,0)</f>
        <v>46</v>
      </c>
      <c r="D56" s="10" t="n">
        <v>0</v>
      </c>
      <c r="E56" s="10" t="n">
        <v>-2</v>
      </c>
      <c r="F56" s="10" t="n">
        <v>0</v>
      </c>
      <c r="G56" s="10" t="n">
        <v>0</v>
      </c>
      <c r="H56" s="11" t="n">
        <f aca="false">C56+D56-E56-F56+G56</f>
        <v>48</v>
      </c>
      <c r="I56" s="11" t="n">
        <f aca="false">I55+H56</f>
        <v>3998</v>
      </c>
    </row>
    <row r="57" customFormat="false" ht="15" hidden="false" customHeight="false" outlineLevel="0" collapsed="false">
      <c r="A57" s="17" t="n">
        <v>46100</v>
      </c>
      <c r="B57" s="5" t="n">
        <v>44640</v>
      </c>
      <c r="C57" s="6" t="n">
        <f aca="false">IFERROR(B57-B56,0)</f>
        <v>24</v>
      </c>
      <c r="D57" s="5" t="n">
        <v>0</v>
      </c>
      <c r="E57" s="5" t="n">
        <v>-37</v>
      </c>
      <c r="F57" s="5" t="n">
        <v>-30</v>
      </c>
      <c r="G57" s="5" t="n">
        <v>0</v>
      </c>
      <c r="H57" s="6" t="n">
        <f aca="false">C57+D57-E57-F57+G57</f>
        <v>91</v>
      </c>
      <c r="I57" s="6" t="n">
        <f aca="false">I56+H57</f>
        <v>4089</v>
      </c>
    </row>
    <row r="58" customFormat="false" ht="15" hidden="false" customHeight="false" outlineLevel="0" collapsed="false">
      <c r="A58" s="18" t="n">
        <v>46101</v>
      </c>
      <c r="B58" s="10" t="n">
        <v>44799</v>
      </c>
      <c r="C58" s="11" t="n">
        <f aca="false">IFERROR(B58-B57,0)</f>
        <v>159</v>
      </c>
      <c r="D58" s="10" t="n">
        <v>0</v>
      </c>
      <c r="E58" s="10" t="n">
        <v>21</v>
      </c>
      <c r="F58" s="10" t="n">
        <v>0</v>
      </c>
      <c r="G58" s="10" t="n">
        <v>0</v>
      </c>
      <c r="H58" s="11" t="n">
        <f aca="false">C58+D58-E58-F58+G58</f>
        <v>138</v>
      </c>
      <c r="I58" s="11" t="n">
        <f aca="false">I57+H58</f>
        <v>4227</v>
      </c>
    </row>
    <row r="59" customFormat="false" ht="15" hidden="false" customHeight="false" outlineLevel="0" collapsed="false">
      <c r="A59" s="17" t="n">
        <v>46104</v>
      </c>
      <c r="B59" s="5" t="n">
        <v>44892</v>
      </c>
      <c r="C59" s="6" t="n">
        <f aca="false">IFERROR(B59-B58,0)</f>
        <v>93</v>
      </c>
      <c r="D59" s="5" t="n">
        <v>0</v>
      </c>
      <c r="E59" s="5" t="n">
        <v>17</v>
      </c>
      <c r="F59" s="5" t="n">
        <v>0</v>
      </c>
      <c r="G59" s="5" t="n">
        <v>0</v>
      </c>
      <c r="H59" s="6" t="n">
        <f aca="false">C59+D59-E59-F59+G59</f>
        <v>76</v>
      </c>
      <c r="I59" s="6" t="n">
        <f aca="false">I58+H59</f>
        <v>4303</v>
      </c>
    </row>
    <row r="60" customFormat="false" ht="15" hidden="false" customHeight="false" outlineLevel="0" collapsed="false">
      <c r="A60" s="18" t="n">
        <v>46106</v>
      </c>
      <c r="B60" s="10" t="n">
        <v>45136</v>
      </c>
      <c r="C60" s="11" t="n">
        <f aca="false">IFERROR(B60-B59,0)</f>
        <v>244</v>
      </c>
      <c r="D60" s="10" t="n">
        <v>0</v>
      </c>
      <c r="E60" s="10" t="n">
        <v>24</v>
      </c>
      <c r="F60" s="10" t="n">
        <v>30</v>
      </c>
      <c r="G60" s="10" t="n">
        <v>0</v>
      </c>
      <c r="H60" s="11" t="n">
        <f aca="false">C60+D60-E60-F60+G60</f>
        <v>190</v>
      </c>
      <c r="I60" s="11" t="n">
        <f aca="false">I59+H60</f>
        <v>4493</v>
      </c>
    </row>
    <row r="61" customFormat="false" ht="15" hidden="false" customHeight="false" outlineLevel="0" collapsed="false">
      <c r="A61" s="17" t="n">
        <v>46107</v>
      </c>
      <c r="B61" s="5" t="n">
        <v>45299</v>
      </c>
      <c r="C61" s="6" t="n">
        <f aca="false">IFERROR(B61-B60,0)</f>
        <v>163</v>
      </c>
      <c r="D61" s="5" t="n">
        <v>0</v>
      </c>
      <c r="E61" s="5" t="n">
        <v>36</v>
      </c>
      <c r="F61" s="5" t="n">
        <v>50</v>
      </c>
      <c r="G61" s="5" t="n">
        <v>0</v>
      </c>
      <c r="H61" s="6" t="n">
        <f aca="false">C61+D61-E61-F61+G61</f>
        <v>77</v>
      </c>
      <c r="I61" s="6" t="n">
        <f aca="false">I60+H61</f>
        <v>4570</v>
      </c>
    </row>
    <row r="62" customFormat="false" ht="15" hidden="false" customHeight="false" outlineLevel="0" collapsed="false">
      <c r="A62" s="18" t="n">
        <v>46108</v>
      </c>
      <c r="B62" s="10" t="n">
        <v>45368</v>
      </c>
      <c r="C62" s="11" t="n">
        <f aca="false">IFERROR(B62-B61,0)</f>
        <v>69</v>
      </c>
      <c r="D62" s="10" t="n">
        <v>0</v>
      </c>
      <c r="E62" s="10" t="n">
        <v>9</v>
      </c>
      <c r="F62" s="10" t="n">
        <v>0</v>
      </c>
      <c r="G62" s="10" t="n">
        <v>0</v>
      </c>
      <c r="H62" s="11" t="n">
        <f aca="false">C62+D62-E62-F62+G62</f>
        <v>60</v>
      </c>
      <c r="I62" s="11" t="n">
        <f aca="false">I61+H62</f>
        <v>4630</v>
      </c>
    </row>
    <row r="63" customFormat="false" ht="15" hidden="false" customHeight="false" outlineLevel="0" collapsed="false">
      <c r="A63" s="17" t="n">
        <v>46111</v>
      </c>
      <c r="B63" s="5" t="n">
        <v>45426</v>
      </c>
      <c r="C63" s="6" t="n">
        <f aca="false">IFERROR(B63-B62,0)</f>
        <v>58</v>
      </c>
      <c r="D63" s="5" t="n">
        <v>0</v>
      </c>
      <c r="E63" s="5" t="n">
        <v>3</v>
      </c>
      <c r="F63" s="5" t="n">
        <v>0</v>
      </c>
      <c r="G63" s="5" t="n">
        <v>0</v>
      </c>
      <c r="H63" s="6" t="n">
        <f aca="false">C63+D63-E63-F63+G63</f>
        <v>55</v>
      </c>
      <c r="I63" s="6" t="n">
        <f aca="false">I62+H63</f>
        <v>4685</v>
      </c>
    </row>
    <row r="64" customFormat="false" ht="15" hidden="false" customHeight="false" outlineLevel="0" collapsed="false">
      <c r="A64" s="18" t="n">
        <v>46112</v>
      </c>
      <c r="B64" s="10" t="n">
        <v>45550</v>
      </c>
      <c r="C64" s="11" t="n">
        <f aca="false">IFERROR(B64-B63,0)</f>
        <v>124</v>
      </c>
      <c r="D64" s="10" t="n">
        <v>0</v>
      </c>
      <c r="E64" s="10" t="n">
        <v>-32</v>
      </c>
      <c r="F64" s="10" t="n">
        <v>0</v>
      </c>
      <c r="G64" s="10" t="n">
        <v>0</v>
      </c>
      <c r="H64" s="11" t="n">
        <f aca="false">C64+D64-E64-F64+G64</f>
        <v>156</v>
      </c>
      <c r="I64" s="11" t="n">
        <f aca="false">I63+H64</f>
        <v>4841</v>
      </c>
    </row>
    <row r="65" customFormat="false" ht="15" hidden="false" customHeight="false" outlineLevel="0" collapsed="false">
      <c r="A65" s="17" t="n">
        <v>46113</v>
      </c>
      <c r="B65" s="5" t="n">
        <v>45644</v>
      </c>
      <c r="C65" s="6" t="n">
        <f aca="false">IFERROR(B65-B64,0)</f>
        <v>94</v>
      </c>
      <c r="D65" s="5" t="n">
        <v>0</v>
      </c>
      <c r="E65" s="5" t="n">
        <v>15</v>
      </c>
      <c r="F65" s="5" t="n">
        <v>0</v>
      </c>
      <c r="G65" s="5" t="n">
        <v>0</v>
      </c>
      <c r="H65" s="6" t="n">
        <f aca="false">C65+D65-E65-F65+G65</f>
        <v>79</v>
      </c>
      <c r="I65" s="6" t="n">
        <f aca="false">I64+H65</f>
        <v>4920</v>
      </c>
    </row>
    <row r="66" customFormat="false" ht="15" hidden="false" customHeight="false" outlineLevel="0" collapsed="false">
      <c r="A66" s="18" t="n">
        <v>46118</v>
      </c>
      <c r="B66" s="10" t="n">
        <v>45679</v>
      </c>
      <c r="C66" s="11" t="n">
        <f aca="false">IFERROR(B66-B65,0)</f>
        <v>35</v>
      </c>
      <c r="D66" s="10" t="n">
        <v>0</v>
      </c>
      <c r="E66" s="10" t="n">
        <v>-15</v>
      </c>
      <c r="F66" s="10" t="n">
        <v>50</v>
      </c>
      <c r="G66" s="10" t="n">
        <v>0</v>
      </c>
      <c r="H66" s="11" t="n">
        <f aca="false">C66+D66-E66-F66+G66</f>
        <v>0</v>
      </c>
      <c r="I66" s="11" t="n">
        <f aca="false">I65+H66</f>
        <v>4920</v>
      </c>
    </row>
    <row r="67" customFormat="false" ht="15" hidden="false" customHeight="false" outlineLevel="0" collapsed="false">
      <c r="A67" s="17" t="n">
        <v>46119</v>
      </c>
      <c r="B67" s="5" t="n">
        <v>45812</v>
      </c>
      <c r="C67" s="6" t="n">
        <f aca="false">IFERROR(B67-B66,0)</f>
        <v>133</v>
      </c>
      <c r="D67" s="5" t="n">
        <v>0</v>
      </c>
      <c r="E67" s="5" t="n">
        <v>-11</v>
      </c>
      <c r="F67" s="5" t="n">
        <v>0</v>
      </c>
      <c r="G67" s="5" t="n">
        <v>0</v>
      </c>
      <c r="H67" s="6" t="n">
        <f aca="false">C67+D67-E67-F67+G67</f>
        <v>144</v>
      </c>
      <c r="I67" s="6" t="n">
        <f aca="false">I66+H67</f>
        <v>5064</v>
      </c>
    </row>
    <row r="68" customFormat="false" ht="15" hidden="false" customHeight="false" outlineLevel="0" collapsed="false">
      <c r="A68" s="18" t="n">
        <v>46120</v>
      </c>
      <c r="B68" s="10" t="n">
        <v>45841</v>
      </c>
      <c r="C68" s="11" t="n">
        <f aca="false">IFERROR(B68-B67,0)</f>
        <v>29</v>
      </c>
      <c r="D68" s="10" t="n">
        <v>0</v>
      </c>
      <c r="E68" s="10" t="n">
        <v>-32</v>
      </c>
      <c r="F68" s="10" t="n">
        <v>0</v>
      </c>
      <c r="G68" s="10" t="n">
        <v>0</v>
      </c>
      <c r="H68" s="11" t="n">
        <f aca="false">C68+D68-E68-F68+G68</f>
        <v>61</v>
      </c>
      <c r="I68" s="11" t="n">
        <f aca="false">I67+H68</f>
        <v>5125</v>
      </c>
    </row>
    <row r="69" customFormat="false" ht="15" hidden="false" customHeight="false" outlineLevel="0" collapsed="false">
      <c r="A69" s="17" t="n">
        <v>46121</v>
      </c>
      <c r="B69" s="5" t="n">
        <v>45829</v>
      </c>
      <c r="C69" s="6" t="n">
        <f aca="false">IFERROR(B69-B68,0)</f>
        <v>-12</v>
      </c>
      <c r="D69" s="5" t="n">
        <v>0</v>
      </c>
      <c r="E69" s="5" t="n">
        <v>-24</v>
      </c>
      <c r="F69" s="5" t="n">
        <v>0</v>
      </c>
      <c r="G69" s="5" t="n">
        <v>0</v>
      </c>
      <c r="H69" s="6" t="n">
        <f aca="false">C69+D69-E69-F69+G69</f>
        <v>12</v>
      </c>
      <c r="I69" s="6" t="n">
        <f aca="false">I68+H69</f>
        <v>5137</v>
      </c>
    </row>
    <row r="70" customFormat="false" ht="15" hidden="false" customHeight="false" outlineLevel="0" collapsed="false">
      <c r="A70" s="18" t="n">
        <v>46122</v>
      </c>
      <c r="B70" s="10" t="n">
        <v>45877</v>
      </c>
      <c r="C70" s="11" t="n">
        <f aca="false">IFERROR(B70-B69,0)</f>
        <v>48</v>
      </c>
      <c r="D70" s="10" t="n">
        <v>0</v>
      </c>
      <c r="E70" s="10" t="n">
        <v>-13</v>
      </c>
      <c r="F70" s="10" t="n">
        <v>0</v>
      </c>
      <c r="G70" s="10" t="n">
        <v>0</v>
      </c>
      <c r="H70" s="11" t="n">
        <f aca="false">C70+D70-E70-F70+G70</f>
        <v>61</v>
      </c>
      <c r="I70" s="11" t="n">
        <f aca="false">I69+H70</f>
        <v>5198</v>
      </c>
    </row>
    <row r="71" customFormat="false" ht="15" hidden="false" customHeight="false" outlineLevel="0" collapsed="false">
      <c r="A71" s="17" t="n">
        <v>46125</v>
      </c>
      <c r="B71" s="5" t="n">
        <v>45905</v>
      </c>
      <c r="C71" s="6" t="n">
        <f aca="false">IFERROR(B71-B70,0)</f>
        <v>28</v>
      </c>
      <c r="D71" s="5" t="n">
        <v>0</v>
      </c>
      <c r="E71" s="5" t="n">
        <v>32</v>
      </c>
      <c r="F71" s="5" t="n">
        <v>0</v>
      </c>
      <c r="G71" s="5" t="n">
        <v>0</v>
      </c>
      <c r="H71" s="6" t="n">
        <f aca="false">C71+D71-E71-F71+G71</f>
        <v>-4</v>
      </c>
      <c r="I71" s="6" t="n">
        <f aca="false">I70+H71</f>
        <v>5194</v>
      </c>
    </row>
    <row r="72" customFormat="false" ht="15" hidden="false" customHeight="false" outlineLevel="0" collapsed="false">
      <c r="A72" s="18" t="n">
        <v>46126</v>
      </c>
      <c r="B72" s="10" t="n">
        <v>45947</v>
      </c>
      <c r="C72" s="11" t="n">
        <f aca="false">IFERROR(B72-B71,0)</f>
        <v>42</v>
      </c>
      <c r="D72" s="10" t="n">
        <v>0</v>
      </c>
      <c r="E72" s="10" t="n">
        <v>-51</v>
      </c>
      <c r="F72" s="10" t="n">
        <v>0</v>
      </c>
      <c r="G72" s="10" t="n">
        <v>0</v>
      </c>
      <c r="H72" s="11" t="n">
        <f aca="false">C72+D72-E72-F72+G72</f>
        <v>93</v>
      </c>
      <c r="I72" s="11" t="n">
        <f aca="false">I71+H72</f>
        <v>5287</v>
      </c>
    </row>
    <row r="73" customFormat="false" ht="15" hidden="false" customHeight="false" outlineLevel="0" collapsed="false">
      <c r="A73" s="17" t="n">
        <v>46127</v>
      </c>
      <c r="B73" s="5" t="n">
        <v>45987</v>
      </c>
      <c r="C73" s="6" t="n">
        <f aca="false">IFERROR(B73-B72,0)</f>
        <v>40</v>
      </c>
      <c r="D73" s="5" t="n">
        <v>0</v>
      </c>
      <c r="E73" s="5" t="n">
        <v>-36</v>
      </c>
      <c r="F73" s="5" t="n">
        <v>0</v>
      </c>
      <c r="G73" s="5" t="n">
        <v>0</v>
      </c>
      <c r="H73" s="6" t="n">
        <f aca="false">C73+D73-E73-F73+G73</f>
        <v>76</v>
      </c>
      <c r="I73" s="6" t="n">
        <f aca="false">I72+H73</f>
        <v>5363</v>
      </c>
    </row>
    <row r="74" customFormat="false" ht="15" hidden="false" customHeight="false" outlineLevel="0" collapsed="false">
      <c r="A74" s="18" t="n">
        <v>46128</v>
      </c>
      <c r="B74" s="10" t="n">
        <v>46065</v>
      </c>
      <c r="C74" s="11" t="n">
        <f aca="false">IFERROR(B74-B73,0)</f>
        <v>78</v>
      </c>
      <c r="D74" s="10" t="n">
        <v>0</v>
      </c>
      <c r="E74" s="10" t="n">
        <v>6</v>
      </c>
      <c r="F74" s="10" t="n">
        <v>0</v>
      </c>
      <c r="G74" s="10" t="n">
        <v>0</v>
      </c>
      <c r="H74" s="11" t="n">
        <f aca="false">C74+D74-E74-F74+G74</f>
        <v>72</v>
      </c>
      <c r="I74" s="11" t="n">
        <f aca="false">I73+H74</f>
        <v>5435</v>
      </c>
    </row>
    <row r="75" customFormat="false" ht="15" hidden="false" customHeight="false" outlineLevel="0" collapsed="false">
      <c r="A75" s="17" t="n">
        <v>46129</v>
      </c>
      <c r="B75" s="5" t="n">
        <v>46242</v>
      </c>
      <c r="C75" s="6" t="n">
        <f aca="false">IFERROR(B75-B74,0)</f>
        <v>177</v>
      </c>
      <c r="D75" s="5" t="n">
        <v>0</v>
      </c>
      <c r="E75" s="5" t="n">
        <v>36</v>
      </c>
      <c r="F75" s="5" t="n">
        <v>0</v>
      </c>
      <c r="G75" s="5" t="n">
        <v>0</v>
      </c>
      <c r="H75" s="6" t="n">
        <f aca="false">C75+D75-E75-F75+G75</f>
        <v>141</v>
      </c>
      <c r="I75" s="6" t="n">
        <f aca="false">I74+H75</f>
        <v>5576</v>
      </c>
    </row>
    <row r="76" customFormat="false" ht="15" hidden="false" customHeight="false" outlineLevel="0" collapsed="false">
      <c r="A76" s="18" t="n">
        <v>46132</v>
      </c>
      <c r="B76" s="10" t="n">
        <v>46407</v>
      </c>
      <c r="C76" s="11" t="n">
        <f aca="false">IFERROR(B76-B75,0)</f>
        <v>165</v>
      </c>
      <c r="D76" s="10" t="n">
        <v>0</v>
      </c>
      <c r="E76" s="10" t="n">
        <v>14</v>
      </c>
      <c r="F76" s="10" t="n">
        <v>0</v>
      </c>
      <c r="G76" s="10" t="n">
        <v>0</v>
      </c>
      <c r="H76" s="11" t="n">
        <f aca="false">C76+D76-E76-F76+G76</f>
        <v>151</v>
      </c>
      <c r="I76" s="11" t="n">
        <f aca="false">I75+H76</f>
        <v>5727</v>
      </c>
    </row>
    <row r="77" customFormat="false" ht="15" hidden="false" customHeight="false" outlineLevel="0" collapsed="false">
      <c r="A77" s="17" t="n">
        <v>46133</v>
      </c>
      <c r="B77" s="5" t="n">
        <v>46378</v>
      </c>
      <c r="C77" s="6" t="n">
        <f aca="false">IFERROR(B77-B76,0)</f>
        <v>-29</v>
      </c>
      <c r="D77" s="5" t="n">
        <v>0</v>
      </c>
      <c r="E77" s="5" t="n">
        <v>-47</v>
      </c>
      <c r="F77" s="5" t="n">
        <v>0</v>
      </c>
      <c r="G77" s="5" t="n">
        <v>0</v>
      </c>
      <c r="H77" s="6" t="n">
        <f aca="false">C77+D77-E77-F77+G77</f>
        <v>18</v>
      </c>
      <c r="I77" s="6" t="n">
        <f aca="false">I76+H77</f>
        <v>5745</v>
      </c>
    </row>
    <row r="78" customFormat="false" ht="15" hidden="false" customHeight="false" outlineLevel="0" collapsed="false">
      <c r="A78" s="18" t="n">
        <v>46134</v>
      </c>
      <c r="B78" s="10" t="n">
        <v>46389</v>
      </c>
      <c r="C78" s="11" t="n">
        <f aca="false">IFERROR(B78-B77,0)</f>
        <v>11</v>
      </c>
      <c r="D78" s="10" t="n">
        <v>0</v>
      </c>
      <c r="E78" s="10" t="n">
        <v>-63</v>
      </c>
      <c r="F78" s="10" t="n">
        <v>0</v>
      </c>
      <c r="G78" s="10" t="n">
        <v>0</v>
      </c>
      <c r="H78" s="11" t="n">
        <f aca="false">C78+D78-E78-F78+G78</f>
        <v>74</v>
      </c>
      <c r="I78" s="11" t="n">
        <f aca="false">I77+H78</f>
        <v>5819</v>
      </c>
    </row>
    <row r="79" customFormat="false" ht="15" hidden="false" customHeight="false" outlineLevel="0" collapsed="false">
      <c r="A79" s="17" t="n">
        <v>46135</v>
      </c>
      <c r="B79" s="5" t="n">
        <v>46435</v>
      </c>
      <c r="C79" s="6" t="n">
        <f aca="false">IFERROR(B79-B78,0)</f>
        <v>46</v>
      </c>
      <c r="D79" s="5" t="n">
        <v>0</v>
      </c>
      <c r="E79" s="5" t="n">
        <v>9</v>
      </c>
      <c r="F79" s="5" t="n">
        <v>0</v>
      </c>
      <c r="G79" s="5" t="n">
        <v>0</v>
      </c>
      <c r="H79" s="6" t="n">
        <f aca="false">C79+D79-E79-F79+G79</f>
        <v>37</v>
      </c>
      <c r="I79" s="6" t="n">
        <f aca="false">I78+H79</f>
        <v>5856</v>
      </c>
    </row>
    <row r="80" customFormat="false" ht="15" hidden="false" customHeight="false" outlineLevel="0" collapsed="false">
      <c r="A80" s="18" t="n">
        <v>46136</v>
      </c>
      <c r="B80" s="10" t="n">
        <v>46536</v>
      </c>
      <c r="C80" s="11" t="n">
        <f aca="false">IFERROR(B80-B79,0)</f>
        <v>101</v>
      </c>
      <c r="D80" s="10" t="n">
        <v>0</v>
      </c>
      <c r="E80" s="10" t="n">
        <v>-18</v>
      </c>
      <c r="F80" s="10" t="n">
        <v>0</v>
      </c>
      <c r="G80" s="10" t="n">
        <v>0</v>
      </c>
      <c r="H80" s="11" t="n">
        <f aca="false">C80+D80-E80-F80+G80</f>
        <v>119</v>
      </c>
      <c r="I80" s="11" t="n">
        <f aca="false">I79+H80</f>
        <v>5975</v>
      </c>
    </row>
    <row r="81" customFormat="false" ht="15" hidden="false" customHeight="false" outlineLevel="0" collapsed="false">
      <c r="A81" s="17" t="n">
        <v>46139</v>
      </c>
      <c r="B81" s="5" t="n">
        <v>46497</v>
      </c>
      <c r="C81" s="6" t="n">
        <f aca="false">IFERROR(B81-B80,0)</f>
        <v>-39</v>
      </c>
      <c r="D81" s="5" t="n">
        <v>0</v>
      </c>
      <c r="E81" s="5" t="n">
        <v>-28</v>
      </c>
      <c r="F81" s="5" t="n">
        <v>0</v>
      </c>
      <c r="G81" s="5" t="n">
        <v>0</v>
      </c>
      <c r="H81" s="6" t="n">
        <f aca="false">C81+D81-E81-F81+G81</f>
        <v>-11</v>
      </c>
      <c r="I81" s="6" t="n">
        <f aca="false">I80+H81</f>
        <v>5964</v>
      </c>
    </row>
    <row r="82" customFormat="false" ht="15" hidden="false" customHeight="false" outlineLevel="0" collapsed="false">
      <c r="A82" s="18" t="n">
        <v>46140</v>
      </c>
      <c r="B82" s="10" t="n">
        <v>46735</v>
      </c>
      <c r="C82" s="11" t="n">
        <f aca="false">IFERROR(B82-B81,0)</f>
        <v>238</v>
      </c>
      <c r="D82" s="10" t="n">
        <v>0</v>
      </c>
      <c r="E82" s="10" t="n">
        <v>24</v>
      </c>
      <c r="F82" s="10" t="n">
        <v>0</v>
      </c>
      <c r="G82" s="10" t="n">
        <v>0</v>
      </c>
      <c r="H82" s="11" t="n">
        <f aca="false">C82+D82-E82-F82+G82</f>
        <v>214</v>
      </c>
      <c r="I82" s="11" t="n">
        <f aca="false">I81+H82</f>
        <v>6178</v>
      </c>
    </row>
    <row r="83" customFormat="false" ht="15" hidden="false" customHeight="false" outlineLevel="0" collapsed="false">
      <c r="A83" s="17" t="n">
        <v>46141</v>
      </c>
      <c r="B83" s="5" t="n">
        <v>46090</v>
      </c>
      <c r="C83" s="6" t="n">
        <f aca="false">IFERROR(B83-B82,0)</f>
        <v>-645</v>
      </c>
      <c r="D83" s="5" t="n">
        <v>800</v>
      </c>
      <c r="E83" s="5" t="n">
        <v>28</v>
      </c>
      <c r="F83" s="5" t="n">
        <v>0</v>
      </c>
      <c r="G83" s="5" t="n">
        <v>0</v>
      </c>
      <c r="H83" s="6" t="n">
        <f aca="false">C83+D83-E83-F83+G83</f>
        <v>127</v>
      </c>
      <c r="I83" s="6" t="n">
        <f aca="false">I82+H83</f>
        <v>6305</v>
      </c>
    </row>
    <row r="84" customFormat="false" ht="15" hidden="false" customHeight="false" outlineLevel="0" collapsed="false">
      <c r="A84" s="18" t="n">
        <v>46142</v>
      </c>
      <c r="B84" s="10" t="n">
        <v>46230</v>
      </c>
      <c r="C84" s="11" t="n">
        <f aca="false">IFERROR(B84-B83,0)</f>
        <v>140</v>
      </c>
      <c r="D84" s="10" t="n">
        <v>0</v>
      </c>
      <c r="E84" s="10" t="n">
        <v>4</v>
      </c>
      <c r="F84" s="10" t="n">
        <v>0</v>
      </c>
      <c r="G84" s="10" t="n">
        <v>0</v>
      </c>
      <c r="H84" s="11" t="n">
        <f aca="false">C84+D84-E84-F84+G84</f>
        <v>136</v>
      </c>
      <c r="I84" s="11" t="n">
        <f aca="false">I83+H84</f>
        <v>6441</v>
      </c>
    </row>
    <row r="85" customFormat="false" ht="15" hidden="false" customHeight="false" outlineLevel="0" collapsed="false">
      <c r="A85" s="17" t="n">
        <v>46146</v>
      </c>
      <c r="B85" s="5" t="n">
        <v>46286</v>
      </c>
      <c r="C85" s="6" t="n">
        <f aca="false">IFERROR(B85-B84,0)</f>
        <v>56</v>
      </c>
      <c r="D85" s="5" t="n">
        <v>0</v>
      </c>
      <c r="E85" s="5" t="n">
        <v>6</v>
      </c>
      <c r="F85" s="5" t="n">
        <v>0</v>
      </c>
      <c r="G85" s="5" t="n">
        <v>0</v>
      </c>
      <c r="H85" s="6" t="n">
        <f aca="false">C85+D85-E85-F85+G85</f>
        <v>50</v>
      </c>
      <c r="I85" s="6" t="n">
        <f aca="false">I84+H85</f>
        <v>6491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4"/>
    <col collapsed="false" customWidth="true" hidden="false" outlineLevel="0" max="5" min="5" style="0" width="32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51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52</v>
      </c>
      <c r="B2" s="2"/>
      <c r="C2" s="2"/>
      <c r="D2" s="2"/>
      <c r="E2" s="2"/>
      <c r="F2" s="2"/>
    </row>
    <row r="4" customFormat="false" ht="23.85" hidden="false" customHeight="false" outlineLevel="0" collapsed="false">
      <c r="A4" s="3" t="s">
        <v>42</v>
      </c>
      <c r="B4" s="3" t="s">
        <v>53</v>
      </c>
      <c r="C4" s="3" t="s">
        <v>54</v>
      </c>
      <c r="E4" s="3" t="s">
        <v>55</v>
      </c>
      <c r="F4" s="3" t="s">
        <v>56</v>
      </c>
    </row>
    <row r="5" customFormat="false" ht="15" hidden="false" customHeight="false" outlineLevel="0" collapsed="false">
      <c r="A5" s="19" t="n">
        <f aca="false">'Detalle Diario 2026'!A5</f>
        <v>46024</v>
      </c>
      <c r="B5" s="6" t="n">
        <f aca="false">'Detalle Diario 2026'!H5</f>
        <v>6</v>
      </c>
      <c r="C5" s="20" t="n">
        <f aca="false">IF(B5&gt;0,1,0)</f>
        <v>1</v>
      </c>
      <c r="E5" s="16" t="s">
        <v>57</v>
      </c>
      <c r="F5" s="21" t="n">
        <f aca="false">MAX(C5:C85)</f>
        <v>30</v>
      </c>
    </row>
    <row r="6" customFormat="false" ht="15" hidden="false" customHeight="false" outlineLevel="0" collapsed="false">
      <c r="A6" s="19" t="n">
        <f aca="false">'Detalle Diario 2026'!A6</f>
        <v>46027</v>
      </c>
      <c r="B6" s="6" t="n">
        <f aca="false">'Detalle Diario 2026'!H6</f>
        <v>64</v>
      </c>
      <c r="C6" s="20" t="n">
        <f aca="false">IF(B6&gt;0,C5+1,0)</f>
        <v>2</v>
      </c>
      <c r="E6" s="16" t="s">
        <v>58</v>
      </c>
      <c r="F6" s="21" t="n">
        <f aca="false">C85</f>
        <v>4</v>
      </c>
    </row>
    <row r="7" customFormat="false" ht="15" hidden="false" customHeight="false" outlineLevel="0" collapsed="false">
      <c r="A7" s="19" t="n">
        <f aca="false">'Detalle Diario 2026'!A7</f>
        <v>46028</v>
      </c>
      <c r="B7" s="6" t="n">
        <f aca="false">'Detalle Diario 2026'!H7</f>
        <v>66</v>
      </c>
      <c r="C7" s="20" t="n">
        <f aca="false">IF(B7&gt;0,C6+1,0)</f>
        <v>3</v>
      </c>
      <c r="E7" s="16" t="s">
        <v>59</v>
      </c>
      <c r="F7" s="21" t="n">
        <f aca="false">COUNTIF(B5:B85,"&gt;0")</f>
        <v>77</v>
      </c>
    </row>
    <row r="8" customFormat="false" ht="15" hidden="false" customHeight="false" outlineLevel="0" collapsed="false">
      <c r="A8" s="19" t="n">
        <f aca="false">'Detalle Diario 2026'!A8</f>
        <v>46029</v>
      </c>
      <c r="B8" s="6" t="n">
        <f aca="false">'Detalle Diario 2026'!H8</f>
        <v>95</v>
      </c>
      <c r="C8" s="20" t="n">
        <f aca="false">IF(B8&gt;0,C7+1,0)</f>
        <v>4</v>
      </c>
      <c r="E8" s="16" t="s">
        <v>60</v>
      </c>
      <c r="F8" s="21" t="n">
        <f aca="false">COUNTIF(B5:B85,"&lt;0")</f>
        <v>3</v>
      </c>
    </row>
    <row r="9" customFormat="false" ht="15" hidden="false" customHeight="false" outlineLevel="0" collapsed="false">
      <c r="A9" s="19" t="n">
        <f aca="false">'Detalle Diario 2026'!A9</f>
        <v>46030</v>
      </c>
      <c r="B9" s="6" t="n">
        <f aca="false">'Detalle Diario 2026'!H9</f>
        <v>11</v>
      </c>
      <c r="C9" s="20" t="n">
        <f aca="false">IF(B9&gt;0,C8+1,0)</f>
        <v>5</v>
      </c>
      <c r="E9" s="16" t="s">
        <v>61</v>
      </c>
      <c r="F9" s="21" t="n">
        <f aca="false">COUNTIF(B5:B85,0)</f>
        <v>1</v>
      </c>
    </row>
    <row r="10" customFormat="false" ht="15" hidden="false" customHeight="false" outlineLevel="0" collapsed="false">
      <c r="A10" s="19" t="n">
        <f aca="false">'Detalle Diario 2026'!A10</f>
        <v>46031</v>
      </c>
      <c r="B10" s="6" t="n">
        <f aca="false">'Detalle Diario 2026'!H10</f>
        <v>18</v>
      </c>
      <c r="C10" s="20" t="n">
        <f aca="false">IF(B10&gt;0,C9+1,0)</f>
        <v>6</v>
      </c>
      <c r="E10" s="16" t="s">
        <v>62</v>
      </c>
      <c r="F10" s="22" t="n">
        <f aca="false">F7/COUNTA(A5:A85)</f>
        <v>0.950617283950617</v>
      </c>
    </row>
    <row r="11" customFormat="false" ht="15" hidden="false" customHeight="false" outlineLevel="0" collapsed="false">
      <c r="A11" s="19" t="n">
        <f aca="false">'Detalle Diario 2026'!A11</f>
        <v>46034</v>
      </c>
      <c r="B11" s="6" t="n">
        <f aca="false">'Detalle Diario 2026'!H11</f>
        <v>82</v>
      </c>
      <c r="C11" s="20" t="n">
        <f aca="false">IF(B11&gt;0,C10+1,0)</f>
        <v>7</v>
      </c>
    </row>
    <row r="12" customFormat="false" ht="15" hidden="false" customHeight="false" outlineLevel="0" collapsed="false">
      <c r="A12" s="19" t="n">
        <f aca="false">'Detalle Diario 2026'!A12</f>
        <v>46035</v>
      </c>
      <c r="B12" s="6" t="n">
        <f aca="false">'Detalle Diario 2026'!H12</f>
        <v>61</v>
      </c>
      <c r="C12" s="20" t="n">
        <f aca="false">IF(B12&gt;0,C11+1,0)</f>
        <v>8</v>
      </c>
    </row>
    <row r="13" customFormat="false" ht="15" hidden="false" customHeight="false" outlineLevel="0" collapsed="false">
      <c r="A13" s="19" t="n">
        <f aca="false">'Detalle Diario 2026'!A13</f>
        <v>46036</v>
      </c>
      <c r="B13" s="6" t="n">
        <f aca="false">'Detalle Diario 2026'!H13</f>
        <v>62</v>
      </c>
      <c r="C13" s="20" t="n">
        <f aca="false">IF(B13&gt;0,C12+1,0)</f>
        <v>9</v>
      </c>
    </row>
    <row r="14" customFormat="false" ht="15" hidden="false" customHeight="false" outlineLevel="0" collapsed="false">
      <c r="A14" s="19" t="n">
        <f aca="false">'Detalle Diario 2026'!A14</f>
        <v>46037</v>
      </c>
      <c r="B14" s="6" t="n">
        <f aca="false">'Detalle Diario 2026'!H14</f>
        <v>74</v>
      </c>
      <c r="C14" s="20" t="n">
        <f aca="false">IF(B14&gt;0,C13+1,0)</f>
        <v>10</v>
      </c>
    </row>
    <row r="15" customFormat="false" ht="15" hidden="false" customHeight="false" outlineLevel="0" collapsed="false">
      <c r="A15" s="19" t="n">
        <f aca="false">'Detalle Diario 2026'!A15</f>
        <v>46038</v>
      </c>
      <c r="B15" s="6" t="n">
        <f aca="false">'Detalle Diario 2026'!H15</f>
        <v>26</v>
      </c>
      <c r="C15" s="20" t="n">
        <f aca="false">IF(B15&gt;0,C14+1,0)</f>
        <v>11</v>
      </c>
    </row>
    <row r="16" customFormat="false" ht="15" hidden="false" customHeight="false" outlineLevel="0" collapsed="false">
      <c r="A16" s="19" t="n">
        <f aca="false">'Detalle Diario 2026'!A16</f>
        <v>46041</v>
      </c>
      <c r="B16" s="6" t="n">
        <f aca="false">'Detalle Diario 2026'!H16</f>
        <v>111</v>
      </c>
      <c r="C16" s="20" t="n">
        <f aca="false">IF(B16&gt;0,C15+1,0)</f>
        <v>12</v>
      </c>
    </row>
    <row r="17" customFormat="false" ht="15" hidden="false" customHeight="false" outlineLevel="0" collapsed="false">
      <c r="A17" s="19" t="n">
        <f aca="false">'Detalle Diario 2026'!A17</f>
        <v>46042</v>
      </c>
      <c r="B17" s="6" t="n">
        <f aca="false">'Detalle Diario 2026'!H17</f>
        <v>93</v>
      </c>
      <c r="C17" s="20" t="n">
        <f aca="false">IF(B17&gt;0,C16+1,0)</f>
        <v>13</v>
      </c>
    </row>
    <row r="18" customFormat="false" ht="15" hidden="false" customHeight="false" outlineLevel="0" collapsed="false">
      <c r="A18" s="19" t="n">
        <f aca="false">'Detalle Diario 2026'!A18</f>
        <v>46043</v>
      </c>
      <c r="B18" s="6" t="n">
        <f aca="false">'Detalle Diario 2026'!H18</f>
        <v>74</v>
      </c>
      <c r="C18" s="20" t="n">
        <f aca="false">IF(B18&gt;0,C17+1,0)</f>
        <v>14</v>
      </c>
    </row>
    <row r="19" customFormat="false" ht="15" hidden="false" customHeight="false" outlineLevel="0" collapsed="false">
      <c r="A19" s="19" t="n">
        <f aca="false">'Detalle Diario 2026'!A19</f>
        <v>46044</v>
      </c>
      <c r="B19" s="6" t="n">
        <f aca="false">'Detalle Diario 2026'!H19</f>
        <v>44</v>
      </c>
      <c r="C19" s="20" t="n">
        <f aca="false">IF(B19&gt;0,C18+1,0)</f>
        <v>15</v>
      </c>
    </row>
    <row r="20" customFormat="false" ht="15" hidden="false" customHeight="false" outlineLevel="0" collapsed="false">
      <c r="A20" s="19" t="n">
        <f aca="false">'Detalle Diario 2026'!A20</f>
        <v>46045</v>
      </c>
      <c r="B20" s="6" t="n">
        <f aca="false">'Detalle Diario 2026'!H20</f>
        <v>34</v>
      </c>
      <c r="C20" s="20" t="n">
        <f aca="false">IF(B20&gt;0,C19+1,0)</f>
        <v>16</v>
      </c>
    </row>
    <row r="21" customFormat="false" ht="15" hidden="false" customHeight="false" outlineLevel="0" collapsed="false">
      <c r="A21" s="19" t="n">
        <f aca="false">'Detalle Diario 2026'!A21</f>
        <v>46048</v>
      </c>
      <c r="B21" s="6" t="n">
        <f aca="false">'Detalle Diario 2026'!H21</f>
        <v>79</v>
      </c>
      <c r="C21" s="20" t="n">
        <f aca="false">IF(B21&gt;0,C20+1,0)</f>
        <v>17</v>
      </c>
    </row>
    <row r="22" customFormat="false" ht="15" hidden="false" customHeight="false" outlineLevel="0" collapsed="false">
      <c r="A22" s="19" t="n">
        <f aca="false">'Detalle Diario 2026'!A22</f>
        <v>46049</v>
      </c>
      <c r="B22" s="6" t="n">
        <f aca="false">'Detalle Diario 2026'!H22</f>
        <v>116</v>
      </c>
      <c r="C22" s="20" t="n">
        <f aca="false">IF(B22&gt;0,C21+1,0)</f>
        <v>18</v>
      </c>
    </row>
    <row r="23" customFormat="false" ht="15" hidden="false" customHeight="false" outlineLevel="0" collapsed="false">
      <c r="A23" s="19" t="n">
        <f aca="false">'Detalle Diario 2026'!A23</f>
        <v>46050</v>
      </c>
      <c r="B23" s="6" t="n">
        <f aca="false">'Detalle Diario 2026'!H23</f>
        <v>71</v>
      </c>
      <c r="C23" s="20" t="n">
        <f aca="false">IF(B23&gt;0,C22+1,0)</f>
        <v>19</v>
      </c>
    </row>
    <row r="24" customFormat="false" ht="15" hidden="false" customHeight="false" outlineLevel="0" collapsed="false">
      <c r="A24" s="19" t="n">
        <f aca="false">'Detalle Diario 2026'!A24</f>
        <v>46051</v>
      </c>
      <c r="B24" s="6" t="n">
        <f aca="false">'Detalle Diario 2026'!H24</f>
        <v>66</v>
      </c>
      <c r="C24" s="20" t="n">
        <f aca="false">IF(B24&gt;0,C23+1,0)</f>
        <v>20</v>
      </c>
    </row>
    <row r="25" customFormat="false" ht="15" hidden="false" customHeight="false" outlineLevel="0" collapsed="false">
      <c r="A25" s="19" t="n">
        <f aca="false">'Detalle Diario 2026'!A25</f>
        <v>46052</v>
      </c>
      <c r="B25" s="6" t="n">
        <f aca="false">'Detalle Diario 2026'!H25</f>
        <v>88</v>
      </c>
      <c r="C25" s="20" t="n">
        <f aca="false">IF(B25&gt;0,C24+1,0)</f>
        <v>21</v>
      </c>
    </row>
    <row r="26" customFormat="false" ht="15" hidden="false" customHeight="false" outlineLevel="0" collapsed="false">
      <c r="A26" s="19" t="n">
        <f aca="false">'Detalle Diario 2026'!A26</f>
        <v>46055</v>
      </c>
      <c r="B26" s="6" t="n">
        <f aca="false">'Detalle Diario 2026'!H26</f>
        <v>37</v>
      </c>
      <c r="C26" s="20" t="n">
        <f aca="false">IF(B26&gt;0,C25+1,0)</f>
        <v>22</v>
      </c>
    </row>
    <row r="27" customFormat="false" ht="15" hidden="false" customHeight="false" outlineLevel="0" collapsed="false">
      <c r="A27" s="19" t="n">
        <f aca="false">'Detalle Diario 2026'!A27</f>
        <v>46056</v>
      </c>
      <c r="B27" s="6" t="n">
        <f aca="false">'Detalle Diario 2026'!H27</f>
        <v>193</v>
      </c>
      <c r="C27" s="20" t="n">
        <f aca="false">IF(B27&gt;0,C26+1,0)</f>
        <v>23</v>
      </c>
    </row>
    <row r="28" customFormat="false" ht="15" hidden="false" customHeight="false" outlineLevel="0" collapsed="false">
      <c r="A28" s="19" t="n">
        <f aca="false">'Detalle Diario 2026'!A28</f>
        <v>46057</v>
      </c>
      <c r="B28" s="6" t="n">
        <f aca="false">'Detalle Diario 2026'!H28</f>
        <v>13</v>
      </c>
      <c r="C28" s="20" t="n">
        <f aca="false">IF(B28&gt;0,C27+1,0)</f>
        <v>24</v>
      </c>
    </row>
    <row r="29" customFormat="false" ht="15" hidden="false" customHeight="false" outlineLevel="0" collapsed="false">
      <c r="A29" s="19" t="n">
        <f aca="false">'Detalle Diario 2026'!A29</f>
        <v>46058</v>
      </c>
      <c r="B29" s="6" t="n">
        <f aca="false">'Detalle Diario 2026'!H29</f>
        <v>159</v>
      </c>
      <c r="C29" s="20" t="n">
        <f aca="false">IF(B29&gt;0,C28+1,0)</f>
        <v>25</v>
      </c>
    </row>
    <row r="30" customFormat="false" ht="15" hidden="false" customHeight="false" outlineLevel="0" collapsed="false">
      <c r="A30" s="19" t="n">
        <f aca="false">'Detalle Diario 2026'!A30</f>
        <v>46059</v>
      </c>
      <c r="B30" s="6" t="n">
        <f aca="false">'Detalle Diario 2026'!H30</f>
        <v>151</v>
      </c>
      <c r="C30" s="20" t="n">
        <f aca="false">IF(B30&gt;0,C29+1,0)</f>
        <v>26</v>
      </c>
    </row>
    <row r="31" customFormat="false" ht="15" hidden="false" customHeight="false" outlineLevel="0" collapsed="false">
      <c r="A31" s="19" t="n">
        <f aca="false">'Detalle Diario 2026'!A31</f>
        <v>46062</v>
      </c>
      <c r="B31" s="6" t="n">
        <f aca="false">'Detalle Diario 2026'!H31</f>
        <v>187</v>
      </c>
      <c r="C31" s="20" t="n">
        <f aca="false">IF(B31&gt;0,C30+1,0)</f>
        <v>27</v>
      </c>
    </row>
    <row r="32" customFormat="false" ht="15" hidden="false" customHeight="false" outlineLevel="0" collapsed="false">
      <c r="A32" s="19" t="n">
        <f aca="false">'Detalle Diario 2026'!A32</f>
        <v>46063</v>
      </c>
      <c r="B32" s="6" t="n">
        <f aca="false">'Detalle Diario 2026'!H32</f>
        <v>59</v>
      </c>
      <c r="C32" s="20" t="n">
        <f aca="false">IF(B32&gt;0,C31+1,0)</f>
        <v>28</v>
      </c>
    </row>
    <row r="33" customFormat="false" ht="15" hidden="false" customHeight="false" outlineLevel="0" collapsed="false">
      <c r="A33" s="19" t="n">
        <f aca="false">'Detalle Diario 2026'!A33</f>
        <v>46064</v>
      </c>
      <c r="B33" s="6" t="n">
        <f aca="false">'Detalle Diario 2026'!H33</f>
        <v>34</v>
      </c>
      <c r="C33" s="20" t="n">
        <f aca="false">IF(B33&gt;0,C32+1,0)</f>
        <v>29</v>
      </c>
    </row>
    <row r="34" customFormat="false" ht="15" hidden="false" customHeight="false" outlineLevel="0" collapsed="false">
      <c r="A34" s="19" t="n">
        <f aca="false">'Detalle Diario 2026'!A34</f>
        <v>46065</v>
      </c>
      <c r="B34" s="6" t="n">
        <f aca="false">'Detalle Diario 2026'!H34</f>
        <v>33</v>
      </c>
      <c r="C34" s="20" t="n">
        <f aca="false">IF(B34&gt;0,C33+1,0)</f>
        <v>30</v>
      </c>
    </row>
    <row r="35" customFormat="false" ht="15" hidden="false" customHeight="false" outlineLevel="0" collapsed="false">
      <c r="A35" s="19" t="n">
        <f aca="false">'Detalle Diario 2026'!A35</f>
        <v>46066</v>
      </c>
      <c r="B35" s="6" t="n">
        <f aca="false">'Detalle Diario 2026'!H35</f>
        <v>-42</v>
      </c>
      <c r="C35" s="20" t="n">
        <f aca="false">IF(B35&gt;0,C34+1,0)</f>
        <v>0</v>
      </c>
    </row>
    <row r="36" customFormat="false" ht="15" hidden="false" customHeight="false" outlineLevel="0" collapsed="false">
      <c r="A36" s="19" t="n">
        <f aca="false">'Detalle Diario 2026'!A36</f>
        <v>46071</v>
      </c>
      <c r="B36" s="6" t="n">
        <f aca="false">'Detalle Diario 2026'!H36</f>
        <v>93</v>
      </c>
      <c r="C36" s="20" t="n">
        <f aca="false">IF(B36&gt;0,C35+1,0)</f>
        <v>1</v>
      </c>
    </row>
    <row r="37" customFormat="false" ht="15" hidden="false" customHeight="false" outlineLevel="0" collapsed="false">
      <c r="A37" s="19" t="n">
        <f aca="false">'Detalle Diario 2026'!A37</f>
        <v>46072</v>
      </c>
      <c r="B37" s="6" t="n">
        <f aca="false">'Detalle Diario 2026'!H37</f>
        <v>73</v>
      </c>
      <c r="C37" s="20" t="n">
        <f aca="false">IF(B37&gt;0,C36+1,0)</f>
        <v>2</v>
      </c>
    </row>
    <row r="38" customFormat="false" ht="15" hidden="false" customHeight="false" outlineLevel="0" collapsed="false">
      <c r="A38" s="19" t="n">
        <f aca="false">'Detalle Diario 2026'!A38</f>
        <v>46073</v>
      </c>
      <c r="B38" s="6" t="n">
        <f aca="false">'Detalle Diario 2026'!H38</f>
        <v>193</v>
      </c>
      <c r="C38" s="20" t="n">
        <f aca="false">IF(B38&gt;0,C37+1,0)</f>
        <v>3</v>
      </c>
    </row>
    <row r="39" customFormat="false" ht="15" hidden="false" customHeight="false" outlineLevel="0" collapsed="false">
      <c r="A39" s="19" t="n">
        <f aca="false">'Detalle Diario 2026'!A39</f>
        <v>46076</v>
      </c>
      <c r="B39" s="6" t="n">
        <f aca="false">'Detalle Diario 2026'!H39</f>
        <v>179</v>
      </c>
      <c r="C39" s="20" t="n">
        <f aca="false">IF(B39&gt;0,C38+1,0)</f>
        <v>4</v>
      </c>
    </row>
    <row r="40" customFormat="false" ht="15" hidden="false" customHeight="false" outlineLevel="0" collapsed="false">
      <c r="A40" s="19" t="n">
        <f aca="false">'Detalle Diario 2026'!A40</f>
        <v>46077</v>
      </c>
      <c r="B40" s="6" t="n">
        <f aca="false">'Detalle Diario 2026'!H40</f>
        <v>52</v>
      </c>
      <c r="C40" s="20" t="n">
        <f aca="false">IF(B40&gt;0,C39+1,0)</f>
        <v>5</v>
      </c>
    </row>
    <row r="41" customFormat="false" ht="15" hidden="false" customHeight="false" outlineLevel="0" collapsed="false">
      <c r="A41" s="19" t="n">
        <f aca="false">'Detalle Diario 2026'!A41</f>
        <v>46078</v>
      </c>
      <c r="B41" s="6" t="n">
        <f aca="false">'Detalle Diario 2026'!H41</f>
        <v>191</v>
      </c>
      <c r="C41" s="20" t="n">
        <f aca="false">IF(B41&gt;0,C40+1,0)</f>
        <v>6</v>
      </c>
    </row>
    <row r="42" customFormat="false" ht="15" hidden="false" customHeight="false" outlineLevel="0" collapsed="false">
      <c r="A42" s="19" t="n">
        <f aca="false">'Detalle Diario 2026'!A42</f>
        <v>46079</v>
      </c>
      <c r="B42" s="6" t="n">
        <f aca="false">'Detalle Diario 2026'!H42</f>
        <v>67</v>
      </c>
      <c r="C42" s="20" t="n">
        <f aca="false">IF(B42&gt;0,C41+1,0)</f>
        <v>7</v>
      </c>
    </row>
    <row r="43" customFormat="false" ht="15" hidden="false" customHeight="false" outlineLevel="0" collapsed="false">
      <c r="A43" s="19" t="n">
        <f aca="false">'Detalle Diario 2026'!A43</f>
        <v>46080</v>
      </c>
      <c r="B43" s="6" t="n">
        <f aca="false">'Detalle Diario 2026'!H43</f>
        <v>128</v>
      </c>
      <c r="C43" s="20" t="n">
        <f aca="false">IF(B43&gt;0,C42+1,0)</f>
        <v>8</v>
      </c>
    </row>
    <row r="44" customFormat="false" ht="15" hidden="false" customHeight="false" outlineLevel="0" collapsed="false">
      <c r="A44" s="19" t="n">
        <f aca="false">'Detalle Diario 2026'!A44</f>
        <v>46083</v>
      </c>
      <c r="B44" s="6" t="n">
        <f aca="false">'Detalle Diario 2026'!H44</f>
        <v>76</v>
      </c>
      <c r="C44" s="20" t="n">
        <f aca="false">IF(B44&gt;0,C43+1,0)</f>
        <v>9</v>
      </c>
    </row>
    <row r="45" customFormat="false" ht="15" hidden="false" customHeight="false" outlineLevel="0" collapsed="false">
      <c r="A45" s="19" t="n">
        <f aca="false">'Detalle Diario 2026'!A45</f>
        <v>46084</v>
      </c>
      <c r="B45" s="6" t="n">
        <f aca="false">'Detalle Diario 2026'!H45</f>
        <v>27</v>
      </c>
      <c r="C45" s="20" t="n">
        <f aca="false">IF(B45&gt;0,C44+1,0)</f>
        <v>10</v>
      </c>
    </row>
    <row r="46" customFormat="false" ht="15" hidden="false" customHeight="false" outlineLevel="0" collapsed="false">
      <c r="A46" s="19" t="n">
        <f aca="false">'Detalle Diario 2026'!A46</f>
        <v>46085</v>
      </c>
      <c r="B46" s="6" t="n">
        <f aca="false">'Detalle Diario 2026'!H46</f>
        <v>57</v>
      </c>
      <c r="C46" s="20" t="n">
        <f aca="false">IF(B46&gt;0,C45+1,0)</f>
        <v>11</v>
      </c>
    </row>
    <row r="47" customFormat="false" ht="15" hidden="false" customHeight="false" outlineLevel="0" collapsed="false">
      <c r="A47" s="19" t="n">
        <f aca="false">'Detalle Diario 2026'!A47</f>
        <v>46086</v>
      </c>
      <c r="B47" s="6" t="n">
        <f aca="false">'Detalle Diario 2026'!H47</f>
        <v>8</v>
      </c>
      <c r="C47" s="20" t="n">
        <f aca="false">IF(B47&gt;0,C46+1,0)</f>
        <v>12</v>
      </c>
    </row>
    <row r="48" customFormat="false" ht="15" hidden="false" customHeight="false" outlineLevel="0" collapsed="false">
      <c r="A48" s="19" t="n">
        <f aca="false">'Detalle Diario 2026'!A48</f>
        <v>46087</v>
      </c>
      <c r="B48" s="6" t="n">
        <f aca="false">'Detalle Diario 2026'!H48</f>
        <v>113</v>
      </c>
      <c r="C48" s="20" t="n">
        <f aca="false">IF(B48&gt;0,C47+1,0)</f>
        <v>13</v>
      </c>
    </row>
    <row r="49" customFormat="false" ht="15" hidden="false" customHeight="false" outlineLevel="0" collapsed="false">
      <c r="A49" s="19" t="n">
        <f aca="false">'Detalle Diario 2026'!A49</f>
        <v>46090</v>
      </c>
      <c r="B49" s="6" t="n">
        <f aca="false">'Detalle Diario 2026'!H49</f>
        <v>111</v>
      </c>
      <c r="C49" s="20" t="n">
        <f aca="false">IF(B49&gt;0,C48+1,0)</f>
        <v>14</v>
      </c>
    </row>
    <row r="50" customFormat="false" ht="15" hidden="false" customHeight="false" outlineLevel="0" collapsed="false">
      <c r="A50" s="19" t="n">
        <f aca="false">'Detalle Diario 2026'!A50</f>
        <v>46091</v>
      </c>
      <c r="B50" s="6" t="n">
        <f aca="false">'Detalle Diario 2026'!H50</f>
        <v>125</v>
      </c>
      <c r="C50" s="20" t="n">
        <f aca="false">IF(B50&gt;0,C49+1,0)</f>
        <v>15</v>
      </c>
    </row>
    <row r="51" customFormat="false" ht="15" hidden="false" customHeight="false" outlineLevel="0" collapsed="false">
      <c r="A51" s="19" t="n">
        <f aca="false">'Detalle Diario 2026'!A51</f>
        <v>46092</v>
      </c>
      <c r="B51" s="6" t="n">
        <f aca="false">'Detalle Diario 2026'!H51</f>
        <v>56</v>
      </c>
      <c r="C51" s="20" t="n">
        <f aca="false">IF(B51&gt;0,C50+1,0)</f>
        <v>16</v>
      </c>
    </row>
    <row r="52" customFormat="false" ht="15" hidden="false" customHeight="false" outlineLevel="0" collapsed="false">
      <c r="A52" s="19" t="n">
        <f aca="false">'Detalle Diario 2026'!A52</f>
        <v>46093</v>
      </c>
      <c r="B52" s="6" t="n">
        <f aca="false">'Detalle Diario 2026'!H52</f>
        <v>28</v>
      </c>
      <c r="C52" s="20" t="n">
        <f aca="false">IF(B52&gt;0,C51+1,0)</f>
        <v>17</v>
      </c>
    </row>
    <row r="53" customFormat="false" ht="15" hidden="false" customHeight="false" outlineLevel="0" collapsed="false">
      <c r="A53" s="19" t="n">
        <f aca="false">'Detalle Diario 2026'!A53</f>
        <v>46094</v>
      </c>
      <c r="B53" s="6" t="n">
        <f aca="false">'Detalle Diario 2026'!H53</f>
        <v>82</v>
      </c>
      <c r="C53" s="20" t="n">
        <f aca="false">IF(B53&gt;0,C52+1,0)</f>
        <v>18</v>
      </c>
    </row>
    <row r="54" customFormat="false" ht="15" hidden="false" customHeight="false" outlineLevel="0" collapsed="false">
      <c r="A54" s="19" t="n">
        <f aca="false">'Detalle Diario 2026'!A54</f>
        <v>46097</v>
      </c>
      <c r="B54" s="6" t="n">
        <f aca="false">'Detalle Diario 2026'!H54</f>
        <v>73</v>
      </c>
      <c r="C54" s="20" t="n">
        <f aca="false">IF(B54&gt;0,C53+1,0)</f>
        <v>19</v>
      </c>
    </row>
    <row r="55" customFormat="false" ht="15" hidden="false" customHeight="false" outlineLevel="0" collapsed="false">
      <c r="A55" s="19" t="n">
        <f aca="false">'Detalle Diario 2026'!A55</f>
        <v>46098</v>
      </c>
      <c r="B55" s="6" t="n">
        <f aca="false">'Detalle Diario 2026'!H55</f>
        <v>53</v>
      </c>
      <c r="C55" s="20" t="n">
        <f aca="false">IF(B55&gt;0,C54+1,0)</f>
        <v>20</v>
      </c>
    </row>
    <row r="56" customFormat="false" ht="15" hidden="false" customHeight="false" outlineLevel="0" collapsed="false">
      <c r="A56" s="19" t="n">
        <f aca="false">'Detalle Diario 2026'!A56</f>
        <v>46099</v>
      </c>
      <c r="B56" s="6" t="n">
        <f aca="false">'Detalle Diario 2026'!H56</f>
        <v>48</v>
      </c>
      <c r="C56" s="20" t="n">
        <f aca="false">IF(B56&gt;0,C55+1,0)</f>
        <v>21</v>
      </c>
    </row>
    <row r="57" customFormat="false" ht="15" hidden="false" customHeight="false" outlineLevel="0" collapsed="false">
      <c r="A57" s="19" t="n">
        <f aca="false">'Detalle Diario 2026'!A57</f>
        <v>46100</v>
      </c>
      <c r="B57" s="6" t="n">
        <f aca="false">'Detalle Diario 2026'!H57</f>
        <v>91</v>
      </c>
      <c r="C57" s="20" t="n">
        <f aca="false">IF(B57&gt;0,C56+1,0)</f>
        <v>22</v>
      </c>
    </row>
    <row r="58" customFormat="false" ht="15" hidden="false" customHeight="false" outlineLevel="0" collapsed="false">
      <c r="A58" s="19" t="n">
        <f aca="false">'Detalle Diario 2026'!A58</f>
        <v>46101</v>
      </c>
      <c r="B58" s="6" t="n">
        <f aca="false">'Detalle Diario 2026'!H58</f>
        <v>138</v>
      </c>
      <c r="C58" s="20" t="n">
        <f aca="false">IF(B58&gt;0,C57+1,0)</f>
        <v>23</v>
      </c>
    </row>
    <row r="59" customFormat="false" ht="15" hidden="false" customHeight="false" outlineLevel="0" collapsed="false">
      <c r="A59" s="19" t="n">
        <f aca="false">'Detalle Diario 2026'!A59</f>
        <v>46104</v>
      </c>
      <c r="B59" s="6" t="n">
        <f aca="false">'Detalle Diario 2026'!H59</f>
        <v>76</v>
      </c>
      <c r="C59" s="20" t="n">
        <f aca="false">IF(B59&gt;0,C58+1,0)</f>
        <v>24</v>
      </c>
    </row>
    <row r="60" customFormat="false" ht="15" hidden="false" customHeight="false" outlineLevel="0" collapsed="false">
      <c r="A60" s="19" t="n">
        <f aca="false">'Detalle Diario 2026'!A60</f>
        <v>46106</v>
      </c>
      <c r="B60" s="6" t="n">
        <f aca="false">'Detalle Diario 2026'!H60</f>
        <v>190</v>
      </c>
      <c r="C60" s="20" t="n">
        <f aca="false">IF(B60&gt;0,C59+1,0)</f>
        <v>25</v>
      </c>
    </row>
    <row r="61" customFormat="false" ht="15" hidden="false" customHeight="false" outlineLevel="0" collapsed="false">
      <c r="A61" s="19" t="n">
        <f aca="false">'Detalle Diario 2026'!A61</f>
        <v>46107</v>
      </c>
      <c r="B61" s="6" t="n">
        <f aca="false">'Detalle Diario 2026'!H61</f>
        <v>77</v>
      </c>
      <c r="C61" s="20" t="n">
        <f aca="false">IF(B61&gt;0,C60+1,0)</f>
        <v>26</v>
      </c>
    </row>
    <row r="62" customFormat="false" ht="15" hidden="false" customHeight="false" outlineLevel="0" collapsed="false">
      <c r="A62" s="19" t="n">
        <f aca="false">'Detalle Diario 2026'!A62</f>
        <v>46108</v>
      </c>
      <c r="B62" s="6" t="n">
        <f aca="false">'Detalle Diario 2026'!H62</f>
        <v>60</v>
      </c>
      <c r="C62" s="20" t="n">
        <f aca="false">IF(B62&gt;0,C61+1,0)</f>
        <v>27</v>
      </c>
    </row>
    <row r="63" customFormat="false" ht="15" hidden="false" customHeight="false" outlineLevel="0" collapsed="false">
      <c r="A63" s="19" t="n">
        <f aca="false">'Detalle Diario 2026'!A63</f>
        <v>46111</v>
      </c>
      <c r="B63" s="6" t="n">
        <f aca="false">'Detalle Diario 2026'!H63</f>
        <v>55</v>
      </c>
      <c r="C63" s="20" t="n">
        <f aca="false">IF(B63&gt;0,C62+1,0)</f>
        <v>28</v>
      </c>
    </row>
    <row r="64" customFormat="false" ht="15" hidden="false" customHeight="false" outlineLevel="0" collapsed="false">
      <c r="A64" s="19" t="n">
        <f aca="false">'Detalle Diario 2026'!A64</f>
        <v>46112</v>
      </c>
      <c r="B64" s="6" t="n">
        <f aca="false">'Detalle Diario 2026'!H64</f>
        <v>156</v>
      </c>
      <c r="C64" s="20" t="n">
        <f aca="false">IF(B64&gt;0,C63+1,0)</f>
        <v>29</v>
      </c>
    </row>
    <row r="65" customFormat="false" ht="15" hidden="false" customHeight="false" outlineLevel="0" collapsed="false">
      <c r="A65" s="19" t="n">
        <f aca="false">'Detalle Diario 2026'!A65</f>
        <v>46113</v>
      </c>
      <c r="B65" s="6" t="n">
        <f aca="false">'Detalle Diario 2026'!H65</f>
        <v>79</v>
      </c>
      <c r="C65" s="20" t="n">
        <f aca="false">IF(B65&gt;0,C64+1,0)</f>
        <v>30</v>
      </c>
    </row>
    <row r="66" customFormat="false" ht="15" hidden="false" customHeight="false" outlineLevel="0" collapsed="false">
      <c r="A66" s="19" t="n">
        <f aca="false">'Detalle Diario 2026'!A66</f>
        <v>46118</v>
      </c>
      <c r="B66" s="6" t="n">
        <f aca="false">'Detalle Diario 2026'!H66</f>
        <v>0</v>
      </c>
      <c r="C66" s="20" t="n">
        <f aca="false">IF(B66&gt;0,C65+1,0)</f>
        <v>0</v>
      </c>
    </row>
    <row r="67" customFormat="false" ht="15" hidden="false" customHeight="false" outlineLevel="0" collapsed="false">
      <c r="A67" s="19" t="n">
        <f aca="false">'Detalle Diario 2026'!A67</f>
        <v>46119</v>
      </c>
      <c r="B67" s="6" t="n">
        <f aca="false">'Detalle Diario 2026'!H67</f>
        <v>144</v>
      </c>
      <c r="C67" s="20" t="n">
        <f aca="false">IF(B67&gt;0,C66+1,0)</f>
        <v>1</v>
      </c>
    </row>
    <row r="68" customFormat="false" ht="15" hidden="false" customHeight="false" outlineLevel="0" collapsed="false">
      <c r="A68" s="19" t="n">
        <f aca="false">'Detalle Diario 2026'!A68</f>
        <v>46120</v>
      </c>
      <c r="B68" s="6" t="n">
        <f aca="false">'Detalle Diario 2026'!H68</f>
        <v>61</v>
      </c>
      <c r="C68" s="20" t="n">
        <f aca="false">IF(B68&gt;0,C67+1,0)</f>
        <v>2</v>
      </c>
    </row>
    <row r="69" customFormat="false" ht="15" hidden="false" customHeight="false" outlineLevel="0" collapsed="false">
      <c r="A69" s="19" t="n">
        <f aca="false">'Detalle Diario 2026'!A69</f>
        <v>46121</v>
      </c>
      <c r="B69" s="6" t="n">
        <f aca="false">'Detalle Diario 2026'!H69</f>
        <v>12</v>
      </c>
      <c r="C69" s="20" t="n">
        <f aca="false">IF(B69&gt;0,C68+1,0)</f>
        <v>3</v>
      </c>
    </row>
    <row r="70" customFormat="false" ht="15" hidden="false" customHeight="false" outlineLevel="0" collapsed="false">
      <c r="A70" s="19" t="n">
        <f aca="false">'Detalle Diario 2026'!A70</f>
        <v>46122</v>
      </c>
      <c r="B70" s="6" t="n">
        <f aca="false">'Detalle Diario 2026'!H70</f>
        <v>61</v>
      </c>
      <c r="C70" s="20" t="n">
        <f aca="false">IF(B70&gt;0,C69+1,0)</f>
        <v>4</v>
      </c>
    </row>
    <row r="71" customFormat="false" ht="15" hidden="false" customHeight="false" outlineLevel="0" collapsed="false">
      <c r="A71" s="19" t="n">
        <f aca="false">'Detalle Diario 2026'!A71</f>
        <v>46125</v>
      </c>
      <c r="B71" s="6" t="n">
        <f aca="false">'Detalle Diario 2026'!H71</f>
        <v>-4</v>
      </c>
      <c r="C71" s="20" t="n">
        <f aca="false">IF(B71&gt;0,C70+1,0)</f>
        <v>0</v>
      </c>
    </row>
    <row r="72" customFormat="false" ht="15" hidden="false" customHeight="false" outlineLevel="0" collapsed="false">
      <c r="A72" s="19" t="n">
        <f aca="false">'Detalle Diario 2026'!A72</f>
        <v>46126</v>
      </c>
      <c r="B72" s="6" t="n">
        <f aca="false">'Detalle Diario 2026'!H72</f>
        <v>93</v>
      </c>
      <c r="C72" s="20" t="n">
        <f aca="false">IF(B72&gt;0,C71+1,0)</f>
        <v>1</v>
      </c>
    </row>
    <row r="73" customFormat="false" ht="15" hidden="false" customHeight="false" outlineLevel="0" collapsed="false">
      <c r="A73" s="19" t="n">
        <f aca="false">'Detalle Diario 2026'!A73</f>
        <v>46127</v>
      </c>
      <c r="B73" s="6" t="n">
        <f aca="false">'Detalle Diario 2026'!H73</f>
        <v>76</v>
      </c>
      <c r="C73" s="20" t="n">
        <f aca="false">IF(B73&gt;0,C72+1,0)</f>
        <v>2</v>
      </c>
    </row>
    <row r="74" customFormat="false" ht="15" hidden="false" customHeight="false" outlineLevel="0" collapsed="false">
      <c r="A74" s="19" t="n">
        <f aca="false">'Detalle Diario 2026'!A74</f>
        <v>46128</v>
      </c>
      <c r="B74" s="6" t="n">
        <f aca="false">'Detalle Diario 2026'!H74</f>
        <v>72</v>
      </c>
      <c r="C74" s="20" t="n">
        <f aca="false">IF(B74&gt;0,C73+1,0)</f>
        <v>3</v>
      </c>
    </row>
    <row r="75" customFormat="false" ht="15" hidden="false" customHeight="false" outlineLevel="0" collapsed="false">
      <c r="A75" s="19" t="n">
        <f aca="false">'Detalle Diario 2026'!A75</f>
        <v>46129</v>
      </c>
      <c r="B75" s="6" t="n">
        <f aca="false">'Detalle Diario 2026'!H75</f>
        <v>141</v>
      </c>
      <c r="C75" s="20" t="n">
        <f aca="false">IF(B75&gt;0,C74+1,0)</f>
        <v>4</v>
      </c>
    </row>
    <row r="76" customFormat="false" ht="15" hidden="false" customHeight="false" outlineLevel="0" collapsed="false">
      <c r="A76" s="19" t="n">
        <f aca="false">'Detalle Diario 2026'!A76</f>
        <v>46132</v>
      </c>
      <c r="B76" s="6" t="n">
        <f aca="false">'Detalle Diario 2026'!H76</f>
        <v>151</v>
      </c>
      <c r="C76" s="20" t="n">
        <f aca="false">IF(B76&gt;0,C75+1,0)</f>
        <v>5</v>
      </c>
    </row>
    <row r="77" customFormat="false" ht="15" hidden="false" customHeight="false" outlineLevel="0" collapsed="false">
      <c r="A77" s="19" t="n">
        <f aca="false">'Detalle Diario 2026'!A77</f>
        <v>46133</v>
      </c>
      <c r="B77" s="6" t="n">
        <f aca="false">'Detalle Diario 2026'!H77</f>
        <v>18</v>
      </c>
      <c r="C77" s="20" t="n">
        <f aca="false">IF(B77&gt;0,C76+1,0)</f>
        <v>6</v>
      </c>
    </row>
    <row r="78" customFormat="false" ht="15" hidden="false" customHeight="false" outlineLevel="0" collapsed="false">
      <c r="A78" s="19" t="n">
        <f aca="false">'Detalle Diario 2026'!A78</f>
        <v>46134</v>
      </c>
      <c r="B78" s="6" t="n">
        <f aca="false">'Detalle Diario 2026'!H78</f>
        <v>74</v>
      </c>
      <c r="C78" s="20" t="n">
        <f aca="false">IF(B78&gt;0,C77+1,0)</f>
        <v>7</v>
      </c>
    </row>
    <row r="79" customFormat="false" ht="15" hidden="false" customHeight="false" outlineLevel="0" collapsed="false">
      <c r="A79" s="19" t="n">
        <f aca="false">'Detalle Diario 2026'!A79</f>
        <v>46135</v>
      </c>
      <c r="B79" s="6" t="n">
        <f aca="false">'Detalle Diario 2026'!H79</f>
        <v>37</v>
      </c>
      <c r="C79" s="20" t="n">
        <f aca="false">IF(B79&gt;0,C78+1,0)</f>
        <v>8</v>
      </c>
    </row>
    <row r="80" customFormat="false" ht="15" hidden="false" customHeight="false" outlineLevel="0" collapsed="false">
      <c r="A80" s="19" t="n">
        <f aca="false">'Detalle Diario 2026'!A80</f>
        <v>46136</v>
      </c>
      <c r="B80" s="6" t="n">
        <f aca="false">'Detalle Diario 2026'!H80</f>
        <v>119</v>
      </c>
      <c r="C80" s="20" t="n">
        <f aca="false">IF(B80&gt;0,C79+1,0)</f>
        <v>9</v>
      </c>
    </row>
    <row r="81" customFormat="false" ht="15" hidden="false" customHeight="false" outlineLevel="0" collapsed="false">
      <c r="A81" s="19" t="n">
        <f aca="false">'Detalle Diario 2026'!A81</f>
        <v>46139</v>
      </c>
      <c r="B81" s="6" t="n">
        <f aca="false">'Detalle Diario 2026'!H81</f>
        <v>-11</v>
      </c>
      <c r="C81" s="20" t="n">
        <f aca="false">IF(B81&gt;0,C80+1,0)</f>
        <v>0</v>
      </c>
    </row>
    <row r="82" customFormat="false" ht="15" hidden="false" customHeight="false" outlineLevel="0" collapsed="false">
      <c r="A82" s="19" t="n">
        <f aca="false">'Detalle Diario 2026'!A82</f>
        <v>46140</v>
      </c>
      <c r="B82" s="6" t="n">
        <f aca="false">'Detalle Diario 2026'!H82</f>
        <v>214</v>
      </c>
      <c r="C82" s="20" t="n">
        <f aca="false">IF(B82&gt;0,C81+1,0)</f>
        <v>1</v>
      </c>
    </row>
    <row r="83" customFormat="false" ht="15" hidden="false" customHeight="false" outlineLevel="0" collapsed="false">
      <c r="A83" s="19" t="n">
        <f aca="false">'Detalle Diario 2026'!A83</f>
        <v>46141</v>
      </c>
      <c r="B83" s="6" t="n">
        <f aca="false">'Detalle Diario 2026'!H83</f>
        <v>127</v>
      </c>
      <c r="C83" s="20" t="n">
        <f aca="false">IF(B83&gt;0,C82+1,0)</f>
        <v>2</v>
      </c>
    </row>
    <row r="84" customFormat="false" ht="15" hidden="false" customHeight="false" outlineLevel="0" collapsed="false">
      <c r="A84" s="19" t="n">
        <f aca="false">'Detalle Diario 2026'!A84</f>
        <v>46142</v>
      </c>
      <c r="B84" s="6" t="n">
        <f aca="false">'Detalle Diario 2026'!H84</f>
        <v>136</v>
      </c>
      <c r="C84" s="20" t="n">
        <f aca="false">IF(B84&gt;0,C83+1,0)</f>
        <v>3</v>
      </c>
    </row>
    <row r="85" customFormat="false" ht="15" hidden="false" customHeight="false" outlineLevel="0" collapsed="false">
      <c r="A85" s="19" t="n">
        <f aca="false">'Detalle Diario 2026'!A85</f>
        <v>46146</v>
      </c>
      <c r="B85" s="6" t="n">
        <f aca="false">'Detalle Diario 2026'!H85</f>
        <v>50</v>
      </c>
      <c r="C85" s="20" t="n">
        <f aca="false">IF(B85&gt;0,C84+1,0)</f>
        <v>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5" min="4" style="0" width="12"/>
    <col collapsed="false" customWidth="true" hidden="false" outlineLevel="0" max="6" min="6" style="0" width="18"/>
    <col collapsed="false" customWidth="true" hidden="false" outlineLevel="0" max="8" min="8" style="0" width="32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1" t="s">
        <v>63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64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42</v>
      </c>
      <c r="B4" s="3" t="s">
        <v>65</v>
      </c>
      <c r="C4" s="3" t="s">
        <v>66</v>
      </c>
      <c r="D4" s="3" t="s">
        <v>67</v>
      </c>
      <c r="E4" s="3" t="s">
        <v>68</v>
      </c>
      <c r="F4" s="3" t="s">
        <v>69</v>
      </c>
      <c r="H4" s="3" t="s">
        <v>70</v>
      </c>
    </row>
    <row r="5" customFormat="false" ht="15" hidden="false" customHeight="false" outlineLevel="0" collapsed="false">
      <c r="A5" s="19" t="n">
        <f aca="false">'Detalle Diario 2026'!A5</f>
        <v>46024</v>
      </c>
      <c r="B5" s="6" t="n">
        <f aca="false">'Detalle Diario 2026'!H5</f>
        <v>6</v>
      </c>
      <c r="C5" s="23" t="str">
        <f aca="false">IFERROR(VLOOKUP(A5,'datos reales bcra'!a:h,8,FALSE()),"")</f>
        <v/>
      </c>
      <c r="D5" s="6" t="str">
        <f aca="false">IFERROR(B5-C5,"")</f>
        <v/>
      </c>
      <c r="E5" s="7" t="str">
        <f aca="false">IFERROR(D5/C5,"")</f>
        <v/>
      </c>
      <c r="F5" s="8" t="str">
        <f aca="false">IF(C5="","falta dato real",IF(ABS(E5)&lt;0.05,"OK",IF(ABS(E5)&lt;0.2,"revisar","discrepancia")))</f>
        <v>falta dato real</v>
      </c>
      <c r="H5" s="16" t="s">
        <v>71</v>
      </c>
      <c r="I5" s="21" t="n">
        <f aca="false">IFERROR(AVERAGE(IF(C5:C85&lt;&gt;"",ABS(D5:D85))),"sin datos")</f>
        <v>0</v>
      </c>
    </row>
    <row r="6" customFormat="false" ht="15" hidden="false" customHeight="false" outlineLevel="0" collapsed="false">
      <c r="A6" s="19" t="n">
        <f aca="false">'Detalle Diario 2026'!A6</f>
        <v>46027</v>
      </c>
      <c r="B6" s="6" t="n">
        <f aca="false">'Detalle Diario 2026'!H6</f>
        <v>64</v>
      </c>
      <c r="C6" s="23" t="str">
        <f aca="false">IFERROR(VLOOKUP(A6,'datos reales bcra'!a:h,8,FALSE()),"")</f>
        <v/>
      </c>
      <c r="D6" s="6" t="str">
        <f aca="false">IFERROR(B6-C6,"")</f>
        <v/>
      </c>
      <c r="E6" s="7" t="str">
        <f aca="false">IFERROR(D6/C6,"")</f>
        <v/>
      </c>
      <c r="F6" s="8" t="str">
        <f aca="false">IF(C6="","falta dato real",IF(ABS(E6)&lt;0.05,"OK",IF(ABS(E6)&lt;0.2,"revisar","discrepancia")))</f>
        <v>falta dato real</v>
      </c>
      <c r="H6" s="16" t="s">
        <v>72</v>
      </c>
      <c r="I6" s="16" t="n">
        <f aca="false">COUNT(C5:C85)</f>
        <v>0</v>
      </c>
    </row>
    <row r="7" customFormat="false" ht="15" hidden="false" customHeight="false" outlineLevel="0" collapsed="false">
      <c r="A7" s="19" t="n">
        <f aca="false">'Detalle Diario 2026'!A7</f>
        <v>46028</v>
      </c>
      <c r="B7" s="6" t="n">
        <f aca="false">'Detalle Diario 2026'!H7</f>
        <v>66</v>
      </c>
      <c r="C7" s="23" t="str">
        <f aca="false">IFERROR(VLOOKUP(A7,'datos reales bcra'!a:h,8,FALSE()),"")</f>
        <v/>
      </c>
      <c r="D7" s="6" t="str">
        <f aca="false">IFERROR(B7-C7,"")</f>
        <v/>
      </c>
      <c r="E7" s="7" t="str">
        <f aca="false">IFERROR(D7/C7,"")</f>
        <v/>
      </c>
      <c r="F7" s="8" t="str">
        <f aca="false">IF(C7="","falta dato real",IF(ABS(E7)&lt;0.05,"OK",IF(ABS(E7)&lt;0.2,"revisar","discrepancia")))</f>
        <v>falta dato real</v>
      </c>
      <c r="H7" s="16" t="s">
        <v>73</v>
      </c>
      <c r="I7" s="16" t="n">
        <f aca="false">COUNTBLANK(C5:C85)</f>
        <v>81</v>
      </c>
    </row>
    <row r="8" customFormat="false" ht="15" hidden="false" customHeight="false" outlineLevel="0" collapsed="false">
      <c r="A8" s="19" t="n">
        <f aca="false">'Detalle Diario 2026'!A8</f>
        <v>46029</v>
      </c>
      <c r="B8" s="6" t="n">
        <f aca="false">'Detalle Diario 2026'!H8</f>
        <v>95</v>
      </c>
      <c r="C8" s="23" t="str">
        <f aca="false">IFERROR(VLOOKUP(A8,'datos reales bcra'!a:h,8,FALSE()),"")</f>
        <v/>
      </c>
      <c r="D8" s="6" t="str">
        <f aca="false">IFERROR(B8-C8,"")</f>
        <v/>
      </c>
      <c r="E8" s="7" t="str">
        <f aca="false">IFERROR(D8/C8,"")</f>
        <v/>
      </c>
      <c r="F8" s="8" t="str">
        <f aca="false">IF(C8="","falta dato real",IF(ABS(E8)&lt;0.05,"OK",IF(ABS(E8)&lt;0.2,"revisar","discrepancia")))</f>
        <v>falta dato real</v>
      </c>
    </row>
    <row r="9" customFormat="false" ht="15" hidden="false" customHeight="false" outlineLevel="0" collapsed="false">
      <c r="A9" s="19" t="n">
        <f aca="false">'Detalle Diario 2026'!A9</f>
        <v>46030</v>
      </c>
      <c r="B9" s="6" t="n">
        <f aca="false">'Detalle Diario 2026'!H9</f>
        <v>11</v>
      </c>
      <c r="C9" s="23" t="str">
        <f aca="false">IFERROR(VLOOKUP(A9,'datos reales bcra'!a:h,8,FALSE()),"")</f>
        <v/>
      </c>
      <c r="D9" s="6" t="str">
        <f aca="false">IFERROR(B9-C9,"")</f>
        <v/>
      </c>
      <c r="E9" s="7" t="str">
        <f aca="false">IFERROR(D9/C9,"")</f>
        <v/>
      </c>
      <c r="F9" s="8" t="str">
        <f aca="false">IF(C9="","falta dato real",IF(ABS(E9)&lt;0.05,"OK",IF(ABS(E9)&lt;0.2,"revisar","discrepancia")))</f>
        <v>falta dato real</v>
      </c>
    </row>
    <row r="10" customFormat="false" ht="15" hidden="false" customHeight="false" outlineLevel="0" collapsed="false">
      <c r="A10" s="19" t="n">
        <f aca="false">'Detalle Diario 2026'!A10</f>
        <v>46031</v>
      </c>
      <c r="B10" s="6" t="n">
        <f aca="false">'Detalle Diario 2026'!H10</f>
        <v>18</v>
      </c>
      <c r="C10" s="23" t="str">
        <f aca="false">IFERROR(VLOOKUP(A10,'datos reales bcra'!a:h,8,FALSE()),"")</f>
        <v/>
      </c>
      <c r="D10" s="6" t="str">
        <f aca="false">IFERROR(B10-C10,"")</f>
        <v/>
      </c>
      <c r="E10" s="7" t="str">
        <f aca="false">IFERROR(D10/C10,"")</f>
        <v/>
      </c>
      <c r="F10" s="8" t="str">
        <f aca="false">IF(C10="","falta dato real",IF(ABS(E10)&lt;0.05,"OK",IF(ABS(E10)&lt;0.2,"revisar","discrepancia")))</f>
        <v>falta dato real</v>
      </c>
    </row>
    <row r="11" customFormat="false" ht="15" hidden="false" customHeight="false" outlineLevel="0" collapsed="false">
      <c r="A11" s="19" t="n">
        <f aca="false">'Detalle Diario 2026'!A11</f>
        <v>46034</v>
      </c>
      <c r="B11" s="6" t="n">
        <f aca="false">'Detalle Diario 2026'!H11</f>
        <v>82</v>
      </c>
      <c r="C11" s="23" t="str">
        <f aca="false">IFERROR(VLOOKUP(A11,'datos reales bcra'!a:h,8,FALSE()),"")</f>
        <v/>
      </c>
      <c r="D11" s="6" t="str">
        <f aca="false">IFERROR(B11-C11,"")</f>
        <v/>
      </c>
      <c r="E11" s="7" t="str">
        <f aca="false">IFERROR(D11/C11,"")</f>
        <v/>
      </c>
      <c r="F11" s="8" t="str">
        <f aca="false">IF(C11="","falta dato real",IF(ABS(E11)&lt;0.05,"OK",IF(ABS(E11)&lt;0.2,"revisar","discrepancia")))</f>
        <v>falta dato real</v>
      </c>
    </row>
    <row r="12" customFormat="false" ht="15" hidden="false" customHeight="false" outlineLevel="0" collapsed="false">
      <c r="A12" s="19" t="n">
        <f aca="false">'Detalle Diario 2026'!A12</f>
        <v>46035</v>
      </c>
      <c r="B12" s="6" t="n">
        <f aca="false">'Detalle Diario 2026'!H12</f>
        <v>61</v>
      </c>
      <c r="C12" s="23" t="str">
        <f aca="false">IFERROR(VLOOKUP(A12,'datos reales bcra'!a:h,8,FALSE()),"")</f>
        <v/>
      </c>
      <c r="D12" s="6" t="str">
        <f aca="false">IFERROR(B12-C12,"")</f>
        <v/>
      </c>
      <c r="E12" s="7" t="str">
        <f aca="false">IFERROR(D12/C12,"")</f>
        <v/>
      </c>
      <c r="F12" s="8" t="str">
        <f aca="false">IF(C12="","falta dato real",IF(ABS(E12)&lt;0.05,"OK",IF(ABS(E12)&lt;0.2,"revisar","discrepancia")))</f>
        <v>falta dato real</v>
      </c>
    </row>
    <row r="13" customFormat="false" ht="15" hidden="false" customHeight="false" outlineLevel="0" collapsed="false">
      <c r="A13" s="19" t="n">
        <f aca="false">'Detalle Diario 2026'!A13</f>
        <v>46036</v>
      </c>
      <c r="B13" s="6" t="n">
        <f aca="false">'Detalle Diario 2026'!H13</f>
        <v>62</v>
      </c>
      <c r="C13" s="23" t="str">
        <f aca="false">IFERROR(VLOOKUP(A13,'datos reales bcra'!a:h,8,FALSE()),"")</f>
        <v/>
      </c>
      <c r="D13" s="6" t="str">
        <f aca="false">IFERROR(B13-C13,"")</f>
        <v/>
      </c>
      <c r="E13" s="7" t="str">
        <f aca="false">IFERROR(D13/C13,"")</f>
        <v/>
      </c>
      <c r="F13" s="8" t="str">
        <f aca="false">IF(C13="","falta dato real",IF(ABS(E13)&lt;0.05,"OK",IF(ABS(E13)&lt;0.2,"revisar","discrepancia")))</f>
        <v>falta dato real</v>
      </c>
    </row>
    <row r="14" customFormat="false" ht="15" hidden="false" customHeight="false" outlineLevel="0" collapsed="false">
      <c r="A14" s="19" t="n">
        <f aca="false">'Detalle Diario 2026'!A14</f>
        <v>46037</v>
      </c>
      <c r="B14" s="6" t="n">
        <f aca="false">'Detalle Diario 2026'!H14</f>
        <v>74</v>
      </c>
      <c r="C14" s="23" t="str">
        <f aca="false">IFERROR(VLOOKUP(A14,'datos reales bcra'!a:h,8,FALSE()),"")</f>
        <v/>
      </c>
      <c r="D14" s="6" t="str">
        <f aca="false">IFERROR(B14-C14,"")</f>
        <v/>
      </c>
      <c r="E14" s="7" t="str">
        <f aca="false">IFERROR(D14/C14,"")</f>
        <v/>
      </c>
      <c r="F14" s="8" t="str">
        <f aca="false">IF(C14="","falta dato real",IF(ABS(E14)&lt;0.05,"OK",IF(ABS(E14)&lt;0.2,"revisar","discrepancia")))</f>
        <v>falta dato real</v>
      </c>
    </row>
    <row r="15" customFormat="false" ht="15" hidden="false" customHeight="false" outlineLevel="0" collapsed="false">
      <c r="A15" s="19" t="n">
        <f aca="false">'Detalle Diario 2026'!A15</f>
        <v>46038</v>
      </c>
      <c r="B15" s="6" t="n">
        <f aca="false">'Detalle Diario 2026'!H15</f>
        <v>26</v>
      </c>
      <c r="C15" s="23" t="str">
        <f aca="false">IFERROR(VLOOKUP(A15,'datos reales bcra'!a:h,8,FALSE()),"")</f>
        <v/>
      </c>
      <c r="D15" s="6" t="str">
        <f aca="false">IFERROR(B15-C15,"")</f>
        <v/>
      </c>
      <c r="E15" s="7" t="str">
        <f aca="false">IFERROR(D15/C15,"")</f>
        <v/>
      </c>
      <c r="F15" s="8" t="str">
        <f aca="false">IF(C15="","falta dato real",IF(ABS(E15)&lt;0.05,"OK",IF(ABS(E15)&lt;0.2,"revisar","discrepancia")))</f>
        <v>falta dato real</v>
      </c>
    </row>
    <row r="16" customFormat="false" ht="15" hidden="false" customHeight="false" outlineLevel="0" collapsed="false">
      <c r="A16" s="19" t="n">
        <f aca="false">'Detalle Diario 2026'!A16</f>
        <v>46041</v>
      </c>
      <c r="B16" s="6" t="n">
        <f aca="false">'Detalle Diario 2026'!H16</f>
        <v>111</v>
      </c>
      <c r="C16" s="23" t="str">
        <f aca="false">IFERROR(VLOOKUP(A16,'datos reales bcra'!a:h,8,FALSE()),"")</f>
        <v/>
      </c>
      <c r="D16" s="6" t="str">
        <f aca="false">IFERROR(B16-C16,"")</f>
        <v/>
      </c>
      <c r="E16" s="7" t="str">
        <f aca="false">IFERROR(D16/C16,"")</f>
        <v/>
      </c>
      <c r="F16" s="8" t="str">
        <f aca="false">IF(C16="","falta dato real",IF(ABS(E16)&lt;0.05,"OK",IF(ABS(E16)&lt;0.2,"revisar","discrepancia")))</f>
        <v>falta dato real</v>
      </c>
    </row>
    <row r="17" customFormat="false" ht="15" hidden="false" customHeight="false" outlineLevel="0" collapsed="false">
      <c r="A17" s="19" t="n">
        <f aca="false">'Detalle Diario 2026'!A17</f>
        <v>46042</v>
      </c>
      <c r="B17" s="6" t="n">
        <f aca="false">'Detalle Diario 2026'!H17</f>
        <v>93</v>
      </c>
      <c r="C17" s="23" t="str">
        <f aca="false">IFERROR(VLOOKUP(A17,'datos reales bcra'!a:h,8,FALSE()),"")</f>
        <v/>
      </c>
      <c r="D17" s="6" t="str">
        <f aca="false">IFERROR(B17-C17,"")</f>
        <v/>
      </c>
      <c r="E17" s="7" t="str">
        <f aca="false">IFERROR(D17/C17,"")</f>
        <v/>
      </c>
      <c r="F17" s="8" t="str">
        <f aca="false">IF(C17="","falta dato real",IF(ABS(E17)&lt;0.05,"OK",IF(ABS(E17)&lt;0.2,"revisar","discrepancia")))</f>
        <v>falta dato real</v>
      </c>
    </row>
    <row r="18" customFormat="false" ht="15" hidden="false" customHeight="false" outlineLevel="0" collapsed="false">
      <c r="A18" s="19" t="n">
        <f aca="false">'Detalle Diario 2026'!A18</f>
        <v>46043</v>
      </c>
      <c r="B18" s="6" t="n">
        <f aca="false">'Detalle Diario 2026'!H18</f>
        <v>74</v>
      </c>
      <c r="C18" s="23" t="str">
        <f aca="false">IFERROR(VLOOKUP(A18,'datos reales bcra'!a:h,8,FALSE()),"")</f>
        <v/>
      </c>
      <c r="D18" s="6" t="str">
        <f aca="false">IFERROR(B18-C18,"")</f>
        <v/>
      </c>
      <c r="E18" s="7" t="str">
        <f aca="false">IFERROR(D18/C18,"")</f>
        <v/>
      </c>
      <c r="F18" s="8" t="str">
        <f aca="false">IF(C18="","falta dato real",IF(ABS(E18)&lt;0.05,"OK",IF(ABS(E18)&lt;0.2,"revisar","discrepancia")))</f>
        <v>falta dato real</v>
      </c>
    </row>
    <row r="19" customFormat="false" ht="15" hidden="false" customHeight="false" outlineLevel="0" collapsed="false">
      <c r="A19" s="19" t="n">
        <f aca="false">'Detalle Diario 2026'!A19</f>
        <v>46044</v>
      </c>
      <c r="B19" s="6" t="n">
        <f aca="false">'Detalle Diario 2026'!H19</f>
        <v>44</v>
      </c>
      <c r="C19" s="23" t="str">
        <f aca="false">IFERROR(VLOOKUP(A19,'datos reales bcra'!a:h,8,FALSE()),"")</f>
        <v/>
      </c>
      <c r="D19" s="6" t="str">
        <f aca="false">IFERROR(B19-C19,"")</f>
        <v/>
      </c>
      <c r="E19" s="7" t="str">
        <f aca="false">IFERROR(D19/C19,"")</f>
        <v/>
      </c>
      <c r="F19" s="8" t="str">
        <f aca="false">IF(C19="","falta dato real",IF(ABS(E19)&lt;0.05,"OK",IF(ABS(E19)&lt;0.2,"revisar","discrepancia")))</f>
        <v>falta dato real</v>
      </c>
    </row>
    <row r="20" customFormat="false" ht="15" hidden="false" customHeight="false" outlineLevel="0" collapsed="false">
      <c r="A20" s="19" t="n">
        <f aca="false">'Detalle Diario 2026'!A20</f>
        <v>46045</v>
      </c>
      <c r="B20" s="6" t="n">
        <f aca="false">'Detalle Diario 2026'!H20</f>
        <v>34</v>
      </c>
      <c r="C20" s="23" t="str">
        <f aca="false">IFERROR(VLOOKUP(A20,'datos reales bcra'!a:h,8,FALSE()),"")</f>
        <v/>
      </c>
      <c r="D20" s="6" t="str">
        <f aca="false">IFERROR(B20-C20,"")</f>
        <v/>
      </c>
      <c r="E20" s="7" t="str">
        <f aca="false">IFERROR(D20/C20,"")</f>
        <v/>
      </c>
      <c r="F20" s="8" t="str">
        <f aca="false">IF(C20="","falta dato real",IF(ABS(E20)&lt;0.05,"OK",IF(ABS(E20)&lt;0.2,"revisar","discrepancia")))</f>
        <v>falta dato real</v>
      </c>
    </row>
    <row r="21" customFormat="false" ht="15" hidden="false" customHeight="false" outlineLevel="0" collapsed="false">
      <c r="A21" s="19" t="n">
        <f aca="false">'Detalle Diario 2026'!A21</f>
        <v>46048</v>
      </c>
      <c r="B21" s="6" t="n">
        <f aca="false">'Detalle Diario 2026'!H21</f>
        <v>79</v>
      </c>
      <c r="C21" s="23" t="str">
        <f aca="false">IFERROR(VLOOKUP(A21,'datos reales bcra'!a:h,8,FALSE()),"")</f>
        <v/>
      </c>
      <c r="D21" s="6" t="str">
        <f aca="false">IFERROR(B21-C21,"")</f>
        <v/>
      </c>
      <c r="E21" s="7" t="str">
        <f aca="false">IFERROR(D21/C21,"")</f>
        <v/>
      </c>
      <c r="F21" s="8" t="str">
        <f aca="false">IF(C21="","falta dato real",IF(ABS(E21)&lt;0.05,"OK",IF(ABS(E21)&lt;0.2,"revisar","discrepancia")))</f>
        <v>falta dato real</v>
      </c>
    </row>
    <row r="22" customFormat="false" ht="15" hidden="false" customHeight="false" outlineLevel="0" collapsed="false">
      <c r="A22" s="19" t="n">
        <f aca="false">'Detalle Diario 2026'!A22</f>
        <v>46049</v>
      </c>
      <c r="B22" s="6" t="n">
        <f aca="false">'Detalle Diario 2026'!H22</f>
        <v>116</v>
      </c>
      <c r="C22" s="23" t="str">
        <f aca="false">IFERROR(VLOOKUP(A22,'datos reales bcra'!a:h,8,FALSE()),"")</f>
        <v/>
      </c>
      <c r="D22" s="6" t="str">
        <f aca="false">IFERROR(B22-C22,"")</f>
        <v/>
      </c>
      <c r="E22" s="7" t="str">
        <f aca="false">IFERROR(D22/C22,"")</f>
        <v/>
      </c>
      <c r="F22" s="8" t="str">
        <f aca="false">IF(C22="","falta dato real",IF(ABS(E22)&lt;0.05,"OK",IF(ABS(E22)&lt;0.2,"revisar","discrepancia")))</f>
        <v>falta dato real</v>
      </c>
    </row>
    <row r="23" customFormat="false" ht="15" hidden="false" customHeight="false" outlineLevel="0" collapsed="false">
      <c r="A23" s="19" t="n">
        <f aca="false">'Detalle Diario 2026'!A23</f>
        <v>46050</v>
      </c>
      <c r="B23" s="6" t="n">
        <f aca="false">'Detalle Diario 2026'!H23</f>
        <v>71</v>
      </c>
      <c r="C23" s="23" t="str">
        <f aca="false">IFERROR(VLOOKUP(A23,'datos reales bcra'!a:h,8,FALSE()),"")</f>
        <v/>
      </c>
      <c r="D23" s="6" t="str">
        <f aca="false">IFERROR(B23-C23,"")</f>
        <v/>
      </c>
      <c r="E23" s="7" t="str">
        <f aca="false">IFERROR(D23/C23,"")</f>
        <v/>
      </c>
      <c r="F23" s="8" t="str">
        <f aca="false">IF(C23="","falta dato real",IF(ABS(E23)&lt;0.05,"OK",IF(ABS(E23)&lt;0.2,"revisar","discrepancia")))</f>
        <v>falta dato real</v>
      </c>
    </row>
    <row r="24" customFormat="false" ht="15" hidden="false" customHeight="false" outlineLevel="0" collapsed="false">
      <c r="A24" s="19" t="n">
        <f aca="false">'Detalle Diario 2026'!A24</f>
        <v>46051</v>
      </c>
      <c r="B24" s="6" t="n">
        <f aca="false">'Detalle Diario 2026'!H24</f>
        <v>66</v>
      </c>
      <c r="C24" s="23" t="str">
        <f aca="false">IFERROR(VLOOKUP(A24,'datos reales bcra'!a:h,8,FALSE()),"")</f>
        <v/>
      </c>
      <c r="D24" s="6" t="str">
        <f aca="false">IFERROR(B24-C24,"")</f>
        <v/>
      </c>
      <c r="E24" s="7" t="str">
        <f aca="false">IFERROR(D24/C24,"")</f>
        <v/>
      </c>
      <c r="F24" s="8" t="str">
        <f aca="false">IF(C24="","falta dato real",IF(ABS(E24)&lt;0.05,"OK",IF(ABS(E24)&lt;0.2,"revisar","discrepancia")))</f>
        <v>falta dato real</v>
      </c>
    </row>
    <row r="25" customFormat="false" ht="15" hidden="false" customHeight="false" outlineLevel="0" collapsed="false">
      <c r="A25" s="19" t="n">
        <f aca="false">'Detalle Diario 2026'!A25</f>
        <v>46052</v>
      </c>
      <c r="B25" s="6" t="n">
        <f aca="false">'Detalle Diario 2026'!H25</f>
        <v>88</v>
      </c>
      <c r="C25" s="23" t="str">
        <f aca="false">IFERROR(VLOOKUP(A25,'datos reales bcra'!a:h,8,FALSE()),"")</f>
        <v/>
      </c>
      <c r="D25" s="6" t="str">
        <f aca="false">IFERROR(B25-C25,"")</f>
        <v/>
      </c>
      <c r="E25" s="7" t="str">
        <f aca="false">IFERROR(D25/C25,"")</f>
        <v/>
      </c>
      <c r="F25" s="8" t="str">
        <f aca="false">IF(C25="","falta dato real",IF(ABS(E25)&lt;0.05,"OK",IF(ABS(E25)&lt;0.2,"revisar","discrepancia")))</f>
        <v>falta dato real</v>
      </c>
    </row>
    <row r="26" customFormat="false" ht="15" hidden="false" customHeight="false" outlineLevel="0" collapsed="false">
      <c r="A26" s="19" t="n">
        <f aca="false">'Detalle Diario 2026'!A26</f>
        <v>46055</v>
      </c>
      <c r="B26" s="6" t="n">
        <f aca="false">'Detalle Diario 2026'!H26</f>
        <v>37</v>
      </c>
      <c r="C26" s="23" t="str">
        <f aca="false">IFERROR(VLOOKUP(A26,'datos reales bcra'!a:h,8,FALSE()),"")</f>
        <v/>
      </c>
      <c r="D26" s="6" t="str">
        <f aca="false">IFERROR(B26-C26,"")</f>
        <v/>
      </c>
      <c r="E26" s="7" t="str">
        <f aca="false">IFERROR(D26/C26,"")</f>
        <v/>
      </c>
      <c r="F26" s="8" t="str">
        <f aca="false">IF(C26="","falta dato real",IF(ABS(E26)&lt;0.05,"OK",IF(ABS(E26)&lt;0.2,"revisar","discrepancia")))</f>
        <v>falta dato real</v>
      </c>
    </row>
    <row r="27" customFormat="false" ht="15" hidden="false" customHeight="false" outlineLevel="0" collapsed="false">
      <c r="A27" s="19" t="n">
        <f aca="false">'Detalle Diario 2026'!A27</f>
        <v>46056</v>
      </c>
      <c r="B27" s="6" t="n">
        <f aca="false">'Detalle Diario 2026'!H27</f>
        <v>193</v>
      </c>
      <c r="C27" s="23" t="str">
        <f aca="false">IFERROR(VLOOKUP(A27,'datos reales bcra'!a:h,8,FALSE()),"")</f>
        <v/>
      </c>
      <c r="D27" s="6" t="str">
        <f aca="false">IFERROR(B27-C27,"")</f>
        <v/>
      </c>
      <c r="E27" s="7" t="str">
        <f aca="false">IFERROR(D27/C27,"")</f>
        <v/>
      </c>
      <c r="F27" s="8" t="str">
        <f aca="false">IF(C27="","falta dato real",IF(ABS(E27)&lt;0.05,"OK",IF(ABS(E27)&lt;0.2,"revisar","discrepancia")))</f>
        <v>falta dato real</v>
      </c>
    </row>
    <row r="28" customFormat="false" ht="15" hidden="false" customHeight="false" outlineLevel="0" collapsed="false">
      <c r="A28" s="19" t="n">
        <f aca="false">'Detalle Diario 2026'!A28</f>
        <v>46057</v>
      </c>
      <c r="B28" s="6" t="n">
        <f aca="false">'Detalle Diario 2026'!H28</f>
        <v>13</v>
      </c>
      <c r="C28" s="23" t="str">
        <f aca="false">IFERROR(VLOOKUP(A28,'datos reales bcra'!a:h,8,FALSE()),"")</f>
        <v/>
      </c>
      <c r="D28" s="6" t="str">
        <f aca="false">IFERROR(B28-C28,"")</f>
        <v/>
      </c>
      <c r="E28" s="7" t="str">
        <f aca="false">IFERROR(D28/C28,"")</f>
        <v/>
      </c>
      <c r="F28" s="8" t="str">
        <f aca="false">IF(C28="","falta dato real",IF(ABS(E28)&lt;0.05,"OK",IF(ABS(E28)&lt;0.2,"revisar","discrepancia")))</f>
        <v>falta dato real</v>
      </c>
    </row>
    <row r="29" customFormat="false" ht="15" hidden="false" customHeight="false" outlineLevel="0" collapsed="false">
      <c r="A29" s="19" t="n">
        <f aca="false">'Detalle Diario 2026'!A29</f>
        <v>46058</v>
      </c>
      <c r="B29" s="6" t="n">
        <f aca="false">'Detalle Diario 2026'!H29</f>
        <v>159</v>
      </c>
      <c r="C29" s="23" t="str">
        <f aca="false">IFERROR(VLOOKUP(A29,'datos reales bcra'!a:h,8,FALSE()),"")</f>
        <v/>
      </c>
      <c r="D29" s="6" t="str">
        <f aca="false">IFERROR(B29-C29,"")</f>
        <v/>
      </c>
      <c r="E29" s="7" t="str">
        <f aca="false">IFERROR(D29/C29,"")</f>
        <v/>
      </c>
      <c r="F29" s="8" t="str">
        <f aca="false">IF(C29="","falta dato real",IF(ABS(E29)&lt;0.05,"OK",IF(ABS(E29)&lt;0.2,"revisar","discrepancia")))</f>
        <v>falta dato real</v>
      </c>
    </row>
    <row r="30" customFormat="false" ht="15" hidden="false" customHeight="false" outlineLevel="0" collapsed="false">
      <c r="A30" s="19" t="n">
        <f aca="false">'Detalle Diario 2026'!A30</f>
        <v>46059</v>
      </c>
      <c r="B30" s="6" t="n">
        <f aca="false">'Detalle Diario 2026'!H30</f>
        <v>151</v>
      </c>
      <c r="C30" s="23" t="str">
        <f aca="false">IFERROR(VLOOKUP(A30,'datos reales bcra'!a:h,8,FALSE()),"")</f>
        <v/>
      </c>
      <c r="D30" s="6" t="str">
        <f aca="false">IFERROR(B30-C30,"")</f>
        <v/>
      </c>
      <c r="E30" s="7" t="str">
        <f aca="false">IFERROR(D30/C30,"")</f>
        <v/>
      </c>
      <c r="F30" s="8" t="str">
        <f aca="false">IF(C30="","falta dato real",IF(ABS(E30)&lt;0.05,"OK",IF(ABS(E30)&lt;0.2,"revisar","discrepancia")))</f>
        <v>falta dato real</v>
      </c>
    </row>
    <row r="31" customFormat="false" ht="15" hidden="false" customHeight="false" outlineLevel="0" collapsed="false">
      <c r="A31" s="19" t="n">
        <f aca="false">'Detalle Diario 2026'!A31</f>
        <v>46062</v>
      </c>
      <c r="B31" s="6" t="n">
        <f aca="false">'Detalle Diario 2026'!H31</f>
        <v>187</v>
      </c>
      <c r="C31" s="23" t="str">
        <f aca="false">IFERROR(VLOOKUP(A31,'datos reales bcra'!a:h,8,FALSE()),"")</f>
        <v/>
      </c>
      <c r="D31" s="6" t="str">
        <f aca="false">IFERROR(B31-C31,"")</f>
        <v/>
      </c>
      <c r="E31" s="7" t="str">
        <f aca="false">IFERROR(D31/C31,"")</f>
        <v/>
      </c>
      <c r="F31" s="8" t="str">
        <f aca="false">IF(C31="","falta dato real",IF(ABS(E31)&lt;0.05,"OK",IF(ABS(E31)&lt;0.2,"revisar","discrepancia")))</f>
        <v>falta dato real</v>
      </c>
    </row>
    <row r="32" customFormat="false" ht="15" hidden="false" customHeight="false" outlineLevel="0" collapsed="false">
      <c r="A32" s="19" t="n">
        <f aca="false">'Detalle Diario 2026'!A32</f>
        <v>46063</v>
      </c>
      <c r="B32" s="6" t="n">
        <f aca="false">'Detalle Diario 2026'!H32</f>
        <v>59</v>
      </c>
      <c r="C32" s="23" t="str">
        <f aca="false">IFERROR(VLOOKUP(A32,'datos reales bcra'!a:h,8,FALSE()),"")</f>
        <v/>
      </c>
      <c r="D32" s="6" t="str">
        <f aca="false">IFERROR(B32-C32,"")</f>
        <v/>
      </c>
      <c r="E32" s="7" t="str">
        <f aca="false">IFERROR(D32/C32,"")</f>
        <v/>
      </c>
      <c r="F32" s="8" t="str">
        <f aca="false">IF(C32="","falta dato real",IF(ABS(E32)&lt;0.05,"OK",IF(ABS(E32)&lt;0.2,"revisar","discrepancia")))</f>
        <v>falta dato real</v>
      </c>
    </row>
    <row r="33" customFormat="false" ht="15" hidden="false" customHeight="false" outlineLevel="0" collapsed="false">
      <c r="A33" s="19" t="n">
        <f aca="false">'Detalle Diario 2026'!A33</f>
        <v>46064</v>
      </c>
      <c r="B33" s="6" t="n">
        <f aca="false">'Detalle Diario 2026'!H33</f>
        <v>34</v>
      </c>
      <c r="C33" s="23" t="str">
        <f aca="false">IFERROR(VLOOKUP(A33,'datos reales bcra'!a:h,8,FALSE()),"")</f>
        <v/>
      </c>
      <c r="D33" s="6" t="str">
        <f aca="false">IFERROR(B33-C33,"")</f>
        <v/>
      </c>
      <c r="E33" s="7" t="str">
        <f aca="false">IFERROR(D33/C33,"")</f>
        <v/>
      </c>
      <c r="F33" s="8" t="str">
        <f aca="false">IF(C33="","falta dato real",IF(ABS(E33)&lt;0.05,"OK",IF(ABS(E33)&lt;0.2,"revisar","discrepancia")))</f>
        <v>falta dato real</v>
      </c>
    </row>
    <row r="34" customFormat="false" ht="15" hidden="false" customHeight="false" outlineLevel="0" collapsed="false">
      <c r="A34" s="19" t="n">
        <f aca="false">'Detalle Diario 2026'!A34</f>
        <v>46065</v>
      </c>
      <c r="B34" s="6" t="n">
        <f aca="false">'Detalle Diario 2026'!H34</f>
        <v>33</v>
      </c>
      <c r="C34" s="23" t="str">
        <f aca="false">IFERROR(VLOOKUP(A34,'datos reales bcra'!a:h,8,FALSE()),"")</f>
        <v/>
      </c>
      <c r="D34" s="6" t="str">
        <f aca="false">IFERROR(B34-C34,"")</f>
        <v/>
      </c>
      <c r="E34" s="7" t="str">
        <f aca="false">IFERROR(D34/C34,"")</f>
        <v/>
      </c>
      <c r="F34" s="8" t="str">
        <f aca="false">IF(C34="","falta dato real",IF(ABS(E34)&lt;0.05,"OK",IF(ABS(E34)&lt;0.2,"revisar","discrepancia")))</f>
        <v>falta dato real</v>
      </c>
    </row>
    <row r="35" customFormat="false" ht="15" hidden="false" customHeight="false" outlineLevel="0" collapsed="false">
      <c r="A35" s="19" t="n">
        <f aca="false">'Detalle Diario 2026'!A35</f>
        <v>46066</v>
      </c>
      <c r="B35" s="6" t="n">
        <f aca="false">'Detalle Diario 2026'!H35</f>
        <v>-42</v>
      </c>
      <c r="C35" s="23" t="str">
        <f aca="false">IFERROR(VLOOKUP(A35,'datos reales bcra'!a:h,8,FALSE()),"")</f>
        <v/>
      </c>
      <c r="D35" s="6" t="str">
        <f aca="false">IFERROR(B35-C35,"")</f>
        <v/>
      </c>
      <c r="E35" s="7" t="str">
        <f aca="false">IFERROR(D35/C35,"")</f>
        <v/>
      </c>
      <c r="F35" s="8" t="str">
        <f aca="false">IF(C35="","falta dato real",IF(ABS(E35)&lt;0.05,"OK",IF(ABS(E35)&lt;0.2,"revisar","discrepancia")))</f>
        <v>falta dato real</v>
      </c>
    </row>
    <row r="36" customFormat="false" ht="15" hidden="false" customHeight="false" outlineLevel="0" collapsed="false">
      <c r="A36" s="19" t="n">
        <f aca="false">'Detalle Diario 2026'!A36</f>
        <v>46071</v>
      </c>
      <c r="B36" s="6" t="n">
        <f aca="false">'Detalle Diario 2026'!H36</f>
        <v>93</v>
      </c>
      <c r="C36" s="23" t="str">
        <f aca="false">IFERROR(VLOOKUP(A36,'datos reales bcra'!a:h,8,FALSE()),"")</f>
        <v/>
      </c>
      <c r="D36" s="6" t="str">
        <f aca="false">IFERROR(B36-C36,"")</f>
        <v/>
      </c>
      <c r="E36" s="7" t="str">
        <f aca="false">IFERROR(D36/C36,"")</f>
        <v/>
      </c>
      <c r="F36" s="8" t="str">
        <f aca="false">IF(C36="","falta dato real",IF(ABS(E36)&lt;0.05,"OK",IF(ABS(E36)&lt;0.2,"revisar","discrepancia")))</f>
        <v>falta dato real</v>
      </c>
    </row>
    <row r="37" customFormat="false" ht="15" hidden="false" customHeight="false" outlineLevel="0" collapsed="false">
      <c r="A37" s="19" t="n">
        <f aca="false">'Detalle Diario 2026'!A37</f>
        <v>46072</v>
      </c>
      <c r="B37" s="6" t="n">
        <f aca="false">'Detalle Diario 2026'!H37</f>
        <v>73</v>
      </c>
      <c r="C37" s="23" t="str">
        <f aca="false">IFERROR(VLOOKUP(A37,'datos reales bcra'!a:h,8,FALSE()),"")</f>
        <v/>
      </c>
      <c r="D37" s="6" t="str">
        <f aca="false">IFERROR(B37-C37,"")</f>
        <v/>
      </c>
      <c r="E37" s="7" t="str">
        <f aca="false">IFERROR(D37/C37,"")</f>
        <v/>
      </c>
      <c r="F37" s="8" t="str">
        <f aca="false">IF(C37="","falta dato real",IF(ABS(E37)&lt;0.05,"OK",IF(ABS(E37)&lt;0.2,"revisar","discrepancia")))</f>
        <v>falta dato real</v>
      </c>
    </row>
    <row r="38" customFormat="false" ht="15" hidden="false" customHeight="false" outlineLevel="0" collapsed="false">
      <c r="A38" s="19" t="n">
        <f aca="false">'Detalle Diario 2026'!A38</f>
        <v>46073</v>
      </c>
      <c r="B38" s="6" t="n">
        <f aca="false">'Detalle Diario 2026'!H38</f>
        <v>193</v>
      </c>
      <c r="C38" s="23" t="str">
        <f aca="false">IFERROR(VLOOKUP(A38,'datos reales bcra'!a:h,8,FALSE()),"")</f>
        <v/>
      </c>
      <c r="D38" s="6" t="str">
        <f aca="false">IFERROR(B38-C38,"")</f>
        <v/>
      </c>
      <c r="E38" s="7" t="str">
        <f aca="false">IFERROR(D38/C38,"")</f>
        <v/>
      </c>
      <c r="F38" s="8" t="str">
        <f aca="false">IF(C38="","falta dato real",IF(ABS(E38)&lt;0.05,"OK",IF(ABS(E38)&lt;0.2,"revisar","discrepancia")))</f>
        <v>falta dato real</v>
      </c>
    </row>
    <row r="39" customFormat="false" ht="15" hidden="false" customHeight="false" outlineLevel="0" collapsed="false">
      <c r="A39" s="19" t="n">
        <f aca="false">'Detalle Diario 2026'!A39</f>
        <v>46076</v>
      </c>
      <c r="B39" s="6" t="n">
        <f aca="false">'Detalle Diario 2026'!H39</f>
        <v>179</v>
      </c>
      <c r="C39" s="23" t="str">
        <f aca="false">IFERROR(VLOOKUP(A39,'datos reales bcra'!a:h,8,FALSE()),"")</f>
        <v/>
      </c>
      <c r="D39" s="6" t="str">
        <f aca="false">IFERROR(B39-C39,"")</f>
        <v/>
      </c>
      <c r="E39" s="7" t="str">
        <f aca="false">IFERROR(D39/C39,"")</f>
        <v/>
      </c>
      <c r="F39" s="8" t="str">
        <f aca="false">IF(C39="","falta dato real",IF(ABS(E39)&lt;0.05,"OK",IF(ABS(E39)&lt;0.2,"revisar","discrepancia")))</f>
        <v>falta dato real</v>
      </c>
    </row>
    <row r="40" customFormat="false" ht="15" hidden="false" customHeight="false" outlineLevel="0" collapsed="false">
      <c r="A40" s="19" t="n">
        <f aca="false">'Detalle Diario 2026'!A40</f>
        <v>46077</v>
      </c>
      <c r="B40" s="6" t="n">
        <f aca="false">'Detalle Diario 2026'!H40</f>
        <v>52</v>
      </c>
      <c r="C40" s="23" t="str">
        <f aca="false">IFERROR(VLOOKUP(A40,'datos reales bcra'!a:h,8,FALSE()),"")</f>
        <v/>
      </c>
      <c r="D40" s="6" t="str">
        <f aca="false">IFERROR(B40-C40,"")</f>
        <v/>
      </c>
      <c r="E40" s="7" t="str">
        <f aca="false">IFERROR(D40/C40,"")</f>
        <v/>
      </c>
      <c r="F40" s="8" t="str">
        <f aca="false">IF(C40="","falta dato real",IF(ABS(E40)&lt;0.05,"OK",IF(ABS(E40)&lt;0.2,"revisar","discrepancia")))</f>
        <v>falta dato real</v>
      </c>
    </row>
    <row r="41" customFormat="false" ht="15" hidden="false" customHeight="false" outlineLevel="0" collapsed="false">
      <c r="A41" s="19" t="n">
        <f aca="false">'Detalle Diario 2026'!A41</f>
        <v>46078</v>
      </c>
      <c r="B41" s="6" t="n">
        <f aca="false">'Detalle Diario 2026'!H41</f>
        <v>191</v>
      </c>
      <c r="C41" s="23" t="str">
        <f aca="false">IFERROR(VLOOKUP(A41,'datos reales bcra'!a:h,8,FALSE()),"")</f>
        <v/>
      </c>
      <c r="D41" s="6" t="str">
        <f aca="false">IFERROR(B41-C41,"")</f>
        <v/>
      </c>
      <c r="E41" s="7" t="str">
        <f aca="false">IFERROR(D41/C41,"")</f>
        <v/>
      </c>
      <c r="F41" s="8" t="str">
        <f aca="false">IF(C41="","falta dato real",IF(ABS(E41)&lt;0.05,"OK",IF(ABS(E41)&lt;0.2,"revisar","discrepancia")))</f>
        <v>falta dato real</v>
      </c>
    </row>
    <row r="42" customFormat="false" ht="15" hidden="false" customHeight="false" outlineLevel="0" collapsed="false">
      <c r="A42" s="19" t="n">
        <f aca="false">'Detalle Diario 2026'!A42</f>
        <v>46079</v>
      </c>
      <c r="B42" s="6" t="n">
        <f aca="false">'Detalle Diario 2026'!H42</f>
        <v>67</v>
      </c>
      <c r="C42" s="23" t="str">
        <f aca="false">IFERROR(VLOOKUP(A42,'datos reales bcra'!a:h,8,FALSE()),"")</f>
        <v/>
      </c>
      <c r="D42" s="6" t="str">
        <f aca="false">IFERROR(B42-C42,"")</f>
        <v/>
      </c>
      <c r="E42" s="7" t="str">
        <f aca="false">IFERROR(D42/C42,"")</f>
        <v/>
      </c>
      <c r="F42" s="8" t="str">
        <f aca="false">IF(C42="","falta dato real",IF(ABS(E42)&lt;0.05,"OK",IF(ABS(E42)&lt;0.2,"revisar","discrepancia")))</f>
        <v>falta dato real</v>
      </c>
    </row>
    <row r="43" customFormat="false" ht="15" hidden="false" customHeight="false" outlineLevel="0" collapsed="false">
      <c r="A43" s="19" t="n">
        <f aca="false">'Detalle Diario 2026'!A43</f>
        <v>46080</v>
      </c>
      <c r="B43" s="6" t="n">
        <f aca="false">'Detalle Diario 2026'!H43</f>
        <v>128</v>
      </c>
      <c r="C43" s="23" t="str">
        <f aca="false">IFERROR(VLOOKUP(A43,'datos reales bcra'!a:h,8,FALSE()),"")</f>
        <v/>
      </c>
      <c r="D43" s="6" t="str">
        <f aca="false">IFERROR(B43-C43,"")</f>
        <v/>
      </c>
      <c r="E43" s="7" t="str">
        <f aca="false">IFERROR(D43/C43,"")</f>
        <v/>
      </c>
      <c r="F43" s="8" t="str">
        <f aca="false">IF(C43="","falta dato real",IF(ABS(E43)&lt;0.05,"OK",IF(ABS(E43)&lt;0.2,"revisar","discrepancia")))</f>
        <v>falta dato real</v>
      </c>
    </row>
    <row r="44" customFormat="false" ht="15" hidden="false" customHeight="false" outlineLevel="0" collapsed="false">
      <c r="A44" s="19" t="n">
        <f aca="false">'Detalle Diario 2026'!A44</f>
        <v>46083</v>
      </c>
      <c r="B44" s="6" t="n">
        <f aca="false">'Detalle Diario 2026'!H44</f>
        <v>76</v>
      </c>
      <c r="C44" s="23" t="str">
        <f aca="false">IFERROR(VLOOKUP(A44,'datos reales bcra'!a:h,8,FALSE()),"")</f>
        <v/>
      </c>
      <c r="D44" s="6" t="str">
        <f aca="false">IFERROR(B44-C44,"")</f>
        <v/>
      </c>
      <c r="E44" s="7" t="str">
        <f aca="false">IFERROR(D44/C44,"")</f>
        <v/>
      </c>
      <c r="F44" s="8" t="str">
        <f aca="false">IF(C44="","falta dato real",IF(ABS(E44)&lt;0.05,"OK",IF(ABS(E44)&lt;0.2,"revisar","discrepancia")))</f>
        <v>falta dato real</v>
      </c>
    </row>
    <row r="45" customFormat="false" ht="15" hidden="false" customHeight="false" outlineLevel="0" collapsed="false">
      <c r="A45" s="19" t="n">
        <f aca="false">'Detalle Diario 2026'!A45</f>
        <v>46084</v>
      </c>
      <c r="B45" s="6" t="n">
        <f aca="false">'Detalle Diario 2026'!H45</f>
        <v>27</v>
      </c>
      <c r="C45" s="23" t="str">
        <f aca="false">IFERROR(VLOOKUP(A45,'datos reales bcra'!a:h,8,FALSE()),"")</f>
        <v/>
      </c>
      <c r="D45" s="6" t="str">
        <f aca="false">IFERROR(B45-C45,"")</f>
        <v/>
      </c>
      <c r="E45" s="7" t="str">
        <f aca="false">IFERROR(D45/C45,"")</f>
        <v/>
      </c>
      <c r="F45" s="8" t="str">
        <f aca="false">IF(C45="","falta dato real",IF(ABS(E45)&lt;0.05,"OK",IF(ABS(E45)&lt;0.2,"revisar","discrepancia")))</f>
        <v>falta dato real</v>
      </c>
    </row>
    <row r="46" customFormat="false" ht="15" hidden="false" customHeight="false" outlineLevel="0" collapsed="false">
      <c r="A46" s="19" t="n">
        <f aca="false">'Detalle Diario 2026'!A46</f>
        <v>46085</v>
      </c>
      <c r="B46" s="6" t="n">
        <f aca="false">'Detalle Diario 2026'!H46</f>
        <v>57</v>
      </c>
      <c r="C46" s="23" t="str">
        <f aca="false">IFERROR(VLOOKUP(A46,'datos reales bcra'!a:h,8,FALSE()),"")</f>
        <v/>
      </c>
      <c r="D46" s="6" t="str">
        <f aca="false">IFERROR(B46-C46,"")</f>
        <v/>
      </c>
      <c r="E46" s="7" t="str">
        <f aca="false">IFERROR(D46/C46,"")</f>
        <v/>
      </c>
      <c r="F46" s="8" t="str">
        <f aca="false">IF(C46="","falta dato real",IF(ABS(E46)&lt;0.05,"OK",IF(ABS(E46)&lt;0.2,"revisar","discrepancia")))</f>
        <v>falta dato real</v>
      </c>
    </row>
    <row r="47" customFormat="false" ht="15" hidden="false" customHeight="false" outlineLevel="0" collapsed="false">
      <c r="A47" s="19" t="n">
        <f aca="false">'Detalle Diario 2026'!A47</f>
        <v>46086</v>
      </c>
      <c r="B47" s="6" t="n">
        <f aca="false">'Detalle Diario 2026'!H47</f>
        <v>8</v>
      </c>
      <c r="C47" s="23" t="str">
        <f aca="false">IFERROR(VLOOKUP(A47,'datos reales bcra'!a:h,8,FALSE()),"")</f>
        <v/>
      </c>
      <c r="D47" s="6" t="str">
        <f aca="false">IFERROR(B47-C47,"")</f>
        <v/>
      </c>
      <c r="E47" s="7" t="str">
        <f aca="false">IFERROR(D47/C47,"")</f>
        <v/>
      </c>
      <c r="F47" s="8" t="str">
        <f aca="false">IF(C47="","falta dato real",IF(ABS(E47)&lt;0.05,"OK",IF(ABS(E47)&lt;0.2,"revisar","discrepancia")))</f>
        <v>falta dato real</v>
      </c>
    </row>
    <row r="48" customFormat="false" ht="15" hidden="false" customHeight="false" outlineLevel="0" collapsed="false">
      <c r="A48" s="19" t="n">
        <f aca="false">'Detalle Diario 2026'!A48</f>
        <v>46087</v>
      </c>
      <c r="B48" s="6" t="n">
        <f aca="false">'Detalle Diario 2026'!H48</f>
        <v>113</v>
      </c>
      <c r="C48" s="23" t="str">
        <f aca="false">IFERROR(VLOOKUP(A48,'datos reales bcra'!a:h,8,FALSE()),"")</f>
        <v/>
      </c>
      <c r="D48" s="6" t="str">
        <f aca="false">IFERROR(B48-C48,"")</f>
        <v/>
      </c>
      <c r="E48" s="7" t="str">
        <f aca="false">IFERROR(D48/C48,"")</f>
        <v/>
      </c>
      <c r="F48" s="8" t="str">
        <f aca="false">IF(C48="","falta dato real",IF(ABS(E48)&lt;0.05,"OK",IF(ABS(E48)&lt;0.2,"revisar","discrepancia")))</f>
        <v>falta dato real</v>
      </c>
    </row>
    <row r="49" customFormat="false" ht="15" hidden="false" customHeight="false" outlineLevel="0" collapsed="false">
      <c r="A49" s="19" t="n">
        <f aca="false">'Detalle Diario 2026'!A49</f>
        <v>46090</v>
      </c>
      <c r="B49" s="6" t="n">
        <f aca="false">'Detalle Diario 2026'!H49</f>
        <v>111</v>
      </c>
      <c r="C49" s="23" t="str">
        <f aca="false">IFERROR(VLOOKUP(A49,'datos reales bcra'!a:h,8,FALSE()),"")</f>
        <v/>
      </c>
      <c r="D49" s="6" t="str">
        <f aca="false">IFERROR(B49-C49,"")</f>
        <v/>
      </c>
      <c r="E49" s="7" t="str">
        <f aca="false">IFERROR(D49/C49,"")</f>
        <v/>
      </c>
      <c r="F49" s="8" t="str">
        <f aca="false">IF(C49="","falta dato real",IF(ABS(E49)&lt;0.05,"OK",IF(ABS(E49)&lt;0.2,"revisar","discrepancia")))</f>
        <v>falta dato real</v>
      </c>
    </row>
    <row r="50" customFormat="false" ht="15" hidden="false" customHeight="false" outlineLevel="0" collapsed="false">
      <c r="A50" s="19" t="n">
        <f aca="false">'Detalle Diario 2026'!A50</f>
        <v>46091</v>
      </c>
      <c r="B50" s="6" t="n">
        <f aca="false">'Detalle Diario 2026'!H50</f>
        <v>125</v>
      </c>
      <c r="C50" s="23" t="str">
        <f aca="false">IFERROR(VLOOKUP(A50,'datos reales bcra'!a:h,8,FALSE()),"")</f>
        <v/>
      </c>
      <c r="D50" s="6" t="str">
        <f aca="false">IFERROR(B50-C50,"")</f>
        <v/>
      </c>
      <c r="E50" s="7" t="str">
        <f aca="false">IFERROR(D50/C50,"")</f>
        <v/>
      </c>
      <c r="F50" s="8" t="str">
        <f aca="false">IF(C50="","falta dato real",IF(ABS(E50)&lt;0.05,"OK",IF(ABS(E50)&lt;0.2,"revisar","discrepancia")))</f>
        <v>falta dato real</v>
      </c>
    </row>
    <row r="51" customFormat="false" ht="15" hidden="false" customHeight="false" outlineLevel="0" collapsed="false">
      <c r="A51" s="19" t="n">
        <f aca="false">'Detalle Diario 2026'!A51</f>
        <v>46092</v>
      </c>
      <c r="B51" s="6" t="n">
        <f aca="false">'Detalle Diario 2026'!H51</f>
        <v>56</v>
      </c>
      <c r="C51" s="23" t="str">
        <f aca="false">IFERROR(VLOOKUP(A51,'datos reales bcra'!a:h,8,FALSE()),"")</f>
        <v/>
      </c>
      <c r="D51" s="6" t="str">
        <f aca="false">IFERROR(B51-C51,"")</f>
        <v/>
      </c>
      <c r="E51" s="7" t="str">
        <f aca="false">IFERROR(D51/C51,"")</f>
        <v/>
      </c>
      <c r="F51" s="8" t="str">
        <f aca="false">IF(C51="","falta dato real",IF(ABS(E51)&lt;0.05,"OK",IF(ABS(E51)&lt;0.2,"revisar","discrepancia")))</f>
        <v>falta dato real</v>
      </c>
    </row>
    <row r="52" customFormat="false" ht="15" hidden="false" customHeight="false" outlineLevel="0" collapsed="false">
      <c r="A52" s="19" t="n">
        <f aca="false">'Detalle Diario 2026'!A52</f>
        <v>46093</v>
      </c>
      <c r="B52" s="6" t="n">
        <f aca="false">'Detalle Diario 2026'!H52</f>
        <v>28</v>
      </c>
      <c r="C52" s="23" t="str">
        <f aca="false">IFERROR(VLOOKUP(A52,'datos reales bcra'!a:h,8,FALSE()),"")</f>
        <v/>
      </c>
      <c r="D52" s="6" t="str">
        <f aca="false">IFERROR(B52-C52,"")</f>
        <v/>
      </c>
      <c r="E52" s="7" t="str">
        <f aca="false">IFERROR(D52/C52,"")</f>
        <v/>
      </c>
      <c r="F52" s="8" t="str">
        <f aca="false">IF(C52="","falta dato real",IF(ABS(E52)&lt;0.05,"OK",IF(ABS(E52)&lt;0.2,"revisar","discrepancia")))</f>
        <v>falta dato real</v>
      </c>
    </row>
    <row r="53" customFormat="false" ht="15" hidden="false" customHeight="false" outlineLevel="0" collapsed="false">
      <c r="A53" s="19" t="n">
        <f aca="false">'Detalle Diario 2026'!A53</f>
        <v>46094</v>
      </c>
      <c r="B53" s="6" t="n">
        <f aca="false">'Detalle Diario 2026'!H53</f>
        <v>82</v>
      </c>
      <c r="C53" s="23" t="str">
        <f aca="false">IFERROR(VLOOKUP(A53,'datos reales bcra'!a:h,8,FALSE()),"")</f>
        <v/>
      </c>
      <c r="D53" s="6" t="str">
        <f aca="false">IFERROR(B53-C53,"")</f>
        <v/>
      </c>
      <c r="E53" s="7" t="str">
        <f aca="false">IFERROR(D53/C53,"")</f>
        <v/>
      </c>
      <c r="F53" s="8" t="str">
        <f aca="false">IF(C53="","falta dato real",IF(ABS(E53)&lt;0.05,"OK",IF(ABS(E53)&lt;0.2,"revisar","discrepancia")))</f>
        <v>falta dato real</v>
      </c>
    </row>
    <row r="54" customFormat="false" ht="15" hidden="false" customHeight="false" outlineLevel="0" collapsed="false">
      <c r="A54" s="19" t="n">
        <f aca="false">'Detalle Diario 2026'!A54</f>
        <v>46097</v>
      </c>
      <c r="B54" s="6" t="n">
        <f aca="false">'Detalle Diario 2026'!H54</f>
        <v>73</v>
      </c>
      <c r="C54" s="23" t="str">
        <f aca="false">IFERROR(VLOOKUP(A54,'datos reales bcra'!a:h,8,FALSE()),"")</f>
        <v/>
      </c>
      <c r="D54" s="6" t="str">
        <f aca="false">IFERROR(B54-C54,"")</f>
        <v/>
      </c>
      <c r="E54" s="7" t="str">
        <f aca="false">IFERROR(D54/C54,"")</f>
        <v/>
      </c>
      <c r="F54" s="8" t="str">
        <f aca="false">IF(C54="","falta dato real",IF(ABS(E54)&lt;0.05,"OK",IF(ABS(E54)&lt;0.2,"revisar","discrepancia")))</f>
        <v>falta dato real</v>
      </c>
    </row>
    <row r="55" customFormat="false" ht="15" hidden="false" customHeight="false" outlineLevel="0" collapsed="false">
      <c r="A55" s="19" t="n">
        <f aca="false">'Detalle Diario 2026'!A55</f>
        <v>46098</v>
      </c>
      <c r="B55" s="6" t="n">
        <f aca="false">'Detalle Diario 2026'!H55</f>
        <v>53</v>
      </c>
      <c r="C55" s="23" t="str">
        <f aca="false">IFERROR(VLOOKUP(A55,'datos reales bcra'!a:h,8,FALSE()),"")</f>
        <v/>
      </c>
      <c r="D55" s="6" t="str">
        <f aca="false">IFERROR(B55-C55,"")</f>
        <v/>
      </c>
      <c r="E55" s="7" t="str">
        <f aca="false">IFERROR(D55/C55,"")</f>
        <v/>
      </c>
      <c r="F55" s="8" t="str">
        <f aca="false">IF(C55="","falta dato real",IF(ABS(E55)&lt;0.05,"OK",IF(ABS(E55)&lt;0.2,"revisar","discrepancia")))</f>
        <v>falta dato real</v>
      </c>
    </row>
    <row r="56" customFormat="false" ht="15" hidden="false" customHeight="false" outlineLevel="0" collapsed="false">
      <c r="A56" s="19" t="n">
        <f aca="false">'Detalle Diario 2026'!A56</f>
        <v>46099</v>
      </c>
      <c r="B56" s="6" t="n">
        <f aca="false">'Detalle Diario 2026'!H56</f>
        <v>48</v>
      </c>
      <c r="C56" s="23" t="str">
        <f aca="false">IFERROR(VLOOKUP(A56,'datos reales bcra'!a:h,8,FALSE()),"")</f>
        <v/>
      </c>
      <c r="D56" s="6" t="str">
        <f aca="false">IFERROR(B56-C56,"")</f>
        <v/>
      </c>
      <c r="E56" s="7" t="str">
        <f aca="false">IFERROR(D56/C56,"")</f>
        <v/>
      </c>
      <c r="F56" s="8" t="str">
        <f aca="false">IF(C56="","falta dato real",IF(ABS(E56)&lt;0.05,"OK",IF(ABS(E56)&lt;0.2,"revisar","discrepancia")))</f>
        <v>falta dato real</v>
      </c>
    </row>
    <row r="57" customFormat="false" ht="15" hidden="false" customHeight="false" outlineLevel="0" collapsed="false">
      <c r="A57" s="19" t="n">
        <f aca="false">'Detalle Diario 2026'!A57</f>
        <v>46100</v>
      </c>
      <c r="B57" s="6" t="n">
        <f aca="false">'Detalle Diario 2026'!H57</f>
        <v>91</v>
      </c>
      <c r="C57" s="23" t="str">
        <f aca="false">IFERROR(VLOOKUP(A57,'datos reales bcra'!a:h,8,FALSE()),"")</f>
        <v/>
      </c>
      <c r="D57" s="6" t="str">
        <f aca="false">IFERROR(B57-C57,"")</f>
        <v/>
      </c>
      <c r="E57" s="7" t="str">
        <f aca="false">IFERROR(D57/C57,"")</f>
        <v/>
      </c>
      <c r="F57" s="8" t="str">
        <f aca="false">IF(C57="","falta dato real",IF(ABS(E57)&lt;0.05,"OK",IF(ABS(E57)&lt;0.2,"revisar","discrepancia")))</f>
        <v>falta dato real</v>
      </c>
    </row>
    <row r="58" customFormat="false" ht="15" hidden="false" customHeight="false" outlineLevel="0" collapsed="false">
      <c r="A58" s="19" t="n">
        <f aca="false">'Detalle Diario 2026'!A58</f>
        <v>46101</v>
      </c>
      <c r="B58" s="6" t="n">
        <f aca="false">'Detalle Diario 2026'!H58</f>
        <v>138</v>
      </c>
      <c r="C58" s="23" t="str">
        <f aca="false">IFERROR(VLOOKUP(A58,'datos reales bcra'!a:h,8,FALSE()),"")</f>
        <v/>
      </c>
      <c r="D58" s="6" t="str">
        <f aca="false">IFERROR(B58-C58,"")</f>
        <v/>
      </c>
      <c r="E58" s="7" t="str">
        <f aca="false">IFERROR(D58/C58,"")</f>
        <v/>
      </c>
      <c r="F58" s="8" t="str">
        <f aca="false">IF(C58="","falta dato real",IF(ABS(E58)&lt;0.05,"OK",IF(ABS(E58)&lt;0.2,"revisar","discrepancia")))</f>
        <v>falta dato real</v>
      </c>
    </row>
    <row r="59" customFormat="false" ht="15" hidden="false" customHeight="false" outlineLevel="0" collapsed="false">
      <c r="A59" s="19" t="n">
        <f aca="false">'Detalle Diario 2026'!A59</f>
        <v>46104</v>
      </c>
      <c r="B59" s="6" t="n">
        <f aca="false">'Detalle Diario 2026'!H59</f>
        <v>76</v>
      </c>
      <c r="C59" s="23" t="str">
        <f aca="false">IFERROR(VLOOKUP(A59,'datos reales bcra'!a:h,8,FALSE()),"")</f>
        <v/>
      </c>
      <c r="D59" s="6" t="str">
        <f aca="false">IFERROR(B59-C59,"")</f>
        <v/>
      </c>
      <c r="E59" s="7" t="str">
        <f aca="false">IFERROR(D59/C59,"")</f>
        <v/>
      </c>
      <c r="F59" s="8" t="str">
        <f aca="false">IF(C59="","falta dato real",IF(ABS(E59)&lt;0.05,"OK",IF(ABS(E59)&lt;0.2,"revisar","discrepancia")))</f>
        <v>falta dato real</v>
      </c>
    </row>
    <row r="60" customFormat="false" ht="15" hidden="false" customHeight="false" outlineLevel="0" collapsed="false">
      <c r="A60" s="19" t="n">
        <f aca="false">'Detalle Diario 2026'!A60</f>
        <v>46106</v>
      </c>
      <c r="B60" s="6" t="n">
        <f aca="false">'Detalle Diario 2026'!H60</f>
        <v>190</v>
      </c>
      <c r="C60" s="23" t="str">
        <f aca="false">IFERROR(VLOOKUP(A60,'datos reales bcra'!a:h,8,FALSE()),"")</f>
        <v/>
      </c>
      <c r="D60" s="6" t="str">
        <f aca="false">IFERROR(B60-C60,"")</f>
        <v/>
      </c>
      <c r="E60" s="7" t="str">
        <f aca="false">IFERROR(D60/C60,"")</f>
        <v/>
      </c>
      <c r="F60" s="8" t="str">
        <f aca="false">IF(C60="","falta dato real",IF(ABS(E60)&lt;0.05,"OK",IF(ABS(E60)&lt;0.2,"revisar","discrepancia")))</f>
        <v>falta dato real</v>
      </c>
    </row>
    <row r="61" customFormat="false" ht="15" hidden="false" customHeight="false" outlineLevel="0" collapsed="false">
      <c r="A61" s="19" t="n">
        <f aca="false">'Detalle Diario 2026'!A61</f>
        <v>46107</v>
      </c>
      <c r="B61" s="6" t="n">
        <f aca="false">'Detalle Diario 2026'!H61</f>
        <v>77</v>
      </c>
      <c r="C61" s="23" t="str">
        <f aca="false">IFERROR(VLOOKUP(A61,'datos reales bcra'!a:h,8,FALSE()),"")</f>
        <v/>
      </c>
      <c r="D61" s="6" t="str">
        <f aca="false">IFERROR(B61-C61,"")</f>
        <v/>
      </c>
      <c r="E61" s="7" t="str">
        <f aca="false">IFERROR(D61/C61,"")</f>
        <v/>
      </c>
      <c r="F61" s="8" t="str">
        <f aca="false">IF(C61="","falta dato real",IF(ABS(E61)&lt;0.05,"OK",IF(ABS(E61)&lt;0.2,"revisar","discrepancia")))</f>
        <v>falta dato real</v>
      </c>
    </row>
    <row r="62" customFormat="false" ht="15" hidden="false" customHeight="false" outlineLevel="0" collapsed="false">
      <c r="A62" s="19" t="n">
        <f aca="false">'Detalle Diario 2026'!A62</f>
        <v>46108</v>
      </c>
      <c r="B62" s="6" t="n">
        <f aca="false">'Detalle Diario 2026'!H62</f>
        <v>60</v>
      </c>
      <c r="C62" s="23" t="str">
        <f aca="false">IFERROR(VLOOKUP(A62,'datos reales bcra'!a:h,8,FALSE()),"")</f>
        <v/>
      </c>
      <c r="D62" s="6" t="str">
        <f aca="false">IFERROR(B62-C62,"")</f>
        <v/>
      </c>
      <c r="E62" s="7" t="str">
        <f aca="false">IFERROR(D62/C62,"")</f>
        <v/>
      </c>
      <c r="F62" s="8" t="str">
        <f aca="false">IF(C62="","falta dato real",IF(ABS(E62)&lt;0.05,"OK",IF(ABS(E62)&lt;0.2,"revisar","discrepancia")))</f>
        <v>falta dato real</v>
      </c>
    </row>
    <row r="63" customFormat="false" ht="15" hidden="false" customHeight="false" outlineLevel="0" collapsed="false">
      <c r="A63" s="19" t="n">
        <f aca="false">'Detalle Diario 2026'!A63</f>
        <v>46111</v>
      </c>
      <c r="B63" s="6" t="n">
        <f aca="false">'Detalle Diario 2026'!H63</f>
        <v>55</v>
      </c>
      <c r="C63" s="23" t="str">
        <f aca="false">IFERROR(VLOOKUP(A63,'datos reales bcra'!a:h,8,FALSE()),"")</f>
        <v/>
      </c>
      <c r="D63" s="6" t="str">
        <f aca="false">IFERROR(B63-C63,"")</f>
        <v/>
      </c>
      <c r="E63" s="7" t="str">
        <f aca="false">IFERROR(D63/C63,"")</f>
        <v/>
      </c>
      <c r="F63" s="8" t="str">
        <f aca="false">IF(C63="","falta dato real",IF(ABS(E63)&lt;0.05,"OK",IF(ABS(E63)&lt;0.2,"revisar","discrepancia")))</f>
        <v>falta dato real</v>
      </c>
    </row>
    <row r="64" customFormat="false" ht="15" hidden="false" customHeight="false" outlineLevel="0" collapsed="false">
      <c r="A64" s="19" t="n">
        <f aca="false">'Detalle Diario 2026'!A64</f>
        <v>46112</v>
      </c>
      <c r="B64" s="6" t="n">
        <f aca="false">'Detalle Diario 2026'!H64</f>
        <v>156</v>
      </c>
      <c r="C64" s="23" t="str">
        <f aca="false">IFERROR(VLOOKUP(A64,'datos reales bcra'!a:h,8,FALSE()),"")</f>
        <v/>
      </c>
      <c r="D64" s="6" t="str">
        <f aca="false">IFERROR(B64-C64,"")</f>
        <v/>
      </c>
      <c r="E64" s="7" t="str">
        <f aca="false">IFERROR(D64/C64,"")</f>
        <v/>
      </c>
      <c r="F64" s="8" t="str">
        <f aca="false">IF(C64="","falta dato real",IF(ABS(E64)&lt;0.05,"OK",IF(ABS(E64)&lt;0.2,"revisar","discrepancia")))</f>
        <v>falta dato real</v>
      </c>
    </row>
    <row r="65" customFormat="false" ht="15" hidden="false" customHeight="false" outlineLevel="0" collapsed="false">
      <c r="A65" s="19" t="n">
        <f aca="false">'Detalle Diario 2026'!A65</f>
        <v>46113</v>
      </c>
      <c r="B65" s="6" t="n">
        <f aca="false">'Detalle Diario 2026'!H65</f>
        <v>79</v>
      </c>
      <c r="C65" s="23" t="str">
        <f aca="false">IFERROR(VLOOKUP(A65,'datos reales bcra'!a:h,8,FALSE()),"")</f>
        <v/>
      </c>
      <c r="D65" s="6" t="str">
        <f aca="false">IFERROR(B65-C65,"")</f>
        <v/>
      </c>
      <c r="E65" s="7" t="str">
        <f aca="false">IFERROR(D65/C65,"")</f>
        <v/>
      </c>
      <c r="F65" s="8" t="str">
        <f aca="false">IF(C65="","falta dato real",IF(ABS(E65)&lt;0.05,"OK",IF(ABS(E65)&lt;0.2,"revisar","discrepancia")))</f>
        <v>falta dato real</v>
      </c>
    </row>
    <row r="66" customFormat="false" ht="15" hidden="false" customHeight="false" outlineLevel="0" collapsed="false">
      <c r="A66" s="19" t="n">
        <f aca="false">'Detalle Diario 2026'!A66</f>
        <v>46118</v>
      </c>
      <c r="B66" s="6" t="n">
        <f aca="false">'Detalle Diario 2026'!H66</f>
        <v>0</v>
      </c>
      <c r="C66" s="23" t="str">
        <f aca="false">IFERROR(VLOOKUP(A66,'datos reales bcra'!a:h,8,FALSE()),"")</f>
        <v/>
      </c>
      <c r="D66" s="6" t="str">
        <f aca="false">IFERROR(B66-C66,"")</f>
        <v/>
      </c>
      <c r="E66" s="7" t="str">
        <f aca="false">IFERROR(D66/C66,"")</f>
        <v/>
      </c>
      <c r="F66" s="8" t="str">
        <f aca="false">IF(C66="","falta dato real",IF(ABS(E66)&lt;0.05,"OK",IF(ABS(E66)&lt;0.2,"revisar","discrepancia")))</f>
        <v>falta dato real</v>
      </c>
    </row>
    <row r="67" customFormat="false" ht="15" hidden="false" customHeight="false" outlineLevel="0" collapsed="false">
      <c r="A67" s="19" t="n">
        <f aca="false">'Detalle Diario 2026'!A67</f>
        <v>46119</v>
      </c>
      <c r="B67" s="6" t="n">
        <f aca="false">'Detalle Diario 2026'!H67</f>
        <v>144</v>
      </c>
      <c r="C67" s="23" t="str">
        <f aca="false">IFERROR(VLOOKUP(A67,'datos reales bcra'!a:h,8,FALSE()),"")</f>
        <v/>
      </c>
      <c r="D67" s="6" t="str">
        <f aca="false">IFERROR(B67-C67,"")</f>
        <v/>
      </c>
      <c r="E67" s="7" t="str">
        <f aca="false">IFERROR(D67/C67,"")</f>
        <v/>
      </c>
      <c r="F67" s="8" t="str">
        <f aca="false">IF(C67="","falta dato real",IF(ABS(E67)&lt;0.05,"OK",IF(ABS(E67)&lt;0.2,"revisar","discrepancia")))</f>
        <v>falta dato real</v>
      </c>
    </row>
    <row r="68" customFormat="false" ht="15" hidden="false" customHeight="false" outlineLevel="0" collapsed="false">
      <c r="A68" s="19" t="n">
        <f aca="false">'Detalle Diario 2026'!A68</f>
        <v>46120</v>
      </c>
      <c r="B68" s="6" t="n">
        <f aca="false">'Detalle Diario 2026'!H68</f>
        <v>61</v>
      </c>
      <c r="C68" s="23" t="str">
        <f aca="false">IFERROR(VLOOKUP(A68,'datos reales bcra'!a:h,8,FALSE()),"")</f>
        <v/>
      </c>
      <c r="D68" s="6" t="str">
        <f aca="false">IFERROR(B68-C68,"")</f>
        <v/>
      </c>
      <c r="E68" s="7" t="str">
        <f aca="false">IFERROR(D68/C68,"")</f>
        <v/>
      </c>
      <c r="F68" s="8" t="str">
        <f aca="false">IF(C68="","falta dato real",IF(ABS(E68)&lt;0.05,"OK",IF(ABS(E68)&lt;0.2,"revisar","discrepancia")))</f>
        <v>falta dato real</v>
      </c>
    </row>
    <row r="69" customFormat="false" ht="15" hidden="false" customHeight="false" outlineLevel="0" collapsed="false">
      <c r="A69" s="19" t="n">
        <f aca="false">'Detalle Diario 2026'!A69</f>
        <v>46121</v>
      </c>
      <c r="B69" s="6" t="n">
        <f aca="false">'Detalle Diario 2026'!H69</f>
        <v>12</v>
      </c>
      <c r="C69" s="23" t="str">
        <f aca="false">IFERROR(VLOOKUP(A69,'datos reales bcra'!a:h,8,FALSE()),"")</f>
        <v/>
      </c>
      <c r="D69" s="6" t="str">
        <f aca="false">IFERROR(B69-C69,"")</f>
        <v/>
      </c>
      <c r="E69" s="7" t="str">
        <f aca="false">IFERROR(D69/C69,"")</f>
        <v/>
      </c>
      <c r="F69" s="8" t="str">
        <f aca="false">IF(C69="","falta dato real",IF(ABS(E69)&lt;0.05,"OK",IF(ABS(E69)&lt;0.2,"revisar","discrepancia")))</f>
        <v>falta dato real</v>
      </c>
    </row>
    <row r="70" customFormat="false" ht="15" hidden="false" customHeight="false" outlineLevel="0" collapsed="false">
      <c r="A70" s="19" t="n">
        <f aca="false">'Detalle Diario 2026'!A70</f>
        <v>46122</v>
      </c>
      <c r="B70" s="6" t="n">
        <f aca="false">'Detalle Diario 2026'!H70</f>
        <v>61</v>
      </c>
      <c r="C70" s="23" t="str">
        <f aca="false">IFERROR(VLOOKUP(A70,'datos reales bcra'!a:h,8,FALSE()),"")</f>
        <v/>
      </c>
      <c r="D70" s="6" t="str">
        <f aca="false">IFERROR(B70-C70,"")</f>
        <v/>
      </c>
      <c r="E70" s="7" t="str">
        <f aca="false">IFERROR(D70/C70,"")</f>
        <v/>
      </c>
      <c r="F70" s="8" t="str">
        <f aca="false">IF(C70="","falta dato real",IF(ABS(E70)&lt;0.05,"OK",IF(ABS(E70)&lt;0.2,"revisar","discrepancia")))</f>
        <v>falta dato real</v>
      </c>
    </row>
    <row r="71" customFormat="false" ht="15" hidden="false" customHeight="false" outlineLevel="0" collapsed="false">
      <c r="A71" s="19" t="n">
        <f aca="false">'Detalle Diario 2026'!A71</f>
        <v>46125</v>
      </c>
      <c r="B71" s="6" t="n">
        <f aca="false">'Detalle Diario 2026'!H71</f>
        <v>-4</v>
      </c>
      <c r="C71" s="23" t="str">
        <f aca="false">IFERROR(VLOOKUP(A71,'datos reales bcra'!a:h,8,FALSE()),"")</f>
        <v/>
      </c>
      <c r="D71" s="6" t="str">
        <f aca="false">IFERROR(B71-C71,"")</f>
        <v/>
      </c>
      <c r="E71" s="7" t="str">
        <f aca="false">IFERROR(D71/C71,"")</f>
        <v/>
      </c>
      <c r="F71" s="8" t="str">
        <f aca="false">IF(C71="","falta dato real",IF(ABS(E71)&lt;0.05,"OK",IF(ABS(E71)&lt;0.2,"revisar","discrepancia")))</f>
        <v>falta dato real</v>
      </c>
    </row>
    <row r="72" customFormat="false" ht="15" hidden="false" customHeight="false" outlineLevel="0" collapsed="false">
      <c r="A72" s="19" t="n">
        <f aca="false">'Detalle Diario 2026'!A72</f>
        <v>46126</v>
      </c>
      <c r="B72" s="6" t="n">
        <f aca="false">'Detalle Diario 2026'!H72</f>
        <v>93</v>
      </c>
      <c r="C72" s="23" t="str">
        <f aca="false">IFERROR(VLOOKUP(A72,'datos reales bcra'!a:h,8,FALSE()),"")</f>
        <v/>
      </c>
      <c r="D72" s="6" t="str">
        <f aca="false">IFERROR(B72-C72,"")</f>
        <v/>
      </c>
      <c r="E72" s="7" t="str">
        <f aca="false">IFERROR(D72/C72,"")</f>
        <v/>
      </c>
      <c r="F72" s="8" t="str">
        <f aca="false">IF(C72="","falta dato real",IF(ABS(E72)&lt;0.05,"OK",IF(ABS(E72)&lt;0.2,"revisar","discrepancia")))</f>
        <v>falta dato real</v>
      </c>
    </row>
    <row r="73" customFormat="false" ht="15" hidden="false" customHeight="false" outlineLevel="0" collapsed="false">
      <c r="A73" s="19" t="n">
        <f aca="false">'Detalle Diario 2026'!A73</f>
        <v>46127</v>
      </c>
      <c r="B73" s="6" t="n">
        <f aca="false">'Detalle Diario 2026'!H73</f>
        <v>76</v>
      </c>
      <c r="C73" s="23" t="str">
        <f aca="false">IFERROR(VLOOKUP(A73,'datos reales bcra'!a:h,8,FALSE()),"")</f>
        <v/>
      </c>
      <c r="D73" s="6" t="str">
        <f aca="false">IFERROR(B73-C73,"")</f>
        <v/>
      </c>
      <c r="E73" s="7" t="str">
        <f aca="false">IFERROR(D73/C73,"")</f>
        <v/>
      </c>
      <c r="F73" s="8" t="str">
        <f aca="false">IF(C73="","falta dato real",IF(ABS(E73)&lt;0.05,"OK",IF(ABS(E73)&lt;0.2,"revisar","discrepancia")))</f>
        <v>falta dato real</v>
      </c>
    </row>
    <row r="74" customFormat="false" ht="15" hidden="false" customHeight="false" outlineLevel="0" collapsed="false">
      <c r="A74" s="19" t="n">
        <f aca="false">'Detalle Diario 2026'!A74</f>
        <v>46128</v>
      </c>
      <c r="B74" s="6" t="n">
        <f aca="false">'Detalle Diario 2026'!H74</f>
        <v>72</v>
      </c>
      <c r="C74" s="23" t="str">
        <f aca="false">IFERROR(VLOOKUP(A74,'datos reales bcra'!a:h,8,FALSE()),"")</f>
        <v/>
      </c>
      <c r="D74" s="6" t="str">
        <f aca="false">IFERROR(B74-C74,"")</f>
        <v/>
      </c>
      <c r="E74" s="7" t="str">
        <f aca="false">IFERROR(D74/C74,"")</f>
        <v/>
      </c>
      <c r="F74" s="8" t="str">
        <f aca="false">IF(C74="","falta dato real",IF(ABS(E74)&lt;0.05,"OK",IF(ABS(E74)&lt;0.2,"revisar","discrepancia")))</f>
        <v>falta dato real</v>
      </c>
    </row>
    <row r="75" customFormat="false" ht="15" hidden="false" customHeight="false" outlineLevel="0" collapsed="false">
      <c r="A75" s="19" t="n">
        <f aca="false">'Detalle Diario 2026'!A75</f>
        <v>46129</v>
      </c>
      <c r="B75" s="6" t="n">
        <f aca="false">'Detalle Diario 2026'!H75</f>
        <v>141</v>
      </c>
      <c r="C75" s="23" t="str">
        <f aca="false">IFERROR(VLOOKUP(A75,'datos reales bcra'!a:h,8,FALSE()),"")</f>
        <v/>
      </c>
      <c r="D75" s="6" t="str">
        <f aca="false">IFERROR(B75-C75,"")</f>
        <v/>
      </c>
      <c r="E75" s="7" t="str">
        <f aca="false">IFERROR(D75/C75,"")</f>
        <v/>
      </c>
      <c r="F75" s="8" t="str">
        <f aca="false">IF(C75="","falta dato real",IF(ABS(E75)&lt;0.05,"OK",IF(ABS(E75)&lt;0.2,"revisar","discrepancia")))</f>
        <v>falta dato real</v>
      </c>
    </row>
    <row r="76" customFormat="false" ht="15" hidden="false" customHeight="false" outlineLevel="0" collapsed="false">
      <c r="A76" s="19" t="n">
        <f aca="false">'Detalle Diario 2026'!A76</f>
        <v>46132</v>
      </c>
      <c r="B76" s="6" t="n">
        <f aca="false">'Detalle Diario 2026'!H76</f>
        <v>151</v>
      </c>
      <c r="C76" s="23" t="str">
        <f aca="false">IFERROR(VLOOKUP(A76,'datos reales bcra'!a:h,8,FALSE()),"")</f>
        <v/>
      </c>
      <c r="D76" s="6" t="str">
        <f aca="false">IFERROR(B76-C76,"")</f>
        <v/>
      </c>
      <c r="E76" s="7" t="str">
        <f aca="false">IFERROR(D76/C76,"")</f>
        <v/>
      </c>
      <c r="F76" s="8" t="str">
        <f aca="false">IF(C76="","falta dato real",IF(ABS(E76)&lt;0.05,"OK",IF(ABS(E76)&lt;0.2,"revisar","discrepancia")))</f>
        <v>falta dato real</v>
      </c>
    </row>
    <row r="77" customFormat="false" ht="15" hidden="false" customHeight="false" outlineLevel="0" collapsed="false">
      <c r="A77" s="19" t="n">
        <f aca="false">'Detalle Diario 2026'!A77</f>
        <v>46133</v>
      </c>
      <c r="B77" s="6" t="n">
        <f aca="false">'Detalle Diario 2026'!H77</f>
        <v>18</v>
      </c>
      <c r="C77" s="23" t="str">
        <f aca="false">IFERROR(VLOOKUP(A77,'datos reales bcra'!a:h,8,FALSE()),"")</f>
        <v/>
      </c>
      <c r="D77" s="6" t="str">
        <f aca="false">IFERROR(B77-C77,"")</f>
        <v/>
      </c>
      <c r="E77" s="7" t="str">
        <f aca="false">IFERROR(D77/C77,"")</f>
        <v/>
      </c>
      <c r="F77" s="8" t="str">
        <f aca="false">IF(C77="","falta dato real",IF(ABS(E77)&lt;0.05,"OK",IF(ABS(E77)&lt;0.2,"revisar","discrepancia")))</f>
        <v>falta dato real</v>
      </c>
    </row>
    <row r="78" customFormat="false" ht="15" hidden="false" customHeight="false" outlineLevel="0" collapsed="false">
      <c r="A78" s="19" t="n">
        <f aca="false">'Detalle Diario 2026'!A78</f>
        <v>46134</v>
      </c>
      <c r="B78" s="6" t="n">
        <f aca="false">'Detalle Diario 2026'!H78</f>
        <v>74</v>
      </c>
      <c r="C78" s="23" t="str">
        <f aca="false">IFERROR(VLOOKUP(A78,'datos reales bcra'!a:h,8,FALSE()),"")</f>
        <v/>
      </c>
      <c r="D78" s="6" t="str">
        <f aca="false">IFERROR(B78-C78,"")</f>
        <v/>
      </c>
      <c r="E78" s="7" t="str">
        <f aca="false">IFERROR(D78/C78,"")</f>
        <v/>
      </c>
      <c r="F78" s="8" t="str">
        <f aca="false">IF(C78="","falta dato real",IF(ABS(E78)&lt;0.05,"OK",IF(ABS(E78)&lt;0.2,"revisar","discrepancia")))</f>
        <v>falta dato real</v>
      </c>
    </row>
    <row r="79" customFormat="false" ht="15" hidden="false" customHeight="false" outlineLevel="0" collapsed="false">
      <c r="A79" s="19" t="n">
        <f aca="false">'Detalle Diario 2026'!A79</f>
        <v>46135</v>
      </c>
      <c r="B79" s="6" t="n">
        <f aca="false">'Detalle Diario 2026'!H79</f>
        <v>37</v>
      </c>
      <c r="C79" s="23" t="str">
        <f aca="false">IFERROR(VLOOKUP(A79,'datos reales bcra'!a:h,8,FALSE()),"")</f>
        <v/>
      </c>
      <c r="D79" s="6" t="str">
        <f aca="false">IFERROR(B79-C79,"")</f>
        <v/>
      </c>
      <c r="E79" s="7" t="str">
        <f aca="false">IFERROR(D79/C79,"")</f>
        <v/>
      </c>
      <c r="F79" s="8" t="str">
        <f aca="false">IF(C79="","falta dato real",IF(ABS(E79)&lt;0.05,"OK",IF(ABS(E79)&lt;0.2,"revisar","discrepancia")))</f>
        <v>falta dato real</v>
      </c>
    </row>
    <row r="80" customFormat="false" ht="15" hidden="false" customHeight="false" outlineLevel="0" collapsed="false">
      <c r="A80" s="19" t="n">
        <f aca="false">'Detalle Diario 2026'!A80</f>
        <v>46136</v>
      </c>
      <c r="B80" s="6" t="n">
        <f aca="false">'Detalle Diario 2026'!H80</f>
        <v>119</v>
      </c>
      <c r="C80" s="23" t="str">
        <f aca="false">IFERROR(VLOOKUP(A80,'datos reales bcra'!a:h,8,FALSE()),"")</f>
        <v/>
      </c>
      <c r="D80" s="6" t="str">
        <f aca="false">IFERROR(B80-C80,"")</f>
        <v/>
      </c>
      <c r="E80" s="7" t="str">
        <f aca="false">IFERROR(D80/C80,"")</f>
        <v/>
      </c>
      <c r="F80" s="8" t="str">
        <f aca="false">IF(C80="","falta dato real",IF(ABS(E80)&lt;0.05,"OK",IF(ABS(E80)&lt;0.2,"revisar","discrepancia")))</f>
        <v>falta dato real</v>
      </c>
    </row>
    <row r="81" customFormat="false" ht="15" hidden="false" customHeight="false" outlineLevel="0" collapsed="false">
      <c r="A81" s="19" t="n">
        <f aca="false">'Detalle Diario 2026'!A81</f>
        <v>46139</v>
      </c>
      <c r="B81" s="6" t="n">
        <f aca="false">'Detalle Diario 2026'!H81</f>
        <v>-11</v>
      </c>
      <c r="C81" s="23" t="str">
        <f aca="false">IFERROR(VLOOKUP(A81,'datos reales bcra'!a:h,8,FALSE()),"")</f>
        <v/>
      </c>
      <c r="D81" s="6" t="str">
        <f aca="false">IFERROR(B81-C81,"")</f>
        <v/>
      </c>
      <c r="E81" s="7" t="str">
        <f aca="false">IFERROR(D81/C81,"")</f>
        <v/>
      </c>
      <c r="F81" s="8" t="str">
        <f aca="false">IF(C81="","falta dato real",IF(ABS(E81)&lt;0.05,"OK",IF(ABS(E81)&lt;0.2,"revisar","discrepancia")))</f>
        <v>falta dato real</v>
      </c>
    </row>
    <row r="82" customFormat="false" ht="15" hidden="false" customHeight="false" outlineLevel="0" collapsed="false">
      <c r="A82" s="19" t="n">
        <f aca="false">'Detalle Diario 2026'!A82</f>
        <v>46140</v>
      </c>
      <c r="B82" s="6" t="n">
        <f aca="false">'Detalle Diario 2026'!H82</f>
        <v>214</v>
      </c>
      <c r="C82" s="23" t="str">
        <f aca="false">IFERROR(VLOOKUP(A82,'datos reales bcra'!a:h,8,FALSE()),"")</f>
        <v/>
      </c>
      <c r="D82" s="6" t="str">
        <f aca="false">IFERROR(B82-C82,"")</f>
        <v/>
      </c>
      <c r="E82" s="7" t="str">
        <f aca="false">IFERROR(D82/C82,"")</f>
        <v/>
      </c>
      <c r="F82" s="8" t="str">
        <f aca="false">IF(C82="","falta dato real",IF(ABS(E82)&lt;0.05,"OK",IF(ABS(E82)&lt;0.2,"revisar","discrepancia")))</f>
        <v>falta dato real</v>
      </c>
    </row>
    <row r="83" customFormat="false" ht="15" hidden="false" customHeight="false" outlineLevel="0" collapsed="false">
      <c r="A83" s="19" t="n">
        <f aca="false">'Detalle Diario 2026'!A83</f>
        <v>46141</v>
      </c>
      <c r="B83" s="6" t="n">
        <f aca="false">'Detalle Diario 2026'!H83</f>
        <v>127</v>
      </c>
      <c r="C83" s="23" t="str">
        <f aca="false">IFERROR(VLOOKUP(A83,'datos reales bcra'!a:h,8,FALSE()),"")</f>
        <v/>
      </c>
      <c r="D83" s="6" t="str">
        <f aca="false">IFERROR(B83-C83,"")</f>
        <v/>
      </c>
      <c r="E83" s="7" t="str">
        <f aca="false">IFERROR(D83/C83,"")</f>
        <v/>
      </c>
      <c r="F83" s="8" t="str">
        <f aca="false">IF(C83="","falta dato real",IF(ABS(E83)&lt;0.05,"OK",IF(ABS(E83)&lt;0.2,"revisar","discrepancia")))</f>
        <v>falta dato real</v>
      </c>
    </row>
    <row r="84" customFormat="false" ht="15" hidden="false" customHeight="false" outlineLevel="0" collapsed="false">
      <c r="A84" s="19" t="n">
        <f aca="false">'Detalle Diario 2026'!A84</f>
        <v>46142</v>
      </c>
      <c r="B84" s="6" t="n">
        <f aca="false">'Detalle Diario 2026'!H84</f>
        <v>136</v>
      </c>
      <c r="C84" s="23" t="str">
        <f aca="false">IFERROR(VLOOKUP(A84,'datos reales bcra'!a:h,8,FALSE()),"")</f>
        <v/>
      </c>
      <c r="D84" s="6" t="str">
        <f aca="false">IFERROR(B84-C84,"")</f>
        <v/>
      </c>
      <c r="E84" s="7" t="str">
        <f aca="false">IFERROR(D84/C84,"")</f>
        <v/>
      </c>
      <c r="F84" s="8" t="str">
        <f aca="false">IF(C84="","falta dato real",IF(ABS(E84)&lt;0.05,"OK",IF(ABS(E84)&lt;0.2,"revisar","discrepancia")))</f>
        <v>falta dato real</v>
      </c>
    </row>
    <row r="85" customFormat="false" ht="15" hidden="false" customHeight="false" outlineLevel="0" collapsed="false">
      <c r="A85" s="19" t="n">
        <f aca="false">'Detalle Diario 2026'!A85</f>
        <v>46146</v>
      </c>
      <c r="B85" s="6" t="n">
        <f aca="false">'Detalle Diario 2026'!H85</f>
        <v>50</v>
      </c>
      <c r="C85" s="23" t="str">
        <f aca="false">IFERROR(VLOOKUP(A85,'datos reales bcra'!a:h,8,FALSE()),"")</f>
        <v/>
      </c>
      <c r="D85" s="6" t="str">
        <f aca="false">IFERROR(B85-C85,"")</f>
        <v/>
      </c>
      <c r="E85" s="7" t="str">
        <f aca="false">IFERROR(D85/C85,"")</f>
        <v/>
      </c>
      <c r="F85" s="8" t="str">
        <f aca="false">IF(C85="","falta dato real",IF(ABS(E85)&lt;0.05,"OK",IF(ABS(E85)&lt;0.2,"revisar","discrepancia")))</f>
        <v>falta dato real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74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75</v>
      </c>
      <c r="B2" s="2"/>
      <c r="C2" s="2"/>
      <c r="D2" s="2"/>
      <c r="E2" s="2"/>
      <c r="F2" s="2"/>
      <c r="G2" s="2"/>
    </row>
    <row r="4" customFormat="false" ht="23.85" hidden="false" customHeight="false" outlineLevel="0" collapsed="false">
      <c r="A4" s="3" t="s">
        <v>2</v>
      </c>
      <c r="B4" s="3" t="s">
        <v>76</v>
      </c>
      <c r="C4" s="3" t="s">
        <v>77</v>
      </c>
      <c r="D4" s="3" t="s">
        <v>78</v>
      </c>
      <c r="E4" s="3" t="s">
        <v>79</v>
      </c>
      <c r="F4" s="3" t="s">
        <v>80</v>
      </c>
      <c r="G4" s="3" t="s">
        <v>81</v>
      </c>
    </row>
    <row r="5" customFormat="false" ht="15" hidden="false" customHeight="false" outlineLevel="0" collapsed="false">
      <c r="A5" s="4" t="s">
        <v>10</v>
      </c>
      <c r="B5" s="5" t="n">
        <v>38800</v>
      </c>
      <c r="C5" s="5" t="n">
        <v>7000</v>
      </c>
      <c r="D5" s="5" t="n">
        <v>0</v>
      </c>
      <c r="E5" s="5" t="n">
        <v>0</v>
      </c>
      <c r="F5" s="5" t="n">
        <v>4000</v>
      </c>
      <c r="G5" s="24" t="n">
        <f aca="false">B5-C5-D5-E5-F5</f>
        <v>27800</v>
      </c>
    </row>
    <row r="6" customFormat="false" ht="15" hidden="false" customHeight="false" outlineLevel="0" collapsed="false">
      <c r="A6" s="9" t="s">
        <v>11</v>
      </c>
      <c r="B6" s="10" t="n">
        <v>55055</v>
      </c>
      <c r="C6" s="10" t="n">
        <v>11000</v>
      </c>
      <c r="D6" s="10" t="n">
        <v>0</v>
      </c>
      <c r="E6" s="10" t="n">
        <v>0</v>
      </c>
      <c r="F6" s="10" t="n">
        <v>0</v>
      </c>
      <c r="G6" s="25" t="n">
        <f aca="false">B6-C6-D6-E6-F6</f>
        <v>44055</v>
      </c>
    </row>
    <row r="7" customFormat="false" ht="15" hidden="false" customHeight="false" outlineLevel="0" collapsed="false">
      <c r="A7" s="4" t="s">
        <v>12</v>
      </c>
      <c r="B7" s="5" t="n">
        <v>65806</v>
      </c>
      <c r="C7" s="5" t="n">
        <v>12000</v>
      </c>
      <c r="D7" s="5" t="n">
        <v>9000</v>
      </c>
      <c r="E7" s="5" t="n">
        <v>0</v>
      </c>
      <c r="F7" s="5" t="n">
        <v>8000</v>
      </c>
      <c r="G7" s="24" t="n">
        <f aca="false">B7-C7-D7-E7-F7</f>
        <v>36806</v>
      </c>
    </row>
    <row r="8" customFormat="false" ht="15" hidden="false" customHeight="false" outlineLevel="0" collapsed="false">
      <c r="A8" s="9" t="s">
        <v>13</v>
      </c>
      <c r="B8" s="10" t="n">
        <v>44848</v>
      </c>
      <c r="C8" s="10" t="n">
        <v>12000</v>
      </c>
      <c r="D8" s="10" t="n">
        <v>18000</v>
      </c>
      <c r="E8" s="10" t="n">
        <v>0</v>
      </c>
      <c r="F8" s="10" t="n">
        <v>4000</v>
      </c>
      <c r="G8" s="25" t="n">
        <f aca="false">B8-C8-D8-E8-F8</f>
        <v>10848</v>
      </c>
    </row>
    <row r="9" customFormat="false" ht="15" hidden="false" customHeight="false" outlineLevel="0" collapsed="false">
      <c r="A9" s="4" t="s">
        <v>14</v>
      </c>
      <c r="B9" s="5" t="n">
        <v>39400</v>
      </c>
      <c r="C9" s="5" t="n">
        <v>11000</v>
      </c>
      <c r="D9" s="5" t="n">
        <v>18500</v>
      </c>
      <c r="E9" s="5" t="n">
        <v>0</v>
      </c>
      <c r="F9" s="5" t="n">
        <v>5500</v>
      </c>
      <c r="G9" s="24" t="n">
        <f aca="false">B9-C9-D9-E9-F9</f>
        <v>4400</v>
      </c>
    </row>
    <row r="10" customFormat="false" ht="15" hidden="false" customHeight="false" outlineLevel="0" collapsed="false">
      <c r="A10" s="9" t="s">
        <v>15</v>
      </c>
      <c r="B10" s="10" t="n">
        <v>39662</v>
      </c>
      <c r="C10" s="10" t="n">
        <v>11000</v>
      </c>
      <c r="D10" s="10" t="n">
        <v>18500</v>
      </c>
      <c r="E10" s="10" t="n">
        <v>0</v>
      </c>
      <c r="F10" s="10" t="n">
        <v>6000</v>
      </c>
      <c r="G10" s="25" t="n">
        <f aca="false">B10-C10-D10-E10-F10</f>
        <v>4162</v>
      </c>
    </row>
    <row r="11" customFormat="false" ht="15" hidden="false" customHeight="false" outlineLevel="0" collapsed="false">
      <c r="A11" s="4" t="s">
        <v>16</v>
      </c>
      <c r="B11" s="5" t="n">
        <v>44538</v>
      </c>
      <c r="C11" s="5" t="n">
        <v>14000</v>
      </c>
      <c r="D11" s="5" t="n">
        <v>18500</v>
      </c>
      <c r="E11" s="5" t="n">
        <v>0</v>
      </c>
      <c r="F11" s="5" t="n">
        <v>5000</v>
      </c>
      <c r="G11" s="24" t="n">
        <f aca="false">B11-C11-D11-E11-F11</f>
        <v>7038</v>
      </c>
    </row>
    <row r="12" customFormat="false" ht="15" hidden="false" customHeight="false" outlineLevel="0" collapsed="false">
      <c r="A12" s="9" t="s">
        <v>17</v>
      </c>
      <c r="B12" s="10" t="n">
        <v>23073</v>
      </c>
      <c r="C12" s="10" t="n">
        <v>11000</v>
      </c>
      <c r="D12" s="10" t="n">
        <v>18500</v>
      </c>
      <c r="E12" s="10" t="n">
        <v>0</v>
      </c>
      <c r="F12" s="10" t="n">
        <v>8000</v>
      </c>
      <c r="G12" s="25" t="n">
        <f aca="false">B12-C12-D12-E12-F12</f>
        <v>-14427</v>
      </c>
    </row>
    <row r="13" customFormat="false" ht="15" hidden="false" customHeight="false" outlineLevel="0" collapsed="false">
      <c r="A13" s="4" t="s">
        <v>18</v>
      </c>
      <c r="B13" s="5" t="n">
        <v>29600</v>
      </c>
      <c r="C13" s="5" t="n">
        <v>12500</v>
      </c>
      <c r="D13" s="5" t="n">
        <v>18500</v>
      </c>
      <c r="E13" s="5" t="n">
        <v>5000</v>
      </c>
      <c r="F13" s="5" t="n">
        <v>4500</v>
      </c>
      <c r="G13" s="24" t="n">
        <f aca="false">B13-C13-D13-E13-F13</f>
        <v>-10900</v>
      </c>
    </row>
    <row r="14" customFormat="false" ht="15" hidden="false" customHeight="false" outlineLevel="0" collapsed="false">
      <c r="A14" s="9" t="s">
        <v>19</v>
      </c>
      <c r="B14" s="10" t="n">
        <v>41100</v>
      </c>
      <c r="C14" s="10" t="n">
        <v>13500</v>
      </c>
      <c r="D14" s="10" t="n">
        <v>18500</v>
      </c>
      <c r="E14" s="10" t="n">
        <v>8000</v>
      </c>
      <c r="F14" s="10" t="n">
        <v>6000</v>
      </c>
      <c r="G14" s="25" t="n">
        <f aca="false">B14-C14-D14-E14-F14</f>
        <v>-4900</v>
      </c>
    </row>
    <row r="15" customFormat="false" ht="15" hidden="false" customHeight="false" outlineLevel="0" collapsed="false">
      <c r="A15" s="4" t="s">
        <v>20</v>
      </c>
      <c r="B15" s="13" t="n">
        <f aca="false">'Detalle Diario 2026'!B85</f>
        <v>46286</v>
      </c>
      <c r="C15" s="5" t="n">
        <v>13800</v>
      </c>
      <c r="D15" s="5" t="n">
        <v>18500</v>
      </c>
      <c r="E15" s="5" t="n">
        <v>9000</v>
      </c>
      <c r="F15" s="5" t="n">
        <v>5500</v>
      </c>
      <c r="G15" s="24" t="n">
        <f aca="false">B15-C15-D15-E15-F15</f>
        <v>-514</v>
      </c>
    </row>
  </sheetData>
  <mergeCells count="2">
    <mergeCell ref="A1:G1"/>
    <mergeCell ref="A2:G2"/>
  </mergeCells>
  <conditionalFormatting sqref="G5:G15">
    <cfRule type="cellIs" priority="2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6" min="5" style="0" width="12"/>
  </cols>
  <sheetData>
    <row r="1" customFormat="false" ht="17.35" hidden="false" customHeight="false" outlineLevel="0" collapsed="false">
      <c r="A1" s="1" t="s">
        <v>82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83</v>
      </c>
      <c r="B2" s="2"/>
      <c r="C2" s="2"/>
      <c r="D2" s="2"/>
      <c r="E2" s="2"/>
      <c r="F2" s="2"/>
    </row>
    <row r="4" customFormat="false" ht="23.85" hidden="false" customHeight="false" outlineLevel="0" collapsed="false">
      <c r="A4" s="3" t="s">
        <v>2</v>
      </c>
      <c r="B4" s="3" t="s">
        <v>43</v>
      </c>
      <c r="C4" s="3" t="s">
        <v>84</v>
      </c>
      <c r="D4" s="3" t="s">
        <v>85</v>
      </c>
      <c r="E4" s="3" t="s">
        <v>86</v>
      </c>
      <c r="F4" s="3" t="s">
        <v>69</v>
      </c>
    </row>
    <row r="5" customFormat="false" ht="15" hidden="false" customHeight="false" outlineLevel="0" collapsed="false">
      <c r="A5" s="4" t="s">
        <v>10</v>
      </c>
      <c r="B5" s="5" t="n">
        <v>38800</v>
      </c>
      <c r="C5" s="5" t="n">
        <v>50000</v>
      </c>
      <c r="D5" s="26" t="n">
        <f aca="false">B5/C5</f>
        <v>0.776</v>
      </c>
      <c r="E5" s="8"/>
      <c r="F5" s="8" t="str">
        <f aca="false">IF(D5&gt;1.2,"sólido",IF(D5&gt;0.8,"medio","débil"))</f>
        <v>débil</v>
      </c>
    </row>
    <row r="6" customFormat="false" ht="15" hidden="false" customHeight="false" outlineLevel="0" collapsed="false">
      <c r="A6" s="4" t="s">
        <v>11</v>
      </c>
      <c r="B6" s="5" t="n">
        <v>55055</v>
      </c>
      <c r="C6" s="5" t="n">
        <v>65000</v>
      </c>
      <c r="D6" s="26" t="n">
        <f aca="false">B6/C6</f>
        <v>0.847</v>
      </c>
      <c r="E6" s="7" t="n">
        <f aca="false">D6/D5-1</f>
        <v>0.0914948453608246</v>
      </c>
      <c r="F6" s="8" t="str">
        <f aca="false">IF(D6&gt;1.2,"sólido",IF(D6&gt;0.8,"medio","débil"))</f>
        <v>medio</v>
      </c>
    </row>
    <row r="7" customFormat="false" ht="15" hidden="false" customHeight="false" outlineLevel="0" collapsed="false">
      <c r="A7" s="4" t="s">
        <v>12</v>
      </c>
      <c r="B7" s="5" t="n">
        <v>65806</v>
      </c>
      <c r="C7" s="5" t="n">
        <v>35000</v>
      </c>
      <c r="D7" s="26" t="n">
        <f aca="false">B7/C7</f>
        <v>1.88017142857143</v>
      </c>
      <c r="E7" s="7" t="n">
        <f aca="false">D7/D6-1</f>
        <v>1.21980097824254</v>
      </c>
      <c r="F7" s="8" t="str">
        <f aca="false">IF(D7&gt;1.2,"sólido",IF(D7&gt;0.8,"medio","débil"))</f>
        <v>sólido</v>
      </c>
    </row>
    <row r="8" customFormat="false" ht="15" hidden="false" customHeight="false" outlineLevel="0" collapsed="false">
      <c r="A8" s="4" t="s">
        <v>13</v>
      </c>
      <c r="B8" s="5" t="n">
        <v>44848</v>
      </c>
      <c r="C8" s="5" t="n">
        <v>25000</v>
      </c>
      <c r="D8" s="26" t="n">
        <f aca="false">B8/C8</f>
        <v>1.79392</v>
      </c>
      <c r="E8" s="7" t="n">
        <f aca="false">D8/D7-1</f>
        <v>-0.0458742363918184</v>
      </c>
      <c r="F8" s="8" t="str">
        <f aca="false">IF(D8&gt;1.2,"sólido",IF(D8&gt;0.8,"medio","débil"))</f>
        <v>sólido</v>
      </c>
    </row>
    <row r="9" customFormat="false" ht="15" hidden="false" customHeight="false" outlineLevel="0" collapsed="false">
      <c r="A9" s="4" t="s">
        <v>14</v>
      </c>
      <c r="B9" s="5" t="n">
        <v>39400</v>
      </c>
      <c r="C9" s="5" t="n">
        <v>30000</v>
      </c>
      <c r="D9" s="26" t="n">
        <f aca="false">B9/C9</f>
        <v>1.31333333333333</v>
      </c>
      <c r="E9" s="7" t="n">
        <f aca="false">D9/D8-1</f>
        <v>-0.267897490783684</v>
      </c>
      <c r="F9" s="8" t="str">
        <f aca="false">IF(D9&gt;1.2,"sólido",IF(D9&gt;0.8,"medio","débil"))</f>
        <v>sólido</v>
      </c>
    </row>
    <row r="10" customFormat="false" ht="15" hidden="false" customHeight="false" outlineLevel="0" collapsed="false">
      <c r="A10" s="4" t="s">
        <v>15</v>
      </c>
      <c r="B10" s="5" t="n">
        <v>39662</v>
      </c>
      <c r="C10" s="5" t="n">
        <v>33000</v>
      </c>
      <c r="D10" s="26" t="n">
        <f aca="false">B10/C10</f>
        <v>1.20187878787879</v>
      </c>
      <c r="E10" s="7" t="n">
        <f aca="false">D10/D9-1</f>
        <v>-0.0848638670973697</v>
      </c>
      <c r="F10" s="8" t="str">
        <f aca="false">IF(D10&gt;1.2,"sólido",IF(D10&gt;0.8,"medio","débil"))</f>
        <v>sólido</v>
      </c>
    </row>
    <row r="11" customFormat="false" ht="15" hidden="false" customHeight="false" outlineLevel="0" collapsed="false">
      <c r="A11" s="4" t="s">
        <v>16</v>
      </c>
      <c r="B11" s="5" t="n">
        <v>44538</v>
      </c>
      <c r="C11" s="5" t="n">
        <v>28000</v>
      </c>
      <c r="D11" s="26" t="n">
        <f aca="false">B11/C11</f>
        <v>1.59064285714286</v>
      </c>
      <c r="E11" s="7" t="n">
        <f aca="false">D11/D10-1</f>
        <v>0.323463624772182</v>
      </c>
      <c r="F11" s="8" t="str">
        <f aca="false">IF(D11&gt;1.2,"sólido",IF(D11&gt;0.8,"medio","débil"))</f>
        <v>sólido</v>
      </c>
    </row>
    <row r="12" customFormat="false" ht="15" hidden="false" customHeight="false" outlineLevel="0" collapsed="false">
      <c r="A12" s="4" t="s">
        <v>17</v>
      </c>
      <c r="B12" s="5" t="n">
        <v>23073</v>
      </c>
      <c r="C12" s="5" t="n">
        <v>14000</v>
      </c>
      <c r="D12" s="26" t="n">
        <f aca="false">B12/C12</f>
        <v>1.64807142857143</v>
      </c>
      <c r="E12" s="7" t="n">
        <f aca="false">D12/D11-1</f>
        <v>0.0361040010777314</v>
      </c>
      <c r="F12" s="8" t="str">
        <f aca="false">IF(D12&gt;1.2,"sólido",IF(D12&gt;0.8,"medio","débil"))</f>
        <v>sólido</v>
      </c>
    </row>
    <row r="13" customFormat="false" ht="15" hidden="false" customHeight="false" outlineLevel="0" collapsed="false">
      <c r="A13" s="4" t="s">
        <v>18</v>
      </c>
      <c r="B13" s="5" t="n">
        <v>29600</v>
      </c>
      <c r="C13" s="5" t="n">
        <v>32000</v>
      </c>
      <c r="D13" s="26" t="n">
        <f aca="false">B13/C13</f>
        <v>0.925</v>
      </c>
      <c r="E13" s="7" t="n">
        <f aca="false">D13/D12-1</f>
        <v>-0.438737918779526</v>
      </c>
      <c r="F13" s="8" t="str">
        <f aca="false">IF(D13&gt;1.2,"sólido",IF(D13&gt;0.8,"medio","débil"))</f>
        <v>medio</v>
      </c>
    </row>
    <row r="14" customFormat="false" ht="15" hidden="false" customHeight="false" outlineLevel="0" collapsed="false">
      <c r="A14" s="4" t="s">
        <v>19</v>
      </c>
      <c r="B14" s="5" t="n">
        <v>41100</v>
      </c>
      <c r="C14" s="5" t="n">
        <v>41000</v>
      </c>
      <c r="D14" s="26" t="n">
        <f aca="false">B14/C14</f>
        <v>1.00243902439024</v>
      </c>
      <c r="E14" s="7" t="n">
        <f aca="false">D14/D13-1</f>
        <v>0.0837178642056691</v>
      </c>
      <c r="F14" s="8" t="str">
        <f aca="false">IF(D14&gt;1.2,"sólido",IF(D14&gt;0.8,"medio","débil"))</f>
        <v>medio</v>
      </c>
    </row>
    <row r="15" customFormat="false" ht="15" hidden="false" customHeight="false" outlineLevel="0" collapsed="false">
      <c r="A15" s="4" t="s">
        <v>20</v>
      </c>
      <c r="B15" s="13" t="n">
        <f aca="false">'Detalle Diario 2026'!B85</f>
        <v>46286</v>
      </c>
      <c r="C15" s="5" t="n">
        <v>43000</v>
      </c>
      <c r="D15" s="26" t="n">
        <f aca="false">B15/C15</f>
        <v>1.07641860465116</v>
      </c>
      <c r="E15" s="7" t="n">
        <f aca="false">D15/D14-1</f>
        <v>0.0737995812821819</v>
      </c>
      <c r="F15" s="8" t="str">
        <f aca="false">IF(D15&gt;1.2,"sólido",IF(D15&gt;0.8,"medio","débil"))</f>
        <v>medio</v>
      </c>
    </row>
  </sheetData>
  <mergeCells count="2">
    <mergeCell ref="A1:F1"/>
    <mergeCell ref="A2:F2"/>
  </mergeCells>
  <conditionalFormatting sqref="D5:D15">
    <cfRule type="colorScale" priority="2">
      <colorScale>
        <cfvo type="num" val="0.4"/>
        <cfvo type="num" val="1"/>
        <cfvo type="num" val="2"/>
        <color rgb="FFC00000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2"/>
    <col collapsed="false" customWidth="true" hidden="false" outlineLevel="0" max="6" min="5" style="0" width="14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87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88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89</v>
      </c>
      <c r="C4" s="3" t="s">
        <v>90</v>
      </c>
      <c r="D4" s="3" t="s">
        <v>91</v>
      </c>
      <c r="E4" s="3" t="s">
        <v>92</v>
      </c>
      <c r="F4" s="3" t="s">
        <v>93</v>
      </c>
      <c r="G4" s="3" t="s">
        <v>94</v>
      </c>
    </row>
    <row r="5" customFormat="false" ht="15" hidden="false" customHeight="false" outlineLevel="0" collapsed="false">
      <c r="A5" s="4" t="s">
        <v>10</v>
      </c>
      <c r="B5" s="27" t="n">
        <v>15.85</v>
      </c>
      <c r="C5" s="27" t="n">
        <v>15.85</v>
      </c>
      <c r="D5" s="27" t="n">
        <v>15.85</v>
      </c>
      <c r="E5" s="28" t="n">
        <f aca="false">C5/B5-1</f>
        <v>0</v>
      </c>
      <c r="F5" s="28" t="n">
        <f aca="false">D5/B5-1</f>
        <v>0</v>
      </c>
      <c r="G5" s="13" t="n">
        <f aca="false">'Resumen Anual'!E5</f>
        <v>3400</v>
      </c>
    </row>
    <row r="6" customFormat="false" ht="15" hidden="false" customHeight="false" outlineLevel="0" collapsed="false">
      <c r="A6" s="4" t="s">
        <v>11</v>
      </c>
      <c r="B6" s="27" t="n">
        <v>18.65</v>
      </c>
      <c r="C6" s="27" t="n">
        <v>18.65</v>
      </c>
      <c r="D6" s="27" t="n">
        <v>18.65</v>
      </c>
      <c r="E6" s="28" t="n">
        <f aca="false">C6/B6-1</f>
        <v>0</v>
      </c>
      <c r="F6" s="28" t="n">
        <f aca="false">D6/B6-1</f>
        <v>0</v>
      </c>
      <c r="G6" s="13" t="n">
        <f aca="false">'Resumen Anual'!E6</f>
        <v>5900</v>
      </c>
    </row>
    <row r="7" customFormat="false" ht="15" hidden="false" customHeight="false" outlineLevel="0" collapsed="false">
      <c r="A7" s="4" t="s">
        <v>12</v>
      </c>
      <c r="B7" s="27" t="n">
        <v>37.81</v>
      </c>
      <c r="C7" s="27" t="n">
        <v>37.81</v>
      </c>
      <c r="D7" s="27" t="n">
        <v>37.81</v>
      </c>
      <c r="E7" s="28" t="n">
        <f aca="false">C7/B7-1</f>
        <v>0</v>
      </c>
      <c r="F7" s="28" t="n">
        <f aca="false">D7/B7-1</f>
        <v>0</v>
      </c>
      <c r="G7" s="13" t="n">
        <f aca="false">'Resumen Anual'!E7</f>
        <v>-2200</v>
      </c>
    </row>
    <row r="8" customFormat="false" ht="15" hidden="false" customHeight="false" outlineLevel="0" collapsed="false">
      <c r="A8" s="4" t="s">
        <v>13</v>
      </c>
      <c r="B8" s="27" t="n">
        <v>59.89</v>
      </c>
      <c r="C8" s="27" t="n">
        <v>75</v>
      </c>
      <c r="D8" s="27" t="n">
        <v>79</v>
      </c>
      <c r="E8" s="28" t="n">
        <f aca="false">C8/B8-1</f>
        <v>0.252295875772249</v>
      </c>
      <c r="F8" s="28" t="n">
        <f aca="false">D8/B8-1</f>
        <v>0.319084989146769</v>
      </c>
      <c r="G8" s="13" t="n">
        <f aca="false">'Resumen Anual'!E8</f>
        <v>-15000</v>
      </c>
    </row>
    <row r="9" customFormat="false" ht="15" hidden="false" customHeight="false" outlineLevel="0" collapsed="false">
      <c r="A9" s="4" t="s">
        <v>14</v>
      </c>
      <c r="B9" s="27" t="n">
        <v>84.15</v>
      </c>
      <c r="C9" s="27" t="n">
        <v>142</v>
      </c>
      <c r="D9" s="27" t="n">
        <v>146</v>
      </c>
      <c r="E9" s="28" t="n">
        <f aca="false">C9/B9-1</f>
        <v>0.687462863933452</v>
      </c>
      <c r="F9" s="28" t="n">
        <f aca="false">D9/B9-1</f>
        <v>0.734997029114676</v>
      </c>
      <c r="G9" s="13" t="n">
        <f aca="false">'Resumen Anual'!E9</f>
        <v>200</v>
      </c>
    </row>
    <row r="10" customFormat="false" ht="15" hidden="false" customHeight="false" outlineLevel="0" collapsed="false">
      <c r="A10" s="4" t="s">
        <v>15</v>
      </c>
      <c r="B10" s="27" t="n">
        <v>102.72</v>
      </c>
      <c r="C10" s="27" t="n">
        <v>198</v>
      </c>
      <c r="D10" s="27" t="n">
        <v>213</v>
      </c>
      <c r="E10" s="28" t="n">
        <f aca="false">C10/B10-1</f>
        <v>0.927570093457944</v>
      </c>
      <c r="F10" s="28" t="n">
        <f aca="false">D10/B10-1</f>
        <v>1.07359813084112</v>
      </c>
      <c r="G10" s="13" t="n">
        <f aca="false">'Resumen Anual'!E10</f>
        <v>5000</v>
      </c>
    </row>
    <row r="11" customFormat="false" ht="15" hidden="false" customHeight="false" outlineLevel="0" collapsed="false">
      <c r="A11" s="4" t="s">
        <v>16</v>
      </c>
      <c r="B11" s="27" t="n">
        <v>177.15</v>
      </c>
      <c r="C11" s="27" t="n">
        <v>333</v>
      </c>
      <c r="D11" s="27" t="n">
        <v>349</v>
      </c>
      <c r="E11" s="28" t="n">
        <f aca="false">C11/B11-1</f>
        <v>0.879762912785775</v>
      </c>
      <c r="F11" s="28" t="n">
        <f aca="false">D11/B11-1</f>
        <v>0.970081851538244</v>
      </c>
      <c r="G11" s="13" t="n">
        <f aca="false">'Resumen Anual'!E11</f>
        <v>5800</v>
      </c>
    </row>
    <row r="12" customFormat="false" ht="15" hidden="false" customHeight="false" outlineLevel="0" collapsed="false">
      <c r="A12" s="4" t="s">
        <v>17</v>
      </c>
      <c r="B12" s="27" t="n">
        <v>808.45</v>
      </c>
      <c r="C12" s="27" t="n">
        <v>1000</v>
      </c>
      <c r="D12" s="27" t="n">
        <v>1000</v>
      </c>
      <c r="E12" s="28" t="n">
        <f aca="false">C12/B12-1</f>
        <v>0.236934875378811</v>
      </c>
      <c r="F12" s="28" t="n">
        <f aca="false">D12/B12-1</f>
        <v>0.236934875378811</v>
      </c>
      <c r="G12" s="13" t="n">
        <f aca="false">'Resumen Anual'!E12</f>
        <v>-1900</v>
      </c>
    </row>
    <row r="13" customFormat="false" ht="15" hidden="false" customHeight="false" outlineLevel="0" collapsed="false">
      <c r="A13" s="4" t="s">
        <v>18</v>
      </c>
      <c r="B13" s="27" t="n">
        <v>1032.5</v>
      </c>
      <c r="C13" s="27" t="n">
        <v>1170</v>
      </c>
      <c r="D13" s="27" t="n">
        <v>1180</v>
      </c>
      <c r="E13" s="28" t="n">
        <f aca="false">C13/B13-1</f>
        <v>0.13317191283293</v>
      </c>
      <c r="F13" s="28" t="n">
        <f aca="false">D13/B13-1</f>
        <v>0.142857142857143</v>
      </c>
      <c r="G13" s="13" t="n">
        <f aca="false">'Resumen Anual'!E13</f>
        <v>19000</v>
      </c>
    </row>
    <row r="14" customFormat="false" ht="15" hidden="false" customHeight="false" outlineLevel="0" collapsed="false">
      <c r="A14" s="4" t="s">
        <v>19</v>
      </c>
      <c r="B14" s="27" t="n">
        <v>1200</v>
      </c>
      <c r="C14" s="27" t="n">
        <v>1280</v>
      </c>
      <c r="D14" s="27" t="n">
        <v>1300</v>
      </c>
      <c r="E14" s="28" t="n">
        <f aca="false">C14/B14-1</f>
        <v>0.0666666666666667</v>
      </c>
      <c r="F14" s="28" t="n">
        <f aca="false">D14/B14-1</f>
        <v>0.0833333333333333</v>
      </c>
      <c r="G14" s="13" t="n">
        <f aca="false">'Resumen Anual'!E14</f>
        <v>4500</v>
      </c>
    </row>
    <row r="15" customFormat="false" ht="15" hidden="false" customHeight="false" outlineLevel="0" collapsed="false">
      <c r="A15" s="4" t="s">
        <v>20</v>
      </c>
      <c r="B15" s="27" t="n">
        <v>1280</v>
      </c>
      <c r="C15" s="27" t="n">
        <v>1300</v>
      </c>
      <c r="D15" s="27" t="n">
        <v>1320</v>
      </c>
      <c r="E15" s="28" t="n">
        <f aca="false">C15/B15-1</f>
        <v>0.015625</v>
      </c>
      <c r="F15" s="28" t="n">
        <f aca="false">D15/B15-1</f>
        <v>0.03125</v>
      </c>
      <c r="G15" s="13" t="n">
        <f aca="false">'Resumen Anual'!E15</f>
        <v>6491</v>
      </c>
    </row>
  </sheetData>
  <mergeCells count="2">
    <mergeCell ref="A1:G1"/>
    <mergeCell ref="A2:G2"/>
  </mergeCells>
  <conditionalFormatting sqref="E5:F15">
    <cfRule type="colorScale" priority="2">
      <colorScale>
        <cfvo type="num" val="0"/>
        <cfvo type="num" val="0.5"/>
        <cfvo type="num" val="2"/>
        <color rgb="FF00B050"/>
        <color rgb="FFFFEB84"/>
        <color rgb="FFC0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28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1" t="s">
        <v>95</v>
      </c>
      <c r="B1" s="1"/>
      <c r="C1" s="1"/>
      <c r="D1" s="1"/>
      <c r="E1" s="1"/>
    </row>
    <row r="2" customFormat="false" ht="15" hidden="false" customHeight="false" outlineLevel="0" collapsed="false">
      <c r="A2" s="2" t="s">
        <v>96</v>
      </c>
      <c r="B2" s="2"/>
      <c r="C2" s="2"/>
      <c r="D2" s="2"/>
      <c r="E2" s="2"/>
    </row>
    <row r="4" customFormat="false" ht="15" hidden="false" customHeight="true" outlineLevel="0" collapsed="false">
      <c r="A4" s="3" t="s">
        <v>97</v>
      </c>
      <c r="B4" s="3"/>
      <c r="D4" s="3" t="s">
        <v>98</v>
      </c>
      <c r="E4" s="3"/>
    </row>
    <row r="5" customFormat="false" ht="23.85" hidden="false" customHeight="false" outlineLevel="0" collapsed="false">
      <c r="A5" s="8" t="s">
        <v>99</v>
      </c>
      <c r="B5" s="29" t="n">
        <f aca="false">'Detalle Diario 2026'!I85</f>
        <v>6491</v>
      </c>
      <c r="D5" s="3" t="s">
        <v>100</v>
      </c>
      <c r="E5" s="3" t="s">
        <v>101</v>
      </c>
    </row>
    <row r="6" customFormat="false" ht="15" hidden="false" customHeight="false" outlineLevel="0" collapsed="false">
      <c r="A6" s="8" t="s">
        <v>102</v>
      </c>
      <c r="B6" s="8" t="n">
        <f aca="false">COUNTA('Detalle Diario 2026'!A5:A85)</f>
        <v>81</v>
      </c>
      <c r="D6" s="16" t="s">
        <v>103</v>
      </c>
      <c r="E6" s="30" t="n">
        <f aca="false">B5+B13*B7*1.3</f>
        <v>23680.1296296296</v>
      </c>
    </row>
    <row r="7" customFormat="false" ht="15" hidden="false" customHeight="false" outlineLevel="0" collapsed="false">
      <c r="A7" s="8" t="s">
        <v>104</v>
      </c>
      <c r="B7" s="31" t="n">
        <v>165</v>
      </c>
      <c r="D7" s="16" t="s">
        <v>105</v>
      </c>
      <c r="E7" s="30" t="n">
        <f aca="false">B5+B13*B7*1</f>
        <v>19713.4074074074</v>
      </c>
    </row>
    <row r="8" customFormat="false" ht="15" hidden="false" customHeight="false" outlineLevel="0" collapsed="false">
      <c r="A8" s="8" t="s">
        <v>106</v>
      </c>
      <c r="B8" s="31" t="n">
        <v>3000</v>
      </c>
      <c r="D8" s="16" t="s">
        <v>107</v>
      </c>
      <c r="E8" s="30" t="n">
        <f aca="false">B5+B13*B7*0.8</f>
        <v>17068.9259259259</v>
      </c>
    </row>
    <row r="9" customFormat="false" ht="15" hidden="false" customHeight="false" outlineLevel="0" collapsed="false">
      <c r="A9" s="8" t="s">
        <v>108</v>
      </c>
      <c r="B9" s="31" t="n">
        <v>10000</v>
      </c>
      <c r="D9" s="16" t="s">
        <v>109</v>
      </c>
      <c r="E9" s="30" t="n">
        <f aca="false">B5+B13*B7*0.5</f>
        <v>13102.2037037037</v>
      </c>
    </row>
    <row r="10" customFormat="false" ht="15" hidden="false" customHeight="false" outlineLevel="0" collapsed="false">
      <c r="A10" s="8" t="s">
        <v>110</v>
      </c>
      <c r="B10" s="31" t="n">
        <v>17000</v>
      </c>
    </row>
    <row r="12" customFormat="false" ht="15" hidden="false" customHeight="true" outlineLevel="0" collapsed="false">
      <c r="A12" s="3" t="s">
        <v>111</v>
      </c>
      <c r="B12" s="3"/>
    </row>
    <row r="13" customFormat="false" ht="15" hidden="false" customHeight="false" outlineLevel="0" collapsed="false">
      <c r="A13" s="8" t="s">
        <v>112</v>
      </c>
      <c r="B13" s="32" t="n">
        <f aca="false">B5/B6</f>
        <v>80.1358024691358</v>
      </c>
    </row>
    <row r="14" customFormat="false" ht="15" hidden="false" customHeight="false" outlineLevel="0" collapsed="false">
      <c r="A14" s="8" t="s">
        <v>113</v>
      </c>
      <c r="B14" s="30" t="n">
        <f aca="false">B13*B7</f>
        <v>13222.4074074074</v>
      </c>
    </row>
    <row r="15" customFormat="false" ht="15" hidden="false" customHeight="false" outlineLevel="0" collapsed="false">
      <c r="A15" s="8" t="s">
        <v>114</v>
      </c>
      <c r="B15" s="33" t="n">
        <f aca="false">B5+B14</f>
        <v>19713.4074074074</v>
      </c>
    </row>
    <row r="16" customFormat="false" ht="15" hidden="false" customHeight="false" outlineLevel="0" collapsed="false">
      <c r="A16" s="8" t="s">
        <v>115</v>
      </c>
      <c r="B16" s="28" t="n">
        <f aca="false">B15/B9</f>
        <v>1.97134074074074</v>
      </c>
    </row>
    <row r="17" customFormat="false" ht="15" hidden="false" customHeight="false" outlineLevel="0" collapsed="false">
      <c r="A17" s="8" t="s">
        <v>116</v>
      </c>
      <c r="B17" s="28" t="n">
        <f aca="false">B15/B10</f>
        <v>1.15961220043573</v>
      </c>
    </row>
    <row r="18" customFormat="false" ht="15" hidden="false" customHeight="false" outlineLevel="0" collapsed="false">
      <c r="A18" s="8" t="s">
        <v>117</v>
      </c>
      <c r="B18" s="6" t="n">
        <f aca="false">B9-B15</f>
        <v>-9713.40740740741</v>
      </c>
    </row>
    <row r="19" customFormat="false" ht="15" hidden="false" customHeight="false" outlineLevel="0" collapsed="false">
      <c r="A19" s="8" t="s">
        <v>118</v>
      </c>
      <c r="B19" s="34" t="str">
        <f aca="false">IF(B15&gt;=B10,"Supera meta techo",IF(B15&gt;=B9,"Cumple meta base",IF(B15&gt;=B9*0.8,"Cerca meta base","Por debajo de meta")))</f>
        <v>Supera meta techo</v>
      </c>
    </row>
  </sheetData>
  <mergeCells count="5">
    <mergeCell ref="A1:E1"/>
    <mergeCell ref="A2:E2"/>
    <mergeCell ref="A4:B4"/>
    <mergeCell ref="D4:E4"/>
    <mergeCell ref="A12:B12"/>
  </mergeCells>
  <conditionalFormatting sqref="B16">
    <cfRule type="colorScale" priority="2">
      <colorScale>
        <cfvo type="num" val="0.5"/>
        <cfvo type="num" val="1"/>
        <cfvo type="num" val="1.5"/>
        <color rgb="FFC00000"/>
        <color rgb="FFFFEB84"/>
        <color rgb="FF00B05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0"/>
  </cols>
  <sheetData>
    <row r="1" customFormat="false" ht="25.5" hidden="false" customHeight="true" outlineLevel="0" collapsed="false">
      <c r="A1" s="35" t="s">
        <v>119</v>
      </c>
    </row>
    <row r="2" customFormat="false" ht="12" hidden="false" customHeight="true" outlineLevel="0" collapsed="false">
      <c r="A2" s="36"/>
    </row>
    <row r="3" customFormat="false" ht="18.75" hidden="false" customHeight="true" outlineLevel="0" collapsed="false">
      <c r="A3" s="37" t="s">
        <v>120</v>
      </c>
    </row>
    <row r="4" customFormat="false" ht="15.75" hidden="false" customHeight="true" outlineLevel="0" collapsed="false">
      <c r="A4" s="36" t="s">
        <v>121</v>
      </c>
    </row>
    <row r="5" customFormat="false" ht="15.75" hidden="false" customHeight="true" outlineLevel="0" collapsed="false">
      <c r="A5" s="36" t="s">
        <v>122</v>
      </c>
    </row>
    <row r="6" customFormat="false" ht="15.75" hidden="false" customHeight="true" outlineLevel="0" collapsed="false">
      <c r="A6" s="36" t="s">
        <v>123</v>
      </c>
    </row>
    <row r="7" customFormat="false" ht="15.75" hidden="false" customHeight="true" outlineLevel="0" collapsed="false">
      <c r="A7" s="36" t="s">
        <v>124</v>
      </c>
    </row>
    <row r="8" customFormat="false" ht="15.75" hidden="false" customHeight="true" outlineLevel="0" collapsed="false">
      <c r="A8" s="36" t="s">
        <v>125</v>
      </c>
    </row>
    <row r="9" customFormat="false" ht="15.75" hidden="false" customHeight="true" outlineLevel="0" collapsed="false">
      <c r="A9" s="36" t="s">
        <v>126</v>
      </c>
    </row>
    <row r="10" customFormat="false" ht="15.75" hidden="false" customHeight="true" outlineLevel="0" collapsed="false">
      <c r="A10" s="36" t="s">
        <v>127</v>
      </c>
    </row>
    <row r="11" customFormat="false" ht="15.75" hidden="false" customHeight="true" outlineLevel="0" collapsed="false">
      <c r="A11" s="36" t="s">
        <v>128</v>
      </c>
    </row>
    <row r="12" customFormat="false" ht="15.75" hidden="false" customHeight="true" outlineLevel="0" collapsed="false">
      <c r="A12" s="36" t="s">
        <v>129</v>
      </c>
    </row>
    <row r="13" customFormat="false" ht="15.75" hidden="false" customHeight="true" outlineLevel="0" collapsed="false">
      <c r="A13" s="36" t="s">
        <v>130</v>
      </c>
    </row>
    <row r="14" customFormat="false" ht="15.75" hidden="false" customHeight="true" outlineLevel="0" collapsed="false">
      <c r="A14" s="36" t="s">
        <v>131</v>
      </c>
    </row>
    <row r="15" customFormat="false" ht="15.75" hidden="false" customHeight="true" outlineLevel="0" collapsed="false">
      <c r="A15" s="36" t="s">
        <v>132</v>
      </c>
    </row>
    <row r="16" customFormat="false" ht="12" hidden="false" customHeight="true" outlineLevel="0" collapsed="false">
      <c r="A16" s="36"/>
    </row>
    <row r="17" customFormat="false" ht="18.75" hidden="false" customHeight="true" outlineLevel="0" collapsed="false">
      <c r="A17" s="37" t="s">
        <v>133</v>
      </c>
    </row>
    <row r="18" customFormat="false" ht="15.75" hidden="false" customHeight="true" outlineLevel="0" collapsed="false">
      <c r="A18" s="38" t="s">
        <v>134</v>
      </c>
    </row>
    <row r="19" customFormat="false" ht="15.75" hidden="false" customHeight="true" outlineLevel="0" collapsed="false">
      <c r="A19" s="36" t="s">
        <v>135</v>
      </c>
    </row>
    <row r="20" customFormat="false" ht="15.75" hidden="false" customHeight="true" outlineLevel="0" collapsed="false">
      <c r="A20" s="39" t="s">
        <v>136</v>
      </c>
    </row>
    <row r="21" customFormat="false" ht="12" hidden="false" customHeight="true" outlineLevel="0" collapsed="false">
      <c r="A21" s="36"/>
    </row>
    <row r="22" customFormat="false" ht="18.75" hidden="false" customHeight="true" outlineLevel="0" collapsed="false">
      <c r="A22" s="37" t="s">
        <v>137</v>
      </c>
    </row>
    <row r="23" customFormat="false" ht="15.75" hidden="false" customHeight="true" outlineLevel="0" collapsed="false">
      <c r="A23" s="36" t="s">
        <v>138</v>
      </c>
    </row>
    <row r="24" customFormat="false" ht="15.75" hidden="false" customHeight="true" outlineLevel="0" collapsed="false">
      <c r="A24" s="36" t="s">
        <v>139</v>
      </c>
    </row>
    <row r="25" customFormat="false" ht="15.75" hidden="false" customHeight="true" outlineLevel="0" collapsed="false">
      <c r="A25" s="36" t="s">
        <v>140</v>
      </c>
    </row>
    <row r="26" customFormat="false" ht="15.75" hidden="false" customHeight="true" outlineLevel="0" collapsed="false">
      <c r="A26" s="36" t="s">
        <v>141</v>
      </c>
    </row>
    <row r="27" customFormat="false" ht="15.75" hidden="false" customHeight="true" outlineLevel="0" collapsed="false">
      <c r="A27" s="36" t="s">
        <v>142</v>
      </c>
    </row>
    <row r="28" customFormat="false" ht="15.75" hidden="false" customHeight="true" outlineLevel="0" collapsed="false">
      <c r="A28" s="36" t="s">
        <v>143</v>
      </c>
    </row>
    <row r="29" customFormat="false" ht="15.75" hidden="false" customHeight="true" outlineLevel="0" collapsed="false">
      <c r="A29" s="36" t="s">
        <v>144</v>
      </c>
    </row>
    <row r="30" customFormat="false" ht="12" hidden="false" customHeight="true" outlineLevel="0" collapsed="false">
      <c r="A30" s="36"/>
    </row>
    <row r="31" customFormat="false" ht="18.75" hidden="false" customHeight="true" outlineLevel="0" collapsed="false">
      <c r="A31" s="37" t="s">
        <v>145</v>
      </c>
    </row>
    <row r="32" customFormat="false" ht="15.75" hidden="false" customHeight="true" outlineLevel="0" collapsed="false">
      <c r="A32" s="36" t="s">
        <v>146</v>
      </c>
    </row>
    <row r="33" customFormat="false" ht="15.75" hidden="false" customHeight="true" outlineLevel="0" collapsed="false">
      <c r="A33" s="36" t="s">
        <v>147</v>
      </c>
    </row>
    <row r="34" customFormat="false" ht="15.75" hidden="false" customHeight="true" outlineLevel="0" collapsed="false">
      <c r="A34" s="36" t="s">
        <v>148</v>
      </c>
    </row>
    <row r="35" customFormat="false" ht="15.75" hidden="false" customHeight="true" outlineLevel="0" collapsed="false">
      <c r="A35" s="36" t="s">
        <v>149</v>
      </c>
    </row>
    <row r="36" customFormat="false" ht="15.75" hidden="false" customHeight="true" outlineLevel="0" collapsed="false">
      <c r="A36" s="36" t="s">
        <v>150</v>
      </c>
    </row>
    <row r="37" customFormat="false" ht="12" hidden="false" customHeight="true" outlineLevel="0" collapsed="false">
      <c r="A37" s="36"/>
    </row>
    <row r="38" customFormat="false" ht="18.75" hidden="false" customHeight="true" outlineLevel="0" collapsed="false">
      <c r="A38" s="37" t="s">
        <v>151</v>
      </c>
    </row>
    <row r="39" customFormat="false" ht="15.75" hidden="false" customHeight="true" outlineLevel="0" collapsed="false">
      <c r="A39" s="36" t="s">
        <v>152</v>
      </c>
    </row>
    <row r="40" customFormat="false" ht="15.75" hidden="false" customHeight="true" outlineLevel="0" collapsed="false">
      <c r="A40" s="36" t="s">
        <v>153</v>
      </c>
    </row>
    <row r="41" customFormat="false" ht="15.75" hidden="false" customHeight="true" outlineLevel="0" collapsed="false">
      <c r="A41" s="36" t="s">
        <v>154</v>
      </c>
    </row>
    <row r="42" customFormat="false" ht="15.75" hidden="false" customHeight="true" outlineLevel="0" collapsed="false">
      <c r="A42" s="36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2026-05-05T14:04:04Z</dcterms:created>
  <dc:creator>openpyxl</dc:creator>
  <dc:description/>
  <dc:language>en-US</dc:language>
  <cp:lastModifiedBy/>
  <dcterms:modified xsi:type="dcterms:W3CDTF">2026-05-05T14:04:08Z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