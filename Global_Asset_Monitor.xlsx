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onitor" sheetId="1" state="visible" r:id="rId1"/>
    <sheet xmlns:r="http://schemas.openxmlformats.org/officeDocument/2006/relationships" name="LatAm Focus" sheetId="2" state="visible" r:id="rId2"/>
    <sheet xmlns:r="http://schemas.openxmlformats.org/officeDocument/2006/relationships" name="Bloomberg 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%;(0.00%);-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374151"/>
      <sz val="10"/>
    </font>
    <font>
      <name val="Arial"/>
      <i val="1"/>
      <color rgb="007C2D12"/>
      <sz val="9"/>
    </font>
    <font>
      <name val="Arial"/>
      <b val="1"/>
      <color rgb="00FFFFFF"/>
      <sz val="10"/>
    </font>
    <font>
      <name val="Arial"/>
      <b val="1"/>
      <i val="1"/>
      <color rgb="00166534"/>
      <sz val="9"/>
    </font>
    <font>
      <name val="Arial"/>
      <b val="1"/>
      <color rgb="00166534"/>
      <sz val="9"/>
    </font>
    <font>
      <name val="Arial"/>
      <b val="1"/>
      <sz val="10"/>
    </font>
    <font>
      <name val="Arial"/>
      <color rgb="000F172A"/>
      <sz val="10"/>
    </font>
    <font>
      <name val="Arial"/>
      <color rgb="00475569"/>
      <sz val="9"/>
    </font>
    <font>
      <name val="Arial"/>
      <color rgb="001E40AF"/>
      <sz val="9"/>
    </font>
    <font>
      <name val="Arial"/>
      <sz val="9"/>
    </font>
    <font>
      <name val="Arial"/>
      <i val="1"/>
      <color rgb="00334155"/>
      <sz val="9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0F172A"/>
      <sz val="12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334155"/>
      </patternFill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11" fillId="0" borderId="0" pivotButton="0" quotePrefix="0" xfId="0"/>
    <xf numFmtId="165" fontId="11" fillId="0" borderId="0" pivotButton="0" quotePrefix="0" xfId="0"/>
    <xf numFmtId="0" fontId="7" fillId="0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9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indent="1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7" fillId="8" borderId="1" applyAlignment="1" pivotButton="0" quotePrefix="0" xfId="0">
      <alignment horizontal="left" indent="1"/>
    </xf>
    <xf numFmtId="0" fontId="8" fillId="8" borderId="1" applyAlignment="1" pivotButton="0" quotePrefix="0" xfId="0">
      <alignment horizontal="left" indent="1"/>
    </xf>
    <xf numFmtId="0" fontId="9" fillId="8" borderId="1" applyAlignment="1" pivotButton="0" quotePrefix="0" xfId="0">
      <alignment horizontal="left" indent="1"/>
    </xf>
    <xf numFmtId="164" fontId="0" fillId="8" borderId="1" applyAlignment="1" pivotButton="0" quotePrefix="0" xfId="0">
      <alignment horizontal="right"/>
    </xf>
    <xf numFmtId="165" fontId="0" fillId="8" borderId="1" applyAlignment="1" pivotButton="0" quotePrefix="0" xfId="0">
      <alignment horizontal="right"/>
    </xf>
    <xf numFmtId="0" fontId="1" fillId="2" borderId="0" applyAlignment="1" pivotButton="0" quotePrefix="0" xfId="0">
      <alignment vertical="center" indent="1"/>
    </xf>
    <xf numFmtId="165" fontId="0" fillId="0" borderId="0" pivotButton="0" quotePrefix="0" xfId="0"/>
    <xf numFmtId="0" fontId="12" fillId="0" borderId="1" applyAlignment="1" pivotButton="0" quotePrefix="0" xfId="0">
      <alignment vertical="center" wrapText="1"/>
    </xf>
    <xf numFmtId="0" fontId="12" fillId="8" borderId="1" applyAlignment="1" pivotButton="0" quotePrefix="0" xfId="0">
      <alignment vertical="center" wrapText="1"/>
    </xf>
    <xf numFmtId="0" fontId="13" fillId="2" borderId="0" pivotButton="0" quotePrefix="0" xfId="0"/>
    <xf numFmtId="0" fontId="14" fillId="0" borderId="1" applyAlignment="1" pivotButton="0" quotePrefix="0" xfId="0">
      <alignment vertical="center" wrapText="1"/>
    </xf>
    <xf numFmtId="0" fontId="15" fillId="0" borderId="0" pivotButton="0" quotePrefix="0" xfId="0"/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YTD Total Return — Ranked (Best → Worst)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'Global Monitor'!$P$7:$P$53</f>
            </numRef>
          </cat>
          <val>
            <numRef>
              <f>'Global Monitor'!$Q$7:$Q$53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Total Return (%)</a:t>
                </a:r>
              </a:p>
            </rich>
          </tx>
        </title>
        <numFmt formatCode="0.0%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LatAm Watch List — YTD (Ranked)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'LatAm Focus'!$M$7:$M$38</f>
            </numRef>
          </cat>
          <val>
            <numRef>
              <f>'LatAm Focus'!$N$7:$N$38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YTD (%)</a:t>
                </a:r>
              </a:p>
            </rich>
          </tx>
        </title>
        <numFmt formatCode="0.0%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4</row>
      <rowOff>0</rowOff>
    </from>
    <ext cx="7920000" cy="71063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20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20" customWidth="1" min="16" max="16"/>
    <col width="14" customWidth="1" min="17" max="17"/>
  </cols>
  <sheetData>
    <row r="1" ht="30" customHeight="1">
      <c r="A1" s="1" t="inlineStr">
        <is>
          <t>GLOBAL CROSS-ASSET MONITOR — LIVE BDP</t>
        </is>
      </c>
    </row>
    <row r="2">
      <c r="A2" s="2" t="inlineStr">
        <is>
          <t>Build date: 2026-05-13   |   Live Bloomberg formulas — recalcs on your work machine when BLPAPI loads</t>
        </is>
      </c>
    </row>
    <row r="3" ht="40" customHeight="1">
      <c r="A3" s="3" t="inlineStr">
        <is>
          <t>HOW IT WORKS: The green cells in row 7 hold the Bloomberg FIELD codes (PX_LAST, CHG_PCT_5D, CHG_PCT_1M, CHG_PCT_3M, CHG_PCT_YTD). Every BDP() formula below points to those cells, so to switch any column to a different field (e.g. CHG_NET_YTD for rates) just edit that ONE green cell. PR columns key off the PX ticker (col D); TR columns key off the TR ticker (col E).</t>
        </is>
      </c>
    </row>
    <row r="5" ht="18" customHeight="1">
      <c r="G5" s="4" t="inlineStr">
        <is>
          <t>PRICE RETURN</t>
        </is>
      </c>
      <c r="K5" s="4" t="inlineStr">
        <is>
          <t>TOTAL RETURN</t>
        </is>
      </c>
    </row>
    <row r="6" ht="22" customHeight="1">
      <c r="A6" s="5" t="inlineStr">
        <is>
          <t>Asset</t>
        </is>
      </c>
      <c r="B6" s="5" t="inlineStr">
        <is>
          <t>Chart Label</t>
        </is>
      </c>
      <c r="C6" s="5" t="inlineStr">
        <is>
          <t>Group</t>
        </is>
      </c>
      <c r="D6" s="5" t="inlineStr">
        <is>
          <t>PX Ticker</t>
        </is>
      </c>
      <c r="E6" s="5" t="inlineStr">
        <is>
          <t>TR Ticker</t>
        </is>
      </c>
      <c r="F6" s="5" t="inlineStr">
        <is>
          <t>Level</t>
        </is>
      </c>
      <c r="G6" s="5" t="inlineStr">
        <is>
          <t>1W</t>
        </is>
      </c>
      <c r="H6" s="5" t="inlineStr">
        <is>
          <t>1M</t>
        </is>
      </c>
      <c r="I6" s="5" t="inlineStr">
        <is>
          <t>3M</t>
        </is>
      </c>
      <c r="J6" s="5" t="inlineStr">
        <is>
          <t>YTD</t>
        </is>
      </c>
      <c r="K6" s="5" t="inlineStr">
        <is>
          <t>1W</t>
        </is>
      </c>
      <c r="L6" s="5" t="inlineStr">
        <is>
          <t>1M</t>
        </is>
      </c>
      <c r="M6" s="5" t="inlineStr">
        <is>
          <t>3M</t>
        </is>
      </c>
      <c r="N6" s="5" t="inlineStr">
        <is>
          <t>YTD</t>
        </is>
      </c>
      <c r="P6" s="6" t="inlineStr">
        <is>
          <t>Chart Label (sorted)</t>
        </is>
      </c>
      <c r="Q6" s="6" t="inlineStr">
        <is>
          <t>YTD TR (sorted)</t>
        </is>
      </c>
    </row>
    <row r="7" ht="18" customHeight="1">
      <c r="A7" s="7" t="inlineStr">
        <is>
          <t>← BBG fields (editable)</t>
        </is>
      </c>
      <c r="F7" s="8" t="inlineStr">
        <is>
          <t>PX_LAST</t>
        </is>
      </c>
      <c r="G7" s="8" t="inlineStr">
        <is>
          <t>CHG_PCT_5D</t>
        </is>
      </c>
      <c r="H7" s="8" t="inlineStr">
        <is>
          <t>CHG_PCT_1M</t>
        </is>
      </c>
      <c r="I7" s="8" t="inlineStr">
        <is>
          <t>CHG_PCT_3M</t>
        </is>
      </c>
      <c r="J7" s="8" t="inlineStr">
        <is>
          <t>CHG_PCT_YTD</t>
        </is>
      </c>
      <c r="K7" s="8" t="inlineStr">
        <is>
          <t>CHG_PCT_5D</t>
        </is>
      </c>
      <c r="L7" s="8" t="inlineStr">
        <is>
          <t>CHG_PCT_1M</t>
        </is>
      </c>
      <c r="M7" s="8" t="inlineStr">
        <is>
          <t>CHG_PCT_3M</t>
        </is>
      </c>
      <c r="N7" s="8" t="inlineStr">
        <is>
          <t>CHG_PCT_YTD</t>
        </is>
      </c>
      <c r="P7" s="9">
        <f>IFERROR(SORTBY(B8:B54,N8:N54,-1),"")</f>
        <v/>
      </c>
      <c r="Q7" s="10">
        <f>IFERROR(SORTBY(N8:N54,N8:N54,-1),"")</f>
        <v/>
      </c>
    </row>
    <row r="8">
      <c r="A8" s="11" t="inlineStr">
        <is>
          <t>S&amp;P 500</t>
        </is>
      </c>
      <c r="B8" s="12" t="inlineStr">
        <is>
          <t>S&amp;P 500</t>
        </is>
      </c>
      <c r="C8" s="13" t="inlineStr">
        <is>
          <t>EQUITY</t>
        </is>
      </c>
      <c r="D8" s="14" t="inlineStr">
        <is>
          <t>SPX Index</t>
        </is>
      </c>
      <c r="E8" s="14" t="inlineStr">
        <is>
          <t>SPXT Index</t>
        </is>
      </c>
      <c r="F8" s="15">
        <f>BDP($D8,F$7)</f>
        <v/>
      </c>
      <c r="G8" s="16">
        <f>BDP($D8,G$7)/100</f>
        <v/>
      </c>
      <c r="H8" s="16">
        <f>BDP($D8,H$7)/100</f>
        <v/>
      </c>
      <c r="I8" s="16">
        <f>BDP($D8,I$7)/100</f>
        <v/>
      </c>
      <c r="J8" s="16">
        <f>BDP($D8,J$7)/100</f>
        <v/>
      </c>
      <c r="K8" s="16">
        <f>BDP($E8,K$7)/100</f>
        <v/>
      </c>
      <c r="L8" s="16">
        <f>BDP($E8,L$7)/100</f>
        <v/>
      </c>
      <c r="M8" s="16">
        <f>BDP($E8,M$7)/100</f>
        <v/>
      </c>
      <c r="N8" s="16">
        <f>BDP($E8,N$7)/100</f>
        <v/>
      </c>
      <c r="P8" s="9" t="n"/>
      <c r="Q8" s="10" t="n"/>
    </row>
    <row r="9">
      <c r="A9" s="17" t="inlineStr">
        <is>
          <t>Russell 2000</t>
        </is>
      </c>
      <c r="B9" s="18" t="inlineStr">
        <is>
          <t>Russell 2K</t>
        </is>
      </c>
      <c r="C9" s="19" t="inlineStr">
        <is>
          <t>EQUITY</t>
        </is>
      </c>
      <c r="D9" s="14" t="inlineStr">
        <is>
          <t>RTY Index</t>
        </is>
      </c>
      <c r="E9" s="14" t="inlineStr">
        <is>
          <t>RU20INTR Index</t>
        </is>
      </c>
      <c r="F9" s="20">
        <f>BDP($D9,F$7)</f>
        <v/>
      </c>
      <c r="G9" s="21">
        <f>BDP($D9,G$7)/100</f>
        <v/>
      </c>
      <c r="H9" s="21">
        <f>BDP($D9,H$7)/100</f>
        <v/>
      </c>
      <c r="I9" s="21">
        <f>BDP($D9,I$7)/100</f>
        <v/>
      </c>
      <c r="J9" s="21">
        <f>BDP($D9,J$7)/100</f>
        <v/>
      </c>
      <c r="K9" s="21">
        <f>BDP($E9,K$7)/100</f>
        <v/>
      </c>
      <c r="L9" s="21">
        <f>BDP($E9,L$7)/100</f>
        <v/>
      </c>
      <c r="M9" s="21">
        <f>BDP($E9,M$7)/100</f>
        <v/>
      </c>
      <c r="N9" s="21">
        <f>BDP($E9,N$7)/100</f>
        <v/>
      </c>
      <c r="P9" s="9" t="n"/>
      <c r="Q9" s="10" t="n"/>
    </row>
    <row r="10">
      <c r="A10" s="11" t="inlineStr">
        <is>
          <t>Nasdaq 100</t>
        </is>
      </c>
      <c r="B10" s="12" t="inlineStr">
        <is>
          <t>Nasdaq 100</t>
        </is>
      </c>
      <c r="C10" s="13" t="inlineStr">
        <is>
          <t>EQUITY</t>
        </is>
      </c>
      <c r="D10" s="14" t="inlineStr">
        <is>
          <t>NDX Index</t>
        </is>
      </c>
      <c r="E10" s="14" t="inlineStr">
        <is>
          <t>XNDX Index</t>
        </is>
      </c>
      <c r="F10" s="15">
        <f>BDP($D10,F$7)</f>
        <v/>
      </c>
      <c r="G10" s="16">
        <f>BDP($D10,G$7)/100</f>
        <v/>
      </c>
      <c r="H10" s="16">
        <f>BDP($D10,H$7)/100</f>
        <v/>
      </c>
      <c r="I10" s="16">
        <f>BDP($D10,I$7)/100</f>
        <v/>
      </c>
      <c r="J10" s="16">
        <f>BDP($D10,J$7)/100</f>
        <v/>
      </c>
      <c r="K10" s="16">
        <f>BDP($E10,K$7)/100</f>
        <v/>
      </c>
      <c r="L10" s="16">
        <f>BDP($E10,L$7)/100</f>
        <v/>
      </c>
      <c r="M10" s="16">
        <f>BDP($E10,M$7)/100</f>
        <v/>
      </c>
      <c r="N10" s="16">
        <f>BDP($E10,N$7)/100</f>
        <v/>
      </c>
      <c r="P10" s="9" t="n"/>
      <c r="Q10" s="10" t="n"/>
    </row>
    <row r="11">
      <c r="A11" s="17" t="inlineStr">
        <is>
          <t>Dow Jones Industrial</t>
        </is>
      </c>
      <c r="B11" s="18" t="inlineStr">
        <is>
          <t>Dow Jones</t>
        </is>
      </c>
      <c r="C11" s="19" t="inlineStr">
        <is>
          <t>EQUITY</t>
        </is>
      </c>
      <c r="D11" s="14" t="inlineStr">
        <is>
          <t>INDU Index</t>
        </is>
      </c>
      <c r="E11" s="14" t="inlineStr">
        <is>
          <t>DJITR Index</t>
        </is>
      </c>
      <c r="F11" s="20">
        <f>BDP($D11,F$7)</f>
        <v/>
      </c>
      <c r="G11" s="21">
        <f>BDP($D11,G$7)/100</f>
        <v/>
      </c>
      <c r="H11" s="21">
        <f>BDP($D11,H$7)/100</f>
        <v/>
      </c>
      <c r="I11" s="21">
        <f>BDP($D11,I$7)/100</f>
        <v/>
      </c>
      <c r="J11" s="21">
        <f>BDP($D11,J$7)/100</f>
        <v/>
      </c>
      <c r="K11" s="21">
        <f>BDP($E11,K$7)/100</f>
        <v/>
      </c>
      <c r="L11" s="21">
        <f>BDP($E11,L$7)/100</f>
        <v/>
      </c>
      <c r="M11" s="21">
        <f>BDP($E11,M$7)/100</f>
        <v/>
      </c>
      <c r="N11" s="21">
        <f>BDP($E11,N$7)/100</f>
        <v/>
      </c>
      <c r="P11" s="9" t="n"/>
      <c r="Q11" s="10" t="n"/>
    </row>
    <row r="12">
      <c r="A12" s="11" t="inlineStr">
        <is>
          <t>STOXX Europe 600</t>
        </is>
      </c>
      <c r="B12" s="12" t="inlineStr">
        <is>
          <t>STOXX 600</t>
        </is>
      </c>
      <c r="C12" s="13" t="inlineStr">
        <is>
          <t>EQUITY</t>
        </is>
      </c>
      <c r="D12" s="14" t="inlineStr">
        <is>
          <t>SXXP Index</t>
        </is>
      </c>
      <c r="E12" s="14" t="inlineStr">
        <is>
          <t>SXXR Index</t>
        </is>
      </c>
      <c r="F12" s="15">
        <f>BDP($D12,F$7)</f>
        <v/>
      </c>
      <c r="G12" s="16">
        <f>BDP($D12,G$7)/100</f>
        <v/>
      </c>
      <c r="H12" s="16">
        <f>BDP($D12,H$7)/100</f>
        <v/>
      </c>
      <c r="I12" s="16">
        <f>BDP($D12,I$7)/100</f>
        <v/>
      </c>
      <c r="J12" s="16">
        <f>BDP($D12,J$7)/100</f>
        <v/>
      </c>
      <c r="K12" s="16">
        <f>BDP($E12,K$7)/100</f>
        <v/>
      </c>
      <c r="L12" s="16">
        <f>BDP($E12,L$7)/100</f>
        <v/>
      </c>
      <c r="M12" s="16">
        <f>BDP($E12,M$7)/100</f>
        <v/>
      </c>
      <c r="N12" s="16">
        <f>BDP($E12,N$7)/100</f>
        <v/>
      </c>
      <c r="P12" s="9" t="n"/>
      <c r="Q12" s="10" t="n"/>
    </row>
    <row r="13">
      <c r="A13" s="17" t="inlineStr">
        <is>
          <t>Euro Stoxx 50</t>
        </is>
      </c>
      <c r="B13" s="18" t="inlineStr">
        <is>
          <t>Euro Stoxx 50</t>
        </is>
      </c>
      <c r="C13" s="19" t="inlineStr">
        <is>
          <t>EQUITY</t>
        </is>
      </c>
      <c r="D13" s="14" t="inlineStr">
        <is>
          <t>SX5E Index</t>
        </is>
      </c>
      <c r="E13" s="14" t="inlineStr">
        <is>
          <t>SX5T Index</t>
        </is>
      </c>
      <c r="F13" s="20">
        <f>BDP($D13,F$7)</f>
        <v/>
      </c>
      <c r="G13" s="21">
        <f>BDP($D13,G$7)/100</f>
        <v/>
      </c>
      <c r="H13" s="21">
        <f>BDP($D13,H$7)/100</f>
        <v/>
      </c>
      <c r="I13" s="21">
        <f>BDP($D13,I$7)/100</f>
        <v/>
      </c>
      <c r="J13" s="21">
        <f>BDP($D13,J$7)/100</f>
        <v/>
      </c>
      <c r="K13" s="21">
        <f>BDP($E13,K$7)/100</f>
        <v/>
      </c>
      <c r="L13" s="21">
        <f>BDP($E13,L$7)/100</f>
        <v/>
      </c>
      <c r="M13" s="21">
        <f>BDP($E13,M$7)/100</f>
        <v/>
      </c>
      <c r="N13" s="21">
        <f>BDP($E13,N$7)/100</f>
        <v/>
      </c>
      <c r="P13" s="9" t="n"/>
      <c r="Q13" s="10" t="n"/>
    </row>
    <row r="14">
      <c r="A14" s="11" t="inlineStr">
        <is>
          <t>DAX 40 (Germany)</t>
        </is>
      </c>
      <c r="B14" s="12" t="inlineStr">
        <is>
          <t>DAX</t>
        </is>
      </c>
      <c r="C14" s="13" t="inlineStr">
        <is>
          <t>EQUITY</t>
        </is>
      </c>
      <c r="D14" s="14" t="inlineStr">
        <is>
          <t>DAX Index</t>
        </is>
      </c>
      <c r="E14" s="14" t="inlineStr">
        <is>
          <t>DAX Index</t>
        </is>
      </c>
      <c r="F14" s="15">
        <f>BDP($D14,F$7)</f>
        <v/>
      </c>
      <c r="G14" s="16">
        <f>BDP($D14,G$7)/100</f>
        <v/>
      </c>
      <c r="H14" s="16">
        <f>BDP($D14,H$7)/100</f>
        <v/>
      </c>
      <c r="I14" s="16">
        <f>BDP($D14,I$7)/100</f>
        <v/>
      </c>
      <c r="J14" s="16">
        <f>BDP($D14,J$7)/100</f>
        <v/>
      </c>
      <c r="K14" s="16">
        <f>BDP($E14,K$7)/100</f>
        <v/>
      </c>
      <c r="L14" s="16">
        <f>BDP($E14,L$7)/100</f>
        <v/>
      </c>
      <c r="M14" s="16">
        <f>BDP($E14,M$7)/100</f>
        <v/>
      </c>
      <c r="N14" s="16">
        <f>BDP($E14,N$7)/100</f>
        <v/>
      </c>
      <c r="P14" s="9" t="n"/>
      <c r="Q14" s="10" t="n"/>
    </row>
    <row r="15">
      <c r="A15" s="17" t="inlineStr">
        <is>
          <t>CAC 40 (France)</t>
        </is>
      </c>
      <c r="B15" s="18" t="inlineStr">
        <is>
          <t>CAC 40</t>
        </is>
      </c>
      <c r="C15" s="19" t="inlineStr">
        <is>
          <t>EQUITY</t>
        </is>
      </c>
      <c r="D15" s="14" t="inlineStr">
        <is>
          <t>CAC Index</t>
        </is>
      </c>
      <c r="E15" s="14" t="inlineStr">
        <is>
          <t>CACR Index</t>
        </is>
      </c>
      <c r="F15" s="20">
        <f>BDP($D15,F$7)</f>
        <v/>
      </c>
      <c r="G15" s="21">
        <f>BDP($D15,G$7)/100</f>
        <v/>
      </c>
      <c r="H15" s="21">
        <f>BDP($D15,H$7)/100</f>
        <v/>
      </c>
      <c r="I15" s="21">
        <f>BDP($D15,I$7)/100</f>
        <v/>
      </c>
      <c r="J15" s="21">
        <f>BDP($D15,J$7)/100</f>
        <v/>
      </c>
      <c r="K15" s="21">
        <f>BDP($E15,K$7)/100</f>
        <v/>
      </c>
      <c r="L15" s="21">
        <f>BDP($E15,L$7)/100</f>
        <v/>
      </c>
      <c r="M15" s="21">
        <f>BDP($E15,M$7)/100</f>
        <v/>
      </c>
      <c r="N15" s="21">
        <f>BDP($E15,N$7)/100</f>
        <v/>
      </c>
      <c r="P15" s="9" t="n"/>
      <c r="Q15" s="10" t="n"/>
    </row>
    <row r="16">
      <c r="A16" s="11" t="inlineStr">
        <is>
          <t>FTSE 100 (UK)</t>
        </is>
      </c>
      <c r="B16" s="12" t="inlineStr">
        <is>
          <t>FTSE 100</t>
        </is>
      </c>
      <c r="C16" s="13" t="inlineStr">
        <is>
          <t>EQUITY</t>
        </is>
      </c>
      <c r="D16" s="14" t="inlineStr">
        <is>
          <t>UKX Index</t>
        </is>
      </c>
      <c r="E16" s="14" t="inlineStr">
        <is>
          <t>TUKXG Index</t>
        </is>
      </c>
      <c r="F16" s="15">
        <f>BDP($D16,F$7)</f>
        <v/>
      </c>
      <c r="G16" s="16">
        <f>BDP($D16,G$7)/100</f>
        <v/>
      </c>
      <c r="H16" s="16">
        <f>BDP($D16,H$7)/100</f>
        <v/>
      </c>
      <c r="I16" s="16">
        <f>BDP($D16,I$7)/100</f>
        <v/>
      </c>
      <c r="J16" s="16">
        <f>BDP($D16,J$7)/100</f>
        <v/>
      </c>
      <c r="K16" s="16">
        <f>BDP($E16,K$7)/100</f>
        <v/>
      </c>
      <c r="L16" s="16">
        <f>BDP($E16,L$7)/100</f>
        <v/>
      </c>
      <c r="M16" s="16">
        <f>BDP($E16,M$7)/100</f>
        <v/>
      </c>
      <c r="N16" s="16">
        <f>BDP($E16,N$7)/100</f>
        <v/>
      </c>
      <c r="P16" s="9" t="n"/>
      <c r="Q16" s="10" t="n"/>
    </row>
    <row r="17">
      <c r="A17" s="17" t="inlineStr">
        <is>
          <t>FTSE 250 (UK Mid)</t>
        </is>
      </c>
      <c r="B17" s="18" t="inlineStr">
        <is>
          <t>FTSE 250</t>
        </is>
      </c>
      <c r="C17" s="19" t="inlineStr">
        <is>
          <t>EQUITY</t>
        </is>
      </c>
      <c r="D17" s="14" t="inlineStr">
        <is>
          <t>MCX Index</t>
        </is>
      </c>
      <c r="E17" s="14" t="inlineStr">
        <is>
          <t>MCXR Index</t>
        </is>
      </c>
      <c r="F17" s="20">
        <f>BDP($D17,F$7)</f>
        <v/>
      </c>
      <c r="G17" s="21">
        <f>BDP($D17,G$7)/100</f>
        <v/>
      </c>
      <c r="H17" s="21">
        <f>BDP($D17,H$7)/100</f>
        <v/>
      </c>
      <c r="I17" s="21">
        <f>BDP($D17,I$7)/100</f>
        <v/>
      </c>
      <c r="J17" s="21">
        <f>BDP($D17,J$7)/100</f>
        <v/>
      </c>
      <c r="K17" s="21">
        <f>BDP($E17,K$7)/100</f>
        <v/>
      </c>
      <c r="L17" s="21">
        <f>BDP($E17,L$7)/100</f>
        <v/>
      </c>
      <c r="M17" s="21">
        <f>BDP($E17,M$7)/100</f>
        <v/>
      </c>
      <c r="N17" s="21">
        <f>BDP($E17,N$7)/100</f>
        <v/>
      </c>
      <c r="P17" s="9" t="n"/>
      <c r="Q17" s="10" t="n"/>
    </row>
    <row r="18">
      <c r="A18" s="11" t="inlineStr">
        <is>
          <t>Nikkei 225 (Japan)</t>
        </is>
      </c>
      <c r="B18" s="12" t="inlineStr">
        <is>
          <t>Nikkei</t>
        </is>
      </c>
      <c r="C18" s="13" t="inlineStr">
        <is>
          <t>EQUITY</t>
        </is>
      </c>
      <c r="D18" s="14" t="inlineStr">
        <is>
          <t>NKY Index</t>
        </is>
      </c>
      <c r="E18" s="14" t="inlineStr">
        <is>
          <t>NKYTR Index</t>
        </is>
      </c>
      <c r="F18" s="15">
        <f>BDP($D18,F$7)</f>
        <v/>
      </c>
      <c r="G18" s="16">
        <f>BDP($D18,G$7)/100</f>
        <v/>
      </c>
      <c r="H18" s="16">
        <f>BDP($D18,H$7)/100</f>
        <v/>
      </c>
      <c r="I18" s="16">
        <f>BDP($D18,I$7)/100</f>
        <v/>
      </c>
      <c r="J18" s="16">
        <f>BDP($D18,J$7)/100</f>
        <v/>
      </c>
      <c r="K18" s="16">
        <f>BDP($E18,K$7)/100</f>
        <v/>
      </c>
      <c r="L18" s="16">
        <f>BDP($E18,L$7)/100</f>
        <v/>
      </c>
      <c r="M18" s="16">
        <f>BDP($E18,M$7)/100</f>
        <v/>
      </c>
      <c r="N18" s="16">
        <f>BDP($E18,N$7)/100</f>
        <v/>
      </c>
      <c r="P18" s="9" t="n"/>
      <c r="Q18" s="10" t="n"/>
    </row>
    <row r="19">
      <c r="A19" s="17" t="inlineStr">
        <is>
          <t>TOPIX (Japan)</t>
        </is>
      </c>
      <c r="B19" s="18" t="inlineStr">
        <is>
          <t>TOPIX</t>
        </is>
      </c>
      <c r="C19" s="19" t="inlineStr">
        <is>
          <t>EQUITY</t>
        </is>
      </c>
      <c r="D19" s="14" t="inlineStr">
        <is>
          <t>TPX Index</t>
        </is>
      </c>
      <c r="E19" s="14" t="inlineStr">
        <is>
          <t>TPXDDVD Index</t>
        </is>
      </c>
      <c r="F19" s="20">
        <f>BDP($D19,F$7)</f>
        <v/>
      </c>
      <c r="G19" s="21">
        <f>BDP($D19,G$7)/100</f>
        <v/>
      </c>
      <c r="H19" s="21">
        <f>BDP($D19,H$7)/100</f>
        <v/>
      </c>
      <c r="I19" s="21">
        <f>BDP($D19,I$7)/100</f>
        <v/>
      </c>
      <c r="J19" s="21">
        <f>BDP($D19,J$7)/100</f>
        <v/>
      </c>
      <c r="K19" s="21">
        <f>BDP($E19,K$7)/100</f>
        <v/>
      </c>
      <c r="L19" s="21">
        <f>BDP($E19,L$7)/100</f>
        <v/>
      </c>
      <c r="M19" s="21">
        <f>BDP($E19,M$7)/100</f>
        <v/>
      </c>
      <c r="N19" s="21">
        <f>BDP($E19,N$7)/100</f>
        <v/>
      </c>
      <c r="P19" s="9" t="n"/>
      <c r="Q19" s="10" t="n"/>
    </row>
    <row r="20">
      <c r="A20" s="11" t="inlineStr">
        <is>
          <t>MSCI Asia ex-Japan</t>
        </is>
      </c>
      <c r="B20" s="12" t="inlineStr">
        <is>
          <t>Asia ex-JP</t>
        </is>
      </c>
      <c r="C20" s="13" t="inlineStr">
        <is>
          <t>EQUITY</t>
        </is>
      </c>
      <c r="D20" s="14" t="inlineStr">
        <is>
          <t>MXASJ Index</t>
        </is>
      </c>
      <c r="E20" s="14" t="inlineStr">
        <is>
          <t>M1APJ Index</t>
        </is>
      </c>
      <c r="F20" s="15">
        <f>BDP($D20,F$7)</f>
        <v/>
      </c>
      <c r="G20" s="16">
        <f>BDP($D20,G$7)/100</f>
        <v/>
      </c>
      <c r="H20" s="16">
        <f>BDP($D20,H$7)/100</f>
        <v/>
      </c>
      <c r="I20" s="16">
        <f>BDP($D20,I$7)/100</f>
        <v/>
      </c>
      <c r="J20" s="16">
        <f>BDP($D20,J$7)/100</f>
        <v/>
      </c>
      <c r="K20" s="16">
        <f>BDP($E20,K$7)/100</f>
        <v/>
      </c>
      <c r="L20" s="16">
        <f>BDP($E20,L$7)/100</f>
        <v/>
      </c>
      <c r="M20" s="16">
        <f>BDP($E20,M$7)/100</f>
        <v/>
      </c>
      <c r="N20" s="16">
        <f>BDP($E20,N$7)/100</f>
        <v/>
      </c>
      <c r="P20" s="9" t="n"/>
      <c r="Q20" s="10" t="n"/>
    </row>
    <row r="21">
      <c r="A21" s="17" t="inlineStr">
        <is>
          <t>Hang Seng (HK)</t>
        </is>
      </c>
      <c r="B21" s="18" t="inlineStr">
        <is>
          <t>Hang Seng</t>
        </is>
      </c>
      <c r="C21" s="19" t="inlineStr">
        <is>
          <t>EQUITY</t>
        </is>
      </c>
      <c r="D21" s="14" t="inlineStr">
        <is>
          <t>HSI Index</t>
        </is>
      </c>
      <c r="E21" s="14" t="inlineStr">
        <is>
          <t>HSI1 Index</t>
        </is>
      </c>
      <c r="F21" s="20">
        <f>BDP($D21,F$7)</f>
        <v/>
      </c>
      <c r="G21" s="21">
        <f>BDP($D21,G$7)/100</f>
        <v/>
      </c>
      <c r="H21" s="21">
        <f>BDP($D21,H$7)/100</f>
        <v/>
      </c>
      <c r="I21" s="21">
        <f>BDP($D21,I$7)/100</f>
        <v/>
      </c>
      <c r="J21" s="21">
        <f>BDP($D21,J$7)/100</f>
        <v/>
      </c>
      <c r="K21" s="21">
        <f>BDP($E21,K$7)/100</f>
        <v/>
      </c>
      <c r="L21" s="21">
        <f>BDP($E21,L$7)/100</f>
        <v/>
      </c>
      <c r="M21" s="21">
        <f>BDP($E21,M$7)/100</f>
        <v/>
      </c>
      <c r="N21" s="21">
        <f>BDP($E21,N$7)/100</f>
        <v/>
      </c>
      <c r="P21" s="9" t="n"/>
      <c r="Q21" s="10" t="n"/>
    </row>
    <row r="22">
      <c r="A22" s="11" t="inlineStr">
        <is>
          <t>CSI 300 (China A)</t>
        </is>
      </c>
      <c r="B22" s="12" t="inlineStr">
        <is>
          <t>CSI 300</t>
        </is>
      </c>
      <c r="C22" s="13" t="inlineStr">
        <is>
          <t>EQUITY</t>
        </is>
      </c>
      <c r="D22" s="14" t="inlineStr">
        <is>
          <t>SHSZ300 Index</t>
        </is>
      </c>
      <c r="E22" s="14" t="inlineStr">
        <is>
          <t>SHSZ300 Index</t>
        </is>
      </c>
      <c r="F22" s="15">
        <f>BDP($D22,F$7)</f>
        <v/>
      </c>
      <c r="G22" s="16">
        <f>BDP($D22,G$7)/100</f>
        <v/>
      </c>
      <c r="H22" s="16">
        <f>BDP($D22,H$7)/100</f>
        <v/>
      </c>
      <c r="I22" s="16">
        <f>BDP($D22,I$7)/100</f>
        <v/>
      </c>
      <c r="J22" s="16">
        <f>BDP($D22,J$7)/100</f>
        <v/>
      </c>
      <c r="K22" s="16">
        <f>BDP($E22,K$7)/100</f>
        <v/>
      </c>
      <c r="L22" s="16">
        <f>BDP($E22,L$7)/100</f>
        <v/>
      </c>
      <c r="M22" s="16">
        <f>BDP($E22,M$7)/100</f>
        <v/>
      </c>
      <c r="N22" s="16">
        <f>BDP($E22,N$7)/100</f>
        <v/>
      </c>
      <c r="P22" s="9" t="n"/>
      <c r="Q22" s="10" t="n"/>
    </row>
    <row r="23">
      <c r="A23" s="17" t="inlineStr">
        <is>
          <t>MSCI China</t>
        </is>
      </c>
      <c r="B23" s="18" t="inlineStr">
        <is>
          <t>MSCI China</t>
        </is>
      </c>
      <c r="C23" s="19" t="inlineStr">
        <is>
          <t>EQUITY</t>
        </is>
      </c>
      <c r="D23" s="14" t="inlineStr">
        <is>
          <t>MXCN Index</t>
        </is>
      </c>
      <c r="E23" s="14" t="inlineStr">
        <is>
          <t>NDEUCHF Index</t>
        </is>
      </c>
      <c r="F23" s="20">
        <f>BDP($D23,F$7)</f>
        <v/>
      </c>
      <c r="G23" s="21">
        <f>BDP($D23,G$7)/100</f>
        <v/>
      </c>
      <c r="H23" s="21">
        <f>BDP($D23,H$7)/100</f>
        <v/>
      </c>
      <c r="I23" s="21">
        <f>BDP($D23,I$7)/100</f>
        <v/>
      </c>
      <c r="J23" s="21">
        <f>BDP($D23,J$7)/100</f>
        <v/>
      </c>
      <c r="K23" s="21">
        <f>BDP($E23,K$7)/100</f>
        <v/>
      </c>
      <c r="L23" s="21">
        <f>BDP($E23,L$7)/100</f>
        <v/>
      </c>
      <c r="M23" s="21">
        <f>BDP($E23,M$7)/100</f>
        <v/>
      </c>
      <c r="N23" s="21">
        <f>BDP($E23,N$7)/100</f>
        <v/>
      </c>
      <c r="P23" s="9" t="n"/>
      <c r="Q23" s="10" t="n"/>
    </row>
    <row r="24">
      <c r="A24" s="11" t="inlineStr">
        <is>
          <t>Nifty 50 (India)</t>
        </is>
      </c>
      <c r="B24" s="12" t="inlineStr">
        <is>
          <t>Nifty 50</t>
        </is>
      </c>
      <c r="C24" s="13" t="inlineStr">
        <is>
          <t>EQUITY</t>
        </is>
      </c>
      <c r="D24" s="14" t="inlineStr">
        <is>
          <t>NIFTY Index</t>
        </is>
      </c>
      <c r="E24" s="14" t="inlineStr">
        <is>
          <t>NIFTYTRI Index</t>
        </is>
      </c>
      <c r="F24" s="15">
        <f>BDP($D24,F$7)</f>
        <v/>
      </c>
      <c r="G24" s="16">
        <f>BDP($D24,G$7)/100</f>
        <v/>
      </c>
      <c r="H24" s="16">
        <f>BDP($D24,H$7)/100</f>
        <v/>
      </c>
      <c r="I24" s="16">
        <f>BDP($D24,I$7)/100</f>
        <v/>
      </c>
      <c r="J24" s="16">
        <f>BDP($D24,J$7)/100</f>
        <v/>
      </c>
      <c r="K24" s="16">
        <f>BDP($E24,K$7)/100</f>
        <v/>
      </c>
      <c r="L24" s="16">
        <f>BDP($E24,L$7)/100</f>
        <v/>
      </c>
      <c r="M24" s="16">
        <f>BDP($E24,M$7)/100</f>
        <v/>
      </c>
      <c r="N24" s="16">
        <f>BDP($E24,N$7)/100</f>
        <v/>
      </c>
      <c r="P24" s="9" t="n"/>
      <c r="Q24" s="10" t="n"/>
    </row>
    <row r="25">
      <c r="A25" s="17" t="inlineStr">
        <is>
          <t>Sensex (India)</t>
        </is>
      </c>
      <c r="B25" s="18" t="inlineStr">
        <is>
          <t>Sensex</t>
        </is>
      </c>
      <c r="C25" s="19" t="inlineStr">
        <is>
          <t>EQUITY</t>
        </is>
      </c>
      <c r="D25" s="14" t="inlineStr">
        <is>
          <t>SENSEX Index</t>
        </is>
      </c>
      <c r="E25" s="14" t="inlineStr">
        <is>
          <t>SENSEX Index</t>
        </is>
      </c>
      <c r="F25" s="20">
        <f>BDP($D25,F$7)</f>
        <v/>
      </c>
      <c r="G25" s="21">
        <f>BDP($D25,G$7)/100</f>
        <v/>
      </c>
      <c r="H25" s="21">
        <f>BDP($D25,H$7)/100</f>
        <v/>
      </c>
      <c r="I25" s="21">
        <f>BDP($D25,I$7)/100</f>
        <v/>
      </c>
      <c r="J25" s="21">
        <f>BDP($D25,J$7)/100</f>
        <v/>
      </c>
      <c r="K25" s="21">
        <f>BDP($E25,K$7)/100</f>
        <v/>
      </c>
      <c r="L25" s="21">
        <f>BDP($E25,L$7)/100</f>
        <v/>
      </c>
      <c r="M25" s="21">
        <f>BDP($E25,M$7)/100</f>
        <v/>
      </c>
      <c r="N25" s="21">
        <f>BDP($E25,N$7)/100</f>
        <v/>
      </c>
      <c r="P25" s="9" t="n"/>
      <c r="Q25" s="10" t="n"/>
    </row>
    <row r="26">
      <c r="A26" s="11" t="inlineStr">
        <is>
          <t>MSCI EM Latin America</t>
        </is>
      </c>
      <c r="B26" s="12" t="inlineStr">
        <is>
          <t>MSCI Latam</t>
        </is>
      </c>
      <c r="C26" s="13" t="inlineStr">
        <is>
          <t>EQUITY</t>
        </is>
      </c>
      <c r="D26" s="14" t="inlineStr">
        <is>
          <t>MXLA Index</t>
        </is>
      </c>
      <c r="E26" s="14" t="inlineStr">
        <is>
          <t>NDUELASF Index</t>
        </is>
      </c>
      <c r="F26" s="15">
        <f>BDP($D26,F$7)</f>
        <v/>
      </c>
      <c r="G26" s="16">
        <f>BDP($D26,G$7)/100</f>
        <v/>
      </c>
      <c r="H26" s="16">
        <f>BDP($D26,H$7)/100</f>
        <v/>
      </c>
      <c r="I26" s="16">
        <f>BDP($D26,I$7)/100</f>
        <v/>
      </c>
      <c r="J26" s="16">
        <f>BDP($D26,J$7)/100</f>
        <v/>
      </c>
      <c r="K26" s="16">
        <f>BDP($E26,K$7)/100</f>
        <v/>
      </c>
      <c r="L26" s="16">
        <f>BDP($E26,L$7)/100</f>
        <v/>
      </c>
      <c r="M26" s="16">
        <f>BDP($E26,M$7)/100</f>
        <v/>
      </c>
      <c r="N26" s="16">
        <f>BDP($E26,N$7)/100</f>
        <v/>
      </c>
      <c r="P26" s="9" t="n"/>
      <c r="Q26" s="10" t="n"/>
    </row>
    <row r="27">
      <c r="A27" s="17" t="inlineStr">
        <is>
          <t>Bovespa (Brazil)</t>
        </is>
      </c>
      <c r="B27" s="18" t="inlineStr">
        <is>
          <t>Bovespa</t>
        </is>
      </c>
      <c r="C27" s="19" t="inlineStr">
        <is>
          <t>EQUITY</t>
        </is>
      </c>
      <c r="D27" s="14" t="inlineStr">
        <is>
          <t>IBOV Index</t>
        </is>
      </c>
      <c r="E27" s="14" t="inlineStr">
        <is>
          <t>IBOV Index</t>
        </is>
      </c>
      <c r="F27" s="20">
        <f>BDP($D27,F$7)</f>
        <v/>
      </c>
      <c r="G27" s="21">
        <f>BDP($D27,G$7)/100</f>
        <v/>
      </c>
      <c r="H27" s="21">
        <f>BDP($D27,H$7)/100</f>
        <v/>
      </c>
      <c r="I27" s="21">
        <f>BDP($D27,I$7)/100</f>
        <v/>
      </c>
      <c r="J27" s="21">
        <f>BDP($D27,J$7)/100</f>
        <v/>
      </c>
      <c r="K27" s="21">
        <f>BDP($E27,K$7)/100</f>
        <v/>
      </c>
      <c r="L27" s="21">
        <f>BDP($E27,L$7)/100</f>
        <v/>
      </c>
      <c r="M27" s="21">
        <f>BDP($E27,M$7)/100</f>
        <v/>
      </c>
      <c r="N27" s="21">
        <f>BDP($E27,N$7)/100</f>
        <v/>
      </c>
      <c r="P27" s="9" t="n"/>
      <c r="Q27" s="10" t="n"/>
    </row>
    <row r="28">
      <c r="A28" s="11" t="inlineStr">
        <is>
          <t>Mexbol (Mexico)</t>
        </is>
      </c>
      <c r="B28" s="12" t="inlineStr">
        <is>
          <t>Mexbol</t>
        </is>
      </c>
      <c r="C28" s="13" t="inlineStr">
        <is>
          <t>EQUITY</t>
        </is>
      </c>
      <c r="D28" s="14" t="inlineStr">
        <is>
          <t>MEXBOL Index</t>
        </is>
      </c>
      <c r="E28" s="14" t="inlineStr">
        <is>
          <t>MEXBOL Index</t>
        </is>
      </c>
      <c r="F28" s="15">
        <f>BDP($D28,F$7)</f>
        <v/>
      </c>
      <c r="G28" s="16">
        <f>BDP($D28,G$7)/100</f>
        <v/>
      </c>
      <c r="H28" s="16">
        <f>BDP($D28,H$7)/100</f>
        <v/>
      </c>
      <c r="I28" s="16">
        <f>BDP($D28,I$7)/100</f>
        <v/>
      </c>
      <c r="J28" s="16">
        <f>BDP($D28,J$7)/100</f>
        <v/>
      </c>
      <c r="K28" s="16">
        <f>BDP($E28,K$7)/100</f>
        <v/>
      </c>
      <c r="L28" s="16">
        <f>BDP($E28,L$7)/100</f>
        <v/>
      </c>
      <c r="M28" s="16">
        <f>BDP($E28,M$7)/100</f>
        <v/>
      </c>
      <c r="N28" s="16">
        <f>BDP($E28,N$7)/100</f>
        <v/>
      </c>
      <c r="P28" s="9" t="n"/>
      <c r="Q28" s="10" t="n"/>
    </row>
    <row r="29">
      <c r="A29" s="17" t="inlineStr">
        <is>
          <t>MSCI Emerging Markets</t>
        </is>
      </c>
      <c r="B29" s="18" t="inlineStr">
        <is>
          <t>MSCI EM</t>
        </is>
      </c>
      <c r="C29" s="19" t="inlineStr">
        <is>
          <t>EQUITY</t>
        </is>
      </c>
      <c r="D29" s="14" t="inlineStr">
        <is>
          <t>MXEF Index</t>
        </is>
      </c>
      <c r="E29" s="14" t="inlineStr">
        <is>
          <t>NDUEEGF Index</t>
        </is>
      </c>
      <c r="F29" s="20">
        <f>BDP($D29,F$7)</f>
        <v/>
      </c>
      <c r="G29" s="21">
        <f>BDP($D29,G$7)/100</f>
        <v/>
      </c>
      <c r="H29" s="21">
        <f>BDP($D29,H$7)/100</f>
        <v/>
      </c>
      <c r="I29" s="21">
        <f>BDP($D29,I$7)/100</f>
        <v/>
      </c>
      <c r="J29" s="21">
        <f>BDP($D29,J$7)/100</f>
        <v/>
      </c>
      <c r="K29" s="21">
        <f>BDP($E29,K$7)/100</f>
        <v/>
      </c>
      <c r="L29" s="21">
        <f>BDP($E29,L$7)/100</f>
        <v/>
      </c>
      <c r="M29" s="21">
        <f>BDP($E29,M$7)/100</f>
        <v/>
      </c>
      <c r="N29" s="21">
        <f>BDP($E29,N$7)/100</f>
        <v/>
      </c>
      <c r="P29" s="9" t="n"/>
      <c r="Q29" s="10" t="n"/>
    </row>
    <row r="30">
      <c r="A30" s="11" t="inlineStr">
        <is>
          <t>Gold (Spot $/oz)</t>
        </is>
      </c>
      <c r="B30" s="12" t="inlineStr">
        <is>
          <t>Gold</t>
        </is>
      </c>
      <c r="C30" s="13" t="inlineStr">
        <is>
          <t>COMMODITY</t>
        </is>
      </c>
      <c r="D30" s="14" t="inlineStr">
        <is>
          <t>XAU Curncy</t>
        </is>
      </c>
      <c r="E30" s="14" t="inlineStr">
        <is>
          <t>XAU Curncy</t>
        </is>
      </c>
      <c r="F30" s="15">
        <f>BDP($D30,F$7)</f>
        <v/>
      </c>
      <c r="G30" s="16">
        <f>BDP($D30,G$7)/100</f>
        <v/>
      </c>
      <c r="H30" s="16">
        <f>BDP($D30,H$7)/100</f>
        <v/>
      </c>
      <c r="I30" s="16">
        <f>BDP($D30,I$7)/100</f>
        <v/>
      </c>
      <c r="J30" s="16">
        <f>BDP($D30,J$7)/100</f>
        <v/>
      </c>
      <c r="K30" s="16">
        <f>BDP($E30,K$7)/100</f>
        <v/>
      </c>
      <c r="L30" s="16">
        <f>BDP($E30,L$7)/100</f>
        <v/>
      </c>
      <c r="M30" s="16">
        <f>BDP($E30,M$7)/100</f>
        <v/>
      </c>
      <c r="N30" s="16">
        <f>BDP($E30,N$7)/100</f>
        <v/>
      </c>
      <c r="P30" s="9" t="n"/>
      <c r="Q30" s="10" t="n"/>
    </row>
    <row r="31">
      <c r="A31" s="17" t="inlineStr">
        <is>
          <t>Silver (Spot $/oz)</t>
        </is>
      </c>
      <c r="B31" s="18" t="inlineStr">
        <is>
          <t>Silver</t>
        </is>
      </c>
      <c r="C31" s="19" t="inlineStr">
        <is>
          <t>COMMODITY</t>
        </is>
      </c>
      <c r="D31" s="14" t="inlineStr">
        <is>
          <t>XAG Curncy</t>
        </is>
      </c>
      <c r="E31" s="14" t="inlineStr">
        <is>
          <t>XAG Curncy</t>
        </is>
      </c>
      <c r="F31" s="20">
        <f>BDP($D31,F$7)</f>
        <v/>
      </c>
      <c r="G31" s="21">
        <f>BDP($D31,G$7)/100</f>
        <v/>
      </c>
      <c r="H31" s="21">
        <f>BDP($D31,H$7)/100</f>
        <v/>
      </c>
      <c r="I31" s="21">
        <f>BDP($D31,I$7)/100</f>
        <v/>
      </c>
      <c r="J31" s="21">
        <f>BDP($D31,J$7)/100</f>
        <v/>
      </c>
      <c r="K31" s="21">
        <f>BDP($E31,K$7)/100</f>
        <v/>
      </c>
      <c r="L31" s="21">
        <f>BDP($E31,L$7)/100</f>
        <v/>
      </c>
      <c r="M31" s="21">
        <f>BDP($E31,M$7)/100</f>
        <v/>
      </c>
      <c r="N31" s="21">
        <f>BDP($E31,N$7)/100</f>
        <v/>
      </c>
      <c r="P31" s="9" t="n"/>
      <c r="Q31" s="10" t="n"/>
    </row>
    <row r="32">
      <c r="A32" s="11" t="inlineStr">
        <is>
          <t>Copper (LME Spot $/t)</t>
        </is>
      </c>
      <c r="B32" s="12" t="inlineStr">
        <is>
          <t>Copper</t>
        </is>
      </c>
      <c r="C32" s="13" t="inlineStr">
        <is>
          <t>COMMODITY</t>
        </is>
      </c>
      <c r="D32" s="14" t="inlineStr">
        <is>
          <t>LMCADY Comdty</t>
        </is>
      </c>
      <c r="E32" s="14" t="inlineStr">
        <is>
          <t>LMCADY Comdty</t>
        </is>
      </c>
      <c r="F32" s="15">
        <f>BDP($D32,F$7)</f>
        <v/>
      </c>
      <c r="G32" s="16">
        <f>BDP($D32,G$7)/100</f>
        <v/>
      </c>
      <c r="H32" s="16">
        <f>BDP($D32,H$7)/100</f>
        <v/>
      </c>
      <c r="I32" s="16">
        <f>BDP($D32,I$7)/100</f>
        <v/>
      </c>
      <c r="J32" s="16">
        <f>BDP($D32,J$7)/100</f>
        <v/>
      </c>
      <c r="K32" s="16">
        <f>BDP($E32,K$7)/100</f>
        <v/>
      </c>
      <c r="L32" s="16">
        <f>BDP($E32,L$7)/100</f>
        <v/>
      </c>
      <c r="M32" s="16">
        <f>BDP($E32,M$7)/100</f>
        <v/>
      </c>
      <c r="N32" s="16">
        <f>BDP($E32,N$7)/100</f>
        <v/>
      </c>
      <c r="P32" s="9" t="n"/>
      <c r="Q32" s="10" t="n"/>
    </row>
    <row r="33">
      <c r="A33" s="17" t="inlineStr">
        <is>
          <t>WTI Crude Oil</t>
        </is>
      </c>
      <c r="B33" s="18" t="inlineStr">
        <is>
          <t>WTI</t>
        </is>
      </c>
      <c r="C33" s="19" t="inlineStr">
        <is>
          <t>COMMODITY</t>
        </is>
      </c>
      <c r="D33" s="14" t="inlineStr">
        <is>
          <t>CL1 Comdty</t>
        </is>
      </c>
      <c r="E33" s="14" t="inlineStr">
        <is>
          <t>CL1 Comdty</t>
        </is>
      </c>
      <c r="F33" s="20">
        <f>BDP($D33,F$7)</f>
        <v/>
      </c>
      <c r="G33" s="21">
        <f>BDP($D33,G$7)/100</f>
        <v/>
      </c>
      <c r="H33" s="21">
        <f>BDP($D33,H$7)/100</f>
        <v/>
      </c>
      <c r="I33" s="21">
        <f>BDP($D33,I$7)/100</f>
        <v/>
      </c>
      <c r="J33" s="21">
        <f>BDP($D33,J$7)/100</f>
        <v/>
      </c>
      <c r="K33" s="21">
        <f>BDP($E33,K$7)/100</f>
        <v/>
      </c>
      <c r="L33" s="21">
        <f>BDP($E33,L$7)/100</f>
        <v/>
      </c>
      <c r="M33" s="21">
        <f>BDP($E33,M$7)/100</f>
        <v/>
      </c>
      <c r="N33" s="21">
        <f>BDP($E33,N$7)/100</f>
        <v/>
      </c>
      <c r="P33" s="9" t="n"/>
      <c r="Q33" s="10" t="n"/>
    </row>
    <row r="34">
      <c r="A34" s="11" t="inlineStr">
        <is>
          <t>Brent Crude Oil</t>
        </is>
      </c>
      <c r="B34" s="12" t="inlineStr">
        <is>
          <t>Brent</t>
        </is>
      </c>
      <c r="C34" s="13" t="inlineStr">
        <is>
          <t>COMMODITY</t>
        </is>
      </c>
      <c r="D34" s="14" t="inlineStr">
        <is>
          <t>CO1 Comdty</t>
        </is>
      </c>
      <c r="E34" s="14" t="inlineStr">
        <is>
          <t>CO1 Comdty</t>
        </is>
      </c>
      <c r="F34" s="15">
        <f>BDP($D34,F$7)</f>
        <v/>
      </c>
      <c r="G34" s="16">
        <f>BDP($D34,G$7)/100</f>
        <v/>
      </c>
      <c r="H34" s="16">
        <f>BDP($D34,H$7)/100</f>
        <v/>
      </c>
      <c r="I34" s="16">
        <f>BDP($D34,I$7)/100</f>
        <v/>
      </c>
      <c r="J34" s="16">
        <f>BDP($D34,J$7)/100</f>
        <v/>
      </c>
      <c r="K34" s="16">
        <f>BDP($E34,K$7)/100</f>
        <v/>
      </c>
      <c r="L34" s="16">
        <f>BDP($E34,L$7)/100</f>
        <v/>
      </c>
      <c r="M34" s="16">
        <f>BDP($E34,M$7)/100</f>
        <v/>
      </c>
      <c r="N34" s="16">
        <f>BDP($E34,N$7)/100</f>
        <v/>
      </c>
      <c r="P34" s="9" t="n"/>
      <c r="Q34" s="10" t="n"/>
    </row>
    <row r="35">
      <c r="A35" s="17" t="inlineStr">
        <is>
          <t>Iron Ore (62%, SGX)</t>
        </is>
      </c>
      <c r="B35" s="18" t="inlineStr">
        <is>
          <t>Iron Ore</t>
        </is>
      </c>
      <c r="C35" s="19" t="inlineStr">
        <is>
          <t>COMMODITY</t>
        </is>
      </c>
      <c r="D35" s="14" t="inlineStr">
        <is>
          <t>SCO1 Comdty</t>
        </is>
      </c>
      <c r="E35" s="14" t="inlineStr">
        <is>
          <t>SCO1 Comdty</t>
        </is>
      </c>
      <c r="F35" s="20">
        <f>BDP($D35,F$7)</f>
        <v/>
      </c>
      <c r="G35" s="21">
        <f>BDP($D35,G$7)/100</f>
        <v/>
      </c>
      <c r="H35" s="21">
        <f>BDP($D35,H$7)/100</f>
        <v/>
      </c>
      <c r="I35" s="21">
        <f>BDP($D35,I$7)/100</f>
        <v/>
      </c>
      <c r="J35" s="21">
        <f>BDP($D35,J$7)/100</f>
        <v/>
      </c>
      <c r="K35" s="21">
        <f>BDP($E35,K$7)/100</f>
        <v/>
      </c>
      <c r="L35" s="21">
        <f>BDP($E35,L$7)/100</f>
        <v/>
      </c>
      <c r="M35" s="21">
        <f>BDP($E35,M$7)/100</f>
        <v/>
      </c>
      <c r="N35" s="21">
        <f>BDP($E35,N$7)/100</f>
        <v/>
      </c>
      <c r="P35" s="9" t="n"/>
      <c r="Q35" s="10" t="n"/>
    </row>
    <row r="36">
      <c r="A36" s="11" t="inlineStr">
        <is>
          <t>Bloomberg Commodity Idx</t>
        </is>
      </c>
      <c r="B36" s="12" t="inlineStr">
        <is>
          <t>BCOM</t>
        </is>
      </c>
      <c r="C36" s="13" t="inlineStr">
        <is>
          <t>COMMODITY</t>
        </is>
      </c>
      <c r="D36" s="14" t="inlineStr">
        <is>
          <t>BCOM Index</t>
        </is>
      </c>
      <c r="E36" s="14" t="inlineStr">
        <is>
          <t>BCOMTR Index</t>
        </is>
      </c>
      <c r="F36" s="15">
        <f>BDP($D36,F$7)</f>
        <v/>
      </c>
      <c r="G36" s="16">
        <f>BDP($D36,G$7)/100</f>
        <v/>
      </c>
      <c r="H36" s="16">
        <f>BDP($D36,H$7)/100</f>
        <v/>
      </c>
      <c r="I36" s="16">
        <f>BDP($D36,I$7)/100</f>
        <v/>
      </c>
      <c r="J36" s="16">
        <f>BDP($D36,J$7)/100</f>
        <v/>
      </c>
      <c r="K36" s="16">
        <f>BDP($E36,K$7)/100</f>
        <v/>
      </c>
      <c r="L36" s="16">
        <f>BDP($E36,L$7)/100</f>
        <v/>
      </c>
      <c r="M36" s="16">
        <f>BDP($E36,M$7)/100</f>
        <v/>
      </c>
      <c r="N36" s="16">
        <f>BDP($E36,N$7)/100</f>
        <v/>
      </c>
      <c r="P36" s="9" t="n"/>
      <c r="Q36" s="10" t="n"/>
    </row>
    <row r="37">
      <c r="A37" s="17" t="inlineStr">
        <is>
          <t>DXY (USD Index)</t>
        </is>
      </c>
      <c r="B37" s="18" t="inlineStr">
        <is>
          <t>DXY</t>
        </is>
      </c>
      <c r="C37" s="19" t="inlineStr">
        <is>
          <t>FX</t>
        </is>
      </c>
      <c r="D37" s="14" t="inlineStr">
        <is>
          <t>DXY Curncy</t>
        </is>
      </c>
      <c r="E37" s="14" t="inlineStr">
        <is>
          <t>DXY Curncy</t>
        </is>
      </c>
      <c r="F37" s="20">
        <f>BDP($D37,F$7)</f>
        <v/>
      </c>
      <c r="G37" s="21">
        <f>BDP($D37,G$7)/100</f>
        <v/>
      </c>
      <c r="H37" s="21">
        <f>BDP($D37,H$7)/100</f>
        <v/>
      </c>
      <c r="I37" s="21">
        <f>BDP($D37,I$7)/100</f>
        <v/>
      </c>
      <c r="J37" s="21">
        <f>BDP($D37,J$7)/100</f>
        <v/>
      </c>
      <c r="K37" s="21">
        <f>BDP($E37,K$7)/100</f>
        <v/>
      </c>
      <c r="L37" s="21">
        <f>BDP($E37,L$7)/100</f>
        <v/>
      </c>
      <c r="M37" s="21">
        <f>BDP($E37,M$7)/100</f>
        <v/>
      </c>
      <c r="N37" s="21">
        <f>BDP($E37,N$7)/100</f>
        <v/>
      </c>
      <c r="P37" s="9" t="n"/>
      <c r="Q37" s="10" t="n"/>
    </row>
    <row r="38">
      <c r="A38" s="11" t="inlineStr">
        <is>
          <t>EUR/USD</t>
        </is>
      </c>
      <c r="B38" s="12" t="inlineStr">
        <is>
          <t>EURUSD</t>
        </is>
      </c>
      <c r="C38" s="13" t="inlineStr">
        <is>
          <t>FX</t>
        </is>
      </c>
      <c r="D38" s="14" t="inlineStr">
        <is>
          <t>EURUSD Curncy</t>
        </is>
      </c>
      <c r="E38" s="14" t="inlineStr">
        <is>
          <t>EURUSD Curncy</t>
        </is>
      </c>
      <c r="F38" s="15">
        <f>BDP($D38,F$7)</f>
        <v/>
      </c>
      <c r="G38" s="16">
        <f>BDP($D38,G$7)/100</f>
        <v/>
      </c>
      <c r="H38" s="16">
        <f>BDP($D38,H$7)/100</f>
        <v/>
      </c>
      <c r="I38" s="16">
        <f>BDP($D38,I$7)/100</f>
        <v/>
      </c>
      <c r="J38" s="16">
        <f>BDP($D38,J$7)/100</f>
        <v/>
      </c>
      <c r="K38" s="16">
        <f>BDP($E38,K$7)/100</f>
        <v/>
      </c>
      <c r="L38" s="16">
        <f>BDP($E38,L$7)/100</f>
        <v/>
      </c>
      <c r="M38" s="16">
        <f>BDP($E38,M$7)/100</f>
        <v/>
      </c>
      <c r="N38" s="16">
        <f>BDP($E38,N$7)/100</f>
        <v/>
      </c>
      <c r="P38" s="9" t="n"/>
      <c r="Q38" s="10" t="n"/>
    </row>
    <row r="39">
      <c r="A39" s="17" t="inlineStr">
        <is>
          <t>USD/JPY</t>
        </is>
      </c>
      <c r="B39" s="18" t="inlineStr">
        <is>
          <t>USDJPY</t>
        </is>
      </c>
      <c r="C39" s="19" t="inlineStr">
        <is>
          <t>FX</t>
        </is>
      </c>
      <c r="D39" s="14" t="inlineStr">
        <is>
          <t>USDJPY Curncy</t>
        </is>
      </c>
      <c r="E39" s="14" t="inlineStr">
        <is>
          <t>USDJPY Curncy</t>
        </is>
      </c>
      <c r="F39" s="20">
        <f>BDP($D39,F$7)</f>
        <v/>
      </c>
      <c r="G39" s="21">
        <f>BDP($D39,G$7)/100</f>
        <v/>
      </c>
      <c r="H39" s="21">
        <f>BDP($D39,H$7)/100</f>
        <v/>
      </c>
      <c r="I39" s="21">
        <f>BDP($D39,I$7)/100</f>
        <v/>
      </c>
      <c r="J39" s="21">
        <f>BDP($D39,J$7)/100</f>
        <v/>
      </c>
      <c r="K39" s="21">
        <f>BDP($E39,K$7)/100</f>
        <v/>
      </c>
      <c r="L39" s="21">
        <f>BDP($E39,L$7)/100</f>
        <v/>
      </c>
      <c r="M39" s="21">
        <f>BDP($E39,M$7)/100</f>
        <v/>
      </c>
      <c r="N39" s="21">
        <f>BDP($E39,N$7)/100</f>
        <v/>
      </c>
      <c r="P39" s="9" t="n"/>
      <c r="Q39" s="10" t="n"/>
    </row>
    <row r="40">
      <c r="A40" s="11" t="inlineStr">
        <is>
          <t>GBP/USD</t>
        </is>
      </c>
      <c r="B40" s="12" t="inlineStr">
        <is>
          <t>GBPUSD</t>
        </is>
      </c>
      <c r="C40" s="13" t="inlineStr">
        <is>
          <t>FX</t>
        </is>
      </c>
      <c r="D40" s="14" t="inlineStr">
        <is>
          <t>GBPUSD Curncy</t>
        </is>
      </c>
      <c r="E40" s="14" t="inlineStr">
        <is>
          <t>GBPUSD Curncy</t>
        </is>
      </c>
      <c r="F40" s="15">
        <f>BDP($D40,F$7)</f>
        <v/>
      </c>
      <c r="G40" s="16">
        <f>BDP($D40,G$7)/100</f>
        <v/>
      </c>
      <c r="H40" s="16">
        <f>BDP($D40,H$7)/100</f>
        <v/>
      </c>
      <c r="I40" s="16">
        <f>BDP($D40,I$7)/100</f>
        <v/>
      </c>
      <c r="J40" s="16">
        <f>BDP($D40,J$7)/100</f>
        <v/>
      </c>
      <c r="K40" s="16">
        <f>BDP($E40,K$7)/100</f>
        <v/>
      </c>
      <c r="L40" s="16">
        <f>BDP($E40,L$7)/100</f>
        <v/>
      </c>
      <c r="M40" s="16">
        <f>BDP($E40,M$7)/100</f>
        <v/>
      </c>
      <c r="N40" s="16">
        <f>BDP($E40,N$7)/100</f>
        <v/>
      </c>
      <c r="P40" s="9" t="n"/>
      <c r="Q40" s="10" t="n"/>
    </row>
    <row r="41">
      <c r="A41" s="17" t="inlineStr">
        <is>
          <t>MSCI EM Currency Idx</t>
        </is>
      </c>
      <c r="B41" s="18" t="inlineStr">
        <is>
          <t>EM FX</t>
        </is>
      </c>
      <c r="C41" s="19" t="inlineStr">
        <is>
          <t>FX</t>
        </is>
      </c>
      <c r="D41" s="14" t="inlineStr">
        <is>
          <t>EMCI Index</t>
        </is>
      </c>
      <c r="E41" s="14" t="inlineStr">
        <is>
          <t>EMCI Index</t>
        </is>
      </c>
      <c r="F41" s="20">
        <f>BDP($D41,F$7)</f>
        <v/>
      </c>
      <c r="G41" s="21">
        <f>BDP($D41,G$7)/100</f>
        <v/>
      </c>
      <c r="H41" s="21">
        <f>BDP($D41,H$7)/100</f>
        <v/>
      </c>
      <c r="I41" s="21">
        <f>BDP($D41,I$7)/100</f>
        <v/>
      </c>
      <c r="J41" s="21">
        <f>BDP($D41,J$7)/100</f>
        <v/>
      </c>
      <c r="K41" s="21">
        <f>BDP($E41,K$7)/100</f>
        <v/>
      </c>
      <c r="L41" s="21">
        <f>BDP($E41,L$7)/100</f>
        <v/>
      </c>
      <c r="M41" s="21">
        <f>BDP($E41,M$7)/100</f>
        <v/>
      </c>
      <c r="N41" s="21">
        <f>BDP($E41,N$7)/100</f>
        <v/>
      </c>
      <c r="P41" s="9" t="n"/>
      <c r="Q41" s="10" t="n"/>
    </row>
    <row r="42">
      <c r="A42" s="11" t="inlineStr">
        <is>
          <t>US 10Y Yield (%)</t>
        </is>
      </c>
      <c r="B42" s="12" t="inlineStr">
        <is>
          <t>US 10Y</t>
        </is>
      </c>
      <c r="C42" s="13" t="inlineStr">
        <is>
          <t>RATES / FI</t>
        </is>
      </c>
      <c r="D42" s="14" t="inlineStr">
        <is>
          <t>USGG10YR Index</t>
        </is>
      </c>
      <c r="E42" s="14" t="inlineStr">
        <is>
          <t>USGG10YR Index</t>
        </is>
      </c>
      <c r="F42" s="15">
        <f>BDP($D42,F$7)</f>
        <v/>
      </c>
      <c r="G42" s="16">
        <f>BDP($D42,G$7)/100</f>
        <v/>
      </c>
      <c r="H42" s="16">
        <f>BDP($D42,H$7)/100</f>
        <v/>
      </c>
      <c r="I42" s="16">
        <f>BDP($D42,I$7)/100</f>
        <v/>
      </c>
      <c r="J42" s="16">
        <f>BDP($D42,J$7)/100</f>
        <v/>
      </c>
      <c r="K42" s="16">
        <f>BDP($E42,K$7)/100</f>
        <v/>
      </c>
      <c r="L42" s="16">
        <f>BDP($E42,L$7)/100</f>
        <v/>
      </c>
      <c r="M42" s="16">
        <f>BDP($E42,M$7)/100</f>
        <v/>
      </c>
      <c r="N42" s="16">
        <f>BDP($E42,N$7)/100</f>
        <v/>
      </c>
      <c r="P42" s="9" t="n"/>
      <c r="Q42" s="10" t="n"/>
    </row>
    <row r="43">
      <c r="A43" s="17" t="inlineStr">
        <is>
          <t>US Treasury TR</t>
        </is>
      </c>
      <c r="B43" s="18" t="inlineStr">
        <is>
          <t>UST TR</t>
        </is>
      </c>
      <c r="C43" s="19" t="inlineStr">
        <is>
          <t>RATES / FI</t>
        </is>
      </c>
      <c r="D43" s="14" t="inlineStr">
        <is>
          <t>LUATTRUU Index</t>
        </is>
      </c>
      <c r="E43" s="14" t="inlineStr">
        <is>
          <t>LUATTRUU Index</t>
        </is>
      </c>
      <c r="F43" s="20">
        <f>BDP($D43,F$7)</f>
        <v/>
      </c>
      <c r="G43" s="21">
        <f>BDP($D43,G$7)/100</f>
        <v/>
      </c>
      <c r="H43" s="21">
        <f>BDP($D43,H$7)/100</f>
        <v/>
      </c>
      <c r="I43" s="21">
        <f>BDP($D43,I$7)/100</f>
        <v/>
      </c>
      <c r="J43" s="21">
        <f>BDP($D43,J$7)/100</f>
        <v/>
      </c>
      <c r="K43" s="21">
        <f>BDP($E43,K$7)/100</f>
        <v/>
      </c>
      <c r="L43" s="21">
        <f>BDP($E43,L$7)/100</f>
        <v/>
      </c>
      <c r="M43" s="21">
        <f>BDP($E43,M$7)/100</f>
        <v/>
      </c>
      <c r="N43" s="21">
        <f>BDP($E43,N$7)/100</f>
        <v/>
      </c>
      <c r="P43" s="9" t="n"/>
      <c r="Q43" s="10" t="n"/>
    </row>
    <row r="44">
      <c r="A44" s="11" t="inlineStr">
        <is>
          <t>US Agg Bond TR</t>
        </is>
      </c>
      <c r="B44" s="12" t="inlineStr">
        <is>
          <t>US Agg</t>
        </is>
      </c>
      <c r="C44" s="13" t="inlineStr">
        <is>
          <t>RATES / FI</t>
        </is>
      </c>
      <c r="D44" s="14" t="inlineStr">
        <is>
          <t>LBUSTRUU Index</t>
        </is>
      </c>
      <c r="E44" s="14" t="inlineStr">
        <is>
          <t>LBUSTRUU Index</t>
        </is>
      </c>
      <c r="F44" s="15">
        <f>BDP($D44,F$7)</f>
        <v/>
      </c>
      <c r="G44" s="16">
        <f>BDP($D44,G$7)/100</f>
        <v/>
      </c>
      <c r="H44" s="16">
        <f>BDP($D44,H$7)/100</f>
        <v/>
      </c>
      <c r="I44" s="16">
        <f>BDP($D44,I$7)/100</f>
        <v/>
      </c>
      <c r="J44" s="16">
        <f>BDP($D44,J$7)/100</f>
        <v/>
      </c>
      <c r="K44" s="16">
        <f>BDP($E44,K$7)/100</f>
        <v/>
      </c>
      <c r="L44" s="16">
        <f>BDP($E44,L$7)/100</f>
        <v/>
      </c>
      <c r="M44" s="16">
        <f>BDP($E44,M$7)/100</f>
        <v/>
      </c>
      <c r="N44" s="16">
        <f>BDP($E44,N$7)/100</f>
        <v/>
      </c>
      <c r="P44" s="9" t="n"/>
      <c r="Q44" s="10" t="n"/>
    </row>
    <row r="45">
      <c r="A45" s="17" t="inlineStr">
        <is>
          <t>US High Yield TR</t>
        </is>
      </c>
      <c r="B45" s="18" t="inlineStr">
        <is>
          <t>US HY</t>
        </is>
      </c>
      <c r="C45" s="19" t="inlineStr">
        <is>
          <t>RATES / FI</t>
        </is>
      </c>
      <c r="D45" s="14" t="inlineStr">
        <is>
          <t>LF98TRUU Index</t>
        </is>
      </c>
      <c r="E45" s="14" t="inlineStr">
        <is>
          <t>LF98TRUU Index</t>
        </is>
      </c>
      <c r="F45" s="20">
        <f>BDP($D45,F$7)</f>
        <v/>
      </c>
      <c r="G45" s="21">
        <f>BDP($D45,G$7)/100</f>
        <v/>
      </c>
      <c r="H45" s="21">
        <f>BDP($D45,H$7)/100</f>
        <v/>
      </c>
      <c r="I45" s="21">
        <f>BDP($D45,I$7)/100</f>
        <v/>
      </c>
      <c r="J45" s="21">
        <f>BDP($D45,J$7)/100</f>
        <v/>
      </c>
      <c r="K45" s="21">
        <f>BDP($E45,K$7)/100</f>
        <v/>
      </c>
      <c r="L45" s="21">
        <f>BDP($E45,L$7)/100</f>
        <v/>
      </c>
      <c r="M45" s="21">
        <f>BDP($E45,M$7)/100</f>
        <v/>
      </c>
      <c r="N45" s="21">
        <f>BDP($E45,N$7)/100</f>
        <v/>
      </c>
      <c r="P45" s="9" t="n"/>
      <c r="Q45" s="10" t="n"/>
    </row>
    <row r="46">
      <c r="A46" s="11" t="inlineStr">
        <is>
          <t>EMBI Global Div TR</t>
        </is>
      </c>
      <c r="B46" s="12" t="inlineStr">
        <is>
          <t>EMBI Global</t>
        </is>
      </c>
      <c r="C46" s="13" t="inlineStr">
        <is>
          <t>RATES / FI</t>
        </is>
      </c>
      <c r="D46" s="14" t="inlineStr">
        <is>
          <t>JPGCCOMP Index</t>
        </is>
      </c>
      <c r="E46" s="14" t="inlineStr">
        <is>
          <t>JPGCCOMP Index</t>
        </is>
      </c>
      <c r="F46" s="15">
        <f>BDP($D46,F$7)</f>
        <v/>
      </c>
      <c r="G46" s="16">
        <f>BDP($D46,G$7)/100</f>
        <v/>
      </c>
      <c r="H46" s="16">
        <f>BDP($D46,H$7)/100</f>
        <v/>
      </c>
      <c r="I46" s="16">
        <f>BDP($D46,I$7)/100</f>
        <v/>
      </c>
      <c r="J46" s="16">
        <f>BDP($D46,J$7)/100</f>
        <v/>
      </c>
      <c r="K46" s="16">
        <f>BDP($E46,K$7)/100</f>
        <v/>
      </c>
      <c r="L46" s="16">
        <f>BDP($E46,L$7)/100</f>
        <v/>
      </c>
      <c r="M46" s="16">
        <f>BDP($E46,M$7)/100</f>
        <v/>
      </c>
      <c r="N46" s="16">
        <f>BDP($E46,N$7)/100</f>
        <v/>
      </c>
      <c r="P46" s="9" t="n"/>
      <c r="Q46" s="10" t="n"/>
    </row>
    <row r="47">
      <c r="A47" s="17" t="inlineStr">
        <is>
          <t>HFRX Global HF</t>
        </is>
      </c>
      <c r="B47" s="18" t="inlineStr">
        <is>
          <t>HFRX Global</t>
        </is>
      </c>
      <c r="C47" s="19" t="inlineStr">
        <is>
          <t>HEDGE FUNDS / VOL</t>
        </is>
      </c>
      <c r="D47" s="14" t="inlineStr">
        <is>
          <t>HFRXGL Index</t>
        </is>
      </c>
      <c r="E47" s="14" t="inlineStr">
        <is>
          <t>HFRXGL Index</t>
        </is>
      </c>
      <c r="F47" s="20">
        <f>BDP($D47,F$7)</f>
        <v/>
      </c>
      <c r="G47" s="21">
        <f>BDP($D47,G$7)/100</f>
        <v/>
      </c>
      <c r="H47" s="21">
        <f>BDP($D47,H$7)/100</f>
        <v/>
      </c>
      <c r="I47" s="21">
        <f>BDP($D47,I$7)/100</f>
        <v/>
      </c>
      <c r="J47" s="21">
        <f>BDP($D47,J$7)/100</f>
        <v/>
      </c>
      <c r="K47" s="21">
        <f>BDP($E47,K$7)/100</f>
        <v/>
      </c>
      <c r="L47" s="21">
        <f>BDP($E47,L$7)/100</f>
        <v/>
      </c>
      <c r="M47" s="21">
        <f>BDP($E47,M$7)/100</f>
        <v/>
      </c>
      <c r="N47" s="21">
        <f>BDP($E47,N$7)/100</f>
        <v/>
      </c>
      <c r="P47" s="9" t="n"/>
      <c r="Q47" s="10" t="n"/>
    </row>
    <row r="48">
      <c r="A48" s="11" t="inlineStr">
        <is>
          <t>HFRX Equity Hedge</t>
        </is>
      </c>
      <c r="B48" s="12" t="inlineStr">
        <is>
          <t>HFRX EH</t>
        </is>
      </c>
      <c r="C48" s="13" t="inlineStr">
        <is>
          <t>HEDGE FUNDS / VOL</t>
        </is>
      </c>
      <c r="D48" s="14" t="inlineStr">
        <is>
          <t>HFRXEH Index</t>
        </is>
      </c>
      <c r="E48" s="14" t="inlineStr">
        <is>
          <t>HFRXEH Index</t>
        </is>
      </c>
      <c r="F48" s="15">
        <f>BDP($D48,F$7)</f>
        <v/>
      </c>
      <c r="G48" s="16">
        <f>BDP($D48,G$7)/100</f>
        <v/>
      </c>
      <c r="H48" s="16">
        <f>BDP($D48,H$7)/100</f>
        <v/>
      </c>
      <c r="I48" s="16">
        <f>BDP($D48,I$7)/100</f>
        <v/>
      </c>
      <c r="J48" s="16">
        <f>BDP($D48,J$7)/100</f>
        <v/>
      </c>
      <c r="K48" s="16">
        <f>BDP($E48,K$7)/100</f>
        <v/>
      </c>
      <c r="L48" s="16">
        <f>BDP($E48,L$7)/100</f>
        <v/>
      </c>
      <c r="M48" s="16">
        <f>BDP($E48,M$7)/100</f>
        <v/>
      </c>
      <c r="N48" s="16">
        <f>BDP($E48,N$7)/100</f>
        <v/>
      </c>
      <c r="P48" s="9" t="n"/>
      <c r="Q48" s="10" t="n"/>
    </row>
    <row r="49">
      <c r="A49" s="17" t="inlineStr">
        <is>
          <t>HFRX Macro / CTA</t>
        </is>
      </c>
      <c r="B49" s="18" t="inlineStr">
        <is>
          <t>HFRX Macro</t>
        </is>
      </c>
      <c r="C49" s="19" t="inlineStr">
        <is>
          <t>HEDGE FUNDS / VOL</t>
        </is>
      </c>
      <c r="D49" s="14" t="inlineStr">
        <is>
          <t>HFRXM Index</t>
        </is>
      </c>
      <c r="E49" s="14" t="inlineStr">
        <is>
          <t>HFRXM Index</t>
        </is>
      </c>
      <c r="F49" s="20">
        <f>BDP($D49,F$7)</f>
        <v/>
      </c>
      <c r="G49" s="21">
        <f>BDP($D49,G$7)/100</f>
        <v/>
      </c>
      <c r="H49" s="21">
        <f>BDP($D49,H$7)/100</f>
        <v/>
      </c>
      <c r="I49" s="21">
        <f>BDP($D49,I$7)/100</f>
        <v/>
      </c>
      <c r="J49" s="21">
        <f>BDP($D49,J$7)/100</f>
        <v/>
      </c>
      <c r="K49" s="21">
        <f>BDP($E49,K$7)/100</f>
        <v/>
      </c>
      <c r="L49" s="21">
        <f>BDP($E49,L$7)/100</f>
        <v/>
      </c>
      <c r="M49" s="21">
        <f>BDP($E49,M$7)/100</f>
        <v/>
      </c>
      <c r="N49" s="21">
        <f>BDP($E49,N$7)/100</f>
        <v/>
      </c>
      <c r="P49" s="9" t="n"/>
      <c r="Q49" s="10" t="n"/>
    </row>
    <row r="50">
      <c r="A50" s="11" t="inlineStr">
        <is>
          <t>HFRX Event Driven</t>
        </is>
      </c>
      <c r="B50" s="12" t="inlineStr">
        <is>
          <t>HFRX ED</t>
        </is>
      </c>
      <c r="C50" s="13" t="inlineStr">
        <is>
          <t>HEDGE FUNDS / VOL</t>
        </is>
      </c>
      <c r="D50" s="14" t="inlineStr">
        <is>
          <t>HFRXED Index</t>
        </is>
      </c>
      <c r="E50" s="14" t="inlineStr">
        <is>
          <t>HFRXED Index</t>
        </is>
      </c>
      <c r="F50" s="15">
        <f>BDP($D50,F$7)</f>
        <v/>
      </c>
      <c r="G50" s="16">
        <f>BDP($D50,G$7)/100</f>
        <v/>
      </c>
      <c r="H50" s="16">
        <f>BDP($D50,H$7)/100</f>
        <v/>
      </c>
      <c r="I50" s="16">
        <f>BDP($D50,I$7)/100</f>
        <v/>
      </c>
      <c r="J50" s="16">
        <f>BDP($D50,J$7)/100</f>
        <v/>
      </c>
      <c r="K50" s="16">
        <f>BDP($E50,K$7)/100</f>
        <v/>
      </c>
      <c r="L50" s="16">
        <f>BDP($E50,L$7)/100</f>
        <v/>
      </c>
      <c r="M50" s="16">
        <f>BDP($E50,M$7)/100</f>
        <v/>
      </c>
      <c r="N50" s="16">
        <f>BDP($E50,N$7)/100</f>
        <v/>
      </c>
      <c r="P50" s="9" t="n"/>
      <c r="Q50" s="10" t="n"/>
    </row>
    <row r="51">
      <c r="A51" s="17" t="inlineStr">
        <is>
          <t>VIX (level)</t>
        </is>
      </c>
      <c r="B51" s="18" t="inlineStr">
        <is>
          <t>VIX</t>
        </is>
      </c>
      <c r="C51" s="19" t="inlineStr">
        <is>
          <t>HEDGE FUNDS / VOL</t>
        </is>
      </c>
      <c r="D51" s="14" t="inlineStr">
        <is>
          <t>VIX Index</t>
        </is>
      </c>
      <c r="E51" s="14" t="inlineStr">
        <is>
          <t>VIX Index</t>
        </is>
      </c>
      <c r="F51" s="20">
        <f>BDP($D51,F$7)</f>
        <v/>
      </c>
      <c r="G51" s="21">
        <f>BDP($D51,G$7)/100</f>
        <v/>
      </c>
      <c r="H51" s="21">
        <f>BDP($D51,H$7)/100</f>
        <v/>
      </c>
      <c r="I51" s="21">
        <f>BDP($D51,I$7)/100</f>
        <v/>
      </c>
      <c r="J51" s="21">
        <f>BDP($D51,J$7)/100</f>
        <v/>
      </c>
      <c r="K51" s="21">
        <f>BDP($E51,K$7)/100</f>
        <v/>
      </c>
      <c r="L51" s="21">
        <f>BDP($E51,L$7)/100</f>
        <v/>
      </c>
      <c r="M51" s="21">
        <f>BDP($E51,M$7)/100</f>
        <v/>
      </c>
      <c r="N51" s="21">
        <f>BDP($E51,N$7)/100</f>
        <v/>
      </c>
      <c r="P51" s="9" t="n"/>
      <c r="Q51" s="10" t="n"/>
    </row>
    <row r="52">
      <c r="A52" s="11" t="inlineStr">
        <is>
          <t>MOVE (level)</t>
        </is>
      </c>
      <c r="B52" s="12" t="inlineStr">
        <is>
          <t>MOVE</t>
        </is>
      </c>
      <c r="C52" s="13" t="inlineStr">
        <is>
          <t>HEDGE FUNDS / VOL</t>
        </is>
      </c>
      <c r="D52" s="14" t="inlineStr">
        <is>
          <t>MOVE Index</t>
        </is>
      </c>
      <c r="E52" s="14" t="inlineStr">
        <is>
          <t>MOVE Index</t>
        </is>
      </c>
      <c r="F52" s="15">
        <f>BDP($D52,F$7)</f>
        <v/>
      </c>
      <c r="G52" s="16">
        <f>BDP($D52,G$7)/100</f>
        <v/>
      </c>
      <c r="H52" s="16">
        <f>BDP($D52,H$7)/100</f>
        <v/>
      </c>
      <c r="I52" s="16">
        <f>BDP($D52,I$7)/100</f>
        <v/>
      </c>
      <c r="J52" s="16">
        <f>BDP($D52,J$7)/100</f>
        <v/>
      </c>
      <c r="K52" s="16">
        <f>BDP($E52,K$7)/100</f>
        <v/>
      </c>
      <c r="L52" s="16">
        <f>BDP($E52,L$7)/100</f>
        <v/>
      </c>
      <c r="M52" s="16">
        <f>BDP($E52,M$7)/100</f>
        <v/>
      </c>
      <c r="N52" s="16">
        <f>BDP($E52,N$7)/100</f>
        <v/>
      </c>
      <c r="P52" s="9" t="n"/>
      <c r="Q52" s="10" t="n"/>
    </row>
    <row r="53">
      <c r="A53" s="17" t="inlineStr">
        <is>
          <t>Bitcoin (USD)</t>
        </is>
      </c>
      <c r="B53" s="18" t="inlineStr">
        <is>
          <t>Bitcoin</t>
        </is>
      </c>
      <c r="C53" s="19" t="inlineStr">
        <is>
          <t>CRYPTO</t>
        </is>
      </c>
      <c r="D53" s="14" t="inlineStr">
        <is>
          <t>XBTUSD Curncy</t>
        </is>
      </c>
      <c r="E53" s="14" t="inlineStr">
        <is>
          <t>XBTUSD Curncy</t>
        </is>
      </c>
      <c r="F53" s="20">
        <f>BDP($D53,F$7)</f>
        <v/>
      </c>
      <c r="G53" s="21">
        <f>BDP($D53,G$7)/100</f>
        <v/>
      </c>
      <c r="H53" s="21">
        <f>BDP($D53,H$7)/100</f>
        <v/>
      </c>
      <c r="I53" s="21">
        <f>BDP($D53,I$7)/100</f>
        <v/>
      </c>
      <c r="J53" s="21">
        <f>BDP($D53,J$7)/100</f>
        <v/>
      </c>
      <c r="K53" s="21">
        <f>BDP($E53,K$7)/100</f>
        <v/>
      </c>
      <c r="L53" s="21">
        <f>BDP($E53,L$7)/100</f>
        <v/>
      </c>
      <c r="M53" s="21">
        <f>BDP($E53,M$7)/100</f>
        <v/>
      </c>
      <c r="N53" s="21">
        <f>BDP($E53,N$7)/100</f>
        <v/>
      </c>
      <c r="P53" s="9" t="n"/>
      <c r="Q53" s="10" t="n"/>
    </row>
    <row r="54">
      <c r="A54" s="11" t="inlineStr">
        <is>
          <t>Ethereum (USD)</t>
        </is>
      </c>
      <c r="B54" s="12" t="inlineStr">
        <is>
          <t>Ethereum</t>
        </is>
      </c>
      <c r="C54" s="13" t="inlineStr">
        <is>
          <t>CRYPTO</t>
        </is>
      </c>
      <c r="D54" s="14" t="inlineStr">
        <is>
          <t>XETUSD Curncy</t>
        </is>
      </c>
      <c r="E54" s="14" t="inlineStr">
        <is>
          <t>XETUSD Curncy</t>
        </is>
      </c>
      <c r="F54" s="15">
        <f>BDP($D54,F$7)</f>
        <v/>
      </c>
      <c r="G54" s="16">
        <f>BDP($D54,G$7)/100</f>
        <v/>
      </c>
      <c r="H54" s="16">
        <f>BDP($D54,H$7)/100</f>
        <v/>
      </c>
      <c r="I54" s="16">
        <f>BDP($D54,I$7)/100</f>
        <v/>
      </c>
      <c r="J54" s="16">
        <f>BDP($D54,J$7)/100</f>
        <v/>
      </c>
      <c r="K54" s="16">
        <f>BDP($E54,K$7)/100</f>
        <v/>
      </c>
      <c r="L54" s="16">
        <f>BDP($E54,L$7)/100</f>
        <v/>
      </c>
      <c r="M54" s="16">
        <f>BDP($E54,M$7)/100</f>
        <v/>
      </c>
      <c r="N54" s="16">
        <f>BDP($E54,N$7)/100</f>
        <v/>
      </c>
    </row>
  </sheetData>
  <mergeCells count="6">
    <mergeCell ref="A3:N3"/>
    <mergeCell ref="A7:E7"/>
    <mergeCell ref="A2:N2"/>
    <mergeCell ref="G5:J5"/>
    <mergeCell ref="K5:N5"/>
    <mergeCell ref="A1:N1"/>
  </mergeCells>
  <conditionalFormatting sqref="G8:G54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H8:H54">
    <cfRule type="colorScale" priority="2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I8:I54">
    <cfRule type="colorScale" priority="3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J8:J54">
    <cfRule type="colorScale" priority="4">
      <colorScale>
        <cfvo type="min"/>
        <cfvo type="num" val="0"/>
        <cfvo type="max"/>
        <color rgb="00F87171"/>
        <color rgb="00FFFFFF"/>
        <color rgb="0034D399"/>
      </colorScale>
    </cfRule>
    <cfRule type="dataBar" priority="9">
      <dataBar showValue="1">
        <cfvo type="min"/>
        <cfvo type="max"/>
        <color rgb="00A7F3D0"/>
      </dataBar>
    </cfRule>
  </conditionalFormatting>
  <conditionalFormatting sqref="K8:K54">
    <cfRule type="colorScale" priority="5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L8:L54">
    <cfRule type="colorScale" priority="6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M8:M54">
    <cfRule type="colorScale" priority="7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N8:N54">
    <cfRule type="colorScale" priority="8">
      <colorScale>
        <cfvo type="min"/>
        <cfvo type="num" val="0"/>
        <cfvo type="max"/>
        <color rgb="00F87171"/>
        <color rgb="00FFFFFF"/>
        <color rgb="0034D399"/>
      </colorScale>
    </cfRule>
    <cfRule type="dataBar" priority="10">
      <dataBar showValue="1">
        <cfvo type="min"/>
        <cfvo type="max"/>
        <color rgb="0060A5F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4" customWidth="1" min="4" max="4"/>
    <col width="24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36" customWidth="1" min="11" max="11"/>
    <col width="20" customWidth="1" min="13" max="13"/>
    <col width="14" customWidth="1" min="14" max="14"/>
  </cols>
  <sheetData>
    <row r="1" ht="30" customHeight="1">
      <c r="A1" s="22" t="inlineStr">
        <is>
          <t>LATIN AMERICA — DEEP DIVE (LIVE BDP)</t>
        </is>
      </c>
    </row>
    <row r="2">
      <c r="A2" s="2" t="inlineStr">
        <is>
          <t>Build date: 2026-05-13  |  EMBI TR, equity, FX, plus watch-list metrics</t>
        </is>
      </c>
    </row>
    <row r="3" ht="32" customHeight="1">
      <c r="A3" s="3" t="inlineStr">
        <is>
          <t>HOW IT WORKS: Green cells in row 7 are EDITABLE Bloomberg fields. Returns column uses CHG_PCT_YTD on the TR ticker by default. EMBI sub-index tickers can vary — if any return #N/A, search 'EMBI &lt;country&gt; total return USD' in your terminal and swap col D/E.</t>
        </is>
      </c>
    </row>
    <row r="6" ht="22" customHeight="1">
      <c r="A6" s="5" t="inlineStr">
        <is>
          <t>Asset</t>
        </is>
      </c>
      <c r="B6" s="5" t="inlineStr">
        <is>
          <t>Chart Label</t>
        </is>
      </c>
      <c r="C6" s="5" t="inlineStr">
        <is>
          <t>Section</t>
        </is>
      </c>
      <c r="D6" s="5" t="inlineStr">
        <is>
          <t>PX Ticker</t>
        </is>
      </c>
      <c r="E6" s="5" t="inlineStr">
        <is>
          <t>TR Ticker</t>
        </is>
      </c>
      <c r="F6" s="5" t="inlineStr">
        <is>
          <t>Level</t>
        </is>
      </c>
      <c r="G6" s="5" t="inlineStr">
        <is>
          <t>1W</t>
        </is>
      </c>
      <c r="H6" s="5" t="inlineStr">
        <is>
          <t>1M</t>
        </is>
      </c>
      <c r="I6" s="5" t="inlineStr">
        <is>
          <t>3M</t>
        </is>
      </c>
      <c r="J6" s="5" t="inlineStr">
        <is>
          <t>YTD</t>
        </is>
      </c>
      <c r="K6" s="5" t="inlineStr">
        <is>
          <t>Comment</t>
        </is>
      </c>
      <c r="M6" s="6" t="inlineStr">
        <is>
          <t>Chart Label (sorted)</t>
        </is>
      </c>
      <c r="N6" s="6" t="inlineStr">
        <is>
          <t>YTD (sorted)</t>
        </is>
      </c>
    </row>
    <row r="7" ht="18" customHeight="1">
      <c r="A7" s="7" t="inlineStr">
        <is>
          <t>← BBG fields (editable)</t>
        </is>
      </c>
      <c r="F7" s="8" t="inlineStr">
        <is>
          <t>PX_LAST</t>
        </is>
      </c>
      <c r="G7" s="8" t="inlineStr">
        <is>
          <t>CHG_PCT_5D</t>
        </is>
      </c>
      <c r="H7" s="8" t="inlineStr">
        <is>
          <t>CHG_PCT_1M</t>
        </is>
      </c>
      <c r="I7" s="8" t="inlineStr">
        <is>
          <t>CHG_PCT_3M</t>
        </is>
      </c>
      <c r="J7" s="8" t="inlineStr">
        <is>
          <t>CHG_PCT_YTD</t>
        </is>
      </c>
      <c r="M7">
        <f>IFERROR(SORTBY(B8:B39,J8:J39,-1),"")</f>
        <v/>
      </c>
      <c r="N7" s="23">
        <f>IFERROR(SORTBY(J8:J39,J8:J39,-1),"")</f>
        <v/>
      </c>
    </row>
    <row r="8" ht="22" customHeight="1">
      <c r="A8" s="11" t="inlineStr">
        <is>
          <t>EMBI Global Div Latin TR</t>
        </is>
      </c>
      <c r="B8" s="12" t="inlineStr">
        <is>
          <t>EMBI Latam</t>
        </is>
      </c>
      <c r="C8" s="13" t="inlineStr">
        <is>
          <t>EMBI / Credit</t>
        </is>
      </c>
      <c r="D8" s="14" t="inlineStr">
        <is>
          <t>JBCDLATR Index</t>
        </is>
      </c>
      <c r="E8" s="14" t="inlineStr">
        <is>
          <t>JBCDLATR Index</t>
        </is>
      </c>
      <c r="F8" s="15">
        <f>BDP($E8,F$7)</f>
        <v/>
      </c>
      <c r="G8" s="16">
        <f>BDP($E8,G$7)/100</f>
        <v/>
      </c>
      <c r="H8" s="16">
        <f>BDP($E8,H$7)/100</f>
        <v/>
      </c>
      <c r="I8" s="16">
        <f>BDP($E8,I$7)/100</f>
        <v/>
      </c>
      <c r="J8" s="16">
        <f>BDP($E8,J$7)/100</f>
        <v/>
      </c>
      <c r="K8" s="24" t="inlineStr">
        <is>
          <t>Benchmark for LatAm $ sovereign — drives EM dedicated flows</t>
        </is>
      </c>
      <c r="N8" s="23" t="n"/>
    </row>
    <row r="9" ht="22" customHeight="1">
      <c r="A9" s="17" t="inlineStr">
        <is>
          <t>EMBI Brazil TR</t>
        </is>
      </c>
      <c r="B9" s="18" t="inlineStr">
        <is>
          <t>EMBI Brazil</t>
        </is>
      </c>
      <c r="C9" s="19" t="inlineStr">
        <is>
          <t>EMBI / Credit</t>
        </is>
      </c>
      <c r="D9" s="14" t="inlineStr">
        <is>
          <t>JPEIBRTR Index</t>
        </is>
      </c>
      <c r="E9" s="14" t="inlineStr">
        <is>
          <t>JPEIBRTR Index</t>
        </is>
      </c>
      <c r="F9" s="20">
        <f>BDP($E9,F$7)</f>
        <v/>
      </c>
      <c r="G9" s="21">
        <f>BDP($E9,G$7)/100</f>
        <v/>
      </c>
      <c r="H9" s="21">
        <f>BDP($E9,H$7)/100</f>
        <v/>
      </c>
      <c r="I9" s="21">
        <f>BDP($E9,I$7)/100</f>
        <v/>
      </c>
      <c r="J9" s="21">
        <f>BDP($E9,J$7)/100</f>
        <v/>
      </c>
      <c r="K9" s="25" t="inlineStr">
        <is>
          <t>Spread compression on fiscal credibility / Selic path</t>
        </is>
      </c>
      <c r="N9" s="23" t="n"/>
    </row>
    <row r="10" ht="22" customHeight="1">
      <c r="A10" s="11" t="inlineStr">
        <is>
          <t>EMBI Mexico TR</t>
        </is>
      </c>
      <c r="B10" s="12" t="inlineStr">
        <is>
          <t>EMBI Mexico</t>
        </is>
      </c>
      <c r="C10" s="13" t="inlineStr">
        <is>
          <t>EMBI / Credit</t>
        </is>
      </c>
      <c r="D10" s="14" t="inlineStr">
        <is>
          <t>JPEIMETR Index</t>
        </is>
      </c>
      <c r="E10" s="14" t="inlineStr">
        <is>
          <t>JPEIMETR Index</t>
        </is>
      </c>
      <c r="F10" s="15">
        <f>BDP($E10,F$7)</f>
        <v/>
      </c>
      <c r="G10" s="16">
        <f>BDP($E10,G$7)/100</f>
        <v/>
      </c>
      <c r="H10" s="16">
        <f>BDP($E10,H$7)/100</f>
        <v/>
      </c>
      <c r="I10" s="16">
        <f>BDP($E10,I$7)/100</f>
        <v/>
      </c>
      <c r="J10" s="16">
        <f>BDP($E10,J$7)/100</f>
        <v/>
      </c>
      <c r="K10" s="24" t="inlineStr">
        <is>
          <t>Sensitive to USMCA headlines and US growth</t>
        </is>
      </c>
      <c r="N10" s="23" t="n"/>
    </row>
    <row r="11" ht="22" customHeight="1">
      <c r="A11" s="17" t="inlineStr">
        <is>
          <t>EMBI Colombia TR</t>
        </is>
      </c>
      <c r="B11" s="18" t="inlineStr">
        <is>
          <t>EMBI Colombia</t>
        </is>
      </c>
      <c r="C11" s="19" t="inlineStr">
        <is>
          <t>EMBI / Credit</t>
        </is>
      </c>
      <c r="D11" s="14" t="inlineStr">
        <is>
          <t>JPEICOTR Index</t>
        </is>
      </c>
      <c r="E11" s="14" t="inlineStr">
        <is>
          <t>JPEICOTR Index</t>
        </is>
      </c>
      <c r="F11" s="20">
        <f>BDP($E11,F$7)</f>
        <v/>
      </c>
      <c r="G11" s="21">
        <f>BDP($E11,G$7)/100</f>
        <v/>
      </c>
      <c r="H11" s="21">
        <f>BDP($E11,H$7)/100</f>
        <v/>
      </c>
      <c r="I11" s="21">
        <f>BDP($E11,I$7)/100</f>
        <v/>
      </c>
      <c r="J11" s="21">
        <f>BDP($E11,J$7)/100</f>
        <v/>
      </c>
      <c r="K11" s="25" t="inlineStr">
        <is>
          <t>Oil-linked; political risk premium watched</t>
        </is>
      </c>
      <c r="N11" s="23" t="n"/>
    </row>
    <row r="12" ht="22" customHeight="1">
      <c r="A12" s="11" t="inlineStr">
        <is>
          <t>EMBI Chile TR</t>
        </is>
      </c>
      <c r="B12" s="12" t="inlineStr">
        <is>
          <t>EMBI Chile</t>
        </is>
      </c>
      <c r="C12" s="13" t="inlineStr">
        <is>
          <t>EMBI / Credit</t>
        </is>
      </c>
      <c r="D12" s="14" t="inlineStr">
        <is>
          <t>JPEICHTR Index</t>
        </is>
      </c>
      <c r="E12" s="14" t="inlineStr">
        <is>
          <t>JPEICHTR Index</t>
        </is>
      </c>
      <c r="F12" s="15">
        <f>BDP($E12,F$7)</f>
        <v/>
      </c>
      <c r="G12" s="16">
        <f>BDP($E12,G$7)/100</f>
        <v/>
      </c>
      <c r="H12" s="16">
        <f>BDP($E12,H$7)/100</f>
        <v/>
      </c>
      <c r="I12" s="16">
        <f>BDP($E12,I$7)/100</f>
        <v/>
      </c>
      <c r="J12" s="16">
        <f>BDP($E12,J$7)/100</f>
        <v/>
      </c>
      <c r="K12" s="24" t="inlineStr">
        <is>
          <t>Highest-quality LatAm sovereign; copper proxy</t>
        </is>
      </c>
      <c r="N12" s="23" t="n"/>
    </row>
    <row r="13" ht="22" customHeight="1">
      <c r="A13" s="17" t="inlineStr">
        <is>
          <t>EMBI Peru TR</t>
        </is>
      </c>
      <c r="B13" s="18" t="inlineStr">
        <is>
          <t>EMBI Peru</t>
        </is>
      </c>
      <c r="C13" s="19" t="inlineStr">
        <is>
          <t>EMBI / Credit</t>
        </is>
      </c>
      <c r="D13" s="14" t="inlineStr">
        <is>
          <t>JPEIPETR Index</t>
        </is>
      </c>
      <c r="E13" s="14" t="inlineStr">
        <is>
          <t>JPEIPETR Index</t>
        </is>
      </c>
      <c r="F13" s="20">
        <f>BDP($E13,F$7)</f>
        <v/>
      </c>
      <c r="G13" s="21">
        <f>BDP($E13,G$7)/100</f>
        <v/>
      </c>
      <c r="H13" s="21">
        <f>BDP($E13,H$7)/100</f>
        <v/>
      </c>
      <c r="I13" s="21">
        <f>BDP($E13,I$7)/100</f>
        <v/>
      </c>
      <c r="J13" s="21">
        <f>BDP($E13,J$7)/100</f>
        <v/>
      </c>
      <c r="K13" s="25" t="inlineStr">
        <is>
          <t>Stable macro; copper + political noise</t>
        </is>
      </c>
      <c r="N13" s="23" t="n"/>
    </row>
    <row r="14" ht="22" customHeight="1">
      <c r="A14" s="11" t="inlineStr">
        <is>
          <t>EMBI Argentina TR</t>
        </is>
      </c>
      <c r="B14" s="12" t="inlineStr">
        <is>
          <t>EMBI Argentina</t>
        </is>
      </c>
      <c r="C14" s="13" t="inlineStr">
        <is>
          <t>EMBI / Credit</t>
        </is>
      </c>
      <c r="D14" s="14" t="inlineStr">
        <is>
          <t>JPEIARTR Index</t>
        </is>
      </c>
      <c r="E14" s="14" t="inlineStr">
        <is>
          <t>JPEIARTR Index</t>
        </is>
      </c>
      <c r="F14" s="15">
        <f>BDP($E14,F$7)</f>
        <v/>
      </c>
      <c r="G14" s="16">
        <f>BDP($E14,G$7)/100</f>
        <v/>
      </c>
      <c r="H14" s="16">
        <f>BDP($E14,H$7)/100</f>
        <v/>
      </c>
      <c r="I14" s="16">
        <f>BDP($E14,I$7)/100</f>
        <v/>
      </c>
      <c r="J14" s="16">
        <f>BDP($E14,J$7)/100</f>
        <v/>
      </c>
      <c r="K14" s="24" t="inlineStr">
        <is>
          <t>High-beta — reform/IMF program in focus</t>
        </is>
      </c>
      <c r="N14" s="23" t="n"/>
    </row>
    <row r="15" ht="22" customHeight="1">
      <c r="A15" s="17" t="inlineStr">
        <is>
          <t>MSCI EM Latin America</t>
        </is>
      </c>
      <c r="B15" s="18" t="inlineStr">
        <is>
          <t>MSCI Latam</t>
        </is>
      </c>
      <c r="C15" s="19" t="inlineStr">
        <is>
          <t>Equity</t>
        </is>
      </c>
      <c r="D15" s="14" t="inlineStr">
        <is>
          <t>MXLA Index</t>
        </is>
      </c>
      <c r="E15" s="14" t="inlineStr">
        <is>
          <t>NDUELASF Index</t>
        </is>
      </c>
      <c r="F15" s="20">
        <f>BDP($E15,F$7)</f>
        <v/>
      </c>
      <c r="G15" s="21">
        <f>BDP($E15,G$7)/100</f>
        <v/>
      </c>
      <c r="H15" s="21">
        <f>BDP($E15,H$7)/100</f>
        <v/>
      </c>
      <c r="I15" s="21">
        <f>BDP($E15,I$7)/100</f>
        <v/>
      </c>
      <c r="J15" s="21">
        <f>BDP($E15,J$7)/100</f>
        <v/>
      </c>
      <c r="K15" s="25" t="inlineStr">
        <is>
          <t>Reg index — Brazil + Mexico ~70%</t>
        </is>
      </c>
      <c r="N15" s="23" t="n"/>
    </row>
    <row r="16" ht="22" customHeight="1">
      <c r="A16" s="11" t="inlineStr">
        <is>
          <t>Bovespa (Brazil)</t>
        </is>
      </c>
      <c r="B16" s="12" t="inlineStr">
        <is>
          <t>Bovespa</t>
        </is>
      </c>
      <c r="C16" s="13" t="inlineStr">
        <is>
          <t>Equity</t>
        </is>
      </c>
      <c r="D16" s="14" t="inlineStr">
        <is>
          <t>IBOV Index</t>
        </is>
      </c>
      <c r="E16" s="14" t="inlineStr">
        <is>
          <t>IBOV Index</t>
        </is>
      </c>
      <c r="F16" s="15">
        <f>BDP($E16,F$7)</f>
        <v/>
      </c>
      <c r="G16" s="16">
        <f>BDP($E16,G$7)/100</f>
        <v/>
      </c>
      <c r="H16" s="16">
        <f>BDP($E16,H$7)/100</f>
        <v/>
      </c>
      <c r="I16" s="16">
        <f>BDP($E16,I$7)/100</f>
        <v/>
      </c>
      <c r="J16" s="16">
        <f>BDP($E16,J$7)/100</f>
        <v/>
      </c>
      <c r="K16" s="24" t="inlineStr">
        <is>
          <t>Petrobras/Vale heavy; sensitive to BRL</t>
        </is>
      </c>
      <c r="N16" s="23" t="n"/>
    </row>
    <row r="17" ht="22" customHeight="1">
      <c r="A17" s="17" t="inlineStr">
        <is>
          <t>Mexbol (Mexico)</t>
        </is>
      </c>
      <c r="B17" s="18" t="inlineStr">
        <is>
          <t>Mexbol</t>
        </is>
      </c>
      <c r="C17" s="19" t="inlineStr">
        <is>
          <t>Equity</t>
        </is>
      </c>
      <c r="D17" s="14" t="inlineStr">
        <is>
          <t>MEXBOL Index</t>
        </is>
      </c>
      <c r="E17" s="14" t="inlineStr">
        <is>
          <t>MEXBOL Index</t>
        </is>
      </c>
      <c r="F17" s="20">
        <f>BDP($E17,F$7)</f>
        <v/>
      </c>
      <c r="G17" s="21">
        <f>BDP($E17,G$7)/100</f>
        <v/>
      </c>
      <c r="H17" s="21">
        <f>BDP($E17,H$7)/100</f>
        <v/>
      </c>
      <c r="I17" s="21">
        <f>BDP($E17,I$7)/100</f>
        <v/>
      </c>
      <c r="J17" s="21">
        <f>BDP($E17,J$7)/100</f>
        <v/>
      </c>
      <c r="K17" s="25" t="inlineStr">
        <is>
          <t>Walmex/Femsa weight; nearshoring beneficiary</t>
        </is>
      </c>
      <c r="N17" s="23" t="n"/>
    </row>
    <row r="18" ht="22" customHeight="1">
      <c r="A18" s="11" t="inlineStr">
        <is>
          <t>Merval (Argentina ARS)</t>
        </is>
      </c>
      <c r="B18" s="12" t="inlineStr">
        <is>
          <t>Merval</t>
        </is>
      </c>
      <c r="C18" s="13" t="inlineStr">
        <is>
          <t>Equity</t>
        </is>
      </c>
      <c r="D18" s="14" t="inlineStr">
        <is>
          <t>MERVAL Index</t>
        </is>
      </c>
      <c r="E18" s="14" t="inlineStr">
        <is>
          <t>MERVAL Index</t>
        </is>
      </c>
      <c r="F18" s="15">
        <f>BDP($E18,F$7)</f>
        <v/>
      </c>
      <c r="G18" s="16">
        <f>BDP($E18,G$7)/100</f>
        <v/>
      </c>
      <c r="H18" s="16">
        <f>BDP($E18,H$7)/100</f>
        <v/>
      </c>
      <c r="I18" s="16">
        <f>BDP($E18,I$7)/100</f>
        <v/>
      </c>
      <c r="J18" s="16">
        <f>BDP($E18,J$7)/100</f>
        <v/>
      </c>
      <c r="K18" s="24" t="inlineStr">
        <is>
          <t>ARS distorted — also check $-Merval</t>
        </is>
      </c>
      <c r="N18" s="23" t="n"/>
    </row>
    <row r="19" ht="22" customHeight="1">
      <c r="A19" s="17" t="inlineStr">
        <is>
          <t>IPSA (Chile)</t>
        </is>
      </c>
      <c r="B19" s="18" t="inlineStr">
        <is>
          <t>IPSA</t>
        </is>
      </c>
      <c r="C19" s="19" t="inlineStr">
        <is>
          <t>Equity</t>
        </is>
      </c>
      <c r="D19" s="14" t="inlineStr">
        <is>
          <t>IPSA Index</t>
        </is>
      </c>
      <c r="E19" s="14" t="inlineStr">
        <is>
          <t>IPSA Index</t>
        </is>
      </c>
      <c r="F19" s="20">
        <f>BDP($E19,F$7)</f>
        <v/>
      </c>
      <c r="G19" s="21">
        <f>BDP($E19,G$7)/100</f>
        <v/>
      </c>
      <c r="H19" s="21">
        <f>BDP($E19,H$7)/100</f>
        <v/>
      </c>
      <c r="I19" s="21">
        <f>BDP($E19,I$7)/100</f>
        <v/>
      </c>
      <c r="J19" s="21">
        <f>BDP($E19,J$7)/100</f>
        <v/>
      </c>
      <c r="K19" s="25" t="inlineStr">
        <is>
          <t>Copper + bank-heavy; lithium narrative</t>
        </is>
      </c>
      <c r="N19" s="23" t="n"/>
    </row>
    <row r="20" ht="22" customHeight="1">
      <c r="A20" s="11" t="inlineStr">
        <is>
          <t>Colcap (Colombia)</t>
        </is>
      </c>
      <c r="B20" s="12" t="inlineStr">
        <is>
          <t>Colcap</t>
        </is>
      </c>
      <c r="C20" s="13" t="inlineStr">
        <is>
          <t>Equity</t>
        </is>
      </c>
      <c r="D20" s="14" t="inlineStr">
        <is>
          <t>COLCAP Index</t>
        </is>
      </c>
      <c r="E20" s="14" t="inlineStr">
        <is>
          <t>COLCAP Index</t>
        </is>
      </c>
      <c r="F20" s="15">
        <f>BDP($E20,F$7)</f>
        <v/>
      </c>
      <c r="G20" s="16">
        <f>BDP($E20,G$7)/100</f>
        <v/>
      </c>
      <c r="H20" s="16">
        <f>BDP($E20,H$7)/100</f>
        <v/>
      </c>
      <c r="I20" s="16">
        <f>BDP($E20,I$7)/100</f>
        <v/>
      </c>
      <c r="J20" s="16">
        <f>BDP($E20,J$7)/100</f>
        <v/>
      </c>
      <c r="K20" s="24" t="inlineStr">
        <is>
          <t>Thin liquidity; oil + Ecopetrol dependent</t>
        </is>
      </c>
      <c r="N20" s="23" t="n"/>
    </row>
    <row r="21" ht="22" customHeight="1">
      <c r="A21" s="17" t="inlineStr">
        <is>
          <t>S&amp;P/BVL Peru General</t>
        </is>
      </c>
      <c r="B21" s="18" t="inlineStr">
        <is>
          <t>BVL Peru</t>
        </is>
      </c>
      <c r="C21" s="19" t="inlineStr">
        <is>
          <t>Equity</t>
        </is>
      </c>
      <c r="D21" s="14" t="inlineStr">
        <is>
          <t>SPBLPGPT Index</t>
        </is>
      </c>
      <c r="E21" s="14" t="inlineStr">
        <is>
          <t>SPBLPGPT Index</t>
        </is>
      </c>
      <c r="F21" s="20">
        <f>BDP($E21,F$7)</f>
        <v/>
      </c>
      <c r="G21" s="21">
        <f>BDP($E21,G$7)/100</f>
        <v/>
      </c>
      <c r="H21" s="21">
        <f>BDP($E21,H$7)/100</f>
        <v/>
      </c>
      <c r="I21" s="21">
        <f>BDP($E21,I$7)/100</f>
        <v/>
      </c>
      <c r="J21" s="21">
        <f>BDP($E21,J$7)/100</f>
        <v/>
      </c>
      <c r="K21" s="25" t="inlineStr">
        <is>
          <t>Mining-heavy; political stability risk</t>
        </is>
      </c>
      <c r="N21" s="23" t="n"/>
    </row>
    <row r="22" ht="22" customHeight="1">
      <c r="A22" s="11" t="inlineStr">
        <is>
          <t>USD/BRL</t>
        </is>
      </c>
      <c r="B22" s="12" t="inlineStr">
        <is>
          <t>USDBRL</t>
        </is>
      </c>
      <c r="C22" s="13" t="inlineStr">
        <is>
          <t>FX</t>
        </is>
      </c>
      <c r="D22" s="14" t="inlineStr">
        <is>
          <t>USDBRL Curncy</t>
        </is>
      </c>
      <c r="E22" s="14" t="inlineStr">
        <is>
          <t>USDBRL Curncy</t>
        </is>
      </c>
      <c r="F22" s="15">
        <f>BDP($E22,F$7)</f>
        <v/>
      </c>
      <c r="G22" s="16">
        <f>BDP($E22,G$7)/100</f>
        <v/>
      </c>
      <c r="H22" s="16">
        <f>BDP($E22,H$7)/100</f>
        <v/>
      </c>
      <c r="I22" s="16">
        <f>BDP($E22,I$7)/100</f>
        <v/>
      </c>
      <c r="J22" s="16">
        <f>BDP($E22,J$7)/100</f>
        <v/>
      </c>
      <c r="K22" s="24" t="inlineStr">
        <is>
          <t>Carry darling; Selic vs Fed differential</t>
        </is>
      </c>
      <c r="N22" s="23" t="n"/>
    </row>
    <row r="23" ht="22" customHeight="1">
      <c r="A23" s="17" t="inlineStr">
        <is>
          <t>USD/MXN</t>
        </is>
      </c>
      <c r="B23" s="18" t="inlineStr">
        <is>
          <t>USDMXN</t>
        </is>
      </c>
      <c r="C23" s="19" t="inlineStr">
        <is>
          <t>FX</t>
        </is>
      </c>
      <c r="D23" s="14" t="inlineStr">
        <is>
          <t>USDMXN Curncy</t>
        </is>
      </c>
      <c r="E23" s="14" t="inlineStr">
        <is>
          <t>USDMXN Curncy</t>
        </is>
      </c>
      <c r="F23" s="20">
        <f>BDP($E23,F$7)</f>
        <v/>
      </c>
      <c r="G23" s="21">
        <f>BDP($E23,G$7)/100</f>
        <v/>
      </c>
      <c r="H23" s="21">
        <f>BDP($E23,H$7)/100</f>
        <v/>
      </c>
      <c r="I23" s="21">
        <f>BDP($E23,I$7)/100</f>
        <v/>
      </c>
      <c r="J23" s="21">
        <f>BDP($E23,J$7)/100</f>
        <v/>
      </c>
      <c r="K23" s="25" t="inlineStr">
        <is>
          <t>USMCA / tariff headlines</t>
        </is>
      </c>
      <c r="N23" s="23" t="n"/>
    </row>
    <row r="24" ht="22" customHeight="1">
      <c r="A24" s="11" t="inlineStr">
        <is>
          <t>USD/CLP</t>
        </is>
      </c>
      <c r="B24" s="12" t="inlineStr">
        <is>
          <t>USDCLP</t>
        </is>
      </c>
      <c r="C24" s="13" t="inlineStr">
        <is>
          <t>FX</t>
        </is>
      </c>
      <c r="D24" s="14" t="inlineStr">
        <is>
          <t>USDCLP Curncy</t>
        </is>
      </c>
      <c r="E24" s="14" t="inlineStr">
        <is>
          <t>USDCLP Curncy</t>
        </is>
      </c>
      <c r="F24" s="15">
        <f>BDP($E24,F$7)</f>
        <v/>
      </c>
      <c r="G24" s="16">
        <f>BDP($E24,G$7)/100</f>
        <v/>
      </c>
      <c r="H24" s="16">
        <f>BDP($E24,H$7)/100</f>
        <v/>
      </c>
      <c r="I24" s="16">
        <f>BDP($E24,I$7)/100</f>
        <v/>
      </c>
      <c r="J24" s="16">
        <f>BDP($E24,J$7)/100</f>
        <v/>
      </c>
      <c r="K24" s="24" t="inlineStr">
        <is>
          <t>Copper-linked; BCCh intervention risk</t>
        </is>
      </c>
      <c r="N24" s="23" t="n"/>
    </row>
    <row r="25" ht="22" customHeight="1">
      <c r="A25" s="17" t="inlineStr">
        <is>
          <t>USD/COP</t>
        </is>
      </c>
      <c r="B25" s="18" t="inlineStr">
        <is>
          <t>USDCOP</t>
        </is>
      </c>
      <c r="C25" s="19" t="inlineStr">
        <is>
          <t>FX</t>
        </is>
      </c>
      <c r="D25" s="14" t="inlineStr">
        <is>
          <t>USDCOP Curncy</t>
        </is>
      </c>
      <c r="E25" s="14" t="inlineStr">
        <is>
          <t>USDCOP Curncy</t>
        </is>
      </c>
      <c r="F25" s="20">
        <f>BDP($E25,F$7)</f>
        <v/>
      </c>
      <c r="G25" s="21">
        <f>BDP($E25,G$7)/100</f>
        <v/>
      </c>
      <c r="H25" s="21">
        <f>BDP($E25,H$7)/100</f>
        <v/>
      </c>
      <c r="I25" s="21">
        <f>BDP($E25,I$7)/100</f>
        <v/>
      </c>
      <c r="J25" s="21">
        <f>BDP($E25,J$7)/100</f>
        <v/>
      </c>
      <c r="K25" s="25" t="inlineStr">
        <is>
          <t>Oil + fiscal sentiment</t>
        </is>
      </c>
      <c r="N25" s="23" t="n"/>
    </row>
    <row r="26" ht="22" customHeight="1">
      <c r="A26" s="11" t="inlineStr">
        <is>
          <t>USD/PEN</t>
        </is>
      </c>
      <c r="B26" s="12" t="inlineStr">
        <is>
          <t>USDPEN</t>
        </is>
      </c>
      <c r="C26" s="13" t="inlineStr">
        <is>
          <t>FX</t>
        </is>
      </c>
      <c r="D26" s="14" t="inlineStr">
        <is>
          <t>USDPEN Curncy</t>
        </is>
      </c>
      <c r="E26" s="14" t="inlineStr">
        <is>
          <t>USDPEN Curncy</t>
        </is>
      </c>
      <c r="F26" s="15">
        <f>BDP($E26,F$7)</f>
        <v/>
      </c>
      <c r="G26" s="16">
        <f>BDP($E26,G$7)/100</f>
        <v/>
      </c>
      <c r="H26" s="16">
        <f>BDP($E26,H$7)/100</f>
        <v/>
      </c>
      <c r="I26" s="16">
        <f>BDP($E26,I$7)/100</f>
        <v/>
      </c>
      <c r="J26" s="16">
        <f>BDP($E26,J$7)/100</f>
        <v/>
      </c>
      <c r="K26" s="24" t="inlineStr">
        <is>
          <t>Most stable LatAm currency; BCRP managed</t>
        </is>
      </c>
      <c r="N26" s="23" t="n"/>
    </row>
    <row r="27" ht="22" customHeight="1">
      <c r="A27" s="17" t="inlineStr">
        <is>
          <t>USD/ARS (Official)</t>
        </is>
      </c>
      <c r="B27" s="18" t="inlineStr">
        <is>
          <t>USDARS</t>
        </is>
      </c>
      <c r="C27" s="19" t="inlineStr">
        <is>
          <t>FX</t>
        </is>
      </c>
      <c r="D27" s="14" t="inlineStr">
        <is>
          <t>USDARS Curncy</t>
        </is>
      </c>
      <c r="E27" s="14" t="inlineStr">
        <is>
          <t>USDARS Curncy</t>
        </is>
      </c>
      <c r="F27" s="20">
        <f>BDP($E27,F$7)</f>
        <v/>
      </c>
      <c r="G27" s="21">
        <f>BDP($E27,G$7)/100</f>
        <v/>
      </c>
      <c r="H27" s="21">
        <f>BDP($E27,H$7)/100</f>
        <v/>
      </c>
      <c r="I27" s="21">
        <f>BDP($E27,I$7)/100</f>
        <v/>
      </c>
      <c r="J27" s="21">
        <f>BDP($E27,J$7)/100</f>
        <v/>
      </c>
      <c r="K27" s="25" t="inlineStr">
        <is>
          <t>Crawling peg; gap to blue-chip swap matters</t>
        </is>
      </c>
      <c r="N27" s="23" t="n"/>
    </row>
    <row r="28" ht="22" customHeight="1">
      <c r="A28" s="11" t="inlineStr">
        <is>
          <t>LACI (LatAm FX Idx)</t>
        </is>
      </c>
      <c r="B28" s="12" t="inlineStr">
        <is>
          <t>LACI</t>
        </is>
      </c>
      <c r="C28" s="13" t="inlineStr">
        <is>
          <t>FX</t>
        </is>
      </c>
      <c r="D28" s="14" t="inlineStr">
        <is>
          <t>LACI Index</t>
        </is>
      </c>
      <c r="E28" s="14" t="inlineStr">
        <is>
          <t>LACI Index</t>
        </is>
      </c>
      <c r="F28" s="15">
        <f>BDP($E28,F$7)</f>
        <v/>
      </c>
      <c r="G28" s="16">
        <f>BDP($E28,G$7)/100</f>
        <v/>
      </c>
      <c r="H28" s="16">
        <f>BDP($E28,H$7)/100</f>
        <v/>
      </c>
      <c r="I28" s="16">
        <f>BDP($E28,I$7)/100</f>
        <v/>
      </c>
      <c r="J28" s="16">
        <f>BDP($E28,J$7)/100</f>
        <v/>
      </c>
      <c r="K28" s="24" t="inlineStr">
        <is>
          <t>Broad LatAm FX trend</t>
        </is>
      </c>
      <c r="N28" s="23" t="n"/>
    </row>
    <row r="29" ht="22" customHeight="1">
      <c r="A29" s="17" t="inlineStr">
        <is>
          <t>Brazil 5Y CDS (bp)</t>
        </is>
      </c>
      <c r="B29" s="18" t="inlineStr">
        <is>
          <t>BR 5Y CDS</t>
        </is>
      </c>
      <c r="C29" s="19" t="inlineStr">
        <is>
          <t>Credit Risk</t>
        </is>
      </c>
      <c r="D29" s="14" t="inlineStr">
        <is>
          <t>CBRA1U5 CBIN Curncy</t>
        </is>
      </c>
      <c r="E29" s="14" t="inlineStr">
        <is>
          <t>CBRA1U5 CBIN Curncy</t>
        </is>
      </c>
      <c r="F29" s="20">
        <f>BDP($E29,F$7)</f>
        <v/>
      </c>
      <c r="G29" s="21">
        <f>BDP($E29,G$7)/100</f>
        <v/>
      </c>
      <c r="H29" s="21">
        <f>BDP($E29,H$7)/100</f>
        <v/>
      </c>
      <c r="I29" s="21">
        <f>BDP($E29,I$7)/100</f>
        <v/>
      </c>
      <c r="J29" s="21">
        <f>BDP($E29,J$7)/100</f>
        <v/>
      </c>
      <c r="K29" s="25" t="inlineStr">
        <is>
          <t>Tighter = better; &lt;200bp inflection</t>
        </is>
      </c>
      <c r="N29" s="23" t="n"/>
    </row>
    <row r="30" ht="22" customHeight="1">
      <c r="A30" s="11" t="inlineStr">
        <is>
          <t>Mexico 5Y CDS (bp)</t>
        </is>
      </c>
      <c r="B30" s="12" t="inlineStr">
        <is>
          <t>MX 5Y CDS</t>
        </is>
      </c>
      <c r="C30" s="13" t="inlineStr">
        <is>
          <t>Credit Risk</t>
        </is>
      </c>
      <c r="D30" s="14" t="inlineStr">
        <is>
          <t>CMEX1U5 CBIN Curncy</t>
        </is>
      </c>
      <c r="E30" s="14" t="inlineStr">
        <is>
          <t>CMEX1U5 CBIN Curncy</t>
        </is>
      </c>
      <c r="F30" s="15">
        <f>BDP($E30,F$7)</f>
        <v/>
      </c>
      <c r="G30" s="16">
        <f>BDP($E30,G$7)/100</f>
        <v/>
      </c>
      <c r="H30" s="16">
        <f>BDP($E30,H$7)/100</f>
        <v/>
      </c>
      <c r="I30" s="16">
        <f>BDP($E30,I$7)/100</f>
        <v/>
      </c>
      <c r="J30" s="16">
        <f>BDP($E30,J$7)/100</f>
        <v/>
      </c>
      <c r="K30" s="24" t="inlineStr">
        <is>
          <t>USMCA / fiscal slippage</t>
        </is>
      </c>
      <c r="N30" s="23" t="n"/>
    </row>
    <row r="31" ht="22" customHeight="1">
      <c r="A31" s="17" t="inlineStr">
        <is>
          <t>Colombia 5Y CDS (bp)</t>
        </is>
      </c>
      <c r="B31" s="18" t="inlineStr">
        <is>
          <t>CO 5Y CDS</t>
        </is>
      </c>
      <c r="C31" s="19" t="inlineStr">
        <is>
          <t>Credit Risk</t>
        </is>
      </c>
      <c r="D31" s="14" t="inlineStr">
        <is>
          <t>CCOL1U5 CBIN Curncy</t>
        </is>
      </c>
      <c r="E31" s="14" t="inlineStr">
        <is>
          <t>CCOL1U5 CBIN Curncy</t>
        </is>
      </c>
      <c r="F31" s="20">
        <f>BDP($E31,F$7)</f>
        <v/>
      </c>
      <c r="G31" s="21">
        <f>BDP($E31,G$7)/100</f>
        <v/>
      </c>
      <c r="H31" s="21">
        <f>BDP($E31,H$7)/100</f>
        <v/>
      </c>
      <c r="I31" s="21">
        <f>BDP($E31,I$7)/100</f>
        <v/>
      </c>
      <c r="J31" s="21">
        <f>BDP($E31,J$7)/100</f>
        <v/>
      </c>
      <c r="K31" s="25" t="inlineStr">
        <is>
          <t>Widest in LatAm IG-ish</t>
        </is>
      </c>
      <c r="N31" s="23" t="n"/>
    </row>
    <row r="32" ht="22" customHeight="1">
      <c r="A32" s="11" t="inlineStr">
        <is>
          <t>Brazil Selic Rate (%)</t>
        </is>
      </c>
      <c r="B32" s="12" t="inlineStr">
        <is>
          <t>Selic</t>
        </is>
      </c>
      <c r="C32" s="13" t="inlineStr">
        <is>
          <t>Rates</t>
        </is>
      </c>
      <c r="D32" s="14" t="inlineStr">
        <is>
          <t>BZSTSETA Index</t>
        </is>
      </c>
      <c r="E32" s="14" t="inlineStr">
        <is>
          <t>BZSTSETA Index</t>
        </is>
      </c>
      <c r="F32" s="15">
        <f>BDP($E32,F$7)</f>
        <v/>
      </c>
      <c r="G32" s="16">
        <f>BDP($E32,G$7)/100</f>
        <v/>
      </c>
      <c r="H32" s="16">
        <f>BDP($E32,H$7)/100</f>
        <v/>
      </c>
      <c r="I32" s="16">
        <f>BDP($E32,I$7)/100</f>
        <v/>
      </c>
      <c r="J32" s="16">
        <f>BDP($E32,J$7)/100</f>
        <v/>
      </c>
      <c r="K32" s="24" t="inlineStr">
        <is>
          <t>Easing cycle — local duration trade</t>
        </is>
      </c>
      <c r="N32" s="23" t="n"/>
    </row>
    <row r="33" ht="22" customHeight="1">
      <c r="A33" s="17" t="inlineStr">
        <is>
          <t>Mexico Banxico Rate (%)</t>
        </is>
      </c>
      <c r="B33" s="18" t="inlineStr">
        <is>
          <t>Banxico</t>
        </is>
      </c>
      <c r="C33" s="19" t="inlineStr">
        <is>
          <t>Rates</t>
        </is>
      </c>
      <c r="D33" s="14" t="inlineStr">
        <is>
          <t>MXIBTIIE Index</t>
        </is>
      </c>
      <c r="E33" s="14" t="inlineStr">
        <is>
          <t>MXIBTIIE Index</t>
        </is>
      </c>
      <c r="F33" s="20">
        <f>BDP($E33,F$7)</f>
        <v/>
      </c>
      <c r="G33" s="21">
        <f>BDP($E33,G$7)/100</f>
        <v/>
      </c>
      <c r="H33" s="21">
        <f>BDP($E33,H$7)/100</f>
        <v/>
      </c>
      <c r="I33" s="21">
        <f>BDP($E33,I$7)/100</f>
        <v/>
      </c>
      <c r="J33" s="21">
        <f>BDP($E33,J$7)/100</f>
        <v/>
      </c>
      <c r="K33" s="25" t="inlineStr">
        <is>
          <t>Cutting cycle, MXN-cautious</t>
        </is>
      </c>
      <c r="N33" s="23" t="n"/>
    </row>
    <row r="34" ht="22" customHeight="1">
      <c r="A34" s="11" t="inlineStr">
        <is>
          <t>Iron Ore (Brazil)</t>
        </is>
      </c>
      <c r="B34" s="12" t="inlineStr">
        <is>
          <t>Iron Ore</t>
        </is>
      </c>
      <c r="C34" s="13" t="inlineStr">
        <is>
          <t>Commodity</t>
        </is>
      </c>
      <c r="D34" s="14" t="inlineStr">
        <is>
          <t>SCO1 Comdty</t>
        </is>
      </c>
      <c r="E34" s="14" t="inlineStr">
        <is>
          <t>SCO1 Comdty</t>
        </is>
      </c>
      <c r="F34" s="15">
        <f>BDP($E34,F$7)</f>
        <v/>
      </c>
      <c r="G34" s="16">
        <f>BDP($E34,G$7)/100</f>
        <v/>
      </c>
      <c r="H34" s="16">
        <f>BDP($E34,H$7)/100</f>
        <v/>
      </c>
      <c r="I34" s="16">
        <f>BDP($E34,I$7)/100</f>
        <v/>
      </c>
      <c r="J34" s="16">
        <f>BDP($E34,J$7)/100</f>
        <v/>
      </c>
      <c r="K34" s="24" t="inlineStr">
        <is>
          <t>Vale, BR fiscal sensitivity</t>
        </is>
      </c>
      <c r="N34" s="23" t="n"/>
    </row>
    <row r="35" ht="22" customHeight="1">
      <c r="A35" s="17" t="inlineStr">
        <is>
          <t>Copper (Chile/Peru)</t>
        </is>
      </c>
      <c r="B35" s="18" t="inlineStr">
        <is>
          <t>Copper</t>
        </is>
      </c>
      <c r="C35" s="19" t="inlineStr">
        <is>
          <t>Commodity</t>
        </is>
      </c>
      <c r="D35" s="14" t="inlineStr">
        <is>
          <t>LMCADY Comdty</t>
        </is>
      </c>
      <c r="E35" s="14" t="inlineStr">
        <is>
          <t>LMCADY Comdty</t>
        </is>
      </c>
      <c r="F35" s="20">
        <f>BDP($E35,F$7)</f>
        <v/>
      </c>
      <c r="G35" s="21">
        <f>BDP($E35,G$7)/100</f>
        <v/>
      </c>
      <c r="H35" s="21">
        <f>BDP($E35,H$7)/100</f>
        <v/>
      </c>
      <c r="I35" s="21">
        <f>BDP($E35,I$7)/100</f>
        <v/>
      </c>
      <c r="J35" s="21">
        <f>BDP($E35,J$7)/100</f>
        <v/>
      </c>
      <c r="K35" s="25" t="inlineStr">
        <is>
          <t>Chile fiscal, CLP, IPSA driver</t>
        </is>
      </c>
      <c r="N35" s="23" t="n"/>
    </row>
    <row r="36" ht="22" customHeight="1">
      <c r="A36" s="11" t="inlineStr">
        <is>
          <t>Soybean (BR/AR)</t>
        </is>
      </c>
      <c r="B36" s="12" t="inlineStr">
        <is>
          <t>Soybean</t>
        </is>
      </c>
      <c r="C36" s="13" t="inlineStr">
        <is>
          <t>Commodity</t>
        </is>
      </c>
      <c r="D36" s="14" t="inlineStr">
        <is>
          <t>S 1 Comdty</t>
        </is>
      </c>
      <c r="E36" s="14" t="inlineStr">
        <is>
          <t>S 1 Comdty</t>
        </is>
      </c>
      <c r="F36" s="15">
        <f>BDP($E36,F$7)</f>
        <v/>
      </c>
      <c r="G36" s="16">
        <f>BDP($E36,G$7)/100</f>
        <v/>
      </c>
      <c r="H36" s="16">
        <f>BDP($E36,H$7)/100</f>
        <v/>
      </c>
      <c r="I36" s="16">
        <f>BDP($E36,I$7)/100</f>
        <v/>
      </c>
      <c r="J36" s="16">
        <f>BDP($E36,J$7)/100</f>
        <v/>
      </c>
      <c r="K36" s="24" t="inlineStr">
        <is>
          <t>BRL/ARS trade balance</t>
        </is>
      </c>
      <c r="N36" s="23" t="n"/>
    </row>
    <row r="37" ht="22" customHeight="1">
      <c r="A37" s="17" t="inlineStr">
        <is>
          <t>WTI Crude (CO/MX)</t>
        </is>
      </c>
      <c r="B37" s="18" t="inlineStr">
        <is>
          <t>WTI</t>
        </is>
      </c>
      <c r="C37" s="19" t="inlineStr">
        <is>
          <t>Commodity</t>
        </is>
      </c>
      <c r="D37" s="14" t="inlineStr">
        <is>
          <t>CL1 Comdty</t>
        </is>
      </c>
      <c r="E37" s="14" t="inlineStr">
        <is>
          <t>CL1 Comdty</t>
        </is>
      </c>
      <c r="F37" s="20">
        <f>BDP($E37,F$7)</f>
        <v/>
      </c>
      <c r="G37" s="21">
        <f>BDP($E37,G$7)/100</f>
        <v/>
      </c>
      <c r="H37" s="21">
        <f>BDP($E37,H$7)/100</f>
        <v/>
      </c>
      <c r="I37" s="21">
        <f>BDP($E37,I$7)/100</f>
        <v/>
      </c>
      <c r="J37" s="21">
        <f>BDP($E37,J$7)/100</f>
        <v/>
      </c>
      <c r="K37" s="25" t="inlineStr">
        <is>
          <t>Ecopetrol, Pemex, COP/MXN</t>
        </is>
      </c>
      <c r="N37" s="23" t="n"/>
    </row>
    <row r="38" ht="22" customHeight="1">
      <c r="A38" s="11" t="inlineStr">
        <is>
          <t>US 10Y Yield</t>
        </is>
      </c>
      <c r="B38" s="12" t="inlineStr">
        <is>
          <t>US 10Y</t>
        </is>
      </c>
      <c r="C38" s="13" t="inlineStr">
        <is>
          <t>External</t>
        </is>
      </c>
      <c r="D38" s="14" t="inlineStr">
        <is>
          <t>USGG10YR Index</t>
        </is>
      </c>
      <c r="E38" s="14" t="inlineStr">
        <is>
          <t>USGG10YR Index</t>
        </is>
      </c>
      <c r="F38" s="15">
        <f>BDP($E38,F$7)</f>
        <v/>
      </c>
      <c r="G38" s="16">
        <f>BDP($E38,G$7)/100</f>
        <v/>
      </c>
      <c r="H38" s="16">
        <f>BDP($E38,H$7)/100</f>
        <v/>
      </c>
      <c r="I38" s="16">
        <f>BDP($E38,I$7)/100</f>
        <v/>
      </c>
      <c r="J38" s="16">
        <f>BDP($E38,J$7)/100</f>
        <v/>
      </c>
      <c r="K38" s="24" t="inlineStr">
        <is>
          <t>Lower = EM duration tailwind</t>
        </is>
      </c>
      <c r="N38" s="23" t="n"/>
    </row>
    <row r="39" ht="22" customHeight="1">
      <c r="A39" s="17" t="inlineStr">
        <is>
          <t>DXY</t>
        </is>
      </c>
      <c r="B39" s="18" t="inlineStr">
        <is>
          <t>DXY</t>
        </is>
      </c>
      <c r="C39" s="19" t="inlineStr">
        <is>
          <t>External</t>
        </is>
      </c>
      <c r="D39" s="14" t="inlineStr">
        <is>
          <t>DXY Curncy</t>
        </is>
      </c>
      <c r="E39" s="14" t="inlineStr">
        <is>
          <t>DXY Curncy</t>
        </is>
      </c>
      <c r="F39" s="20">
        <f>BDP($E39,F$7)</f>
        <v/>
      </c>
      <c r="G39" s="21">
        <f>BDP($E39,G$7)/100</f>
        <v/>
      </c>
      <c r="H39" s="21">
        <f>BDP($E39,H$7)/100</f>
        <v/>
      </c>
      <c r="I39" s="21">
        <f>BDP($E39,I$7)/100</f>
        <v/>
      </c>
      <c r="J39" s="21">
        <f>BDP($E39,J$7)/100</f>
        <v/>
      </c>
      <c r="K39" s="25" t="inlineStr">
        <is>
          <t>Weak USD = LatAm tailwind</t>
        </is>
      </c>
    </row>
  </sheetData>
  <mergeCells count="4">
    <mergeCell ref="A1:J1"/>
    <mergeCell ref="A7:E7"/>
    <mergeCell ref="A3:J3"/>
    <mergeCell ref="A2:J2"/>
  </mergeCells>
  <conditionalFormatting sqref="G8:G39">
    <cfRule type="colorScale" priority="1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H8:H39">
    <cfRule type="colorScale" priority="2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I8:I39">
    <cfRule type="colorScale" priority="3">
      <colorScale>
        <cfvo type="min"/>
        <cfvo type="num" val="0"/>
        <cfvo type="max"/>
        <color rgb="00F87171"/>
        <color rgb="00FFFFFF"/>
        <color rgb="0034D399"/>
      </colorScale>
    </cfRule>
  </conditionalFormatting>
  <conditionalFormatting sqref="J8:J39">
    <cfRule type="colorScale" priority="4">
      <colorScale>
        <cfvo type="min"/>
        <cfvo type="num" val="0"/>
        <cfvo type="max"/>
        <color rgb="00F87171"/>
        <color rgb="00FFFFFF"/>
        <color rgb="0034D399"/>
      </colorScale>
    </cfRule>
    <cfRule type="dataBar" priority="5">
      <dataBar showValue="1">
        <cfvo type="min"/>
        <cfvo type="max"/>
        <color rgb="0060A5FA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55" customWidth="1" min="3" max="3"/>
    <col width="40" customWidth="1" min="4" max="4"/>
  </cols>
  <sheetData>
    <row r="1" ht="26" customHeight="1">
      <c r="A1" s="26" t="inlineStr">
        <is>
          <t>BLOOMBERG FIELD GUIDE</t>
        </is>
      </c>
    </row>
    <row r="2">
      <c r="A2" s="2" t="inlineStr">
        <is>
          <t>Standard fields used in this monitor — edit the green cells on each sheet to swap fields.</t>
        </is>
      </c>
    </row>
    <row r="4" ht="24" customHeight="1">
      <c r="A4" s="6" t="inlineStr">
        <is>
          <t>Purpose</t>
        </is>
      </c>
      <c r="B4" s="6" t="inlineStr">
        <is>
          <t>Field</t>
        </is>
      </c>
      <c r="C4" s="6" t="inlineStr">
        <is>
          <t>Example Formula (prepend = when pasting)</t>
        </is>
      </c>
      <c r="D4" s="6" t="inlineStr">
        <is>
          <t>Notes</t>
        </is>
      </c>
    </row>
    <row r="5" ht="24" customHeight="1">
      <c r="A5" s="27" t="inlineStr">
        <is>
          <t>Current price/level</t>
        </is>
      </c>
      <c r="B5" s="27" t="inlineStr">
        <is>
          <t>PX_LAST</t>
        </is>
      </c>
      <c r="C5" s="27" t="inlineStr">
        <is>
          <t>BDP("SPX Index","PX_LAST")</t>
        </is>
      </c>
      <c r="D5" s="27" t="inlineStr">
        <is>
          <t>Most recent print</t>
        </is>
      </c>
    </row>
    <row r="6" ht="24" customHeight="1">
      <c r="A6" s="27" t="inlineStr">
        <is>
          <t>1-week change %</t>
        </is>
      </c>
      <c r="B6" s="27" t="inlineStr">
        <is>
          <t>CHG_PCT_5D</t>
        </is>
      </c>
      <c r="C6" s="27" t="inlineStr">
        <is>
          <t>BDP("SPX Index","CHG_PCT_5D")</t>
        </is>
      </c>
      <c r="D6" s="27" t="inlineStr">
        <is>
          <t>Trailing 5 business days</t>
        </is>
      </c>
    </row>
    <row r="7" ht="24" customHeight="1">
      <c r="A7" s="27" t="inlineStr">
        <is>
          <t>1-month change %</t>
        </is>
      </c>
      <c r="B7" s="27" t="inlineStr">
        <is>
          <t>CHG_PCT_1M</t>
        </is>
      </c>
      <c r="C7" s="27" t="inlineStr">
        <is>
          <t>BDP("SPX Index","CHG_PCT_1M")</t>
        </is>
      </c>
      <c r="D7" s="27" t="inlineStr"/>
    </row>
    <row r="8" ht="24" customHeight="1">
      <c r="A8" s="27" t="inlineStr">
        <is>
          <t>3-month change %</t>
        </is>
      </c>
      <c r="B8" s="27" t="inlineStr">
        <is>
          <t>CHG_PCT_3M</t>
        </is>
      </c>
      <c r="C8" s="27" t="inlineStr">
        <is>
          <t>BDP("SPX Index","CHG_PCT_3M")</t>
        </is>
      </c>
      <c r="D8" s="27" t="inlineStr"/>
    </row>
    <row r="9" ht="24" customHeight="1">
      <c r="A9" s="27" t="inlineStr">
        <is>
          <t>YTD change %</t>
        </is>
      </c>
      <c r="B9" s="27" t="inlineStr">
        <is>
          <t>CHG_PCT_YTD</t>
        </is>
      </c>
      <c r="C9" s="27" t="inlineStr">
        <is>
          <t>BDP("SPX Index","CHG_PCT_YTD")</t>
        </is>
      </c>
      <c r="D9" s="27" t="inlineStr">
        <is>
          <t>From Dec-31 of prior year</t>
        </is>
      </c>
    </row>
    <row r="10" ht="24" customHeight="1">
      <c r="A10" s="27" t="inlineStr">
        <is>
          <t>Absolute (bp) YTD change</t>
        </is>
      </c>
      <c r="B10" s="27" t="inlineStr">
        <is>
          <t>CHG_NET_YTD</t>
        </is>
      </c>
      <c r="C10" s="27" t="inlineStr">
        <is>
          <t>BDP("USGG10YR Index","CHG_NET_YTD")</t>
        </is>
      </c>
      <c r="D10" s="27" t="inlineStr">
        <is>
          <t>Use for rate levels in bp</t>
        </is>
      </c>
    </row>
    <row r="11" ht="24" customHeight="1">
      <c r="A11" s="27" t="inlineStr">
        <is>
          <t>Total return (custom range)</t>
        </is>
      </c>
      <c r="B11" s="27" t="inlineStr">
        <is>
          <t>TOT_RETURN_INDEX_GROSS_DVDS</t>
        </is>
      </c>
      <c r="C11" s="27" t="inlineStr">
        <is>
          <t>BDH("SPX Index","TOT_RETURN_INDEX_GROSS_DVDS",start,end)</t>
        </is>
      </c>
      <c r="D11" s="27" t="inlineStr">
        <is>
          <t>Gross of withholding tax</t>
        </is>
      </c>
    </row>
    <row r="12" ht="24" customHeight="1">
      <c r="A12" s="27" t="inlineStr">
        <is>
          <t>Net total return</t>
        </is>
      </c>
      <c r="B12" s="27" t="inlineStr">
        <is>
          <t>TOT_RETURN_INDEX_NET_DVDS</t>
        </is>
      </c>
      <c r="C12" s="27" t="inlineStr">
        <is>
          <t>BDH("SPX Index","TOT_RETURN_INDEX_NET_DVDS",start,end)</t>
        </is>
      </c>
      <c r="D12" s="27" t="inlineStr">
        <is>
          <t>Net of withholding</t>
        </is>
      </c>
    </row>
    <row r="13" ht="24" customHeight="1">
      <c r="A13" s="27" t="inlineStr">
        <is>
          <t>FX cross</t>
        </is>
      </c>
      <c r="B13" s="27" t="inlineStr">
        <is>
          <t>PX_LAST</t>
        </is>
      </c>
      <c r="C13" s="27" t="inlineStr">
        <is>
          <t>BDP("USDBRL Curncy","PX_LAST")</t>
        </is>
      </c>
      <c r="D13" s="27" t="inlineStr">
        <is>
          <t>Curncy suffix, not Index</t>
        </is>
      </c>
    </row>
    <row r="14" ht="24" customHeight="1">
      <c r="A14" s="27" t="inlineStr">
        <is>
          <t>CDS spread (bp)</t>
        </is>
      </c>
      <c r="B14" s="27" t="inlineStr">
        <is>
          <t>PX_LAST</t>
        </is>
      </c>
      <c r="C14" s="27" t="inlineStr">
        <is>
          <t>BDP("CBRA1U5 CBIN Curncy","PX_LAST")</t>
        </is>
      </c>
      <c r="D14" s="27" t="inlineStr">
        <is>
          <t>5Y senior sov CDS</t>
        </is>
      </c>
    </row>
    <row r="15" ht="24" customHeight="1">
      <c r="A15" s="27" t="inlineStr">
        <is>
          <t>HFRX index</t>
        </is>
      </c>
      <c r="B15" s="27" t="inlineStr">
        <is>
          <t>CHG_PCT_YTD</t>
        </is>
      </c>
      <c r="C15" s="27" t="inlineStr">
        <is>
          <t>BDP("HFRXGL Index","CHG_PCT_YTD")</t>
        </is>
      </c>
      <c r="D15" s="27" t="inlineStr">
        <is>
          <t>HFRX daily; HFRI is monthly w/ lag</t>
        </is>
      </c>
    </row>
    <row r="18">
      <c r="A18" s="28" t="inlineStr">
        <is>
          <t>LATAM WATCH-LIST TIPS</t>
        </is>
      </c>
    </row>
    <row r="19" ht="26" customHeight="1">
      <c r="A19" s="29" t="inlineStr">
        <is>
          <t>• EMBI Latam TR vs UST — spread tells you whether the rally is risk-on or just rates beta.</t>
        </is>
      </c>
    </row>
    <row r="20" ht="26" customHeight="1">
      <c r="A20" s="29" t="inlineStr">
        <is>
          <t>• USDBRL vs Selic-Fed differential — carry trade thermometer; widening + risk-on = BRL strength.</t>
        </is>
      </c>
    </row>
    <row r="21" ht="26" customHeight="1">
      <c r="A21" s="29" t="inlineStr">
        <is>
          <t>• Copper vs IPSA / USDCLP — Chile macro/equity move with copper; 2nd-derivative check.</t>
        </is>
      </c>
    </row>
    <row r="22" ht="26" customHeight="1">
      <c r="A22" s="29" t="inlineStr">
        <is>
          <t>• Iron ore vs IBOV — Vale weight is large; iron-ore breaks tend to lead Bovespa weakness.</t>
        </is>
      </c>
    </row>
    <row r="23" ht="26" customHeight="1">
      <c r="A23" s="29" t="inlineStr">
        <is>
          <t>• Argentina EMBI + ARS gap (official vs blue-chip swap) — best read on reform credibility.</t>
        </is>
      </c>
    </row>
    <row r="24" ht="26" customHeight="1">
      <c r="A24" s="29" t="inlineStr">
        <is>
          <t>• DXY + US 10Y — the external 'background music'; almost every LatAm asset trades off these.</t>
        </is>
      </c>
    </row>
    <row r="25" ht="26" customHeight="1">
      <c r="A25" s="29" t="inlineStr">
        <is>
          <t>• VIX/MOVE — when both rise, LatAm FX and EMBI sell off in tandem.</t>
        </is>
      </c>
    </row>
  </sheetData>
  <mergeCells count="9">
    <mergeCell ref="A1:D1"/>
    <mergeCell ref="A23:D23"/>
    <mergeCell ref="A22:D22"/>
    <mergeCell ref="A20:D20"/>
    <mergeCell ref="A21:D21"/>
    <mergeCell ref="A25:D25"/>
    <mergeCell ref="A24:D24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2026-05-13T14:03:55Z</dcterms:created>
  <dcterms:modified xmlns:dcterms="http://purl.org/dc/terms/" xmlns:xsi="http://www.w3.org/2001/XMLSchema-instance" xsi:type="dcterms:W3CDTF">2026-05-13T14:03:55Z</dcterms:modified>
</cp:coreProperties>
</file>