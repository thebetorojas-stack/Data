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style2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hart10.xml" ContentType="application/vnd.openxmlformats-officedocument.drawingml.chart+xml"/>
  <Override PartName="/xl/charts/style5.xml" ContentType="application/vnd.ms-office.chartstyle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style15.xml" ContentType="application/vnd.ms-office.chartstyle+xml"/>
  <Override PartName="/xl/charts/chart5.xml" ContentType="application/vnd.openxmlformats-officedocument.drawingml.chart+xml"/>
  <Override PartName="/xl/charts/style13.xml" ContentType="application/vnd.ms-office.chartstyle+xml"/>
  <Override PartName="/xl/charts/colors2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hart16.xml" ContentType="application/vnd.openxmlformats-officedocument.drawingml.chart+xml"/>
  <Override PartName="/xl/charts/colors5.xml" ContentType="application/vnd.ms-office.chartcolorstyle+xml"/>
  <Override PartName="/xl/charts/style8.xml" ContentType="application/vnd.ms-office.chartstyle+xml"/>
  <Override PartName="/xl/charts/chart14.xml" ContentType="application/vnd.openxmlformats-officedocument.drawingml.chart+xml"/>
  <Override PartName="/xl/charts/chart9.xml" ContentType="application/vnd.openxmlformats-officedocument.drawingml.chart+xml"/>
  <Override PartName="/xl/charts/colors13.xml" ContentType="application/vnd.ms-office.chartcolorstyle+xml"/>
  <Override PartName="/xl/charts/colors1.xml" ContentType="application/vnd.ms-office.chartcolorstyle+xml"/>
  <Override PartName="/xl/charts/colors4.xml" ContentType="application/vnd.ms-office.chartcolorstyle+xml"/>
  <Override PartName="/xl/charts/style12.xml" ContentType="application/vnd.ms-office.chartstyle+xml"/>
  <Override PartName="/xl/charts/style16.xml" ContentType="application/vnd.ms-office.chartstyle+xml"/>
  <Override PartName="/xl/charts/style10.xml" ContentType="application/vnd.ms-office.chartstyle+xml"/>
  <Override PartName="/xl/charts/colors14.xml" ContentType="application/vnd.ms-office.chartcolor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.xml" ContentType="application/vnd.openxmlformats-officedocument.drawingml.chart+xml"/>
  <Override PartName="/xl/charts/colors15.xml" ContentType="application/vnd.ms-office.chartcolorstyle+xml"/>
  <Override PartName="/xl/charts/colors16.xml" ContentType="application/vnd.ms-office.chartcolorstyle+xml"/>
  <Override PartName="/xl/charts/colors3.xml" ContentType="application/vnd.ms-office.chartcolorstyle+xml"/>
  <Override PartName="/xl/charts/colors11.xml" ContentType="application/vnd.ms-office.chartcolorstyle+xml"/>
  <Override PartName="/xl/charts/style14.xml" ContentType="application/vnd.ms-office.chartstyle+xml"/>
  <Override PartName="/xl/charts/colors12.xml" ContentType="application/vnd.ms-office.chartcolor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style9.xml" ContentType="application/vnd.ms-office.chartstyle+xml"/>
  <Override PartName="/xl/charts/chart3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Real and nominal GDP" sheetId="2" state="visible" r:id="rId4"/>
    <sheet name="CPI" sheetId="3" state="visible" r:id="rId5"/>
    <sheet name="GDP Analysis" sheetId="4" state="visible" r:id="rId6"/>
    <sheet name="CPI Analysis" sheetId="5" state="visible" r:id="rId7"/>
    <sheet name="TEMPLATE - Quarterly" sheetId="6" state="visible" r:id="rId8"/>
    <sheet name="TEMPLATE - Monthly" sheetId="7" state="visible" r:id="rId9"/>
    <sheet name="TEMPLATE - Annual" sheetId="8" state="visible" r:id="rId10"/>
  </sheets>
  <definedNames>
    <definedName function="false" hidden="false" name="_DLX1" vbProcedure="false">'Real and nominal GDP'!$B$3:$S$7</definedName>
    <definedName function="false" hidden="false" name="_DLX2" vbProcedure="false">CPI!$B$3:$K$7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<sst xmlns="http://schemas.openxmlformats.org/spreadsheetml/2006/main" count="629" uniqueCount="493">
  <si>
    <t xml:space="preserve">Argentina Macro Analysis — Workbook Guide</t>
  </si>
  <si>
    <t xml:space="preserve">Refresh Haver downloads on raw tabs and run standard quarterly / monthly / annual analyses with 2-yr projections.</t>
  </si>
  <si>
    <t xml:space="preserve">TAB OVERVIEW</t>
  </si>
  <si>
    <t xml:space="preserve">  • Real and nominal GDP — raw Haver download (quarterly). Paste new data over rows 8+, keep column order.</t>
  </si>
  <si>
    <t xml:space="preserve">  • CPI — raw Haver download (monthly). Paste new data over rows 8+.</t>
  </si>
  <si>
    <t xml:space="preserve">  • GDP Analysis — pre-linked. Quarterly + Annual + Nominal GDP USD + Projections + Charts.</t>
  </si>
  <si>
    <t xml:space="preserve">  • CPI Analysis — pre-linked. Monthly + Quarterly + Annual + Projections + Charts.</t>
  </si>
  <si>
    <t xml:space="preserve">  • TEMPLATE - Quarterly / Monthly / Annual — reusable templates for any new metric.</t>
  </si>
  <si>
    <t xml:space="preserve">REFRESHING HAVER DATA</t>
  </si>
  <si>
    <t xml:space="preserve">  1. Download with the same layout: header rows 1–7, data row 8+. Date in col A, period code in col B.</t>
  </si>
  <si>
    <t xml:space="preserve">  2. Paste over rows 8+ on the matching raw tab. All Analysis tabs and charts auto-recalculate.</t>
  </si>
  <si>
    <t xml:space="preserve">  3. Formulas extend to row 220 (quarterly, ~55 yrs buffer) / row 260 (monthly, ~21 yrs buffer).</t>
  </si>
  <si>
    <t xml:space="preserve">USING A TEMPLATE FOR A NEW METRIC (Reserves, Debt, M2, BoP, …)</t>
  </si>
  <si>
    <t xml:space="preserve">  1. Right-click the template tab → Move or Copy → check 'Create a copy'. Rename the copy.</t>
  </si>
  <si>
    <t xml:space="preserve">  2. Fill the yellow cells at top: Series name, Units, Country, Annual aggregation method.</t>
  </si>
  <si>
    <t xml:space="preserve">       — Sum: flow variables (e.g., quarterly nominal output, trade flows).</t>
  </si>
  <si>
    <t xml:space="preserve">       — Average: indices and rates (e.g., CPI level, FX, interest rates).</t>
  </si>
  <si>
    <t xml:space="preserve">       — End of Period: stocks (reserves, debt outstanding, M2 balance).</t>
  </si>
  <si>
    <t xml:space="preserve">  3. Paste your data into Date (col A) and Value (col B) starting row 11 — OR link directly via formula</t>
  </si>
  <si>
    <t xml:space="preserve">       (e.g., =Reserves!A8 in A11, =Reserves!C8 in B11).</t>
  </si>
  <si>
    <t xml:space="preserve">  4. Type Year+1 / Year+2 YoY % projection assumptions in the yellow cells.</t>
  </si>
  <si>
    <t xml:space="preserve">  5. Charts and aggregations update automatically.</t>
  </si>
  <si>
    <t xml:space="preserve">GDP ANALYSIS — NOTES</t>
  </si>
  <si>
    <t xml:space="preserve">  • The GDP tab uses PER-COLUMN aggregation (no single switch) because mixed series live in one tab:</t>
  </si>
  <si>
    <t xml:space="preserve">       — Real GDP, Consumption, Gvt Exp, Investment, Real GDP NSA, Nominal GDP → Sum (flow).</t>
  </si>
  <si>
    <t xml:space="preserve">       — CPI, FX official, FX informal → Average (index/rate).</t>
  </si>
  <si>
    <t xml:space="preserve">  • Nominal GDP USD = Nominal GDP / FX (computed with both official and informal FX columns).</t>
  </si>
  <si>
    <t xml:space="preserve">  • Projection: nominal growth ≈ (1 + real GDP YoY%) × (1 + inflation YoY%) − 1.</t>
  </si>
  <si>
    <t xml:space="preserve">COLOR CONVENTIONS</t>
  </si>
  <si>
    <t xml:space="preserve">  • Blue text on yellow background — Hardcoded inputs / assumptions you can edit.</t>
  </si>
  <si>
    <t xml:space="preserve">  • Black text — Formulas. Do not overwrite.</t>
  </si>
  <si>
    <t xml:space="preserve">  • Green text — Cross-sheet links to raw data tabs.</t>
  </si>
  <si>
    <t xml:space="preserve">  • Negative numbers in (parentheses); zeros shown as -.</t>
  </si>
  <si>
    <t xml:space="preserve">ROBUSTNESS</t>
  </si>
  <si>
    <t xml:space="preserve">  • All formulas wrap source data with IFERROR so missing values appear as Not Available and charts skip them.</t>
  </si>
  <si>
    <t xml:space="preserve">  • Annual aggregations are SUMPRODUCT-based and clean Not-Available values per element.</t>
  </si>
  <si>
    <t xml:space="preserve">  • Year derivation parses the Haver period code: '244'→2024Q4, '2603'→2026M03.</t>
  </si>
  <si>
    <t xml:space="preserve">SA</t>
  </si>
  <si>
    <t xml:space="preserve">NSA </t>
  </si>
  <si>
    <t xml:space="preserve">NSA</t>
  </si>
  <si>
    <t xml:space="preserve">Date</t>
  </si>
  <si>
    <t xml:space="preserve">Real GDP</t>
  </si>
  <si>
    <t xml:space="preserve">Consumption</t>
  </si>
  <si>
    <t xml:space="preserve">Gvt. Expenditures</t>
  </si>
  <si>
    <t xml:space="preserve">Investment</t>
  </si>
  <si>
    <t xml:space="preserve">Nominal</t>
  </si>
  <si>
    <t xml:space="preserve">CPI</t>
  </si>
  <si>
    <t xml:space="preserve">FX</t>
  </si>
  <si>
    <t xml:space="preserve">FX informal</t>
  </si>
  <si>
    <t xml:space="preserve">1041 !Q NA_</t>
  </si>
  <si>
    <t xml:space="preserve">S213NGPC@EMERGELA</t>
  </si>
  <si>
    <t xml:space="preserve">S213NCPC@EMERGELA</t>
  </si>
  <si>
    <t xml:space="preserve">S213NCGC@EMERGELA</t>
  </si>
  <si>
    <t xml:space="preserve">S213NFC@EMERGELA</t>
  </si>
  <si>
    <t xml:space="preserve">N213NGPC@EMERGELA</t>
  </si>
  <si>
    <t xml:space="preserve">N213NGDP@EMERGELA</t>
  </si>
  <si>
    <t xml:space="preserve">N213PC@EMERGELA</t>
  </si>
  <si>
    <t xml:space="preserve">N213XUSV@EMERGELA</t>
  </si>
  <si>
    <t xml:space="preserve">X213DIM@EMERGELA</t>
  </si>
  <si>
    <t xml:space="preserve">.DESC</t>
  </si>
  <si>
    <t xml:space="preserve">Argentina: Gross Domestic Product at Market Prices (SAAR, Mil.2004.Pesos)</t>
  </si>
  <si>
    <t xml:space="preserve">Argentina: GDP: Private Consumption Expenditure (SAAR, Mil.2004.Pesos)</t>
  </si>
  <si>
    <t xml:space="preserve">Argentina: GDP: Govt Consumption Expenditure (SAAR, Mil.2004.Pesos)</t>
  </si>
  <si>
    <t xml:space="preserve">Argentina: GDP: Gross Fixed Capital Formation (SAAR, Mil.2004.Pesos)</t>
  </si>
  <si>
    <t xml:space="preserve">Argentina: Gross Domestic Product at Market Prices (NSAAR, Mil.2004.Pesos)</t>
  </si>
  <si>
    <t xml:space="preserve">Argentina: Gross Domestic Product at Market Prices (NSAAR, Mil.Pesos)</t>
  </si>
  <si>
    <t xml:space="preserve">Argentina: Consumer Price Index (NSA, Dec-16=100)</t>
  </si>
  <si>
    <t xml:space="preserve">Argentina: Exchange Rate: United States (Avg, Argentinian Peso/US$)</t>
  </si>
  <si>
    <t xml:space="preserve">Argentina: Informal US$ Exchange Rate, Mid Rate (Avg, Peso/US$)</t>
  </si>
  <si>
    <t xml:space="preserve">.SOURCE</t>
  </si>
  <si>
    <t xml:space="preserve">INDEC</t>
  </si>
  <si>
    <t xml:space="preserve">BCRA</t>
  </si>
  <si>
    <t xml:space="preserve">AMB</t>
  </si>
  <si>
    <t xml:space="preserve">.DATA_TYPE</t>
  </si>
  <si>
    <t xml:space="preserve">LocCur</t>
  </si>
  <si>
    <t xml:space="preserve">INDEX</t>
  </si>
  <si>
    <t xml:space="preserve">RATIO</t>
  </si>
  <si>
    <t xml:space="preserve">LC/US$</t>
  </si>
  <si>
    <t xml:space="preserve">.MAG</t>
  </si>
  <si>
    <t xml:space="preserve">6</t>
  </si>
  <si>
    <t xml:space="preserve">0</t>
  </si>
  <si>
    <t xml:space="preserve">041</t>
  </si>
  <si>
    <t xml:space="preserve">042</t>
  </si>
  <si>
    <t xml:space="preserve">043</t>
  </si>
  <si>
    <t xml:space="preserve">044</t>
  </si>
  <si>
    <t xml:space="preserve">051</t>
  </si>
  <si>
    <t xml:space="preserve">052</t>
  </si>
  <si>
    <t xml:space="preserve">053</t>
  </si>
  <si>
    <t xml:space="preserve">054</t>
  </si>
  <si>
    <t xml:space="preserve">061</t>
  </si>
  <si>
    <t xml:space="preserve">062</t>
  </si>
  <si>
    <t xml:space="preserve">063</t>
  </si>
  <si>
    <t xml:space="preserve">064</t>
  </si>
  <si>
    <t xml:space="preserve">071</t>
  </si>
  <si>
    <t xml:space="preserve">072</t>
  </si>
  <si>
    <t xml:space="preserve">073</t>
  </si>
  <si>
    <t xml:space="preserve">074</t>
  </si>
  <si>
    <t xml:space="preserve">081</t>
  </si>
  <si>
    <t xml:space="preserve">082</t>
  </si>
  <si>
    <t xml:space="preserve">083</t>
  </si>
  <si>
    <t xml:space="preserve">084</t>
  </si>
  <si>
    <t xml:space="preserve">091</t>
  </si>
  <si>
    <t xml:space="preserve">092</t>
  </si>
  <si>
    <t xml:space="preserve">093</t>
  </si>
  <si>
    <t xml:space="preserve">094</t>
  </si>
  <si>
    <t xml:space="preserve">101</t>
  </si>
  <si>
    <t xml:space="preserve">102</t>
  </si>
  <si>
    <t xml:space="preserve">103</t>
  </si>
  <si>
    <t xml:space="preserve">104</t>
  </si>
  <si>
    <t xml:space="preserve">111</t>
  </si>
  <si>
    <t xml:space="preserve">112</t>
  </si>
  <si>
    <t xml:space="preserve">113</t>
  </si>
  <si>
    <t xml:space="preserve">114</t>
  </si>
  <si>
    <t xml:space="preserve">121</t>
  </si>
  <si>
    <t xml:space="preserve">122</t>
  </si>
  <si>
    <t xml:space="preserve">123</t>
  </si>
  <si>
    <t xml:space="preserve">124</t>
  </si>
  <si>
    <t xml:space="preserve">131</t>
  </si>
  <si>
    <t xml:space="preserve">132</t>
  </si>
  <si>
    <t xml:space="preserve">133</t>
  </si>
  <si>
    <t xml:space="preserve">134</t>
  </si>
  <si>
    <t xml:space="preserve">141</t>
  </si>
  <si>
    <t xml:space="preserve">142</t>
  </si>
  <si>
    <t xml:space="preserve">143</t>
  </si>
  <si>
    <t xml:space="preserve">144</t>
  </si>
  <si>
    <t xml:space="preserve">151</t>
  </si>
  <si>
    <t xml:space="preserve">152</t>
  </si>
  <si>
    <t xml:space="preserve">153</t>
  </si>
  <si>
    <t xml:space="preserve">154</t>
  </si>
  <si>
    <t xml:space="preserve">161</t>
  </si>
  <si>
    <t xml:space="preserve">162</t>
  </si>
  <si>
    <t xml:space="preserve">163</t>
  </si>
  <si>
    <t xml:space="preserve">164</t>
  </si>
  <si>
    <t xml:space="preserve">171</t>
  </si>
  <si>
    <t xml:space="preserve">172</t>
  </si>
  <si>
    <t xml:space="preserve">173</t>
  </si>
  <si>
    <t xml:space="preserve">174</t>
  </si>
  <si>
    <t xml:space="preserve">181</t>
  </si>
  <si>
    <t xml:space="preserve">182</t>
  </si>
  <si>
    <t xml:space="preserve">183</t>
  </si>
  <si>
    <t xml:space="preserve">184</t>
  </si>
  <si>
    <t xml:space="preserve">191</t>
  </si>
  <si>
    <t xml:space="preserve">192</t>
  </si>
  <si>
    <t xml:space="preserve">193</t>
  </si>
  <si>
    <t xml:space="preserve">194</t>
  </si>
  <si>
    <t xml:space="preserve">201</t>
  </si>
  <si>
    <t xml:space="preserve">202</t>
  </si>
  <si>
    <t xml:space="preserve">203</t>
  </si>
  <si>
    <t xml:space="preserve">204</t>
  </si>
  <si>
    <t xml:space="preserve">211</t>
  </si>
  <si>
    <t xml:space="preserve">212</t>
  </si>
  <si>
    <t xml:space="preserve">213</t>
  </si>
  <si>
    <t xml:space="preserve">214</t>
  </si>
  <si>
    <t xml:space="preserve">221</t>
  </si>
  <si>
    <t xml:space="preserve">222</t>
  </si>
  <si>
    <t xml:space="preserve">223</t>
  </si>
  <si>
    <t xml:space="preserve">224</t>
  </si>
  <si>
    <t xml:space="preserve">231</t>
  </si>
  <si>
    <t xml:space="preserve">232</t>
  </si>
  <si>
    <t xml:space="preserve">233</t>
  </si>
  <si>
    <t xml:space="preserve">234</t>
  </si>
  <si>
    <t xml:space="preserve">241</t>
  </si>
  <si>
    <t xml:space="preserve">242</t>
  </si>
  <si>
    <t xml:space="preserve">243</t>
  </si>
  <si>
    <t xml:space="preserve">244</t>
  </si>
  <si>
    <t xml:space="preserve">251</t>
  </si>
  <si>
    <t xml:space="preserve">252</t>
  </si>
  <si>
    <t xml:space="preserve">253</t>
  </si>
  <si>
    <t xml:space="preserve">254</t>
  </si>
  <si>
    <t xml:space="preserve">261</t>
  </si>
  <si>
    <t xml:space="preserve">Headline</t>
  </si>
  <si>
    <t xml:space="preserve">Core</t>
  </si>
  <si>
    <t xml:space="preserve">11501 !M</t>
  </si>
  <si>
    <t xml:space="preserve">N213PCXQ@EMERGELA</t>
  </si>
  <si>
    <t xml:space="preserve">Argentina: CPI Ex Seasonal &amp; Regulated (NSA, Dec-16=100)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</si>
  <si>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</si>
  <si>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</si>
  <si>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</si>
  <si>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</si>
  <si>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</si>
  <si>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</si>
  <si>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</si>
  <si>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</si>
  <si>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</si>
  <si>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</si>
  <si>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</si>
  <si>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</si>
  <si>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</si>
  <si>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</si>
  <si>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</si>
  <si>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</si>
  <si>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</si>
  <si>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</si>
  <si>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</si>
  <si>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</si>
  <si>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</si>
  <si>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</si>
  <si>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</si>
  <si>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</si>
  <si>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</si>
  <si>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</si>
  <si>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</si>
  <si>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</si>
  <si>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</si>
  <si>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</si>
  <si>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</si>
  <si>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</si>
  <si>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</si>
  <si>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</si>
  <si>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</si>
  <si>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</si>
  <si>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</si>
  <si>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</si>
  <si>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</si>
  <si>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</si>
  <si>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</si>
  <si>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</si>
  <si>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</si>
  <si>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</si>
  <si>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</si>
  <si>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</si>
  <si>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</si>
  <si>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</si>
  <si>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</si>
  <si>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</si>
  <si>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</si>
  <si>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</si>
  <si>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</si>
  <si>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</si>
  <si>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</si>
  <si>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</si>
  <si>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</si>
  <si>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</si>
  <si>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</si>
  <si>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</si>
  <si>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</si>
  <si>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</si>
  <si>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</si>
  <si>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</si>
  <si>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</si>
  <si>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</si>
  <si>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</si>
  <si>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</si>
  <si>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</si>
  <si>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</si>
  <si>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</si>
  <si>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</si>
  <si>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</si>
  <si>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</si>
  <si>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</si>
  <si>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</si>
  <si>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</si>
  <si>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</si>
  <si>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</si>
  <si>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</si>
  <si>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</si>
  <si>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</si>
  <si>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</si>
  <si>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</si>
  <si>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</si>
  <si>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</si>
  <si>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</si>
  <si>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</si>
  <si>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</si>
  <si>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</si>
  <si>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</si>
  <si>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</si>
  <si>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</si>
  <si>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</si>
  <si>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</si>
  <si>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</si>
  <si>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2301</t>
  </si>
  <si>
    <t xml:space="preserve">2302</t>
  </si>
  <si>
    <t xml:space="preserve">2303</t>
  </si>
  <si>
    <t xml:space="preserve">2304</t>
  </si>
  <si>
    <t xml:space="preserve">2305</t>
  </si>
  <si>
    <t xml:space="preserve">2306</t>
  </si>
  <si>
    <t xml:space="preserve">2307</t>
  </si>
  <si>
    <t xml:space="preserve">2308</t>
  </si>
  <si>
    <t xml:space="preserve">2309</t>
  </si>
  <si>
    <t xml:space="preserve">2310</t>
  </si>
  <si>
    <t xml:space="preserve">2311</t>
  </si>
  <si>
    <t xml:space="preserve">2312</t>
  </si>
  <si>
    <t xml:space="preserve">2401</t>
  </si>
  <si>
    <t xml:space="preserve">2402</t>
  </si>
  <si>
    <t xml:space="preserve">2403</t>
  </si>
  <si>
    <t xml:space="preserve">2404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</si>
  <si>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</si>
  <si>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</si>
  <si>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</si>
  <si>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</si>
  <si>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</si>
  <si>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2410</t>
  </si>
  <si>
    <t xml:space="preserve">2411</t>
  </si>
  <si>
    <t xml:space="preserve">2412</t>
  </si>
  <si>
    <t xml:space="preserve">2501</t>
  </si>
  <si>
    <t xml:space="preserve">2502</t>
  </si>
  <si>
    <t xml:space="preserve">2503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</si>
  <si>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</si>
  <si>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</si>
  <si>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</si>
  <si>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</si>
  <si>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</si>
  <si>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</si>
  <si>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2510</t>
  </si>
  <si>
    <t xml:space="preserve">2511</t>
  </si>
  <si>
    <t xml:space="preserve">2512</t>
  </si>
  <si>
    <t xml:space="preserve">2601</t>
  </si>
  <si>
    <t xml:space="preserve">2602</t>
  </si>
  <si>
    <t xml:space="preserve">2603</t>
  </si>
  <si>
    <t xml:space="preserve">GDP Analysis — Argentina</t>
  </si>
  <si>
    <t xml:space="preserve">Linked to raw tab 'Real and nominal GDP'. Refresh by pasting new Haver download over row 8+. Formulas extend to row 224 (≈53 yrs buffer).</t>
  </si>
  <si>
    <t xml:space="preserve">SETTINGS</t>
  </si>
  <si>
    <t xml:space="preserve">Annual aggregation</t>
  </si>
  <si>
    <t xml:space="preserve">Per-column (Sum for flow vars; Average for indices/rates)</t>
  </si>
  <si>
    <t xml:space="preserve">PROJECTION ASSUMPTIONS (annual YoY %)</t>
  </si>
  <si>
    <t xml:space="preserve">Series</t>
  </si>
  <si>
    <t xml:space="preserve">Year +1 YoY %</t>
  </si>
  <si>
    <t xml:space="preserve">Year +2 YoY %</t>
  </si>
  <si>
    <t xml:space="preserve">Real GDP (SA)</t>
  </si>
  <si>
    <t xml:space="preserve">Gvt Exp.</t>
  </si>
  <si>
    <t xml:space="preserve">Real GDP (NSA)</t>
  </si>
  <si>
    <t xml:space="preserve">Nominal GDP</t>
  </si>
  <si>
    <t xml:space="preserve">FX (off)</t>
  </si>
  <si>
    <t xml:space="preserve">FX (informal)</t>
  </si>
  <si>
    <t xml:space="preserve">DATA &amp; ANALYTICS  (linked from raw tab)</t>
  </si>
  <si>
    <t xml:space="preserve">ANNUAL AGGREGATION</t>
  </si>
  <si>
    <t xml:space="preserve">PROJECTIONS (annual)</t>
  </si>
  <si>
    <t xml:space="preserve">Period</t>
  </si>
  <si>
    <t xml:space="preserve">Year</t>
  </si>
  <si>
    <t xml:space="preserve">YoY % Real GDP (SA)</t>
  </si>
  <si>
    <t xml:space="preserve">QoQ % Real GDP (SA)</t>
  </si>
  <si>
    <t xml:space="preserve">YoY % Nominal GDP</t>
  </si>
  <si>
    <t xml:space="preserve">4Q sum Real GDP (SA)</t>
  </si>
  <si>
    <t xml:space="preserve">4Q sum Nominal GDP</t>
  </si>
  <si>
    <t xml:space="preserve">Nominal GDP USD off (mm)</t>
  </si>
  <si>
    <t xml:space="preserve">Nominal GDP USD inf (mm)</t>
  </si>
  <si>
    <t xml:space="preserve">Real GDP (SA) (proj.)</t>
  </si>
  <si>
    <t xml:space="preserve">Consumption (proj.)</t>
  </si>
  <si>
    <t xml:space="preserve">Gvt Exp. (proj.)</t>
  </si>
  <si>
    <t xml:space="preserve">Investment (proj.)</t>
  </si>
  <si>
    <t xml:space="preserve">Real GDP (NSA) (proj.)</t>
  </si>
  <si>
    <t xml:space="preserve">Nominal GDP (proj.)</t>
  </si>
  <si>
    <t xml:space="preserve">CPI (proj.)</t>
  </si>
  <si>
    <t xml:space="preserve">FX (off) (proj.)</t>
  </si>
  <si>
    <t xml:space="preserve">FX (informal) (proj.)</t>
  </si>
  <si>
    <t xml:space="preserve">Nominal GDP USD (proj., off)</t>
  </si>
  <si>
    <t xml:space="preserve">CPI Analysis — Argentina</t>
  </si>
  <si>
    <t xml:space="preserve">Linked to raw tab 'CPI'. Refresh by pasting new Haver download over row 8+. Formulas extend to row 264 (≈21 yrs buffer).</t>
  </si>
  <si>
    <t xml:space="preserve">Annual aggregation method</t>
  </si>
  <si>
    <t xml:space="preserve">Average</t>
  </si>
  <si>
    <t xml:space="preserve">(Sum = flow vars; Average = indices/rates; End of Period = stocks)</t>
  </si>
  <si>
    <t xml:space="preserve">Headline CPI</t>
  </si>
  <si>
    <t xml:space="preserve">Core CPI</t>
  </si>
  <si>
    <t xml:space="preserve">YoY % Headline CPI</t>
  </si>
  <si>
    <t xml:space="preserve">MoM % Headline CPI</t>
  </si>
  <si>
    <t xml:space="preserve">3M MA</t>
  </si>
  <si>
    <t xml:space="preserve">YoY %, 3M avg</t>
  </si>
  <si>
    <t xml:space="preserve">Headline CPI (proj.)</t>
  </si>
  <si>
    <t xml:space="preserve">Core CPI (proj.)</t>
  </si>
  <si>
    <t xml:space="preserve">TEMPLATE — Quarterly Series</t>
  </si>
  <si>
    <t xml:space="preserve">Copy this tab (right-click → Move or Copy → 'Create a copy') and paste your data into Date (col A) and Value (col B) starting row 16. OR link to a raw tab via formula (e.g., =Reserves!A8).</t>
  </si>
  <si>
    <t xml:space="preserve">METADATA</t>
  </si>
  <si>
    <t xml:space="preserve">Series name</t>
  </si>
  <si>
    <t xml:space="preserve">New quarterly metric</t>
  </si>
  <si>
    <t xml:space="preserve">Country</t>
  </si>
  <si>
    <t xml:space="preserve">Argentina</t>
  </si>
  <si>
    <t xml:space="preserve">Units</t>
  </si>
  <si>
    <t xml:space="preserve">Local currency, mm</t>
  </si>
  <si>
    <t xml:space="preserve">Sum</t>
  </si>
  <si>
    <t xml:space="preserve">Year +1 YoY % (proj.)</t>
  </si>
  <si>
    <t xml:space="preserve">Year +2 YoY % (proj.)</t>
  </si>
  <si>
    <t xml:space="preserve">QUARTERLY DATA  (paste Date &amp; Value below; computed columns auto-update)</t>
  </si>
  <si>
    <t xml:space="preserve">PROJECTIONS</t>
  </si>
  <si>
    <t xml:space="preserve">Value</t>
  </si>
  <si>
    <t xml:space="preserve">QoQ %</t>
  </si>
  <si>
    <t xml:space="preserve">YoY %</t>
  </si>
  <si>
    <t xml:space="preserve">4Q sum</t>
  </si>
  <si>
    <t xml:space="preserve">Value (proj.)</t>
  </si>
  <si>
    <t xml:space="preserve">TEMPLATE — Monthly Series</t>
  </si>
  <si>
    <t xml:space="preserve">Copy this tab (right-click → Move or Copy → 'Create a copy') and paste your data into Date (col A) and Value (col B) starting row 16. OR link to a raw tab via formula.</t>
  </si>
  <si>
    <t xml:space="preserve">New monthly metric</t>
  </si>
  <si>
    <t xml:space="preserve">Quarterly aggregation method</t>
  </si>
  <si>
    <t xml:space="preserve">MONTHLY DATA  (paste Date &amp; Value below)</t>
  </si>
  <si>
    <t xml:space="preserve">QUARTERLY AGGREGATION</t>
  </si>
  <si>
    <t xml:space="preserve">MoM %</t>
  </si>
  <si>
    <t xml:space="preserve">YearQ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</si>
  <si>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</si>
  <si>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</si>
  <si>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</si>
  <si>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</si>
  <si>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</si>
  <si>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</si>
  <si>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</si>
  <si>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</si>
  <si>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</si>
  <si>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</si>
  <si>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</si>
  <si>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</si>
  <si>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</si>
  <si>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</si>
  <si>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</si>
  <si>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</si>
  <si>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</si>
  <si>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</si>
  <si>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</si>
  <si>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</si>
  <si>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</si>
  <si>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</si>
  <si>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</si>
  <si>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</si>
  <si>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</si>
  <si>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</si>
  <si>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</si>
  <si>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</si>
  <si>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</si>
  <si>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</si>
  <si>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</si>
  <si>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</si>
  <si>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</si>
  <si>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</si>
  <si>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</si>
  <si>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</si>
  <si>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</si>
  <si>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</si>
  <si>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</si>
  <si>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</si>
  <si>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</si>
  <si>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</si>
  <si>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</si>
  <si>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</si>
  <si>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</si>
  <si>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</si>
  <si>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</si>
  <si>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</si>
  <si>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</si>
  <si>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</si>
  <si>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</si>
  <si>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</si>
  <si>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</si>
  <si>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</si>
  <si>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</si>
  <si>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</si>
  <si>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</si>
  <si>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</si>
  <si>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</si>
  <si>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</si>
  <si>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</si>
  <si>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</si>
  <si>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</si>
  <si>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</si>
  <si>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</si>
  <si>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</si>
  <si>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</si>
  <si>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</si>
  <si>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</si>
  <si>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</si>
  <si>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</si>
  <si>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</si>
  <si>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</si>
  <si>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</si>
  <si>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</si>
  <si>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</si>
  <si>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</si>
  <si>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</si>
  <si>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</si>
  <si>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</si>
  <si>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</si>
  <si>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</si>
  <si>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</si>
  <si>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</si>
  <si>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</si>
  <si>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</si>
  <si>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</si>
  <si>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</si>
  <si>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</si>
  <si>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</si>
  <si>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</si>
  <si>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</si>
  <si>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</si>
  <si>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</si>
  <si>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</si>
  <si>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</si>
  <si>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</si>
  <si>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</si>
  <si>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</si>
  <si>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</si>
  <si>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TEMPLATE — Annual Series</t>
  </si>
  <si>
    <t xml:space="preserve">Copy this tab and paste your data into Year (col A) and Value (col B) starting row 12. Years should be ascending integers.</t>
  </si>
  <si>
    <t xml:space="preserve">New annual metric</t>
  </si>
  <si>
    <t xml:space="preserve">ANNUAL DATA &amp; ANALYTICS</t>
  </si>
  <si>
    <t xml:space="preserve">5Y Avg Value</t>
  </si>
  <si>
    <t xml:space="preserve">5Y Avg YoY %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</si>
</sst>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mm\-yy"/>
    <numFmt numFmtId="166" formatCode="0.000"/>
    <numFmt numFmtId="167" formatCode="0"/>
    <numFmt numFmtId="168" formatCode="0.0000"/>
    <numFmt numFmtId="169" formatCode="0.00000"/>
    <numFmt numFmtId="170" formatCode="0.0%;\(0.0%\);\-"/>
    <numFmt numFmtId="171" formatCode="mmm\-yyyy"/>
    <numFmt numFmtId="172" formatCode="0;0;&quot;&quot;"/>
    <numFmt numFmtId="173" formatCode="#,##0;\(#,##0\);\-"/>
    <numFmt numFmtId="174" formatCode="@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156082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B8B8B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Real GDP (SA) (level)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'GDP Analysis'!D20</c:f>
              <c:strCache>
                <c:ptCount val="1"/>
                <c:pt idx="0">
                  <c:v>Real GDP (SA)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Analysis'!$A$21:$A$233</c:f>
              <c:strCache>
                <c:ptCount val="213"/>
                <c:pt idx="0">
                  <c:v>Mar-2004</c:v>
                </c:pt>
                <c:pt idx="1">
                  <c:v>Jun-2004</c:v>
                </c:pt>
                <c:pt idx="2">
                  <c:v>Sep-2004</c:v>
                </c:pt>
                <c:pt idx="3">
                  <c:v>Dec-2004</c:v>
                </c:pt>
                <c:pt idx="4">
                  <c:v>Mar-2005</c:v>
                </c:pt>
                <c:pt idx="5">
                  <c:v>Jun-2005</c:v>
                </c:pt>
                <c:pt idx="6">
                  <c:v>Sep-2005</c:v>
                </c:pt>
                <c:pt idx="7">
                  <c:v>Dec-2005</c:v>
                </c:pt>
                <c:pt idx="8">
                  <c:v>Mar-2006</c:v>
                </c:pt>
                <c:pt idx="9">
                  <c:v>Jun-2006</c:v>
                </c:pt>
                <c:pt idx="10">
                  <c:v>Sep-2006</c:v>
                </c:pt>
                <c:pt idx="11">
                  <c:v>Dec-2006</c:v>
                </c:pt>
                <c:pt idx="12">
                  <c:v>Mar-2007</c:v>
                </c:pt>
                <c:pt idx="13">
                  <c:v>Jun-2007</c:v>
                </c:pt>
                <c:pt idx="14">
                  <c:v>Sep-2007</c:v>
                </c:pt>
                <c:pt idx="15">
                  <c:v>Dec-2007</c:v>
                </c:pt>
                <c:pt idx="16">
                  <c:v>Mar-2008</c:v>
                </c:pt>
                <c:pt idx="17">
                  <c:v>Jun-2008</c:v>
                </c:pt>
                <c:pt idx="18">
                  <c:v>Sep-2008</c:v>
                </c:pt>
                <c:pt idx="19">
                  <c:v>Dec-2008</c:v>
                </c:pt>
                <c:pt idx="20">
                  <c:v>Mar-2009</c:v>
                </c:pt>
                <c:pt idx="21">
                  <c:v>Jun-2009</c:v>
                </c:pt>
                <c:pt idx="22">
                  <c:v>Sep-2009</c:v>
                </c:pt>
                <c:pt idx="23">
                  <c:v>Dec-2009</c:v>
                </c:pt>
                <c:pt idx="24">
                  <c:v>Mar-2010</c:v>
                </c:pt>
                <c:pt idx="25">
                  <c:v>Jun-2010</c:v>
                </c:pt>
                <c:pt idx="26">
                  <c:v>Sep-2010</c:v>
                </c:pt>
                <c:pt idx="27">
                  <c:v>Dec-2010</c:v>
                </c:pt>
                <c:pt idx="28">
                  <c:v>Mar-2011</c:v>
                </c:pt>
                <c:pt idx="29">
                  <c:v>Jun-2011</c:v>
                </c:pt>
                <c:pt idx="30">
                  <c:v>Sep-2011</c:v>
                </c:pt>
                <c:pt idx="31">
                  <c:v>Dec-2011</c:v>
                </c:pt>
                <c:pt idx="32">
                  <c:v>Mar-2012</c:v>
                </c:pt>
                <c:pt idx="33">
                  <c:v>Jun-2012</c:v>
                </c:pt>
                <c:pt idx="34">
                  <c:v>Sep-2012</c:v>
                </c:pt>
                <c:pt idx="35">
                  <c:v>Dec-2012</c:v>
                </c:pt>
                <c:pt idx="36">
                  <c:v>Mar-2013</c:v>
                </c:pt>
                <c:pt idx="37">
                  <c:v>Jun-2013</c:v>
                </c:pt>
                <c:pt idx="38">
                  <c:v>Sep-2013</c:v>
                </c:pt>
                <c:pt idx="39">
                  <c:v>Dec-2013</c:v>
                </c:pt>
                <c:pt idx="40">
                  <c:v>Mar-2014</c:v>
                </c:pt>
                <c:pt idx="41">
                  <c:v>Jun-2014</c:v>
                </c:pt>
                <c:pt idx="42">
                  <c:v>Sep-2014</c:v>
                </c:pt>
                <c:pt idx="43">
                  <c:v>Dec-2014</c:v>
                </c:pt>
                <c:pt idx="44">
                  <c:v>Mar-2015</c:v>
                </c:pt>
                <c:pt idx="45">
                  <c:v>Jun-2015</c:v>
                </c:pt>
                <c:pt idx="46">
                  <c:v>Sep-2015</c:v>
                </c:pt>
                <c:pt idx="47">
                  <c:v>Dec-2015</c:v>
                </c:pt>
                <c:pt idx="48">
                  <c:v>Mar-2016</c:v>
                </c:pt>
                <c:pt idx="49">
                  <c:v>Jun-2016</c:v>
                </c:pt>
                <c:pt idx="50">
                  <c:v>Sep-2016</c:v>
                </c:pt>
                <c:pt idx="51">
                  <c:v>Dec-2016</c:v>
                </c:pt>
                <c:pt idx="52">
                  <c:v>Mar-2017</c:v>
                </c:pt>
                <c:pt idx="53">
                  <c:v>Jun-2017</c:v>
                </c:pt>
                <c:pt idx="54">
                  <c:v>Sep-2017</c:v>
                </c:pt>
                <c:pt idx="55">
                  <c:v>Dec-2017</c:v>
                </c:pt>
                <c:pt idx="56">
                  <c:v>Mar-2018</c:v>
                </c:pt>
                <c:pt idx="57">
                  <c:v>Jun-2018</c:v>
                </c:pt>
                <c:pt idx="58">
                  <c:v>Sep-2018</c:v>
                </c:pt>
                <c:pt idx="59">
                  <c:v>Dec-2018</c:v>
                </c:pt>
                <c:pt idx="60">
                  <c:v>Mar-2019</c:v>
                </c:pt>
                <c:pt idx="61">
                  <c:v>Jun-2019</c:v>
                </c:pt>
                <c:pt idx="62">
                  <c:v>Sep-2019</c:v>
                </c:pt>
                <c:pt idx="63">
                  <c:v>Dec-2019</c:v>
                </c:pt>
                <c:pt idx="64">
                  <c:v>Mar-2020</c:v>
                </c:pt>
                <c:pt idx="65">
                  <c:v>Jun-2020</c:v>
                </c:pt>
                <c:pt idx="66">
                  <c:v>Sep-2020</c:v>
                </c:pt>
                <c:pt idx="67">
                  <c:v>Dec-2020</c:v>
                </c:pt>
                <c:pt idx="68">
                  <c:v>Mar-2021</c:v>
                </c:pt>
                <c:pt idx="69">
                  <c:v>Jun-2021</c:v>
                </c:pt>
                <c:pt idx="70">
                  <c:v>Sep-2021</c:v>
                </c:pt>
                <c:pt idx="71">
                  <c:v>Dec-2021</c:v>
                </c:pt>
                <c:pt idx="72">
                  <c:v>Mar-2022</c:v>
                </c:pt>
                <c:pt idx="73">
                  <c:v>Jun-2022</c:v>
                </c:pt>
                <c:pt idx="74">
                  <c:v>Sep-2022</c:v>
                </c:pt>
                <c:pt idx="75">
                  <c:v>Dec-2022</c:v>
                </c:pt>
                <c:pt idx="76">
                  <c:v>Mar-2023</c:v>
                </c:pt>
                <c:pt idx="77">
                  <c:v>Jun-2023</c:v>
                </c:pt>
                <c:pt idx="78">
                  <c:v>Sep-2023</c:v>
                </c:pt>
                <c:pt idx="79">
                  <c:v>Dec-2023</c:v>
                </c:pt>
                <c:pt idx="80">
                  <c:v>Mar-2024</c:v>
                </c:pt>
                <c:pt idx="81">
                  <c:v>Jun-2024</c:v>
                </c:pt>
                <c:pt idx="82">
                  <c:v>Sep-2024</c:v>
                </c:pt>
                <c:pt idx="83">
                  <c:v>Dec-2024</c:v>
                </c:pt>
                <c:pt idx="84">
                  <c:v>Mar-2025</c:v>
                </c:pt>
                <c:pt idx="85">
                  <c:v>Jun-2025</c:v>
                </c:pt>
                <c:pt idx="86">
                  <c:v>Sep-2025</c:v>
                </c:pt>
                <c:pt idx="87">
                  <c:v>Dec-2025</c:v>
                </c:pt>
                <c:pt idx="88">
                  <c:v>Mar-2026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</c:strCache>
            </c:strRef>
          </c:cat>
          <c:val>
            <c:numRef>
              <c:f>'GDP Analysis'!$D$21:$D$233</c:f>
              <c:numCache>
                <c:formatCode>#,##0;\(#,##0\);\-</c:formatCode>
                <c:ptCount val="213"/>
                <c:pt idx="0">
                  <c:v>476036.527</c:v>
                </c:pt>
                <c:pt idx="1">
                  <c:v>470010.066</c:v>
                </c:pt>
                <c:pt idx="2">
                  <c:v>493895.121</c:v>
                </c:pt>
                <c:pt idx="3">
                  <c:v>500519.067</c:v>
                </c:pt>
                <c:pt idx="4">
                  <c:v>514918.459</c:v>
                </c:pt>
                <c:pt idx="5">
                  <c:v>527084.198</c:v>
                </c:pt>
                <c:pt idx="6">
                  <c:v>530101.958</c:v>
                </c:pt>
                <c:pt idx="7">
                  <c:v>540119.155</c:v>
                </c:pt>
                <c:pt idx="8">
                  <c:v>554455.772</c:v>
                </c:pt>
                <c:pt idx="9">
                  <c:v>561157.223</c:v>
                </c:pt>
                <c:pt idx="10">
                  <c:v>577088.458</c:v>
                </c:pt>
                <c:pt idx="11">
                  <c:v>589496.163</c:v>
                </c:pt>
                <c:pt idx="12">
                  <c:v>603483.207</c:v>
                </c:pt>
                <c:pt idx="13">
                  <c:v>616073.366</c:v>
                </c:pt>
                <c:pt idx="14">
                  <c:v>624446.895</c:v>
                </c:pt>
                <c:pt idx="15">
                  <c:v>643766.543</c:v>
                </c:pt>
                <c:pt idx="16">
                  <c:v>650003.257</c:v>
                </c:pt>
                <c:pt idx="17">
                  <c:v>653467.954</c:v>
                </c:pt>
                <c:pt idx="18">
                  <c:v>657695.284</c:v>
                </c:pt>
                <c:pt idx="19">
                  <c:v>627538.144</c:v>
                </c:pt>
                <c:pt idx="20">
                  <c:v>604940.284</c:v>
                </c:pt>
                <c:pt idx="21">
                  <c:v>590529.028</c:v>
                </c:pt>
                <c:pt idx="22">
                  <c:v>613800.257</c:v>
                </c:pt>
                <c:pt idx="23">
                  <c:v>626221.937</c:v>
                </c:pt>
                <c:pt idx="24">
                  <c:v>645513.997</c:v>
                </c:pt>
                <c:pt idx="25">
                  <c:v>674164.235</c:v>
                </c:pt>
                <c:pt idx="26">
                  <c:v>676995.54</c:v>
                </c:pt>
                <c:pt idx="27">
                  <c:v>685420.945</c:v>
                </c:pt>
                <c:pt idx="28">
                  <c:v>701686.921</c:v>
                </c:pt>
                <c:pt idx="29">
                  <c:v>710326.155</c:v>
                </c:pt>
                <c:pt idx="30">
                  <c:v>715883.911</c:v>
                </c:pt>
                <c:pt idx="31">
                  <c:v>715229.402</c:v>
                </c:pt>
                <c:pt idx="32">
                  <c:v>708348.861</c:v>
                </c:pt>
                <c:pt idx="33">
                  <c:v>683593.316</c:v>
                </c:pt>
                <c:pt idx="34">
                  <c:v>705293.744</c:v>
                </c:pt>
                <c:pt idx="35">
                  <c:v>716708.036</c:v>
                </c:pt>
                <c:pt idx="36">
                  <c:v>715943.738</c:v>
                </c:pt>
                <c:pt idx="37">
                  <c:v>720882.852</c:v>
                </c:pt>
                <c:pt idx="38">
                  <c:v>725588.382</c:v>
                </c:pt>
                <c:pt idx="39">
                  <c:v>719213.45</c:v>
                </c:pt>
                <c:pt idx="40">
                  <c:v>708278.973</c:v>
                </c:pt>
                <c:pt idx="41">
                  <c:v>702914.572</c:v>
                </c:pt>
                <c:pt idx="42">
                  <c:v>697281.493</c:v>
                </c:pt>
                <c:pt idx="43">
                  <c:v>700749.147</c:v>
                </c:pt>
                <c:pt idx="44">
                  <c:v>710714.752</c:v>
                </c:pt>
                <c:pt idx="45">
                  <c:v>728934.835</c:v>
                </c:pt>
                <c:pt idx="46">
                  <c:v>727453.639</c:v>
                </c:pt>
                <c:pt idx="47">
                  <c:v>718845.361</c:v>
                </c:pt>
                <c:pt idx="48">
                  <c:v>713388.107</c:v>
                </c:pt>
                <c:pt idx="49">
                  <c:v>701514.773</c:v>
                </c:pt>
                <c:pt idx="50">
                  <c:v>703211.859</c:v>
                </c:pt>
                <c:pt idx="51">
                  <c:v>707796.656</c:v>
                </c:pt>
                <c:pt idx="52">
                  <c:v>714701.004</c:v>
                </c:pt>
                <c:pt idx="53">
                  <c:v>721713.658</c:v>
                </c:pt>
                <c:pt idx="54">
                  <c:v>731047.006</c:v>
                </c:pt>
                <c:pt idx="55">
                  <c:v>738098.124</c:v>
                </c:pt>
                <c:pt idx="56">
                  <c:v>734098.411</c:v>
                </c:pt>
                <c:pt idx="57">
                  <c:v>703426.52</c:v>
                </c:pt>
                <c:pt idx="58">
                  <c:v>701416.021</c:v>
                </c:pt>
                <c:pt idx="59">
                  <c:v>690568.82</c:v>
                </c:pt>
                <c:pt idx="60">
                  <c:v>692977.788</c:v>
                </c:pt>
                <c:pt idx="61">
                  <c:v>696856.654</c:v>
                </c:pt>
                <c:pt idx="62">
                  <c:v>696337.741</c:v>
                </c:pt>
                <c:pt idx="63">
                  <c:v>686723.032</c:v>
                </c:pt>
                <c:pt idx="64">
                  <c:v>656405.462</c:v>
                </c:pt>
                <c:pt idx="65">
                  <c:v>563484.662</c:v>
                </c:pt>
                <c:pt idx="66">
                  <c:v>623894.442</c:v>
                </c:pt>
                <c:pt idx="67">
                  <c:v>654580.579</c:v>
                </c:pt>
                <c:pt idx="68">
                  <c:v>677169.138</c:v>
                </c:pt>
                <c:pt idx="69">
                  <c:v>679096.314</c:v>
                </c:pt>
                <c:pt idx="70">
                  <c:v>693100.336</c:v>
                </c:pt>
                <c:pt idx="71">
                  <c:v>709873.949</c:v>
                </c:pt>
                <c:pt idx="72">
                  <c:v>726931.818</c:v>
                </c:pt>
                <c:pt idx="73">
                  <c:v>741189.864</c:v>
                </c:pt>
                <c:pt idx="74">
                  <c:v>735605.991</c:v>
                </c:pt>
                <c:pt idx="75">
                  <c:v>721638.862</c:v>
                </c:pt>
                <c:pt idx="76">
                  <c:v>727949.285</c:v>
                </c:pt>
                <c:pt idx="77">
                  <c:v>710424.849</c:v>
                </c:pt>
                <c:pt idx="78">
                  <c:v>725091.04</c:v>
                </c:pt>
                <c:pt idx="79">
                  <c:v>707612.759</c:v>
                </c:pt>
                <c:pt idx="80">
                  <c:v>696039.642</c:v>
                </c:pt>
                <c:pt idx="81">
                  <c:v>690565.599</c:v>
                </c:pt>
                <c:pt idx="82">
                  <c:v>717175.748</c:v>
                </c:pt>
                <c:pt idx="83">
                  <c:v>728740.357</c:v>
                </c:pt>
                <c:pt idx="84">
                  <c:v>736261.05</c:v>
                </c:pt>
                <c:pt idx="85">
                  <c:v>735534.382</c:v>
                </c:pt>
                <c:pt idx="86">
                  <c:v>739903.773</c:v>
                </c:pt>
                <c:pt idx="87">
                  <c:v>744527.788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297169"/>
        <c:axId val="54962919"/>
      </c:lineChart>
      <c:catAx>
        <c:axId val="38297169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4962919"/>
        <c:crosses val="autoZero"/>
        <c:auto val="1"/>
        <c:lblAlgn val="ctr"/>
        <c:lblOffset val="100"/>
        <c:noMultiLvlLbl val="0"/>
      </c:catAx>
      <c:valAx>
        <c:axId val="5496291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82971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Real GDP (SA)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'GDP Analysis'!M20</c:f>
              <c:strCache>
                <c:ptCount val="1"/>
                <c:pt idx="0">
                  <c:v>YoY % Real GDP (SA)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Analysis'!$A$21:$A$233</c:f>
              <c:strCache>
                <c:ptCount val="213"/>
                <c:pt idx="0">
                  <c:v>Mar-2004</c:v>
                </c:pt>
                <c:pt idx="1">
                  <c:v>Jun-2004</c:v>
                </c:pt>
                <c:pt idx="2">
                  <c:v>Sep-2004</c:v>
                </c:pt>
                <c:pt idx="3">
                  <c:v>Dec-2004</c:v>
                </c:pt>
                <c:pt idx="4">
                  <c:v>Mar-2005</c:v>
                </c:pt>
                <c:pt idx="5">
                  <c:v>Jun-2005</c:v>
                </c:pt>
                <c:pt idx="6">
                  <c:v>Sep-2005</c:v>
                </c:pt>
                <c:pt idx="7">
                  <c:v>Dec-2005</c:v>
                </c:pt>
                <c:pt idx="8">
                  <c:v>Mar-2006</c:v>
                </c:pt>
                <c:pt idx="9">
                  <c:v>Jun-2006</c:v>
                </c:pt>
                <c:pt idx="10">
                  <c:v>Sep-2006</c:v>
                </c:pt>
                <c:pt idx="11">
                  <c:v>Dec-2006</c:v>
                </c:pt>
                <c:pt idx="12">
                  <c:v>Mar-2007</c:v>
                </c:pt>
                <c:pt idx="13">
                  <c:v>Jun-2007</c:v>
                </c:pt>
                <c:pt idx="14">
                  <c:v>Sep-2007</c:v>
                </c:pt>
                <c:pt idx="15">
                  <c:v>Dec-2007</c:v>
                </c:pt>
                <c:pt idx="16">
                  <c:v>Mar-2008</c:v>
                </c:pt>
                <c:pt idx="17">
                  <c:v>Jun-2008</c:v>
                </c:pt>
                <c:pt idx="18">
                  <c:v>Sep-2008</c:v>
                </c:pt>
                <c:pt idx="19">
                  <c:v>Dec-2008</c:v>
                </c:pt>
                <c:pt idx="20">
                  <c:v>Mar-2009</c:v>
                </c:pt>
                <c:pt idx="21">
                  <c:v>Jun-2009</c:v>
                </c:pt>
                <c:pt idx="22">
                  <c:v>Sep-2009</c:v>
                </c:pt>
                <c:pt idx="23">
                  <c:v>Dec-2009</c:v>
                </c:pt>
                <c:pt idx="24">
                  <c:v>Mar-2010</c:v>
                </c:pt>
                <c:pt idx="25">
                  <c:v>Jun-2010</c:v>
                </c:pt>
                <c:pt idx="26">
                  <c:v>Sep-2010</c:v>
                </c:pt>
                <c:pt idx="27">
                  <c:v>Dec-2010</c:v>
                </c:pt>
                <c:pt idx="28">
                  <c:v>Mar-2011</c:v>
                </c:pt>
                <c:pt idx="29">
                  <c:v>Jun-2011</c:v>
                </c:pt>
                <c:pt idx="30">
                  <c:v>Sep-2011</c:v>
                </c:pt>
                <c:pt idx="31">
                  <c:v>Dec-2011</c:v>
                </c:pt>
                <c:pt idx="32">
                  <c:v>Mar-2012</c:v>
                </c:pt>
                <c:pt idx="33">
                  <c:v>Jun-2012</c:v>
                </c:pt>
                <c:pt idx="34">
                  <c:v>Sep-2012</c:v>
                </c:pt>
                <c:pt idx="35">
                  <c:v>Dec-2012</c:v>
                </c:pt>
                <c:pt idx="36">
                  <c:v>Mar-2013</c:v>
                </c:pt>
                <c:pt idx="37">
                  <c:v>Jun-2013</c:v>
                </c:pt>
                <c:pt idx="38">
                  <c:v>Sep-2013</c:v>
                </c:pt>
                <c:pt idx="39">
                  <c:v>Dec-2013</c:v>
                </c:pt>
                <c:pt idx="40">
                  <c:v>Mar-2014</c:v>
                </c:pt>
                <c:pt idx="41">
                  <c:v>Jun-2014</c:v>
                </c:pt>
                <c:pt idx="42">
                  <c:v>Sep-2014</c:v>
                </c:pt>
                <c:pt idx="43">
                  <c:v>Dec-2014</c:v>
                </c:pt>
                <c:pt idx="44">
                  <c:v>Mar-2015</c:v>
                </c:pt>
                <c:pt idx="45">
                  <c:v>Jun-2015</c:v>
                </c:pt>
                <c:pt idx="46">
                  <c:v>Sep-2015</c:v>
                </c:pt>
                <c:pt idx="47">
                  <c:v>Dec-2015</c:v>
                </c:pt>
                <c:pt idx="48">
                  <c:v>Mar-2016</c:v>
                </c:pt>
                <c:pt idx="49">
                  <c:v>Jun-2016</c:v>
                </c:pt>
                <c:pt idx="50">
                  <c:v>Sep-2016</c:v>
                </c:pt>
                <c:pt idx="51">
                  <c:v>Dec-2016</c:v>
                </c:pt>
                <c:pt idx="52">
                  <c:v>Mar-2017</c:v>
                </c:pt>
                <c:pt idx="53">
                  <c:v>Jun-2017</c:v>
                </c:pt>
                <c:pt idx="54">
                  <c:v>Sep-2017</c:v>
                </c:pt>
                <c:pt idx="55">
                  <c:v>Dec-2017</c:v>
                </c:pt>
                <c:pt idx="56">
                  <c:v>Mar-2018</c:v>
                </c:pt>
                <c:pt idx="57">
                  <c:v>Jun-2018</c:v>
                </c:pt>
                <c:pt idx="58">
                  <c:v>Sep-2018</c:v>
                </c:pt>
                <c:pt idx="59">
                  <c:v>Dec-2018</c:v>
                </c:pt>
                <c:pt idx="60">
                  <c:v>Mar-2019</c:v>
                </c:pt>
                <c:pt idx="61">
                  <c:v>Jun-2019</c:v>
                </c:pt>
                <c:pt idx="62">
                  <c:v>Sep-2019</c:v>
                </c:pt>
                <c:pt idx="63">
                  <c:v>Dec-2019</c:v>
                </c:pt>
                <c:pt idx="64">
                  <c:v>Mar-2020</c:v>
                </c:pt>
                <c:pt idx="65">
                  <c:v>Jun-2020</c:v>
                </c:pt>
                <c:pt idx="66">
                  <c:v>Sep-2020</c:v>
                </c:pt>
                <c:pt idx="67">
                  <c:v>Dec-2020</c:v>
                </c:pt>
                <c:pt idx="68">
                  <c:v>Mar-2021</c:v>
                </c:pt>
                <c:pt idx="69">
                  <c:v>Jun-2021</c:v>
                </c:pt>
                <c:pt idx="70">
                  <c:v>Sep-2021</c:v>
                </c:pt>
                <c:pt idx="71">
                  <c:v>Dec-2021</c:v>
                </c:pt>
                <c:pt idx="72">
                  <c:v>Mar-2022</c:v>
                </c:pt>
                <c:pt idx="73">
                  <c:v>Jun-2022</c:v>
                </c:pt>
                <c:pt idx="74">
                  <c:v>Sep-2022</c:v>
                </c:pt>
                <c:pt idx="75">
                  <c:v>Dec-2022</c:v>
                </c:pt>
                <c:pt idx="76">
                  <c:v>Mar-2023</c:v>
                </c:pt>
                <c:pt idx="77">
                  <c:v>Jun-2023</c:v>
                </c:pt>
                <c:pt idx="78">
                  <c:v>Sep-2023</c:v>
                </c:pt>
                <c:pt idx="79">
                  <c:v>Dec-2023</c:v>
                </c:pt>
                <c:pt idx="80">
                  <c:v>Mar-2024</c:v>
                </c:pt>
                <c:pt idx="81">
                  <c:v>Jun-2024</c:v>
                </c:pt>
                <c:pt idx="82">
                  <c:v>Sep-2024</c:v>
                </c:pt>
                <c:pt idx="83">
                  <c:v>Dec-2024</c:v>
                </c:pt>
                <c:pt idx="84">
                  <c:v>Mar-2025</c:v>
                </c:pt>
                <c:pt idx="85">
                  <c:v>Jun-2025</c:v>
                </c:pt>
                <c:pt idx="86">
                  <c:v>Sep-2025</c:v>
                </c:pt>
                <c:pt idx="87">
                  <c:v>Dec-2025</c:v>
                </c:pt>
                <c:pt idx="88">
                  <c:v>Mar-2026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</c:strCache>
            </c:strRef>
          </c:cat>
          <c:val>
            <c:numRef>
              <c:f>'GDP Analysis'!$M$21:$M$233</c:f>
              <c:numCache>
                <c:formatCode>0.0%;\(0.0%\);\-</c:formatCode>
                <c:ptCount val="213"/>
                <c:pt idx="4">
                  <c:v>0.081678463299939</c:v>
                </c:pt>
                <c:pt idx="5">
                  <c:v>0.121431722698467</c:v>
                </c:pt>
                <c:pt idx="6">
                  <c:v>0.0733087561721428</c:v>
                </c:pt>
                <c:pt idx="7">
                  <c:v>0.0791180408717578</c:v>
                </c:pt>
                <c:pt idx="8">
                  <c:v>0.0767836388634886</c:v>
                </c:pt>
                <c:pt idx="9">
                  <c:v>0.0646443682608751</c:v>
                </c:pt>
                <c:pt idx="10">
                  <c:v>0.0886367222208977</c:v>
                </c:pt>
                <c:pt idx="11">
                  <c:v>0.0914187314834258</c:v>
                </c:pt>
                <c:pt idx="12">
                  <c:v>0.0884244289191025</c:v>
                </c:pt>
                <c:pt idx="13">
                  <c:v>0.0978623115753783</c:v>
                </c:pt>
                <c:pt idx="14">
                  <c:v>0.0820644328325833</c:v>
                </c:pt>
                <c:pt idx="15">
                  <c:v>0.0920623125412947</c:v>
                </c:pt>
                <c:pt idx="16">
                  <c:v>0.0770859063854612</c:v>
                </c:pt>
                <c:pt idx="17">
                  <c:v>0.0606982707965336</c:v>
                </c:pt>
                <c:pt idx="18">
                  <c:v>0.0532445421159473</c:v>
                </c:pt>
                <c:pt idx="19">
                  <c:v>-0.0252085156901358</c:v>
                </c:pt>
                <c:pt idx="20">
                  <c:v>-0.0693273033861122</c:v>
                </c:pt>
                <c:pt idx="21">
                  <c:v>-0.0963152448635606</c:v>
                </c:pt>
                <c:pt idx="22">
                  <c:v>-0.066740674698224</c:v>
                </c:pt>
                <c:pt idx="23">
                  <c:v>-0.00209741353985315</c:v>
                </c:pt>
                <c:pt idx="24">
                  <c:v>0.0670706085759698</c:v>
                </c:pt>
                <c:pt idx="25">
                  <c:v>0.141627596670828</c:v>
                </c:pt>
                <c:pt idx="26">
                  <c:v>0.102957407200955</c:v>
                </c:pt>
                <c:pt idx="27">
                  <c:v>0.0945335902533224</c:v>
                </c:pt>
                <c:pt idx="28">
                  <c:v>0.0870204585199723</c:v>
                </c:pt>
                <c:pt idx="29">
                  <c:v>0.0536396298151296</c:v>
                </c:pt>
                <c:pt idx="30">
                  <c:v>0.0574425807886414</c:v>
                </c:pt>
                <c:pt idx="31">
                  <c:v>0.0434892706700114</c:v>
                </c:pt>
                <c:pt idx="32">
                  <c:v>0.00949417724717727</c:v>
                </c:pt>
                <c:pt idx="33">
                  <c:v>-0.0376345975884839</c:v>
                </c:pt>
                <c:pt idx="34">
                  <c:v>-0.0147931345254105</c:v>
                </c:pt>
                <c:pt idx="35">
                  <c:v>0.00206735628578092</c:v>
                </c:pt>
                <c:pt idx="36">
                  <c:v>0.0107219442539628</c:v>
                </c:pt>
                <c:pt idx="37">
                  <c:v>0.0545492987236873</c:v>
                </c:pt>
                <c:pt idx="38">
                  <c:v>0.0287747313408753</c:v>
                </c:pt>
                <c:pt idx="39">
                  <c:v>0.00349572472213766</c:v>
                </c:pt>
                <c:pt idx="40">
                  <c:v>-0.0107058202944992</c:v>
                </c:pt>
                <c:pt idx="41">
                  <c:v>-0.0249253813572471</c:v>
                </c:pt>
                <c:pt idx="42">
                  <c:v>-0.0390123239321657</c:v>
                </c:pt>
                <c:pt idx="43">
                  <c:v>-0.0256729111503684</c:v>
                </c:pt>
                <c:pt idx="44">
                  <c:v>0.00343901074697017</c:v>
                </c:pt>
                <c:pt idx="45">
                  <c:v>0.0370176747452604</c:v>
                </c:pt>
                <c:pt idx="46">
                  <c:v>0.0432711126035865</c:v>
                </c:pt>
                <c:pt idx="47">
                  <c:v>0.0258240970787798</c:v>
                </c:pt>
                <c:pt idx="48">
                  <c:v>0.00376150205476522</c:v>
                </c:pt>
                <c:pt idx="49">
                  <c:v>-0.0376166163056262</c:v>
                </c:pt>
                <c:pt idx="50">
                  <c:v>-0.0333241579948986</c:v>
                </c:pt>
                <c:pt idx="51">
                  <c:v>-0.0153700720619939</c:v>
                </c:pt>
                <c:pt idx="52">
                  <c:v>0.0018403684994428</c:v>
                </c:pt>
                <c:pt idx="53">
                  <c:v>0.0287932425337534</c:v>
                </c:pt>
                <c:pt idx="54">
                  <c:v>0.0395828748388614</c:v>
                </c:pt>
                <c:pt idx="55">
                  <c:v>0.0428109793160707</c:v>
                </c:pt>
                <c:pt idx="56">
                  <c:v>0.0271405901089234</c:v>
                </c:pt>
                <c:pt idx="57">
                  <c:v>-0.0253384951182398</c:v>
                </c:pt>
                <c:pt idx="58">
                  <c:v>-0.0405322568272718</c:v>
                </c:pt>
                <c:pt idx="59">
                  <c:v>-0.0643942891257098</c:v>
                </c:pt>
                <c:pt idx="60">
                  <c:v>-0.0560151369132987</c:v>
                </c:pt>
                <c:pt idx="61">
                  <c:v>-0.00933980424849501</c:v>
                </c:pt>
                <c:pt idx="62">
                  <c:v>-0.00724003993059619</c:v>
                </c:pt>
                <c:pt idx="63">
                  <c:v>-0.00556901483041172</c:v>
                </c:pt>
                <c:pt idx="64">
                  <c:v>-0.0527756107530533</c:v>
                </c:pt>
                <c:pt idx="65">
                  <c:v>-0.191390856691167</c:v>
                </c:pt>
                <c:pt idx="66">
                  <c:v>-0.104034715820466</c:v>
                </c:pt>
                <c:pt idx="67">
                  <c:v>-0.0468055555183418</c:v>
                </c:pt>
                <c:pt idx="68">
                  <c:v>0.0316323936987593</c:v>
                </c:pt>
                <c:pt idx="69">
                  <c:v>0.205172668923507</c:v>
                </c:pt>
                <c:pt idx="70">
                  <c:v>0.110925645976503</c:v>
                </c:pt>
                <c:pt idx="71">
                  <c:v>0.0844714490070442</c:v>
                </c:pt>
                <c:pt idx="72">
                  <c:v>0.0734863377663262</c:v>
                </c:pt>
                <c:pt idx="73">
                  <c:v>0.0914355574016559</c:v>
                </c:pt>
                <c:pt idx="74">
                  <c:v>0.0613268422943025</c:v>
                </c:pt>
                <c:pt idx="75">
                  <c:v>0.0165732423574259</c:v>
                </c:pt>
                <c:pt idx="76">
                  <c:v>0.00139967322217283</c:v>
                </c:pt>
                <c:pt idx="77">
                  <c:v>-0.0415076035092675</c:v>
                </c:pt>
                <c:pt idx="78">
                  <c:v>-0.0142942704771962</c:v>
                </c:pt>
                <c:pt idx="79">
                  <c:v>-0.0194364574007656</c:v>
                </c:pt>
                <c:pt idx="80">
                  <c:v>-0.0438349808943078</c:v>
                </c:pt>
                <c:pt idx="81">
                  <c:v>-0.0279540475364199</c:v>
                </c:pt>
                <c:pt idx="82">
                  <c:v>-0.0109162733551362</c:v>
                </c:pt>
                <c:pt idx="83">
                  <c:v>0.0298575707281727</c:v>
                </c:pt>
                <c:pt idx="84">
                  <c:v>0.057786087994109</c:v>
                </c:pt>
                <c:pt idx="85">
                  <c:v>0.0651187708526442</c:v>
                </c:pt>
                <c:pt idx="86">
                  <c:v>0.0316910116709637</c:v>
                </c:pt>
                <c:pt idx="87">
                  <c:v>0.0216639998709445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95909"/>
        <c:axId val="82967964"/>
      </c:lineChart>
      <c:catAx>
        <c:axId val="2595909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2967964"/>
        <c:crosses val="autoZero"/>
        <c:auto val="1"/>
        <c:lblAlgn val="ctr"/>
        <c:lblOffset val="100"/>
        <c:noMultiLvlLbl val="0"/>
      </c:catAx>
      <c:valAx>
        <c:axId val="8296796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5959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Nominal GDP in USD (per quarter,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'GDP Analysis'!R20</c:f>
              <c:strCache>
                <c:ptCount val="1"/>
                <c:pt idx="0">
                  <c:v>Nominal GDP USD off (mm)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Analysis'!$A$21:$A$233</c:f>
              <c:strCache>
                <c:ptCount val="213"/>
                <c:pt idx="0">
                  <c:v>Mar-2004</c:v>
                </c:pt>
                <c:pt idx="1">
                  <c:v>Jun-2004</c:v>
                </c:pt>
                <c:pt idx="2">
                  <c:v>Sep-2004</c:v>
                </c:pt>
                <c:pt idx="3">
                  <c:v>Dec-2004</c:v>
                </c:pt>
                <c:pt idx="4">
                  <c:v>Mar-2005</c:v>
                </c:pt>
                <c:pt idx="5">
                  <c:v>Jun-2005</c:v>
                </c:pt>
                <c:pt idx="6">
                  <c:v>Sep-2005</c:v>
                </c:pt>
                <c:pt idx="7">
                  <c:v>Dec-2005</c:v>
                </c:pt>
                <c:pt idx="8">
                  <c:v>Mar-2006</c:v>
                </c:pt>
                <c:pt idx="9">
                  <c:v>Jun-2006</c:v>
                </c:pt>
                <c:pt idx="10">
                  <c:v>Sep-2006</c:v>
                </c:pt>
                <c:pt idx="11">
                  <c:v>Dec-2006</c:v>
                </c:pt>
                <c:pt idx="12">
                  <c:v>Mar-2007</c:v>
                </c:pt>
                <c:pt idx="13">
                  <c:v>Jun-2007</c:v>
                </c:pt>
                <c:pt idx="14">
                  <c:v>Sep-2007</c:v>
                </c:pt>
                <c:pt idx="15">
                  <c:v>Dec-2007</c:v>
                </c:pt>
                <c:pt idx="16">
                  <c:v>Mar-2008</c:v>
                </c:pt>
                <c:pt idx="17">
                  <c:v>Jun-2008</c:v>
                </c:pt>
                <c:pt idx="18">
                  <c:v>Sep-2008</c:v>
                </c:pt>
                <c:pt idx="19">
                  <c:v>Dec-2008</c:v>
                </c:pt>
                <c:pt idx="20">
                  <c:v>Mar-2009</c:v>
                </c:pt>
                <c:pt idx="21">
                  <c:v>Jun-2009</c:v>
                </c:pt>
                <c:pt idx="22">
                  <c:v>Sep-2009</c:v>
                </c:pt>
                <c:pt idx="23">
                  <c:v>Dec-2009</c:v>
                </c:pt>
                <c:pt idx="24">
                  <c:v>Mar-2010</c:v>
                </c:pt>
                <c:pt idx="25">
                  <c:v>Jun-2010</c:v>
                </c:pt>
                <c:pt idx="26">
                  <c:v>Sep-2010</c:v>
                </c:pt>
                <c:pt idx="27">
                  <c:v>Dec-2010</c:v>
                </c:pt>
                <c:pt idx="28">
                  <c:v>Mar-2011</c:v>
                </c:pt>
                <c:pt idx="29">
                  <c:v>Jun-2011</c:v>
                </c:pt>
                <c:pt idx="30">
                  <c:v>Sep-2011</c:v>
                </c:pt>
                <c:pt idx="31">
                  <c:v>Dec-2011</c:v>
                </c:pt>
                <c:pt idx="32">
                  <c:v>Mar-2012</c:v>
                </c:pt>
                <c:pt idx="33">
                  <c:v>Jun-2012</c:v>
                </c:pt>
                <c:pt idx="34">
                  <c:v>Sep-2012</c:v>
                </c:pt>
                <c:pt idx="35">
                  <c:v>Dec-2012</c:v>
                </c:pt>
                <c:pt idx="36">
                  <c:v>Mar-2013</c:v>
                </c:pt>
                <c:pt idx="37">
                  <c:v>Jun-2013</c:v>
                </c:pt>
                <c:pt idx="38">
                  <c:v>Sep-2013</c:v>
                </c:pt>
                <c:pt idx="39">
                  <c:v>Dec-2013</c:v>
                </c:pt>
                <c:pt idx="40">
                  <c:v>Mar-2014</c:v>
                </c:pt>
                <c:pt idx="41">
                  <c:v>Jun-2014</c:v>
                </c:pt>
                <c:pt idx="42">
                  <c:v>Sep-2014</c:v>
                </c:pt>
                <c:pt idx="43">
                  <c:v>Dec-2014</c:v>
                </c:pt>
                <c:pt idx="44">
                  <c:v>Mar-2015</c:v>
                </c:pt>
                <c:pt idx="45">
                  <c:v>Jun-2015</c:v>
                </c:pt>
                <c:pt idx="46">
                  <c:v>Sep-2015</c:v>
                </c:pt>
                <c:pt idx="47">
                  <c:v>Dec-2015</c:v>
                </c:pt>
                <c:pt idx="48">
                  <c:v>Mar-2016</c:v>
                </c:pt>
                <c:pt idx="49">
                  <c:v>Jun-2016</c:v>
                </c:pt>
                <c:pt idx="50">
                  <c:v>Sep-2016</c:v>
                </c:pt>
                <c:pt idx="51">
                  <c:v>Dec-2016</c:v>
                </c:pt>
                <c:pt idx="52">
                  <c:v>Mar-2017</c:v>
                </c:pt>
                <c:pt idx="53">
                  <c:v>Jun-2017</c:v>
                </c:pt>
                <c:pt idx="54">
                  <c:v>Sep-2017</c:v>
                </c:pt>
                <c:pt idx="55">
                  <c:v>Dec-2017</c:v>
                </c:pt>
                <c:pt idx="56">
                  <c:v>Mar-2018</c:v>
                </c:pt>
                <c:pt idx="57">
                  <c:v>Jun-2018</c:v>
                </c:pt>
                <c:pt idx="58">
                  <c:v>Sep-2018</c:v>
                </c:pt>
                <c:pt idx="59">
                  <c:v>Dec-2018</c:v>
                </c:pt>
                <c:pt idx="60">
                  <c:v>Mar-2019</c:v>
                </c:pt>
                <c:pt idx="61">
                  <c:v>Jun-2019</c:v>
                </c:pt>
                <c:pt idx="62">
                  <c:v>Sep-2019</c:v>
                </c:pt>
                <c:pt idx="63">
                  <c:v>Dec-2019</c:v>
                </c:pt>
                <c:pt idx="64">
                  <c:v>Mar-2020</c:v>
                </c:pt>
                <c:pt idx="65">
                  <c:v>Jun-2020</c:v>
                </c:pt>
                <c:pt idx="66">
                  <c:v>Sep-2020</c:v>
                </c:pt>
                <c:pt idx="67">
                  <c:v>Dec-2020</c:v>
                </c:pt>
                <c:pt idx="68">
                  <c:v>Mar-2021</c:v>
                </c:pt>
                <c:pt idx="69">
                  <c:v>Jun-2021</c:v>
                </c:pt>
                <c:pt idx="70">
                  <c:v>Sep-2021</c:v>
                </c:pt>
                <c:pt idx="71">
                  <c:v>Dec-2021</c:v>
                </c:pt>
                <c:pt idx="72">
                  <c:v>Mar-2022</c:v>
                </c:pt>
                <c:pt idx="73">
                  <c:v>Jun-2022</c:v>
                </c:pt>
                <c:pt idx="74">
                  <c:v>Sep-2022</c:v>
                </c:pt>
                <c:pt idx="75">
                  <c:v>Dec-2022</c:v>
                </c:pt>
                <c:pt idx="76">
                  <c:v>Mar-2023</c:v>
                </c:pt>
                <c:pt idx="77">
                  <c:v>Jun-2023</c:v>
                </c:pt>
                <c:pt idx="78">
                  <c:v>Sep-2023</c:v>
                </c:pt>
                <c:pt idx="79">
                  <c:v>Dec-2023</c:v>
                </c:pt>
                <c:pt idx="80">
                  <c:v>Mar-2024</c:v>
                </c:pt>
                <c:pt idx="81">
                  <c:v>Jun-2024</c:v>
                </c:pt>
                <c:pt idx="82">
                  <c:v>Sep-2024</c:v>
                </c:pt>
                <c:pt idx="83">
                  <c:v>Dec-2024</c:v>
                </c:pt>
                <c:pt idx="84">
                  <c:v>Mar-2025</c:v>
                </c:pt>
                <c:pt idx="85">
                  <c:v>Jun-2025</c:v>
                </c:pt>
                <c:pt idx="86">
                  <c:v>Sep-2025</c:v>
                </c:pt>
                <c:pt idx="87">
                  <c:v>Dec-2025</c:v>
                </c:pt>
                <c:pt idx="88">
                  <c:v>Mar-2026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</c:strCache>
            </c:strRef>
          </c:cat>
          <c:val>
            <c:numRef>
              <c:f>'GDP Analysis'!$R$21:$R$233</c:f>
              <c:numCache>
                <c:formatCode>#,##0;\(#,##0\);\-</c:formatCode>
                <c:ptCount val="213"/>
                <c:pt idx="0">
                  <c:v>151068.35744915</c:v>
                </c:pt>
                <c:pt idx="1">
                  <c:v>175382.49177875</c:v>
                </c:pt>
                <c:pt idx="2">
                  <c:v>163474.92966294</c:v>
                </c:pt>
                <c:pt idx="3">
                  <c:v>169770.346925122</c:v>
                </c:pt>
                <c:pt idx="4">
                  <c:v>174315.246947994</c:v>
                </c:pt>
                <c:pt idx="5">
                  <c:v>209484.287952195</c:v>
                </c:pt>
                <c:pt idx="6">
                  <c:v>204256.4088958</c:v>
                </c:pt>
                <c:pt idx="7">
                  <c:v>209012.095692753</c:v>
                </c:pt>
                <c:pt idx="8">
                  <c:v>209975.855918563</c:v>
                </c:pt>
                <c:pt idx="9">
                  <c:v>237289.190792519</c:v>
                </c:pt>
                <c:pt idx="10">
                  <c:v>236228.820193116</c:v>
                </c:pt>
                <c:pt idx="11">
                  <c:v>247860.531617599</c:v>
                </c:pt>
                <c:pt idx="12">
                  <c:v>250064.745297489</c:v>
                </c:pt>
                <c:pt idx="13">
                  <c:v>293347.101182882</c:v>
                </c:pt>
                <c:pt idx="14">
                  <c:v>291300.22816984</c:v>
                </c:pt>
                <c:pt idx="15">
                  <c:v>316392.605161718</c:v>
                </c:pt>
                <c:pt idx="16">
                  <c:v>327378.327353909</c:v>
                </c:pt>
                <c:pt idx="17">
                  <c:v>388933.34201985</c:v>
                </c:pt>
                <c:pt idx="18">
                  <c:v>388544.581007787</c:v>
                </c:pt>
                <c:pt idx="19">
                  <c:v>350665.031676272</c:v>
                </c:pt>
                <c:pt idx="20">
                  <c:v>313830.991849794</c:v>
                </c:pt>
                <c:pt idx="21">
                  <c:v>335576.081681029</c:v>
                </c:pt>
                <c:pt idx="22">
                  <c:v>331486.282218968</c:v>
                </c:pt>
                <c:pt idx="23">
                  <c:v>356071.860515517</c:v>
                </c:pt>
                <c:pt idx="24">
                  <c:v>369573.831866582</c:v>
                </c:pt>
                <c:pt idx="25">
                  <c:v>432172.318660165</c:v>
                </c:pt>
                <c:pt idx="26">
                  <c:v>434558.739582144</c:v>
                </c:pt>
                <c:pt idx="27">
                  <c:v>461055.895141471</c:v>
                </c:pt>
                <c:pt idx="28">
                  <c:v>470550.412547832</c:v>
                </c:pt>
                <c:pt idx="29">
                  <c:v>548043.81821077</c:v>
                </c:pt>
                <c:pt idx="30">
                  <c:v>540101.7571508</c:v>
                </c:pt>
                <c:pt idx="31">
                  <c:v>549579.729288503</c:v>
                </c:pt>
                <c:pt idx="32">
                  <c:v>540284.796859956</c:v>
                </c:pt>
                <c:pt idx="33">
                  <c:v>595788.954827188</c:v>
                </c:pt>
                <c:pt idx="34">
                  <c:v>586526.170922354</c:v>
                </c:pt>
                <c:pt idx="35">
                  <c:v>593350.29311838</c:v>
                </c:pt>
                <c:pt idx="36">
                  <c:v>575993.72364082</c:v>
                </c:pt>
                <c:pt idx="37">
                  <c:v>646238.174052764</c:v>
                </c:pt>
                <c:pt idx="38">
                  <c:v>614978.13202388</c:v>
                </c:pt>
                <c:pt idx="39">
                  <c:v>606557.267162512</c:v>
                </c:pt>
                <c:pt idx="40">
                  <c:v>513302.199352397</c:v>
                </c:pt>
                <c:pt idx="41">
                  <c:v>583728.543422907</c:v>
                </c:pt>
                <c:pt idx="42">
                  <c:v>564623.421945526</c:v>
                </c:pt>
                <c:pt idx="43">
                  <c:v>588546.828841422</c:v>
                </c:pt>
                <c:pt idx="44">
                  <c:v>586022.528644104</c:v>
                </c:pt>
                <c:pt idx="45">
                  <c:v>664734.525959158</c:v>
                </c:pt>
                <c:pt idx="46">
                  <c:v>672525.29285084</c:v>
                </c:pt>
                <c:pt idx="47">
                  <c:v>643958.04271864</c:v>
                </c:pt>
                <c:pt idx="48">
                  <c:v>483663.646098856</c:v>
                </c:pt>
                <c:pt idx="49">
                  <c:v>591283.951432754</c:v>
                </c:pt>
                <c:pt idx="50">
                  <c:v>570441.763754947</c:v>
                </c:pt>
                <c:pt idx="51">
                  <c:v>579907.495743114</c:v>
                </c:pt>
                <c:pt idx="52">
                  <c:v>589558.908500942</c:v>
                </c:pt>
                <c:pt idx="53">
                  <c:v>671123.018786371</c:v>
                </c:pt>
                <c:pt idx="54">
                  <c:v>643129.337602701</c:v>
                </c:pt>
                <c:pt idx="55">
                  <c:v>667918.556821809</c:v>
                </c:pt>
                <c:pt idx="56">
                  <c:v>632233.810344591</c:v>
                </c:pt>
                <c:pt idx="57">
                  <c:v>613421.36616953</c:v>
                </c:pt>
                <c:pt idx="58">
                  <c:v>476027.590986385</c:v>
                </c:pt>
                <c:pt idx="59">
                  <c:v>452892.404746767</c:v>
                </c:pt>
                <c:pt idx="60">
                  <c:v>447130.940471994</c:v>
                </c:pt>
                <c:pt idx="61">
                  <c:v>483053.377667609</c:v>
                </c:pt>
                <c:pt idx="62">
                  <c:v>441268.558739434</c:v>
                </c:pt>
                <c:pt idx="63">
                  <c:v>424543.759592155</c:v>
                </c:pt>
                <c:pt idx="64">
                  <c:v>406524.846160084</c:v>
                </c:pt>
                <c:pt idx="65">
                  <c:v>354994.017031083</c:v>
                </c:pt>
                <c:pt idx="66">
                  <c:v>375528.249782845</c:v>
                </c:pt>
                <c:pt idx="67">
                  <c:v>403060.602373686</c:v>
                </c:pt>
                <c:pt idx="68">
                  <c:v>415313.31307485</c:v>
                </c:pt>
                <c:pt idx="69">
                  <c:v>492593.053353294</c:v>
                </c:pt>
                <c:pt idx="70">
                  <c:v>488088.72951494</c:v>
                </c:pt>
                <c:pt idx="71">
                  <c:v>540205.512957152</c:v>
                </c:pt>
                <c:pt idx="72">
                  <c:v>566183.149559491</c:v>
                </c:pt>
                <c:pt idx="73">
                  <c:v>667028.328631352</c:v>
                </c:pt>
                <c:pt idx="74">
                  <c:v>647027.114081624</c:v>
                </c:pt>
                <c:pt idx="75">
                  <c:v>642034.477016348</c:v>
                </c:pt>
                <c:pt idx="76">
                  <c:v>627392.100973496</c:v>
                </c:pt>
                <c:pt idx="77">
                  <c:v>685734.71850012</c:v>
                </c:pt>
                <c:pt idx="78">
                  <c:v>660105.768354837</c:v>
                </c:pt>
                <c:pt idx="79">
                  <c:v>630735.872899463</c:v>
                </c:pt>
                <c:pt idx="80">
                  <c:v>507479.909798507</c:v>
                </c:pt>
                <c:pt idx="81">
                  <c:v>631651.207608589</c:v>
                </c:pt>
                <c:pt idx="82">
                  <c:v>681903.013205737</c:v>
                </c:pt>
                <c:pt idx="83">
                  <c:v>708328.331715626</c:v>
                </c:pt>
                <c:pt idx="84">
                  <c:v>684940.787620008</c:v>
                </c:pt>
                <c:pt idx="85">
                  <c:v>724368.592722262</c:v>
                </c:pt>
                <c:pt idx="86">
                  <c:v>670106.248018764</c:v>
                </c:pt>
                <c:pt idx="87">
                  <c:v>653729.465894757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'GDP Analysis'!S20</c:f>
              <c:strCache>
                <c:ptCount val="1"/>
                <c:pt idx="0">
                  <c:v>Nominal GDP USD inf (mm)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Analysis'!$A$21:$A$233</c:f>
              <c:strCache>
                <c:ptCount val="213"/>
                <c:pt idx="0">
                  <c:v>Mar-2004</c:v>
                </c:pt>
                <c:pt idx="1">
                  <c:v>Jun-2004</c:v>
                </c:pt>
                <c:pt idx="2">
                  <c:v>Sep-2004</c:v>
                </c:pt>
                <c:pt idx="3">
                  <c:v>Dec-2004</c:v>
                </c:pt>
                <c:pt idx="4">
                  <c:v>Mar-2005</c:v>
                </c:pt>
                <c:pt idx="5">
                  <c:v>Jun-2005</c:v>
                </c:pt>
                <c:pt idx="6">
                  <c:v>Sep-2005</c:v>
                </c:pt>
                <c:pt idx="7">
                  <c:v>Dec-2005</c:v>
                </c:pt>
                <c:pt idx="8">
                  <c:v>Mar-2006</c:v>
                </c:pt>
                <c:pt idx="9">
                  <c:v>Jun-2006</c:v>
                </c:pt>
                <c:pt idx="10">
                  <c:v>Sep-2006</c:v>
                </c:pt>
                <c:pt idx="11">
                  <c:v>Dec-2006</c:v>
                </c:pt>
                <c:pt idx="12">
                  <c:v>Mar-2007</c:v>
                </c:pt>
                <c:pt idx="13">
                  <c:v>Jun-2007</c:v>
                </c:pt>
                <c:pt idx="14">
                  <c:v>Sep-2007</c:v>
                </c:pt>
                <c:pt idx="15">
                  <c:v>Dec-2007</c:v>
                </c:pt>
                <c:pt idx="16">
                  <c:v>Mar-2008</c:v>
                </c:pt>
                <c:pt idx="17">
                  <c:v>Jun-2008</c:v>
                </c:pt>
                <c:pt idx="18">
                  <c:v>Sep-2008</c:v>
                </c:pt>
                <c:pt idx="19">
                  <c:v>Dec-2008</c:v>
                </c:pt>
                <c:pt idx="20">
                  <c:v>Mar-2009</c:v>
                </c:pt>
                <c:pt idx="21">
                  <c:v>Jun-2009</c:v>
                </c:pt>
                <c:pt idx="22">
                  <c:v>Sep-2009</c:v>
                </c:pt>
                <c:pt idx="23">
                  <c:v>Dec-2009</c:v>
                </c:pt>
                <c:pt idx="24">
                  <c:v>Mar-2010</c:v>
                </c:pt>
                <c:pt idx="25">
                  <c:v>Jun-2010</c:v>
                </c:pt>
                <c:pt idx="26">
                  <c:v>Sep-2010</c:v>
                </c:pt>
                <c:pt idx="27">
                  <c:v>Dec-2010</c:v>
                </c:pt>
                <c:pt idx="28">
                  <c:v>Mar-2011</c:v>
                </c:pt>
                <c:pt idx="29">
                  <c:v>Jun-2011</c:v>
                </c:pt>
                <c:pt idx="30">
                  <c:v>Sep-2011</c:v>
                </c:pt>
                <c:pt idx="31">
                  <c:v>Dec-2011</c:v>
                </c:pt>
                <c:pt idx="32">
                  <c:v>Mar-2012</c:v>
                </c:pt>
                <c:pt idx="33">
                  <c:v>Jun-2012</c:v>
                </c:pt>
                <c:pt idx="34">
                  <c:v>Sep-2012</c:v>
                </c:pt>
                <c:pt idx="35">
                  <c:v>Dec-2012</c:v>
                </c:pt>
                <c:pt idx="36">
                  <c:v>Mar-2013</c:v>
                </c:pt>
                <c:pt idx="37">
                  <c:v>Jun-2013</c:v>
                </c:pt>
                <c:pt idx="38">
                  <c:v>Sep-2013</c:v>
                </c:pt>
                <c:pt idx="39">
                  <c:v>Dec-2013</c:v>
                </c:pt>
                <c:pt idx="40">
                  <c:v>Mar-2014</c:v>
                </c:pt>
                <c:pt idx="41">
                  <c:v>Jun-2014</c:v>
                </c:pt>
                <c:pt idx="42">
                  <c:v>Sep-2014</c:v>
                </c:pt>
                <c:pt idx="43">
                  <c:v>Dec-2014</c:v>
                </c:pt>
                <c:pt idx="44">
                  <c:v>Mar-2015</c:v>
                </c:pt>
                <c:pt idx="45">
                  <c:v>Jun-2015</c:v>
                </c:pt>
                <c:pt idx="46">
                  <c:v>Sep-2015</c:v>
                </c:pt>
                <c:pt idx="47">
                  <c:v>Dec-2015</c:v>
                </c:pt>
                <c:pt idx="48">
                  <c:v>Mar-2016</c:v>
                </c:pt>
                <c:pt idx="49">
                  <c:v>Jun-2016</c:v>
                </c:pt>
                <c:pt idx="50">
                  <c:v>Sep-2016</c:v>
                </c:pt>
                <c:pt idx="51">
                  <c:v>Dec-2016</c:v>
                </c:pt>
                <c:pt idx="52">
                  <c:v>Mar-2017</c:v>
                </c:pt>
                <c:pt idx="53">
                  <c:v>Jun-2017</c:v>
                </c:pt>
                <c:pt idx="54">
                  <c:v>Sep-2017</c:v>
                </c:pt>
                <c:pt idx="55">
                  <c:v>Dec-2017</c:v>
                </c:pt>
                <c:pt idx="56">
                  <c:v>Mar-2018</c:v>
                </c:pt>
                <c:pt idx="57">
                  <c:v>Jun-2018</c:v>
                </c:pt>
                <c:pt idx="58">
                  <c:v>Sep-2018</c:v>
                </c:pt>
                <c:pt idx="59">
                  <c:v>Dec-2018</c:v>
                </c:pt>
                <c:pt idx="60">
                  <c:v>Mar-2019</c:v>
                </c:pt>
                <c:pt idx="61">
                  <c:v>Jun-2019</c:v>
                </c:pt>
                <c:pt idx="62">
                  <c:v>Sep-2019</c:v>
                </c:pt>
                <c:pt idx="63">
                  <c:v>Dec-2019</c:v>
                </c:pt>
                <c:pt idx="64">
                  <c:v>Mar-2020</c:v>
                </c:pt>
                <c:pt idx="65">
                  <c:v>Jun-2020</c:v>
                </c:pt>
                <c:pt idx="66">
                  <c:v>Sep-2020</c:v>
                </c:pt>
                <c:pt idx="67">
                  <c:v>Dec-2020</c:v>
                </c:pt>
                <c:pt idx="68">
                  <c:v>Mar-2021</c:v>
                </c:pt>
                <c:pt idx="69">
                  <c:v>Jun-2021</c:v>
                </c:pt>
                <c:pt idx="70">
                  <c:v>Sep-2021</c:v>
                </c:pt>
                <c:pt idx="71">
                  <c:v>Dec-2021</c:v>
                </c:pt>
                <c:pt idx="72">
                  <c:v>Mar-2022</c:v>
                </c:pt>
                <c:pt idx="73">
                  <c:v>Jun-2022</c:v>
                </c:pt>
                <c:pt idx="74">
                  <c:v>Sep-2022</c:v>
                </c:pt>
                <c:pt idx="75">
                  <c:v>Dec-2022</c:v>
                </c:pt>
                <c:pt idx="76">
                  <c:v>Mar-2023</c:v>
                </c:pt>
                <c:pt idx="77">
                  <c:v>Jun-2023</c:v>
                </c:pt>
                <c:pt idx="78">
                  <c:v>Sep-2023</c:v>
                </c:pt>
                <c:pt idx="79">
                  <c:v>Dec-2023</c:v>
                </c:pt>
                <c:pt idx="80">
                  <c:v>Mar-2024</c:v>
                </c:pt>
                <c:pt idx="81">
                  <c:v>Jun-2024</c:v>
                </c:pt>
                <c:pt idx="82">
                  <c:v>Sep-2024</c:v>
                </c:pt>
                <c:pt idx="83">
                  <c:v>Dec-2024</c:v>
                </c:pt>
                <c:pt idx="84">
                  <c:v>Mar-2025</c:v>
                </c:pt>
                <c:pt idx="85">
                  <c:v>Jun-2025</c:v>
                </c:pt>
                <c:pt idx="86">
                  <c:v>Sep-2025</c:v>
                </c:pt>
                <c:pt idx="87">
                  <c:v>Dec-2025</c:v>
                </c:pt>
                <c:pt idx="88">
                  <c:v>Mar-2026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</c:strCache>
            </c:strRef>
          </c:cat>
          <c:val>
            <c:numRef>
              <c:f>'GDP Analysis'!$S$21:$S$233</c:f>
              <c:numCache>
                <c:formatCode>#,##0;\(#,##0\);\-</c:formatCode>
                <c:ptCount val="213"/>
                <c:pt idx="0">
                  <c:v>150598.696993942</c:v>
                </c:pt>
                <c:pt idx="1">
                  <c:v>175125.687442713</c:v>
                </c:pt>
                <c:pt idx="2">
                  <c:v>163056.192277735</c:v>
                </c:pt>
                <c:pt idx="4">
                  <c:v>174043.962285584</c:v>
                </c:pt>
                <c:pt idx="5">
                  <c:v>208982.980680773</c:v>
                </c:pt>
                <c:pt idx="6">
                  <c:v>204605.962560666</c:v>
                </c:pt>
                <c:pt idx="7">
                  <c:v>208677.228606493</c:v>
                </c:pt>
                <c:pt idx="8">
                  <c:v>208971.317242126</c:v>
                </c:pt>
                <c:pt idx="9">
                  <c:v>236130.068115472</c:v>
                </c:pt>
                <c:pt idx="10">
                  <c:v>235005.048335124</c:v>
                </c:pt>
                <c:pt idx="11">
                  <c:v>246212.395093609</c:v>
                </c:pt>
                <c:pt idx="12">
                  <c:v>248679.511881824</c:v>
                </c:pt>
                <c:pt idx="13">
                  <c:v>290694.31051109</c:v>
                </c:pt>
                <c:pt idx="14">
                  <c:v>287303.509690938</c:v>
                </c:pt>
                <c:pt idx="15">
                  <c:v>313443.616127677</c:v>
                </c:pt>
                <c:pt idx="16">
                  <c:v>324947.119924457</c:v>
                </c:pt>
                <c:pt idx="17">
                  <c:v>381164.852417836</c:v>
                </c:pt>
                <c:pt idx="18">
                  <c:v>383526.946754509</c:v>
                </c:pt>
                <c:pt idx="19">
                  <c:v>344565.7002457</c:v>
                </c:pt>
                <c:pt idx="20">
                  <c:v>307550.322580645</c:v>
                </c:pt>
                <c:pt idx="21">
                  <c:v>330987.833906374</c:v>
                </c:pt>
                <c:pt idx="22">
                  <c:v>329202.748249935</c:v>
                </c:pt>
                <c:pt idx="23">
                  <c:v>355273.345540152</c:v>
                </c:pt>
                <c:pt idx="24">
                  <c:v>363840.84109753</c:v>
                </c:pt>
                <c:pt idx="25">
                  <c:v>426852.405063291</c:v>
                </c:pt>
                <c:pt idx="26">
                  <c:v>427496.256239601</c:v>
                </c:pt>
                <c:pt idx="27">
                  <c:v>452342.923089605</c:v>
                </c:pt>
                <c:pt idx="28">
                  <c:v>455908.037653874</c:v>
                </c:pt>
                <c:pt idx="29">
                  <c:v>524694.863575952</c:v>
                </c:pt>
                <c:pt idx="30">
                  <c:v>515575.486827033</c:v>
                </c:pt>
                <c:pt idx="31">
                  <c:v>508400.260756193</c:v>
                </c:pt>
                <c:pt idx="32">
                  <c:v>490771.376761055</c:v>
                </c:pt>
                <c:pt idx="33">
                  <c:v>484838.697878566</c:v>
                </c:pt>
                <c:pt idx="34">
                  <c:v>430248.35630965</c:v>
                </c:pt>
                <c:pt idx="35">
                  <c:v>445919.687092568</c:v>
                </c:pt>
                <c:pt idx="36">
                  <c:v>374171.868928895</c:v>
                </c:pt>
                <c:pt idx="37">
                  <c:v>388882.073847331</c:v>
                </c:pt>
                <c:pt idx="38">
                  <c:v>389395.716875661</c:v>
                </c:pt>
                <c:pt idx="39">
                  <c:v>378473.310706572</c:v>
                </c:pt>
                <c:pt idx="40">
                  <c:v>346684.37509218</c:v>
                </c:pt>
                <c:pt idx="41">
                  <c:v>422695.649568552</c:v>
                </c:pt>
                <c:pt idx="42">
                  <c:v>349377.60047722</c:v>
                </c:pt>
                <c:pt idx="43">
                  <c:v>365725.70010462</c:v>
                </c:pt>
                <c:pt idx="44">
                  <c:v>386610.70904398</c:v>
                </c:pt>
                <c:pt idx="45">
                  <c:v>469421.243591429</c:v>
                </c:pt>
                <c:pt idx="46">
                  <c:v>414855.818812233</c:v>
                </c:pt>
                <c:pt idx="47">
                  <c:v>434434.425142554</c:v>
                </c:pt>
                <c:pt idx="48">
                  <c:v>473955.693348365</c:v>
                </c:pt>
                <c:pt idx="49">
                  <c:v>580460.990135437</c:v>
                </c:pt>
                <c:pt idx="50">
                  <c:v>561237.456946669</c:v>
                </c:pt>
                <c:pt idx="51">
                  <c:v>569058.405281869</c:v>
                </c:pt>
                <c:pt idx="52">
                  <c:v>568751.082206676</c:v>
                </c:pt>
                <c:pt idx="53">
                  <c:v>660755.241254146</c:v>
                </c:pt>
                <c:pt idx="54">
                  <c:v>625795.462648477</c:v>
                </c:pt>
                <c:pt idx="55">
                  <c:v>654757.985257985</c:v>
                </c:pt>
                <c:pt idx="56">
                  <c:v>623669.086357947</c:v>
                </c:pt>
                <c:pt idx="57">
                  <c:v>603908.243827591</c:v>
                </c:pt>
                <c:pt idx="58">
                  <c:v>472199.270509201</c:v>
                </c:pt>
                <c:pt idx="59">
                  <c:v>460298.483355234</c:v>
                </c:pt>
                <c:pt idx="60">
                  <c:v>449035.852787837</c:v>
                </c:pt>
                <c:pt idx="61">
                  <c:v>477269.433351565</c:v>
                </c:pt>
                <c:pt idx="62">
                  <c:v>429286.840703933</c:v>
                </c:pt>
                <c:pt idx="63">
                  <c:v>378897.611998617</c:v>
                </c:pt>
                <c:pt idx="64">
                  <c:v>323606.287457446</c:v>
                </c:pt>
                <c:pt idx="65">
                  <c:v>212296.317896244</c:v>
                </c:pt>
                <c:pt idx="66">
                  <c:v>209668.932329606</c:v>
                </c:pt>
                <c:pt idx="67">
                  <c:v>203778.269982701</c:v>
                </c:pt>
                <c:pt idx="68">
                  <c:v>249146.215914786</c:v>
                </c:pt>
                <c:pt idx="69">
                  <c:v>306078.474240423</c:v>
                </c:pt>
                <c:pt idx="70">
                  <c:v>265645.01396437</c:v>
                </c:pt>
                <c:pt idx="71">
                  <c:v>278716.572543382</c:v>
                </c:pt>
                <c:pt idx="72">
                  <c:v>291302.838431461</c:v>
                </c:pt>
                <c:pt idx="73">
                  <c:v>382833.291432631</c:v>
                </c:pt>
                <c:pt idx="74">
                  <c:v>308466.039959322</c:v>
                </c:pt>
                <c:pt idx="75">
                  <c:v>343339.994384844</c:v>
                </c:pt>
                <c:pt idx="76">
                  <c:v>322651.596292023</c:v>
                </c:pt>
                <c:pt idx="77">
                  <c:v>344680.75825102</c:v>
                </c:pt>
                <c:pt idx="78">
                  <c:v>322548.487760791</c:v>
                </c:pt>
                <c:pt idx="79">
                  <c:v>300502.54750845</c:v>
                </c:pt>
                <c:pt idx="80">
                  <c:v>392988.809055456</c:v>
                </c:pt>
                <c:pt idx="81">
                  <c:v>492799.254324423</c:v>
                </c:pt>
                <c:pt idx="82">
                  <c:v>481396.91590271</c:v>
                </c:pt>
                <c:pt idx="83">
                  <c:v>618436.592385036</c:v>
                </c:pt>
                <c:pt idx="84">
                  <c:v>590969.802771957</c:v>
                </c:pt>
                <c:pt idx="85">
                  <c:v>693028.526417691</c:v>
                </c:pt>
                <c:pt idx="86">
                  <c:v>667624.909161164</c:v>
                </c:pt>
                <c:pt idx="87">
                  <c:v>646528.281175911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653527"/>
        <c:axId val="81141146"/>
      </c:lineChart>
      <c:catAx>
        <c:axId val="11653527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1141146"/>
        <c:crosses val="autoZero"/>
        <c:auto val="1"/>
        <c:lblAlgn val="ctr"/>
        <c:lblOffset val="100"/>
        <c:noMultiLvlLbl val="0"/>
      </c:catAx>
      <c:valAx>
        <c:axId val="8114114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16535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GDP Components (SA)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'GDP Analysis'!E20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Analysis'!$A$21:$A$233</c:f>
              <c:strCache>
                <c:ptCount val="213"/>
                <c:pt idx="0">
                  <c:v>Mar-2004</c:v>
                </c:pt>
                <c:pt idx="1">
                  <c:v>Jun-2004</c:v>
                </c:pt>
                <c:pt idx="2">
                  <c:v>Sep-2004</c:v>
                </c:pt>
                <c:pt idx="3">
                  <c:v>Dec-2004</c:v>
                </c:pt>
                <c:pt idx="4">
                  <c:v>Mar-2005</c:v>
                </c:pt>
                <c:pt idx="5">
                  <c:v>Jun-2005</c:v>
                </c:pt>
                <c:pt idx="6">
                  <c:v>Sep-2005</c:v>
                </c:pt>
                <c:pt idx="7">
                  <c:v>Dec-2005</c:v>
                </c:pt>
                <c:pt idx="8">
                  <c:v>Mar-2006</c:v>
                </c:pt>
                <c:pt idx="9">
                  <c:v>Jun-2006</c:v>
                </c:pt>
                <c:pt idx="10">
                  <c:v>Sep-2006</c:v>
                </c:pt>
                <c:pt idx="11">
                  <c:v>Dec-2006</c:v>
                </c:pt>
                <c:pt idx="12">
                  <c:v>Mar-2007</c:v>
                </c:pt>
                <c:pt idx="13">
                  <c:v>Jun-2007</c:v>
                </c:pt>
                <c:pt idx="14">
                  <c:v>Sep-2007</c:v>
                </c:pt>
                <c:pt idx="15">
                  <c:v>Dec-2007</c:v>
                </c:pt>
                <c:pt idx="16">
                  <c:v>Mar-2008</c:v>
                </c:pt>
                <c:pt idx="17">
                  <c:v>Jun-2008</c:v>
                </c:pt>
                <c:pt idx="18">
                  <c:v>Sep-2008</c:v>
                </c:pt>
                <c:pt idx="19">
                  <c:v>Dec-2008</c:v>
                </c:pt>
                <c:pt idx="20">
                  <c:v>Mar-2009</c:v>
                </c:pt>
                <c:pt idx="21">
                  <c:v>Jun-2009</c:v>
                </c:pt>
                <c:pt idx="22">
                  <c:v>Sep-2009</c:v>
                </c:pt>
                <c:pt idx="23">
                  <c:v>Dec-2009</c:v>
                </c:pt>
                <c:pt idx="24">
                  <c:v>Mar-2010</c:v>
                </c:pt>
                <c:pt idx="25">
                  <c:v>Jun-2010</c:v>
                </c:pt>
                <c:pt idx="26">
                  <c:v>Sep-2010</c:v>
                </c:pt>
                <c:pt idx="27">
                  <c:v>Dec-2010</c:v>
                </c:pt>
                <c:pt idx="28">
                  <c:v>Mar-2011</c:v>
                </c:pt>
                <c:pt idx="29">
                  <c:v>Jun-2011</c:v>
                </c:pt>
                <c:pt idx="30">
                  <c:v>Sep-2011</c:v>
                </c:pt>
                <c:pt idx="31">
                  <c:v>Dec-2011</c:v>
                </c:pt>
                <c:pt idx="32">
                  <c:v>Mar-2012</c:v>
                </c:pt>
                <c:pt idx="33">
                  <c:v>Jun-2012</c:v>
                </c:pt>
                <c:pt idx="34">
                  <c:v>Sep-2012</c:v>
                </c:pt>
                <c:pt idx="35">
                  <c:v>Dec-2012</c:v>
                </c:pt>
                <c:pt idx="36">
                  <c:v>Mar-2013</c:v>
                </c:pt>
                <c:pt idx="37">
                  <c:v>Jun-2013</c:v>
                </c:pt>
                <c:pt idx="38">
                  <c:v>Sep-2013</c:v>
                </c:pt>
                <c:pt idx="39">
                  <c:v>Dec-2013</c:v>
                </c:pt>
                <c:pt idx="40">
                  <c:v>Mar-2014</c:v>
                </c:pt>
                <c:pt idx="41">
                  <c:v>Jun-2014</c:v>
                </c:pt>
                <c:pt idx="42">
                  <c:v>Sep-2014</c:v>
                </c:pt>
                <c:pt idx="43">
                  <c:v>Dec-2014</c:v>
                </c:pt>
                <c:pt idx="44">
                  <c:v>Mar-2015</c:v>
                </c:pt>
                <c:pt idx="45">
                  <c:v>Jun-2015</c:v>
                </c:pt>
                <c:pt idx="46">
                  <c:v>Sep-2015</c:v>
                </c:pt>
                <c:pt idx="47">
                  <c:v>Dec-2015</c:v>
                </c:pt>
                <c:pt idx="48">
                  <c:v>Mar-2016</c:v>
                </c:pt>
                <c:pt idx="49">
                  <c:v>Jun-2016</c:v>
                </c:pt>
                <c:pt idx="50">
                  <c:v>Sep-2016</c:v>
                </c:pt>
                <c:pt idx="51">
                  <c:v>Dec-2016</c:v>
                </c:pt>
                <c:pt idx="52">
                  <c:v>Mar-2017</c:v>
                </c:pt>
                <c:pt idx="53">
                  <c:v>Jun-2017</c:v>
                </c:pt>
                <c:pt idx="54">
                  <c:v>Sep-2017</c:v>
                </c:pt>
                <c:pt idx="55">
                  <c:v>Dec-2017</c:v>
                </c:pt>
                <c:pt idx="56">
                  <c:v>Mar-2018</c:v>
                </c:pt>
                <c:pt idx="57">
                  <c:v>Jun-2018</c:v>
                </c:pt>
                <c:pt idx="58">
                  <c:v>Sep-2018</c:v>
                </c:pt>
                <c:pt idx="59">
                  <c:v>Dec-2018</c:v>
                </c:pt>
                <c:pt idx="60">
                  <c:v>Mar-2019</c:v>
                </c:pt>
                <c:pt idx="61">
                  <c:v>Jun-2019</c:v>
                </c:pt>
                <c:pt idx="62">
                  <c:v>Sep-2019</c:v>
                </c:pt>
                <c:pt idx="63">
                  <c:v>Dec-2019</c:v>
                </c:pt>
                <c:pt idx="64">
                  <c:v>Mar-2020</c:v>
                </c:pt>
                <c:pt idx="65">
                  <c:v>Jun-2020</c:v>
                </c:pt>
                <c:pt idx="66">
                  <c:v>Sep-2020</c:v>
                </c:pt>
                <c:pt idx="67">
                  <c:v>Dec-2020</c:v>
                </c:pt>
                <c:pt idx="68">
                  <c:v>Mar-2021</c:v>
                </c:pt>
                <c:pt idx="69">
                  <c:v>Jun-2021</c:v>
                </c:pt>
                <c:pt idx="70">
                  <c:v>Sep-2021</c:v>
                </c:pt>
                <c:pt idx="71">
                  <c:v>Dec-2021</c:v>
                </c:pt>
                <c:pt idx="72">
                  <c:v>Mar-2022</c:v>
                </c:pt>
                <c:pt idx="73">
                  <c:v>Jun-2022</c:v>
                </c:pt>
                <c:pt idx="74">
                  <c:v>Sep-2022</c:v>
                </c:pt>
                <c:pt idx="75">
                  <c:v>Dec-2022</c:v>
                </c:pt>
                <c:pt idx="76">
                  <c:v>Mar-2023</c:v>
                </c:pt>
                <c:pt idx="77">
                  <c:v>Jun-2023</c:v>
                </c:pt>
                <c:pt idx="78">
                  <c:v>Sep-2023</c:v>
                </c:pt>
                <c:pt idx="79">
                  <c:v>Dec-2023</c:v>
                </c:pt>
                <c:pt idx="80">
                  <c:v>Mar-2024</c:v>
                </c:pt>
                <c:pt idx="81">
                  <c:v>Jun-2024</c:v>
                </c:pt>
                <c:pt idx="82">
                  <c:v>Sep-2024</c:v>
                </c:pt>
                <c:pt idx="83">
                  <c:v>Dec-2024</c:v>
                </c:pt>
                <c:pt idx="84">
                  <c:v>Mar-2025</c:v>
                </c:pt>
                <c:pt idx="85">
                  <c:v>Jun-2025</c:v>
                </c:pt>
                <c:pt idx="86">
                  <c:v>Sep-2025</c:v>
                </c:pt>
                <c:pt idx="87">
                  <c:v>Dec-2025</c:v>
                </c:pt>
                <c:pt idx="88">
                  <c:v>Mar-2026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</c:strCache>
            </c:strRef>
          </c:cat>
          <c:val>
            <c:numRef>
              <c:f>'GDP Analysis'!$E$21:$E$233</c:f>
              <c:numCache>
                <c:formatCode>#,##0;\(#,##0\);\-</c:formatCode>
                <c:ptCount val="213"/>
                <c:pt idx="0">
                  <c:v>302781.108</c:v>
                </c:pt>
                <c:pt idx="1">
                  <c:v>304361.812</c:v>
                </c:pt>
                <c:pt idx="2">
                  <c:v>316912.029</c:v>
                </c:pt>
                <c:pt idx="3">
                  <c:v>324272.593</c:v>
                </c:pt>
                <c:pt idx="4">
                  <c:v>318967.706</c:v>
                </c:pt>
                <c:pt idx="5">
                  <c:v>346690.415</c:v>
                </c:pt>
                <c:pt idx="6">
                  <c:v>331326.974</c:v>
                </c:pt>
                <c:pt idx="7">
                  <c:v>343626.04</c:v>
                </c:pt>
                <c:pt idx="8">
                  <c:v>353511.321</c:v>
                </c:pt>
                <c:pt idx="9">
                  <c:v>371905.787</c:v>
                </c:pt>
                <c:pt idx="10">
                  <c:v>381137.215</c:v>
                </c:pt>
                <c:pt idx="11">
                  <c:v>380937.311</c:v>
                </c:pt>
                <c:pt idx="12">
                  <c:v>392667.41</c:v>
                </c:pt>
                <c:pt idx="13">
                  <c:v>402296.075</c:v>
                </c:pt>
                <c:pt idx="14">
                  <c:v>412291.876</c:v>
                </c:pt>
                <c:pt idx="15">
                  <c:v>419150.79</c:v>
                </c:pt>
                <c:pt idx="16">
                  <c:v>436248.074</c:v>
                </c:pt>
                <c:pt idx="17">
                  <c:v>443435.138</c:v>
                </c:pt>
                <c:pt idx="18">
                  <c:v>435469.491</c:v>
                </c:pt>
                <c:pt idx="19">
                  <c:v>429080.864</c:v>
                </c:pt>
                <c:pt idx="20">
                  <c:v>410138.801</c:v>
                </c:pt>
                <c:pt idx="21">
                  <c:v>392881.86</c:v>
                </c:pt>
                <c:pt idx="22">
                  <c:v>426604.676</c:v>
                </c:pt>
                <c:pt idx="23">
                  <c:v>420460.572</c:v>
                </c:pt>
                <c:pt idx="24">
                  <c:v>440950.582</c:v>
                </c:pt>
                <c:pt idx="25">
                  <c:v>457719.237</c:v>
                </c:pt>
                <c:pt idx="26">
                  <c:v>462315.451</c:v>
                </c:pt>
                <c:pt idx="27">
                  <c:v>473715.394</c:v>
                </c:pt>
                <c:pt idx="28">
                  <c:v>488345.016</c:v>
                </c:pt>
                <c:pt idx="29">
                  <c:v>496352.551</c:v>
                </c:pt>
                <c:pt idx="30">
                  <c:v>510643.56</c:v>
                </c:pt>
                <c:pt idx="31">
                  <c:v>511247.487</c:v>
                </c:pt>
                <c:pt idx="32">
                  <c:v>499862.9</c:v>
                </c:pt>
                <c:pt idx="33">
                  <c:v>493768.877</c:v>
                </c:pt>
                <c:pt idx="34">
                  <c:v>515643.412</c:v>
                </c:pt>
                <c:pt idx="35">
                  <c:v>519592.212</c:v>
                </c:pt>
                <c:pt idx="36">
                  <c:v>514386.795</c:v>
                </c:pt>
                <c:pt idx="37">
                  <c:v>517251.738</c:v>
                </c:pt>
                <c:pt idx="38">
                  <c:v>535655.927</c:v>
                </c:pt>
                <c:pt idx="39">
                  <c:v>535403.669</c:v>
                </c:pt>
                <c:pt idx="40">
                  <c:v>521790.904</c:v>
                </c:pt>
                <c:pt idx="41">
                  <c:v>498942.239</c:v>
                </c:pt>
                <c:pt idx="42">
                  <c:v>490465.141</c:v>
                </c:pt>
                <c:pt idx="43">
                  <c:v>499859.462</c:v>
                </c:pt>
                <c:pt idx="44">
                  <c:v>508612.971</c:v>
                </c:pt>
                <c:pt idx="45">
                  <c:v>532927.695</c:v>
                </c:pt>
                <c:pt idx="46">
                  <c:v>522378.134</c:v>
                </c:pt>
                <c:pt idx="47">
                  <c:v>520667.162</c:v>
                </c:pt>
                <c:pt idx="48">
                  <c:v>520516.987</c:v>
                </c:pt>
                <c:pt idx="49">
                  <c:v>515989.48</c:v>
                </c:pt>
                <c:pt idx="50">
                  <c:v>513838.65</c:v>
                </c:pt>
                <c:pt idx="51">
                  <c:v>517975.438</c:v>
                </c:pt>
                <c:pt idx="52">
                  <c:v>531030.937</c:v>
                </c:pt>
                <c:pt idx="53">
                  <c:v>533213.036</c:v>
                </c:pt>
                <c:pt idx="54">
                  <c:v>541396.14</c:v>
                </c:pt>
                <c:pt idx="55">
                  <c:v>548690.386</c:v>
                </c:pt>
                <c:pt idx="56">
                  <c:v>546568.689</c:v>
                </c:pt>
                <c:pt idx="57">
                  <c:v>540185.228</c:v>
                </c:pt>
                <c:pt idx="58">
                  <c:v>529845.891</c:v>
                </c:pt>
                <c:pt idx="59">
                  <c:v>489350.329</c:v>
                </c:pt>
                <c:pt idx="60">
                  <c:v>499058.592</c:v>
                </c:pt>
                <c:pt idx="61">
                  <c:v>502080.623</c:v>
                </c:pt>
                <c:pt idx="62">
                  <c:v>499698.52</c:v>
                </c:pt>
                <c:pt idx="63">
                  <c:v>476082.718</c:v>
                </c:pt>
                <c:pt idx="64">
                  <c:v>461300.787</c:v>
                </c:pt>
                <c:pt idx="65">
                  <c:v>395002.518</c:v>
                </c:pt>
                <c:pt idx="66">
                  <c:v>428108.77</c:v>
                </c:pt>
                <c:pt idx="67">
                  <c:v>451890.161</c:v>
                </c:pt>
                <c:pt idx="68">
                  <c:v>463333.189</c:v>
                </c:pt>
                <c:pt idx="69">
                  <c:v>467218.392</c:v>
                </c:pt>
                <c:pt idx="70">
                  <c:v>474677.997</c:v>
                </c:pt>
                <c:pt idx="71">
                  <c:v>495434.404</c:v>
                </c:pt>
                <c:pt idx="72">
                  <c:v>508532.07</c:v>
                </c:pt>
                <c:pt idx="73">
                  <c:v>523115.152</c:v>
                </c:pt>
                <c:pt idx="74">
                  <c:v>526502.402</c:v>
                </c:pt>
                <c:pt idx="75">
                  <c:v>522435.595</c:v>
                </c:pt>
                <c:pt idx="76">
                  <c:v>526315.996</c:v>
                </c:pt>
                <c:pt idx="77">
                  <c:v>535460.37</c:v>
                </c:pt>
                <c:pt idx="78">
                  <c:v>526871.217</c:v>
                </c:pt>
                <c:pt idx="79">
                  <c:v>512157.185</c:v>
                </c:pt>
                <c:pt idx="80">
                  <c:v>497472.141</c:v>
                </c:pt>
                <c:pt idx="81">
                  <c:v>489105.647</c:v>
                </c:pt>
                <c:pt idx="82">
                  <c:v>518756.305</c:v>
                </c:pt>
                <c:pt idx="83">
                  <c:v>534084.414</c:v>
                </c:pt>
                <c:pt idx="84">
                  <c:v>547554.055</c:v>
                </c:pt>
                <c:pt idx="85">
                  <c:v>546540.104</c:v>
                </c:pt>
                <c:pt idx="86">
                  <c:v>548277.87</c:v>
                </c:pt>
                <c:pt idx="87">
                  <c:v>557631.514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'GDP Analysis'!F20</c:f>
              <c:strCache>
                <c:ptCount val="1"/>
                <c:pt idx="0">
                  <c:v>Gvt Exp.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Analysis'!$A$21:$A$233</c:f>
              <c:strCache>
                <c:ptCount val="213"/>
                <c:pt idx="0">
                  <c:v>Mar-2004</c:v>
                </c:pt>
                <c:pt idx="1">
                  <c:v>Jun-2004</c:v>
                </c:pt>
                <c:pt idx="2">
                  <c:v>Sep-2004</c:v>
                </c:pt>
                <c:pt idx="3">
                  <c:v>Dec-2004</c:v>
                </c:pt>
                <c:pt idx="4">
                  <c:v>Mar-2005</c:v>
                </c:pt>
                <c:pt idx="5">
                  <c:v>Jun-2005</c:v>
                </c:pt>
                <c:pt idx="6">
                  <c:v>Sep-2005</c:v>
                </c:pt>
                <c:pt idx="7">
                  <c:v>Dec-2005</c:v>
                </c:pt>
                <c:pt idx="8">
                  <c:v>Mar-2006</c:v>
                </c:pt>
                <c:pt idx="9">
                  <c:v>Jun-2006</c:v>
                </c:pt>
                <c:pt idx="10">
                  <c:v>Sep-2006</c:v>
                </c:pt>
                <c:pt idx="11">
                  <c:v>Dec-2006</c:v>
                </c:pt>
                <c:pt idx="12">
                  <c:v>Mar-2007</c:v>
                </c:pt>
                <c:pt idx="13">
                  <c:v>Jun-2007</c:v>
                </c:pt>
                <c:pt idx="14">
                  <c:v>Sep-2007</c:v>
                </c:pt>
                <c:pt idx="15">
                  <c:v>Dec-2007</c:v>
                </c:pt>
                <c:pt idx="16">
                  <c:v>Mar-2008</c:v>
                </c:pt>
                <c:pt idx="17">
                  <c:v>Jun-2008</c:v>
                </c:pt>
                <c:pt idx="18">
                  <c:v>Sep-2008</c:v>
                </c:pt>
                <c:pt idx="19">
                  <c:v>Dec-2008</c:v>
                </c:pt>
                <c:pt idx="20">
                  <c:v>Mar-2009</c:v>
                </c:pt>
                <c:pt idx="21">
                  <c:v>Jun-2009</c:v>
                </c:pt>
                <c:pt idx="22">
                  <c:v>Sep-2009</c:v>
                </c:pt>
                <c:pt idx="23">
                  <c:v>Dec-2009</c:v>
                </c:pt>
                <c:pt idx="24">
                  <c:v>Mar-2010</c:v>
                </c:pt>
                <c:pt idx="25">
                  <c:v>Jun-2010</c:v>
                </c:pt>
                <c:pt idx="26">
                  <c:v>Sep-2010</c:v>
                </c:pt>
                <c:pt idx="27">
                  <c:v>Dec-2010</c:v>
                </c:pt>
                <c:pt idx="28">
                  <c:v>Mar-2011</c:v>
                </c:pt>
                <c:pt idx="29">
                  <c:v>Jun-2011</c:v>
                </c:pt>
                <c:pt idx="30">
                  <c:v>Sep-2011</c:v>
                </c:pt>
                <c:pt idx="31">
                  <c:v>Dec-2011</c:v>
                </c:pt>
                <c:pt idx="32">
                  <c:v>Mar-2012</c:v>
                </c:pt>
                <c:pt idx="33">
                  <c:v>Jun-2012</c:v>
                </c:pt>
                <c:pt idx="34">
                  <c:v>Sep-2012</c:v>
                </c:pt>
                <c:pt idx="35">
                  <c:v>Dec-2012</c:v>
                </c:pt>
                <c:pt idx="36">
                  <c:v>Mar-2013</c:v>
                </c:pt>
                <c:pt idx="37">
                  <c:v>Jun-2013</c:v>
                </c:pt>
                <c:pt idx="38">
                  <c:v>Sep-2013</c:v>
                </c:pt>
                <c:pt idx="39">
                  <c:v>Dec-2013</c:v>
                </c:pt>
                <c:pt idx="40">
                  <c:v>Mar-2014</c:v>
                </c:pt>
                <c:pt idx="41">
                  <c:v>Jun-2014</c:v>
                </c:pt>
                <c:pt idx="42">
                  <c:v>Sep-2014</c:v>
                </c:pt>
                <c:pt idx="43">
                  <c:v>Dec-2014</c:v>
                </c:pt>
                <c:pt idx="44">
                  <c:v>Mar-2015</c:v>
                </c:pt>
                <c:pt idx="45">
                  <c:v>Jun-2015</c:v>
                </c:pt>
                <c:pt idx="46">
                  <c:v>Sep-2015</c:v>
                </c:pt>
                <c:pt idx="47">
                  <c:v>Dec-2015</c:v>
                </c:pt>
                <c:pt idx="48">
                  <c:v>Mar-2016</c:v>
                </c:pt>
                <c:pt idx="49">
                  <c:v>Jun-2016</c:v>
                </c:pt>
                <c:pt idx="50">
                  <c:v>Sep-2016</c:v>
                </c:pt>
                <c:pt idx="51">
                  <c:v>Dec-2016</c:v>
                </c:pt>
                <c:pt idx="52">
                  <c:v>Mar-2017</c:v>
                </c:pt>
                <c:pt idx="53">
                  <c:v>Jun-2017</c:v>
                </c:pt>
                <c:pt idx="54">
                  <c:v>Sep-2017</c:v>
                </c:pt>
                <c:pt idx="55">
                  <c:v>Dec-2017</c:v>
                </c:pt>
                <c:pt idx="56">
                  <c:v>Mar-2018</c:v>
                </c:pt>
                <c:pt idx="57">
                  <c:v>Jun-2018</c:v>
                </c:pt>
                <c:pt idx="58">
                  <c:v>Sep-2018</c:v>
                </c:pt>
                <c:pt idx="59">
                  <c:v>Dec-2018</c:v>
                </c:pt>
                <c:pt idx="60">
                  <c:v>Mar-2019</c:v>
                </c:pt>
                <c:pt idx="61">
                  <c:v>Jun-2019</c:v>
                </c:pt>
                <c:pt idx="62">
                  <c:v>Sep-2019</c:v>
                </c:pt>
                <c:pt idx="63">
                  <c:v>Dec-2019</c:v>
                </c:pt>
                <c:pt idx="64">
                  <c:v>Mar-2020</c:v>
                </c:pt>
                <c:pt idx="65">
                  <c:v>Jun-2020</c:v>
                </c:pt>
                <c:pt idx="66">
                  <c:v>Sep-2020</c:v>
                </c:pt>
                <c:pt idx="67">
                  <c:v>Dec-2020</c:v>
                </c:pt>
                <c:pt idx="68">
                  <c:v>Mar-2021</c:v>
                </c:pt>
                <c:pt idx="69">
                  <c:v>Jun-2021</c:v>
                </c:pt>
                <c:pt idx="70">
                  <c:v>Sep-2021</c:v>
                </c:pt>
                <c:pt idx="71">
                  <c:v>Dec-2021</c:v>
                </c:pt>
                <c:pt idx="72">
                  <c:v>Mar-2022</c:v>
                </c:pt>
                <c:pt idx="73">
                  <c:v>Jun-2022</c:v>
                </c:pt>
                <c:pt idx="74">
                  <c:v>Sep-2022</c:v>
                </c:pt>
                <c:pt idx="75">
                  <c:v>Dec-2022</c:v>
                </c:pt>
                <c:pt idx="76">
                  <c:v>Mar-2023</c:v>
                </c:pt>
                <c:pt idx="77">
                  <c:v>Jun-2023</c:v>
                </c:pt>
                <c:pt idx="78">
                  <c:v>Sep-2023</c:v>
                </c:pt>
                <c:pt idx="79">
                  <c:v>Dec-2023</c:v>
                </c:pt>
                <c:pt idx="80">
                  <c:v>Mar-2024</c:v>
                </c:pt>
                <c:pt idx="81">
                  <c:v>Jun-2024</c:v>
                </c:pt>
                <c:pt idx="82">
                  <c:v>Sep-2024</c:v>
                </c:pt>
                <c:pt idx="83">
                  <c:v>Dec-2024</c:v>
                </c:pt>
                <c:pt idx="84">
                  <c:v>Mar-2025</c:v>
                </c:pt>
                <c:pt idx="85">
                  <c:v>Jun-2025</c:v>
                </c:pt>
                <c:pt idx="86">
                  <c:v>Sep-2025</c:v>
                </c:pt>
                <c:pt idx="87">
                  <c:v>Dec-2025</c:v>
                </c:pt>
                <c:pt idx="88">
                  <c:v>Mar-2026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</c:strCache>
            </c:strRef>
          </c:cat>
          <c:val>
            <c:numRef>
              <c:f>'GDP Analysis'!$F$21:$F$233</c:f>
              <c:numCache>
                <c:formatCode>#,##0;\(#,##0\);\-</c:formatCode>
                <c:ptCount val="213"/>
                <c:pt idx="0">
                  <c:v>52668.16</c:v>
                </c:pt>
                <c:pt idx="1">
                  <c:v>52818.974</c:v>
                </c:pt>
                <c:pt idx="2">
                  <c:v>54483.809</c:v>
                </c:pt>
                <c:pt idx="3">
                  <c:v>55704.211</c:v>
                </c:pt>
                <c:pt idx="4">
                  <c:v>57528.588</c:v>
                </c:pt>
                <c:pt idx="5">
                  <c:v>58964.326</c:v>
                </c:pt>
                <c:pt idx="6">
                  <c:v>59826.06</c:v>
                </c:pt>
                <c:pt idx="7">
                  <c:v>60611.905</c:v>
                </c:pt>
                <c:pt idx="8">
                  <c:v>60524.269</c:v>
                </c:pt>
                <c:pt idx="9">
                  <c:v>60706.294</c:v>
                </c:pt>
                <c:pt idx="10">
                  <c:v>61658.229</c:v>
                </c:pt>
                <c:pt idx="11">
                  <c:v>62861.894</c:v>
                </c:pt>
                <c:pt idx="12">
                  <c:v>65392.759</c:v>
                </c:pt>
                <c:pt idx="13">
                  <c:v>65948.641</c:v>
                </c:pt>
                <c:pt idx="14">
                  <c:v>66182.353</c:v>
                </c:pt>
                <c:pt idx="15">
                  <c:v>67468.668</c:v>
                </c:pt>
                <c:pt idx="16">
                  <c:v>68277.412</c:v>
                </c:pt>
                <c:pt idx="17">
                  <c:v>69644.284</c:v>
                </c:pt>
                <c:pt idx="18">
                  <c:v>70201.012</c:v>
                </c:pt>
                <c:pt idx="19">
                  <c:v>70159.29</c:v>
                </c:pt>
                <c:pt idx="20">
                  <c:v>70950.321</c:v>
                </c:pt>
                <c:pt idx="21">
                  <c:v>71924.292</c:v>
                </c:pt>
                <c:pt idx="22">
                  <c:v>74810.009</c:v>
                </c:pt>
                <c:pt idx="23">
                  <c:v>76276.492</c:v>
                </c:pt>
                <c:pt idx="24">
                  <c:v>76147.371</c:v>
                </c:pt>
                <c:pt idx="25">
                  <c:v>77531.513</c:v>
                </c:pt>
                <c:pt idx="26">
                  <c:v>76551.465</c:v>
                </c:pt>
                <c:pt idx="27">
                  <c:v>79758.041</c:v>
                </c:pt>
                <c:pt idx="28">
                  <c:v>79621.178</c:v>
                </c:pt>
                <c:pt idx="29">
                  <c:v>81079.657</c:v>
                </c:pt>
                <c:pt idx="30">
                  <c:v>81880.489</c:v>
                </c:pt>
                <c:pt idx="31">
                  <c:v>81557.755</c:v>
                </c:pt>
                <c:pt idx="32">
                  <c:v>82408.506</c:v>
                </c:pt>
                <c:pt idx="33">
                  <c:v>82764.047</c:v>
                </c:pt>
                <c:pt idx="34">
                  <c:v>84004.922</c:v>
                </c:pt>
                <c:pt idx="35">
                  <c:v>84715.909</c:v>
                </c:pt>
                <c:pt idx="36">
                  <c:v>86326.806</c:v>
                </c:pt>
                <c:pt idx="37">
                  <c:v>87404.109</c:v>
                </c:pt>
                <c:pt idx="38">
                  <c:v>87951.009</c:v>
                </c:pt>
                <c:pt idx="39">
                  <c:v>89983.227</c:v>
                </c:pt>
                <c:pt idx="40">
                  <c:v>90817.606</c:v>
                </c:pt>
                <c:pt idx="41">
                  <c:v>89305.792</c:v>
                </c:pt>
                <c:pt idx="42">
                  <c:v>90467.767</c:v>
                </c:pt>
                <c:pt idx="43">
                  <c:v>91430.632</c:v>
                </c:pt>
                <c:pt idx="44">
                  <c:v>94414.588</c:v>
                </c:pt>
                <c:pt idx="45">
                  <c:v>97682.915</c:v>
                </c:pt>
                <c:pt idx="46">
                  <c:v>97903.688</c:v>
                </c:pt>
                <c:pt idx="47">
                  <c:v>97166.662</c:v>
                </c:pt>
                <c:pt idx="48">
                  <c:v>96465.266</c:v>
                </c:pt>
                <c:pt idx="49">
                  <c:v>94350.786</c:v>
                </c:pt>
                <c:pt idx="50">
                  <c:v>96626.84</c:v>
                </c:pt>
                <c:pt idx="51">
                  <c:v>97694.747</c:v>
                </c:pt>
                <c:pt idx="52">
                  <c:v>98159.584</c:v>
                </c:pt>
                <c:pt idx="53">
                  <c:v>98371.791</c:v>
                </c:pt>
                <c:pt idx="54">
                  <c:v>99345.368</c:v>
                </c:pt>
                <c:pt idx="55">
                  <c:v>99417.455</c:v>
                </c:pt>
                <c:pt idx="56">
                  <c:v>97896.96</c:v>
                </c:pt>
                <c:pt idx="57">
                  <c:v>97128.705</c:v>
                </c:pt>
                <c:pt idx="58">
                  <c:v>97071.384</c:v>
                </c:pt>
                <c:pt idx="59">
                  <c:v>95720.517</c:v>
                </c:pt>
                <c:pt idx="60">
                  <c:v>93150.586</c:v>
                </c:pt>
                <c:pt idx="61">
                  <c:v>92357.045</c:v>
                </c:pt>
                <c:pt idx="62">
                  <c:v>89188.056</c:v>
                </c:pt>
                <c:pt idx="63">
                  <c:v>88301.058</c:v>
                </c:pt>
                <c:pt idx="64">
                  <c:v>92144.235</c:v>
                </c:pt>
                <c:pt idx="65">
                  <c:v>86851.051</c:v>
                </c:pt>
                <c:pt idx="66">
                  <c:v>87786.334</c:v>
                </c:pt>
                <c:pt idx="67">
                  <c:v>88876.884</c:v>
                </c:pt>
                <c:pt idx="68">
                  <c:v>92261.121</c:v>
                </c:pt>
                <c:pt idx="69">
                  <c:v>92611.21</c:v>
                </c:pt>
                <c:pt idx="70">
                  <c:v>96279.133</c:v>
                </c:pt>
                <c:pt idx="71">
                  <c:v>99846.23</c:v>
                </c:pt>
                <c:pt idx="72">
                  <c:v>98711.252</c:v>
                </c:pt>
                <c:pt idx="73">
                  <c:v>98068.772</c:v>
                </c:pt>
                <c:pt idx="74">
                  <c:v>97139.337</c:v>
                </c:pt>
                <c:pt idx="75">
                  <c:v>97619.282</c:v>
                </c:pt>
                <c:pt idx="76">
                  <c:v>101137.536</c:v>
                </c:pt>
                <c:pt idx="77">
                  <c:v>101754.077</c:v>
                </c:pt>
                <c:pt idx="78">
                  <c:v>100244.497</c:v>
                </c:pt>
                <c:pt idx="79">
                  <c:v>96473.037</c:v>
                </c:pt>
                <c:pt idx="80">
                  <c:v>97145.635</c:v>
                </c:pt>
                <c:pt idx="81">
                  <c:v>95665.212</c:v>
                </c:pt>
                <c:pt idx="82">
                  <c:v>95439.131</c:v>
                </c:pt>
                <c:pt idx="83">
                  <c:v>95990.896</c:v>
                </c:pt>
                <c:pt idx="84">
                  <c:v>95475.269</c:v>
                </c:pt>
                <c:pt idx="85">
                  <c:v>96672.734</c:v>
                </c:pt>
                <c:pt idx="86">
                  <c:v>96956.462</c:v>
                </c:pt>
                <c:pt idx="87">
                  <c:v>95985.853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'GDP Analysis'!G20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rgbClr val="196B24"/>
            </a:solidFill>
            <a:ln w="1260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Analysis'!$A$21:$A$233</c:f>
              <c:strCache>
                <c:ptCount val="213"/>
                <c:pt idx="0">
                  <c:v>Mar-2004</c:v>
                </c:pt>
                <c:pt idx="1">
                  <c:v>Jun-2004</c:v>
                </c:pt>
                <c:pt idx="2">
                  <c:v>Sep-2004</c:v>
                </c:pt>
                <c:pt idx="3">
                  <c:v>Dec-2004</c:v>
                </c:pt>
                <c:pt idx="4">
                  <c:v>Mar-2005</c:v>
                </c:pt>
                <c:pt idx="5">
                  <c:v>Jun-2005</c:v>
                </c:pt>
                <c:pt idx="6">
                  <c:v>Sep-2005</c:v>
                </c:pt>
                <c:pt idx="7">
                  <c:v>Dec-2005</c:v>
                </c:pt>
                <c:pt idx="8">
                  <c:v>Mar-2006</c:v>
                </c:pt>
                <c:pt idx="9">
                  <c:v>Jun-2006</c:v>
                </c:pt>
                <c:pt idx="10">
                  <c:v>Sep-2006</c:v>
                </c:pt>
                <c:pt idx="11">
                  <c:v>Dec-2006</c:v>
                </c:pt>
                <c:pt idx="12">
                  <c:v>Mar-2007</c:v>
                </c:pt>
                <c:pt idx="13">
                  <c:v>Jun-2007</c:v>
                </c:pt>
                <c:pt idx="14">
                  <c:v>Sep-2007</c:v>
                </c:pt>
                <c:pt idx="15">
                  <c:v>Dec-2007</c:v>
                </c:pt>
                <c:pt idx="16">
                  <c:v>Mar-2008</c:v>
                </c:pt>
                <c:pt idx="17">
                  <c:v>Jun-2008</c:v>
                </c:pt>
                <c:pt idx="18">
                  <c:v>Sep-2008</c:v>
                </c:pt>
                <c:pt idx="19">
                  <c:v>Dec-2008</c:v>
                </c:pt>
                <c:pt idx="20">
                  <c:v>Mar-2009</c:v>
                </c:pt>
                <c:pt idx="21">
                  <c:v>Jun-2009</c:v>
                </c:pt>
                <c:pt idx="22">
                  <c:v>Sep-2009</c:v>
                </c:pt>
                <c:pt idx="23">
                  <c:v>Dec-2009</c:v>
                </c:pt>
                <c:pt idx="24">
                  <c:v>Mar-2010</c:v>
                </c:pt>
                <c:pt idx="25">
                  <c:v>Jun-2010</c:v>
                </c:pt>
                <c:pt idx="26">
                  <c:v>Sep-2010</c:v>
                </c:pt>
                <c:pt idx="27">
                  <c:v>Dec-2010</c:v>
                </c:pt>
                <c:pt idx="28">
                  <c:v>Mar-2011</c:v>
                </c:pt>
                <c:pt idx="29">
                  <c:v>Jun-2011</c:v>
                </c:pt>
                <c:pt idx="30">
                  <c:v>Sep-2011</c:v>
                </c:pt>
                <c:pt idx="31">
                  <c:v>Dec-2011</c:v>
                </c:pt>
                <c:pt idx="32">
                  <c:v>Mar-2012</c:v>
                </c:pt>
                <c:pt idx="33">
                  <c:v>Jun-2012</c:v>
                </c:pt>
                <c:pt idx="34">
                  <c:v>Sep-2012</c:v>
                </c:pt>
                <c:pt idx="35">
                  <c:v>Dec-2012</c:v>
                </c:pt>
                <c:pt idx="36">
                  <c:v>Mar-2013</c:v>
                </c:pt>
                <c:pt idx="37">
                  <c:v>Jun-2013</c:v>
                </c:pt>
                <c:pt idx="38">
                  <c:v>Sep-2013</c:v>
                </c:pt>
                <c:pt idx="39">
                  <c:v>Dec-2013</c:v>
                </c:pt>
                <c:pt idx="40">
                  <c:v>Mar-2014</c:v>
                </c:pt>
                <c:pt idx="41">
                  <c:v>Jun-2014</c:v>
                </c:pt>
                <c:pt idx="42">
                  <c:v>Sep-2014</c:v>
                </c:pt>
                <c:pt idx="43">
                  <c:v>Dec-2014</c:v>
                </c:pt>
                <c:pt idx="44">
                  <c:v>Mar-2015</c:v>
                </c:pt>
                <c:pt idx="45">
                  <c:v>Jun-2015</c:v>
                </c:pt>
                <c:pt idx="46">
                  <c:v>Sep-2015</c:v>
                </c:pt>
                <c:pt idx="47">
                  <c:v>Dec-2015</c:v>
                </c:pt>
                <c:pt idx="48">
                  <c:v>Mar-2016</c:v>
                </c:pt>
                <c:pt idx="49">
                  <c:v>Jun-2016</c:v>
                </c:pt>
                <c:pt idx="50">
                  <c:v>Sep-2016</c:v>
                </c:pt>
                <c:pt idx="51">
                  <c:v>Dec-2016</c:v>
                </c:pt>
                <c:pt idx="52">
                  <c:v>Mar-2017</c:v>
                </c:pt>
                <c:pt idx="53">
                  <c:v>Jun-2017</c:v>
                </c:pt>
                <c:pt idx="54">
                  <c:v>Sep-2017</c:v>
                </c:pt>
                <c:pt idx="55">
                  <c:v>Dec-2017</c:v>
                </c:pt>
                <c:pt idx="56">
                  <c:v>Mar-2018</c:v>
                </c:pt>
                <c:pt idx="57">
                  <c:v>Jun-2018</c:v>
                </c:pt>
                <c:pt idx="58">
                  <c:v>Sep-2018</c:v>
                </c:pt>
                <c:pt idx="59">
                  <c:v>Dec-2018</c:v>
                </c:pt>
                <c:pt idx="60">
                  <c:v>Mar-2019</c:v>
                </c:pt>
                <c:pt idx="61">
                  <c:v>Jun-2019</c:v>
                </c:pt>
                <c:pt idx="62">
                  <c:v>Sep-2019</c:v>
                </c:pt>
                <c:pt idx="63">
                  <c:v>Dec-2019</c:v>
                </c:pt>
                <c:pt idx="64">
                  <c:v>Mar-2020</c:v>
                </c:pt>
                <c:pt idx="65">
                  <c:v>Jun-2020</c:v>
                </c:pt>
                <c:pt idx="66">
                  <c:v>Sep-2020</c:v>
                </c:pt>
                <c:pt idx="67">
                  <c:v>Dec-2020</c:v>
                </c:pt>
                <c:pt idx="68">
                  <c:v>Mar-2021</c:v>
                </c:pt>
                <c:pt idx="69">
                  <c:v>Jun-2021</c:v>
                </c:pt>
                <c:pt idx="70">
                  <c:v>Sep-2021</c:v>
                </c:pt>
                <c:pt idx="71">
                  <c:v>Dec-2021</c:v>
                </c:pt>
                <c:pt idx="72">
                  <c:v>Mar-2022</c:v>
                </c:pt>
                <c:pt idx="73">
                  <c:v>Jun-2022</c:v>
                </c:pt>
                <c:pt idx="74">
                  <c:v>Sep-2022</c:v>
                </c:pt>
                <c:pt idx="75">
                  <c:v>Dec-2022</c:v>
                </c:pt>
                <c:pt idx="76">
                  <c:v>Mar-2023</c:v>
                </c:pt>
                <c:pt idx="77">
                  <c:v>Jun-2023</c:v>
                </c:pt>
                <c:pt idx="78">
                  <c:v>Sep-2023</c:v>
                </c:pt>
                <c:pt idx="79">
                  <c:v>Dec-2023</c:v>
                </c:pt>
                <c:pt idx="80">
                  <c:v>Mar-2024</c:v>
                </c:pt>
                <c:pt idx="81">
                  <c:v>Jun-2024</c:v>
                </c:pt>
                <c:pt idx="82">
                  <c:v>Sep-2024</c:v>
                </c:pt>
                <c:pt idx="83">
                  <c:v>Dec-2024</c:v>
                </c:pt>
                <c:pt idx="84">
                  <c:v>Mar-2025</c:v>
                </c:pt>
                <c:pt idx="85">
                  <c:v>Jun-2025</c:v>
                </c:pt>
                <c:pt idx="86">
                  <c:v>Sep-2025</c:v>
                </c:pt>
                <c:pt idx="87">
                  <c:v>Dec-2025</c:v>
                </c:pt>
                <c:pt idx="88">
                  <c:v>Mar-2026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</c:strCache>
            </c:strRef>
          </c:cat>
          <c:val>
            <c:numRef>
              <c:f>'GDP Analysis'!$G$21:$G$233</c:f>
              <c:numCache>
                <c:formatCode>#,##0;\(#,##0\);\-</c:formatCode>
                <c:ptCount val="213"/>
                <c:pt idx="0">
                  <c:v>74498.627</c:v>
                </c:pt>
                <c:pt idx="1">
                  <c:v>76869.591</c:v>
                </c:pt>
                <c:pt idx="2">
                  <c:v>77809.682</c:v>
                </c:pt>
                <c:pt idx="3">
                  <c:v>79234.809</c:v>
                </c:pt>
                <c:pt idx="4">
                  <c:v>85178.716</c:v>
                </c:pt>
                <c:pt idx="5">
                  <c:v>87994.464</c:v>
                </c:pt>
                <c:pt idx="6">
                  <c:v>88235.413</c:v>
                </c:pt>
                <c:pt idx="7">
                  <c:v>95820.827</c:v>
                </c:pt>
                <c:pt idx="8">
                  <c:v>97450.782</c:v>
                </c:pt>
                <c:pt idx="9">
                  <c:v>100741.046</c:v>
                </c:pt>
                <c:pt idx="10">
                  <c:v>103927.849</c:v>
                </c:pt>
                <c:pt idx="11">
                  <c:v>106810.9</c:v>
                </c:pt>
                <c:pt idx="12">
                  <c:v>116267.521</c:v>
                </c:pt>
                <c:pt idx="13">
                  <c:v>121508.985</c:v>
                </c:pt>
                <c:pt idx="14">
                  <c:v>125653.674</c:v>
                </c:pt>
                <c:pt idx="15">
                  <c:v>129139.781</c:v>
                </c:pt>
                <c:pt idx="16">
                  <c:v>139051.967</c:v>
                </c:pt>
                <c:pt idx="17">
                  <c:v>142263.681</c:v>
                </c:pt>
                <c:pt idx="18">
                  <c:v>134229.042</c:v>
                </c:pt>
                <c:pt idx="19">
                  <c:v>119856.369</c:v>
                </c:pt>
                <c:pt idx="20">
                  <c:v>103713.597</c:v>
                </c:pt>
                <c:pt idx="21">
                  <c:v>97931.009</c:v>
                </c:pt>
                <c:pt idx="22">
                  <c:v>103383.817</c:v>
                </c:pt>
                <c:pt idx="23">
                  <c:v>109517.345</c:v>
                </c:pt>
                <c:pt idx="24">
                  <c:v>118311.455</c:v>
                </c:pt>
                <c:pt idx="25">
                  <c:v>129032.371</c:v>
                </c:pt>
                <c:pt idx="26">
                  <c:v>133774.825</c:v>
                </c:pt>
                <c:pt idx="27">
                  <c:v>142264.382</c:v>
                </c:pt>
                <c:pt idx="28">
                  <c:v>149901.36</c:v>
                </c:pt>
                <c:pt idx="29">
                  <c:v>153356.923</c:v>
                </c:pt>
                <c:pt idx="30">
                  <c:v>157856.26</c:v>
                </c:pt>
                <c:pt idx="31">
                  <c:v>153221.797</c:v>
                </c:pt>
                <c:pt idx="32">
                  <c:v>145161.638</c:v>
                </c:pt>
                <c:pt idx="33">
                  <c:v>133906.717</c:v>
                </c:pt>
                <c:pt idx="34">
                  <c:v>143391.774</c:v>
                </c:pt>
                <c:pt idx="35">
                  <c:v>148410.679</c:v>
                </c:pt>
                <c:pt idx="36">
                  <c:v>145735.999</c:v>
                </c:pt>
                <c:pt idx="37">
                  <c:v>147670.815</c:v>
                </c:pt>
                <c:pt idx="38">
                  <c:v>145972.588</c:v>
                </c:pt>
                <c:pt idx="39">
                  <c:v>144846.871</c:v>
                </c:pt>
                <c:pt idx="40">
                  <c:v>141725.869</c:v>
                </c:pt>
                <c:pt idx="41">
                  <c:v>139110.59</c:v>
                </c:pt>
                <c:pt idx="42">
                  <c:v>133831.348</c:v>
                </c:pt>
                <c:pt idx="43">
                  <c:v>130090.782</c:v>
                </c:pt>
                <c:pt idx="44">
                  <c:v>138222.156</c:v>
                </c:pt>
                <c:pt idx="45">
                  <c:v>141538.902</c:v>
                </c:pt>
                <c:pt idx="46">
                  <c:v>142906.683</c:v>
                </c:pt>
                <c:pt idx="47">
                  <c:v>140953.14</c:v>
                </c:pt>
                <c:pt idx="48">
                  <c:v>134576.01</c:v>
                </c:pt>
                <c:pt idx="49">
                  <c:v>131382.332</c:v>
                </c:pt>
                <c:pt idx="50">
                  <c:v>131200.31</c:v>
                </c:pt>
                <c:pt idx="51">
                  <c:v>133893.569</c:v>
                </c:pt>
                <c:pt idx="52">
                  <c:v>139328.965</c:v>
                </c:pt>
                <c:pt idx="53">
                  <c:v>146886.612</c:v>
                </c:pt>
                <c:pt idx="54">
                  <c:v>154564.521</c:v>
                </c:pt>
                <c:pt idx="55">
                  <c:v>161329.959</c:v>
                </c:pt>
                <c:pt idx="56">
                  <c:v>161282.846</c:v>
                </c:pt>
                <c:pt idx="57">
                  <c:v>149622.854</c:v>
                </c:pt>
                <c:pt idx="58">
                  <c:v>135904.151</c:v>
                </c:pt>
                <c:pt idx="59">
                  <c:v>120705.082</c:v>
                </c:pt>
                <c:pt idx="60">
                  <c:v>121370.452</c:v>
                </c:pt>
                <c:pt idx="61">
                  <c:v>123729.954</c:v>
                </c:pt>
                <c:pt idx="62">
                  <c:v>121548.602</c:v>
                </c:pt>
                <c:pt idx="63">
                  <c:v>110338.483</c:v>
                </c:pt>
                <c:pt idx="64">
                  <c:v>100833.016</c:v>
                </c:pt>
                <c:pt idx="65">
                  <c:v>76419.56</c:v>
                </c:pt>
                <c:pt idx="66">
                  <c:v>109863.886</c:v>
                </c:pt>
                <c:pt idx="67">
                  <c:v>127548.045</c:v>
                </c:pt>
                <c:pt idx="68">
                  <c:v>137749.855</c:v>
                </c:pt>
                <c:pt idx="69">
                  <c:v>136073.458</c:v>
                </c:pt>
                <c:pt idx="70">
                  <c:v>135003.221</c:v>
                </c:pt>
                <c:pt idx="71">
                  <c:v>146892.439</c:v>
                </c:pt>
                <c:pt idx="72">
                  <c:v>152776.131</c:v>
                </c:pt>
                <c:pt idx="73">
                  <c:v>160039.113</c:v>
                </c:pt>
                <c:pt idx="74">
                  <c:v>153059.852</c:v>
                </c:pt>
                <c:pt idx="75">
                  <c:v>147934.158</c:v>
                </c:pt>
                <c:pt idx="76">
                  <c:v>151758.998</c:v>
                </c:pt>
                <c:pt idx="77">
                  <c:v>158262.646</c:v>
                </c:pt>
                <c:pt idx="78">
                  <c:v>154251.274</c:v>
                </c:pt>
                <c:pt idx="79">
                  <c:v>137561.486</c:v>
                </c:pt>
                <c:pt idx="80">
                  <c:v>119496.49</c:v>
                </c:pt>
                <c:pt idx="81">
                  <c:v>111230.711</c:v>
                </c:pt>
                <c:pt idx="82">
                  <c:v>126850.986</c:v>
                </c:pt>
                <c:pt idx="83">
                  <c:v>140592.44</c:v>
                </c:pt>
                <c:pt idx="84">
                  <c:v>151386.434</c:v>
                </c:pt>
                <c:pt idx="85">
                  <c:v>149371.692</c:v>
                </c:pt>
                <c:pt idx="86">
                  <c:v>141434.338</c:v>
                </c:pt>
                <c:pt idx="87">
                  <c:v>137468.128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727566"/>
        <c:axId val="89753552"/>
      </c:lineChart>
      <c:catAx>
        <c:axId val="90727566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9753552"/>
        <c:crosses val="autoZero"/>
        <c:auto val="1"/>
        <c:lblAlgn val="ctr"/>
        <c:lblOffset val="100"/>
        <c:noMultiLvlLbl val="0"/>
      </c:catAx>
      <c:valAx>
        <c:axId val="8975355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90727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Real GDP (SA) — Annual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'GDP Analysis'!AF20</c:f>
              <c:strCache>
                <c:ptCount val="1"/>
                <c:pt idx="0">
                  <c:v>YoY % Real GDP (SA)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Analysis'!$V$21:$V$50</c:f>
              <c:strCache>
                <c:ptCount val="3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</c:strCache>
            </c:strRef>
          </c:cat>
          <c:val>
            <c:numRef>
              <c:f>'GDP Analysis'!$AF$21:$AF$50</c:f>
              <c:numCache>
                <c:formatCode>0.0%;\(0.0%\);\-</c:formatCode>
                <c:ptCount val="30"/>
                <c:pt idx="1">
                  <c:v>0.0885165990891521</c:v>
                </c:pt>
                <c:pt idx="2">
                  <c:v>0.080471514625555</c:v>
                </c:pt>
                <c:pt idx="3">
                  <c:v>0.0900765093954949</c:v>
                </c:pt>
                <c:pt idx="4">
                  <c:v>0.0405723308640689</c:v>
                </c:pt>
                <c:pt idx="5">
                  <c:v>-0.0591852506816634</c:v>
                </c:pt>
                <c:pt idx="6">
                  <c:v>0.101253981133778</c:v>
                </c:pt>
                <c:pt idx="7">
                  <c:v>0.0600395172397634</c:v>
                </c:pt>
                <c:pt idx="8">
                  <c:v>-0.0102642049656696</c:v>
                </c:pt>
                <c:pt idx="9">
                  <c:v>0.0240532384561629</c:v>
                </c:pt>
                <c:pt idx="10">
                  <c:v>-0.0251261531317586</c:v>
                </c:pt>
                <c:pt idx="11">
                  <c:v>0.0273115981307841</c:v>
                </c:pt>
                <c:pt idx="12">
                  <c:v>-0.020803278433456</c:v>
                </c:pt>
                <c:pt idx="13">
                  <c:v>0.0281850298423811</c:v>
                </c:pt>
                <c:pt idx="14">
                  <c:v>-0.0261739648963314</c:v>
                </c:pt>
                <c:pt idx="15">
                  <c:v>-0.0200086098165276</c:v>
                </c:pt>
                <c:pt idx="16">
                  <c:v>-0.0990048482592949</c:v>
                </c:pt>
                <c:pt idx="17">
                  <c:v>0.104418120194356</c:v>
                </c:pt>
                <c:pt idx="18">
                  <c:v>0.0602074534417305</c:v>
                </c:pt>
                <c:pt idx="19">
                  <c:v>-0.0185578803033651</c:v>
                </c:pt>
                <c:pt idx="20">
                  <c:v>-0.0134293070058577</c:v>
                </c:pt>
                <c:pt idx="21">
                  <c:v>0.0436733326563252</c:v>
                </c:pt>
              </c:numCache>
            </c:numRef>
          </c:val>
        </c:ser>
        <c:gapWidth val="150"/>
        <c:overlap val="0"/>
        <c:axId val="57337149"/>
        <c:axId val="36329178"/>
      </c:barChart>
      <c:catAx>
        <c:axId val="5733714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6329178"/>
        <c:crosses val="autoZero"/>
        <c:auto val="1"/>
        <c:lblAlgn val="ctr"/>
        <c:lblOffset val="100"/>
        <c:noMultiLvlLbl val="0"/>
      </c:catAx>
      <c:valAx>
        <c:axId val="3632917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73371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Headline CPI (level)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'CPI Analysis'!D13</c:f>
              <c:strCache>
                <c:ptCount val="1"/>
                <c:pt idx="0">
                  <c:v>Headline CPI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'CPI Analysis'!$A$14:$A$266</c:f>
              <c:strCache>
                <c:ptCount val="253"/>
                <c:pt idx="0">
                  <c:v>Jan-2015</c:v>
                </c:pt>
                <c:pt idx="1">
                  <c:v>Feb-2015</c:v>
                </c:pt>
                <c:pt idx="2">
                  <c:v>Mar-2015</c:v>
                </c:pt>
                <c:pt idx="3">
                  <c:v>Apr-2015</c:v>
                </c:pt>
                <c:pt idx="4">
                  <c:v>May-2015</c:v>
                </c:pt>
                <c:pt idx="5">
                  <c:v>Jun-2015</c:v>
                </c:pt>
                <c:pt idx="6">
                  <c:v>Jul-2015</c:v>
                </c:pt>
                <c:pt idx="7">
                  <c:v>Aug-2015</c:v>
                </c:pt>
                <c:pt idx="8">
                  <c:v>Sep-2015</c:v>
                </c:pt>
                <c:pt idx="9">
                  <c:v>Oct-2015</c:v>
                </c:pt>
                <c:pt idx="10">
                  <c:v>Nov-2015</c:v>
                </c:pt>
                <c:pt idx="11">
                  <c:v>Dec-2015</c:v>
                </c:pt>
                <c:pt idx="12">
                  <c:v>Jan-2016</c:v>
                </c:pt>
                <c:pt idx="13">
                  <c:v>Feb-2016</c:v>
                </c:pt>
                <c:pt idx="14">
                  <c:v>Mar-2016</c:v>
                </c:pt>
                <c:pt idx="15">
                  <c:v>Apr-2016</c:v>
                </c:pt>
                <c:pt idx="16">
                  <c:v>May-2016</c:v>
                </c:pt>
                <c:pt idx="17">
                  <c:v>Jun-2016</c:v>
                </c:pt>
                <c:pt idx="18">
                  <c:v>Jul-2016</c:v>
                </c:pt>
                <c:pt idx="19">
                  <c:v>Aug-2016</c:v>
                </c:pt>
                <c:pt idx="20">
                  <c:v>Sep-2016</c:v>
                </c:pt>
                <c:pt idx="21">
                  <c:v>Oct-2016</c:v>
                </c:pt>
                <c:pt idx="22">
                  <c:v>Nov-2016</c:v>
                </c:pt>
                <c:pt idx="23">
                  <c:v>Dec-2016</c:v>
                </c:pt>
                <c:pt idx="24">
                  <c:v>Jan-2017</c:v>
                </c:pt>
                <c:pt idx="25">
                  <c:v>Feb-2017</c:v>
                </c:pt>
                <c:pt idx="26">
                  <c:v>Mar-2017</c:v>
                </c:pt>
                <c:pt idx="27">
                  <c:v>Apr-2017</c:v>
                </c:pt>
                <c:pt idx="28">
                  <c:v>May-2017</c:v>
                </c:pt>
                <c:pt idx="29">
                  <c:v>Jun-2017</c:v>
                </c:pt>
                <c:pt idx="30">
                  <c:v>Jul-2017</c:v>
                </c:pt>
                <c:pt idx="31">
                  <c:v>Aug-2017</c:v>
                </c:pt>
                <c:pt idx="32">
                  <c:v>Sep-2017</c:v>
                </c:pt>
                <c:pt idx="33">
                  <c:v>Oct-2017</c:v>
                </c:pt>
                <c:pt idx="34">
                  <c:v>Nov-2017</c:v>
                </c:pt>
                <c:pt idx="35">
                  <c:v>Dec-2017</c:v>
                </c:pt>
                <c:pt idx="36">
                  <c:v>Jan-2018</c:v>
                </c:pt>
                <c:pt idx="37">
                  <c:v>Feb-2018</c:v>
                </c:pt>
                <c:pt idx="38">
                  <c:v>Mar-2018</c:v>
                </c:pt>
                <c:pt idx="39">
                  <c:v>Apr-2018</c:v>
                </c:pt>
                <c:pt idx="40">
                  <c:v>May-2018</c:v>
                </c:pt>
                <c:pt idx="41">
                  <c:v>Jun-2018</c:v>
                </c:pt>
                <c:pt idx="42">
                  <c:v>Jul-2018</c:v>
                </c:pt>
                <c:pt idx="43">
                  <c:v>Aug-2018</c:v>
                </c:pt>
                <c:pt idx="44">
                  <c:v>Sep-2018</c:v>
                </c:pt>
                <c:pt idx="45">
                  <c:v>Oct-2018</c:v>
                </c:pt>
                <c:pt idx="46">
                  <c:v>Nov-2018</c:v>
                </c:pt>
                <c:pt idx="47">
                  <c:v>Dec-2018</c:v>
                </c:pt>
                <c:pt idx="48">
                  <c:v>Jan-2019</c:v>
                </c:pt>
                <c:pt idx="49">
                  <c:v>Feb-2019</c:v>
                </c:pt>
                <c:pt idx="50">
                  <c:v>Mar-2019</c:v>
                </c:pt>
                <c:pt idx="51">
                  <c:v>Apr-2019</c:v>
                </c:pt>
                <c:pt idx="52">
                  <c:v>May-2019</c:v>
                </c:pt>
                <c:pt idx="53">
                  <c:v>Jun-2019</c:v>
                </c:pt>
                <c:pt idx="54">
                  <c:v>Jul-2019</c:v>
                </c:pt>
                <c:pt idx="55">
                  <c:v>Aug-2019</c:v>
                </c:pt>
                <c:pt idx="56">
                  <c:v>Sep-2019</c:v>
                </c:pt>
                <c:pt idx="57">
                  <c:v>Oct-2019</c:v>
                </c:pt>
                <c:pt idx="58">
                  <c:v>Nov-2019</c:v>
                </c:pt>
                <c:pt idx="59">
                  <c:v>Dec-2019</c:v>
                </c:pt>
                <c:pt idx="60">
                  <c:v>Jan-2020</c:v>
                </c:pt>
                <c:pt idx="61">
                  <c:v>Feb-2020</c:v>
                </c:pt>
                <c:pt idx="62">
                  <c:v>Mar-2020</c:v>
                </c:pt>
                <c:pt idx="63">
                  <c:v>Apr-2020</c:v>
                </c:pt>
                <c:pt idx="64">
                  <c:v>May-2020</c:v>
                </c:pt>
                <c:pt idx="65">
                  <c:v>Jun-2020</c:v>
                </c:pt>
                <c:pt idx="66">
                  <c:v>Jul-2020</c:v>
                </c:pt>
                <c:pt idx="67">
                  <c:v>Aug-2020</c:v>
                </c:pt>
                <c:pt idx="68">
                  <c:v>Sep-2020</c:v>
                </c:pt>
                <c:pt idx="69">
                  <c:v>Oct-2020</c:v>
                </c:pt>
                <c:pt idx="70">
                  <c:v>Nov-2020</c:v>
                </c:pt>
                <c:pt idx="71">
                  <c:v>Dec-2020</c:v>
                </c:pt>
                <c:pt idx="72">
                  <c:v>Jan-2021</c:v>
                </c:pt>
                <c:pt idx="73">
                  <c:v>Feb-2021</c:v>
                </c:pt>
                <c:pt idx="74">
                  <c:v>Mar-2021</c:v>
                </c:pt>
                <c:pt idx="75">
                  <c:v>Apr-2021</c:v>
                </c:pt>
                <c:pt idx="76">
                  <c:v>May-2021</c:v>
                </c:pt>
                <c:pt idx="77">
                  <c:v>Jun-2021</c:v>
                </c:pt>
                <c:pt idx="78">
                  <c:v>Jul-2021</c:v>
                </c:pt>
                <c:pt idx="79">
                  <c:v>Aug-2021</c:v>
                </c:pt>
                <c:pt idx="80">
                  <c:v>Sep-2021</c:v>
                </c:pt>
                <c:pt idx="81">
                  <c:v>Oct-2021</c:v>
                </c:pt>
                <c:pt idx="82">
                  <c:v>Nov-2021</c:v>
                </c:pt>
                <c:pt idx="83">
                  <c:v>Dec-2021</c:v>
                </c:pt>
                <c:pt idx="84">
                  <c:v>Jan-2022</c:v>
                </c:pt>
                <c:pt idx="85">
                  <c:v>Feb-2022</c:v>
                </c:pt>
                <c:pt idx="86">
                  <c:v>Mar-2022</c:v>
                </c:pt>
                <c:pt idx="87">
                  <c:v>Apr-2022</c:v>
                </c:pt>
                <c:pt idx="88">
                  <c:v>May-2022</c:v>
                </c:pt>
                <c:pt idx="89">
                  <c:v>Jun-2022</c:v>
                </c:pt>
                <c:pt idx="90">
                  <c:v>Jul-2022</c:v>
                </c:pt>
                <c:pt idx="91">
                  <c:v>Aug-2022</c:v>
                </c:pt>
                <c:pt idx="92">
                  <c:v>Sep-2022</c:v>
                </c:pt>
                <c:pt idx="93">
                  <c:v>Oct-2022</c:v>
                </c:pt>
                <c:pt idx="94">
                  <c:v>Nov-2022</c:v>
                </c:pt>
                <c:pt idx="95">
                  <c:v>Dec-2022</c:v>
                </c:pt>
                <c:pt idx="96">
                  <c:v>Jan-2023</c:v>
                </c:pt>
                <c:pt idx="97">
                  <c:v>Feb-2023</c:v>
                </c:pt>
                <c:pt idx="98">
                  <c:v>Mar-2023</c:v>
                </c:pt>
                <c:pt idx="99">
                  <c:v>Apr-2023</c:v>
                </c:pt>
                <c:pt idx="100">
                  <c:v>May-2023</c:v>
                </c:pt>
                <c:pt idx="101">
                  <c:v>Jun-2023</c:v>
                </c:pt>
                <c:pt idx="102">
                  <c:v>Jul-2023</c:v>
                </c:pt>
                <c:pt idx="103">
                  <c:v>Aug-2023</c:v>
                </c:pt>
                <c:pt idx="104">
                  <c:v>Sep-2023</c:v>
                </c:pt>
                <c:pt idx="105">
                  <c:v>Oct-2023</c:v>
                </c:pt>
                <c:pt idx="106">
                  <c:v>Nov-2023</c:v>
                </c:pt>
                <c:pt idx="107">
                  <c:v>Dec-2023</c:v>
                </c:pt>
                <c:pt idx="108">
                  <c:v>Jan-2024</c:v>
                </c:pt>
                <c:pt idx="109">
                  <c:v>Feb-2024</c:v>
                </c:pt>
                <c:pt idx="110">
                  <c:v>Mar-2024</c:v>
                </c:pt>
                <c:pt idx="111">
                  <c:v>Apr-2024</c:v>
                </c:pt>
                <c:pt idx="112">
                  <c:v>May-2024</c:v>
                </c:pt>
                <c:pt idx="113">
                  <c:v>Jun-2024</c:v>
                </c:pt>
                <c:pt idx="114">
                  <c:v>Jul-2024</c:v>
                </c:pt>
                <c:pt idx="115">
                  <c:v>Aug-2024</c:v>
                </c:pt>
                <c:pt idx="116">
                  <c:v>Sep-2024</c:v>
                </c:pt>
                <c:pt idx="117">
                  <c:v>Oct-2024</c:v>
                </c:pt>
                <c:pt idx="118">
                  <c:v>Nov-2024</c:v>
                </c:pt>
                <c:pt idx="119">
                  <c:v>Dec-2024</c:v>
                </c:pt>
                <c:pt idx="120">
                  <c:v>Jan-2025</c:v>
                </c:pt>
                <c:pt idx="121">
                  <c:v>Feb-2025</c:v>
                </c:pt>
                <c:pt idx="122">
                  <c:v>Mar-2025</c:v>
                </c:pt>
                <c:pt idx="123">
                  <c:v>Apr-2025</c:v>
                </c:pt>
                <c:pt idx="124">
                  <c:v>May-2025</c:v>
                </c:pt>
                <c:pt idx="125">
                  <c:v>Jun-2025</c:v>
                </c:pt>
                <c:pt idx="126">
                  <c:v>Jul-2025</c:v>
                </c:pt>
                <c:pt idx="127">
                  <c:v>Aug-2025</c:v>
                </c:pt>
                <c:pt idx="128">
                  <c:v>Sep-2025</c:v>
                </c:pt>
                <c:pt idx="129">
                  <c:v>Oct-2025</c:v>
                </c:pt>
                <c:pt idx="130">
                  <c:v>Nov-2025</c:v>
                </c:pt>
                <c:pt idx="131">
                  <c:v>Dec-2025</c:v>
                </c:pt>
                <c:pt idx="132">
                  <c:v>Jan-2026</c:v>
                </c:pt>
                <c:pt idx="133">
                  <c:v>Feb-2026</c:v>
                </c:pt>
                <c:pt idx="134">
                  <c:v>Mar-2026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</c:strCache>
            </c:strRef>
          </c:cat>
          <c:val>
            <c:numRef>
              <c:f>'CPI Analysis'!$D$14:$D$266</c:f>
              <c:numCache>
                <c:formatCode>#,##0;\(#,##0\);\-</c:formatCode>
                <c:ptCount val="253"/>
                <c:pt idx="0">
                  <c:v>56.9509</c:v>
                </c:pt>
                <c:pt idx="1">
                  <c:v>57.7781</c:v>
                </c:pt>
                <c:pt idx="2">
                  <c:v>58.7385</c:v>
                </c:pt>
                <c:pt idx="3">
                  <c:v>60.1294</c:v>
                </c:pt>
                <c:pt idx="4">
                  <c:v>61.4604</c:v>
                </c:pt>
                <c:pt idx="5">
                  <c:v>62.2902</c:v>
                </c:pt>
                <c:pt idx="6">
                  <c:v>63.5612</c:v>
                </c:pt>
                <c:pt idx="7">
                  <c:v>64.7251</c:v>
                </c:pt>
                <c:pt idx="8">
                  <c:v>65.7976</c:v>
                </c:pt>
                <c:pt idx="9">
                  <c:v>66.9172</c:v>
                </c:pt>
                <c:pt idx="10">
                  <c:v>68.2246</c:v>
                </c:pt>
                <c:pt idx="11">
                  <c:v>70.8969</c:v>
                </c:pt>
                <c:pt idx="12">
                  <c:v>73.8302</c:v>
                </c:pt>
                <c:pt idx="13">
                  <c:v>76.7609</c:v>
                </c:pt>
                <c:pt idx="14">
                  <c:v>79.3079</c:v>
                </c:pt>
                <c:pt idx="15">
                  <c:v>84.4986</c:v>
                </c:pt>
                <c:pt idx="16">
                  <c:v>88.7523</c:v>
                </c:pt>
                <c:pt idx="17">
                  <c:v>91.6125</c:v>
                </c:pt>
                <c:pt idx="18">
                  <c:v>93.588</c:v>
                </c:pt>
                <c:pt idx="19">
                  <c:v>92.8782</c:v>
                </c:pt>
                <c:pt idx="20">
                  <c:v>94.1256</c:v>
                </c:pt>
                <c:pt idx="21">
                  <c:v>96.8553</c:v>
                </c:pt>
                <c:pt idx="22">
                  <c:v>98.7735</c:v>
                </c:pt>
                <c:pt idx="23">
                  <c:v>100</c:v>
                </c:pt>
                <c:pt idx="24">
                  <c:v>101.5859</c:v>
                </c:pt>
                <c:pt idx="25">
                  <c:v>103.6859</c:v>
                </c:pt>
                <c:pt idx="26">
                  <c:v>106.1476</c:v>
                </c:pt>
                <c:pt idx="27">
                  <c:v>108.9667</c:v>
                </c:pt>
                <c:pt idx="28">
                  <c:v>110.5301</c:v>
                </c:pt>
                <c:pt idx="29">
                  <c:v>111.8477</c:v>
                </c:pt>
                <c:pt idx="30">
                  <c:v>113.7852</c:v>
                </c:pt>
                <c:pt idx="31">
                  <c:v>115.3819</c:v>
                </c:pt>
                <c:pt idx="32">
                  <c:v>117.5719</c:v>
                </c:pt>
                <c:pt idx="33">
                  <c:v>119.3528</c:v>
                </c:pt>
                <c:pt idx="34">
                  <c:v>120.994</c:v>
                </c:pt>
                <c:pt idx="35">
                  <c:v>124.7956</c:v>
                </c:pt>
                <c:pt idx="36">
                  <c:v>126.9887</c:v>
                </c:pt>
                <c:pt idx="37">
                  <c:v>130.0606</c:v>
                </c:pt>
                <c:pt idx="38">
                  <c:v>133.1054</c:v>
                </c:pt>
                <c:pt idx="39">
                  <c:v>136.7512</c:v>
                </c:pt>
                <c:pt idx="40">
                  <c:v>139.5893</c:v>
                </c:pt>
                <c:pt idx="41">
                  <c:v>144.8053</c:v>
                </c:pt>
                <c:pt idx="42">
                  <c:v>149.2966</c:v>
                </c:pt>
                <c:pt idx="43">
                  <c:v>155.1034</c:v>
                </c:pt>
                <c:pt idx="44">
                  <c:v>165.2383</c:v>
                </c:pt>
                <c:pt idx="45">
                  <c:v>174.1473</c:v>
                </c:pt>
                <c:pt idx="46">
                  <c:v>179.6388</c:v>
                </c:pt>
                <c:pt idx="47">
                  <c:v>184.2552</c:v>
                </c:pt>
                <c:pt idx="48">
                  <c:v>189.6101</c:v>
                </c:pt>
                <c:pt idx="49">
                  <c:v>196.7501</c:v>
                </c:pt>
                <c:pt idx="50">
                  <c:v>205.9571</c:v>
                </c:pt>
                <c:pt idx="51">
                  <c:v>213.0517</c:v>
                </c:pt>
                <c:pt idx="52">
                  <c:v>219.5691</c:v>
                </c:pt>
                <c:pt idx="53">
                  <c:v>225.537</c:v>
                </c:pt>
                <c:pt idx="54">
                  <c:v>230.494</c:v>
                </c:pt>
                <c:pt idx="55">
                  <c:v>239.6077</c:v>
                </c:pt>
                <c:pt idx="56">
                  <c:v>253.7102</c:v>
                </c:pt>
                <c:pt idx="57">
                  <c:v>262.0661</c:v>
                </c:pt>
                <c:pt idx="58">
                  <c:v>273.2158</c:v>
                </c:pt>
                <c:pt idx="59">
                  <c:v>283.4442</c:v>
                </c:pt>
                <c:pt idx="60">
                  <c:v>289.8299</c:v>
                </c:pt>
                <c:pt idx="61">
                  <c:v>295.666</c:v>
                </c:pt>
                <c:pt idx="62">
                  <c:v>305.5515</c:v>
                </c:pt>
                <c:pt idx="63">
                  <c:v>310.1243</c:v>
                </c:pt>
                <c:pt idx="64">
                  <c:v>314.9087</c:v>
                </c:pt>
                <c:pt idx="65">
                  <c:v>321.9738</c:v>
                </c:pt>
                <c:pt idx="66">
                  <c:v>328.2014</c:v>
                </c:pt>
                <c:pt idx="67">
                  <c:v>337.0632</c:v>
                </c:pt>
                <c:pt idx="68">
                  <c:v>346.6207</c:v>
                </c:pt>
                <c:pt idx="69">
                  <c:v>359.657</c:v>
                </c:pt>
                <c:pt idx="70">
                  <c:v>371.0211</c:v>
                </c:pt>
                <c:pt idx="71">
                  <c:v>385.8826</c:v>
                </c:pt>
                <c:pt idx="72">
                  <c:v>401.5071</c:v>
                </c:pt>
                <c:pt idx="73">
                  <c:v>415.8595</c:v>
                </c:pt>
                <c:pt idx="74">
                  <c:v>435.8657</c:v>
                </c:pt>
                <c:pt idx="75">
                  <c:v>453.6503</c:v>
                </c:pt>
                <c:pt idx="76">
                  <c:v>468.725</c:v>
                </c:pt>
                <c:pt idx="77">
                  <c:v>483.6049</c:v>
                </c:pt>
                <c:pt idx="78">
                  <c:v>498.0987</c:v>
                </c:pt>
                <c:pt idx="79">
                  <c:v>510.3942</c:v>
                </c:pt>
                <c:pt idx="80">
                  <c:v>528.4968</c:v>
                </c:pt>
                <c:pt idx="81">
                  <c:v>547.0802</c:v>
                </c:pt>
                <c:pt idx="82">
                  <c:v>560.9184</c:v>
                </c:pt>
                <c:pt idx="83">
                  <c:v>582.4575</c:v>
                </c:pt>
                <c:pt idx="84">
                  <c:v>605.0317</c:v>
                </c:pt>
                <c:pt idx="85">
                  <c:v>633.4341</c:v>
                </c:pt>
                <c:pt idx="86">
                  <c:v>676.0566</c:v>
                </c:pt>
                <c:pt idx="87">
                  <c:v>716.9399</c:v>
                </c:pt>
                <c:pt idx="88">
                  <c:v>753.147</c:v>
                </c:pt>
                <c:pt idx="89">
                  <c:v>793.0278</c:v>
                </c:pt>
                <c:pt idx="90">
                  <c:v>851.761</c:v>
                </c:pt>
                <c:pt idx="91">
                  <c:v>911.1316</c:v>
                </c:pt>
                <c:pt idx="92">
                  <c:v>967.3076</c:v>
                </c:pt>
                <c:pt idx="93">
                  <c:v>1028.706</c:v>
                </c:pt>
                <c:pt idx="94">
                  <c:v>1079.2787</c:v>
                </c:pt>
                <c:pt idx="95">
                  <c:v>1134.5875</c:v>
                </c:pt>
                <c:pt idx="96">
                  <c:v>1202.979</c:v>
                </c:pt>
                <c:pt idx="97">
                  <c:v>1282.7091</c:v>
                </c:pt>
                <c:pt idx="98">
                  <c:v>1381.1601</c:v>
                </c:pt>
                <c:pt idx="99">
                  <c:v>1497.2147</c:v>
                </c:pt>
                <c:pt idx="100">
                  <c:v>1613.5895</c:v>
                </c:pt>
                <c:pt idx="101">
                  <c:v>1709.6115</c:v>
                </c:pt>
                <c:pt idx="102">
                  <c:v>1818.0838</c:v>
                </c:pt>
                <c:pt idx="103">
                  <c:v>2044.2832</c:v>
                </c:pt>
                <c:pt idx="104">
                  <c:v>2304.9242</c:v>
                </c:pt>
                <c:pt idx="105">
                  <c:v>2496.273</c:v>
                </c:pt>
                <c:pt idx="106">
                  <c:v>2816.0628</c:v>
                </c:pt>
                <c:pt idx="107">
                  <c:v>3533.1922</c:v>
                </c:pt>
                <c:pt idx="108">
                  <c:v>4261.5324</c:v>
                </c:pt>
                <c:pt idx="109">
                  <c:v>4825.7881</c:v>
                </c:pt>
                <c:pt idx="110">
                  <c:v>5357.0929</c:v>
                </c:pt>
                <c:pt idx="111">
                  <c:v>5830.2271</c:v>
                </c:pt>
                <c:pt idx="112">
                  <c:v>6073.7165</c:v>
                </c:pt>
                <c:pt idx="113">
                  <c:v>6351.7145</c:v>
                </c:pt>
                <c:pt idx="114">
                  <c:v>6607.7479</c:v>
                </c:pt>
                <c:pt idx="115">
                  <c:v>6883.4412</c:v>
                </c:pt>
                <c:pt idx="116">
                  <c:v>7122.2421</c:v>
                </c:pt>
                <c:pt idx="117">
                  <c:v>7313.9542</c:v>
                </c:pt>
                <c:pt idx="118">
                  <c:v>7491.4314</c:v>
                </c:pt>
                <c:pt idx="119">
                  <c:v>7694.0075</c:v>
                </c:pt>
                <c:pt idx="120">
                  <c:v>7864.1257</c:v>
                </c:pt>
                <c:pt idx="121">
                  <c:v>8052.9927</c:v>
                </c:pt>
                <c:pt idx="122">
                  <c:v>8353.3158</c:v>
                </c:pt>
                <c:pt idx="123">
                  <c:v>8585.6078</c:v>
                </c:pt>
                <c:pt idx="124">
                  <c:v>8714.4871</c:v>
                </c:pt>
                <c:pt idx="125">
                  <c:v>8855.5681</c:v>
                </c:pt>
                <c:pt idx="126">
                  <c:v>9023.973</c:v>
                </c:pt>
                <c:pt idx="127">
                  <c:v>9193.2441</c:v>
                </c:pt>
                <c:pt idx="128">
                  <c:v>9384.0922</c:v>
                </c:pt>
                <c:pt idx="129">
                  <c:v>9603.8623</c:v>
                </c:pt>
                <c:pt idx="130">
                  <c:v>9841.3581</c:v>
                </c:pt>
                <c:pt idx="131">
                  <c:v>10121.3715</c:v>
                </c:pt>
                <c:pt idx="132">
                  <c:v>10413.0309</c:v>
                </c:pt>
                <c:pt idx="133">
                  <c:v>10714.6255</c:v>
                </c:pt>
                <c:pt idx="134">
                  <c:v>11077.0608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828378"/>
        <c:axId val="70224998"/>
      </c:lineChart>
      <c:catAx>
        <c:axId val="59828378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0224998"/>
        <c:crosses val="autoZero"/>
        <c:auto val="1"/>
        <c:lblAlgn val="ctr"/>
        <c:lblOffset val="100"/>
        <c:noMultiLvlLbl val="0"/>
      </c:catAx>
      <c:valAx>
        <c:axId val="7022499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98283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Headline CPI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'CPI Analysis'!F13</c:f>
              <c:strCache>
                <c:ptCount val="1"/>
                <c:pt idx="0">
                  <c:v>YoY % Headline CPI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'CPI Analysis'!$A$14:$A$266</c:f>
              <c:strCache>
                <c:ptCount val="253"/>
                <c:pt idx="0">
                  <c:v>Jan-2015</c:v>
                </c:pt>
                <c:pt idx="1">
                  <c:v>Feb-2015</c:v>
                </c:pt>
                <c:pt idx="2">
                  <c:v>Mar-2015</c:v>
                </c:pt>
                <c:pt idx="3">
                  <c:v>Apr-2015</c:v>
                </c:pt>
                <c:pt idx="4">
                  <c:v>May-2015</c:v>
                </c:pt>
                <c:pt idx="5">
                  <c:v>Jun-2015</c:v>
                </c:pt>
                <c:pt idx="6">
                  <c:v>Jul-2015</c:v>
                </c:pt>
                <c:pt idx="7">
                  <c:v>Aug-2015</c:v>
                </c:pt>
                <c:pt idx="8">
                  <c:v>Sep-2015</c:v>
                </c:pt>
                <c:pt idx="9">
                  <c:v>Oct-2015</c:v>
                </c:pt>
                <c:pt idx="10">
                  <c:v>Nov-2015</c:v>
                </c:pt>
                <c:pt idx="11">
                  <c:v>Dec-2015</c:v>
                </c:pt>
                <c:pt idx="12">
                  <c:v>Jan-2016</c:v>
                </c:pt>
                <c:pt idx="13">
                  <c:v>Feb-2016</c:v>
                </c:pt>
                <c:pt idx="14">
                  <c:v>Mar-2016</c:v>
                </c:pt>
                <c:pt idx="15">
                  <c:v>Apr-2016</c:v>
                </c:pt>
                <c:pt idx="16">
                  <c:v>May-2016</c:v>
                </c:pt>
                <c:pt idx="17">
                  <c:v>Jun-2016</c:v>
                </c:pt>
                <c:pt idx="18">
                  <c:v>Jul-2016</c:v>
                </c:pt>
                <c:pt idx="19">
                  <c:v>Aug-2016</c:v>
                </c:pt>
                <c:pt idx="20">
                  <c:v>Sep-2016</c:v>
                </c:pt>
                <c:pt idx="21">
                  <c:v>Oct-2016</c:v>
                </c:pt>
                <c:pt idx="22">
                  <c:v>Nov-2016</c:v>
                </c:pt>
                <c:pt idx="23">
                  <c:v>Dec-2016</c:v>
                </c:pt>
                <c:pt idx="24">
                  <c:v>Jan-2017</c:v>
                </c:pt>
                <c:pt idx="25">
                  <c:v>Feb-2017</c:v>
                </c:pt>
                <c:pt idx="26">
                  <c:v>Mar-2017</c:v>
                </c:pt>
                <c:pt idx="27">
                  <c:v>Apr-2017</c:v>
                </c:pt>
                <c:pt idx="28">
                  <c:v>May-2017</c:v>
                </c:pt>
                <c:pt idx="29">
                  <c:v>Jun-2017</c:v>
                </c:pt>
                <c:pt idx="30">
                  <c:v>Jul-2017</c:v>
                </c:pt>
                <c:pt idx="31">
                  <c:v>Aug-2017</c:v>
                </c:pt>
                <c:pt idx="32">
                  <c:v>Sep-2017</c:v>
                </c:pt>
                <c:pt idx="33">
                  <c:v>Oct-2017</c:v>
                </c:pt>
                <c:pt idx="34">
                  <c:v>Nov-2017</c:v>
                </c:pt>
                <c:pt idx="35">
                  <c:v>Dec-2017</c:v>
                </c:pt>
                <c:pt idx="36">
                  <c:v>Jan-2018</c:v>
                </c:pt>
                <c:pt idx="37">
                  <c:v>Feb-2018</c:v>
                </c:pt>
                <c:pt idx="38">
                  <c:v>Mar-2018</c:v>
                </c:pt>
                <c:pt idx="39">
                  <c:v>Apr-2018</c:v>
                </c:pt>
                <c:pt idx="40">
                  <c:v>May-2018</c:v>
                </c:pt>
                <c:pt idx="41">
                  <c:v>Jun-2018</c:v>
                </c:pt>
                <c:pt idx="42">
                  <c:v>Jul-2018</c:v>
                </c:pt>
                <c:pt idx="43">
                  <c:v>Aug-2018</c:v>
                </c:pt>
                <c:pt idx="44">
                  <c:v>Sep-2018</c:v>
                </c:pt>
                <c:pt idx="45">
                  <c:v>Oct-2018</c:v>
                </c:pt>
                <c:pt idx="46">
                  <c:v>Nov-2018</c:v>
                </c:pt>
                <c:pt idx="47">
                  <c:v>Dec-2018</c:v>
                </c:pt>
                <c:pt idx="48">
                  <c:v>Jan-2019</c:v>
                </c:pt>
                <c:pt idx="49">
                  <c:v>Feb-2019</c:v>
                </c:pt>
                <c:pt idx="50">
                  <c:v>Mar-2019</c:v>
                </c:pt>
                <c:pt idx="51">
                  <c:v>Apr-2019</c:v>
                </c:pt>
                <c:pt idx="52">
                  <c:v>May-2019</c:v>
                </c:pt>
                <c:pt idx="53">
                  <c:v>Jun-2019</c:v>
                </c:pt>
                <c:pt idx="54">
                  <c:v>Jul-2019</c:v>
                </c:pt>
                <c:pt idx="55">
                  <c:v>Aug-2019</c:v>
                </c:pt>
                <c:pt idx="56">
                  <c:v>Sep-2019</c:v>
                </c:pt>
                <c:pt idx="57">
                  <c:v>Oct-2019</c:v>
                </c:pt>
                <c:pt idx="58">
                  <c:v>Nov-2019</c:v>
                </c:pt>
                <c:pt idx="59">
                  <c:v>Dec-2019</c:v>
                </c:pt>
                <c:pt idx="60">
                  <c:v>Jan-2020</c:v>
                </c:pt>
                <c:pt idx="61">
                  <c:v>Feb-2020</c:v>
                </c:pt>
                <c:pt idx="62">
                  <c:v>Mar-2020</c:v>
                </c:pt>
                <c:pt idx="63">
                  <c:v>Apr-2020</c:v>
                </c:pt>
                <c:pt idx="64">
                  <c:v>May-2020</c:v>
                </c:pt>
                <c:pt idx="65">
                  <c:v>Jun-2020</c:v>
                </c:pt>
                <c:pt idx="66">
                  <c:v>Jul-2020</c:v>
                </c:pt>
                <c:pt idx="67">
                  <c:v>Aug-2020</c:v>
                </c:pt>
                <c:pt idx="68">
                  <c:v>Sep-2020</c:v>
                </c:pt>
                <c:pt idx="69">
                  <c:v>Oct-2020</c:v>
                </c:pt>
                <c:pt idx="70">
                  <c:v>Nov-2020</c:v>
                </c:pt>
                <c:pt idx="71">
                  <c:v>Dec-2020</c:v>
                </c:pt>
                <c:pt idx="72">
                  <c:v>Jan-2021</c:v>
                </c:pt>
                <c:pt idx="73">
                  <c:v>Feb-2021</c:v>
                </c:pt>
                <c:pt idx="74">
                  <c:v>Mar-2021</c:v>
                </c:pt>
                <c:pt idx="75">
                  <c:v>Apr-2021</c:v>
                </c:pt>
                <c:pt idx="76">
                  <c:v>May-2021</c:v>
                </c:pt>
                <c:pt idx="77">
                  <c:v>Jun-2021</c:v>
                </c:pt>
                <c:pt idx="78">
                  <c:v>Jul-2021</c:v>
                </c:pt>
                <c:pt idx="79">
                  <c:v>Aug-2021</c:v>
                </c:pt>
                <c:pt idx="80">
                  <c:v>Sep-2021</c:v>
                </c:pt>
                <c:pt idx="81">
                  <c:v>Oct-2021</c:v>
                </c:pt>
                <c:pt idx="82">
                  <c:v>Nov-2021</c:v>
                </c:pt>
                <c:pt idx="83">
                  <c:v>Dec-2021</c:v>
                </c:pt>
                <c:pt idx="84">
                  <c:v>Jan-2022</c:v>
                </c:pt>
                <c:pt idx="85">
                  <c:v>Feb-2022</c:v>
                </c:pt>
                <c:pt idx="86">
                  <c:v>Mar-2022</c:v>
                </c:pt>
                <c:pt idx="87">
                  <c:v>Apr-2022</c:v>
                </c:pt>
                <c:pt idx="88">
                  <c:v>May-2022</c:v>
                </c:pt>
                <c:pt idx="89">
                  <c:v>Jun-2022</c:v>
                </c:pt>
                <c:pt idx="90">
                  <c:v>Jul-2022</c:v>
                </c:pt>
                <c:pt idx="91">
                  <c:v>Aug-2022</c:v>
                </c:pt>
                <c:pt idx="92">
                  <c:v>Sep-2022</c:v>
                </c:pt>
                <c:pt idx="93">
                  <c:v>Oct-2022</c:v>
                </c:pt>
                <c:pt idx="94">
                  <c:v>Nov-2022</c:v>
                </c:pt>
                <c:pt idx="95">
                  <c:v>Dec-2022</c:v>
                </c:pt>
                <c:pt idx="96">
                  <c:v>Jan-2023</c:v>
                </c:pt>
                <c:pt idx="97">
                  <c:v>Feb-2023</c:v>
                </c:pt>
                <c:pt idx="98">
                  <c:v>Mar-2023</c:v>
                </c:pt>
                <c:pt idx="99">
                  <c:v>Apr-2023</c:v>
                </c:pt>
                <c:pt idx="100">
                  <c:v>May-2023</c:v>
                </c:pt>
                <c:pt idx="101">
                  <c:v>Jun-2023</c:v>
                </c:pt>
                <c:pt idx="102">
                  <c:v>Jul-2023</c:v>
                </c:pt>
                <c:pt idx="103">
                  <c:v>Aug-2023</c:v>
                </c:pt>
                <c:pt idx="104">
                  <c:v>Sep-2023</c:v>
                </c:pt>
                <c:pt idx="105">
                  <c:v>Oct-2023</c:v>
                </c:pt>
                <c:pt idx="106">
                  <c:v>Nov-2023</c:v>
                </c:pt>
                <c:pt idx="107">
                  <c:v>Dec-2023</c:v>
                </c:pt>
                <c:pt idx="108">
                  <c:v>Jan-2024</c:v>
                </c:pt>
                <c:pt idx="109">
                  <c:v>Feb-2024</c:v>
                </c:pt>
                <c:pt idx="110">
                  <c:v>Mar-2024</c:v>
                </c:pt>
                <c:pt idx="111">
                  <c:v>Apr-2024</c:v>
                </c:pt>
                <c:pt idx="112">
                  <c:v>May-2024</c:v>
                </c:pt>
                <c:pt idx="113">
                  <c:v>Jun-2024</c:v>
                </c:pt>
                <c:pt idx="114">
                  <c:v>Jul-2024</c:v>
                </c:pt>
                <c:pt idx="115">
                  <c:v>Aug-2024</c:v>
                </c:pt>
                <c:pt idx="116">
                  <c:v>Sep-2024</c:v>
                </c:pt>
                <c:pt idx="117">
                  <c:v>Oct-2024</c:v>
                </c:pt>
                <c:pt idx="118">
                  <c:v>Nov-2024</c:v>
                </c:pt>
                <c:pt idx="119">
                  <c:v>Dec-2024</c:v>
                </c:pt>
                <c:pt idx="120">
                  <c:v>Jan-2025</c:v>
                </c:pt>
                <c:pt idx="121">
                  <c:v>Feb-2025</c:v>
                </c:pt>
                <c:pt idx="122">
                  <c:v>Mar-2025</c:v>
                </c:pt>
                <c:pt idx="123">
                  <c:v>Apr-2025</c:v>
                </c:pt>
                <c:pt idx="124">
                  <c:v>May-2025</c:v>
                </c:pt>
                <c:pt idx="125">
                  <c:v>Jun-2025</c:v>
                </c:pt>
                <c:pt idx="126">
                  <c:v>Jul-2025</c:v>
                </c:pt>
                <c:pt idx="127">
                  <c:v>Aug-2025</c:v>
                </c:pt>
                <c:pt idx="128">
                  <c:v>Sep-2025</c:v>
                </c:pt>
                <c:pt idx="129">
                  <c:v>Oct-2025</c:v>
                </c:pt>
                <c:pt idx="130">
                  <c:v>Nov-2025</c:v>
                </c:pt>
                <c:pt idx="131">
                  <c:v>Dec-2025</c:v>
                </c:pt>
                <c:pt idx="132">
                  <c:v>Jan-2026</c:v>
                </c:pt>
                <c:pt idx="133">
                  <c:v>Feb-2026</c:v>
                </c:pt>
                <c:pt idx="134">
                  <c:v>Mar-2026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</c:strCache>
            </c:strRef>
          </c:cat>
          <c:val>
            <c:numRef>
              <c:f>'CPI Analysis'!$F$14:$F$266</c:f>
              <c:numCache>
                <c:formatCode>0.0%;\(0.0%\);\-</c:formatCode>
                <c:ptCount val="253"/>
                <c:pt idx="12">
                  <c:v>0.296383375855342</c:v>
                </c:pt>
                <c:pt idx="13">
                  <c:v>0.328546629259183</c:v>
                </c:pt>
                <c:pt idx="14">
                  <c:v>0.350185993854116</c:v>
                </c:pt>
                <c:pt idx="15">
                  <c:v>0.405279281017273</c:v>
                </c:pt>
                <c:pt idx="16">
                  <c:v>0.444056660874319</c:v>
                </c:pt>
                <c:pt idx="17">
                  <c:v>0.470736969860428</c:v>
                </c:pt>
                <c:pt idx="18">
                  <c:v>0.472407695260631</c:v>
                </c:pt>
                <c:pt idx="19">
                  <c:v>0.434964179275119</c:v>
                </c:pt>
                <c:pt idx="20">
                  <c:v>0.430532420635403</c:v>
                </c:pt>
                <c:pt idx="21">
                  <c:v>0.44739020759984</c:v>
                </c:pt>
                <c:pt idx="22">
                  <c:v>0.447769572852021</c:v>
                </c:pt>
                <c:pt idx="23">
                  <c:v>0.410498907568596</c:v>
                </c:pt>
                <c:pt idx="24">
                  <c:v>0.375939656129876</c:v>
                </c:pt>
                <c:pt idx="25">
                  <c:v>0.350764516830834</c:v>
                </c:pt>
                <c:pt idx="26">
                  <c:v>0.338424040984568</c:v>
                </c:pt>
                <c:pt idx="27">
                  <c:v>0.289568111187641</c:v>
                </c:pt>
                <c:pt idx="28">
                  <c:v>0.245377302898066</c:v>
                </c:pt>
                <c:pt idx="29">
                  <c:v>0.220878155273571</c:v>
                </c:pt>
                <c:pt idx="30">
                  <c:v>0.215809719194769</c:v>
                </c:pt>
                <c:pt idx="31">
                  <c:v>0.242292593956386</c:v>
                </c:pt>
                <c:pt idx="32">
                  <c:v>0.249095888897388</c:v>
                </c:pt>
                <c:pt idx="33">
                  <c:v>0.232279493223396</c:v>
                </c:pt>
                <c:pt idx="34">
                  <c:v>0.224964185738078</c:v>
                </c:pt>
                <c:pt idx="35">
                  <c:v>0.247956</c:v>
                </c:pt>
                <c:pt idx="36">
                  <c:v>0.250062262577779</c:v>
                </c:pt>
                <c:pt idx="37">
                  <c:v>0.254371134358674</c:v>
                </c:pt>
                <c:pt idx="38">
                  <c:v>0.253965233316627</c:v>
                </c:pt>
                <c:pt idx="39">
                  <c:v>0.254981567763363</c:v>
                </c:pt>
                <c:pt idx="40">
                  <c:v>0.262907569974152</c:v>
                </c:pt>
                <c:pt idx="41">
                  <c:v>0.294664977464892</c:v>
                </c:pt>
                <c:pt idx="42">
                  <c:v>0.312091554964969</c:v>
                </c:pt>
                <c:pt idx="43">
                  <c:v>0.344261101611258</c:v>
                </c:pt>
                <c:pt idx="44">
                  <c:v>0.40542340474212</c:v>
                </c:pt>
                <c:pt idx="45">
                  <c:v>0.459096895925357</c:v>
                </c:pt>
                <c:pt idx="46">
                  <c:v>0.484691802899317</c:v>
                </c:pt>
                <c:pt idx="47">
                  <c:v>0.476455900688807</c:v>
                </c:pt>
                <c:pt idx="48">
                  <c:v>0.493125766308341</c:v>
                </c:pt>
                <c:pt idx="49">
                  <c:v>0.512757130137797</c:v>
                </c:pt>
                <c:pt idx="50">
                  <c:v>0.547323399351191</c:v>
                </c:pt>
                <c:pt idx="51">
                  <c:v>0.557951228215913</c:v>
                </c:pt>
                <c:pt idx="52">
                  <c:v>0.572965119819356</c:v>
                </c:pt>
                <c:pt idx="53">
                  <c:v>0.557518958214927</c:v>
                </c:pt>
                <c:pt idx="54">
                  <c:v>0.543866370701007</c:v>
                </c:pt>
                <c:pt idx="55">
                  <c:v>0.544825580870568</c:v>
                </c:pt>
                <c:pt idx="56">
                  <c:v>0.535420056972264</c:v>
                </c:pt>
                <c:pt idx="57">
                  <c:v>0.50485307552859</c:v>
                </c:pt>
                <c:pt idx="58">
                  <c:v>0.520917530065888</c:v>
                </c:pt>
                <c:pt idx="59">
                  <c:v>0.538324020163339</c:v>
                </c:pt>
                <c:pt idx="60">
                  <c:v>0.528557286769007</c:v>
                </c:pt>
                <c:pt idx="61">
                  <c:v>0.502748918552011</c:v>
                </c:pt>
                <c:pt idx="62">
                  <c:v>0.483568665513352</c:v>
                </c:pt>
                <c:pt idx="63">
                  <c:v>0.455629314387071</c:v>
                </c:pt>
                <c:pt idx="64">
                  <c:v>0.434212282147169</c:v>
                </c:pt>
                <c:pt idx="65">
                  <c:v>0.427587491187699</c:v>
                </c:pt>
                <c:pt idx="66">
                  <c:v>0.423904309873576</c:v>
                </c:pt>
                <c:pt idx="67">
                  <c:v>0.406729416458653</c:v>
                </c:pt>
                <c:pt idx="68">
                  <c:v>0.366207192300507</c:v>
                </c:pt>
                <c:pt idx="69">
                  <c:v>0.372390400742408</c:v>
                </c:pt>
                <c:pt idx="70">
                  <c:v>0.357978198918218</c:v>
                </c:pt>
                <c:pt idx="71">
                  <c:v>0.361405878123454</c:v>
                </c:pt>
                <c:pt idx="72">
                  <c:v>0.3853198030983</c:v>
                </c:pt>
                <c:pt idx="73">
                  <c:v>0.406517827548653</c:v>
                </c:pt>
                <c:pt idx="74">
                  <c:v>0.426488497029143</c:v>
                </c:pt>
                <c:pt idx="75">
                  <c:v>0.462801528290431</c:v>
                </c:pt>
                <c:pt idx="76">
                  <c:v>0.488447286467475</c:v>
                </c:pt>
                <c:pt idx="77">
                  <c:v>0.502000783914716</c:v>
                </c:pt>
                <c:pt idx="78">
                  <c:v>0.517661716251058</c:v>
                </c:pt>
                <c:pt idx="79">
                  <c:v>0.514238872709925</c:v>
                </c:pt>
                <c:pt idx="80">
                  <c:v>0.524712170969593</c:v>
                </c:pt>
                <c:pt idx="81">
                  <c:v>0.521116508228674</c:v>
                </c:pt>
                <c:pt idx="82">
                  <c:v>0.51182345155033</c:v>
                </c:pt>
                <c:pt idx="83">
                  <c:v>0.509416335434663</c:v>
                </c:pt>
                <c:pt idx="84">
                  <c:v>0.50690162141591</c:v>
                </c:pt>
                <c:pt idx="85">
                  <c:v>0.523192568643977</c:v>
                </c:pt>
                <c:pt idx="86">
                  <c:v>0.551066303221382</c:v>
                </c:pt>
                <c:pt idx="87">
                  <c:v>0.580380085718008</c:v>
                </c:pt>
                <c:pt idx="88">
                  <c:v>0.606799295962451</c:v>
                </c:pt>
                <c:pt idx="89">
                  <c:v>0.639825816487798</c:v>
                </c:pt>
                <c:pt idx="90">
                  <c:v>0.710024539313192</c:v>
                </c:pt>
                <c:pt idx="91">
                  <c:v>0.785152730967554</c:v>
                </c:pt>
                <c:pt idx="92">
                  <c:v>0.830299823953522</c:v>
                </c:pt>
                <c:pt idx="93">
                  <c:v>0.880356847131371</c:v>
                </c:pt>
                <c:pt idx="94">
                  <c:v>0.92412782322705</c:v>
                </c:pt>
                <c:pt idx="95">
                  <c:v>0.947931823351919</c:v>
                </c:pt>
                <c:pt idx="96">
                  <c:v>0.988290861454036</c:v>
                </c:pt>
                <c:pt idx="97">
                  <c:v>1.02500796846902</c:v>
                </c:pt>
                <c:pt idx="98">
                  <c:v>1.04296518960099</c:v>
                </c:pt>
                <c:pt idx="99">
                  <c:v>1.0883405987029</c:v>
                </c:pt>
                <c:pt idx="100">
                  <c:v>1.14246289237028</c:v>
                </c:pt>
                <c:pt idx="101">
                  <c:v>1.15580273478433</c:v>
                </c:pt>
                <c:pt idx="102">
                  <c:v>1.13449993601492</c:v>
                </c:pt>
                <c:pt idx="103">
                  <c:v>1.24367500808884</c:v>
                </c:pt>
                <c:pt idx="104">
                  <c:v>1.38282445005084</c:v>
                </c:pt>
                <c:pt idx="105">
                  <c:v>1.42661460125634</c:v>
                </c:pt>
                <c:pt idx="106">
                  <c:v>1.60920816838135</c:v>
                </c:pt>
                <c:pt idx="107">
                  <c:v>2.11407643747177</c:v>
                </c:pt>
                <c:pt idx="108">
                  <c:v>2.54248278648256</c:v>
                </c:pt>
                <c:pt idx="109">
                  <c:v>2.76218434873503</c:v>
                </c:pt>
                <c:pt idx="110">
                  <c:v>2.87869074700319</c:v>
                </c:pt>
                <c:pt idx="111">
                  <c:v>2.89404879607447</c:v>
                </c:pt>
                <c:pt idx="112">
                  <c:v>2.76410264196687</c:v>
                </c:pt>
                <c:pt idx="113">
                  <c:v>2.71529701338579</c:v>
                </c:pt>
                <c:pt idx="114">
                  <c:v>2.63445727859189</c:v>
                </c:pt>
                <c:pt idx="115">
                  <c:v>2.36716615388709</c:v>
                </c:pt>
                <c:pt idx="116">
                  <c:v>2.09001141989832</c:v>
                </c:pt>
                <c:pt idx="117">
                  <c:v>1.92994964893663</c:v>
                </c:pt>
                <c:pt idx="118">
                  <c:v>1.66025011942205</c:v>
                </c:pt>
                <c:pt idx="119">
                  <c:v>1.17763627464139</c:v>
                </c:pt>
                <c:pt idx="120">
                  <c:v>0.845375081508239</c:v>
                </c:pt>
                <c:pt idx="121">
                  <c:v>0.668741464218041</c:v>
                </c:pt>
                <c:pt idx="122">
                  <c:v>0.559300156993731</c:v>
                </c:pt>
                <c:pt idx="123">
                  <c:v>0.472602636696605</c:v>
                </c:pt>
                <c:pt idx="124">
                  <c:v>0.434786608825091</c:v>
                </c:pt>
                <c:pt idx="125">
                  <c:v>0.394201219214119</c:v>
                </c:pt>
                <c:pt idx="126">
                  <c:v>0.365665448586499</c:v>
                </c:pt>
                <c:pt idx="127">
                  <c:v>0.335559327506132</c:v>
                </c:pt>
                <c:pt idx="128">
                  <c:v>0.317575570760224</c:v>
                </c:pt>
                <c:pt idx="129">
                  <c:v>0.313087563496091</c:v>
                </c:pt>
                <c:pt idx="130">
                  <c:v>0.313681935337484</c:v>
                </c:pt>
                <c:pt idx="131">
                  <c:v>0.315487605126457</c:v>
                </c:pt>
                <c:pt idx="132">
                  <c:v>0.324118064389535</c:v>
                </c:pt>
                <c:pt idx="133">
                  <c:v>0.33051474143271</c:v>
                </c:pt>
                <c:pt idx="134">
                  <c:v>0.326067523988498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532458"/>
        <c:axId val="39321436"/>
      </c:lineChart>
      <c:catAx>
        <c:axId val="68532458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9321436"/>
        <c:crosses val="autoZero"/>
        <c:auto val="1"/>
        <c:lblAlgn val="ctr"/>
        <c:lblOffset val="100"/>
        <c:noMultiLvlLbl val="0"/>
      </c:catAx>
      <c:valAx>
        <c:axId val="3932143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685324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Headline CPI — Annual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'CPI Analysis'!O13</c:f>
              <c:strCache>
                <c:ptCount val="1"/>
                <c:pt idx="0">
                  <c:v>YoY % Headline CPI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'CPI Analysis'!$L$14:$L$43</c:f>
              <c:strCache>
                <c:ptCount val="3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</c:strCache>
            </c:strRef>
          </c:cat>
          <c:val>
            <c:numRef>
              <c:f>'CPI Analysis'!$O$14:$O$43</c:f>
              <c:numCache>
                <c:formatCode>0.0%;\(0.0%\);\-</c:formatCode>
                <c:ptCount val="30"/>
                <c:pt idx="12">
                  <c:v>0.413894753073422</c:v>
                </c:pt>
                <c:pt idx="13">
                  <c:v>0.264861627121999</c:v>
                </c:pt>
                <c:pt idx="14">
                  <c:v>0.342772237131004</c:v>
                </c:pt>
                <c:pt idx="15">
                  <c:v>0.53548304349234</c:v>
                </c:pt>
                <c:pt idx="16">
                  <c:v>0.420150947376509</c:v>
                </c:pt>
                <c:pt idx="17">
                  <c:v>0.484093786255198</c:v>
                </c:pt>
                <c:pt idx="18">
                  <c:v>0.724307575318241</c:v>
                </c:pt>
                <c:pt idx="19">
                  <c:v>1.33488935594175</c:v>
                </c:pt>
                <c:pt idx="20">
                  <c:v>2.19884514666533</c:v>
                </c:pt>
                <c:pt idx="21">
                  <c:v>0.419204440941563</c:v>
                </c:pt>
                <c:pt idx="22">
                  <c:v>0.197268162868088</c:v>
                </c:pt>
              </c:numCache>
            </c:numRef>
          </c:val>
        </c:ser>
        <c:gapWidth val="150"/>
        <c:overlap val="0"/>
        <c:axId val="24368043"/>
        <c:axId val="56413513"/>
      </c:barChart>
      <c:catAx>
        <c:axId val="243680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6413513"/>
        <c:crosses val="autoZero"/>
        <c:auto val="1"/>
        <c:lblAlgn val="ctr"/>
        <c:lblOffset val="100"/>
        <c:noMultiLvlLbl val="0"/>
      </c:catAx>
      <c:valAx>
        <c:axId val="5641351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43680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Quarterly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'TEMPLATE - Quarterly'!D15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Quarterly'!$A$16:$A$215</c:f>
              <c:strCache>
                <c:ptCount val="20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</c:strCache>
            </c:strRef>
          </c:cat>
          <c:val>
            <c:numRef>
              <c:f>'TEMPLATE - Quarterly'!$D$16:$D$215</c:f>
              <c:numCache>
                <c:formatCode>General</c:formatCode>
                <c:ptCount val="20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445061"/>
        <c:axId val="76072503"/>
      </c:lineChart>
      <c:catAx>
        <c:axId val="16445061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6072503"/>
        <c:crosses val="autoZero"/>
        <c:auto val="1"/>
        <c:lblAlgn val="ctr"/>
        <c:lblOffset val="100"/>
        <c:noMultiLvlLbl val="0"/>
      </c:catAx>
      <c:valAx>
        <c:axId val="7607250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64450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'TEMPLATE - Quarterly'!F15</c:f>
              <c:strCache>
                <c:ptCount val="1"/>
                <c:pt idx="0">
                  <c:v>YoY %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Quarterly'!$A$16:$A$215</c:f>
              <c:strCache>
                <c:ptCount val="20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</c:strCache>
            </c:strRef>
          </c:cat>
          <c:val>
            <c:numRef>
              <c:f>'TEMPLATE - Quarterly'!$F$16:$F$215</c:f>
              <c:numCache>
                <c:formatCode>0.0%;\(0.0%\);\-</c:formatCode>
                <c:ptCount val="20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52288"/>
        <c:axId val="39130485"/>
      </c:lineChart>
      <c:catAx>
        <c:axId val="2552288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9130485"/>
        <c:crosses val="autoZero"/>
        <c:auto val="1"/>
        <c:lblAlgn val="ctr"/>
        <c:lblOffset val="100"/>
        <c:noMultiLvlLbl val="0"/>
      </c:catAx>
      <c:valAx>
        <c:axId val="3913048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5522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Annual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'TEMPLATE - Quarterly'!K15</c:f>
              <c:strCache>
                <c:ptCount val="1"/>
                <c:pt idx="0">
                  <c:v>YoY %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Quarterly'!$I$16:$I$50</c:f>
              <c:strCache>
                <c:ptCount val="3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</c:strCache>
            </c:strRef>
          </c:cat>
          <c:val>
            <c:numRef>
              <c:f>'TEMPLATE - Quarterly'!$K$16:$K$50</c:f>
              <c:numCache>
                <c:formatCode>0.0%;\(0.0%\);\-</c:formatCode>
                <c:ptCount val="35"/>
              </c:numCache>
            </c:numRef>
          </c:val>
        </c:ser>
        <c:gapWidth val="150"/>
        <c:overlap val="0"/>
        <c:axId val="6571803"/>
        <c:axId val="27099230"/>
      </c:barChart>
      <c:catAx>
        <c:axId val="657180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7099230"/>
        <c:crosses val="autoZero"/>
        <c:auto val="1"/>
        <c:lblAlgn val="ctr"/>
        <c:lblOffset val="100"/>
        <c:noMultiLvlLbl val="0"/>
      </c:catAx>
      <c:valAx>
        <c:axId val="2709923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65718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Monthly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'TEMPLATE - Monthly'!D16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Monthly'!$A$17:$A$266</c:f>
              <c:strCache>
                <c:ptCount val="2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</c:strCache>
            </c:strRef>
          </c:cat>
          <c:val>
            <c:numRef>
              <c:f>'TEMPLATE - Monthly'!$D$17:$D$266</c:f>
              <c:numCache>
                <c:formatCode>General</c:formatCode>
                <c:ptCount val="2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60151"/>
        <c:axId val="72841557"/>
      </c:lineChart>
      <c:catAx>
        <c:axId val="1760151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2841557"/>
        <c:crosses val="autoZero"/>
        <c:auto val="1"/>
        <c:lblAlgn val="ctr"/>
        <c:lblOffset val="100"/>
        <c:noMultiLvlLbl val="0"/>
      </c:catAx>
      <c:valAx>
        <c:axId val="7284155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7601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'TEMPLATE - Monthly'!F16</c:f>
              <c:strCache>
                <c:ptCount val="1"/>
                <c:pt idx="0">
                  <c:v>YoY %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Monthly'!$A$17:$A$266</c:f>
              <c:strCache>
                <c:ptCount val="2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</c:strCache>
            </c:strRef>
          </c:cat>
          <c:val>
            <c:numRef>
              <c:f>'TEMPLATE - Monthly'!$F$17:$F$266</c:f>
              <c:numCache>
                <c:formatCode>0.0%;\(0.0%\);\-</c:formatCode>
                <c:ptCount val="2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208374"/>
        <c:axId val="20590890"/>
      </c:lineChart>
      <c:catAx>
        <c:axId val="74208374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0590890"/>
        <c:crosses val="autoZero"/>
        <c:auto val="1"/>
        <c:lblAlgn val="ctr"/>
        <c:lblOffset val="100"/>
        <c:noMultiLvlLbl val="0"/>
      </c:catAx>
      <c:valAx>
        <c:axId val="2059089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42083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Annual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'TEMPLATE - Monthly'!R16</c:f>
              <c:strCache>
                <c:ptCount val="1"/>
                <c:pt idx="0">
                  <c:v>YoY %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Monthly'!$P$17:$P$51</c:f>
              <c:strCache>
                <c:ptCount val="3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</c:strCache>
            </c:strRef>
          </c:cat>
          <c:val>
            <c:numRef>
              <c:f>'TEMPLATE - Monthly'!$R$17:$R$51</c:f>
              <c:numCache>
                <c:formatCode>0.0%;\(0.0%\);\-</c:formatCode>
                <c:ptCount val="35"/>
              </c:numCache>
            </c:numRef>
          </c:val>
        </c:ser>
        <c:gapWidth val="150"/>
        <c:overlap val="0"/>
        <c:axId val="67179225"/>
        <c:axId val="12928045"/>
      </c:barChart>
      <c:catAx>
        <c:axId val="6717922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2928045"/>
        <c:crosses val="autoZero"/>
        <c:auto val="1"/>
        <c:lblAlgn val="ctr"/>
        <c:lblOffset val="100"/>
        <c:noMultiLvlLbl val="0"/>
      </c:catAx>
      <c:valAx>
        <c:axId val="1292804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671792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Annual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'TEMPLATE - Annual'!B12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Annual'!$A$13:$A$92</c:f>
              <c:strCache>
                <c:ptCount val="8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</c:strCache>
            </c:strRef>
          </c:cat>
          <c:val>
            <c:numRef>
              <c:f>'TEMPLATE - Annual'!$B$13:$B$92</c:f>
              <c:numCache>
                <c:formatCode>General</c:formatCode>
                <c:ptCount val="8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637237"/>
        <c:axId val="32492462"/>
      </c:lineChart>
      <c:catAx>
        <c:axId val="356372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2492462"/>
        <c:crosses val="autoZero"/>
        <c:auto val="1"/>
        <c:lblAlgn val="ctr"/>
        <c:lblOffset val="100"/>
        <c:noMultiLvlLbl val="0"/>
      </c:catAx>
      <c:valAx>
        <c:axId val="3249246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56372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Series — Annual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'TEMPLATE - Annual'!C12</c:f>
              <c:strCache>
                <c:ptCount val="1"/>
                <c:pt idx="0">
                  <c:v>YoY %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'TEMPLATE - Annual'!$A$13:$A$92</c:f>
              <c:strCache>
                <c:ptCount val="8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</c:strCache>
            </c:strRef>
          </c:cat>
          <c:val>
            <c:numRef>
              <c:f>'TEMPLATE - Annual'!$C$13:$C$92</c:f>
              <c:numCache>
                <c:formatCode>0.0%;\(0.0%\);\-</c:formatCode>
                <c:ptCount val="80"/>
              </c:numCache>
            </c:numRef>
          </c:val>
        </c:ser>
        <c:gapWidth val="150"/>
        <c:overlap val="0"/>
        <c:axId val="91660247"/>
        <c:axId val="64803320"/>
      </c:barChart>
      <c:catAx>
        <c:axId val="91660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64803320"/>
        <c:crosses val="autoZero"/>
        <c:auto val="1"/>
        <c:lblAlgn val="ctr"/>
        <c:lblOffset val="100"/>
        <c:noMultiLvlLbl val="0"/>
      </c:catAx>
      <c:valAx>
        <c:axId val="6480332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916602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235</xdr:row>
      <xdr:rowOff>0</xdr:rowOff>
    </xdr:from>
    <xdr:to>
      <xdr:col>6</xdr:col>
      <xdr:colOff>74520</xdr:colOff>
      <xdr:row>250</xdr:row>
      <xdr:rowOff>21960</xdr:rowOff>
    </xdr:to>
    <xdr:graphicFrame>
      <xdr:nvGraphicFramePr>
        <xdr:cNvPr id="1" name="Chart 1"/>
        <xdr:cNvGraphicFramePr/>
      </xdr:nvGraphicFramePr>
      <xdr:xfrm>
        <a:off x="0" y="45006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235</xdr:row>
      <xdr:rowOff>0</xdr:rowOff>
    </xdr:from>
    <xdr:to>
      <xdr:col>14</xdr:col>
      <xdr:colOff>341280</xdr:colOff>
      <xdr:row>250</xdr:row>
      <xdr:rowOff>21960</xdr:rowOff>
    </xdr:to>
    <xdr:graphicFrame>
      <xdr:nvGraphicFramePr>
        <xdr:cNvPr id="2" name="Chart 2"/>
        <xdr:cNvGraphicFramePr/>
      </xdr:nvGraphicFramePr>
      <xdr:xfrm>
        <a:off x="9512280" y="45006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253</xdr:row>
      <xdr:rowOff>0</xdr:rowOff>
    </xdr:from>
    <xdr:to>
      <xdr:col>6</xdr:col>
      <xdr:colOff>74520</xdr:colOff>
      <xdr:row>268</xdr:row>
      <xdr:rowOff>21960</xdr:rowOff>
    </xdr:to>
    <xdr:graphicFrame>
      <xdr:nvGraphicFramePr>
        <xdr:cNvPr id="3" name="Chart 3"/>
        <xdr:cNvGraphicFramePr/>
      </xdr:nvGraphicFramePr>
      <xdr:xfrm>
        <a:off x="0" y="48435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253</xdr:row>
      <xdr:rowOff>0</xdr:rowOff>
    </xdr:from>
    <xdr:to>
      <xdr:col>14</xdr:col>
      <xdr:colOff>341280</xdr:colOff>
      <xdr:row>268</xdr:row>
      <xdr:rowOff>21960</xdr:rowOff>
    </xdr:to>
    <xdr:graphicFrame>
      <xdr:nvGraphicFramePr>
        <xdr:cNvPr id="4" name="Chart 4"/>
        <xdr:cNvGraphicFramePr/>
      </xdr:nvGraphicFramePr>
      <xdr:xfrm>
        <a:off x="9512280" y="48435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271</xdr:row>
      <xdr:rowOff>0</xdr:rowOff>
    </xdr:from>
    <xdr:to>
      <xdr:col>6</xdr:col>
      <xdr:colOff>74520</xdr:colOff>
      <xdr:row>286</xdr:row>
      <xdr:rowOff>21960</xdr:rowOff>
    </xdr:to>
    <xdr:graphicFrame>
      <xdr:nvGraphicFramePr>
        <xdr:cNvPr id="5" name="Chart 5"/>
        <xdr:cNvGraphicFramePr/>
      </xdr:nvGraphicFramePr>
      <xdr:xfrm>
        <a:off x="0" y="51864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268</xdr:row>
      <xdr:rowOff>0</xdr:rowOff>
    </xdr:from>
    <xdr:to>
      <xdr:col>6</xdr:col>
      <xdr:colOff>74520</xdr:colOff>
      <xdr:row>283</xdr:row>
      <xdr:rowOff>22320</xdr:rowOff>
    </xdr:to>
    <xdr:graphicFrame>
      <xdr:nvGraphicFramePr>
        <xdr:cNvPr id="6" name="Chart 1"/>
        <xdr:cNvGraphicFramePr/>
      </xdr:nvGraphicFramePr>
      <xdr:xfrm>
        <a:off x="0" y="51293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268</xdr:row>
      <xdr:rowOff>0</xdr:rowOff>
    </xdr:from>
    <xdr:to>
      <xdr:col>14</xdr:col>
      <xdr:colOff>341280</xdr:colOff>
      <xdr:row>283</xdr:row>
      <xdr:rowOff>22320</xdr:rowOff>
    </xdr:to>
    <xdr:graphicFrame>
      <xdr:nvGraphicFramePr>
        <xdr:cNvPr id="7" name="Chart 2"/>
        <xdr:cNvGraphicFramePr/>
      </xdr:nvGraphicFramePr>
      <xdr:xfrm>
        <a:off x="9512280" y="51293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286</xdr:row>
      <xdr:rowOff>0</xdr:rowOff>
    </xdr:from>
    <xdr:to>
      <xdr:col>6</xdr:col>
      <xdr:colOff>74520</xdr:colOff>
      <xdr:row>301</xdr:row>
      <xdr:rowOff>22320</xdr:rowOff>
    </xdr:to>
    <xdr:graphicFrame>
      <xdr:nvGraphicFramePr>
        <xdr:cNvPr id="8" name="Chart 3"/>
        <xdr:cNvGraphicFramePr/>
      </xdr:nvGraphicFramePr>
      <xdr:xfrm>
        <a:off x="0" y="54722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217</xdr:row>
      <xdr:rowOff>0</xdr:rowOff>
    </xdr:from>
    <xdr:to>
      <xdr:col>6</xdr:col>
      <xdr:colOff>74520</xdr:colOff>
      <xdr:row>232</xdr:row>
      <xdr:rowOff>21960</xdr:rowOff>
    </xdr:to>
    <xdr:graphicFrame>
      <xdr:nvGraphicFramePr>
        <xdr:cNvPr id="9" name="Chart 1"/>
        <xdr:cNvGraphicFramePr/>
      </xdr:nvGraphicFramePr>
      <xdr:xfrm>
        <a:off x="0" y="41577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217</xdr:row>
      <xdr:rowOff>0</xdr:rowOff>
    </xdr:from>
    <xdr:to>
      <xdr:col>14</xdr:col>
      <xdr:colOff>341280</xdr:colOff>
      <xdr:row>232</xdr:row>
      <xdr:rowOff>21960</xdr:rowOff>
    </xdr:to>
    <xdr:graphicFrame>
      <xdr:nvGraphicFramePr>
        <xdr:cNvPr id="10" name="Chart 2"/>
        <xdr:cNvGraphicFramePr/>
      </xdr:nvGraphicFramePr>
      <xdr:xfrm>
        <a:off x="9512280" y="41577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235</xdr:row>
      <xdr:rowOff>0</xdr:rowOff>
    </xdr:from>
    <xdr:to>
      <xdr:col>6</xdr:col>
      <xdr:colOff>74520</xdr:colOff>
      <xdr:row>250</xdr:row>
      <xdr:rowOff>21960</xdr:rowOff>
    </xdr:to>
    <xdr:graphicFrame>
      <xdr:nvGraphicFramePr>
        <xdr:cNvPr id="11" name="Chart 3"/>
        <xdr:cNvGraphicFramePr/>
      </xdr:nvGraphicFramePr>
      <xdr:xfrm>
        <a:off x="0" y="450068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268</xdr:row>
      <xdr:rowOff>0</xdr:rowOff>
    </xdr:from>
    <xdr:to>
      <xdr:col>6</xdr:col>
      <xdr:colOff>74520</xdr:colOff>
      <xdr:row>283</xdr:row>
      <xdr:rowOff>22320</xdr:rowOff>
    </xdr:to>
    <xdr:graphicFrame>
      <xdr:nvGraphicFramePr>
        <xdr:cNvPr id="12" name="Chart 1"/>
        <xdr:cNvGraphicFramePr/>
      </xdr:nvGraphicFramePr>
      <xdr:xfrm>
        <a:off x="0" y="51293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268</xdr:row>
      <xdr:rowOff>0</xdr:rowOff>
    </xdr:from>
    <xdr:to>
      <xdr:col>14</xdr:col>
      <xdr:colOff>341280</xdr:colOff>
      <xdr:row>283</xdr:row>
      <xdr:rowOff>22320</xdr:rowOff>
    </xdr:to>
    <xdr:graphicFrame>
      <xdr:nvGraphicFramePr>
        <xdr:cNvPr id="13" name="Chart 2"/>
        <xdr:cNvGraphicFramePr/>
      </xdr:nvGraphicFramePr>
      <xdr:xfrm>
        <a:off x="9512280" y="51293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286</xdr:row>
      <xdr:rowOff>0</xdr:rowOff>
    </xdr:from>
    <xdr:to>
      <xdr:col>6</xdr:col>
      <xdr:colOff>74520</xdr:colOff>
      <xdr:row>301</xdr:row>
      <xdr:rowOff>22320</xdr:rowOff>
    </xdr:to>
    <xdr:graphicFrame>
      <xdr:nvGraphicFramePr>
        <xdr:cNvPr id="14" name="Chart 3"/>
        <xdr:cNvGraphicFramePr/>
      </xdr:nvGraphicFramePr>
      <xdr:xfrm>
        <a:off x="0" y="54722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94</xdr:row>
      <xdr:rowOff>0</xdr:rowOff>
    </xdr:from>
    <xdr:to>
      <xdr:col>5</xdr:col>
      <xdr:colOff>696600</xdr:colOff>
      <xdr:row>109</xdr:row>
      <xdr:rowOff>22320</xdr:rowOff>
    </xdr:to>
    <xdr:graphicFrame>
      <xdr:nvGraphicFramePr>
        <xdr:cNvPr id="15" name="Chart 1"/>
        <xdr:cNvGraphicFramePr/>
      </xdr:nvGraphicFramePr>
      <xdr:xfrm>
        <a:off x="0" y="18146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94</xdr:row>
      <xdr:rowOff>0</xdr:rowOff>
    </xdr:from>
    <xdr:to>
      <xdr:col>14</xdr:col>
      <xdr:colOff>341280</xdr:colOff>
      <xdr:row>109</xdr:row>
      <xdr:rowOff>22320</xdr:rowOff>
    </xdr:to>
    <xdr:graphicFrame>
      <xdr:nvGraphicFramePr>
        <xdr:cNvPr id="16" name="Chart 2"/>
        <xdr:cNvGraphicFramePr/>
      </xdr:nvGraphicFramePr>
      <xdr:xfrm>
        <a:off x="10045800" y="181465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4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3" t="s">
        <v>32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4" t="s">
        <v>33</v>
      </c>
    </row>
    <row r="41" customFormat="false" ht="15" hidden="false" customHeight="false" outlineLevel="0" collapsed="false">
      <c r="A41" s="3" t="s">
        <v>34</v>
      </c>
    </row>
    <row r="42" customFormat="false" ht="15" hidden="false" customHeight="false" outlineLevel="0" collapsed="false">
      <c r="A42" s="3" t="s">
        <v>35</v>
      </c>
    </row>
    <row r="43" customFormat="false" ht="15" hidden="false" customHeight="false" outlineLevel="0" collapsed="false">
      <c r="A43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M8" activeCellId="0" sqref="M8"/>
    </sheetView>
  </sheetViews>
  <sheetFormatPr defaultColWidth="8.5390625" defaultRowHeight="15" customHeight="false" zeroHeight="false" outlineLevelRow="0" outlineLevelCol="0"/>
  <cols>
    <col collapsed="false" customWidth="true" hidden="true" outlineLevel="0" max="2" min="2" style="0" width="9.14"/>
    <col collapsed="false" customWidth="true" hidden="false" outlineLevel="0" max="7" min="3" style="0" width="11.29"/>
    <col collapsed="false" customWidth="true" hidden="false" outlineLevel="0" max="8" min="8" style="0" width="10.71"/>
    <col collapsed="false" customWidth="true" hidden="false" outlineLevel="0" max="10" min="9" style="0" width="11.29"/>
  </cols>
  <sheetData>
    <row r="1" customFormat="false" ht="15" hidden="false" customHeight="false" outlineLevel="0" collapsed="false">
      <c r="C1" s="0" t="s">
        <v>37</v>
      </c>
      <c r="D1" s="0" t="s">
        <v>37</v>
      </c>
      <c r="E1" s="0" t="s">
        <v>37</v>
      </c>
      <c r="F1" s="0" t="s">
        <v>37</v>
      </c>
      <c r="G1" s="0" t="s">
        <v>38</v>
      </c>
      <c r="H1" s="0" t="s">
        <v>39</v>
      </c>
      <c r="I1" s="0" t="s">
        <v>39</v>
      </c>
    </row>
    <row r="2" customFormat="false" ht="15" hidden="false" customHeight="false" outlineLevel="0" collapsed="false">
      <c r="A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41</v>
      </c>
      <c r="H2" s="5" t="s">
        <v>45</v>
      </c>
      <c r="I2" s="5" t="s">
        <v>46</v>
      </c>
      <c r="J2" s="5" t="s">
        <v>47</v>
      </c>
      <c r="K2" s="5" t="s">
        <v>48</v>
      </c>
    </row>
    <row r="3" customFormat="false" ht="15" hidden="true" customHeight="false" outlineLevel="0" collapsed="false">
      <c r="B3" s="6" t="s">
        <v>49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 t="s">
        <v>56</v>
      </c>
      <c r="J3" s="0" t="s">
        <v>57</v>
      </c>
      <c r="K3" s="0" t="s">
        <v>58</v>
      </c>
    </row>
    <row r="4" customFormat="false" ht="15" hidden="true" customHeight="false" outlineLevel="0" collapsed="false">
      <c r="B4" s="0" t="s">
        <v>59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64</v>
      </c>
      <c r="H4" s="0" t="s">
        <v>65</v>
      </c>
      <c r="I4" s="0" t="s">
        <v>66</v>
      </c>
      <c r="J4" s="0" t="s">
        <v>67</v>
      </c>
      <c r="K4" s="0" t="s">
        <v>68</v>
      </c>
    </row>
    <row r="5" customFormat="false" ht="15" hidden="true" customHeight="false" outlineLevel="0" collapsed="false">
      <c r="B5" s="0" t="s">
        <v>69</v>
      </c>
      <c r="C5" s="0" t="s">
        <v>70</v>
      </c>
      <c r="D5" s="0" t="s">
        <v>70</v>
      </c>
      <c r="E5" s="0" t="s">
        <v>70</v>
      </c>
      <c r="F5" s="0" t="s">
        <v>70</v>
      </c>
      <c r="G5" s="0" t="s">
        <v>70</v>
      </c>
      <c r="H5" s="0" t="s">
        <v>70</v>
      </c>
      <c r="I5" s="0" t="s">
        <v>70</v>
      </c>
      <c r="J5" s="0" t="s">
        <v>71</v>
      </c>
      <c r="K5" s="0" t="s">
        <v>72</v>
      </c>
    </row>
    <row r="6" customFormat="false" ht="15" hidden="true" customHeight="false" outlineLevel="0" collapsed="false">
      <c r="B6" s="0" t="s">
        <v>73</v>
      </c>
      <c r="C6" s="0" t="s">
        <v>74</v>
      </c>
      <c r="D6" s="0" t="s">
        <v>74</v>
      </c>
      <c r="E6" s="0" t="s">
        <v>74</v>
      </c>
      <c r="F6" s="0" t="s">
        <v>74</v>
      </c>
      <c r="G6" s="0" t="s">
        <v>74</v>
      </c>
      <c r="H6" s="0" t="s">
        <v>74</v>
      </c>
      <c r="I6" s="0" t="s">
        <v>75</v>
      </c>
      <c r="J6" s="0" t="s">
        <v>76</v>
      </c>
      <c r="K6" s="0" t="s">
        <v>77</v>
      </c>
    </row>
    <row r="7" customFormat="false" ht="15" hidden="true" customHeight="false" outlineLevel="0" collapsed="false">
      <c r="B7" s="0" t="s">
        <v>78</v>
      </c>
      <c r="C7" s="0" t="s">
        <v>79</v>
      </c>
      <c r="D7" s="0" t="s">
        <v>79</v>
      </c>
      <c r="E7" s="0" t="s">
        <v>79</v>
      </c>
      <c r="F7" s="0" t="s">
        <v>79</v>
      </c>
      <c r="G7" s="0" t="s">
        <v>79</v>
      </c>
      <c r="H7" s="0" t="s">
        <v>79</v>
      </c>
      <c r="I7" s="0" t="s">
        <v>80</v>
      </c>
      <c r="J7" s="0" t="s">
        <v>80</v>
      </c>
      <c r="K7" s="0" t="s">
        <v>80</v>
      </c>
    </row>
    <row r="8" customFormat="false" ht="15" hidden="false" customHeight="false" outlineLevel="0" collapsed="false">
      <c r="A8" s="7" t="n">
        <v>38047</v>
      </c>
      <c r="B8" s="0" t="s">
        <v>81</v>
      </c>
      <c r="C8" s="8" t="n">
        <v>476036.527</v>
      </c>
      <c r="D8" s="8" t="n">
        <v>302781.108</v>
      </c>
      <c r="E8" s="8" t="n">
        <v>52668.16</v>
      </c>
      <c r="F8" s="8" t="n">
        <v>74498.627</v>
      </c>
      <c r="G8" s="8" t="n">
        <v>460369.442</v>
      </c>
      <c r="H8" s="9" t="n">
        <v>439196</v>
      </c>
      <c r="I8" s="10"/>
      <c r="J8" s="11" t="n">
        <v>2.90726666666667</v>
      </c>
      <c r="K8" s="8" t="n">
        <v>2.91633333333333</v>
      </c>
    </row>
    <row r="9" customFormat="false" ht="15" hidden="false" customHeight="false" outlineLevel="0" collapsed="false">
      <c r="A9" s="7" t="n">
        <v>38139</v>
      </c>
      <c r="B9" s="0" t="s">
        <v>82</v>
      </c>
      <c r="C9" s="8" t="n">
        <v>470010.066</v>
      </c>
      <c r="D9" s="8" t="n">
        <v>304361.812</v>
      </c>
      <c r="E9" s="8" t="n">
        <v>52818.974</v>
      </c>
      <c r="F9" s="8" t="n">
        <v>76869.591</v>
      </c>
      <c r="G9" s="8" t="n">
        <v>514395.682</v>
      </c>
      <c r="H9" s="9" t="n">
        <v>509499</v>
      </c>
      <c r="I9" s="10"/>
      <c r="J9" s="11" t="n">
        <v>2.90507333333333</v>
      </c>
      <c r="K9" s="8" t="n">
        <v>2.90933333333333</v>
      </c>
    </row>
    <row r="10" customFormat="false" ht="15" hidden="false" customHeight="false" outlineLevel="0" collapsed="false">
      <c r="A10" s="7" t="n">
        <v>38231</v>
      </c>
      <c r="B10" s="0" t="s">
        <v>83</v>
      </c>
      <c r="C10" s="8" t="n">
        <v>493895.121</v>
      </c>
      <c r="D10" s="8" t="n">
        <v>316912.029</v>
      </c>
      <c r="E10" s="8" t="n">
        <v>54483.809</v>
      </c>
      <c r="F10" s="8" t="n">
        <v>77809.682</v>
      </c>
      <c r="G10" s="8" t="n">
        <v>481151.98</v>
      </c>
      <c r="H10" s="9" t="n">
        <v>488462</v>
      </c>
      <c r="I10" s="10"/>
      <c r="J10" s="11" t="n">
        <v>2.98799333333333</v>
      </c>
      <c r="K10" s="8" t="n">
        <v>2.99566666666667</v>
      </c>
    </row>
    <row r="11" customFormat="false" ht="15" hidden="false" customHeight="false" outlineLevel="0" collapsed="false">
      <c r="A11" s="7" t="n">
        <v>38322</v>
      </c>
      <c r="B11" s="0" t="s">
        <v>84</v>
      </c>
      <c r="C11" s="8" t="n">
        <v>500519.067</v>
      </c>
      <c r="D11" s="8" t="n">
        <v>324272.593</v>
      </c>
      <c r="E11" s="8" t="n">
        <v>55704.211</v>
      </c>
      <c r="F11" s="8" t="n">
        <v>79234.809</v>
      </c>
      <c r="G11" s="8" t="n">
        <v>484543.677</v>
      </c>
      <c r="H11" s="9" t="n">
        <v>503304</v>
      </c>
      <c r="I11" s="10"/>
      <c r="J11" s="11" t="n">
        <v>2.96461666666667</v>
      </c>
      <c r="K11" s="8"/>
    </row>
    <row r="12" customFormat="false" ht="15" hidden="false" customHeight="false" outlineLevel="0" collapsed="false">
      <c r="A12" s="7" t="n">
        <v>38412</v>
      </c>
      <c r="B12" s="0" t="s">
        <v>85</v>
      </c>
      <c r="C12" s="8" t="n">
        <v>514918.459</v>
      </c>
      <c r="D12" s="8" t="n">
        <v>318967.706</v>
      </c>
      <c r="E12" s="8" t="n">
        <v>57528.588</v>
      </c>
      <c r="F12" s="8" t="n">
        <v>85178.716</v>
      </c>
      <c r="G12" s="8" t="n">
        <v>493602.531</v>
      </c>
      <c r="H12" s="9" t="n">
        <v>510703</v>
      </c>
      <c r="I12" s="10"/>
      <c r="J12" s="11" t="n">
        <v>2.92976666666667</v>
      </c>
      <c r="K12" s="8" t="n">
        <v>2.93433333333333</v>
      </c>
    </row>
    <row r="13" customFormat="false" ht="15" hidden="false" customHeight="false" outlineLevel="0" collapsed="false">
      <c r="A13" s="7" t="n">
        <v>38504</v>
      </c>
      <c r="B13" s="0" t="s">
        <v>86</v>
      </c>
      <c r="C13" s="8" t="n">
        <v>527084.198</v>
      </c>
      <c r="D13" s="8" t="n">
        <v>346690.415</v>
      </c>
      <c r="E13" s="8" t="n">
        <v>58964.326</v>
      </c>
      <c r="F13" s="8" t="n">
        <v>87994.464</v>
      </c>
      <c r="G13" s="8" t="n">
        <v>581668.25</v>
      </c>
      <c r="H13" s="9" t="n">
        <v>605772</v>
      </c>
      <c r="I13" s="10"/>
      <c r="J13" s="11" t="n">
        <v>2.89173</v>
      </c>
      <c r="K13" s="8" t="n">
        <v>2.89866666666667</v>
      </c>
    </row>
    <row r="14" customFormat="false" ht="15" hidden="false" customHeight="false" outlineLevel="0" collapsed="false">
      <c r="A14" s="7" t="n">
        <v>38596</v>
      </c>
      <c r="B14" s="0" t="s">
        <v>87</v>
      </c>
      <c r="C14" s="8" t="n">
        <v>530101.958</v>
      </c>
      <c r="D14" s="8" t="n">
        <v>331326.974</v>
      </c>
      <c r="E14" s="8" t="n">
        <v>59826.06</v>
      </c>
      <c r="F14" s="8" t="n">
        <v>88235.413</v>
      </c>
      <c r="G14" s="8" t="n">
        <v>514697.79</v>
      </c>
      <c r="H14" s="9" t="n">
        <v>590220</v>
      </c>
      <c r="I14" s="10"/>
      <c r="J14" s="11" t="n">
        <v>2.88960333333333</v>
      </c>
      <c r="K14" s="8" t="n">
        <v>2.88466666666667</v>
      </c>
    </row>
    <row r="15" customFormat="false" ht="15" hidden="false" customHeight="false" outlineLevel="0" collapsed="false">
      <c r="A15" s="7" t="n">
        <v>38687</v>
      </c>
      <c r="B15" s="0" t="s">
        <v>88</v>
      </c>
      <c r="C15" s="8" t="n">
        <v>540119.155</v>
      </c>
      <c r="D15" s="8" t="n">
        <v>343626.04</v>
      </c>
      <c r="E15" s="8" t="n">
        <v>60611.905</v>
      </c>
      <c r="F15" s="8" t="n">
        <v>95820.827</v>
      </c>
      <c r="G15" s="8" t="n">
        <v>522255.2</v>
      </c>
      <c r="H15" s="9" t="n">
        <v>623458</v>
      </c>
      <c r="I15" s="10"/>
      <c r="J15" s="11" t="n">
        <v>2.98288</v>
      </c>
      <c r="K15" s="8" t="n">
        <v>2.98766666666667</v>
      </c>
    </row>
    <row r="16" customFormat="false" ht="15" hidden="false" customHeight="false" outlineLevel="0" collapsed="false">
      <c r="A16" s="7" t="n">
        <v>38777</v>
      </c>
      <c r="B16" s="0" t="s">
        <v>89</v>
      </c>
      <c r="C16" s="8" t="n">
        <v>554455.772</v>
      </c>
      <c r="D16" s="8" t="n">
        <v>353511.321</v>
      </c>
      <c r="E16" s="8" t="n">
        <v>60524.269</v>
      </c>
      <c r="F16" s="8" t="n">
        <v>97450.782</v>
      </c>
      <c r="G16" s="8" t="n">
        <v>532348.212</v>
      </c>
      <c r="H16" s="9" t="n">
        <v>643562</v>
      </c>
      <c r="I16" s="10"/>
      <c r="J16" s="11" t="n">
        <v>3.06493333333333</v>
      </c>
      <c r="K16" s="8" t="n">
        <v>3.07966666666667</v>
      </c>
    </row>
    <row r="17" customFormat="false" ht="15" hidden="false" customHeight="false" outlineLevel="0" collapsed="false">
      <c r="A17" s="7" t="n">
        <v>38869</v>
      </c>
      <c r="B17" s="0" t="s">
        <v>90</v>
      </c>
      <c r="C17" s="8" t="n">
        <v>561157.223</v>
      </c>
      <c r="D17" s="8" t="n">
        <v>371905.787</v>
      </c>
      <c r="E17" s="8" t="n">
        <v>60706.294</v>
      </c>
      <c r="F17" s="8" t="n">
        <v>100741.046</v>
      </c>
      <c r="G17" s="8" t="n">
        <v>614076.393</v>
      </c>
      <c r="H17" s="9" t="n">
        <v>727989</v>
      </c>
      <c r="I17" s="10"/>
      <c r="J17" s="11" t="n">
        <v>3.06794</v>
      </c>
      <c r="K17" s="8" t="n">
        <v>3.083</v>
      </c>
    </row>
    <row r="18" customFormat="false" ht="15" hidden="false" customHeight="false" outlineLevel="0" collapsed="false">
      <c r="A18" s="7" t="n">
        <v>38961</v>
      </c>
      <c r="B18" s="0" t="s">
        <v>91</v>
      </c>
      <c r="C18" s="8" t="n">
        <v>577088.458</v>
      </c>
      <c r="D18" s="8" t="n">
        <v>381137.215</v>
      </c>
      <c r="E18" s="8" t="n">
        <v>61658.229</v>
      </c>
      <c r="F18" s="8" t="n">
        <v>103927.849</v>
      </c>
      <c r="G18" s="8" t="n">
        <v>562978.966</v>
      </c>
      <c r="H18" s="9" t="n">
        <v>729299</v>
      </c>
      <c r="I18" s="10"/>
      <c r="J18" s="11" t="n">
        <v>3.08725666666667</v>
      </c>
      <c r="K18" s="8" t="n">
        <v>3.10333333333333</v>
      </c>
    </row>
    <row r="19" customFormat="false" ht="15" hidden="false" customHeight="false" outlineLevel="0" collapsed="false">
      <c r="A19" s="7" t="n">
        <v>39052</v>
      </c>
      <c r="B19" s="0" t="s">
        <v>92</v>
      </c>
      <c r="C19" s="8" t="n">
        <v>589496.163</v>
      </c>
      <c r="D19" s="8" t="n">
        <v>380937.311</v>
      </c>
      <c r="E19" s="8" t="n">
        <v>62861.894</v>
      </c>
      <c r="F19" s="8" t="n">
        <v>106810.9</v>
      </c>
      <c r="G19" s="8" t="n">
        <v>572794.047</v>
      </c>
      <c r="H19" s="9" t="n">
        <v>762766</v>
      </c>
      <c r="I19" s="10"/>
      <c r="J19" s="11" t="n">
        <v>3.0774</v>
      </c>
      <c r="K19" s="8" t="n">
        <v>3.098</v>
      </c>
    </row>
    <row r="20" customFormat="false" ht="15" hidden="false" customHeight="false" outlineLevel="0" collapsed="false">
      <c r="A20" s="7" t="n">
        <v>39142</v>
      </c>
      <c r="B20" s="0" t="s">
        <v>93</v>
      </c>
      <c r="C20" s="8" t="n">
        <v>603483.207</v>
      </c>
      <c r="D20" s="8" t="n">
        <v>392667.41</v>
      </c>
      <c r="E20" s="8" t="n">
        <v>65392.759</v>
      </c>
      <c r="F20" s="8" t="n">
        <v>116267.521</v>
      </c>
      <c r="G20" s="8" t="n">
        <v>576846.886</v>
      </c>
      <c r="H20" s="9" t="n">
        <v>774388</v>
      </c>
      <c r="I20" s="10"/>
      <c r="J20" s="11" t="n">
        <v>3.09675</v>
      </c>
      <c r="K20" s="8" t="n">
        <v>3.114</v>
      </c>
    </row>
    <row r="21" customFormat="false" ht="15" hidden="false" customHeight="false" outlineLevel="0" collapsed="false">
      <c r="A21" s="7" t="n">
        <v>39234</v>
      </c>
      <c r="B21" s="0" t="s">
        <v>94</v>
      </c>
      <c r="C21" s="8" t="n">
        <v>616073.366</v>
      </c>
      <c r="D21" s="8" t="n">
        <v>402296.075</v>
      </c>
      <c r="E21" s="8" t="n">
        <v>65948.641</v>
      </c>
      <c r="F21" s="8" t="n">
        <v>121508.985</v>
      </c>
      <c r="G21" s="8" t="n">
        <v>674620.563</v>
      </c>
      <c r="H21" s="9" t="n">
        <v>904350</v>
      </c>
      <c r="I21" s="10"/>
      <c r="J21" s="11" t="n">
        <v>3.08286666666667</v>
      </c>
      <c r="K21" s="8" t="n">
        <v>3.111</v>
      </c>
    </row>
    <row r="22" customFormat="false" ht="15" hidden="false" customHeight="false" outlineLevel="0" collapsed="false">
      <c r="A22" s="7" t="n">
        <v>39326</v>
      </c>
      <c r="B22" s="0" t="s">
        <v>95</v>
      </c>
      <c r="C22" s="8" t="n">
        <v>624446.895</v>
      </c>
      <c r="D22" s="8" t="n">
        <v>412291.876</v>
      </c>
      <c r="E22" s="8" t="n">
        <v>66182.353</v>
      </c>
      <c r="F22" s="8" t="n">
        <v>125653.674</v>
      </c>
      <c r="G22" s="8" t="n">
        <v>610425.694</v>
      </c>
      <c r="H22" s="9" t="n">
        <v>914104</v>
      </c>
      <c r="I22" s="10"/>
      <c r="J22" s="11" t="n">
        <v>3.13801333333333</v>
      </c>
      <c r="K22" s="8" t="n">
        <v>3.18166666666667</v>
      </c>
    </row>
    <row r="23" customFormat="false" ht="15" hidden="false" customHeight="false" outlineLevel="0" collapsed="false">
      <c r="A23" s="7" t="n">
        <v>39417</v>
      </c>
      <c r="B23" s="0" t="s">
        <v>96</v>
      </c>
      <c r="C23" s="8" t="n">
        <v>643766.543</v>
      </c>
      <c r="D23" s="8" t="n">
        <v>419150.79</v>
      </c>
      <c r="E23" s="8" t="n">
        <v>67468.668</v>
      </c>
      <c r="F23" s="8" t="n">
        <v>129139.781</v>
      </c>
      <c r="G23" s="8" t="n">
        <v>625876.868</v>
      </c>
      <c r="H23" s="9" t="n">
        <v>995079</v>
      </c>
      <c r="I23" s="10"/>
      <c r="J23" s="11" t="n">
        <v>3.14507666666667</v>
      </c>
      <c r="K23" s="8" t="n">
        <v>3.17466666666667</v>
      </c>
    </row>
    <row r="24" customFormat="false" ht="15" hidden="false" customHeight="false" outlineLevel="0" collapsed="false">
      <c r="A24" s="7" t="n">
        <v>39508</v>
      </c>
      <c r="B24" s="0" t="s">
        <v>97</v>
      </c>
      <c r="C24" s="8" t="n">
        <v>650003.257</v>
      </c>
      <c r="D24" s="8" t="n">
        <v>436248.074</v>
      </c>
      <c r="E24" s="8" t="n">
        <v>68277.412</v>
      </c>
      <c r="F24" s="8" t="n">
        <v>139051.967</v>
      </c>
      <c r="G24" s="8" t="n">
        <v>616720.357</v>
      </c>
      <c r="H24" s="9" t="n">
        <v>1032357</v>
      </c>
      <c r="I24" s="10"/>
      <c r="J24" s="11" t="n">
        <v>3.15340666666667</v>
      </c>
      <c r="K24" s="8" t="n">
        <v>3.177</v>
      </c>
    </row>
    <row r="25" customFormat="false" ht="15" hidden="false" customHeight="false" outlineLevel="0" collapsed="false">
      <c r="A25" s="7" t="n">
        <v>39600</v>
      </c>
      <c r="B25" s="0" t="s">
        <v>98</v>
      </c>
      <c r="C25" s="8" t="n">
        <v>653467.954</v>
      </c>
      <c r="D25" s="8" t="n">
        <v>443435.138</v>
      </c>
      <c r="E25" s="8" t="n">
        <v>69644.284</v>
      </c>
      <c r="F25" s="8" t="n">
        <v>142263.681</v>
      </c>
      <c r="G25" s="8" t="n">
        <v>711405.5</v>
      </c>
      <c r="H25" s="9" t="n">
        <v>1213883</v>
      </c>
      <c r="I25" s="10"/>
      <c r="J25" s="11" t="n">
        <v>3.12105666666667</v>
      </c>
      <c r="K25" s="8" t="n">
        <v>3.18466666666667</v>
      </c>
    </row>
    <row r="26" customFormat="false" ht="15" hidden="false" customHeight="false" outlineLevel="0" collapsed="false">
      <c r="A26" s="7" t="n">
        <v>39692</v>
      </c>
      <c r="B26" s="0" t="s">
        <v>99</v>
      </c>
      <c r="C26" s="8" t="n">
        <v>657695.284</v>
      </c>
      <c r="D26" s="8" t="n">
        <v>435469.491</v>
      </c>
      <c r="E26" s="8" t="n">
        <v>70201.012</v>
      </c>
      <c r="F26" s="8" t="n">
        <v>134229.042</v>
      </c>
      <c r="G26" s="8" t="n">
        <v>647087.96</v>
      </c>
      <c r="H26" s="9" t="n">
        <v>1183692</v>
      </c>
      <c r="I26" s="10"/>
      <c r="J26" s="11" t="n">
        <v>3.04647666666667</v>
      </c>
      <c r="K26" s="8" t="n">
        <v>3.08633333333333</v>
      </c>
    </row>
    <row r="27" customFormat="false" ht="15" hidden="false" customHeight="false" outlineLevel="0" collapsed="false">
      <c r="A27" s="7" t="n">
        <v>39783</v>
      </c>
      <c r="B27" s="0" t="s">
        <v>100</v>
      </c>
      <c r="C27" s="8" t="n">
        <v>627538.144</v>
      </c>
      <c r="D27" s="8" t="n">
        <v>429080.864</v>
      </c>
      <c r="E27" s="8" t="n">
        <v>70159.29</v>
      </c>
      <c r="F27" s="8" t="n">
        <v>119856.369</v>
      </c>
      <c r="G27" s="8" t="n">
        <v>613490.822</v>
      </c>
      <c r="H27" s="9" t="n">
        <v>1168652</v>
      </c>
      <c r="I27" s="10"/>
      <c r="J27" s="11" t="n">
        <v>3.33267333333333</v>
      </c>
      <c r="K27" s="8" t="n">
        <v>3.39166666666667</v>
      </c>
    </row>
    <row r="28" customFormat="false" ht="15" hidden="false" customHeight="false" outlineLevel="0" collapsed="false">
      <c r="A28" s="7" t="n">
        <v>39873</v>
      </c>
      <c r="B28" s="0" t="s">
        <v>101</v>
      </c>
      <c r="C28" s="8" t="n">
        <v>604940.284</v>
      </c>
      <c r="D28" s="8" t="n">
        <v>410138.801</v>
      </c>
      <c r="E28" s="8" t="n">
        <v>70950.321</v>
      </c>
      <c r="F28" s="8" t="n">
        <v>103713.597</v>
      </c>
      <c r="G28" s="8" t="n">
        <v>578553.044</v>
      </c>
      <c r="H28" s="9" t="n">
        <v>1112307</v>
      </c>
      <c r="I28" s="10"/>
      <c r="J28" s="11" t="n">
        <v>3.54428666666667</v>
      </c>
      <c r="K28" s="8" t="n">
        <v>3.61666666666667</v>
      </c>
    </row>
    <row r="29" customFormat="false" ht="15" hidden="false" customHeight="false" outlineLevel="0" collapsed="false">
      <c r="A29" s="7" t="n">
        <v>39965</v>
      </c>
      <c r="B29" s="0" t="s">
        <v>102</v>
      </c>
      <c r="C29" s="8" t="n">
        <v>590529.028</v>
      </c>
      <c r="D29" s="8" t="n">
        <v>392881.86</v>
      </c>
      <c r="E29" s="8" t="n">
        <v>71924.292</v>
      </c>
      <c r="F29" s="8" t="n">
        <v>97931.009</v>
      </c>
      <c r="G29" s="8" t="n">
        <v>631197.752</v>
      </c>
      <c r="H29" s="9" t="n">
        <v>1251465</v>
      </c>
      <c r="I29" s="10"/>
      <c r="J29" s="11" t="n">
        <v>3.72930333333333</v>
      </c>
      <c r="K29" s="8" t="n">
        <v>3.781</v>
      </c>
    </row>
    <row r="30" customFormat="false" ht="15" hidden="false" customHeight="false" outlineLevel="0" collapsed="false">
      <c r="A30" s="7" t="n">
        <v>40057</v>
      </c>
      <c r="B30" s="0" t="s">
        <v>103</v>
      </c>
      <c r="C30" s="8" t="n">
        <v>613800.257</v>
      </c>
      <c r="D30" s="8" t="n">
        <v>426604.676</v>
      </c>
      <c r="E30" s="8" t="n">
        <v>74810.009</v>
      </c>
      <c r="F30" s="8" t="n">
        <v>103383.817</v>
      </c>
      <c r="G30" s="8" t="n">
        <v>610519.855</v>
      </c>
      <c r="H30" s="9" t="n">
        <v>1269735</v>
      </c>
      <c r="I30" s="10"/>
      <c r="J30" s="11" t="n">
        <v>3.83043</v>
      </c>
      <c r="K30" s="8" t="n">
        <v>3.857</v>
      </c>
    </row>
    <row r="31" customFormat="false" ht="15" hidden="false" customHeight="false" outlineLevel="0" collapsed="false">
      <c r="A31" s="7" t="n">
        <v>40148</v>
      </c>
      <c r="B31" s="0" t="s">
        <v>104</v>
      </c>
      <c r="C31" s="8" t="n">
        <v>626221.937</v>
      </c>
      <c r="D31" s="8" t="n">
        <v>420460.572</v>
      </c>
      <c r="E31" s="8" t="n">
        <v>76276.492</v>
      </c>
      <c r="F31" s="8" t="n">
        <v>109517.345</v>
      </c>
      <c r="G31" s="8" t="n">
        <v>615220.855</v>
      </c>
      <c r="H31" s="9" t="n">
        <v>1358210</v>
      </c>
      <c r="I31" s="10"/>
      <c r="J31" s="11" t="n">
        <v>3.81442666666667</v>
      </c>
      <c r="K31" s="8" t="n">
        <v>3.823</v>
      </c>
    </row>
    <row r="32" customFormat="false" ht="15" hidden="false" customHeight="false" outlineLevel="0" collapsed="false">
      <c r="A32" s="7" t="n">
        <v>40238</v>
      </c>
      <c r="B32" s="0" t="s">
        <v>105</v>
      </c>
      <c r="C32" s="8" t="n">
        <v>645513.997</v>
      </c>
      <c r="D32" s="8" t="n">
        <v>440950.582</v>
      </c>
      <c r="E32" s="8" t="n">
        <v>76147.371</v>
      </c>
      <c r="F32" s="8" t="n">
        <v>118311.455</v>
      </c>
      <c r="G32" s="8" t="n">
        <v>611607.337</v>
      </c>
      <c r="H32" s="9" t="n">
        <v>1418858</v>
      </c>
      <c r="I32" s="10"/>
      <c r="J32" s="11" t="n">
        <v>3.83917333333333</v>
      </c>
      <c r="K32" s="8" t="n">
        <v>3.89966666666667</v>
      </c>
    </row>
    <row r="33" customFormat="false" ht="15" hidden="false" customHeight="false" outlineLevel="0" collapsed="false">
      <c r="A33" s="7" t="n">
        <v>40330</v>
      </c>
      <c r="B33" s="0" t="s">
        <v>106</v>
      </c>
      <c r="C33" s="8" t="n">
        <v>674164.235</v>
      </c>
      <c r="D33" s="8" t="n">
        <v>457719.237</v>
      </c>
      <c r="E33" s="8" t="n">
        <v>77531.513</v>
      </c>
      <c r="F33" s="8" t="n">
        <v>129032.371</v>
      </c>
      <c r="G33" s="8" t="n">
        <v>733730.774</v>
      </c>
      <c r="H33" s="9" t="n">
        <v>1686067</v>
      </c>
      <c r="I33" s="10"/>
      <c r="J33" s="11" t="n">
        <v>3.90137666666667</v>
      </c>
      <c r="K33" s="8" t="n">
        <v>3.95</v>
      </c>
    </row>
    <row r="34" customFormat="false" ht="15" hidden="false" customHeight="false" outlineLevel="0" collapsed="false">
      <c r="A34" s="7" t="n">
        <v>40422</v>
      </c>
      <c r="B34" s="0" t="s">
        <v>107</v>
      </c>
      <c r="C34" s="8" t="n">
        <v>676995.54</v>
      </c>
      <c r="D34" s="8" t="n">
        <v>462315.451</v>
      </c>
      <c r="E34" s="8" t="n">
        <v>76551.465</v>
      </c>
      <c r="F34" s="8" t="n">
        <v>133774.825</v>
      </c>
      <c r="G34" s="8" t="n">
        <v>668566.509</v>
      </c>
      <c r="H34" s="9" t="n">
        <v>1712835</v>
      </c>
      <c r="I34" s="10"/>
      <c r="J34" s="11" t="n">
        <v>3.94155</v>
      </c>
      <c r="K34" s="8" t="n">
        <v>4.00666666666667</v>
      </c>
    </row>
    <row r="35" customFormat="false" ht="15" hidden="false" customHeight="false" outlineLevel="0" collapsed="false">
      <c r="A35" s="7" t="n">
        <v>40513</v>
      </c>
      <c r="B35" s="0" t="s">
        <v>108</v>
      </c>
      <c r="C35" s="8" t="n">
        <v>685420.945</v>
      </c>
      <c r="D35" s="8" t="n">
        <v>473715.394</v>
      </c>
      <c r="E35" s="8" t="n">
        <v>79758.041</v>
      </c>
      <c r="F35" s="8" t="n">
        <v>142264.382</v>
      </c>
      <c r="G35" s="8" t="n">
        <v>668190.098</v>
      </c>
      <c r="H35" s="9" t="n">
        <v>1829124</v>
      </c>
      <c r="I35" s="10"/>
      <c r="J35" s="11" t="n">
        <v>3.96725</v>
      </c>
      <c r="K35" s="8" t="n">
        <v>4.04366666666667</v>
      </c>
    </row>
    <row r="36" customFormat="false" ht="15" hidden="false" customHeight="false" outlineLevel="0" collapsed="false">
      <c r="A36" s="7" t="n">
        <v>40603</v>
      </c>
      <c r="B36" s="0" t="s">
        <v>109</v>
      </c>
      <c r="C36" s="8" t="n">
        <v>701686.921</v>
      </c>
      <c r="D36" s="8" t="n">
        <v>488345.016</v>
      </c>
      <c r="E36" s="8" t="n">
        <v>79621.178</v>
      </c>
      <c r="F36" s="8" t="n">
        <v>149901.36</v>
      </c>
      <c r="G36" s="8" t="n">
        <v>662325.586</v>
      </c>
      <c r="H36" s="9" t="n">
        <v>1888827</v>
      </c>
      <c r="I36" s="10"/>
      <c r="J36" s="11" t="n">
        <v>4.01408</v>
      </c>
      <c r="K36" s="8" t="n">
        <v>4.143</v>
      </c>
    </row>
    <row r="37" customFormat="false" ht="15" hidden="false" customHeight="false" outlineLevel="0" collapsed="false">
      <c r="A37" s="7" t="n">
        <v>40695</v>
      </c>
      <c r="B37" s="0" t="s">
        <v>110</v>
      </c>
      <c r="C37" s="8" t="n">
        <v>710326.155</v>
      </c>
      <c r="D37" s="8" t="n">
        <v>496352.551</v>
      </c>
      <c r="E37" s="8" t="n">
        <v>81079.657</v>
      </c>
      <c r="F37" s="8" t="n">
        <v>153356.923</v>
      </c>
      <c r="G37" s="8" t="n">
        <v>766332.955</v>
      </c>
      <c r="H37" s="9" t="n">
        <v>2237124</v>
      </c>
      <c r="I37" s="10"/>
      <c r="J37" s="11" t="n">
        <v>4.08201666666667</v>
      </c>
      <c r="K37" s="8" t="n">
        <v>4.26366666666667</v>
      </c>
    </row>
    <row r="38" customFormat="false" ht="15" hidden="false" customHeight="false" outlineLevel="0" collapsed="false">
      <c r="A38" s="7" t="n">
        <v>40787</v>
      </c>
      <c r="B38" s="0" t="s">
        <v>111</v>
      </c>
      <c r="C38" s="8" t="n">
        <v>715883.911</v>
      </c>
      <c r="D38" s="8" t="n">
        <v>510643.56</v>
      </c>
      <c r="E38" s="8" t="n">
        <v>81880.489</v>
      </c>
      <c r="F38" s="8" t="n">
        <v>157856.26</v>
      </c>
      <c r="G38" s="8" t="n">
        <v>711417.392</v>
      </c>
      <c r="H38" s="9" t="n">
        <v>2250487</v>
      </c>
      <c r="I38" s="10"/>
      <c r="J38" s="11" t="n">
        <v>4.16678333333333</v>
      </c>
      <c r="K38" s="8" t="n">
        <v>4.365</v>
      </c>
    </row>
    <row r="39" customFormat="false" ht="15" hidden="false" customHeight="false" outlineLevel="0" collapsed="false">
      <c r="A39" s="7" t="n">
        <v>40878</v>
      </c>
      <c r="B39" s="0" t="s">
        <v>112</v>
      </c>
      <c r="C39" s="8" t="n">
        <v>715229.402</v>
      </c>
      <c r="D39" s="8" t="n">
        <v>511247.487</v>
      </c>
      <c r="E39" s="8" t="n">
        <v>81557.755</v>
      </c>
      <c r="F39" s="8" t="n">
        <v>153221.797</v>
      </c>
      <c r="G39" s="8" t="n">
        <v>703050.456</v>
      </c>
      <c r="H39" s="9" t="n">
        <v>2339658</v>
      </c>
      <c r="I39" s="10"/>
      <c r="J39" s="11" t="n">
        <v>4.25717666666667</v>
      </c>
      <c r="K39" s="8" t="n">
        <v>4.602</v>
      </c>
    </row>
    <row r="40" customFormat="false" ht="15" hidden="false" customHeight="false" outlineLevel="0" collapsed="false">
      <c r="A40" s="7" t="n">
        <v>40969</v>
      </c>
      <c r="B40" s="0" t="s">
        <v>113</v>
      </c>
      <c r="C40" s="8" t="n">
        <v>708348.861</v>
      </c>
      <c r="D40" s="8" t="n">
        <v>499862.9</v>
      </c>
      <c r="E40" s="8" t="n">
        <v>82408.506</v>
      </c>
      <c r="F40" s="8" t="n">
        <v>145161.638</v>
      </c>
      <c r="G40" s="8" t="n">
        <v>672685.994</v>
      </c>
      <c r="H40" s="9" t="n">
        <v>2345560</v>
      </c>
      <c r="I40" s="10"/>
      <c r="J40" s="11" t="n">
        <v>4.34134</v>
      </c>
      <c r="K40" s="8" t="n">
        <v>4.77933333333333</v>
      </c>
    </row>
    <row r="41" customFormat="false" ht="15" hidden="false" customHeight="false" outlineLevel="0" collapsed="false">
      <c r="A41" s="7" t="n">
        <v>41061</v>
      </c>
      <c r="B41" s="0" t="s">
        <v>114</v>
      </c>
      <c r="C41" s="8" t="n">
        <v>683593.316</v>
      </c>
      <c r="D41" s="8" t="n">
        <v>493768.877</v>
      </c>
      <c r="E41" s="8" t="n">
        <v>82764.047</v>
      </c>
      <c r="F41" s="8" t="n">
        <v>133906.717</v>
      </c>
      <c r="G41" s="8" t="n">
        <v>730838.273</v>
      </c>
      <c r="H41" s="9" t="n">
        <v>2651098</v>
      </c>
      <c r="I41" s="10"/>
      <c r="J41" s="11" t="n">
        <v>4.44972666666667</v>
      </c>
      <c r="K41" s="8" t="n">
        <v>5.468</v>
      </c>
    </row>
    <row r="42" customFormat="false" ht="15" hidden="false" customHeight="false" outlineLevel="0" collapsed="false">
      <c r="A42" s="7" t="n">
        <v>41153</v>
      </c>
      <c r="B42" s="0" t="s">
        <v>115</v>
      </c>
      <c r="C42" s="8" t="n">
        <v>705293.744</v>
      </c>
      <c r="D42" s="8" t="n">
        <v>515643.412</v>
      </c>
      <c r="E42" s="8" t="n">
        <v>84004.922</v>
      </c>
      <c r="F42" s="8" t="n">
        <v>143391.774</v>
      </c>
      <c r="G42" s="8" t="n">
        <v>703461.653</v>
      </c>
      <c r="H42" s="9" t="n">
        <v>2704828</v>
      </c>
      <c r="I42" s="10" t="n">
        <v>29.7398333333333</v>
      </c>
      <c r="J42" s="11" t="n">
        <v>4.61160666666667</v>
      </c>
      <c r="K42" s="8" t="n">
        <v>6.28666666666667</v>
      </c>
    </row>
    <row r="43" customFormat="false" ht="15" hidden="false" customHeight="false" outlineLevel="0" collapsed="false">
      <c r="A43" s="7" t="n">
        <v>41244</v>
      </c>
      <c r="B43" s="0" t="s">
        <v>116</v>
      </c>
      <c r="C43" s="8" t="n">
        <v>716708.036</v>
      </c>
      <c r="D43" s="8" t="n">
        <v>519592.212</v>
      </c>
      <c r="E43" s="8" t="n">
        <v>84715.909</v>
      </c>
      <c r="F43" s="8" t="n">
        <v>148410.679</v>
      </c>
      <c r="G43" s="8" t="n">
        <v>706958.039</v>
      </c>
      <c r="H43" s="9" t="n">
        <v>2850170</v>
      </c>
      <c r="I43" s="10" t="n">
        <v>31.3387</v>
      </c>
      <c r="J43" s="11" t="n">
        <v>4.80352</v>
      </c>
      <c r="K43" s="8" t="n">
        <v>6.39166666666667</v>
      </c>
    </row>
    <row r="44" customFormat="false" ht="15" hidden="false" customHeight="false" outlineLevel="0" collapsed="false">
      <c r="A44" s="7" t="n">
        <v>41334</v>
      </c>
      <c r="B44" s="0" t="s">
        <v>117</v>
      </c>
      <c r="C44" s="8" t="n">
        <v>715943.738</v>
      </c>
      <c r="D44" s="8" t="n">
        <v>514386.795</v>
      </c>
      <c r="E44" s="8" t="n">
        <v>86326.806</v>
      </c>
      <c r="F44" s="8" t="n">
        <v>145735.999</v>
      </c>
      <c r="G44" s="8" t="n">
        <v>677085.529</v>
      </c>
      <c r="H44" s="9" t="n">
        <v>2888981</v>
      </c>
      <c r="I44" s="10" t="n">
        <v>33.1054333333333</v>
      </c>
      <c r="J44" s="11" t="n">
        <v>5.01564666666667</v>
      </c>
      <c r="K44" s="8" t="n">
        <v>7.721</v>
      </c>
    </row>
    <row r="45" customFormat="false" ht="15" hidden="false" customHeight="false" outlineLevel="0" collapsed="false">
      <c r="A45" s="7" t="n">
        <v>41426</v>
      </c>
      <c r="B45" s="0" t="s">
        <v>118</v>
      </c>
      <c r="C45" s="8" t="n">
        <v>720882.852</v>
      </c>
      <c r="D45" s="8" t="n">
        <v>517251.738</v>
      </c>
      <c r="E45" s="8" t="n">
        <v>87404.109</v>
      </c>
      <c r="F45" s="8" t="n">
        <v>147670.815</v>
      </c>
      <c r="G45" s="8" t="n">
        <v>776486.603</v>
      </c>
      <c r="H45" s="9" t="n">
        <v>3387811</v>
      </c>
      <c r="I45" s="10" t="n">
        <v>34.7982333333333</v>
      </c>
      <c r="J45" s="11" t="n">
        <v>5.24235666666667</v>
      </c>
      <c r="K45" s="8" t="n">
        <v>8.71166666666667</v>
      </c>
    </row>
    <row r="46" customFormat="false" ht="15" hidden="false" customHeight="false" outlineLevel="0" collapsed="false">
      <c r="A46" s="7" t="n">
        <v>41518</v>
      </c>
      <c r="B46" s="0" t="s">
        <v>119</v>
      </c>
      <c r="C46" s="8" t="n">
        <v>725588.382</v>
      </c>
      <c r="D46" s="8" t="n">
        <v>535655.927</v>
      </c>
      <c r="E46" s="8" t="n">
        <v>87951.009</v>
      </c>
      <c r="F46" s="8" t="n">
        <v>145972.588</v>
      </c>
      <c r="G46" s="8" t="n">
        <v>721458.944</v>
      </c>
      <c r="H46" s="9" t="n">
        <v>3436547</v>
      </c>
      <c r="I46" s="10" t="n">
        <v>37.0408</v>
      </c>
      <c r="J46" s="11" t="n">
        <v>5.58808</v>
      </c>
      <c r="K46" s="8" t="n">
        <v>8.82533333333333</v>
      </c>
    </row>
    <row r="47" customFormat="false" ht="15" hidden="false" customHeight="false" outlineLevel="0" collapsed="false">
      <c r="A47" s="7" t="n">
        <v>41609</v>
      </c>
      <c r="B47" s="0" t="s">
        <v>120</v>
      </c>
      <c r="C47" s="8" t="n">
        <v>719213.45</v>
      </c>
      <c r="D47" s="8" t="n">
        <v>535403.669</v>
      </c>
      <c r="E47" s="8" t="n">
        <v>89983.227</v>
      </c>
      <c r="F47" s="8" t="n">
        <v>144846.871</v>
      </c>
      <c r="G47" s="8" t="n">
        <v>706597.345</v>
      </c>
      <c r="H47" s="9" t="n">
        <v>3679896</v>
      </c>
      <c r="I47" s="10" t="n">
        <v>39.5626</v>
      </c>
      <c r="J47" s="11" t="n">
        <v>6.06685666666667</v>
      </c>
      <c r="K47" s="8" t="n">
        <v>9.723</v>
      </c>
    </row>
    <row r="48" customFormat="false" ht="15" hidden="false" customHeight="false" outlineLevel="0" collapsed="false">
      <c r="A48" s="7" t="n">
        <v>41699</v>
      </c>
      <c r="B48" s="0" t="s">
        <v>121</v>
      </c>
      <c r="C48" s="8" t="n">
        <v>708278.973</v>
      </c>
      <c r="D48" s="8" t="n">
        <v>521790.904</v>
      </c>
      <c r="E48" s="8" t="n">
        <v>90817.606</v>
      </c>
      <c r="F48" s="8" t="n">
        <v>141725.869</v>
      </c>
      <c r="G48" s="8" t="n">
        <v>671066.047</v>
      </c>
      <c r="H48" s="9" t="n">
        <v>3917649</v>
      </c>
      <c r="I48" s="10" t="n">
        <v>44.1826</v>
      </c>
      <c r="J48" s="11" t="n">
        <v>7.63224666666667</v>
      </c>
      <c r="K48" s="8" t="n">
        <v>11.3003333333333</v>
      </c>
    </row>
    <row r="49" customFormat="false" ht="15" hidden="false" customHeight="false" outlineLevel="0" collapsed="false">
      <c r="A49" s="7" t="n">
        <v>41791</v>
      </c>
      <c r="B49" s="0" t="s">
        <v>122</v>
      </c>
      <c r="C49" s="8" t="n">
        <v>702914.572</v>
      </c>
      <c r="D49" s="8" t="n">
        <v>498942.239</v>
      </c>
      <c r="E49" s="8" t="n">
        <v>89305.792</v>
      </c>
      <c r="F49" s="8" t="n">
        <v>139110.59</v>
      </c>
      <c r="G49" s="8" t="n">
        <v>760576.868</v>
      </c>
      <c r="H49" s="9" t="n">
        <v>4702630</v>
      </c>
      <c r="I49" s="10" t="n">
        <v>48.4746333333333</v>
      </c>
      <c r="J49" s="11" t="n">
        <v>8.05619333333333</v>
      </c>
      <c r="K49" s="8" t="n">
        <v>11.1253333333333</v>
      </c>
    </row>
    <row r="50" customFormat="false" ht="15" hidden="false" customHeight="false" outlineLevel="0" collapsed="false">
      <c r="A50" s="7" t="n">
        <v>41883</v>
      </c>
      <c r="B50" s="0" t="s">
        <v>123</v>
      </c>
      <c r="C50" s="8" t="n">
        <v>697281.493</v>
      </c>
      <c r="D50" s="8" t="n">
        <v>490465.141</v>
      </c>
      <c r="E50" s="8" t="n">
        <v>90467.767</v>
      </c>
      <c r="F50" s="8" t="n">
        <v>133831.348</v>
      </c>
      <c r="G50" s="8" t="n">
        <v>690879.798</v>
      </c>
      <c r="H50" s="9" t="n">
        <v>4685503</v>
      </c>
      <c r="I50" s="10" t="n">
        <v>51.8846333333333</v>
      </c>
      <c r="J50" s="11" t="n">
        <v>8.29845666666667</v>
      </c>
      <c r="K50" s="8" t="n">
        <v>13.411</v>
      </c>
    </row>
    <row r="51" customFormat="false" ht="15" hidden="false" customHeight="false" outlineLevel="0" collapsed="false">
      <c r="A51" s="7" t="n">
        <v>41974</v>
      </c>
      <c r="B51" s="0" t="s">
        <v>124</v>
      </c>
      <c r="C51" s="8" t="n">
        <v>700749.147</v>
      </c>
      <c r="D51" s="8" t="n">
        <v>499859.462</v>
      </c>
      <c r="E51" s="8" t="n">
        <v>91430.632</v>
      </c>
      <c r="F51" s="8" t="n">
        <v>130090.782</v>
      </c>
      <c r="G51" s="8" t="n">
        <v>686701.471</v>
      </c>
      <c r="H51" s="9" t="n">
        <v>5010564</v>
      </c>
      <c r="I51" s="10" t="n">
        <v>54.9944666666667</v>
      </c>
      <c r="J51" s="11" t="n">
        <v>8.51345</v>
      </c>
      <c r="K51" s="8" t="n">
        <v>13.7003333333333</v>
      </c>
    </row>
    <row r="52" customFormat="false" ht="15" hidden="false" customHeight="false" outlineLevel="0" collapsed="false">
      <c r="A52" s="7" t="n">
        <v>42064</v>
      </c>
      <c r="B52" s="0" t="s">
        <v>125</v>
      </c>
      <c r="C52" s="8" t="n">
        <v>710714.752</v>
      </c>
      <c r="D52" s="8" t="n">
        <v>508612.971</v>
      </c>
      <c r="E52" s="8" t="n">
        <v>94414.588</v>
      </c>
      <c r="F52" s="8" t="n">
        <v>138222.156</v>
      </c>
      <c r="G52" s="8" t="n">
        <v>672749.811</v>
      </c>
      <c r="H52" s="9" t="n">
        <v>5092694</v>
      </c>
      <c r="I52" s="10" t="n">
        <v>57.8225</v>
      </c>
      <c r="J52" s="11" t="n">
        <v>8.69027</v>
      </c>
      <c r="K52" s="8" t="n">
        <v>13.1726666666667</v>
      </c>
    </row>
    <row r="53" customFormat="false" ht="15" hidden="false" customHeight="false" outlineLevel="0" collapsed="false">
      <c r="A53" s="7" t="n">
        <v>42156</v>
      </c>
      <c r="B53" s="0" t="s">
        <v>126</v>
      </c>
      <c r="C53" s="8" t="n">
        <v>728934.835</v>
      </c>
      <c r="D53" s="8" t="n">
        <v>532927.695</v>
      </c>
      <c r="E53" s="8" t="n">
        <v>97682.915</v>
      </c>
      <c r="F53" s="8" t="n">
        <v>141538.902</v>
      </c>
      <c r="G53" s="8" t="n">
        <v>791235.966</v>
      </c>
      <c r="H53" s="9" t="n">
        <v>5951479</v>
      </c>
      <c r="I53" s="10" t="n">
        <v>61.2933333333333</v>
      </c>
      <c r="J53" s="11" t="n">
        <v>8.95316666666667</v>
      </c>
      <c r="K53" s="8" t="n">
        <v>12.6783333333333</v>
      </c>
    </row>
    <row r="54" customFormat="false" ht="15" hidden="false" customHeight="false" outlineLevel="0" collapsed="false">
      <c r="A54" s="7" t="n">
        <v>42248</v>
      </c>
      <c r="B54" s="0" t="s">
        <v>127</v>
      </c>
      <c r="C54" s="8" t="n">
        <v>727453.639</v>
      </c>
      <c r="D54" s="8" t="n">
        <v>522378.134</v>
      </c>
      <c r="E54" s="8" t="n">
        <v>97903.688</v>
      </c>
      <c r="F54" s="8" t="n">
        <v>142906.683</v>
      </c>
      <c r="G54" s="8" t="n">
        <v>718281.265</v>
      </c>
      <c r="H54" s="9" t="n">
        <v>6221731</v>
      </c>
      <c r="I54" s="10" t="n">
        <v>64.6946333333333</v>
      </c>
      <c r="J54" s="11" t="n">
        <v>9.25129666666667</v>
      </c>
      <c r="K54" s="8" t="n">
        <v>14.9973333333333</v>
      </c>
    </row>
    <row r="55" customFormat="false" ht="15" hidden="false" customHeight="false" outlineLevel="0" collapsed="false">
      <c r="A55" s="7" t="n">
        <v>42339</v>
      </c>
      <c r="B55" s="0" t="s">
        <v>128</v>
      </c>
      <c r="C55" s="8" t="n">
        <v>718845.361</v>
      </c>
      <c r="D55" s="8" t="n">
        <v>520667.162</v>
      </c>
      <c r="E55" s="8" t="n">
        <v>97166.662</v>
      </c>
      <c r="F55" s="8" t="n">
        <v>140953.14</v>
      </c>
      <c r="G55" s="8" t="n">
        <v>703681.544</v>
      </c>
      <c r="H55" s="9" t="n">
        <v>6552140</v>
      </c>
      <c r="I55" s="10" t="n">
        <v>68.6795666666667</v>
      </c>
      <c r="J55" s="11" t="n">
        <v>10.1747933333333</v>
      </c>
      <c r="K55" s="8" t="n">
        <v>15.082</v>
      </c>
    </row>
    <row r="56" customFormat="false" ht="15" hidden="false" customHeight="false" outlineLevel="0" collapsed="false">
      <c r="A56" s="7" t="n">
        <v>42430</v>
      </c>
      <c r="B56" s="0" t="s">
        <v>129</v>
      </c>
      <c r="C56" s="8" t="n">
        <v>713388.107</v>
      </c>
      <c r="D56" s="8" t="n">
        <v>520516.987</v>
      </c>
      <c r="E56" s="8" t="n">
        <v>96465.266</v>
      </c>
      <c r="F56" s="8" t="n">
        <v>134576.01</v>
      </c>
      <c r="G56" s="8" t="n">
        <v>677652.089</v>
      </c>
      <c r="H56" s="9" t="n">
        <v>7006645</v>
      </c>
      <c r="I56" s="10" t="n">
        <v>76.633</v>
      </c>
      <c r="J56" s="11" t="n">
        <v>14.4866066666667</v>
      </c>
      <c r="K56" s="8" t="n">
        <v>14.7833333333333</v>
      </c>
    </row>
    <row r="57" customFormat="false" ht="15" hidden="false" customHeight="false" outlineLevel="0" collapsed="false">
      <c r="A57" s="7" t="n">
        <v>42522</v>
      </c>
      <c r="B57" s="0" t="s">
        <v>130</v>
      </c>
      <c r="C57" s="8" t="n">
        <v>701514.773</v>
      </c>
      <c r="D57" s="8" t="n">
        <v>515989.48</v>
      </c>
      <c r="E57" s="8" t="n">
        <v>94350.786</v>
      </c>
      <c r="F57" s="8" t="n">
        <v>131382.332</v>
      </c>
      <c r="G57" s="8" t="n">
        <v>760703.28</v>
      </c>
      <c r="H57" s="9" t="n">
        <v>8414556</v>
      </c>
      <c r="I57" s="10" t="n">
        <v>88.2878</v>
      </c>
      <c r="J57" s="11" t="n">
        <v>14.23099</v>
      </c>
      <c r="K57" s="8" t="n">
        <v>14.4963333333333</v>
      </c>
    </row>
    <row r="58" customFormat="false" ht="15" hidden="false" customHeight="false" outlineLevel="0" collapsed="false">
      <c r="A58" s="7" t="n">
        <v>42614</v>
      </c>
      <c r="B58" s="0" t="s">
        <v>131</v>
      </c>
      <c r="C58" s="8" t="n">
        <v>703211.859</v>
      </c>
      <c r="D58" s="8" t="n">
        <v>513838.65</v>
      </c>
      <c r="E58" s="8" t="n">
        <v>96626.84</v>
      </c>
      <c r="F58" s="8" t="n">
        <v>131200.31</v>
      </c>
      <c r="G58" s="8" t="n">
        <v>694382.476</v>
      </c>
      <c r="H58" s="9" t="n">
        <v>8527629</v>
      </c>
      <c r="I58" s="10" t="n">
        <v>93.5306</v>
      </c>
      <c r="J58" s="11" t="n">
        <v>14.9491666666667</v>
      </c>
      <c r="K58" s="8" t="n">
        <v>15.1943333333333</v>
      </c>
    </row>
    <row r="59" customFormat="false" ht="15" hidden="false" customHeight="false" outlineLevel="0" collapsed="false">
      <c r="A59" s="7" t="n">
        <v>42705</v>
      </c>
      <c r="B59" s="0" t="s">
        <v>132</v>
      </c>
      <c r="C59" s="8" t="n">
        <v>707796.656</v>
      </c>
      <c r="D59" s="8" t="n">
        <v>517975.438</v>
      </c>
      <c r="E59" s="8" t="n">
        <v>97694.747</v>
      </c>
      <c r="F59" s="8" t="n">
        <v>133893.569</v>
      </c>
      <c r="G59" s="8" t="n">
        <v>693173.549</v>
      </c>
      <c r="H59" s="9" t="n">
        <v>8963808</v>
      </c>
      <c r="I59" s="10" t="n">
        <v>98.5429333333333</v>
      </c>
      <c r="J59" s="11" t="n">
        <v>15.4573066666667</v>
      </c>
      <c r="K59" s="8" t="n">
        <v>15.752</v>
      </c>
    </row>
    <row r="60" customFormat="false" ht="15" hidden="false" customHeight="false" outlineLevel="0" collapsed="false">
      <c r="A60" s="7" t="n">
        <v>42795</v>
      </c>
      <c r="B60" s="0" t="s">
        <v>133</v>
      </c>
      <c r="C60" s="8" t="n">
        <v>714701.004</v>
      </c>
      <c r="D60" s="8" t="n">
        <v>531030.937</v>
      </c>
      <c r="E60" s="8" t="n">
        <v>98159.584</v>
      </c>
      <c r="F60" s="8" t="n">
        <v>139328.965</v>
      </c>
      <c r="G60" s="8" t="n">
        <v>681444.766</v>
      </c>
      <c r="H60" s="9" t="n">
        <v>9240878</v>
      </c>
      <c r="I60" s="10" t="n">
        <v>103.806466666667</v>
      </c>
      <c r="J60" s="11" t="n">
        <v>15.6742233333333</v>
      </c>
      <c r="K60" s="8" t="n">
        <v>16.2476666666667</v>
      </c>
    </row>
    <row r="61" customFormat="false" ht="15" hidden="false" customHeight="false" outlineLevel="0" collapsed="false">
      <c r="A61" s="7" t="n">
        <v>42887</v>
      </c>
      <c r="B61" s="0" t="s">
        <v>134</v>
      </c>
      <c r="C61" s="8" t="n">
        <v>721713.658</v>
      </c>
      <c r="D61" s="8" t="n">
        <v>533213.036</v>
      </c>
      <c r="E61" s="8" t="n">
        <v>98371.791</v>
      </c>
      <c r="F61" s="8" t="n">
        <v>146886.612</v>
      </c>
      <c r="G61" s="8" t="n">
        <v>778401.676</v>
      </c>
      <c r="H61" s="9" t="n">
        <v>10558208</v>
      </c>
      <c r="I61" s="10" t="n">
        <v>110.448166666667</v>
      </c>
      <c r="J61" s="11" t="n">
        <v>15.73215</v>
      </c>
      <c r="K61" s="8" t="n">
        <v>15.979</v>
      </c>
    </row>
    <row r="62" customFormat="false" ht="15" hidden="false" customHeight="false" outlineLevel="0" collapsed="false">
      <c r="A62" s="7" t="n">
        <v>42979</v>
      </c>
      <c r="B62" s="0" t="s">
        <v>135</v>
      </c>
      <c r="C62" s="8" t="n">
        <v>731047.006</v>
      </c>
      <c r="D62" s="8" t="n">
        <v>541396.14</v>
      </c>
      <c r="E62" s="8" t="n">
        <v>99345.368</v>
      </c>
      <c r="F62" s="8" t="n">
        <v>154564.521</v>
      </c>
      <c r="G62" s="8" t="n">
        <v>721120.427</v>
      </c>
      <c r="H62" s="9" t="n">
        <v>11116422</v>
      </c>
      <c r="I62" s="10" t="n">
        <v>115.579666666667</v>
      </c>
      <c r="J62" s="11" t="n">
        <v>17.2848933333333</v>
      </c>
      <c r="K62" s="8" t="n">
        <v>17.7636666666667</v>
      </c>
    </row>
    <row r="63" customFormat="false" ht="15" hidden="false" customHeight="false" outlineLevel="0" collapsed="false">
      <c r="A63" s="7" t="n">
        <v>43070</v>
      </c>
      <c r="B63" s="0" t="s">
        <v>136</v>
      </c>
      <c r="C63" s="8" t="n">
        <v>738098.124</v>
      </c>
      <c r="D63" s="8" t="n">
        <v>548690.386</v>
      </c>
      <c r="E63" s="8" t="n">
        <v>99417.455</v>
      </c>
      <c r="F63" s="8" t="n">
        <v>161329.959</v>
      </c>
      <c r="G63" s="8" t="n">
        <v>724592.922</v>
      </c>
      <c r="H63" s="9" t="n">
        <v>11725406</v>
      </c>
      <c r="I63" s="10" t="n">
        <v>121.714133333333</v>
      </c>
      <c r="J63" s="11" t="n">
        <v>17.5551433333333</v>
      </c>
      <c r="K63" s="8" t="n">
        <v>17.908</v>
      </c>
    </row>
    <row r="64" customFormat="false" ht="15" hidden="false" customHeight="false" outlineLevel="0" collapsed="false">
      <c r="A64" s="7" t="n">
        <v>43160</v>
      </c>
      <c r="B64" s="0" t="s">
        <v>137</v>
      </c>
      <c r="C64" s="8" t="n">
        <v>734098.411</v>
      </c>
      <c r="D64" s="8" t="n">
        <v>546568.689</v>
      </c>
      <c r="E64" s="8" t="n">
        <v>97896.96</v>
      </c>
      <c r="F64" s="8" t="n">
        <v>161282.846</v>
      </c>
      <c r="G64" s="8" t="n">
        <v>707324.268</v>
      </c>
      <c r="H64" s="9" t="n">
        <v>12457790</v>
      </c>
      <c r="I64" s="10" t="n">
        <v>130.051566666667</v>
      </c>
      <c r="J64" s="11" t="n">
        <v>19.7044033333333</v>
      </c>
      <c r="K64" s="8" t="n">
        <v>19.975</v>
      </c>
    </row>
    <row r="65" customFormat="false" ht="15" hidden="false" customHeight="false" outlineLevel="0" collapsed="false">
      <c r="A65" s="7" t="n">
        <v>43252</v>
      </c>
      <c r="B65" s="0" t="s">
        <v>138</v>
      </c>
      <c r="C65" s="8" t="n">
        <v>703426.52</v>
      </c>
      <c r="D65" s="8" t="n">
        <v>540185.228</v>
      </c>
      <c r="E65" s="8" t="n">
        <v>97128.705</v>
      </c>
      <c r="F65" s="8" t="n">
        <v>149622.854</v>
      </c>
      <c r="G65" s="8" t="n">
        <v>747428.3</v>
      </c>
      <c r="H65" s="9" t="n">
        <v>14431394</v>
      </c>
      <c r="I65" s="10" t="n">
        <v>140.381933333333</v>
      </c>
      <c r="J65" s="11" t="n">
        <v>23.52607</v>
      </c>
      <c r="K65" s="8" t="n">
        <v>23.8966666666667</v>
      </c>
    </row>
    <row r="66" customFormat="false" ht="15" hidden="false" customHeight="false" outlineLevel="0" collapsed="false">
      <c r="A66" s="7" t="n">
        <v>43344</v>
      </c>
      <c r="B66" s="0" t="s">
        <v>139</v>
      </c>
      <c r="C66" s="8" t="n">
        <v>701416.021</v>
      </c>
      <c r="D66" s="8" t="n">
        <v>529845.891</v>
      </c>
      <c r="E66" s="8" t="n">
        <v>97071.384</v>
      </c>
      <c r="F66" s="8" t="n">
        <v>135904.151</v>
      </c>
      <c r="G66" s="8" t="n">
        <v>696101.584</v>
      </c>
      <c r="H66" s="9" t="n">
        <v>15276276</v>
      </c>
      <c r="I66" s="10" t="n">
        <v>156.5461</v>
      </c>
      <c r="J66" s="11" t="n">
        <v>32.0911566666667</v>
      </c>
      <c r="K66" s="8" t="n">
        <v>32.3513333333333</v>
      </c>
    </row>
    <row r="67" customFormat="false" ht="15" hidden="false" customHeight="false" outlineLevel="0" collapsed="false">
      <c r="A67" s="7" t="n">
        <v>43435</v>
      </c>
      <c r="B67" s="0" t="s">
        <v>140</v>
      </c>
      <c r="C67" s="8" t="n">
        <v>690568.82</v>
      </c>
      <c r="D67" s="8" t="n">
        <v>489350.329</v>
      </c>
      <c r="E67" s="8" t="n">
        <v>95720.517</v>
      </c>
      <c r="F67" s="8" t="n">
        <v>120705.082</v>
      </c>
      <c r="G67" s="8" t="n">
        <v>678655.62</v>
      </c>
      <c r="H67" s="9" t="n">
        <v>16813783</v>
      </c>
      <c r="I67" s="10" t="n">
        <v>179.3471</v>
      </c>
      <c r="J67" s="11" t="n">
        <v>37.1253366666667</v>
      </c>
      <c r="K67" s="8" t="n">
        <v>36.528</v>
      </c>
    </row>
    <row r="68" customFormat="false" ht="15" hidden="false" customHeight="false" outlineLevel="0" collapsed="false">
      <c r="A68" s="7" t="n">
        <v>43525</v>
      </c>
      <c r="B68" s="0" t="s">
        <v>141</v>
      </c>
      <c r="C68" s="8" t="n">
        <v>692977.788</v>
      </c>
      <c r="D68" s="8" t="n">
        <v>499058.592</v>
      </c>
      <c r="E68" s="8" t="n">
        <v>93150.586</v>
      </c>
      <c r="F68" s="8" t="n">
        <v>121370.452</v>
      </c>
      <c r="G68" s="8" t="n">
        <v>665848.715</v>
      </c>
      <c r="H68" s="9" t="n">
        <v>17484109</v>
      </c>
      <c r="I68" s="10" t="n">
        <v>197.4391</v>
      </c>
      <c r="J68" s="11" t="n">
        <v>39.1028833333333</v>
      </c>
      <c r="K68" s="8" t="n">
        <v>38.937</v>
      </c>
    </row>
    <row r="69" customFormat="false" ht="15" hidden="false" customHeight="false" outlineLevel="0" collapsed="false">
      <c r="A69" s="7" t="n">
        <v>43617</v>
      </c>
      <c r="B69" s="0" t="s">
        <v>142</v>
      </c>
      <c r="C69" s="8" t="n">
        <v>696856.654</v>
      </c>
      <c r="D69" s="8" t="n">
        <v>502080.623</v>
      </c>
      <c r="E69" s="8" t="n">
        <v>92357.045</v>
      </c>
      <c r="F69" s="8" t="n">
        <v>123729.954</v>
      </c>
      <c r="G69" s="8" t="n">
        <v>751784.461</v>
      </c>
      <c r="H69" s="9" t="n">
        <v>21233558</v>
      </c>
      <c r="I69" s="10" t="n">
        <v>219.385933333333</v>
      </c>
      <c r="J69" s="11" t="n">
        <v>43.95696</v>
      </c>
      <c r="K69" s="8" t="n">
        <v>44.4896666666667</v>
      </c>
    </row>
    <row r="70" customFormat="false" ht="15" hidden="false" customHeight="false" outlineLevel="0" collapsed="false">
      <c r="A70" s="7" t="n">
        <v>43709</v>
      </c>
      <c r="B70" s="0" t="s">
        <v>143</v>
      </c>
      <c r="C70" s="8" t="n">
        <v>696337.741</v>
      </c>
      <c r="D70" s="8" t="n">
        <v>499698.52</v>
      </c>
      <c r="E70" s="8" t="n">
        <v>89188.056</v>
      </c>
      <c r="F70" s="8" t="n">
        <v>121548.602</v>
      </c>
      <c r="G70" s="8" t="n">
        <v>683900.899</v>
      </c>
      <c r="H70" s="9" t="n">
        <v>22303884</v>
      </c>
      <c r="I70" s="10" t="n">
        <v>241.270633333333</v>
      </c>
      <c r="J70" s="11" t="n">
        <v>50.54492</v>
      </c>
      <c r="K70" s="8" t="n">
        <v>51.9556666666667</v>
      </c>
    </row>
    <row r="71" customFormat="false" ht="15" hidden="false" customHeight="false" outlineLevel="0" collapsed="false">
      <c r="A71" s="7" t="n">
        <v>43800</v>
      </c>
      <c r="B71" s="0" t="s">
        <v>144</v>
      </c>
      <c r="C71" s="8" t="n">
        <v>686723.032</v>
      </c>
      <c r="D71" s="8" t="n">
        <v>476082.718</v>
      </c>
      <c r="E71" s="8" t="n">
        <v>88301.058</v>
      </c>
      <c r="F71" s="8" t="n">
        <v>110338.483</v>
      </c>
      <c r="G71" s="8" t="n">
        <v>671361.14</v>
      </c>
      <c r="H71" s="9" t="n">
        <v>25212226</v>
      </c>
      <c r="I71" s="10" t="n">
        <v>272.9087</v>
      </c>
      <c r="J71" s="11" t="n">
        <v>59.3866366666667</v>
      </c>
      <c r="K71" s="8" t="n">
        <v>66.541</v>
      </c>
    </row>
    <row r="72" customFormat="false" ht="15" hidden="false" customHeight="false" outlineLevel="0" collapsed="false">
      <c r="A72" s="7" t="n">
        <v>43891</v>
      </c>
      <c r="B72" s="0" t="s">
        <v>145</v>
      </c>
      <c r="C72" s="8" t="n">
        <v>656405.462</v>
      </c>
      <c r="D72" s="8" t="n">
        <v>461300.787</v>
      </c>
      <c r="E72" s="8" t="n">
        <v>92144.235</v>
      </c>
      <c r="F72" s="8" t="n">
        <v>100833.016</v>
      </c>
      <c r="G72" s="8" t="n">
        <v>632389.354</v>
      </c>
      <c r="H72" s="9" t="n">
        <v>24999988</v>
      </c>
      <c r="I72" s="10" t="n">
        <v>297.0158</v>
      </c>
      <c r="J72" s="11" t="n">
        <v>61.4968266666667</v>
      </c>
      <c r="K72" s="8" t="n">
        <v>77.2543333333333</v>
      </c>
    </row>
    <row r="73" customFormat="false" ht="15" hidden="false" customHeight="false" outlineLevel="0" collapsed="false">
      <c r="A73" s="7" t="n">
        <v>43983</v>
      </c>
      <c r="B73" s="0" t="s">
        <v>146</v>
      </c>
      <c r="C73" s="8" t="n">
        <v>563484.662</v>
      </c>
      <c r="D73" s="8" t="n">
        <v>395002.518</v>
      </c>
      <c r="E73" s="8" t="n">
        <v>86851.051</v>
      </c>
      <c r="F73" s="8" t="n">
        <v>76419.56</v>
      </c>
      <c r="G73" s="8" t="n">
        <v>609379.989</v>
      </c>
      <c r="H73" s="9" t="n">
        <v>24025362</v>
      </c>
      <c r="I73" s="10" t="n">
        <v>315.668933333333</v>
      </c>
      <c r="J73" s="11" t="n">
        <v>67.6782166666667</v>
      </c>
      <c r="K73" s="8" t="n">
        <v>113.169</v>
      </c>
    </row>
    <row r="74" customFormat="false" ht="15" hidden="false" customHeight="false" outlineLevel="0" collapsed="false">
      <c r="A74" s="7" t="n">
        <v>44075</v>
      </c>
      <c r="B74" s="0" t="s">
        <v>147</v>
      </c>
      <c r="C74" s="8" t="n">
        <v>623894.442</v>
      </c>
      <c r="D74" s="8" t="n">
        <v>428108.77</v>
      </c>
      <c r="E74" s="8" t="n">
        <v>87786.334</v>
      </c>
      <c r="F74" s="8" t="n">
        <v>109863.886</v>
      </c>
      <c r="G74" s="8" t="n">
        <v>614192.478</v>
      </c>
      <c r="H74" s="9" t="n">
        <v>27536380</v>
      </c>
      <c r="I74" s="10" t="n">
        <v>337.2951</v>
      </c>
      <c r="J74" s="11" t="n">
        <v>73.3270533333333</v>
      </c>
      <c r="K74" s="8" t="n">
        <v>131.332666666667</v>
      </c>
    </row>
    <row r="75" customFormat="false" ht="15" hidden="false" customHeight="false" outlineLevel="0" collapsed="false">
      <c r="A75" s="7" t="n">
        <v>44166</v>
      </c>
      <c r="B75" s="0" t="s">
        <v>148</v>
      </c>
      <c r="C75" s="8" t="n">
        <v>654580.579</v>
      </c>
      <c r="D75" s="8" t="n">
        <v>451890.161</v>
      </c>
      <c r="E75" s="8" t="n">
        <v>88876.884</v>
      </c>
      <c r="F75" s="8" t="n">
        <v>127548.045</v>
      </c>
      <c r="G75" s="8" t="n">
        <v>642403.323</v>
      </c>
      <c r="H75" s="9" t="n">
        <v>32277527</v>
      </c>
      <c r="I75" s="10" t="n">
        <v>372.1869</v>
      </c>
      <c r="J75" s="11" t="n">
        <v>80.0810766666667</v>
      </c>
      <c r="K75" s="8" t="n">
        <v>158.395333333333</v>
      </c>
    </row>
    <row r="76" customFormat="false" ht="15" hidden="false" customHeight="false" outlineLevel="0" collapsed="false">
      <c r="A76" s="7" t="n">
        <v>44256</v>
      </c>
      <c r="B76" s="0" t="s">
        <v>149</v>
      </c>
      <c r="C76" s="8" t="n">
        <v>677169.138</v>
      </c>
      <c r="D76" s="8" t="n">
        <v>463333.189</v>
      </c>
      <c r="E76" s="8" t="n">
        <v>92261.121</v>
      </c>
      <c r="F76" s="8" t="n">
        <v>137749.855</v>
      </c>
      <c r="G76" s="8" t="n">
        <v>652831.977</v>
      </c>
      <c r="H76" s="9" t="n">
        <v>36785110</v>
      </c>
      <c r="I76" s="10" t="n">
        <v>417.7441</v>
      </c>
      <c r="J76" s="11" t="n">
        <v>88.57195</v>
      </c>
      <c r="K76" s="8" t="n">
        <v>147.644666666667</v>
      </c>
    </row>
    <row r="77" customFormat="false" ht="15" hidden="false" customHeight="false" outlineLevel="0" collapsed="false">
      <c r="A77" s="7" t="n">
        <v>44348</v>
      </c>
      <c r="B77" s="0" t="s">
        <v>150</v>
      </c>
      <c r="C77" s="8" t="n">
        <v>679096.314</v>
      </c>
      <c r="D77" s="8" t="n">
        <v>467218.392</v>
      </c>
      <c r="E77" s="8" t="n">
        <v>92611.21</v>
      </c>
      <c r="F77" s="8" t="n">
        <v>136073.458</v>
      </c>
      <c r="G77" s="8" t="n">
        <v>723516.622</v>
      </c>
      <c r="H77" s="9" t="n">
        <v>46340281</v>
      </c>
      <c r="I77" s="10" t="n">
        <v>468.660066666667</v>
      </c>
      <c r="J77" s="11" t="n">
        <v>94.0741666666667</v>
      </c>
      <c r="K77" s="8" t="n">
        <v>151.4</v>
      </c>
    </row>
    <row r="78" customFormat="false" ht="15" hidden="false" customHeight="false" outlineLevel="0" collapsed="false">
      <c r="A78" s="7" t="n">
        <v>44440</v>
      </c>
      <c r="B78" s="0" t="s">
        <v>151</v>
      </c>
      <c r="C78" s="8" t="n">
        <v>693100.336</v>
      </c>
      <c r="D78" s="8" t="n">
        <v>474677.997</v>
      </c>
      <c r="E78" s="8" t="n">
        <v>96279.133</v>
      </c>
      <c r="F78" s="8" t="n">
        <v>135003.221</v>
      </c>
      <c r="G78" s="8" t="n">
        <v>686756.468</v>
      </c>
      <c r="H78" s="9" t="n">
        <v>47462529</v>
      </c>
      <c r="I78" s="10" t="n">
        <v>512.3299</v>
      </c>
      <c r="J78" s="11" t="n">
        <v>97.2416</v>
      </c>
      <c r="K78" s="8" t="n">
        <v>178.669</v>
      </c>
    </row>
    <row r="79" customFormat="false" ht="15" hidden="false" customHeight="false" outlineLevel="0" collapsed="false">
      <c r="A79" s="7" t="n">
        <v>44531</v>
      </c>
      <c r="B79" s="0" t="s">
        <v>152</v>
      </c>
      <c r="C79" s="8" t="n">
        <v>709873.949</v>
      </c>
      <c r="D79" s="8" t="n">
        <v>495434.404</v>
      </c>
      <c r="E79" s="8" t="n">
        <v>99846.23</v>
      </c>
      <c r="F79" s="8" t="n">
        <v>146892.439</v>
      </c>
      <c r="G79" s="8" t="n">
        <v>696134.669</v>
      </c>
      <c r="H79" s="9" t="n">
        <v>54288414</v>
      </c>
      <c r="I79" s="10" t="n">
        <v>563.485366666667</v>
      </c>
      <c r="J79" s="11" t="n">
        <v>100.495853333333</v>
      </c>
      <c r="K79" s="8" t="n">
        <v>194.78</v>
      </c>
    </row>
    <row r="80" customFormat="false" ht="15" hidden="false" customHeight="false" outlineLevel="0" collapsed="false">
      <c r="A80" s="7" t="n">
        <v>44621</v>
      </c>
      <c r="B80" s="0" t="s">
        <v>153</v>
      </c>
      <c r="C80" s="8" t="n">
        <v>726931.818</v>
      </c>
      <c r="D80" s="8" t="n">
        <v>508532.07</v>
      </c>
      <c r="E80" s="8" t="n">
        <v>98711.252</v>
      </c>
      <c r="F80" s="8" t="n">
        <v>152776.131</v>
      </c>
      <c r="G80" s="8" t="n">
        <v>697625.285</v>
      </c>
      <c r="H80" s="9" t="n">
        <v>60345325</v>
      </c>
      <c r="I80" s="10" t="n">
        <v>638.174133333333</v>
      </c>
      <c r="J80" s="11" t="n">
        <v>106.582693333333</v>
      </c>
      <c r="K80" s="8" t="n">
        <v>207.156666666667</v>
      </c>
    </row>
    <row r="81" customFormat="false" ht="15" hidden="false" customHeight="false" outlineLevel="0" collapsed="false">
      <c r="A81" s="7" t="n">
        <v>44713</v>
      </c>
      <c r="B81" s="0" t="s">
        <v>154</v>
      </c>
      <c r="C81" s="8" t="n">
        <v>741189.864</v>
      </c>
      <c r="D81" s="8" t="n">
        <v>523115.152</v>
      </c>
      <c r="E81" s="8" t="n">
        <v>98068.772</v>
      </c>
      <c r="F81" s="8" t="n">
        <v>160039.113</v>
      </c>
      <c r="G81" s="8" t="n">
        <v>782338.629</v>
      </c>
      <c r="H81" s="9" t="n">
        <v>78676963</v>
      </c>
      <c r="I81" s="10" t="n">
        <v>754.371566666667</v>
      </c>
      <c r="J81" s="11" t="n">
        <v>117.951456666667</v>
      </c>
      <c r="K81" s="8" t="n">
        <v>205.512333333333</v>
      </c>
    </row>
    <row r="82" customFormat="false" ht="15" hidden="false" customHeight="false" outlineLevel="0" collapsed="false">
      <c r="A82" s="7" t="n">
        <v>44805</v>
      </c>
      <c r="B82" s="0" t="s">
        <v>155</v>
      </c>
      <c r="C82" s="8" t="n">
        <v>735605.991</v>
      </c>
      <c r="D82" s="8" t="n">
        <v>526502.402</v>
      </c>
      <c r="E82" s="8" t="n">
        <v>97139.337</v>
      </c>
      <c r="F82" s="8" t="n">
        <v>153059.852</v>
      </c>
      <c r="G82" s="8" t="n">
        <v>732662.164</v>
      </c>
      <c r="H82" s="9" t="n">
        <v>87863364</v>
      </c>
      <c r="I82" s="10" t="n">
        <v>910.066733333333</v>
      </c>
      <c r="J82" s="11" t="n">
        <v>135.79549</v>
      </c>
      <c r="K82" s="8" t="n">
        <v>284.839666666667</v>
      </c>
    </row>
    <row r="83" customFormat="false" ht="15" hidden="false" customHeight="false" outlineLevel="0" collapsed="false">
      <c r="A83" s="7" t="n">
        <v>44896</v>
      </c>
      <c r="B83" s="0" t="s">
        <v>156</v>
      </c>
      <c r="C83" s="8" t="n">
        <v>721638.862</v>
      </c>
      <c r="D83" s="8" t="n">
        <v>522435.595</v>
      </c>
      <c r="E83" s="8" t="n">
        <v>97619.282</v>
      </c>
      <c r="F83" s="8" t="n">
        <v>147934.158</v>
      </c>
      <c r="G83" s="8" t="n">
        <v>712740.458</v>
      </c>
      <c r="H83" s="9" t="n">
        <v>104354529</v>
      </c>
      <c r="I83" s="10" t="n">
        <v>1080.8574</v>
      </c>
      <c r="J83" s="11" t="n">
        <v>162.537266666667</v>
      </c>
      <c r="K83" s="8" t="n">
        <v>303.939333333333</v>
      </c>
    </row>
    <row r="84" customFormat="false" ht="15" hidden="false" customHeight="false" outlineLevel="0" collapsed="false">
      <c r="A84" s="7" t="n">
        <v>44986</v>
      </c>
      <c r="B84" s="0" t="s">
        <v>157</v>
      </c>
      <c r="C84" s="8" t="n">
        <v>727949.285</v>
      </c>
      <c r="D84" s="8" t="n">
        <v>526315.996</v>
      </c>
      <c r="E84" s="8" t="n">
        <v>101137.536</v>
      </c>
      <c r="F84" s="8" t="n">
        <v>151758.998</v>
      </c>
      <c r="G84" s="8" t="n">
        <v>703987.504</v>
      </c>
      <c r="H84" s="9" t="n">
        <v>120719557</v>
      </c>
      <c r="I84" s="10" t="n">
        <v>1288.9494</v>
      </c>
      <c r="J84" s="11" t="n">
        <v>192.41485</v>
      </c>
      <c r="K84" s="8" t="n">
        <v>374.148333333333</v>
      </c>
    </row>
    <row r="85" customFormat="false" ht="15" hidden="false" customHeight="false" outlineLevel="0" collapsed="false">
      <c r="A85" s="7" t="n">
        <v>45078</v>
      </c>
      <c r="B85" s="0" t="s">
        <v>158</v>
      </c>
      <c r="C85" s="8" t="n">
        <v>710424.849</v>
      </c>
      <c r="D85" s="8" t="n">
        <v>535460.37</v>
      </c>
      <c r="E85" s="8" t="n">
        <v>101754.077</v>
      </c>
      <c r="F85" s="8" t="n">
        <v>158262.646</v>
      </c>
      <c r="G85" s="8" t="n">
        <v>737941.909</v>
      </c>
      <c r="H85" s="9" t="n">
        <v>159215855</v>
      </c>
      <c r="I85" s="10" t="n">
        <v>1606.80523333333</v>
      </c>
      <c r="J85" s="11" t="n">
        <v>232.18287</v>
      </c>
      <c r="K85" s="8" t="n">
        <v>461.922666666667</v>
      </c>
    </row>
    <row r="86" customFormat="false" ht="15" hidden="false" customHeight="false" outlineLevel="0" collapsed="false">
      <c r="A86" s="7" t="n">
        <v>45170</v>
      </c>
      <c r="B86" s="0" t="s">
        <v>159</v>
      </c>
      <c r="C86" s="8" t="n">
        <v>725091.04</v>
      </c>
      <c r="D86" s="8" t="n">
        <v>526871.217</v>
      </c>
      <c r="E86" s="8" t="n">
        <v>100244.497</v>
      </c>
      <c r="F86" s="8" t="n">
        <v>154251.274</v>
      </c>
      <c r="G86" s="8" t="n">
        <v>728638.585</v>
      </c>
      <c r="H86" s="9" t="n">
        <v>206516400</v>
      </c>
      <c r="I86" s="10" t="n">
        <v>2055.76373333333</v>
      </c>
      <c r="J86" s="11" t="n">
        <v>312.8535</v>
      </c>
      <c r="K86" s="8" t="n">
        <v>640.264666666667</v>
      </c>
    </row>
    <row r="87" customFormat="false" ht="15" hidden="false" customHeight="false" outlineLevel="0" collapsed="false">
      <c r="A87" s="7" t="n">
        <v>45261</v>
      </c>
      <c r="B87" s="0" t="s">
        <v>160</v>
      </c>
      <c r="C87" s="8" t="n">
        <v>707612.759</v>
      </c>
      <c r="D87" s="8" t="n">
        <v>512157.185</v>
      </c>
      <c r="E87" s="8" t="n">
        <v>96473.037</v>
      </c>
      <c r="F87" s="8" t="n">
        <v>137561.486</v>
      </c>
      <c r="G87" s="8" t="n">
        <v>700509.935</v>
      </c>
      <c r="H87" s="9" t="n">
        <v>283181180</v>
      </c>
      <c r="I87" s="10" t="n">
        <v>2948.50933333333</v>
      </c>
      <c r="J87" s="11" t="n">
        <v>448.969516666667</v>
      </c>
      <c r="K87" s="8" t="n">
        <v>942.358666666667</v>
      </c>
    </row>
    <row r="88" customFormat="false" ht="15" hidden="false" customHeight="false" outlineLevel="0" collapsed="false">
      <c r="A88" s="7" t="n">
        <v>45352</v>
      </c>
      <c r="B88" s="0" t="s">
        <v>161</v>
      </c>
      <c r="C88" s="8" t="n">
        <v>696039.642</v>
      </c>
      <c r="D88" s="8" t="n">
        <v>497472.141</v>
      </c>
      <c r="E88" s="8" t="n">
        <v>97145.635</v>
      </c>
      <c r="F88" s="8" t="n">
        <v>119496.49</v>
      </c>
      <c r="G88" s="8" t="n">
        <v>669057.733</v>
      </c>
      <c r="H88" s="9" t="n">
        <v>423472034</v>
      </c>
      <c r="I88" s="10" t="n">
        <v>4814.80446666667</v>
      </c>
      <c r="J88" s="11" t="n">
        <v>834.460686666667</v>
      </c>
      <c r="K88" s="8" t="n">
        <v>1077.56766666667</v>
      </c>
    </row>
    <row r="89" customFormat="false" ht="15" hidden="false" customHeight="false" outlineLevel="0" collapsed="false">
      <c r="A89" s="7" t="n">
        <v>45444</v>
      </c>
      <c r="B89" s="0" t="s">
        <v>162</v>
      </c>
      <c r="C89" s="8" t="n">
        <v>690565.599</v>
      </c>
      <c r="D89" s="8" t="n">
        <v>489105.647</v>
      </c>
      <c r="E89" s="8" t="n">
        <v>95665.212</v>
      </c>
      <c r="F89" s="8" t="n">
        <v>111230.711</v>
      </c>
      <c r="G89" s="8" t="n">
        <v>729947.785</v>
      </c>
      <c r="H89" s="9" t="n">
        <v>559938389</v>
      </c>
      <c r="I89" s="10" t="n">
        <v>6085.21936666667</v>
      </c>
      <c r="J89" s="11" t="n">
        <v>886.467693333333</v>
      </c>
      <c r="K89" s="8" t="n">
        <v>1136.24033333333</v>
      </c>
    </row>
    <row r="90" customFormat="false" ht="15" hidden="false" customHeight="false" outlineLevel="0" collapsed="false">
      <c r="A90" s="7" t="n">
        <v>45536</v>
      </c>
      <c r="B90" s="0" t="s">
        <v>163</v>
      </c>
      <c r="C90" s="8" t="n">
        <v>717175.748</v>
      </c>
      <c r="D90" s="8" t="n">
        <v>518756.305</v>
      </c>
      <c r="E90" s="8" t="n">
        <v>95439.131</v>
      </c>
      <c r="F90" s="8" t="n">
        <v>126850.986</v>
      </c>
      <c r="G90" s="8" t="n">
        <v>714524.366</v>
      </c>
      <c r="H90" s="9" t="n">
        <v>642862095</v>
      </c>
      <c r="I90" s="10" t="n">
        <v>6871.14373333333</v>
      </c>
      <c r="J90" s="11" t="n">
        <v>942.74711</v>
      </c>
      <c r="K90" s="8" t="n">
        <v>1335.40966666667</v>
      </c>
    </row>
    <row r="91" customFormat="false" ht="15" hidden="false" customHeight="false" outlineLevel="0" collapsed="false">
      <c r="A91" s="7" t="n">
        <v>45627</v>
      </c>
      <c r="B91" s="0" t="s">
        <v>164</v>
      </c>
      <c r="C91" s="8" t="n">
        <v>728740.357</v>
      </c>
      <c r="D91" s="8" t="n">
        <v>534084.414</v>
      </c>
      <c r="E91" s="8" t="n">
        <v>95990.896</v>
      </c>
      <c r="F91" s="8" t="n">
        <v>140592.44</v>
      </c>
      <c r="G91" s="8" t="n">
        <v>718991.461</v>
      </c>
      <c r="H91" s="9" t="n">
        <v>709365943</v>
      </c>
      <c r="I91" s="10" t="n">
        <v>7499.7977</v>
      </c>
      <c r="J91" s="11" t="n">
        <v>1001.46487333333</v>
      </c>
      <c r="K91" s="8" t="n">
        <v>1147.031</v>
      </c>
    </row>
    <row r="92" customFormat="false" ht="15" hidden="false" customHeight="false" outlineLevel="0" collapsed="false">
      <c r="A92" s="7" t="n">
        <v>45717</v>
      </c>
      <c r="B92" s="0" t="s">
        <v>165</v>
      </c>
      <c r="C92" s="8" t="n">
        <v>736261.05</v>
      </c>
      <c r="D92" s="8" t="n">
        <v>547554.055</v>
      </c>
      <c r="E92" s="8" t="n">
        <v>95475.269</v>
      </c>
      <c r="F92" s="8" t="n">
        <v>151386.434</v>
      </c>
      <c r="G92" s="8" t="n">
        <v>708113.806</v>
      </c>
      <c r="H92" s="9" t="n">
        <v>723984892</v>
      </c>
      <c r="I92" s="10" t="n">
        <v>8090.14473333333</v>
      </c>
      <c r="J92" s="11" t="n">
        <v>1057.00362</v>
      </c>
      <c r="K92" s="8" t="n">
        <v>1225.07933333333</v>
      </c>
    </row>
    <row r="93" customFormat="false" ht="15" hidden="false" customHeight="false" outlineLevel="0" collapsed="false">
      <c r="A93" s="7" t="n">
        <v>45809</v>
      </c>
      <c r="B93" s="0" t="s">
        <v>166</v>
      </c>
      <c r="C93" s="8" t="n">
        <v>735534.382</v>
      </c>
      <c r="D93" s="8" t="n">
        <v>546540.104</v>
      </c>
      <c r="E93" s="8" t="n">
        <v>96672.734</v>
      </c>
      <c r="F93" s="8" t="n">
        <v>149371.692</v>
      </c>
      <c r="G93" s="8" t="n">
        <v>776528.776</v>
      </c>
      <c r="H93" s="9" t="n">
        <v>833779386</v>
      </c>
      <c r="I93" s="10" t="n">
        <v>8718.55433333333</v>
      </c>
      <c r="J93" s="11" t="n">
        <v>1151.04298333333</v>
      </c>
      <c r="K93" s="8" t="n">
        <v>1203.09533333333</v>
      </c>
    </row>
    <row r="94" customFormat="false" ht="15" hidden="false" customHeight="false" outlineLevel="0" collapsed="false">
      <c r="A94" s="7" t="n">
        <v>45901</v>
      </c>
      <c r="B94" s="0" t="s">
        <v>167</v>
      </c>
      <c r="C94" s="8" t="n">
        <v>739903.773</v>
      </c>
      <c r="D94" s="8" t="n">
        <v>548277.87</v>
      </c>
      <c r="E94" s="8" t="n">
        <v>96956.462</v>
      </c>
      <c r="F94" s="8" t="n">
        <v>141434.338</v>
      </c>
      <c r="G94" s="8" t="n">
        <v>737795.742</v>
      </c>
      <c r="H94" s="9" t="n">
        <v>893277010</v>
      </c>
      <c r="I94" s="10" t="n">
        <v>9200.43643333333</v>
      </c>
      <c r="J94" s="11" t="n">
        <v>1333.03787666667</v>
      </c>
      <c r="K94" s="8" t="n">
        <v>1337.99233333333</v>
      </c>
    </row>
    <row r="95" customFormat="false" ht="15" hidden="false" customHeight="false" outlineLevel="0" collapsed="false">
      <c r="A95" s="7" t="n">
        <v>45992</v>
      </c>
      <c r="B95" s="0" t="s">
        <v>168</v>
      </c>
      <c r="C95" s="8" t="n">
        <v>744527.788</v>
      </c>
      <c r="D95" s="8" t="n">
        <v>557631.514</v>
      </c>
      <c r="E95" s="8" t="n">
        <v>95985.853</v>
      </c>
      <c r="F95" s="8" t="n">
        <v>137468.128</v>
      </c>
      <c r="G95" s="8" t="n">
        <v>733788.67</v>
      </c>
      <c r="H95" s="9" t="n">
        <v>939450203</v>
      </c>
      <c r="I95" s="10" t="n">
        <v>9855.53063333333</v>
      </c>
      <c r="J95" s="11" t="n">
        <v>1437.06265666667</v>
      </c>
      <c r="K95" s="8" t="n">
        <v>1453.069</v>
      </c>
    </row>
    <row r="96" customFormat="false" ht="15" hidden="false" customHeight="false" outlineLevel="0" collapsed="false">
      <c r="A96" s="7" t="n">
        <v>46082</v>
      </c>
      <c r="B96" s="0" t="s">
        <v>169</v>
      </c>
      <c r="I96" s="10" t="n">
        <v>10734.9057333333</v>
      </c>
      <c r="J96" s="11" t="n">
        <v>1417.76375666667</v>
      </c>
      <c r="K96" s="8" t="n">
        <v>1443.68933333333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390625" defaultRowHeight="15" customHeight="false" zeroHeight="false" outlineLevelRow="0" outlineLevelCol="0"/>
  <cols>
    <col collapsed="false" customWidth="true" hidden="false" outlineLevel="0" max="4" min="3" style="0" width="10.57"/>
  </cols>
  <sheetData>
    <row r="2" customFormat="false" ht="15" hidden="false" customHeight="false" outlineLevel="0" collapsed="false">
      <c r="C2" s="0" t="s">
        <v>170</v>
      </c>
      <c r="D2" s="0" t="s">
        <v>171</v>
      </c>
    </row>
    <row r="3" customFormat="false" ht="15" hidden="false" customHeight="false" outlineLevel="0" collapsed="false">
      <c r="B3" s="6" t="s">
        <v>172</v>
      </c>
      <c r="C3" s="0" t="s">
        <v>56</v>
      </c>
      <c r="D3" s="0" t="s">
        <v>173</v>
      </c>
    </row>
    <row r="4" customFormat="false" ht="15" hidden="false" customHeight="false" outlineLevel="0" collapsed="false">
      <c r="B4" s="0" t="s">
        <v>59</v>
      </c>
      <c r="C4" s="0" t="s">
        <v>66</v>
      </c>
      <c r="D4" s="0" t="s">
        <v>174</v>
      </c>
    </row>
    <row r="5" customFormat="false" ht="15" hidden="false" customHeight="false" outlineLevel="0" collapsed="false">
      <c r="B5" s="0" t="s">
        <v>69</v>
      </c>
      <c r="C5" s="0" t="s">
        <v>70</v>
      </c>
      <c r="D5" s="0" t="s">
        <v>70</v>
      </c>
    </row>
    <row r="6" customFormat="false" ht="15" hidden="false" customHeight="false" outlineLevel="0" collapsed="false">
      <c r="B6" s="0" t="s">
        <v>73</v>
      </c>
      <c r="C6" s="0" t="s">
        <v>75</v>
      </c>
      <c r="D6" s="0" t="s">
        <v>75</v>
      </c>
    </row>
    <row r="7" customFormat="false" ht="15" hidden="false" customHeight="false" outlineLevel="0" collapsed="false">
      <c r="B7" s="0" t="s">
        <v>78</v>
      </c>
      <c r="C7" s="0" t="s">
        <v>80</v>
      </c>
      <c r="D7" s="0" t="s">
        <v>80</v>
      </c>
    </row>
    <row r="8" customFormat="false" ht="15" hidden="false" customHeight="false" outlineLevel="0" collapsed="false">
      <c r="B8" s="0" t="s">
        <v>175</v>
      </c>
      <c r="C8" s="10" t="n">
        <v>56.9509</v>
      </c>
      <c r="D8" s="10" t="e">
        <f aca="false">#N/A</f>
        <v>#N/A</v>
      </c>
    </row>
    <row r="9" customFormat="false" ht="15" hidden="false" customHeight="false" outlineLevel="0" collapsed="false">
      <c r="B9" s="0" t="s">
        <v>176</v>
      </c>
      <c r="C9" s="10" t="n">
        <v>57.7781</v>
      </c>
      <c r="D9" s="10" t="e">
        <f aca="false">#N/A</f>
        <v>#N/A</v>
      </c>
    </row>
    <row r="10" customFormat="false" ht="15" hidden="false" customHeight="false" outlineLevel="0" collapsed="false">
      <c r="B10" s="0" t="s">
        <v>177</v>
      </c>
      <c r="C10" s="10" t="n">
        <v>58.7385</v>
      </c>
      <c r="D10" s="10" t="e">
        <f aca="false">#N/A</f>
        <v>#N/A</v>
      </c>
    </row>
    <row r="11" customFormat="false" ht="15" hidden="false" customHeight="false" outlineLevel="0" collapsed="false">
      <c r="B11" s="0" t="s">
        <v>178</v>
      </c>
      <c r="C11" s="10" t="n">
        <v>60.1294</v>
      </c>
      <c r="D11" s="10" t="e">
        <f aca="false">#N/A</f>
        <v>#N/A</v>
      </c>
    </row>
    <row r="12" customFormat="false" ht="15" hidden="false" customHeight="false" outlineLevel="0" collapsed="false">
      <c r="B12" s="0" t="s">
        <v>179</v>
      </c>
      <c r="C12" s="10" t="n">
        <v>61.4604</v>
      </c>
      <c r="D12" s="10" t="e">
        <f aca="false">#N/A</f>
        <v>#N/A</v>
      </c>
    </row>
    <row r="13" customFormat="false" ht="15" hidden="false" customHeight="false" outlineLevel="0" collapsed="false">
      <c r="B13" s="0" t="s">
        <v>180</v>
      </c>
      <c r="C13" s="10" t="n">
        <v>62.2902</v>
      </c>
      <c r="D13" s="10" t="e">
        <f aca="false">#N/A</f>
        <v>#N/A</v>
      </c>
    </row>
    <row r="14" customFormat="false" ht="15" hidden="false" customHeight="false" outlineLevel="0" collapsed="false">
      <c r="B14" s="0" t="s">
        <v>181</v>
      </c>
      <c r="C14" s="10" t="n">
        <v>63.5612</v>
      </c>
      <c r="D14" s="10" t="e">
        <f aca="false">#N/A</f>
        <v>#N/A</v>
      </c>
    </row>
    <row r="15" customFormat="false" ht="15" hidden="false" customHeight="false" outlineLevel="0" collapsed="false">
      <c r="B15" s="0" t="s">
        <v>182</v>
      </c>
      <c r="C15" s="10" t="n">
        <v>64.7251</v>
      </c>
      <c r="D15" s="10" t="e">
        <f aca="false">#N/A</f>
        <v>#N/A</v>
      </c>
    </row>
    <row r="16" customFormat="false" ht="15" hidden="false" customHeight="false" outlineLevel="0" collapsed="false">
      <c r="B16" s="0" t="s">
        <v>183</v>
      </c>
      <c r="C16" s="10" t="n">
        <v>65.7976</v>
      </c>
      <c r="D16" s="10" t="e">
        <f aca="false">#N/A</f>
        <v>#N/A</v>
      </c>
    </row>
    <row r="17" customFormat="false" ht="15" hidden="false" customHeight="false" outlineLevel="0" collapsed="false">
      <c r="B17" s="0" t="s">
        <v>184</v>
      </c>
      <c r="C17" s="10" t="n">
        <v>66.9172</v>
      </c>
      <c r="D17" s="10" t="e">
        <f aca="false">#N/A</f>
        <v>#N/A</v>
      </c>
    </row>
    <row r="18" customFormat="false" ht="15" hidden="false" customHeight="false" outlineLevel="0" collapsed="false">
      <c r="B18" s="0" t="s">
        <v>185</v>
      </c>
      <c r="C18" s="10" t="n">
        <v>68.2246</v>
      </c>
      <c r="D18" s="10" t="e">
        <f aca="false">#N/A</f>
        <v>#N/A</v>
      </c>
    </row>
    <row r="19" customFormat="false" ht="15" hidden="false" customHeight="false" outlineLevel="0" collapsed="false">
      <c r="B19" s="0" t="s">
        <v>186</v>
      </c>
      <c r="C19" s="10" t="n">
        <v>70.8969</v>
      </c>
      <c r="D19" s="10" t="e">
        <f aca="false">#N/A</f>
        <v>#N/A</v>
      </c>
    </row>
    <row r="20" customFormat="false" ht="15" hidden="false" customHeight="false" outlineLevel="0" collapsed="false">
      <c r="B20" s="0" t="s">
        <v>187</v>
      </c>
      <c r="C20" s="10" t="n">
        <v>73.8302</v>
      </c>
      <c r="D20" s="10" t="e">
        <f aca="false">#N/A</f>
        <v>#N/A</v>
      </c>
    </row>
    <row r="21" customFormat="false" ht="15" hidden="false" customHeight="false" outlineLevel="0" collapsed="false">
      <c r="B21" s="0" t="s">
        <v>188</v>
      </c>
      <c r="C21" s="10" t="n">
        <v>76.7609</v>
      </c>
      <c r="D21" s="10" t="e">
        <f aca="false">#N/A</f>
        <v>#N/A</v>
      </c>
    </row>
    <row r="22" customFormat="false" ht="15" hidden="false" customHeight="false" outlineLevel="0" collapsed="false">
      <c r="B22" s="0" t="s">
        <v>189</v>
      </c>
      <c r="C22" s="10" t="n">
        <v>79.3079</v>
      </c>
      <c r="D22" s="10" t="e">
        <f aca="false">#N/A</f>
        <v>#N/A</v>
      </c>
    </row>
    <row r="23" customFormat="false" ht="15" hidden="false" customHeight="false" outlineLevel="0" collapsed="false">
      <c r="B23" s="0" t="s">
        <v>190</v>
      </c>
      <c r="C23" s="10" t="n">
        <v>84.4986</v>
      </c>
      <c r="D23" s="10" t="e">
        <f aca="false">#N/A</f>
        <v>#N/A</v>
      </c>
    </row>
    <row r="24" customFormat="false" ht="15" hidden="false" customHeight="false" outlineLevel="0" collapsed="false">
      <c r="B24" s="0" t="s">
        <v>191</v>
      </c>
      <c r="C24" s="10" t="n">
        <v>88.7523</v>
      </c>
      <c r="D24" s="10" t="e">
        <f aca="false">#N/A</f>
        <v>#N/A</v>
      </c>
    </row>
    <row r="25" customFormat="false" ht="15" hidden="false" customHeight="false" outlineLevel="0" collapsed="false">
      <c r="B25" s="0" t="s">
        <v>192</v>
      </c>
      <c r="C25" s="10" t="n">
        <v>91.6125</v>
      </c>
      <c r="D25" s="10" t="e">
        <f aca="false">#N/A</f>
        <v>#N/A</v>
      </c>
    </row>
    <row r="26" customFormat="false" ht="15" hidden="false" customHeight="false" outlineLevel="0" collapsed="false">
      <c r="B26" s="0" t="s">
        <v>193</v>
      </c>
      <c r="C26" s="10" t="n">
        <v>93.588</v>
      </c>
      <c r="D26" s="10" t="e">
        <f aca="false">#N/A</f>
        <v>#N/A</v>
      </c>
    </row>
    <row r="27" customFormat="false" ht="15" hidden="false" customHeight="false" outlineLevel="0" collapsed="false">
      <c r="B27" s="0" t="s">
        <v>194</v>
      </c>
      <c r="C27" s="10" t="n">
        <v>92.8782</v>
      </c>
      <c r="D27" s="10" t="e">
        <f aca="false">#N/A</f>
        <v>#N/A</v>
      </c>
    </row>
    <row r="28" customFormat="false" ht="15" hidden="false" customHeight="false" outlineLevel="0" collapsed="false">
      <c r="B28" s="0" t="s">
        <v>195</v>
      </c>
      <c r="C28" s="10" t="n">
        <v>94.1256</v>
      </c>
      <c r="D28" s="10" t="e">
        <f aca="false">#N/A</f>
        <v>#N/A</v>
      </c>
    </row>
    <row r="29" customFormat="false" ht="15" hidden="false" customHeight="false" outlineLevel="0" collapsed="false">
      <c r="B29" s="0" t="s">
        <v>196</v>
      </c>
      <c r="C29" s="10" t="n">
        <v>96.8553</v>
      </c>
      <c r="D29" s="10" t="e">
        <f aca="false">#N/A</f>
        <v>#N/A</v>
      </c>
    </row>
    <row r="30" customFormat="false" ht="15" hidden="false" customHeight="false" outlineLevel="0" collapsed="false">
      <c r="B30" s="0" t="s">
        <v>197</v>
      </c>
      <c r="C30" s="10" t="n">
        <v>98.7735</v>
      </c>
      <c r="D30" s="10" t="e">
        <f aca="false">#N/A</f>
        <v>#N/A</v>
      </c>
    </row>
    <row r="31" customFormat="false" ht="15" hidden="false" customHeight="false" outlineLevel="0" collapsed="false">
      <c r="B31" s="0" t="s">
        <v>198</v>
      </c>
      <c r="C31" s="10" t="n">
        <v>100</v>
      </c>
      <c r="D31" s="10" t="n">
        <v>100</v>
      </c>
    </row>
    <row r="32" customFormat="false" ht="15" hidden="false" customHeight="false" outlineLevel="0" collapsed="false">
      <c r="B32" s="0" t="s">
        <v>199</v>
      </c>
      <c r="C32" s="10" t="n">
        <v>101.5859</v>
      </c>
      <c r="D32" s="10" t="n">
        <v>101.5039</v>
      </c>
    </row>
    <row r="33" customFormat="false" ht="15" hidden="false" customHeight="false" outlineLevel="0" collapsed="false">
      <c r="B33" s="0" t="s">
        <v>200</v>
      </c>
      <c r="C33" s="10" t="n">
        <v>103.6859</v>
      </c>
      <c r="D33" s="10" t="n">
        <v>103.2105</v>
      </c>
    </row>
    <row r="34" customFormat="false" ht="15" hidden="false" customHeight="false" outlineLevel="0" collapsed="false">
      <c r="B34" s="0" t="s">
        <v>201</v>
      </c>
      <c r="C34" s="10" t="n">
        <v>106.1476</v>
      </c>
      <c r="D34" s="10" t="n">
        <v>105.2057</v>
      </c>
    </row>
    <row r="35" customFormat="false" ht="15" hidden="false" customHeight="false" outlineLevel="0" collapsed="false">
      <c r="B35" s="0" t="s">
        <v>202</v>
      </c>
      <c r="C35" s="10" t="n">
        <v>108.9667</v>
      </c>
      <c r="D35" s="10" t="n">
        <v>107.427</v>
      </c>
    </row>
    <row r="36" customFormat="false" ht="15" hidden="false" customHeight="false" outlineLevel="0" collapsed="false">
      <c r="B36" s="0" t="s">
        <v>203</v>
      </c>
      <c r="C36" s="10" t="n">
        <v>110.5301</v>
      </c>
      <c r="D36" s="10" t="n">
        <v>109.2069</v>
      </c>
    </row>
    <row r="37" customFormat="false" ht="15" hidden="false" customHeight="false" outlineLevel="0" collapsed="false">
      <c r="B37" s="0" t="s">
        <v>204</v>
      </c>
      <c r="C37" s="10" t="n">
        <v>111.8477</v>
      </c>
      <c r="D37" s="10" t="n">
        <v>110.6653</v>
      </c>
    </row>
    <row r="38" customFormat="false" ht="15" hidden="false" customHeight="false" outlineLevel="0" collapsed="false">
      <c r="B38" s="0" t="s">
        <v>205</v>
      </c>
      <c r="C38" s="10" t="n">
        <v>113.7852</v>
      </c>
      <c r="D38" s="10" t="n">
        <v>112.6183</v>
      </c>
    </row>
    <row r="39" customFormat="false" ht="15" hidden="false" customHeight="false" outlineLevel="0" collapsed="false">
      <c r="B39" s="0" t="s">
        <v>206</v>
      </c>
      <c r="C39" s="10" t="n">
        <v>115.3819</v>
      </c>
      <c r="D39" s="10" t="n">
        <v>114.231</v>
      </c>
    </row>
    <row r="40" customFormat="false" ht="15" hidden="false" customHeight="false" outlineLevel="0" collapsed="false">
      <c r="B40" s="0" t="s">
        <v>207</v>
      </c>
      <c r="C40" s="10" t="n">
        <v>117.5719</v>
      </c>
      <c r="D40" s="10" t="n">
        <v>116.0978</v>
      </c>
    </row>
    <row r="41" customFormat="false" ht="15" hidden="false" customHeight="false" outlineLevel="0" collapsed="false">
      <c r="B41" s="0" t="s">
        <v>208</v>
      </c>
      <c r="C41" s="10" t="n">
        <v>119.3528</v>
      </c>
      <c r="D41" s="10" t="n">
        <v>117.6245</v>
      </c>
    </row>
    <row r="42" customFormat="false" ht="15" hidden="false" customHeight="false" outlineLevel="0" collapsed="false">
      <c r="B42" s="0" t="s">
        <v>209</v>
      </c>
      <c r="C42" s="10" t="n">
        <v>120.994</v>
      </c>
      <c r="D42" s="10" t="n">
        <v>119.1358</v>
      </c>
    </row>
    <row r="43" customFormat="false" ht="15" hidden="false" customHeight="false" outlineLevel="0" collapsed="false">
      <c r="B43" s="0" t="s">
        <v>210</v>
      </c>
      <c r="C43" s="10" t="n">
        <v>124.7956</v>
      </c>
      <c r="D43" s="10" t="n">
        <v>121.1263</v>
      </c>
    </row>
    <row r="44" customFormat="false" ht="15" hidden="false" customHeight="false" outlineLevel="0" collapsed="false">
      <c r="B44" s="0" t="s">
        <v>211</v>
      </c>
      <c r="C44" s="10" t="n">
        <v>126.9887</v>
      </c>
      <c r="D44" s="10" t="n">
        <v>122.9418</v>
      </c>
    </row>
    <row r="45" customFormat="false" ht="15" hidden="false" customHeight="false" outlineLevel="0" collapsed="false">
      <c r="B45" s="0" t="s">
        <v>212</v>
      </c>
      <c r="C45" s="10" t="n">
        <v>130.0606</v>
      </c>
      <c r="D45" s="10" t="n">
        <v>125.5123</v>
      </c>
    </row>
    <row r="46" customFormat="false" ht="15" hidden="false" customHeight="false" outlineLevel="0" collapsed="false">
      <c r="B46" s="0" t="s">
        <v>213</v>
      </c>
      <c r="C46" s="10" t="n">
        <v>133.1054</v>
      </c>
      <c r="D46" s="10" t="n">
        <v>128.746</v>
      </c>
    </row>
    <row r="47" customFormat="false" ht="15" hidden="false" customHeight="false" outlineLevel="0" collapsed="false">
      <c r="B47" s="0" t="s">
        <v>214</v>
      </c>
      <c r="C47" s="10" t="n">
        <v>136.7512</v>
      </c>
      <c r="D47" s="10" t="n">
        <v>131.4884</v>
      </c>
    </row>
    <row r="48" customFormat="false" ht="15" hidden="false" customHeight="false" outlineLevel="0" collapsed="false">
      <c r="B48" s="0" t="s">
        <v>215</v>
      </c>
      <c r="C48" s="10" t="n">
        <v>139.5893</v>
      </c>
      <c r="D48" s="10" t="n">
        <v>134.9794</v>
      </c>
    </row>
    <row r="49" customFormat="false" ht="15" hidden="false" customHeight="false" outlineLevel="0" collapsed="false">
      <c r="B49" s="0" t="s">
        <v>216</v>
      </c>
      <c r="C49" s="10" t="n">
        <v>144.8053</v>
      </c>
      <c r="D49" s="10" t="n">
        <v>140.4784</v>
      </c>
    </row>
    <row r="50" customFormat="false" ht="15" hidden="false" customHeight="false" outlineLevel="0" collapsed="false">
      <c r="B50" s="0" t="s">
        <v>217</v>
      </c>
      <c r="C50" s="10" t="n">
        <v>149.2966</v>
      </c>
      <c r="D50" s="10" t="n">
        <v>144.964</v>
      </c>
    </row>
    <row r="51" customFormat="false" ht="15" hidden="false" customHeight="false" outlineLevel="0" collapsed="false">
      <c r="B51" s="0" t="s">
        <v>218</v>
      </c>
      <c r="C51" s="10" t="n">
        <v>155.1034</v>
      </c>
      <c r="D51" s="10" t="n">
        <v>149.8236</v>
      </c>
    </row>
    <row r="52" customFormat="false" ht="15" hidden="false" customHeight="false" outlineLevel="0" collapsed="false">
      <c r="B52" s="0" t="s">
        <v>219</v>
      </c>
      <c r="C52" s="10" t="n">
        <v>165.2383</v>
      </c>
      <c r="D52" s="10" t="n">
        <v>161.272</v>
      </c>
    </row>
    <row r="53" customFormat="false" ht="15" hidden="false" customHeight="false" outlineLevel="0" collapsed="false">
      <c r="B53" s="0" t="s">
        <v>220</v>
      </c>
      <c r="C53" s="10" t="n">
        <v>174.1473</v>
      </c>
      <c r="D53" s="10" t="n">
        <v>168.5933</v>
      </c>
    </row>
    <row r="54" customFormat="false" ht="15" hidden="false" customHeight="false" outlineLevel="0" collapsed="false">
      <c r="B54" s="0" t="s">
        <v>221</v>
      </c>
      <c r="C54" s="10" t="n">
        <v>179.6388</v>
      </c>
      <c r="D54" s="10" t="n">
        <v>174.1546</v>
      </c>
    </row>
    <row r="55" customFormat="false" ht="15" hidden="false" customHeight="false" outlineLevel="0" collapsed="false">
      <c r="B55" s="0" t="s">
        <v>222</v>
      </c>
      <c r="C55" s="10" t="n">
        <v>184.2552</v>
      </c>
      <c r="D55" s="10" t="n">
        <v>178.9326</v>
      </c>
    </row>
    <row r="56" customFormat="false" ht="15" hidden="false" customHeight="false" outlineLevel="0" collapsed="false">
      <c r="B56" s="0" t="s">
        <v>223</v>
      </c>
      <c r="C56" s="10" t="n">
        <v>189.6101</v>
      </c>
      <c r="D56" s="10" t="n">
        <v>184.3056</v>
      </c>
    </row>
    <row r="57" customFormat="false" ht="15" hidden="false" customHeight="false" outlineLevel="0" collapsed="false">
      <c r="B57" s="0" t="s">
        <v>224</v>
      </c>
      <c r="C57" s="10" t="n">
        <v>196.7501</v>
      </c>
      <c r="D57" s="10" t="n">
        <v>191.4115</v>
      </c>
    </row>
    <row r="58" customFormat="false" ht="15" hidden="false" customHeight="false" outlineLevel="0" collapsed="false">
      <c r="B58" s="0" t="s">
        <v>225</v>
      </c>
      <c r="C58" s="10" t="n">
        <v>205.9571</v>
      </c>
      <c r="D58" s="10" t="n">
        <v>200.1771</v>
      </c>
    </row>
    <row r="59" customFormat="false" ht="15" hidden="false" customHeight="false" outlineLevel="0" collapsed="false">
      <c r="B59" s="0" t="s">
        <v>226</v>
      </c>
      <c r="C59" s="10" t="n">
        <v>213.0517</v>
      </c>
      <c r="D59" s="10" t="n">
        <v>207.7179</v>
      </c>
    </row>
    <row r="60" customFormat="false" ht="15" hidden="false" customHeight="false" outlineLevel="0" collapsed="false">
      <c r="B60" s="0" t="s">
        <v>227</v>
      </c>
      <c r="C60" s="10" t="n">
        <v>219.5691</v>
      </c>
      <c r="D60" s="10" t="n">
        <v>214.3182</v>
      </c>
    </row>
    <row r="61" customFormat="false" ht="15" hidden="false" customHeight="false" outlineLevel="0" collapsed="false">
      <c r="B61" s="0" t="s">
        <v>228</v>
      </c>
      <c r="C61" s="10" t="n">
        <v>225.537</v>
      </c>
      <c r="D61" s="10" t="n">
        <v>220.1725</v>
      </c>
    </row>
    <row r="62" customFormat="false" ht="15" hidden="false" customHeight="false" outlineLevel="0" collapsed="false">
      <c r="B62" s="0" t="s">
        <v>229</v>
      </c>
      <c r="C62" s="10" t="n">
        <v>230.494</v>
      </c>
      <c r="D62" s="10" t="n">
        <v>224.9011</v>
      </c>
    </row>
    <row r="63" customFormat="false" ht="15" hidden="false" customHeight="false" outlineLevel="0" collapsed="false">
      <c r="B63" s="0" t="s">
        <v>230</v>
      </c>
      <c r="C63" s="10" t="n">
        <v>239.6077</v>
      </c>
      <c r="D63" s="10" t="n">
        <v>235.3317</v>
      </c>
    </row>
    <row r="64" customFormat="false" ht="15" hidden="false" customHeight="false" outlineLevel="0" collapsed="false">
      <c r="B64" s="0" t="s">
        <v>231</v>
      </c>
      <c r="C64" s="10" t="n">
        <v>253.7102</v>
      </c>
      <c r="D64" s="10" t="n">
        <v>250.4818</v>
      </c>
    </row>
    <row r="65" customFormat="false" ht="15" hidden="false" customHeight="false" outlineLevel="0" collapsed="false">
      <c r="B65" s="0" t="s">
        <v>232</v>
      </c>
      <c r="C65" s="10" t="n">
        <v>262.0661</v>
      </c>
      <c r="D65" s="10" t="n">
        <v>260.0118</v>
      </c>
    </row>
    <row r="66" customFormat="false" ht="15" hidden="false" customHeight="false" outlineLevel="0" collapsed="false">
      <c r="B66" s="0" t="s">
        <v>233</v>
      </c>
      <c r="C66" s="10" t="n">
        <v>273.2158</v>
      </c>
      <c r="D66" s="10" t="n">
        <v>270.3554</v>
      </c>
    </row>
    <row r="67" customFormat="false" ht="15" hidden="false" customHeight="false" outlineLevel="0" collapsed="false">
      <c r="B67" s="0" t="s">
        <v>234</v>
      </c>
      <c r="C67" s="10" t="n">
        <v>283.4442</v>
      </c>
      <c r="D67" s="10" t="n">
        <v>280.3107</v>
      </c>
    </row>
    <row r="68" customFormat="false" ht="15" hidden="false" customHeight="false" outlineLevel="0" collapsed="false">
      <c r="B68" s="0" t="s">
        <v>235</v>
      </c>
      <c r="C68" s="10" t="n">
        <v>289.8299</v>
      </c>
      <c r="D68" s="10" t="n">
        <v>287.1529</v>
      </c>
    </row>
    <row r="69" customFormat="false" ht="15" hidden="false" customHeight="false" outlineLevel="0" collapsed="false">
      <c r="B69" s="0" t="s">
        <v>236</v>
      </c>
      <c r="C69" s="10" t="n">
        <v>295.666</v>
      </c>
      <c r="D69" s="10" t="n">
        <v>293.9922</v>
      </c>
    </row>
    <row r="70" customFormat="false" ht="15" hidden="false" customHeight="false" outlineLevel="0" collapsed="false">
      <c r="B70" s="0" t="s">
        <v>237</v>
      </c>
      <c r="C70" s="10" t="n">
        <v>305.5515</v>
      </c>
      <c r="D70" s="10" t="n">
        <v>303.1665</v>
      </c>
    </row>
    <row r="71" customFormat="false" ht="15" hidden="false" customHeight="false" outlineLevel="0" collapsed="false">
      <c r="B71" s="0" t="s">
        <v>238</v>
      </c>
      <c r="C71" s="10" t="n">
        <v>310.1243</v>
      </c>
      <c r="D71" s="10" t="n">
        <v>308.3681</v>
      </c>
    </row>
    <row r="72" customFormat="false" ht="15" hidden="false" customHeight="false" outlineLevel="0" collapsed="false">
      <c r="B72" s="0" t="s">
        <v>239</v>
      </c>
      <c r="C72" s="10" t="n">
        <v>314.9087</v>
      </c>
      <c r="D72" s="10" t="n">
        <v>313.3195</v>
      </c>
    </row>
    <row r="73" customFormat="false" ht="15" hidden="false" customHeight="false" outlineLevel="0" collapsed="false">
      <c r="B73" s="0" t="s">
        <v>240</v>
      </c>
      <c r="C73" s="10" t="n">
        <v>321.9738</v>
      </c>
      <c r="D73" s="10" t="n">
        <v>320.5733</v>
      </c>
    </row>
    <row r="74" customFormat="false" ht="15" hidden="false" customHeight="false" outlineLevel="0" collapsed="false">
      <c r="B74" s="0" t="s">
        <v>241</v>
      </c>
      <c r="C74" s="10" t="n">
        <v>328.2014</v>
      </c>
      <c r="D74" s="10" t="n">
        <v>328.6943</v>
      </c>
    </row>
    <row r="75" customFormat="false" ht="15" hidden="false" customHeight="false" outlineLevel="0" collapsed="false">
      <c r="B75" s="0" t="s">
        <v>242</v>
      </c>
      <c r="C75" s="10" t="n">
        <v>337.0632</v>
      </c>
      <c r="D75" s="10" t="n">
        <v>338.6645</v>
      </c>
    </row>
    <row r="76" customFormat="false" ht="15" hidden="false" customHeight="false" outlineLevel="0" collapsed="false">
      <c r="B76" s="0" t="s">
        <v>243</v>
      </c>
      <c r="C76" s="10" t="n">
        <v>346.6207</v>
      </c>
      <c r="D76" s="10" t="n">
        <v>346.511</v>
      </c>
    </row>
    <row r="77" customFormat="false" ht="15" hidden="false" customHeight="false" outlineLevel="0" collapsed="false">
      <c r="B77" s="0" t="s">
        <v>244</v>
      </c>
      <c r="C77" s="10" t="n">
        <v>359.657</v>
      </c>
      <c r="D77" s="10" t="n">
        <v>358.4989</v>
      </c>
    </row>
    <row r="78" customFormat="false" ht="15" hidden="false" customHeight="false" outlineLevel="0" collapsed="false">
      <c r="B78" s="0" t="s">
        <v>245</v>
      </c>
      <c r="C78" s="10" t="n">
        <v>371.0211</v>
      </c>
      <c r="D78" s="10" t="n">
        <v>372.6154</v>
      </c>
    </row>
    <row r="79" customFormat="false" ht="15" hidden="false" customHeight="false" outlineLevel="0" collapsed="false">
      <c r="B79" s="0" t="s">
        <v>246</v>
      </c>
      <c r="C79" s="10" t="n">
        <v>385.8826</v>
      </c>
      <c r="D79" s="10" t="n">
        <v>390.7655</v>
      </c>
    </row>
    <row r="80" customFormat="false" ht="15" hidden="false" customHeight="false" outlineLevel="0" collapsed="false">
      <c r="B80" s="0" t="s">
        <v>247</v>
      </c>
      <c r="C80" s="10" t="n">
        <v>401.5071</v>
      </c>
      <c r="D80" s="10" t="n">
        <v>406.0674</v>
      </c>
    </row>
    <row r="81" customFormat="false" ht="15" hidden="false" customHeight="false" outlineLevel="0" collapsed="false">
      <c r="B81" s="0" t="s">
        <v>248</v>
      </c>
      <c r="C81" s="10" t="n">
        <v>415.8595</v>
      </c>
      <c r="D81" s="10" t="n">
        <v>422.5932</v>
      </c>
    </row>
    <row r="82" customFormat="false" ht="15" hidden="false" customHeight="false" outlineLevel="0" collapsed="false">
      <c r="B82" s="0" t="s">
        <v>249</v>
      </c>
      <c r="C82" s="10" t="n">
        <v>435.8657</v>
      </c>
      <c r="D82" s="10" t="n">
        <v>441.72</v>
      </c>
    </row>
    <row r="83" customFormat="false" ht="15" hidden="false" customHeight="false" outlineLevel="0" collapsed="false">
      <c r="B83" s="0" t="s">
        <v>250</v>
      </c>
      <c r="C83" s="10" t="n">
        <v>453.6503</v>
      </c>
      <c r="D83" s="10" t="n">
        <v>461.8578</v>
      </c>
    </row>
    <row r="84" customFormat="false" ht="15" hidden="false" customHeight="false" outlineLevel="0" collapsed="false">
      <c r="B84" s="0" t="s">
        <v>251</v>
      </c>
      <c r="C84" s="10" t="n">
        <v>468.725</v>
      </c>
      <c r="D84" s="10" t="n">
        <v>477.9293</v>
      </c>
    </row>
    <row r="85" customFormat="false" ht="15" hidden="false" customHeight="false" outlineLevel="0" collapsed="false">
      <c r="B85" s="0" t="s">
        <v>252</v>
      </c>
      <c r="C85" s="10" t="n">
        <v>483.6049</v>
      </c>
      <c r="D85" s="10" t="n">
        <v>495.1809</v>
      </c>
    </row>
    <row r="86" customFormat="false" ht="15" hidden="false" customHeight="false" outlineLevel="0" collapsed="false">
      <c r="B86" s="0" t="s">
        <v>253</v>
      </c>
      <c r="C86" s="10" t="n">
        <v>498.0987</v>
      </c>
      <c r="D86" s="10" t="n">
        <v>510.6974</v>
      </c>
    </row>
    <row r="87" customFormat="false" ht="15" hidden="false" customHeight="false" outlineLevel="0" collapsed="false">
      <c r="B87" s="0" t="s">
        <v>254</v>
      </c>
      <c r="C87" s="10" t="n">
        <v>510.3942</v>
      </c>
      <c r="D87" s="10" t="n">
        <v>526.6934</v>
      </c>
    </row>
    <row r="88" customFormat="false" ht="15" hidden="false" customHeight="false" outlineLevel="0" collapsed="false">
      <c r="B88" s="0" t="s">
        <v>255</v>
      </c>
      <c r="C88" s="10" t="n">
        <v>528.4968</v>
      </c>
      <c r="D88" s="10" t="n">
        <v>543.8748</v>
      </c>
    </row>
    <row r="89" customFormat="false" ht="15" hidden="false" customHeight="false" outlineLevel="0" collapsed="false">
      <c r="B89" s="0" t="s">
        <v>256</v>
      </c>
      <c r="C89" s="10" t="n">
        <v>547.0802</v>
      </c>
      <c r="D89" s="10" t="n">
        <v>561.2843</v>
      </c>
    </row>
    <row r="90" customFormat="false" ht="15" hidden="false" customHeight="false" outlineLevel="0" collapsed="false">
      <c r="B90" s="0" t="s">
        <v>257</v>
      </c>
      <c r="C90" s="10" t="n">
        <v>560.9184</v>
      </c>
      <c r="D90" s="10" t="n">
        <v>579.5414</v>
      </c>
    </row>
    <row r="91" customFormat="false" ht="15" hidden="false" customHeight="false" outlineLevel="0" collapsed="false">
      <c r="B91" s="0" t="s">
        <v>258</v>
      </c>
      <c r="C91" s="10" t="n">
        <v>582.4575</v>
      </c>
      <c r="D91" s="10" t="n">
        <v>605.1759</v>
      </c>
    </row>
    <row r="92" customFormat="false" ht="15" hidden="false" customHeight="false" outlineLevel="0" collapsed="false">
      <c r="B92" s="0" t="s">
        <v>259</v>
      </c>
      <c r="C92" s="10" t="n">
        <v>605.0317</v>
      </c>
      <c r="D92" s="10" t="n">
        <v>625.1594</v>
      </c>
    </row>
    <row r="93" customFormat="false" ht="15" hidden="false" customHeight="false" outlineLevel="0" collapsed="false">
      <c r="B93" s="0" t="s">
        <v>260</v>
      </c>
      <c r="C93" s="10" t="n">
        <v>633.4341</v>
      </c>
      <c r="D93" s="10" t="n">
        <v>652.9838</v>
      </c>
    </row>
    <row r="94" customFormat="false" ht="15" hidden="false" customHeight="false" outlineLevel="0" collapsed="false">
      <c r="B94" s="0" t="s">
        <v>261</v>
      </c>
      <c r="C94" s="10" t="n">
        <v>676.0566</v>
      </c>
      <c r="D94" s="10" t="n">
        <v>694.7515</v>
      </c>
    </row>
    <row r="95" customFormat="false" ht="15" hidden="false" customHeight="false" outlineLevel="0" collapsed="false">
      <c r="B95" s="0" t="s">
        <v>262</v>
      </c>
      <c r="C95" s="10" t="n">
        <v>716.9399</v>
      </c>
      <c r="D95" s="10" t="n">
        <v>741.3622</v>
      </c>
    </row>
    <row r="96" customFormat="false" ht="15" hidden="false" customHeight="false" outlineLevel="0" collapsed="false">
      <c r="B96" s="0" t="s">
        <v>263</v>
      </c>
      <c r="C96" s="10" t="n">
        <v>753.147</v>
      </c>
      <c r="D96" s="10" t="n">
        <v>779.9267</v>
      </c>
    </row>
    <row r="97" customFormat="false" ht="15" hidden="false" customHeight="false" outlineLevel="0" collapsed="false">
      <c r="B97" s="0" t="s">
        <v>264</v>
      </c>
      <c r="C97" s="10" t="n">
        <v>793.0278</v>
      </c>
      <c r="D97" s="10" t="n">
        <v>819.5734</v>
      </c>
    </row>
    <row r="98" customFormat="false" ht="15" hidden="false" customHeight="false" outlineLevel="0" collapsed="false">
      <c r="B98" s="0" t="s">
        <v>265</v>
      </c>
      <c r="C98" s="10" t="n">
        <v>851.761</v>
      </c>
      <c r="D98" s="10" t="n">
        <v>879.6383</v>
      </c>
    </row>
    <row r="99" customFormat="false" ht="15" hidden="false" customHeight="false" outlineLevel="0" collapsed="false">
      <c r="B99" s="0" t="s">
        <v>266</v>
      </c>
      <c r="C99" s="10" t="n">
        <v>911.1316</v>
      </c>
      <c r="D99" s="10" t="n">
        <v>939.4677</v>
      </c>
    </row>
    <row r="100" customFormat="false" ht="15" hidden="false" customHeight="false" outlineLevel="0" collapsed="false">
      <c r="B100" s="0" t="s">
        <v>267</v>
      </c>
      <c r="C100" s="10" t="n">
        <v>967.3076</v>
      </c>
      <c r="D100" s="10" t="n">
        <v>991.2585</v>
      </c>
    </row>
    <row r="101" customFormat="false" ht="15" hidden="false" customHeight="false" outlineLevel="0" collapsed="false">
      <c r="B101" s="0" t="s">
        <v>268</v>
      </c>
      <c r="C101" s="10" t="n">
        <v>1028.706</v>
      </c>
      <c r="D101" s="10" t="n">
        <v>1046.265</v>
      </c>
    </row>
    <row r="102" customFormat="false" ht="15" hidden="false" customHeight="false" outlineLevel="0" collapsed="false">
      <c r="B102" s="0" t="s">
        <v>269</v>
      </c>
      <c r="C102" s="10" t="n">
        <v>1079.2787</v>
      </c>
      <c r="D102" s="10" t="n">
        <v>1096.024</v>
      </c>
    </row>
    <row r="103" customFormat="false" ht="15" hidden="false" customHeight="false" outlineLevel="0" collapsed="false">
      <c r="B103" s="0" t="s">
        <v>270</v>
      </c>
      <c r="C103" s="10" t="n">
        <v>1134.5875</v>
      </c>
      <c r="D103" s="10" t="n">
        <v>1153.5771</v>
      </c>
    </row>
    <row r="104" customFormat="false" ht="15" hidden="false" customHeight="false" outlineLevel="0" collapsed="false">
      <c r="B104" s="0" t="s">
        <v>271</v>
      </c>
      <c r="C104" s="10" t="n">
        <v>1202.979</v>
      </c>
      <c r="D104" s="10" t="n">
        <v>1215.3182</v>
      </c>
    </row>
    <row r="105" customFormat="false" ht="15" hidden="false" customHeight="false" outlineLevel="0" collapsed="false">
      <c r="B105" s="0" t="s">
        <v>272</v>
      </c>
      <c r="C105" s="10" t="n">
        <v>1282.7091</v>
      </c>
      <c r="D105" s="10" t="n">
        <v>1308.7788</v>
      </c>
    </row>
    <row r="106" customFormat="false" ht="15" hidden="false" customHeight="false" outlineLevel="0" collapsed="false">
      <c r="B106" s="0" t="s">
        <v>273</v>
      </c>
      <c r="C106" s="10" t="n">
        <v>1381.1601</v>
      </c>
      <c r="D106" s="10" t="n">
        <v>1403.1434</v>
      </c>
    </row>
    <row r="107" customFormat="false" ht="15" hidden="false" customHeight="false" outlineLevel="0" collapsed="false">
      <c r="B107" s="0" t="s">
        <v>274</v>
      </c>
      <c r="C107" s="10" t="n">
        <v>1497.2147</v>
      </c>
      <c r="D107" s="10" t="n">
        <v>1521.0163</v>
      </c>
    </row>
    <row r="108" customFormat="false" ht="15" hidden="false" customHeight="false" outlineLevel="0" collapsed="false">
      <c r="B108" s="0" t="s">
        <v>275</v>
      </c>
      <c r="C108" s="10" t="n">
        <v>1613.5895</v>
      </c>
      <c r="D108" s="10" t="n">
        <v>1640.2912</v>
      </c>
    </row>
    <row r="109" customFormat="false" ht="15" hidden="false" customHeight="false" outlineLevel="0" collapsed="false">
      <c r="B109" s="0" t="s">
        <v>276</v>
      </c>
      <c r="C109" s="10" t="n">
        <v>1709.6115</v>
      </c>
      <c r="D109" s="10" t="n">
        <v>1746.7824</v>
      </c>
    </row>
    <row r="110" customFormat="false" ht="15" hidden="false" customHeight="false" outlineLevel="0" collapsed="false">
      <c r="B110" s="0" t="s">
        <v>277</v>
      </c>
      <c r="C110" s="10" t="n">
        <v>1818.0838</v>
      </c>
      <c r="D110" s="10" t="n">
        <v>1860.2801</v>
      </c>
    </row>
    <row r="111" customFormat="false" ht="15" hidden="false" customHeight="false" outlineLevel="0" collapsed="false">
      <c r="B111" s="0" t="s">
        <v>278</v>
      </c>
      <c r="C111" s="10" t="n">
        <v>2044.2832</v>
      </c>
      <c r="D111" s="10" t="n">
        <v>2116.751</v>
      </c>
    </row>
    <row r="112" customFormat="false" ht="15" hidden="false" customHeight="false" outlineLevel="0" collapsed="false">
      <c r="B112" s="0" t="s">
        <v>279</v>
      </c>
      <c r="C112" s="10" t="n">
        <v>2304.9242</v>
      </c>
      <c r="D112" s="10" t="n">
        <v>2400.9928</v>
      </c>
    </row>
    <row r="113" customFormat="false" ht="15" hidden="false" customHeight="false" outlineLevel="0" collapsed="false">
      <c r="B113" s="0" t="s">
        <v>280</v>
      </c>
      <c r="C113" s="10" t="n">
        <v>2496.273</v>
      </c>
      <c r="D113" s="10" t="n">
        <v>2612.5451</v>
      </c>
    </row>
    <row r="114" customFormat="false" ht="15" hidden="false" customHeight="false" outlineLevel="0" collapsed="false">
      <c r="B114" s="0" t="s">
        <v>281</v>
      </c>
      <c r="C114" s="10" t="n">
        <v>2816.0628</v>
      </c>
      <c r="D114" s="10" t="n">
        <v>2962.7206</v>
      </c>
    </row>
    <row r="115" customFormat="false" ht="15" hidden="false" customHeight="false" outlineLevel="0" collapsed="false">
      <c r="B115" s="0" t="s">
        <v>282</v>
      </c>
      <c r="C115" s="10" t="n">
        <v>3533.1922</v>
      </c>
      <c r="D115" s="10" t="n">
        <v>3799.9487</v>
      </c>
    </row>
    <row r="116" customFormat="false" ht="15" hidden="false" customHeight="false" outlineLevel="0" collapsed="false">
      <c r="B116" s="0" t="s">
        <v>283</v>
      </c>
      <c r="C116" s="10" t="n">
        <v>4261.5324</v>
      </c>
      <c r="D116" s="10" t="n">
        <v>4568.1649</v>
      </c>
    </row>
    <row r="117" customFormat="false" ht="15" hidden="false" customHeight="false" outlineLevel="0" collapsed="false">
      <c r="B117" s="0" t="s">
        <v>284</v>
      </c>
      <c r="C117" s="10" t="n">
        <v>4825.7881</v>
      </c>
      <c r="D117" s="10" t="n">
        <v>5129.5988</v>
      </c>
    </row>
    <row r="118" customFormat="false" ht="15" hidden="false" customHeight="false" outlineLevel="0" collapsed="false">
      <c r="B118" s="0" t="s">
        <v>285</v>
      </c>
      <c r="C118" s="10" t="n">
        <v>5357.0929</v>
      </c>
      <c r="D118" s="10" t="n">
        <v>5612.3991</v>
      </c>
    </row>
    <row r="119" customFormat="false" ht="15" hidden="false" customHeight="false" outlineLevel="0" collapsed="false">
      <c r="B119" s="0" t="s">
        <v>286</v>
      </c>
      <c r="C119" s="10" t="n">
        <v>5830.2271</v>
      </c>
      <c r="D119" s="10" t="n">
        <v>5965.8926</v>
      </c>
    </row>
    <row r="120" customFormat="false" ht="15" hidden="false" customHeight="false" outlineLevel="0" collapsed="false">
      <c r="B120" s="0" t="s">
        <v>287</v>
      </c>
      <c r="C120" s="10" t="n">
        <v>6073.7165</v>
      </c>
      <c r="D120" s="10" t="n">
        <v>6188.6726</v>
      </c>
    </row>
    <row r="121" customFormat="false" ht="15" hidden="false" customHeight="false" outlineLevel="0" collapsed="false">
      <c r="B121" s="0" t="s">
        <v>288</v>
      </c>
      <c r="C121" s="10" t="n">
        <v>6351.7145</v>
      </c>
      <c r="D121" s="10" t="n">
        <v>6414.6575</v>
      </c>
    </row>
    <row r="122" customFormat="false" ht="15" hidden="false" customHeight="false" outlineLevel="0" collapsed="false">
      <c r="B122" s="0" t="s">
        <v>289</v>
      </c>
      <c r="C122" s="10" t="n">
        <v>6607.7479</v>
      </c>
      <c r="D122" s="10" t="n">
        <v>6657.49</v>
      </c>
    </row>
    <row r="123" customFormat="false" ht="15" hidden="false" customHeight="false" outlineLevel="0" collapsed="false">
      <c r="B123" s="0" t="s">
        <v>290</v>
      </c>
      <c r="C123" s="10" t="n">
        <v>6883.4412</v>
      </c>
      <c r="D123" s="10" t="n">
        <v>6931.7976</v>
      </c>
    </row>
    <row r="124" customFormat="false" ht="15" hidden="false" customHeight="false" outlineLevel="0" collapsed="false">
      <c r="B124" s="0" t="s">
        <v>291</v>
      </c>
      <c r="C124" s="10" t="n">
        <v>7122.2421</v>
      </c>
      <c r="D124" s="10" t="n">
        <v>7157.9271</v>
      </c>
    </row>
    <row r="125" customFormat="false" ht="15" hidden="false" customHeight="false" outlineLevel="0" collapsed="false">
      <c r="B125" s="0" t="s">
        <v>292</v>
      </c>
      <c r="C125" s="10" t="n">
        <v>7313.9542</v>
      </c>
      <c r="D125" s="10" t="n">
        <v>7366.7823</v>
      </c>
    </row>
    <row r="126" customFormat="false" ht="15" hidden="false" customHeight="false" outlineLevel="0" collapsed="false">
      <c r="B126" s="0" t="s">
        <v>293</v>
      </c>
      <c r="C126" s="10" t="n">
        <v>7491.4314</v>
      </c>
      <c r="D126" s="10" t="n">
        <v>7566.7782</v>
      </c>
    </row>
    <row r="127" customFormat="false" ht="15" hidden="false" customHeight="false" outlineLevel="0" collapsed="false">
      <c r="B127" s="0" t="s">
        <v>294</v>
      </c>
      <c r="C127" s="10" t="n">
        <v>7694.0075</v>
      </c>
      <c r="D127" s="10" t="n">
        <v>7808.7094</v>
      </c>
    </row>
    <row r="128" customFormat="false" ht="15" hidden="false" customHeight="false" outlineLevel="0" collapsed="false">
      <c r="B128" s="0" t="s">
        <v>295</v>
      </c>
      <c r="C128" s="10" t="n">
        <v>7864.1257</v>
      </c>
      <c r="D128" s="10" t="n">
        <v>7995.938</v>
      </c>
    </row>
    <row r="129" customFormat="false" ht="15" hidden="false" customHeight="false" outlineLevel="0" collapsed="false">
      <c r="B129" s="0" t="s">
        <v>296</v>
      </c>
      <c r="C129" s="10" t="n">
        <v>8052.9927</v>
      </c>
      <c r="D129" s="10" t="n">
        <v>8229.4476</v>
      </c>
    </row>
    <row r="130" customFormat="false" ht="15" hidden="false" customHeight="false" outlineLevel="0" collapsed="false">
      <c r="B130" s="0" t="s">
        <v>297</v>
      </c>
      <c r="C130" s="10" t="n">
        <v>8353.3158</v>
      </c>
      <c r="D130" s="10" t="n">
        <v>8492.1966</v>
      </c>
    </row>
    <row r="131" customFormat="false" ht="15" hidden="false" customHeight="false" outlineLevel="0" collapsed="false">
      <c r="B131" s="0" t="s">
        <v>298</v>
      </c>
      <c r="C131" s="10" t="n">
        <v>8585.6078</v>
      </c>
      <c r="D131" s="10" t="n">
        <v>8765.1966</v>
      </c>
    </row>
    <row r="132" customFormat="false" ht="15" hidden="false" customHeight="false" outlineLevel="0" collapsed="false">
      <c r="B132" s="0" t="s">
        <v>299</v>
      </c>
      <c r="C132" s="10" t="n">
        <v>8714.4871</v>
      </c>
      <c r="D132" s="10" t="n">
        <v>8957.7912</v>
      </c>
    </row>
    <row r="133" customFormat="false" ht="15" hidden="false" customHeight="false" outlineLevel="0" collapsed="false">
      <c r="B133" s="0" t="s">
        <v>300</v>
      </c>
      <c r="C133" s="10" t="n">
        <v>8855.5681</v>
      </c>
      <c r="D133" s="10" t="n">
        <v>9111.304</v>
      </c>
    </row>
    <row r="134" customFormat="false" ht="15" hidden="false" customHeight="false" outlineLevel="0" collapsed="false">
      <c r="B134" s="0" t="s">
        <v>301</v>
      </c>
      <c r="C134" s="10" t="n">
        <v>9023.973</v>
      </c>
      <c r="D134" s="10" t="n">
        <v>9246.0737</v>
      </c>
    </row>
    <row r="135" customFormat="false" ht="15" hidden="false" customHeight="false" outlineLevel="0" collapsed="false">
      <c r="B135" s="0" t="s">
        <v>302</v>
      </c>
      <c r="C135" s="10" t="n">
        <v>9193.2441</v>
      </c>
      <c r="D135" s="10" t="n">
        <v>9435.1467</v>
      </c>
    </row>
    <row r="136" customFormat="false" ht="15" hidden="false" customHeight="false" outlineLevel="0" collapsed="false">
      <c r="B136" s="0" t="s">
        <v>303</v>
      </c>
      <c r="C136" s="10" t="n">
        <v>9384.0922</v>
      </c>
      <c r="D136" s="10" t="n">
        <v>9614.0254</v>
      </c>
    </row>
    <row r="137" customFormat="false" ht="15" hidden="false" customHeight="false" outlineLevel="0" collapsed="false">
      <c r="B137" s="0" t="s">
        <v>304</v>
      </c>
      <c r="C137" s="10" t="n">
        <v>9603.8623</v>
      </c>
      <c r="D137" s="10" t="n">
        <v>9827.1413</v>
      </c>
    </row>
    <row r="138" customFormat="false" ht="15" hidden="false" customHeight="false" outlineLevel="0" collapsed="false">
      <c r="B138" s="0" t="s">
        <v>305</v>
      </c>
      <c r="C138" s="10" t="n">
        <v>9841.3581</v>
      </c>
      <c r="D138" s="10" t="n">
        <v>10086.4793</v>
      </c>
    </row>
    <row r="139" customFormat="false" ht="15" hidden="false" customHeight="false" outlineLevel="0" collapsed="false">
      <c r="B139" s="0" t="s">
        <v>306</v>
      </c>
      <c r="C139" s="10" t="n">
        <v>10121.3715</v>
      </c>
      <c r="D139" s="10" t="n">
        <v>10392.4922</v>
      </c>
    </row>
    <row r="140" customFormat="false" ht="15" hidden="false" customHeight="false" outlineLevel="0" collapsed="false">
      <c r="B140" s="0" t="s">
        <v>307</v>
      </c>
      <c r="C140" s="10" t="n">
        <v>10413.0309</v>
      </c>
      <c r="D140" s="10" t="n">
        <v>10665.8531</v>
      </c>
    </row>
    <row r="141" customFormat="false" ht="15" hidden="false" customHeight="false" outlineLevel="0" collapsed="false">
      <c r="B141" s="0" t="s">
        <v>308</v>
      </c>
      <c r="C141" s="10" t="n">
        <v>10714.6255</v>
      </c>
      <c r="D141" s="10" t="n">
        <v>10993.8681</v>
      </c>
    </row>
    <row r="142" customFormat="false" ht="15" hidden="false" customHeight="false" outlineLevel="0" collapsed="false">
      <c r="B142" s="0" t="s">
        <v>309</v>
      </c>
      <c r="C142" s="10" t="n">
        <v>11077.0608</v>
      </c>
      <c r="D142" s="10" t="n">
        <v>11344.4566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0" topLeftCell="D21" activePane="bottomRight" state="frozen"/>
      <selection pane="topLeft" activeCell="A1" activeCellId="0" sqref="A1"/>
      <selection pane="topRight" activeCell="D1" activeCellId="0" sqref="D1"/>
      <selection pane="bottomLeft" activeCell="A21" activeCellId="0" sqref="A21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9" min="4" style="0" width="13"/>
  </cols>
  <sheetData>
    <row r="1" customFormat="false" ht="17.35" hidden="false" customHeight="false" outlineLevel="0" collapsed="false">
      <c r="A1" s="1" t="s">
        <v>310</v>
      </c>
    </row>
    <row r="2" customFormat="false" ht="15" hidden="false" customHeight="false" outlineLevel="0" collapsed="false">
      <c r="A2" s="2" t="s">
        <v>311</v>
      </c>
    </row>
    <row r="4" customFormat="false" ht="15" hidden="false" customHeight="false" outlineLevel="0" collapsed="false">
      <c r="A4" s="4" t="s">
        <v>312</v>
      </c>
    </row>
    <row r="5" customFormat="false" ht="15" hidden="false" customHeight="false" outlineLevel="0" collapsed="false">
      <c r="A5" s="0" t="s">
        <v>313</v>
      </c>
      <c r="B5" s="2" t="s">
        <v>314</v>
      </c>
    </row>
    <row r="7" customFormat="false" ht="15" hidden="false" customHeight="false" outlineLevel="0" collapsed="false">
      <c r="A7" s="4" t="s">
        <v>315</v>
      </c>
    </row>
    <row r="8" customFormat="false" ht="15" hidden="false" customHeight="false" outlineLevel="0" collapsed="false">
      <c r="A8" s="12" t="s">
        <v>316</v>
      </c>
      <c r="B8" s="13" t="s">
        <v>317</v>
      </c>
      <c r="C8" s="13" t="s">
        <v>318</v>
      </c>
    </row>
    <row r="9" customFormat="false" ht="15" hidden="false" customHeight="false" outlineLevel="0" collapsed="false">
      <c r="A9" s="3" t="s">
        <v>319</v>
      </c>
      <c r="B9" s="14" t="n">
        <v>0.03</v>
      </c>
      <c r="C9" s="14" t="n">
        <v>0.025</v>
      </c>
    </row>
    <row r="10" customFormat="false" ht="15" hidden="false" customHeight="false" outlineLevel="0" collapsed="false">
      <c r="A10" s="3" t="s">
        <v>42</v>
      </c>
      <c r="B10" s="14" t="n">
        <v>0.03</v>
      </c>
      <c r="C10" s="14" t="n">
        <v>0.025</v>
      </c>
    </row>
    <row r="11" customFormat="false" ht="15" hidden="false" customHeight="false" outlineLevel="0" collapsed="false">
      <c r="A11" s="3" t="s">
        <v>320</v>
      </c>
      <c r="B11" s="14" t="n">
        <v>0.02</v>
      </c>
      <c r="C11" s="14" t="n">
        <v>0.02</v>
      </c>
    </row>
    <row r="12" customFormat="false" ht="15" hidden="false" customHeight="false" outlineLevel="0" collapsed="false">
      <c r="A12" s="3" t="s">
        <v>44</v>
      </c>
      <c r="B12" s="14" t="n">
        <v>0.05</v>
      </c>
      <c r="C12" s="14" t="n">
        <v>0.04</v>
      </c>
    </row>
    <row r="13" customFormat="false" ht="15" hidden="false" customHeight="false" outlineLevel="0" collapsed="false">
      <c r="A13" s="3" t="s">
        <v>321</v>
      </c>
      <c r="B13" s="14" t="n">
        <v>0.03</v>
      </c>
      <c r="C13" s="14" t="n">
        <v>0.025</v>
      </c>
    </row>
    <row r="14" customFormat="false" ht="15" hidden="false" customHeight="false" outlineLevel="0" collapsed="false">
      <c r="A14" s="3" t="s">
        <v>322</v>
      </c>
      <c r="B14" s="14" t="n">
        <v>0.5</v>
      </c>
      <c r="C14" s="14" t="n">
        <v>0.3</v>
      </c>
    </row>
    <row r="15" customFormat="false" ht="15" hidden="false" customHeight="false" outlineLevel="0" collapsed="false">
      <c r="A15" s="3" t="s">
        <v>46</v>
      </c>
      <c r="B15" s="14" t="n">
        <v>0.5</v>
      </c>
      <c r="C15" s="14" t="n">
        <v>0.3</v>
      </c>
    </row>
    <row r="16" customFormat="false" ht="15" hidden="false" customHeight="false" outlineLevel="0" collapsed="false">
      <c r="A16" s="3" t="s">
        <v>323</v>
      </c>
      <c r="B16" s="14" t="n">
        <v>0.4</v>
      </c>
      <c r="C16" s="14" t="n">
        <v>0.3</v>
      </c>
    </row>
    <row r="17" customFormat="false" ht="15" hidden="false" customHeight="false" outlineLevel="0" collapsed="false">
      <c r="A17" s="3" t="s">
        <v>324</v>
      </c>
      <c r="B17" s="14" t="n">
        <v>0.35</v>
      </c>
      <c r="C17" s="14" t="n">
        <v>0.25</v>
      </c>
    </row>
    <row r="19" customFormat="false" ht="15" hidden="false" customHeight="false" outlineLevel="0" collapsed="false">
      <c r="A19" s="4" t="s">
        <v>325</v>
      </c>
      <c r="V19" s="4" t="s">
        <v>326</v>
      </c>
      <c r="AI19" s="4" t="s">
        <v>327</v>
      </c>
    </row>
    <row r="20" customFormat="false" ht="31.5" hidden="false" customHeight="true" outlineLevel="0" collapsed="false">
      <c r="A20" s="15" t="s">
        <v>40</v>
      </c>
      <c r="B20" s="15" t="s">
        <v>328</v>
      </c>
      <c r="C20" s="15" t="s">
        <v>329</v>
      </c>
      <c r="D20" s="15" t="s">
        <v>319</v>
      </c>
      <c r="E20" s="15" t="s">
        <v>42</v>
      </c>
      <c r="F20" s="15" t="s">
        <v>320</v>
      </c>
      <c r="G20" s="15" t="s">
        <v>44</v>
      </c>
      <c r="H20" s="15" t="s">
        <v>321</v>
      </c>
      <c r="I20" s="15" t="s">
        <v>322</v>
      </c>
      <c r="J20" s="15" t="s">
        <v>46</v>
      </c>
      <c r="K20" s="15" t="s">
        <v>323</v>
      </c>
      <c r="L20" s="15" t="s">
        <v>324</v>
      </c>
      <c r="M20" s="15" t="s">
        <v>330</v>
      </c>
      <c r="N20" s="15" t="s">
        <v>331</v>
      </c>
      <c r="O20" s="15" t="s">
        <v>332</v>
      </c>
      <c r="P20" s="15" t="s">
        <v>333</v>
      </c>
      <c r="Q20" s="15" t="s">
        <v>334</v>
      </c>
      <c r="R20" s="15" t="s">
        <v>335</v>
      </c>
      <c r="S20" s="15" t="s">
        <v>336</v>
      </c>
      <c r="V20" s="15" t="s">
        <v>329</v>
      </c>
      <c r="W20" s="15" t="s">
        <v>319</v>
      </c>
      <c r="X20" s="15" t="s">
        <v>42</v>
      </c>
      <c r="Y20" s="15" t="s">
        <v>320</v>
      </c>
      <c r="Z20" s="15" t="s">
        <v>44</v>
      </c>
      <c r="AA20" s="15" t="s">
        <v>321</v>
      </c>
      <c r="AB20" s="15" t="s">
        <v>322</v>
      </c>
      <c r="AC20" s="15" t="s">
        <v>46</v>
      </c>
      <c r="AD20" s="15" t="s">
        <v>323</v>
      </c>
      <c r="AE20" s="15" t="s">
        <v>324</v>
      </c>
      <c r="AF20" s="15" t="s">
        <v>330</v>
      </c>
      <c r="AI20" s="15" t="s">
        <v>329</v>
      </c>
      <c r="AJ20" s="15" t="s">
        <v>337</v>
      </c>
      <c r="AK20" s="15" t="s">
        <v>338</v>
      </c>
      <c r="AL20" s="15" t="s">
        <v>339</v>
      </c>
      <c r="AM20" s="15" t="s">
        <v>340</v>
      </c>
      <c r="AN20" s="15" t="s">
        <v>341</v>
      </c>
      <c r="AO20" s="15" t="s">
        <v>342</v>
      </c>
      <c r="AP20" s="15" t="s">
        <v>343</v>
      </c>
      <c r="AQ20" s="15" t="s">
        <v>344</v>
      </c>
      <c r="AR20" s="15" t="s">
        <v>345</v>
      </c>
      <c r="AS20" s="15" t="s">
        <v>346</v>
      </c>
    </row>
    <row r="21" customFormat="false" ht="15" hidden="false" customHeight="false" outlineLevel="0" collapsed="false">
      <c r="A21" s="16" t="n">
        <f aca="false">IFERROR(IF(ISNUMBER('Real and nominal GDP'!A8),'Real and nominal GDP'!A8,NA()),NA())</f>
        <v>38047</v>
      </c>
      <c r="B21" s="17" t="str">
        <f aca="false">IFERROR(IF('Real and nominal GDP'!B8="",NA(),'Real and nominal GDP'!B8),NA())</f>
        <v>041</v>
      </c>
      <c r="C21" s="18" t="n">
        <f aca="false">IFERROR(YEAR(A21),0)</f>
        <v>2004</v>
      </c>
      <c r="D21" s="19" t="n">
        <f aca="false">IFERROR(IF('Real and nominal GDP'!C8="",NA(),IF(ISNUMBER('Real and nominal GDP'!C8),'Real and nominal GDP'!C8,NA())),NA())</f>
        <v>476036.527</v>
      </c>
      <c r="E21" s="19" t="n">
        <f aca="false">IFERROR(IF('Real and nominal GDP'!D8="",NA(),IF(ISNUMBER('Real and nominal GDP'!D8),'Real and nominal GDP'!D8,NA())),NA())</f>
        <v>302781.108</v>
      </c>
      <c r="F21" s="19" t="n">
        <f aca="false">IFERROR(IF('Real and nominal GDP'!E8="",NA(),IF(ISNUMBER('Real and nominal GDP'!E8),'Real and nominal GDP'!E8,NA())),NA())</f>
        <v>52668.16</v>
      </c>
      <c r="G21" s="19" t="n">
        <f aca="false">IFERROR(IF('Real and nominal GDP'!F8="",NA(),IF(ISNUMBER('Real and nominal GDP'!F8),'Real and nominal GDP'!F8,NA())),NA())</f>
        <v>74498.627</v>
      </c>
      <c r="H21" s="19" t="n">
        <f aca="false">IFERROR(IF('Real and nominal GDP'!G8="",NA(),IF(ISNUMBER('Real and nominal GDP'!G8),'Real and nominal GDP'!G8,NA())),NA())</f>
        <v>460369.442</v>
      </c>
      <c r="I21" s="19" t="n">
        <f aca="false">IFERROR(IF('Real and nominal GDP'!H8="",NA(),IF(ISNUMBER('Real and nominal GDP'!H8),'Real and nominal GDP'!H8,NA())),NA())</f>
        <v>439196</v>
      </c>
      <c r="J21" s="19" t="e">
        <f aca="false">IFERROR(IF('Real and nominal GDP'!I8="",NA(),IF(ISNUMBER('Real and nominal GDP'!I8),'Real and nominal GDP'!I8,NA())),NA())</f>
        <v>#N/A</v>
      </c>
      <c r="K21" s="19" t="n">
        <f aca="false">IFERROR(IF('Real and nominal GDP'!J8="",NA(),IF(ISNUMBER('Real and nominal GDP'!J8),'Real and nominal GDP'!J8,NA())),NA())</f>
        <v>2.90726666666667</v>
      </c>
      <c r="L21" s="19" t="n">
        <f aca="false">IFERROR(IF('Real and nominal GDP'!K8="",NA(),IF(ISNUMBER('Real and nominal GDP'!K8),'Real and nominal GDP'!K8,NA())),NA())</f>
        <v>2.91633333333333</v>
      </c>
      <c r="M21" s="20" t="e">
        <f aca="false">NA()</f>
        <v>#N/A</v>
      </c>
      <c r="N21" s="20" t="e">
        <f aca="false">NA()</f>
        <v>#N/A</v>
      </c>
      <c r="O21" s="20" t="e">
        <f aca="false">NA()</f>
        <v>#N/A</v>
      </c>
      <c r="P21" s="21" t="e">
        <f aca="false">NA()</f>
        <v>#N/A</v>
      </c>
      <c r="Q21" s="21" t="e">
        <f aca="false">NA()</f>
        <v>#N/A</v>
      </c>
      <c r="R21" s="21" t="n">
        <f aca="false">IFERROR(I21/K21,NA())</f>
        <v>151068.35744915</v>
      </c>
      <c r="S21" s="21" t="n">
        <f aca="false">IFERROR(I21/L21,NA())</f>
        <v>150598.696993942</v>
      </c>
      <c r="V21" s="22" t="n">
        <v>2004</v>
      </c>
      <c r="W21" s="23" t="n">
        <f aca="false">IF(SUMPRODUCT(($C$21:$C$233=$V$21)*ISNUMBER($D$21:$D$233))=0,NA(),SUMPRODUCT(($C$21:$C$233=$V$21)*IFERROR($D$21:$D$233,0)))</f>
        <v>1940460.781</v>
      </c>
      <c r="X21" s="23" t="n">
        <f aca="false">IF(SUMPRODUCT(($C$21:$C$233=$V$21)*ISNUMBER($E$21:$E$233))=0,NA(),SUMPRODUCT(($C$21:$C$233=$V$21)*IFERROR($E$21:$E$233,0)))</f>
        <v>1248327.542</v>
      </c>
      <c r="Y21" s="23" t="n">
        <f aca="false">IF(SUMPRODUCT(($C$21:$C$233=$V$21)*ISNUMBER($F$21:$F$233))=0,NA(),SUMPRODUCT(($C$21:$C$233=$V$21)*IFERROR($F$21:$F$233,0)))</f>
        <v>215675.154</v>
      </c>
      <c r="Z21" s="23" t="n">
        <f aca="false">IF(SUMPRODUCT(($C$21:$C$233=$V$21)*ISNUMBER($G$21:$G$233))=0,NA(),SUMPRODUCT(($C$21:$C$233=$V$21)*IFERROR($G$21:$G$233,0)))</f>
        <v>308412.709</v>
      </c>
      <c r="AA21" s="23" t="n">
        <f aca="false">IF(SUMPRODUCT(($C$21:$C$233=$V$21)*ISNUMBER($H$21:$H$233))=0,NA(),SUMPRODUCT(($C$21:$C$233=$V$21)*IFERROR($H$21:$H$233,0)))</f>
        <v>1940460.781</v>
      </c>
      <c r="AB21" s="23" t="n">
        <f aca="false">IF(SUMPRODUCT(($C$21:$C$233=$V$21)*ISNUMBER($I$21:$I$233))=0,NA(),SUMPRODUCT(($C$21:$C$233=$V$21)*IFERROR($I$21:$I$233,0)))</f>
        <v>1940461</v>
      </c>
      <c r="AC21" s="23" t="e">
        <f aca="false">IF(SUMPRODUCT(($C$21:$C$233=$V$21)*ISNUMBER($J$21:$J$233))=0,NA(),SUMPRODUCT(($C$21:$C$233=$V$21)*IFERROR($J$21:$J$233,0))/SUMPRODUCT(($C$21:$C$233=$V$21)*ISNUMBER($J$21:$J$233)))</f>
        <v>#N/A</v>
      </c>
      <c r="AD21" s="23" t="n">
        <f aca="false">IF(SUMPRODUCT(($C$21:$C$233=$V$21)*ISNUMBER($K$21:$K$233))=0,NA(),SUMPRODUCT(($C$21:$C$233=$V$21)*IFERROR($K$21:$K$233,0))/SUMPRODUCT(($C$21:$C$233=$V$21)*ISNUMBER($K$21:$K$233)))</f>
        <v>2.9412375</v>
      </c>
      <c r="AE21" s="23" t="n">
        <f aca="false">IF(SUMPRODUCT(($C$21:$C$233=$V$21)*ISNUMBER($L$21:$L$233))=0,NA(),SUMPRODUCT(($C$21:$C$233=$V$21)*IFERROR($L$21:$L$233,0))/SUMPRODUCT(($C$21:$C$233=$V$21)*ISNUMBER($L$21:$L$233)))</f>
        <v>2.94044444444445</v>
      </c>
      <c r="AF21" s="20" t="e">
        <f aca="false">NA()</f>
        <v>#N/A</v>
      </c>
      <c r="AI21" s="24" t="n">
        <f aca="false">IFERROR(IFERROR(LOOKUP(2,1/ISNUMBER(W21:W50),V21:V50),NA())+1,NA())</f>
        <v>2026</v>
      </c>
      <c r="AJ21" s="23" t="n">
        <f aca="false">IFERROR((IFERROR(INDEX(W21:W50,MATCH(AI21-1,V21:V50,0)),NA()))*(1+$B9),NA())</f>
        <v>3044913.80279</v>
      </c>
      <c r="AK21" s="23" t="n">
        <f aca="false">IFERROR((IFERROR(INDEX(X21:X50,MATCH(AI21-1,V21:V50,0)),NA()))*(1+$B10),NA())</f>
        <v>2266003.64929</v>
      </c>
      <c r="AL21" s="23" t="n">
        <f aca="false">IFERROR((IFERROR(INDEX(Y21:Y50,MATCH(AI21-1,V21:V50,0)),NA()))*(1+$B11),NA())</f>
        <v>392792.12436</v>
      </c>
      <c r="AM21" s="23" t="n">
        <f aca="false">IFERROR((IFERROR(INDEX(Z21:Z50,MATCH(AI21-1,V21:V50,0)),NA()))*(1+$B12),NA())</f>
        <v>608643.6216</v>
      </c>
      <c r="AN21" s="23" t="n">
        <f aca="false">IFERROR((IFERROR(INDEX(AA21:AA50,MATCH(AI21-1,V21:V50,0)),NA()))*(1+$B13),NA())</f>
        <v>3044913.80382</v>
      </c>
      <c r="AO21" s="23" t="n">
        <f aca="false">IFERROR((IFERROR(INDEX(AB21:AB50,MATCH(AI21-1,V21:V50,0)),NA()))*(1+$B9)*(1+$B15),NA())</f>
        <v>5238309353.595</v>
      </c>
      <c r="AP21" s="23" t="n">
        <f aca="false">IFERROR((IFERROR(INDEX(AC21:AC50,MATCH(AI21-1,V21:V50,0)),NA()))*(1+$B15),NA())</f>
        <v>13449.2498</v>
      </c>
      <c r="AQ21" s="23" t="n">
        <f aca="false">IFERROR((IFERROR(INDEX(AD21:AD50,MATCH(AI21-1,V21:V50,0)),NA()))*(1+$B16),NA())</f>
        <v>1742.35149783333</v>
      </c>
      <c r="AR21" s="23" t="n">
        <f aca="false">IFERROR((IFERROR(INDEX(AE21:AE50,MATCH(AI21-1,V21:V50,0)),NA()))*(1+$B17),NA())</f>
        <v>1761.49215</v>
      </c>
      <c r="AS21" s="23" t="n">
        <f aca="false">IFERROR(AO21/AQ21,NA())</f>
        <v>3006459.58069253</v>
      </c>
    </row>
    <row r="22" customFormat="false" ht="15" hidden="false" customHeight="false" outlineLevel="0" collapsed="false">
      <c r="A22" s="16" t="n">
        <f aca="false">IFERROR(IF(ISNUMBER('Real and nominal GDP'!A9),'Real and nominal GDP'!A9,NA()),NA())</f>
        <v>38139</v>
      </c>
      <c r="B22" s="17" t="str">
        <f aca="false">IFERROR(IF('Real and nominal GDP'!B9="",NA(),'Real and nominal GDP'!B9),NA())</f>
        <v>042</v>
      </c>
      <c r="C22" s="18" t="n">
        <f aca="false">IFERROR(YEAR(A22),0)</f>
        <v>2004</v>
      </c>
      <c r="D22" s="19" t="n">
        <f aca="false">IFERROR(IF('Real and nominal GDP'!C9="",NA(),IF(ISNUMBER('Real and nominal GDP'!C9),'Real and nominal GDP'!C9,NA())),NA())</f>
        <v>470010.066</v>
      </c>
      <c r="E22" s="19" t="n">
        <f aca="false">IFERROR(IF('Real and nominal GDP'!D9="",NA(),IF(ISNUMBER('Real and nominal GDP'!D9),'Real and nominal GDP'!D9,NA())),NA())</f>
        <v>304361.812</v>
      </c>
      <c r="F22" s="19" t="n">
        <f aca="false">IFERROR(IF('Real and nominal GDP'!E9="",NA(),IF(ISNUMBER('Real and nominal GDP'!E9),'Real and nominal GDP'!E9,NA())),NA())</f>
        <v>52818.974</v>
      </c>
      <c r="G22" s="19" t="n">
        <f aca="false">IFERROR(IF('Real and nominal GDP'!F9="",NA(),IF(ISNUMBER('Real and nominal GDP'!F9),'Real and nominal GDP'!F9,NA())),NA())</f>
        <v>76869.591</v>
      </c>
      <c r="H22" s="19" t="n">
        <f aca="false">IFERROR(IF('Real and nominal GDP'!G9="",NA(),IF(ISNUMBER('Real and nominal GDP'!G9),'Real and nominal GDP'!G9,NA())),NA())</f>
        <v>514395.682</v>
      </c>
      <c r="I22" s="19" t="n">
        <f aca="false">IFERROR(IF('Real and nominal GDP'!H9="",NA(),IF(ISNUMBER('Real and nominal GDP'!H9),'Real and nominal GDP'!H9,NA())),NA())</f>
        <v>509499</v>
      </c>
      <c r="J22" s="19" t="e">
        <f aca="false">IFERROR(IF('Real and nominal GDP'!I9="",NA(),IF(ISNUMBER('Real and nominal GDP'!I9),'Real and nominal GDP'!I9,NA())),NA())</f>
        <v>#N/A</v>
      </c>
      <c r="K22" s="19" t="n">
        <f aca="false">IFERROR(IF('Real and nominal GDP'!J9="",NA(),IF(ISNUMBER('Real and nominal GDP'!J9),'Real and nominal GDP'!J9,NA())),NA())</f>
        <v>2.90507333333333</v>
      </c>
      <c r="L22" s="19" t="n">
        <f aca="false">IFERROR(IF('Real and nominal GDP'!K9="",NA(),IF(ISNUMBER('Real and nominal GDP'!K9),'Real and nominal GDP'!K9,NA())),NA())</f>
        <v>2.90933333333333</v>
      </c>
      <c r="M22" s="20" t="e">
        <f aca="false">NA()</f>
        <v>#N/A</v>
      </c>
      <c r="N22" s="20" t="n">
        <f aca="false">IFERROR(D22/D21-1,NA())</f>
        <v>-0.012659660883544</v>
      </c>
      <c r="O22" s="20" t="e">
        <f aca="false">NA()</f>
        <v>#N/A</v>
      </c>
      <c r="P22" s="21" t="e">
        <f aca="false">NA()</f>
        <v>#N/A</v>
      </c>
      <c r="Q22" s="21" t="e">
        <f aca="false">NA()</f>
        <v>#N/A</v>
      </c>
      <c r="R22" s="21" t="n">
        <f aca="false">IFERROR(I22/K22,NA())</f>
        <v>175382.49177875</v>
      </c>
      <c r="S22" s="21" t="n">
        <f aca="false">IFERROR(I22/L22,NA())</f>
        <v>175125.687442713</v>
      </c>
      <c r="V22" s="22" t="n">
        <v>2005</v>
      </c>
      <c r="W22" s="23" t="n">
        <f aca="false">IF(SUMPRODUCT(($C$21:$C$233=$V$22)*ISNUMBER($D$21:$D$233))=0,NA(),SUMPRODUCT(($C$21:$C$233=$V$22)*IFERROR($D$21:$D$233,0)))</f>
        <v>2112223.77</v>
      </c>
      <c r="X22" s="23" t="n">
        <f aca="false">IF(SUMPRODUCT(($C$21:$C$233=$V$22)*ISNUMBER($E$21:$E$233))=0,NA(),SUMPRODUCT(($C$21:$C$233=$V$22)*IFERROR($E$21:$E$233,0)))</f>
        <v>1340611.135</v>
      </c>
      <c r="Y22" s="23" t="n">
        <f aca="false">IF(SUMPRODUCT(($C$21:$C$233=$V$22)*ISNUMBER($F$21:$F$233))=0,NA(),SUMPRODUCT(($C$21:$C$233=$V$22)*IFERROR($F$21:$F$233,0)))</f>
        <v>236930.879</v>
      </c>
      <c r="Z22" s="23" t="n">
        <f aca="false">IF(SUMPRODUCT(($C$21:$C$233=$V$22)*ISNUMBER($G$21:$G$233))=0,NA(),SUMPRODUCT(($C$21:$C$233=$V$22)*IFERROR($G$21:$G$233,0)))</f>
        <v>357229.42</v>
      </c>
      <c r="AA22" s="23" t="n">
        <f aca="false">IF(SUMPRODUCT(($C$21:$C$233=$V$22)*ISNUMBER($H$21:$H$233))=0,NA(),SUMPRODUCT(($C$21:$C$233=$V$22)*IFERROR($H$21:$H$233,0)))</f>
        <v>2112223.771</v>
      </c>
      <c r="AB22" s="23" t="n">
        <f aca="false">IF(SUMPRODUCT(($C$21:$C$233=$V$22)*ISNUMBER($I$21:$I$233))=0,NA(),SUMPRODUCT(($C$21:$C$233=$V$22)*IFERROR($I$21:$I$233,0)))</f>
        <v>2330153</v>
      </c>
      <c r="AC22" s="23" t="e">
        <f aca="false">IF(SUMPRODUCT(($C$21:$C$233=$V$22)*ISNUMBER($J$21:$J$233))=0,NA(),SUMPRODUCT(($C$21:$C$233=$V$22)*IFERROR($J$21:$J$233,0))/SUMPRODUCT(($C$21:$C$233=$V$22)*ISNUMBER($J$21:$J$233)))</f>
        <v>#N/A</v>
      </c>
      <c r="AD22" s="23" t="n">
        <f aca="false">IF(SUMPRODUCT(($C$21:$C$233=$V$22)*ISNUMBER($K$21:$K$233))=0,NA(),SUMPRODUCT(($C$21:$C$233=$V$22)*IFERROR($K$21:$K$233,0))/SUMPRODUCT(($C$21:$C$233=$V$22)*ISNUMBER($K$21:$K$233)))</f>
        <v>2.923495</v>
      </c>
      <c r="AE22" s="23" t="n">
        <f aca="false">IF(SUMPRODUCT(($C$21:$C$233=$V$22)*ISNUMBER($L$21:$L$233))=0,NA(),SUMPRODUCT(($C$21:$C$233=$V$22)*IFERROR($L$21:$L$233,0))/SUMPRODUCT(($C$21:$C$233=$V$22)*ISNUMBER($L$21:$L$233)))</f>
        <v>2.92633333333333</v>
      </c>
      <c r="AF22" s="20" t="n">
        <f aca="false">IFERROR(W22/W21-1,NA())</f>
        <v>0.0885165990891521</v>
      </c>
      <c r="AI22" s="24" t="n">
        <f aca="false">AI21+1</f>
        <v>2027</v>
      </c>
      <c r="AJ22" s="23" t="n">
        <f aca="false">IFERROR(AJ21*(1+$C9),NA())</f>
        <v>3121036.64785975</v>
      </c>
      <c r="AK22" s="23" t="n">
        <f aca="false">IFERROR(AK21*(1+$C10),NA())</f>
        <v>2322653.74052225</v>
      </c>
      <c r="AL22" s="23" t="n">
        <f aca="false">IFERROR(AL21*(1+$C11),NA())</f>
        <v>400647.9668472</v>
      </c>
      <c r="AM22" s="23" t="n">
        <f aca="false">IFERROR(AM21*(1+$C12),NA())</f>
        <v>632989.366464</v>
      </c>
      <c r="AN22" s="23" t="n">
        <f aca="false">IFERROR(AN21*(1+$C13),NA())</f>
        <v>3121036.6489155</v>
      </c>
      <c r="AO22" s="23" t="n">
        <f aca="false">IFERROR(AO21*(1+$C9)*(1+$C15),NA())</f>
        <v>6980047213.66534</v>
      </c>
      <c r="AP22" s="23" t="n">
        <f aca="false">IFERROR(AP21*(1+$C15),NA())</f>
        <v>17484.02474</v>
      </c>
      <c r="AQ22" s="23" t="n">
        <f aca="false">IFERROR(AQ21*(1+$C16),NA())</f>
        <v>2265.05694718333</v>
      </c>
      <c r="AR22" s="23" t="n">
        <f aca="false">IFERROR(AR21*(1+$C17),NA())</f>
        <v>2201.8651875</v>
      </c>
      <c r="AS22" s="23" t="n">
        <f aca="false">IFERROR(AO22/AQ22,NA())</f>
        <v>3081621.07020984</v>
      </c>
    </row>
    <row r="23" customFormat="false" ht="15" hidden="false" customHeight="false" outlineLevel="0" collapsed="false">
      <c r="A23" s="16" t="n">
        <f aca="false">IFERROR(IF(ISNUMBER('Real and nominal GDP'!A10),'Real and nominal GDP'!A10,NA()),NA())</f>
        <v>38231</v>
      </c>
      <c r="B23" s="17" t="str">
        <f aca="false">IFERROR(IF('Real and nominal GDP'!B10="",NA(),'Real and nominal GDP'!B10),NA())</f>
        <v>043</v>
      </c>
      <c r="C23" s="18" t="n">
        <f aca="false">IFERROR(YEAR(A23),0)</f>
        <v>2004</v>
      </c>
      <c r="D23" s="19" t="n">
        <f aca="false">IFERROR(IF('Real and nominal GDP'!C10="",NA(),IF(ISNUMBER('Real and nominal GDP'!C10),'Real and nominal GDP'!C10,NA())),NA())</f>
        <v>493895.121</v>
      </c>
      <c r="E23" s="19" t="n">
        <f aca="false">IFERROR(IF('Real and nominal GDP'!D10="",NA(),IF(ISNUMBER('Real and nominal GDP'!D10),'Real and nominal GDP'!D10,NA())),NA())</f>
        <v>316912.029</v>
      </c>
      <c r="F23" s="19" t="n">
        <f aca="false">IFERROR(IF('Real and nominal GDP'!E10="",NA(),IF(ISNUMBER('Real and nominal GDP'!E10),'Real and nominal GDP'!E10,NA())),NA())</f>
        <v>54483.809</v>
      </c>
      <c r="G23" s="19" t="n">
        <f aca="false">IFERROR(IF('Real and nominal GDP'!F10="",NA(),IF(ISNUMBER('Real and nominal GDP'!F10),'Real and nominal GDP'!F10,NA())),NA())</f>
        <v>77809.682</v>
      </c>
      <c r="H23" s="19" t="n">
        <f aca="false">IFERROR(IF('Real and nominal GDP'!G10="",NA(),IF(ISNUMBER('Real and nominal GDP'!G10),'Real and nominal GDP'!G10,NA())),NA())</f>
        <v>481151.98</v>
      </c>
      <c r="I23" s="19" t="n">
        <f aca="false">IFERROR(IF('Real and nominal GDP'!H10="",NA(),IF(ISNUMBER('Real and nominal GDP'!H10),'Real and nominal GDP'!H10,NA())),NA())</f>
        <v>488462</v>
      </c>
      <c r="J23" s="19" t="e">
        <f aca="false">IFERROR(IF('Real and nominal GDP'!I10="",NA(),IF(ISNUMBER('Real and nominal GDP'!I10),'Real and nominal GDP'!I10,NA())),NA())</f>
        <v>#N/A</v>
      </c>
      <c r="K23" s="19" t="n">
        <f aca="false">IFERROR(IF('Real and nominal GDP'!J10="",NA(),IF(ISNUMBER('Real and nominal GDP'!J10),'Real and nominal GDP'!J10,NA())),NA())</f>
        <v>2.98799333333333</v>
      </c>
      <c r="L23" s="19" t="n">
        <f aca="false">IFERROR(IF('Real and nominal GDP'!K10="",NA(),IF(ISNUMBER('Real and nominal GDP'!K10),'Real and nominal GDP'!K10,NA())),NA())</f>
        <v>2.99566666666667</v>
      </c>
      <c r="M23" s="20" t="e">
        <f aca="false">NA()</f>
        <v>#N/A</v>
      </c>
      <c r="N23" s="20" t="n">
        <f aca="false">IFERROR(D23/D22-1,NA())</f>
        <v>0.0508181775834562</v>
      </c>
      <c r="O23" s="20" t="e">
        <f aca="false">NA()</f>
        <v>#N/A</v>
      </c>
      <c r="P23" s="21" t="e">
        <f aca="false">NA()</f>
        <v>#N/A</v>
      </c>
      <c r="Q23" s="21" t="e">
        <f aca="false">NA()</f>
        <v>#N/A</v>
      </c>
      <c r="R23" s="21" t="n">
        <f aca="false">IFERROR(I23/K23,NA())</f>
        <v>163474.92966294</v>
      </c>
      <c r="S23" s="21" t="n">
        <f aca="false">IFERROR(I23/L23,NA())</f>
        <v>163056.192277735</v>
      </c>
      <c r="V23" s="22" t="n">
        <v>2006</v>
      </c>
      <c r="W23" s="23" t="n">
        <f aca="false">IF(SUMPRODUCT(($C$21:$C$233=$V$23)*ISNUMBER($D$21:$D$233))=0,NA(),SUMPRODUCT(($C$21:$C$233=$V$23)*IFERROR($D$21:$D$233,0)))</f>
        <v>2282197.616</v>
      </c>
      <c r="X23" s="23" t="n">
        <f aca="false">IF(SUMPRODUCT(($C$21:$C$233=$V$23)*ISNUMBER($E$21:$E$233))=0,NA(),SUMPRODUCT(($C$21:$C$233=$V$23)*IFERROR($E$21:$E$233,0)))</f>
        <v>1487491.634</v>
      </c>
      <c r="Y23" s="23" t="n">
        <f aca="false">IF(SUMPRODUCT(($C$21:$C$233=$V$23)*ISNUMBER($F$21:$F$233))=0,NA(),SUMPRODUCT(($C$21:$C$233=$V$23)*IFERROR($F$21:$F$233,0)))</f>
        <v>245750.686</v>
      </c>
      <c r="Z23" s="23" t="n">
        <f aca="false">IF(SUMPRODUCT(($C$21:$C$233=$V$23)*ISNUMBER($G$21:$G$233))=0,NA(),SUMPRODUCT(($C$21:$C$233=$V$23)*IFERROR($G$21:$G$233,0)))</f>
        <v>408930.577</v>
      </c>
      <c r="AA23" s="23" t="n">
        <f aca="false">IF(SUMPRODUCT(($C$21:$C$233=$V$23)*ISNUMBER($H$21:$H$233))=0,NA(),SUMPRODUCT(($C$21:$C$233=$V$23)*IFERROR($H$21:$H$233,0)))</f>
        <v>2282197.618</v>
      </c>
      <c r="AB23" s="23" t="n">
        <f aca="false">IF(SUMPRODUCT(($C$21:$C$233=$V$23)*ISNUMBER($I$21:$I$233))=0,NA(),SUMPRODUCT(($C$21:$C$233=$V$23)*IFERROR($I$21:$I$233,0)))</f>
        <v>2863616</v>
      </c>
      <c r="AC23" s="23" t="e">
        <f aca="false">IF(SUMPRODUCT(($C$21:$C$233=$V$23)*ISNUMBER($J$21:$J$233))=0,NA(),SUMPRODUCT(($C$21:$C$233=$V$23)*IFERROR($J$21:$J$233,0))/SUMPRODUCT(($C$21:$C$233=$V$23)*ISNUMBER($J$21:$J$233)))</f>
        <v>#N/A</v>
      </c>
      <c r="AD23" s="23" t="n">
        <f aca="false">IF(SUMPRODUCT(($C$21:$C$233=$V$23)*ISNUMBER($K$21:$K$233))=0,NA(),SUMPRODUCT(($C$21:$C$233=$V$23)*IFERROR($K$21:$K$233,0))/SUMPRODUCT(($C$21:$C$233=$V$23)*ISNUMBER($K$21:$K$233)))</f>
        <v>3.0743825</v>
      </c>
      <c r="AE23" s="23" t="n">
        <f aca="false">IF(SUMPRODUCT(($C$21:$C$233=$V$23)*ISNUMBER($L$21:$L$233))=0,NA(),SUMPRODUCT(($C$21:$C$233=$V$23)*IFERROR($L$21:$L$233,0))/SUMPRODUCT(($C$21:$C$233=$V$23)*ISNUMBER($L$21:$L$233)))</f>
        <v>3.091</v>
      </c>
      <c r="AF23" s="20" t="n">
        <f aca="false">IFERROR(W23/W22-1,NA())</f>
        <v>0.080471514625555</v>
      </c>
    </row>
    <row r="24" customFormat="false" ht="15" hidden="false" customHeight="false" outlineLevel="0" collapsed="false">
      <c r="A24" s="16" t="n">
        <f aca="false">IFERROR(IF(ISNUMBER('Real and nominal GDP'!A11),'Real and nominal GDP'!A11,NA()),NA())</f>
        <v>38322</v>
      </c>
      <c r="B24" s="17" t="str">
        <f aca="false">IFERROR(IF('Real and nominal GDP'!B11="",NA(),'Real and nominal GDP'!B11),NA())</f>
        <v>044</v>
      </c>
      <c r="C24" s="18" t="n">
        <f aca="false">IFERROR(YEAR(A24),0)</f>
        <v>2004</v>
      </c>
      <c r="D24" s="19" t="n">
        <f aca="false">IFERROR(IF('Real and nominal GDP'!C11="",NA(),IF(ISNUMBER('Real and nominal GDP'!C11),'Real and nominal GDP'!C11,NA())),NA())</f>
        <v>500519.067</v>
      </c>
      <c r="E24" s="19" t="n">
        <f aca="false">IFERROR(IF('Real and nominal GDP'!D11="",NA(),IF(ISNUMBER('Real and nominal GDP'!D11),'Real and nominal GDP'!D11,NA())),NA())</f>
        <v>324272.593</v>
      </c>
      <c r="F24" s="19" t="n">
        <f aca="false">IFERROR(IF('Real and nominal GDP'!E11="",NA(),IF(ISNUMBER('Real and nominal GDP'!E11),'Real and nominal GDP'!E11,NA())),NA())</f>
        <v>55704.211</v>
      </c>
      <c r="G24" s="19" t="n">
        <f aca="false">IFERROR(IF('Real and nominal GDP'!F11="",NA(),IF(ISNUMBER('Real and nominal GDP'!F11),'Real and nominal GDP'!F11,NA())),NA())</f>
        <v>79234.809</v>
      </c>
      <c r="H24" s="19" t="n">
        <f aca="false">IFERROR(IF('Real and nominal GDP'!G11="",NA(),IF(ISNUMBER('Real and nominal GDP'!G11),'Real and nominal GDP'!G11,NA())),NA())</f>
        <v>484543.677</v>
      </c>
      <c r="I24" s="19" t="n">
        <f aca="false">IFERROR(IF('Real and nominal GDP'!H11="",NA(),IF(ISNUMBER('Real and nominal GDP'!H11),'Real and nominal GDP'!H11,NA())),NA())</f>
        <v>503304</v>
      </c>
      <c r="J24" s="19" t="e">
        <f aca="false">IFERROR(IF('Real and nominal GDP'!I11="",NA(),IF(ISNUMBER('Real and nominal GDP'!I11),'Real and nominal GDP'!I11,NA())),NA())</f>
        <v>#N/A</v>
      </c>
      <c r="K24" s="19" t="n">
        <f aca="false">IFERROR(IF('Real and nominal GDP'!J11="",NA(),IF(ISNUMBER('Real and nominal GDP'!J11),'Real and nominal GDP'!J11,NA())),NA())</f>
        <v>2.96461666666667</v>
      </c>
      <c r="L24" s="19" t="e">
        <f aca="false">IFERROR(IF('Real and nominal GDP'!K11="",NA(),IF(ISNUMBER('Real and nominal GDP'!K11),'Real and nominal GDP'!K11,NA())),NA())</f>
        <v>#N/A</v>
      </c>
      <c r="M24" s="20" t="e">
        <f aca="false">NA()</f>
        <v>#N/A</v>
      </c>
      <c r="N24" s="20" t="n">
        <f aca="false">IFERROR(D24/D23-1,NA())</f>
        <v>0.0134116449390882</v>
      </c>
      <c r="O24" s="20" t="e">
        <f aca="false">NA()</f>
        <v>#N/A</v>
      </c>
      <c r="P24" s="21" t="n">
        <f aca="false">IF(COUNT(D21:D24)=4,SUM(D21:D24),NA())</f>
        <v>1940460.781</v>
      </c>
      <c r="Q24" s="21" t="n">
        <f aca="false">IF(COUNT(I21:I24)=4,SUM(I21:I24),NA())</f>
        <v>1940461</v>
      </c>
      <c r="R24" s="21" t="n">
        <f aca="false">IFERROR(I24/K24,NA())</f>
        <v>169770.346925122</v>
      </c>
      <c r="S24" s="21" t="e">
        <f aca="false">IFERROR(I24/L24,NA())</f>
        <v>#N/A</v>
      </c>
      <c r="V24" s="22" t="n">
        <v>2007</v>
      </c>
      <c r="W24" s="23" t="n">
        <f aca="false">IF(SUMPRODUCT(($C$21:$C$233=$V$24)*ISNUMBER($D$21:$D$233))=0,NA(),SUMPRODUCT(($C$21:$C$233=$V$24)*IFERROR($D$21:$D$233,0)))</f>
        <v>2487770.011</v>
      </c>
      <c r="X24" s="23" t="n">
        <f aca="false">IF(SUMPRODUCT(($C$21:$C$233=$V$24)*ISNUMBER($E$21:$E$233))=0,NA(),SUMPRODUCT(($C$21:$C$233=$V$24)*IFERROR($E$21:$E$233,0)))</f>
        <v>1626406.151</v>
      </c>
      <c r="Y24" s="23" t="n">
        <f aca="false">IF(SUMPRODUCT(($C$21:$C$233=$V$24)*ISNUMBER($F$21:$F$233))=0,NA(),SUMPRODUCT(($C$21:$C$233=$V$24)*IFERROR($F$21:$F$233,0)))</f>
        <v>264992.421</v>
      </c>
      <c r="Z24" s="23" t="n">
        <f aca="false">IF(SUMPRODUCT(($C$21:$C$233=$V$24)*ISNUMBER($G$21:$G$233))=0,NA(),SUMPRODUCT(($C$21:$C$233=$V$24)*IFERROR($G$21:$G$233,0)))</f>
        <v>492569.961</v>
      </c>
      <c r="AA24" s="23" t="n">
        <f aca="false">IF(SUMPRODUCT(($C$21:$C$233=$V$24)*ISNUMBER($H$21:$H$233))=0,NA(),SUMPRODUCT(($C$21:$C$233=$V$24)*IFERROR($H$21:$H$233,0)))</f>
        <v>2487770.011</v>
      </c>
      <c r="AB24" s="23" t="n">
        <f aca="false">IF(SUMPRODUCT(($C$21:$C$233=$V$24)*ISNUMBER($I$21:$I$233))=0,NA(),SUMPRODUCT(($C$21:$C$233=$V$24)*IFERROR($I$21:$I$233,0)))</f>
        <v>3587921</v>
      </c>
      <c r="AC24" s="23" t="e">
        <f aca="false">IF(SUMPRODUCT(($C$21:$C$233=$V$24)*ISNUMBER($J$21:$J$233))=0,NA(),SUMPRODUCT(($C$21:$C$233=$V$24)*IFERROR($J$21:$J$233,0))/SUMPRODUCT(($C$21:$C$233=$V$24)*ISNUMBER($J$21:$J$233)))</f>
        <v>#N/A</v>
      </c>
      <c r="AD24" s="23" t="n">
        <f aca="false">IF(SUMPRODUCT(($C$21:$C$233=$V$24)*ISNUMBER($K$21:$K$233))=0,NA(),SUMPRODUCT(($C$21:$C$233=$V$24)*IFERROR($K$21:$K$233,0))/SUMPRODUCT(($C$21:$C$233=$V$24)*ISNUMBER($K$21:$K$233)))</f>
        <v>3.11567666666667</v>
      </c>
      <c r="AE24" s="23" t="n">
        <f aca="false">IF(SUMPRODUCT(($C$21:$C$233=$V$24)*ISNUMBER($L$21:$L$233))=0,NA(),SUMPRODUCT(($C$21:$C$233=$V$24)*IFERROR($L$21:$L$233,0))/SUMPRODUCT(($C$21:$C$233=$V$24)*ISNUMBER($L$21:$L$233)))</f>
        <v>3.14533333333333</v>
      </c>
      <c r="AF24" s="20" t="n">
        <f aca="false">IFERROR(W24/W23-1,NA())</f>
        <v>0.0900765093954949</v>
      </c>
    </row>
    <row r="25" customFormat="false" ht="15" hidden="false" customHeight="false" outlineLevel="0" collapsed="false">
      <c r="A25" s="16" t="n">
        <f aca="false">IFERROR(IF(ISNUMBER('Real and nominal GDP'!A12),'Real and nominal GDP'!A12,NA()),NA())</f>
        <v>38412</v>
      </c>
      <c r="B25" s="17" t="str">
        <f aca="false">IFERROR(IF('Real and nominal GDP'!B12="",NA(),'Real and nominal GDP'!B12),NA())</f>
        <v>051</v>
      </c>
      <c r="C25" s="18" t="n">
        <f aca="false">IFERROR(YEAR(A25),0)</f>
        <v>2005</v>
      </c>
      <c r="D25" s="19" t="n">
        <f aca="false">IFERROR(IF('Real and nominal GDP'!C12="",NA(),IF(ISNUMBER('Real and nominal GDP'!C12),'Real and nominal GDP'!C12,NA())),NA())</f>
        <v>514918.459</v>
      </c>
      <c r="E25" s="19" t="n">
        <f aca="false">IFERROR(IF('Real and nominal GDP'!D12="",NA(),IF(ISNUMBER('Real and nominal GDP'!D12),'Real and nominal GDP'!D12,NA())),NA())</f>
        <v>318967.706</v>
      </c>
      <c r="F25" s="19" t="n">
        <f aca="false">IFERROR(IF('Real and nominal GDP'!E12="",NA(),IF(ISNUMBER('Real and nominal GDP'!E12),'Real and nominal GDP'!E12,NA())),NA())</f>
        <v>57528.588</v>
      </c>
      <c r="G25" s="19" t="n">
        <f aca="false">IFERROR(IF('Real and nominal GDP'!F12="",NA(),IF(ISNUMBER('Real and nominal GDP'!F12),'Real and nominal GDP'!F12,NA())),NA())</f>
        <v>85178.716</v>
      </c>
      <c r="H25" s="19" t="n">
        <f aca="false">IFERROR(IF('Real and nominal GDP'!G12="",NA(),IF(ISNUMBER('Real and nominal GDP'!G12),'Real and nominal GDP'!G12,NA())),NA())</f>
        <v>493602.531</v>
      </c>
      <c r="I25" s="19" t="n">
        <f aca="false">IFERROR(IF('Real and nominal GDP'!H12="",NA(),IF(ISNUMBER('Real and nominal GDP'!H12),'Real and nominal GDP'!H12,NA())),NA())</f>
        <v>510703</v>
      </c>
      <c r="J25" s="19" t="e">
        <f aca="false">IFERROR(IF('Real and nominal GDP'!I12="",NA(),IF(ISNUMBER('Real and nominal GDP'!I12),'Real and nominal GDP'!I12,NA())),NA())</f>
        <v>#N/A</v>
      </c>
      <c r="K25" s="19" t="n">
        <f aca="false">IFERROR(IF('Real and nominal GDP'!J12="",NA(),IF(ISNUMBER('Real and nominal GDP'!J12),'Real and nominal GDP'!J12,NA())),NA())</f>
        <v>2.92976666666667</v>
      </c>
      <c r="L25" s="19" t="n">
        <f aca="false">IFERROR(IF('Real and nominal GDP'!K12="",NA(),IF(ISNUMBER('Real and nominal GDP'!K12),'Real and nominal GDP'!K12,NA())),NA())</f>
        <v>2.93433333333333</v>
      </c>
      <c r="M25" s="20" t="n">
        <f aca="false">IFERROR(D25/D21-1,NA())</f>
        <v>0.081678463299939</v>
      </c>
      <c r="N25" s="20" t="n">
        <f aca="false">IFERROR(D25/D24-1,NA())</f>
        <v>0.0287689180080726</v>
      </c>
      <c r="O25" s="20" t="n">
        <f aca="false">IFERROR(I25/I21-1,NA())</f>
        <v>0.162813413601217</v>
      </c>
      <c r="P25" s="21" t="n">
        <f aca="false">IF(COUNT(D22:D25)=4,SUM(D22:D25),NA())</f>
        <v>1979342.713</v>
      </c>
      <c r="Q25" s="21" t="n">
        <f aca="false">IF(COUNT(I22:I25)=4,SUM(I22:I25),NA())</f>
        <v>2011968</v>
      </c>
      <c r="R25" s="21" t="n">
        <f aca="false">IFERROR(I25/K25,NA())</f>
        <v>174315.246947994</v>
      </c>
      <c r="S25" s="21" t="n">
        <f aca="false">IFERROR(I25/L25,NA())</f>
        <v>174043.962285584</v>
      </c>
      <c r="V25" s="22" t="n">
        <v>2008</v>
      </c>
      <c r="W25" s="23" t="n">
        <f aca="false">IF(SUMPRODUCT(($C$21:$C$233=$V$25)*ISNUMBER($D$21:$D$233))=0,NA(),SUMPRODUCT(($C$21:$C$233=$V$25)*IFERROR($D$21:$D$233,0)))</f>
        <v>2588704.639</v>
      </c>
      <c r="X25" s="23" t="n">
        <f aca="false">IF(SUMPRODUCT(($C$21:$C$233=$V$25)*ISNUMBER($E$21:$E$233))=0,NA(),SUMPRODUCT(($C$21:$C$233=$V$25)*IFERROR($E$21:$E$233,0)))</f>
        <v>1744233.567</v>
      </c>
      <c r="Y25" s="23" t="n">
        <f aca="false">IF(SUMPRODUCT(($C$21:$C$233=$V$25)*ISNUMBER($F$21:$F$233))=0,NA(),SUMPRODUCT(($C$21:$C$233=$V$25)*IFERROR($F$21:$F$233,0)))</f>
        <v>278281.998</v>
      </c>
      <c r="Z25" s="23" t="n">
        <f aca="false">IF(SUMPRODUCT(($C$21:$C$233=$V$25)*ISNUMBER($G$21:$G$233))=0,NA(),SUMPRODUCT(($C$21:$C$233=$V$25)*IFERROR($G$21:$G$233,0)))</f>
        <v>535401.059</v>
      </c>
      <c r="AA25" s="23" t="n">
        <f aca="false">IF(SUMPRODUCT(($C$21:$C$233=$V$25)*ISNUMBER($H$21:$H$233))=0,NA(),SUMPRODUCT(($C$21:$C$233=$V$25)*IFERROR($H$21:$H$233,0)))</f>
        <v>2588704.639</v>
      </c>
      <c r="AB25" s="23" t="n">
        <f aca="false">IF(SUMPRODUCT(($C$21:$C$233=$V$25)*ISNUMBER($I$21:$I$233))=0,NA(),SUMPRODUCT(($C$21:$C$233=$V$25)*IFERROR($I$21:$I$233,0)))</f>
        <v>4598584</v>
      </c>
      <c r="AC25" s="23" t="e">
        <f aca="false">IF(SUMPRODUCT(($C$21:$C$233=$V$25)*ISNUMBER($J$21:$J$233))=0,NA(),SUMPRODUCT(($C$21:$C$233=$V$25)*IFERROR($J$21:$J$233,0))/SUMPRODUCT(($C$21:$C$233=$V$25)*ISNUMBER($J$21:$J$233)))</f>
        <v>#N/A</v>
      </c>
      <c r="AD25" s="23" t="n">
        <f aca="false">IF(SUMPRODUCT(($C$21:$C$233=$V$25)*ISNUMBER($K$21:$K$233))=0,NA(),SUMPRODUCT(($C$21:$C$233=$V$25)*IFERROR($K$21:$K$233,0))/SUMPRODUCT(($C$21:$C$233=$V$25)*ISNUMBER($K$21:$K$233)))</f>
        <v>3.16340333333333</v>
      </c>
      <c r="AE25" s="23" t="n">
        <f aca="false">IF(SUMPRODUCT(($C$21:$C$233=$V$25)*ISNUMBER($L$21:$L$233))=0,NA(),SUMPRODUCT(($C$21:$C$233=$V$25)*IFERROR($L$21:$L$233,0))/SUMPRODUCT(($C$21:$C$233=$V$25)*ISNUMBER($L$21:$L$233)))</f>
        <v>3.20991666666667</v>
      </c>
      <c r="AF25" s="20" t="n">
        <f aca="false">IFERROR(W25/W24-1,NA())</f>
        <v>0.0405723308640689</v>
      </c>
    </row>
    <row r="26" customFormat="false" ht="15" hidden="false" customHeight="false" outlineLevel="0" collapsed="false">
      <c r="A26" s="16" t="n">
        <f aca="false">IFERROR(IF(ISNUMBER('Real and nominal GDP'!A13),'Real and nominal GDP'!A13,NA()),NA())</f>
        <v>38504</v>
      </c>
      <c r="B26" s="17" t="str">
        <f aca="false">IFERROR(IF('Real and nominal GDP'!B13="",NA(),'Real and nominal GDP'!B13),NA())</f>
        <v>052</v>
      </c>
      <c r="C26" s="18" t="n">
        <f aca="false">IFERROR(YEAR(A26),0)</f>
        <v>2005</v>
      </c>
      <c r="D26" s="19" t="n">
        <f aca="false">IFERROR(IF('Real and nominal GDP'!C13="",NA(),IF(ISNUMBER('Real and nominal GDP'!C13),'Real and nominal GDP'!C13,NA())),NA())</f>
        <v>527084.198</v>
      </c>
      <c r="E26" s="19" t="n">
        <f aca="false">IFERROR(IF('Real and nominal GDP'!D13="",NA(),IF(ISNUMBER('Real and nominal GDP'!D13),'Real and nominal GDP'!D13,NA())),NA())</f>
        <v>346690.415</v>
      </c>
      <c r="F26" s="19" t="n">
        <f aca="false">IFERROR(IF('Real and nominal GDP'!E13="",NA(),IF(ISNUMBER('Real and nominal GDP'!E13),'Real and nominal GDP'!E13,NA())),NA())</f>
        <v>58964.326</v>
      </c>
      <c r="G26" s="19" t="n">
        <f aca="false">IFERROR(IF('Real and nominal GDP'!F13="",NA(),IF(ISNUMBER('Real and nominal GDP'!F13),'Real and nominal GDP'!F13,NA())),NA())</f>
        <v>87994.464</v>
      </c>
      <c r="H26" s="19" t="n">
        <f aca="false">IFERROR(IF('Real and nominal GDP'!G13="",NA(),IF(ISNUMBER('Real and nominal GDP'!G13),'Real and nominal GDP'!G13,NA())),NA())</f>
        <v>581668.25</v>
      </c>
      <c r="I26" s="19" t="n">
        <f aca="false">IFERROR(IF('Real and nominal GDP'!H13="",NA(),IF(ISNUMBER('Real and nominal GDP'!H13),'Real and nominal GDP'!H13,NA())),NA())</f>
        <v>605772</v>
      </c>
      <c r="J26" s="19" t="e">
        <f aca="false">IFERROR(IF('Real and nominal GDP'!I13="",NA(),IF(ISNUMBER('Real and nominal GDP'!I13),'Real and nominal GDP'!I13,NA())),NA())</f>
        <v>#N/A</v>
      </c>
      <c r="K26" s="19" t="n">
        <f aca="false">IFERROR(IF('Real and nominal GDP'!J13="",NA(),IF(ISNUMBER('Real and nominal GDP'!J13),'Real and nominal GDP'!J13,NA())),NA())</f>
        <v>2.89173</v>
      </c>
      <c r="L26" s="19" t="n">
        <f aca="false">IFERROR(IF('Real and nominal GDP'!K13="",NA(),IF(ISNUMBER('Real and nominal GDP'!K13),'Real and nominal GDP'!K13,NA())),NA())</f>
        <v>2.89866666666667</v>
      </c>
      <c r="M26" s="20" t="n">
        <f aca="false">IFERROR(D26/D22-1,NA())</f>
        <v>0.121431722698467</v>
      </c>
      <c r="N26" s="20" t="n">
        <f aca="false">IFERROR(D26/D25-1,NA())</f>
        <v>0.0236265350122165</v>
      </c>
      <c r="O26" s="20" t="n">
        <f aca="false">IFERROR(I26/I22-1,NA())</f>
        <v>0.188956209923866</v>
      </c>
      <c r="P26" s="21" t="n">
        <f aca="false">IF(COUNT(D23:D26)=4,SUM(D23:D26),NA())</f>
        <v>2036416.845</v>
      </c>
      <c r="Q26" s="21" t="n">
        <f aca="false">IF(COUNT(I23:I26)=4,SUM(I23:I26),NA())</f>
        <v>2108241</v>
      </c>
      <c r="R26" s="21" t="n">
        <f aca="false">IFERROR(I26/K26,NA())</f>
        <v>209484.287952195</v>
      </c>
      <c r="S26" s="21" t="n">
        <f aca="false">IFERROR(I26/L26,NA())</f>
        <v>208982.980680773</v>
      </c>
      <c r="V26" s="22" t="n">
        <v>2009</v>
      </c>
      <c r="W26" s="23" t="n">
        <f aca="false">IF(SUMPRODUCT(($C$21:$C$233=$V$26)*ISNUMBER($D$21:$D$233))=0,NA(),SUMPRODUCT(($C$21:$C$233=$V$26)*IFERROR($D$21:$D$233,0)))</f>
        <v>2435491.506</v>
      </c>
      <c r="X26" s="23" t="n">
        <f aca="false">IF(SUMPRODUCT(($C$21:$C$233=$V$26)*ISNUMBER($E$21:$E$233))=0,NA(),SUMPRODUCT(($C$21:$C$233=$V$26)*IFERROR($E$21:$E$233,0)))</f>
        <v>1650085.909</v>
      </c>
      <c r="Y26" s="23" t="n">
        <f aca="false">IF(SUMPRODUCT(($C$21:$C$233=$V$26)*ISNUMBER($F$21:$F$233))=0,NA(),SUMPRODUCT(($C$21:$C$233=$V$26)*IFERROR($F$21:$F$233,0)))</f>
        <v>293961.114</v>
      </c>
      <c r="Z26" s="23" t="n">
        <f aca="false">IF(SUMPRODUCT(($C$21:$C$233=$V$26)*ISNUMBER($G$21:$G$233))=0,NA(),SUMPRODUCT(($C$21:$C$233=$V$26)*IFERROR($G$21:$G$233,0)))</f>
        <v>414545.768</v>
      </c>
      <c r="AA26" s="23" t="n">
        <f aca="false">IF(SUMPRODUCT(($C$21:$C$233=$V$26)*ISNUMBER($H$21:$H$233))=0,NA(),SUMPRODUCT(($C$21:$C$233=$V$26)*IFERROR($H$21:$H$233,0)))</f>
        <v>2435491.506</v>
      </c>
      <c r="AB26" s="23" t="n">
        <f aca="false">IF(SUMPRODUCT(($C$21:$C$233=$V$26)*ISNUMBER($I$21:$I$233))=0,NA(),SUMPRODUCT(($C$21:$C$233=$V$26)*IFERROR($I$21:$I$233,0)))</f>
        <v>4991717</v>
      </c>
      <c r="AC26" s="23" t="e">
        <f aca="false">IF(SUMPRODUCT(($C$21:$C$233=$V$26)*ISNUMBER($J$21:$J$233))=0,NA(),SUMPRODUCT(($C$21:$C$233=$V$26)*IFERROR($J$21:$J$233,0))/SUMPRODUCT(($C$21:$C$233=$V$26)*ISNUMBER($J$21:$J$233)))</f>
        <v>#N/A</v>
      </c>
      <c r="AD26" s="23" t="n">
        <f aca="false">IF(SUMPRODUCT(($C$21:$C$233=$V$26)*ISNUMBER($K$21:$K$233))=0,NA(),SUMPRODUCT(($C$21:$C$233=$V$26)*IFERROR($K$21:$K$233,0))/SUMPRODUCT(($C$21:$C$233=$V$26)*ISNUMBER($K$21:$K$233)))</f>
        <v>3.72961166666667</v>
      </c>
      <c r="AE26" s="23" t="n">
        <f aca="false">IF(SUMPRODUCT(($C$21:$C$233=$V$26)*ISNUMBER($L$21:$L$233))=0,NA(),SUMPRODUCT(($C$21:$C$233=$V$26)*IFERROR($L$21:$L$233,0))/SUMPRODUCT(($C$21:$C$233=$V$26)*ISNUMBER($L$21:$L$233)))</f>
        <v>3.76941666666667</v>
      </c>
      <c r="AF26" s="20" t="n">
        <f aca="false">IFERROR(W26/W25-1,NA())</f>
        <v>-0.0591852506816634</v>
      </c>
    </row>
    <row r="27" customFormat="false" ht="15" hidden="false" customHeight="false" outlineLevel="0" collapsed="false">
      <c r="A27" s="16" t="n">
        <f aca="false">IFERROR(IF(ISNUMBER('Real and nominal GDP'!A14),'Real and nominal GDP'!A14,NA()),NA())</f>
        <v>38596</v>
      </c>
      <c r="B27" s="17" t="str">
        <f aca="false">IFERROR(IF('Real and nominal GDP'!B14="",NA(),'Real and nominal GDP'!B14),NA())</f>
        <v>053</v>
      </c>
      <c r="C27" s="18" t="n">
        <f aca="false">IFERROR(YEAR(A27),0)</f>
        <v>2005</v>
      </c>
      <c r="D27" s="19" t="n">
        <f aca="false">IFERROR(IF('Real and nominal GDP'!C14="",NA(),IF(ISNUMBER('Real and nominal GDP'!C14),'Real and nominal GDP'!C14,NA())),NA())</f>
        <v>530101.958</v>
      </c>
      <c r="E27" s="19" t="n">
        <f aca="false">IFERROR(IF('Real and nominal GDP'!D14="",NA(),IF(ISNUMBER('Real and nominal GDP'!D14),'Real and nominal GDP'!D14,NA())),NA())</f>
        <v>331326.974</v>
      </c>
      <c r="F27" s="19" t="n">
        <f aca="false">IFERROR(IF('Real and nominal GDP'!E14="",NA(),IF(ISNUMBER('Real and nominal GDP'!E14),'Real and nominal GDP'!E14,NA())),NA())</f>
        <v>59826.06</v>
      </c>
      <c r="G27" s="19" t="n">
        <f aca="false">IFERROR(IF('Real and nominal GDP'!F14="",NA(),IF(ISNUMBER('Real and nominal GDP'!F14),'Real and nominal GDP'!F14,NA())),NA())</f>
        <v>88235.413</v>
      </c>
      <c r="H27" s="19" t="n">
        <f aca="false">IFERROR(IF('Real and nominal GDP'!G14="",NA(),IF(ISNUMBER('Real and nominal GDP'!G14),'Real and nominal GDP'!G14,NA())),NA())</f>
        <v>514697.79</v>
      </c>
      <c r="I27" s="19" t="n">
        <f aca="false">IFERROR(IF('Real and nominal GDP'!H14="",NA(),IF(ISNUMBER('Real and nominal GDP'!H14),'Real and nominal GDP'!H14,NA())),NA())</f>
        <v>590220</v>
      </c>
      <c r="J27" s="19" t="e">
        <f aca="false">IFERROR(IF('Real and nominal GDP'!I14="",NA(),IF(ISNUMBER('Real and nominal GDP'!I14),'Real and nominal GDP'!I14,NA())),NA())</f>
        <v>#N/A</v>
      </c>
      <c r="K27" s="19" t="n">
        <f aca="false">IFERROR(IF('Real and nominal GDP'!J14="",NA(),IF(ISNUMBER('Real and nominal GDP'!J14),'Real and nominal GDP'!J14,NA())),NA())</f>
        <v>2.88960333333333</v>
      </c>
      <c r="L27" s="19" t="n">
        <f aca="false">IFERROR(IF('Real and nominal GDP'!K14="",NA(),IF(ISNUMBER('Real and nominal GDP'!K14),'Real and nominal GDP'!K14,NA())),NA())</f>
        <v>2.88466666666667</v>
      </c>
      <c r="M27" s="20" t="n">
        <f aca="false">IFERROR(D27/D23-1,NA())</f>
        <v>0.0733087561721428</v>
      </c>
      <c r="N27" s="20" t="n">
        <f aca="false">IFERROR(D27/D26-1,NA())</f>
        <v>0.00572538507405596</v>
      </c>
      <c r="O27" s="20" t="n">
        <f aca="false">IFERROR(I27/I23-1,NA())</f>
        <v>0.208323267726046</v>
      </c>
      <c r="P27" s="21" t="n">
        <f aca="false">IF(COUNT(D24:D27)=4,SUM(D24:D27),NA())</f>
        <v>2072623.682</v>
      </c>
      <c r="Q27" s="21" t="n">
        <f aca="false">IF(COUNT(I24:I27)=4,SUM(I24:I27),NA())</f>
        <v>2209999</v>
      </c>
      <c r="R27" s="21" t="n">
        <f aca="false">IFERROR(I27/K27,NA())</f>
        <v>204256.4088958</v>
      </c>
      <c r="S27" s="21" t="n">
        <f aca="false">IFERROR(I27/L27,NA())</f>
        <v>204605.962560666</v>
      </c>
      <c r="V27" s="22" t="n">
        <v>2010</v>
      </c>
      <c r="W27" s="23" t="n">
        <f aca="false">IF(SUMPRODUCT(($C$21:$C$233=$V$27)*ISNUMBER($D$21:$D$233))=0,NA(),SUMPRODUCT(($C$21:$C$233=$V$27)*IFERROR($D$21:$D$233,0)))</f>
        <v>2682094.717</v>
      </c>
      <c r="X27" s="23" t="n">
        <f aca="false">IF(SUMPRODUCT(($C$21:$C$233=$V$27)*ISNUMBER($E$21:$E$233))=0,NA(),SUMPRODUCT(($C$21:$C$233=$V$27)*IFERROR($E$21:$E$233,0)))</f>
        <v>1834700.664</v>
      </c>
      <c r="Y27" s="23" t="n">
        <f aca="false">IF(SUMPRODUCT(($C$21:$C$233=$V$27)*ISNUMBER($F$21:$F$233))=0,NA(),SUMPRODUCT(($C$21:$C$233=$V$27)*IFERROR($F$21:$F$233,0)))</f>
        <v>309988.39</v>
      </c>
      <c r="Z27" s="23" t="n">
        <f aca="false">IF(SUMPRODUCT(($C$21:$C$233=$V$27)*ISNUMBER($G$21:$G$233))=0,NA(),SUMPRODUCT(($C$21:$C$233=$V$27)*IFERROR($G$21:$G$233,0)))</f>
        <v>523383.033</v>
      </c>
      <c r="AA27" s="23" t="n">
        <f aca="false">IF(SUMPRODUCT(($C$21:$C$233=$V$27)*ISNUMBER($H$21:$H$233))=0,NA(),SUMPRODUCT(($C$21:$C$233=$V$27)*IFERROR($H$21:$H$233,0)))</f>
        <v>2682094.718</v>
      </c>
      <c r="AB27" s="23" t="n">
        <f aca="false">IF(SUMPRODUCT(($C$21:$C$233=$V$27)*ISNUMBER($I$21:$I$233))=0,NA(),SUMPRODUCT(($C$21:$C$233=$V$27)*IFERROR($I$21:$I$233,0)))</f>
        <v>6646884</v>
      </c>
      <c r="AC27" s="23" t="e">
        <f aca="false">IF(SUMPRODUCT(($C$21:$C$233=$V$27)*ISNUMBER($J$21:$J$233))=0,NA(),SUMPRODUCT(($C$21:$C$233=$V$27)*IFERROR($J$21:$J$233,0))/SUMPRODUCT(($C$21:$C$233=$V$27)*ISNUMBER($J$21:$J$233)))</f>
        <v>#N/A</v>
      </c>
      <c r="AD27" s="23" t="n">
        <f aca="false">IF(SUMPRODUCT(($C$21:$C$233=$V$27)*ISNUMBER($K$21:$K$233))=0,NA(),SUMPRODUCT(($C$21:$C$233=$V$27)*IFERROR($K$21:$K$233,0))/SUMPRODUCT(($C$21:$C$233=$V$27)*ISNUMBER($K$21:$K$233)))</f>
        <v>3.9123375</v>
      </c>
      <c r="AE27" s="23" t="n">
        <f aca="false">IF(SUMPRODUCT(($C$21:$C$233=$V$27)*ISNUMBER($L$21:$L$233))=0,NA(),SUMPRODUCT(($C$21:$C$233=$V$27)*IFERROR($L$21:$L$233,0))/SUMPRODUCT(($C$21:$C$233=$V$27)*ISNUMBER($L$21:$L$233)))</f>
        <v>3.975</v>
      </c>
      <c r="AF27" s="20" t="n">
        <f aca="false">IFERROR(W27/W26-1,NA())</f>
        <v>0.101253981133778</v>
      </c>
    </row>
    <row r="28" customFormat="false" ht="15" hidden="false" customHeight="false" outlineLevel="0" collapsed="false">
      <c r="A28" s="16" t="n">
        <f aca="false">IFERROR(IF(ISNUMBER('Real and nominal GDP'!A15),'Real and nominal GDP'!A15,NA()),NA())</f>
        <v>38687</v>
      </c>
      <c r="B28" s="17" t="str">
        <f aca="false">IFERROR(IF('Real and nominal GDP'!B15="",NA(),'Real and nominal GDP'!B15),NA())</f>
        <v>054</v>
      </c>
      <c r="C28" s="18" t="n">
        <f aca="false">IFERROR(YEAR(A28),0)</f>
        <v>2005</v>
      </c>
      <c r="D28" s="19" t="n">
        <f aca="false">IFERROR(IF('Real and nominal GDP'!C15="",NA(),IF(ISNUMBER('Real and nominal GDP'!C15),'Real and nominal GDP'!C15,NA())),NA())</f>
        <v>540119.155</v>
      </c>
      <c r="E28" s="19" t="n">
        <f aca="false">IFERROR(IF('Real and nominal GDP'!D15="",NA(),IF(ISNUMBER('Real and nominal GDP'!D15),'Real and nominal GDP'!D15,NA())),NA())</f>
        <v>343626.04</v>
      </c>
      <c r="F28" s="19" t="n">
        <f aca="false">IFERROR(IF('Real and nominal GDP'!E15="",NA(),IF(ISNUMBER('Real and nominal GDP'!E15),'Real and nominal GDP'!E15,NA())),NA())</f>
        <v>60611.905</v>
      </c>
      <c r="G28" s="19" t="n">
        <f aca="false">IFERROR(IF('Real and nominal GDP'!F15="",NA(),IF(ISNUMBER('Real and nominal GDP'!F15),'Real and nominal GDP'!F15,NA())),NA())</f>
        <v>95820.827</v>
      </c>
      <c r="H28" s="19" t="n">
        <f aca="false">IFERROR(IF('Real and nominal GDP'!G15="",NA(),IF(ISNUMBER('Real and nominal GDP'!G15),'Real and nominal GDP'!G15,NA())),NA())</f>
        <v>522255.2</v>
      </c>
      <c r="I28" s="19" t="n">
        <f aca="false">IFERROR(IF('Real and nominal GDP'!H15="",NA(),IF(ISNUMBER('Real and nominal GDP'!H15),'Real and nominal GDP'!H15,NA())),NA())</f>
        <v>623458</v>
      </c>
      <c r="J28" s="19" t="e">
        <f aca="false">IFERROR(IF('Real and nominal GDP'!I15="",NA(),IF(ISNUMBER('Real and nominal GDP'!I15),'Real and nominal GDP'!I15,NA())),NA())</f>
        <v>#N/A</v>
      </c>
      <c r="K28" s="19" t="n">
        <f aca="false">IFERROR(IF('Real and nominal GDP'!J15="",NA(),IF(ISNUMBER('Real and nominal GDP'!J15),'Real and nominal GDP'!J15,NA())),NA())</f>
        <v>2.98288</v>
      </c>
      <c r="L28" s="19" t="n">
        <f aca="false">IFERROR(IF('Real and nominal GDP'!K15="",NA(),IF(ISNUMBER('Real and nominal GDP'!K15),'Real and nominal GDP'!K15,NA())),NA())</f>
        <v>2.98766666666667</v>
      </c>
      <c r="M28" s="20" t="n">
        <f aca="false">IFERROR(D28/D24-1,NA())</f>
        <v>0.0791180408717578</v>
      </c>
      <c r="N28" s="20" t="n">
        <f aca="false">IFERROR(D28/D27-1,NA())</f>
        <v>0.0188967364651764</v>
      </c>
      <c r="O28" s="20" t="n">
        <f aca="false">IFERROR(I28/I24-1,NA())</f>
        <v>0.238730469060449</v>
      </c>
      <c r="P28" s="21" t="n">
        <f aca="false">IF(COUNT(D25:D28)=4,SUM(D25:D28),NA())</f>
        <v>2112223.77</v>
      </c>
      <c r="Q28" s="21" t="n">
        <f aca="false">IF(COUNT(I25:I28)=4,SUM(I25:I28),NA())</f>
        <v>2330153</v>
      </c>
      <c r="R28" s="21" t="n">
        <f aca="false">IFERROR(I28/K28,NA())</f>
        <v>209012.095692753</v>
      </c>
      <c r="S28" s="21" t="n">
        <f aca="false">IFERROR(I28/L28,NA())</f>
        <v>208677.228606493</v>
      </c>
      <c r="V28" s="22" t="n">
        <v>2011</v>
      </c>
      <c r="W28" s="23" t="n">
        <f aca="false">IF(SUMPRODUCT(($C$21:$C$233=$V$28)*ISNUMBER($D$21:$D$233))=0,NA(),SUMPRODUCT(($C$21:$C$233=$V$28)*IFERROR($D$21:$D$233,0)))</f>
        <v>2843126.389</v>
      </c>
      <c r="X28" s="23" t="n">
        <f aca="false">IF(SUMPRODUCT(($C$21:$C$233=$V$28)*ISNUMBER($E$21:$E$233))=0,NA(),SUMPRODUCT(($C$21:$C$233=$V$28)*IFERROR($E$21:$E$233,0)))</f>
        <v>2006588.614</v>
      </c>
      <c r="Y28" s="23" t="n">
        <f aca="false">IF(SUMPRODUCT(($C$21:$C$233=$V$28)*ISNUMBER($F$21:$F$233))=0,NA(),SUMPRODUCT(($C$21:$C$233=$V$28)*IFERROR($F$21:$F$233,0)))</f>
        <v>324139.079</v>
      </c>
      <c r="Z28" s="23" t="n">
        <f aca="false">IF(SUMPRODUCT(($C$21:$C$233=$V$28)*ISNUMBER($G$21:$G$233))=0,NA(),SUMPRODUCT(($C$21:$C$233=$V$28)*IFERROR($G$21:$G$233,0)))</f>
        <v>614336.34</v>
      </c>
      <c r="AA28" s="23" t="n">
        <f aca="false">IF(SUMPRODUCT(($C$21:$C$233=$V$28)*ISNUMBER($H$21:$H$233))=0,NA(),SUMPRODUCT(($C$21:$C$233=$V$28)*IFERROR($H$21:$H$233,0)))</f>
        <v>2843126.389</v>
      </c>
      <c r="AB28" s="23" t="n">
        <f aca="false">IF(SUMPRODUCT(($C$21:$C$233=$V$28)*ISNUMBER($I$21:$I$233))=0,NA(),SUMPRODUCT(($C$21:$C$233=$V$28)*IFERROR($I$21:$I$233,0)))</f>
        <v>8716096</v>
      </c>
      <c r="AC28" s="23" t="e">
        <f aca="false">IF(SUMPRODUCT(($C$21:$C$233=$V$28)*ISNUMBER($J$21:$J$233))=0,NA(),SUMPRODUCT(($C$21:$C$233=$V$28)*IFERROR($J$21:$J$233,0))/SUMPRODUCT(($C$21:$C$233=$V$28)*ISNUMBER($J$21:$J$233)))</f>
        <v>#N/A</v>
      </c>
      <c r="AD28" s="23" t="n">
        <f aca="false">IF(SUMPRODUCT(($C$21:$C$233=$V$28)*ISNUMBER($K$21:$K$233))=0,NA(),SUMPRODUCT(($C$21:$C$233=$V$28)*IFERROR($K$21:$K$233,0))/SUMPRODUCT(($C$21:$C$233=$V$28)*ISNUMBER($K$21:$K$233)))</f>
        <v>4.13001416666667</v>
      </c>
      <c r="AE28" s="23" t="n">
        <f aca="false">IF(SUMPRODUCT(($C$21:$C$233=$V$28)*ISNUMBER($L$21:$L$233))=0,NA(),SUMPRODUCT(($C$21:$C$233=$V$28)*IFERROR($L$21:$L$233,0))/SUMPRODUCT(($C$21:$C$233=$V$28)*ISNUMBER($L$21:$L$233)))</f>
        <v>4.34341666666667</v>
      </c>
      <c r="AF28" s="20" t="n">
        <f aca="false">IFERROR(W28/W27-1,NA())</f>
        <v>0.0600395172397634</v>
      </c>
    </row>
    <row r="29" customFormat="false" ht="15" hidden="false" customHeight="false" outlineLevel="0" collapsed="false">
      <c r="A29" s="16" t="n">
        <f aca="false">IFERROR(IF(ISNUMBER('Real and nominal GDP'!A16),'Real and nominal GDP'!A16,NA()),NA())</f>
        <v>38777</v>
      </c>
      <c r="B29" s="17" t="str">
        <f aca="false">IFERROR(IF('Real and nominal GDP'!B16="",NA(),'Real and nominal GDP'!B16),NA())</f>
        <v>061</v>
      </c>
      <c r="C29" s="18" t="n">
        <f aca="false">IFERROR(YEAR(A29),0)</f>
        <v>2006</v>
      </c>
      <c r="D29" s="19" t="n">
        <f aca="false">IFERROR(IF('Real and nominal GDP'!C16="",NA(),IF(ISNUMBER('Real and nominal GDP'!C16),'Real and nominal GDP'!C16,NA())),NA())</f>
        <v>554455.772</v>
      </c>
      <c r="E29" s="19" t="n">
        <f aca="false">IFERROR(IF('Real and nominal GDP'!D16="",NA(),IF(ISNUMBER('Real and nominal GDP'!D16),'Real and nominal GDP'!D16,NA())),NA())</f>
        <v>353511.321</v>
      </c>
      <c r="F29" s="19" t="n">
        <f aca="false">IFERROR(IF('Real and nominal GDP'!E16="",NA(),IF(ISNUMBER('Real and nominal GDP'!E16),'Real and nominal GDP'!E16,NA())),NA())</f>
        <v>60524.269</v>
      </c>
      <c r="G29" s="19" t="n">
        <f aca="false">IFERROR(IF('Real and nominal GDP'!F16="",NA(),IF(ISNUMBER('Real and nominal GDP'!F16),'Real and nominal GDP'!F16,NA())),NA())</f>
        <v>97450.782</v>
      </c>
      <c r="H29" s="19" t="n">
        <f aca="false">IFERROR(IF('Real and nominal GDP'!G16="",NA(),IF(ISNUMBER('Real and nominal GDP'!G16),'Real and nominal GDP'!G16,NA())),NA())</f>
        <v>532348.212</v>
      </c>
      <c r="I29" s="19" t="n">
        <f aca="false">IFERROR(IF('Real and nominal GDP'!H16="",NA(),IF(ISNUMBER('Real and nominal GDP'!H16),'Real and nominal GDP'!H16,NA())),NA())</f>
        <v>643562</v>
      </c>
      <c r="J29" s="19" t="e">
        <f aca="false">IFERROR(IF('Real and nominal GDP'!I16="",NA(),IF(ISNUMBER('Real and nominal GDP'!I16),'Real and nominal GDP'!I16,NA())),NA())</f>
        <v>#N/A</v>
      </c>
      <c r="K29" s="19" t="n">
        <f aca="false">IFERROR(IF('Real and nominal GDP'!J16="",NA(),IF(ISNUMBER('Real and nominal GDP'!J16),'Real and nominal GDP'!J16,NA())),NA())</f>
        <v>3.06493333333333</v>
      </c>
      <c r="L29" s="19" t="n">
        <f aca="false">IFERROR(IF('Real and nominal GDP'!K16="",NA(),IF(ISNUMBER('Real and nominal GDP'!K16),'Real and nominal GDP'!K16,NA())),NA())</f>
        <v>3.07966666666667</v>
      </c>
      <c r="M29" s="20" t="n">
        <f aca="false">IFERROR(D29/D25-1,NA())</f>
        <v>0.0767836388634886</v>
      </c>
      <c r="N29" s="20" t="n">
        <f aca="false">IFERROR(D29/D28-1,NA())</f>
        <v>0.0265434337354689</v>
      </c>
      <c r="O29" s="20" t="n">
        <f aca="false">IFERROR(I29/I25-1,NA())</f>
        <v>0.260149245256049</v>
      </c>
      <c r="P29" s="21" t="n">
        <f aca="false">IF(COUNT(D26:D29)=4,SUM(D26:D29),NA())</f>
        <v>2151761.083</v>
      </c>
      <c r="Q29" s="21" t="n">
        <f aca="false">IF(COUNT(I26:I29)=4,SUM(I26:I29),NA())</f>
        <v>2463012</v>
      </c>
      <c r="R29" s="21" t="n">
        <f aca="false">IFERROR(I29/K29,NA())</f>
        <v>209975.855918563</v>
      </c>
      <c r="S29" s="21" t="n">
        <f aca="false">IFERROR(I29/L29,NA())</f>
        <v>208971.317242126</v>
      </c>
      <c r="V29" s="22" t="n">
        <v>2012</v>
      </c>
      <c r="W29" s="23" t="n">
        <f aca="false">IF(SUMPRODUCT(($C$21:$C$233=$V$29)*ISNUMBER($D$21:$D$233))=0,NA(),SUMPRODUCT(($C$21:$C$233=$V$29)*IFERROR($D$21:$D$233,0)))</f>
        <v>2813943.957</v>
      </c>
      <c r="X29" s="23" t="n">
        <f aca="false">IF(SUMPRODUCT(($C$21:$C$233=$V$29)*ISNUMBER($E$21:$E$233))=0,NA(),SUMPRODUCT(($C$21:$C$233=$V$29)*IFERROR($E$21:$E$233,0)))</f>
        <v>2028867.401</v>
      </c>
      <c r="Y29" s="23" t="n">
        <f aca="false">IF(SUMPRODUCT(($C$21:$C$233=$V$29)*ISNUMBER($F$21:$F$233))=0,NA(),SUMPRODUCT(($C$21:$C$233=$V$29)*IFERROR($F$21:$F$233,0)))</f>
        <v>333893.384</v>
      </c>
      <c r="Z29" s="23" t="n">
        <f aca="false">IF(SUMPRODUCT(($C$21:$C$233=$V$29)*ISNUMBER($G$21:$G$233))=0,NA(),SUMPRODUCT(($C$21:$C$233=$V$29)*IFERROR($G$21:$G$233,0)))</f>
        <v>570870.808</v>
      </c>
      <c r="AA29" s="23" t="n">
        <f aca="false">IF(SUMPRODUCT(($C$21:$C$233=$V$29)*ISNUMBER($H$21:$H$233))=0,NA(),SUMPRODUCT(($C$21:$C$233=$V$29)*IFERROR($H$21:$H$233,0)))</f>
        <v>2813943.959</v>
      </c>
      <c r="AB29" s="23" t="n">
        <f aca="false">IF(SUMPRODUCT(($C$21:$C$233=$V$29)*ISNUMBER($I$21:$I$233))=0,NA(),SUMPRODUCT(($C$21:$C$233=$V$29)*IFERROR($I$21:$I$233,0)))</f>
        <v>10551656</v>
      </c>
      <c r="AC29" s="23" t="n">
        <f aca="false">IF(SUMPRODUCT(($C$21:$C$233=$V$29)*ISNUMBER($J$21:$J$233))=0,NA(),SUMPRODUCT(($C$21:$C$233=$V$29)*IFERROR($J$21:$J$233,0))/SUMPRODUCT(($C$21:$C$233=$V$29)*ISNUMBER($J$21:$J$233)))</f>
        <v>30.5392666666667</v>
      </c>
      <c r="AD29" s="23" t="n">
        <f aca="false">IF(SUMPRODUCT(($C$21:$C$233=$V$29)*ISNUMBER($K$21:$K$233))=0,NA(),SUMPRODUCT(($C$21:$C$233=$V$29)*IFERROR($K$21:$K$233,0))/SUMPRODUCT(($C$21:$C$233=$V$29)*ISNUMBER($K$21:$K$233)))</f>
        <v>4.55154833333333</v>
      </c>
      <c r="AE29" s="23" t="n">
        <f aca="false">IF(SUMPRODUCT(($C$21:$C$233=$V$29)*ISNUMBER($L$21:$L$233))=0,NA(),SUMPRODUCT(($C$21:$C$233=$V$29)*IFERROR($L$21:$L$233,0))/SUMPRODUCT(($C$21:$C$233=$V$29)*ISNUMBER($L$21:$L$233)))</f>
        <v>5.73141666666667</v>
      </c>
      <c r="AF29" s="20" t="n">
        <f aca="false">IFERROR(W29/W28-1,NA())</f>
        <v>-0.0102642049656696</v>
      </c>
    </row>
    <row r="30" customFormat="false" ht="15" hidden="false" customHeight="false" outlineLevel="0" collapsed="false">
      <c r="A30" s="16" t="n">
        <f aca="false">IFERROR(IF(ISNUMBER('Real and nominal GDP'!A17),'Real and nominal GDP'!A17,NA()),NA())</f>
        <v>38869</v>
      </c>
      <c r="B30" s="17" t="str">
        <f aca="false">IFERROR(IF('Real and nominal GDP'!B17="",NA(),'Real and nominal GDP'!B17),NA())</f>
        <v>062</v>
      </c>
      <c r="C30" s="18" t="n">
        <f aca="false">IFERROR(YEAR(A30),0)</f>
        <v>2006</v>
      </c>
      <c r="D30" s="19" t="n">
        <f aca="false">IFERROR(IF('Real and nominal GDP'!C17="",NA(),IF(ISNUMBER('Real and nominal GDP'!C17),'Real and nominal GDP'!C17,NA())),NA())</f>
        <v>561157.223</v>
      </c>
      <c r="E30" s="19" t="n">
        <f aca="false">IFERROR(IF('Real and nominal GDP'!D17="",NA(),IF(ISNUMBER('Real and nominal GDP'!D17),'Real and nominal GDP'!D17,NA())),NA())</f>
        <v>371905.787</v>
      </c>
      <c r="F30" s="19" t="n">
        <f aca="false">IFERROR(IF('Real and nominal GDP'!E17="",NA(),IF(ISNUMBER('Real and nominal GDP'!E17),'Real and nominal GDP'!E17,NA())),NA())</f>
        <v>60706.294</v>
      </c>
      <c r="G30" s="19" t="n">
        <f aca="false">IFERROR(IF('Real and nominal GDP'!F17="",NA(),IF(ISNUMBER('Real and nominal GDP'!F17),'Real and nominal GDP'!F17,NA())),NA())</f>
        <v>100741.046</v>
      </c>
      <c r="H30" s="19" t="n">
        <f aca="false">IFERROR(IF('Real and nominal GDP'!G17="",NA(),IF(ISNUMBER('Real and nominal GDP'!G17),'Real and nominal GDP'!G17,NA())),NA())</f>
        <v>614076.393</v>
      </c>
      <c r="I30" s="19" t="n">
        <f aca="false">IFERROR(IF('Real and nominal GDP'!H17="",NA(),IF(ISNUMBER('Real and nominal GDP'!H17),'Real and nominal GDP'!H17,NA())),NA())</f>
        <v>727989</v>
      </c>
      <c r="J30" s="19" t="e">
        <f aca="false">IFERROR(IF('Real and nominal GDP'!I17="",NA(),IF(ISNUMBER('Real and nominal GDP'!I17),'Real and nominal GDP'!I17,NA())),NA())</f>
        <v>#N/A</v>
      </c>
      <c r="K30" s="19" t="n">
        <f aca="false">IFERROR(IF('Real and nominal GDP'!J17="",NA(),IF(ISNUMBER('Real and nominal GDP'!J17),'Real and nominal GDP'!J17,NA())),NA())</f>
        <v>3.06794</v>
      </c>
      <c r="L30" s="19" t="n">
        <f aca="false">IFERROR(IF('Real and nominal GDP'!K17="",NA(),IF(ISNUMBER('Real and nominal GDP'!K17),'Real and nominal GDP'!K17,NA())),NA())</f>
        <v>3.083</v>
      </c>
      <c r="M30" s="20" t="n">
        <f aca="false">IFERROR(D30/D26-1,NA())</f>
        <v>0.0646443682608751</v>
      </c>
      <c r="N30" s="20" t="n">
        <f aca="false">IFERROR(D30/D29-1,NA())</f>
        <v>0.0120865384371902</v>
      </c>
      <c r="O30" s="20" t="n">
        <f aca="false">IFERROR(I30/I26-1,NA())</f>
        <v>0.201754125314475</v>
      </c>
      <c r="P30" s="21" t="n">
        <f aca="false">IF(COUNT(D27:D30)=4,SUM(D27:D30),NA())</f>
        <v>2185834.108</v>
      </c>
      <c r="Q30" s="21" t="n">
        <f aca="false">IF(COUNT(I27:I30)=4,SUM(I27:I30),NA())</f>
        <v>2585229</v>
      </c>
      <c r="R30" s="21" t="n">
        <f aca="false">IFERROR(I30/K30,NA())</f>
        <v>237289.190792519</v>
      </c>
      <c r="S30" s="21" t="n">
        <f aca="false">IFERROR(I30/L30,NA())</f>
        <v>236130.068115472</v>
      </c>
      <c r="V30" s="22" t="n">
        <v>2013</v>
      </c>
      <c r="W30" s="23" t="n">
        <f aca="false">IF(SUMPRODUCT(($C$21:$C$233=$V$30)*ISNUMBER($D$21:$D$233))=0,NA(),SUMPRODUCT(($C$21:$C$233=$V$30)*IFERROR($D$21:$D$233,0)))</f>
        <v>2881628.422</v>
      </c>
      <c r="X30" s="23" t="n">
        <f aca="false">IF(SUMPRODUCT(($C$21:$C$233=$V$30)*ISNUMBER($E$21:$E$233))=0,NA(),SUMPRODUCT(($C$21:$C$233=$V$30)*IFERROR($E$21:$E$233,0)))</f>
        <v>2102698.129</v>
      </c>
      <c r="Y30" s="23" t="n">
        <f aca="false">IF(SUMPRODUCT(($C$21:$C$233=$V$30)*ISNUMBER($F$21:$F$233))=0,NA(),SUMPRODUCT(($C$21:$C$233=$V$30)*IFERROR($F$21:$F$233,0)))</f>
        <v>351665.151</v>
      </c>
      <c r="Z30" s="23" t="n">
        <f aca="false">IF(SUMPRODUCT(($C$21:$C$233=$V$30)*ISNUMBER($G$21:$G$233))=0,NA(),SUMPRODUCT(($C$21:$C$233=$V$30)*IFERROR($G$21:$G$233,0)))</f>
        <v>584226.273</v>
      </c>
      <c r="AA30" s="23" t="n">
        <f aca="false">IF(SUMPRODUCT(($C$21:$C$233=$V$30)*ISNUMBER($H$21:$H$233))=0,NA(),SUMPRODUCT(($C$21:$C$233=$V$30)*IFERROR($H$21:$H$233,0)))</f>
        <v>2881628.421</v>
      </c>
      <c r="AB30" s="23" t="n">
        <f aca="false">IF(SUMPRODUCT(($C$21:$C$233=$V$30)*ISNUMBER($I$21:$I$233))=0,NA(),SUMPRODUCT(($C$21:$C$233=$V$30)*IFERROR($I$21:$I$233,0)))</f>
        <v>13393235</v>
      </c>
      <c r="AC30" s="23" t="n">
        <f aca="false">IF(SUMPRODUCT(($C$21:$C$233=$V$30)*ISNUMBER($J$21:$J$233))=0,NA(),SUMPRODUCT(($C$21:$C$233=$V$30)*IFERROR($J$21:$J$233,0))/SUMPRODUCT(($C$21:$C$233=$V$30)*ISNUMBER($J$21:$J$233)))</f>
        <v>36.1267666666667</v>
      </c>
      <c r="AD30" s="23" t="n">
        <f aca="false">IF(SUMPRODUCT(($C$21:$C$233=$V$30)*ISNUMBER($K$21:$K$233))=0,NA(),SUMPRODUCT(($C$21:$C$233=$V$30)*IFERROR($K$21:$K$233,0))/SUMPRODUCT(($C$21:$C$233=$V$30)*ISNUMBER($K$21:$K$233)))</f>
        <v>5.478235</v>
      </c>
      <c r="AE30" s="23" t="n">
        <f aca="false">IF(SUMPRODUCT(($C$21:$C$233=$V$30)*ISNUMBER($L$21:$L$233))=0,NA(),SUMPRODUCT(($C$21:$C$233=$V$30)*IFERROR($L$21:$L$233,0))/SUMPRODUCT(($C$21:$C$233=$V$30)*ISNUMBER($L$21:$L$233)))</f>
        <v>8.74525</v>
      </c>
      <c r="AF30" s="20" t="n">
        <f aca="false">IFERROR(W30/W29-1,NA())</f>
        <v>0.0240532384561629</v>
      </c>
    </row>
    <row r="31" customFormat="false" ht="15" hidden="false" customHeight="false" outlineLevel="0" collapsed="false">
      <c r="A31" s="16" t="n">
        <f aca="false">IFERROR(IF(ISNUMBER('Real and nominal GDP'!A18),'Real and nominal GDP'!A18,NA()),NA())</f>
        <v>38961</v>
      </c>
      <c r="B31" s="17" t="str">
        <f aca="false">IFERROR(IF('Real and nominal GDP'!B18="",NA(),'Real and nominal GDP'!B18),NA())</f>
        <v>063</v>
      </c>
      <c r="C31" s="18" t="n">
        <f aca="false">IFERROR(YEAR(A31),0)</f>
        <v>2006</v>
      </c>
      <c r="D31" s="19" t="n">
        <f aca="false">IFERROR(IF('Real and nominal GDP'!C18="",NA(),IF(ISNUMBER('Real and nominal GDP'!C18),'Real and nominal GDP'!C18,NA())),NA())</f>
        <v>577088.458</v>
      </c>
      <c r="E31" s="19" t="n">
        <f aca="false">IFERROR(IF('Real and nominal GDP'!D18="",NA(),IF(ISNUMBER('Real and nominal GDP'!D18),'Real and nominal GDP'!D18,NA())),NA())</f>
        <v>381137.215</v>
      </c>
      <c r="F31" s="19" t="n">
        <f aca="false">IFERROR(IF('Real and nominal GDP'!E18="",NA(),IF(ISNUMBER('Real and nominal GDP'!E18),'Real and nominal GDP'!E18,NA())),NA())</f>
        <v>61658.229</v>
      </c>
      <c r="G31" s="19" t="n">
        <f aca="false">IFERROR(IF('Real and nominal GDP'!F18="",NA(),IF(ISNUMBER('Real and nominal GDP'!F18),'Real and nominal GDP'!F18,NA())),NA())</f>
        <v>103927.849</v>
      </c>
      <c r="H31" s="19" t="n">
        <f aca="false">IFERROR(IF('Real and nominal GDP'!G18="",NA(),IF(ISNUMBER('Real and nominal GDP'!G18),'Real and nominal GDP'!G18,NA())),NA())</f>
        <v>562978.966</v>
      </c>
      <c r="I31" s="19" t="n">
        <f aca="false">IFERROR(IF('Real and nominal GDP'!H18="",NA(),IF(ISNUMBER('Real and nominal GDP'!H18),'Real and nominal GDP'!H18,NA())),NA())</f>
        <v>729299</v>
      </c>
      <c r="J31" s="19" t="e">
        <f aca="false">IFERROR(IF('Real and nominal GDP'!I18="",NA(),IF(ISNUMBER('Real and nominal GDP'!I18),'Real and nominal GDP'!I18,NA())),NA())</f>
        <v>#N/A</v>
      </c>
      <c r="K31" s="19" t="n">
        <f aca="false">IFERROR(IF('Real and nominal GDP'!J18="",NA(),IF(ISNUMBER('Real and nominal GDP'!J18),'Real and nominal GDP'!J18,NA())),NA())</f>
        <v>3.08725666666667</v>
      </c>
      <c r="L31" s="19" t="n">
        <f aca="false">IFERROR(IF('Real and nominal GDP'!K18="",NA(),IF(ISNUMBER('Real and nominal GDP'!K18),'Real and nominal GDP'!K18,NA())),NA())</f>
        <v>3.10333333333333</v>
      </c>
      <c r="M31" s="20" t="n">
        <f aca="false">IFERROR(D31/D27-1,NA())</f>
        <v>0.0886367222208977</v>
      </c>
      <c r="N31" s="20" t="n">
        <f aca="false">IFERROR(D31/D30-1,NA())</f>
        <v>0.0283899669237617</v>
      </c>
      <c r="O31" s="20" t="n">
        <f aca="false">IFERROR(I31/I27-1,NA())</f>
        <v>0.235639253159839</v>
      </c>
      <c r="P31" s="21" t="n">
        <f aca="false">IF(COUNT(D28:D31)=4,SUM(D28:D31),NA())</f>
        <v>2232820.608</v>
      </c>
      <c r="Q31" s="21" t="n">
        <f aca="false">IF(COUNT(I28:I31)=4,SUM(I28:I31),NA())</f>
        <v>2724308</v>
      </c>
      <c r="R31" s="21" t="n">
        <f aca="false">IFERROR(I31/K31,NA())</f>
        <v>236228.820193116</v>
      </c>
      <c r="S31" s="21" t="n">
        <f aca="false">IFERROR(I31/L31,NA())</f>
        <v>235005.048335124</v>
      </c>
      <c r="V31" s="22" t="n">
        <v>2014</v>
      </c>
      <c r="W31" s="23" t="n">
        <f aca="false">IF(SUMPRODUCT(($C$21:$C$233=$V$31)*ISNUMBER($D$21:$D$233))=0,NA(),SUMPRODUCT(($C$21:$C$233=$V$31)*IFERROR($D$21:$D$233,0)))</f>
        <v>2809224.185</v>
      </c>
      <c r="X31" s="23" t="n">
        <f aca="false">IF(SUMPRODUCT(($C$21:$C$233=$V$31)*ISNUMBER($E$21:$E$233))=0,NA(),SUMPRODUCT(($C$21:$C$233=$V$31)*IFERROR($E$21:$E$233,0)))</f>
        <v>2011057.746</v>
      </c>
      <c r="Y31" s="23" t="n">
        <f aca="false">IF(SUMPRODUCT(($C$21:$C$233=$V$31)*ISNUMBER($F$21:$F$233))=0,NA(),SUMPRODUCT(($C$21:$C$233=$V$31)*IFERROR($F$21:$F$233,0)))</f>
        <v>362021.797</v>
      </c>
      <c r="Z31" s="23" t="n">
        <f aca="false">IF(SUMPRODUCT(($C$21:$C$233=$V$31)*ISNUMBER($G$21:$G$233))=0,NA(),SUMPRODUCT(($C$21:$C$233=$V$31)*IFERROR($G$21:$G$233,0)))</f>
        <v>544758.589</v>
      </c>
      <c r="AA31" s="23" t="n">
        <f aca="false">IF(SUMPRODUCT(($C$21:$C$233=$V$31)*ISNUMBER($H$21:$H$233))=0,NA(),SUMPRODUCT(($C$21:$C$233=$V$31)*IFERROR($H$21:$H$233,0)))</f>
        <v>2809224.184</v>
      </c>
      <c r="AB31" s="23" t="n">
        <f aca="false">IF(SUMPRODUCT(($C$21:$C$233=$V$31)*ISNUMBER($I$21:$I$233))=0,NA(),SUMPRODUCT(($C$21:$C$233=$V$31)*IFERROR($I$21:$I$233,0)))</f>
        <v>18316346</v>
      </c>
      <c r="AC31" s="23" t="n">
        <f aca="false">IF(SUMPRODUCT(($C$21:$C$233=$V$31)*ISNUMBER($J$21:$J$233))=0,NA(),SUMPRODUCT(($C$21:$C$233=$V$31)*IFERROR($J$21:$J$233,0))/SUMPRODUCT(($C$21:$C$233=$V$31)*ISNUMBER($J$21:$J$233)))</f>
        <v>49.8840833333333</v>
      </c>
      <c r="AD31" s="23" t="n">
        <f aca="false">IF(SUMPRODUCT(($C$21:$C$233=$V$31)*ISNUMBER($K$21:$K$233))=0,NA(),SUMPRODUCT(($C$21:$C$233=$V$31)*IFERROR($K$21:$K$233,0))/SUMPRODUCT(($C$21:$C$233=$V$31)*ISNUMBER($K$21:$K$233)))</f>
        <v>8.12508666666667</v>
      </c>
      <c r="AE31" s="23" t="n">
        <f aca="false">IF(SUMPRODUCT(($C$21:$C$233=$V$31)*ISNUMBER($L$21:$L$233))=0,NA(),SUMPRODUCT(($C$21:$C$233=$V$31)*IFERROR($L$21:$L$233,0))/SUMPRODUCT(($C$21:$C$233=$V$31)*ISNUMBER($L$21:$L$233)))</f>
        <v>12.38425</v>
      </c>
      <c r="AF31" s="20" t="n">
        <f aca="false">IFERROR(W31/W30-1,NA())</f>
        <v>-0.0251261531317586</v>
      </c>
    </row>
    <row r="32" customFormat="false" ht="15" hidden="false" customHeight="false" outlineLevel="0" collapsed="false">
      <c r="A32" s="16" t="n">
        <f aca="false">IFERROR(IF(ISNUMBER('Real and nominal GDP'!A19),'Real and nominal GDP'!A19,NA()),NA())</f>
        <v>39052</v>
      </c>
      <c r="B32" s="17" t="str">
        <f aca="false">IFERROR(IF('Real and nominal GDP'!B19="",NA(),'Real and nominal GDP'!B19),NA())</f>
        <v>064</v>
      </c>
      <c r="C32" s="18" t="n">
        <f aca="false">IFERROR(YEAR(A32),0)</f>
        <v>2006</v>
      </c>
      <c r="D32" s="19" t="n">
        <f aca="false">IFERROR(IF('Real and nominal GDP'!C19="",NA(),IF(ISNUMBER('Real and nominal GDP'!C19),'Real and nominal GDP'!C19,NA())),NA())</f>
        <v>589496.163</v>
      </c>
      <c r="E32" s="19" t="n">
        <f aca="false">IFERROR(IF('Real and nominal GDP'!D19="",NA(),IF(ISNUMBER('Real and nominal GDP'!D19),'Real and nominal GDP'!D19,NA())),NA())</f>
        <v>380937.311</v>
      </c>
      <c r="F32" s="19" t="n">
        <f aca="false">IFERROR(IF('Real and nominal GDP'!E19="",NA(),IF(ISNUMBER('Real and nominal GDP'!E19),'Real and nominal GDP'!E19,NA())),NA())</f>
        <v>62861.894</v>
      </c>
      <c r="G32" s="19" t="n">
        <f aca="false">IFERROR(IF('Real and nominal GDP'!F19="",NA(),IF(ISNUMBER('Real and nominal GDP'!F19),'Real and nominal GDP'!F19,NA())),NA())</f>
        <v>106810.9</v>
      </c>
      <c r="H32" s="19" t="n">
        <f aca="false">IFERROR(IF('Real and nominal GDP'!G19="",NA(),IF(ISNUMBER('Real and nominal GDP'!G19),'Real and nominal GDP'!G19,NA())),NA())</f>
        <v>572794.047</v>
      </c>
      <c r="I32" s="19" t="n">
        <f aca="false">IFERROR(IF('Real and nominal GDP'!H19="",NA(),IF(ISNUMBER('Real and nominal GDP'!H19),'Real and nominal GDP'!H19,NA())),NA())</f>
        <v>762766</v>
      </c>
      <c r="J32" s="19" t="e">
        <f aca="false">IFERROR(IF('Real and nominal GDP'!I19="",NA(),IF(ISNUMBER('Real and nominal GDP'!I19),'Real and nominal GDP'!I19,NA())),NA())</f>
        <v>#N/A</v>
      </c>
      <c r="K32" s="19" t="n">
        <f aca="false">IFERROR(IF('Real and nominal GDP'!J19="",NA(),IF(ISNUMBER('Real and nominal GDP'!J19),'Real and nominal GDP'!J19,NA())),NA())</f>
        <v>3.0774</v>
      </c>
      <c r="L32" s="19" t="n">
        <f aca="false">IFERROR(IF('Real and nominal GDP'!K19="",NA(),IF(ISNUMBER('Real and nominal GDP'!K19),'Real and nominal GDP'!K19,NA())),NA())</f>
        <v>3.098</v>
      </c>
      <c r="M32" s="20" t="n">
        <f aca="false">IFERROR(D32/D28-1,NA())</f>
        <v>0.0914187314834258</v>
      </c>
      <c r="N32" s="20" t="n">
        <f aca="false">IFERROR(D32/D31-1,NA())</f>
        <v>0.021500525314613</v>
      </c>
      <c r="O32" s="20" t="n">
        <f aca="false">IFERROR(I32/I28-1,NA())</f>
        <v>0.223444081237228</v>
      </c>
      <c r="P32" s="21" t="n">
        <f aca="false">IF(COUNT(D29:D32)=4,SUM(D29:D32),NA())</f>
        <v>2282197.616</v>
      </c>
      <c r="Q32" s="21" t="n">
        <f aca="false">IF(COUNT(I29:I32)=4,SUM(I29:I32),NA())</f>
        <v>2863616</v>
      </c>
      <c r="R32" s="21" t="n">
        <f aca="false">IFERROR(I32/K32,NA())</f>
        <v>247860.531617599</v>
      </c>
      <c r="S32" s="21" t="n">
        <f aca="false">IFERROR(I32/L32,NA())</f>
        <v>246212.395093609</v>
      </c>
      <c r="V32" s="22" t="n">
        <v>2015</v>
      </c>
      <c r="W32" s="23" t="n">
        <f aca="false">IF(SUMPRODUCT(($C$21:$C$233=$V$32)*ISNUMBER($D$21:$D$233))=0,NA(),SUMPRODUCT(($C$21:$C$233=$V$32)*IFERROR($D$21:$D$233,0)))</f>
        <v>2885948.587</v>
      </c>
      <c r="X32" s="23" t="n">
        <f aca="false">IF(SUMPRODUCT(($C$21:$C$233=$V$32)*ISNUMBER($E$21:$E$233))=0,NA(),SUMPRODUCT(($C$21:$C$233=$V$32)*IFERROR($E$21:$E$233,0)))</f>
        <v>2084585.962</v>
      </c>
      <c r="Y32" s="23" t="n">
        <f aca="false">IF(SUMPRODUCT(($C$21:$C$233=$V$32)*ISNUMBER($F$21:$F$233))=0,NA(),SUMPRODUCT(($C$21:$C$233=$V$32)*IFERROR($F$21:$F$233,0)))</f>
        <v>387167.853</v>
      </c>
      <c r="Z32" s="23" t="n">
        <f aca="false">IF(SUMPRODUCT(($C$21:$C$233=$V$32)*ISNUMBER($G$21:$G$233))=0,NA(),SUMPRODUCT(($C$21:$C$233=$V$32)*IFERROR($G$21:$G$233,0)))</f>
        <v>563620.881</v>
      </c>
      <c r="AA32" s="23" t="n">
        <f aca="false">IF(SUMPRODUCT(($C$21:$C$233=$V$32)*ISNUMBER($H$21:$H$233))=0,NA(),SUMPRODUCT(($C$21:$C$233=$V$32)*IFERROR($H$21:$H$233,0)))</f>
        <v>2885948.586</v>
      </c>
      <c r="AB32" s="23" t="n">
        <f aca="false">IF(SUMPRODUCT(($C$21:$C$233=$V$32)*ISNUMBER($I$21:$I$233))=0,NA(),SUMPRODUCT(($C$21:$C$233=$V$32)*IFERROR($I$21:$I$233,0)))</f>
        <v>23818044</v>
      </c>
      <c r="AC32" s="23" t="n">
        <f aca="false">IF(SUMPRODUCT(($C$21:$C$233=$V$32)*ISNUMBER($J$21:$J$233))=0,NA(),SUMPRODUCT(($C$21:$C$233=$V$32)*IFERROR($J$21:$J$233,0))/SUMPRODUCT(($C$21:$C$233=$V$32)*ISNUMBER($J$21:$J$233)))</f>
        <v>63.1225083333333</v>
      </c>
      <c r="AD32" s="23" t="n">
        <f aca="false">IF(SUMPRODUCT(($C$21:$C$233=$V$32)*ISNUMBER($K$21:$K$233))=0,NA(),SUMPRODUCT(($C$21:$C$233=$V$32)*IFERROR($K$21:$K$233,0))/SUMPRODUCT(($C$21:$C$233=$V$32)*ISNUMBER($K$21:$K$233)))</f>
        <v>9.26738166666667</v>
      </c>
      <c r="AE32" s="23" t="n">
        <f aca="false">IF(SUMPRODUCT(($C$21:$C$233=$V$32)*ISNUMBER($L$21:$L$233))=0,NA(),SUMPRODUCT(($C$21:$C$233=$V$32)*IFERROR($L$21:$L$233,0))/SUMPRODUCT(($C$21:$C$233=$V$32)*ISNUMBER($L$21:$L$233)))</f>
        <v>13.9825833333333</v>
      </c>
      <c r="AF32" s="20" t="n">
        <f aca="false">IFERROR(W32/W31-1,NA())</f>
        <v>0.0273115981307841</v>
      </c>
    </row>
    <row r="33" customFormat="false" ht="15" hidden="false" customHeight="false" outlineLevel="0" collapsed="false">
      <c r="A33" s="16" t="n">
        <f aca="false">IFERROR(IF(ISNUMBER('Real and nominal GDP'!A20),'Real and nominal GDP'!A20,NA()),NA())</f>
        <v>39142</v>
      </c>
      <c r="B33" s="17" t="str">
        <f aca="false">IFERROR(IF('Real and nominal GDP'!B20="",NA(),'Real and nominal GDP'!B20),NA())</f>
        <v>071</v>
      </c>
      <c r="C33" s="18" t="n">
        <f aca="false">IFERROR(YEAR(A33),0)</f>
        <v>2007</v>
      </c>
      <c r="D33" s="19" t="n">
        <f aca="false">IFERROR(IF('Real and nominal GDP'!C20="",NA(),IF(ISNUMBER('Real and nominal GDP'!C20),'Real and nominal GDP'!C20,NA())),NA())</f>
        <v>603483.207</v>
      </c>
      <c r="E33" s="19" t="n">
        <f aca="false">IFERROR(IF('Real and nominal GDP'!D20="",NA(),IF(ISNUMBER('Real and nominal GDP'!D20),'Real and nominal GDP'!D20,NA())),NA())</f>
        <v>392667.41</v>
      </c>
      <c r="F33" s="19" t="n">
        <f aca="false">IFERROR(IF('Real and nominal GDP'!E20="",NA(),IF(ISNUMBER('Real and nominal GDP'!E20),'Real and nominal GDP'!E20,NA())),NA())</f>
        <v>65392.759</v>
      </c>
      <c r="G33" s="19" t="n">
        <f aca="false">IFERROR(IF('Real and nominal GDP'!F20="",NA(),IF(ISNUMBER('Real and nominal GDP'!F20),'Real and nominal GDP'!F20,NA())),NA())</f>
        <v>116267.521</v>
      </c>
      <c r="H33" s="19" t="n">
        <f aca="false">IFERROR(IF('Real and nominal GDP'!G20="",NA(),IF(ISNUMBER('Real and nominal GDP'!G20),'Real and nominal GDP'!G20,NA())),NA())</f>
        <v>576846.886</v>
      </c>
      <c r="I33" s="19" t="n">
        <f aca="false">IFERROR(IF('Real and nominal GDP'!H20="",NA(),IF(ISNUMBER('Real and nominal GDP'!H20),'Real and nominal GDP'!H20,NA())),NA())</f>
        <v>774388</v>
      </c>
      <c r="J33" s="19" t="e">
        <f aca="false">IFERROR(IF('Real and nominal GDP'!I20="",NA(),IF(ISNUMBER('Real and nominal GDP'!I20),'Real and nominal GDP'!I20,NA())),NA())</f>
        <v>#N/A</v>
      </c>
      <c r="K33" s="19" t="n">
        <f aca="false">IFERROR(IF('Real and nominal GDP'!J20="",NA(),IF(ISNUMBER('Real and nominal GDP'!J20),'Real and nominal GDP'!J20,NA())),NA())</f>
        <v>3.09675</v>
      </c>
      <c r="L33" s="19" t="n">
        <f aca="false">IFERROR(IF('Real and nominal GDP'!K20="",NA(),IF(ISNUMBER('Real and nominal GDP'!K20),'Real and nominal GDP'!K20,NA())),NA())</f>
        <v>3.114</v>
      </c>
      <c r="M33" s="20" t="n">
        <f aca="false">IFERROR(D33/D29-1,NA())</f>
        <v>0.0884244289191025</v>
      </c>
      <c r="N33" s="20" t="n">
        <f aca="false">IFERROR(D33/D32-1,NA())</f>
        <v>0.0237271162696273</v>
      </c>
      <c r="O33" s="20" t="n">
        <f aca="false">IFERROR(I33/I29-1,NA())</f>
        <v>0.203284221256072</v>
      </c>
      <c r="P33" s="21" t="n">
        <f aca="false">IF(COUNT(D30:D33)=4,SUM(D30:D33),NA())</f>
        <v>2331225.051</v>
      </c>
      <c r="Q33" s="21" t="n">
        <f aca="false">IF(COUNT(I30:I33)=4,SUM(I30:I33),NA())</f>
        <v>2994442</v>
      </c>
      <c r="R33" s="21" t="n">
        <f aca="false">IFERROR(I33/K33,NA())</f>
        <v>250064.745297489</v>
      </c>
      <c r="S33" s="21" t="n">
        <f aca="false">IFERROR(I33/L33,NA())</f>
        <v>248679.511881824</v>
      </c>
      <c r="V33" s="22" t="n">
        <v>2016</v>
      </c>
      <c r="W33" s="23" t="n">
        <f aca="false">IF(SUMPRODUCT(($C$21:$C$233=$V$33)*ISNUMBER($D$21:$D$233))=0,NA(),SUMPRODUCT(($C$21:$C$233=$V$33)*IFERROR($D$21:$D$233,0)))</f>
        <v>2825911.395</v>
      </c>
      <c r="X33" s="23" t="n">
        <f aca="false">IF(SUMPRODUCT(($C$21:$C$233=$V$33)*ISNUMBER($E$21:$E$233))=0,NA(),SUMPRODUCT(($C$21:$C$233=$V$33)*IFERROR($E$21:$E$233,0)))</f>
        <v>2068320.555</v>
      </c>
      <c r="Y33" s="23" t="n">
        <f aca="false">IF(SUMPRODUCT(($C$21:$C$233=$V$33)*ISNUMBER($F$21:$F$233))=0,NA(),SUMPRODUCT(($C$21:$C$233=$V$33)*IFERROR($F$21:$F$233,0)))</f>
        <v>385137.639</v>
      </c>
      <c r="Z33" s="23" t="n">
        <f aca="false">IF(SUMPRODUCT(($C$21:$C$233=$V$33)*ISNUMBER($G$21:$G$233))=0,NA(),SUMPRODUCT(($C$21:$C$233=$V$33)*IFERROR($G$21:$G$233,0)))</f>
        <v>531052.221</v>
      </c>
      <c r="AA33" s="23" t="n">
        <f aca="false">IF(SUMPRODUCT(($C$21:$C$233=$V$33)*ISNUMBER($H$21:$H$233))=0,NA(),SUMPRODUCT(($C$21:$C$233=$V$33)*IFERROR($H$21:$H$233,0)))</f>
        <v>2825911.394</v>
      </c>
      <c r="AB33" s="23" t="n">
        <f aca="false">IF(SUMPRODUCT(($C$21:$C$233=$V$33)*ISNUMBER($I$21:$I$233))=0,NA(),SUMPRODUCT(($C$21:$C$233=$V$33)*IFERROR($I$21:$I$233,0)))</f>
        <v>32912638</v>
      </c>
      <c r="AC33" s="23" t="n">
        <f aca="false">IF(SUMPRODUCT(($C$21:$C$233=$V$33)*ISNUMBER($J$21:$J$233))=0,NA(),SUMPRODUCT(($C$21:$C$233=$V$33)*IFERROR($J$21:$J$233,0))/SUMPRODUCT(($C$21:$C$233=$V$33)*ISNUMBER($J$21:$J$233)))</f>
        <v>89.2485833333333</v>
      </c>
      <c r="AD33" s="23" t="n">
        <f aca="false">IF(SUMPRODUCT(($C$21:$C$233=$V$33)*ISNUMBER($K$21:$K$233))=0,NA(),SUMPRODUCT(($C$21:$C$233=$V$33)*IFERROR($K$21:$K$233,0))/SUMPRODUCT(($C$21:$C$233=$V$33)*ISNUMBER($K$21:$K$233)))</f>
        <v>14.7810175</v>
      </c>
      <c r="AE33" s="23" t="n">
        <f aca="false">IF(SUMPRODUCT(($C$21:$C$233=$V$33)*ISNUMBER($L$21:$L$233))=0,NA(),SUMPRODUCT(($C$21:$C$233=$V$33)*IFERROR($L$21:$L$233,0))/SUMPRODUCT(($C$21:$C$233=$V$33)*ISNUMBER($L$21:$L$233)))</f>
        <v>15.0565</v>
      </c>
      <c r="AF33" s="20" t="n">
        <f aca="false">IFERROR(W33/W32-1,NA())</f>
        <v>-0.020803278433456</v>
      </c>
    </row>
    <row r="34" customFormat="false" ht="15" hidden="false" customHeight="false" outlineLevel="0" collapsed="false">
      <c r="A34" s="16" t="n">
        <f aca="false">IFERROR(IF(ISNUMBER('Real and nominal GDP'!A21),'Real and nominal GDP'!A21,NA()),NA())</f>
        <v>39234</v>
      </c>
      <c r="B34" s="17" t="str">
        <f aca="false">IFERROR(IF('Real and nominal GDP'!B21="",NA(),'Real and nominal GDP'!B21),NA())</f>
        <v>072</v>
      </c>
      <c r="C34" s="18" t="n">
        <f aca="false">IFERROR(YEAR(A34),0)</f>
        <v>2007</v>
      </c>
      <c r="D34" s="19" t="n">
        <f aca="false">IFERROR(IF('Real and nominal GDP'!C21="",NA(),IF(ISNUMBER('Real and nominal GDP'!C21),'Real and nominal GDP'!C21,NA())),NA())</f>
        <v>616073.366</v>
      </c>
      <c r="E34" s="19" t="n">
        <f aca="false">IFERROR(IF('Real and nominal GDP'!D21="",NA(),IF(ISNUMBER('Real and nominal GDP'!D21),'Real and nominal GDP'!D21,NA())),NA())</f>
        <v>402296.075</v>
      </c>
      <c r="F34" s="19" t="n">
        <f aca="false">IFERROR(IF('Real and nominal GDP'!E21="",NA(),IF(ISNUMBER('Real and nominal GDP'!E21),'Real and nominal GDP'!E21,NA())),NA())</f>
        <v>65948.641</v>
      </c>
      <c r="G34" s="19" t="n">
        <f aca="false">IFERROR(IF('Real and nominal GDP'!F21="",NA(),IF(ISNUMBER('Real and nominal GDP'!F21),'Real and nominal GDP'!F21,NA())),NA())</f>
        <v>121508.985</v>
      </c>
      <c r="H34" s="19" t="n">
        <f aca="false">IFERROR(IF('Real and nominal GDP'!G21="",NA(),IF(ISNUMBER('Real and nominal GDP'!G21),'Real and nominal GDP'!G21,NA())),NA())</f>
        <v>674620.563</v>
      </c>
      <c r="I34" s="19" t="n">
        <f aca="false">IFERROR(IF('Real and nominal GDP'!H21="",NA(),IF(ISNUMBER('Real and nominal GDP'!H21),'Real and nominal GDP'!H21,NA())),NA())</f>
        <v>904350</v>
      </c>
      <c r="J34" s="19" t="e">
        <f aca="false">IFERROR(IF('Real and nominal GDP'!I21="",NA(),IF(ISNUMBER('Real and nominal GDP'!I21),'Real and nominal GDP'!I21,NA())),NA())</f>
        <v>#N/A</v>
      </c>
      <c r="K34" s="19" t="n">
        <f aca="false">IFERROR(IF('Real and nominal GDP'!J21="",NA(),IF(ISNUMBER('Real and nominal GDP'!J21),'Real and nominal GDP'!J21,NA())),NA())</f>
        <v>3.08286666666667</v>
      </c>
      <c r="L34" s="19" t="n">
        <f aca="false">IFERROR(IF('Real and nominal GDP'!K21="",NA(),IF(ISNUMBER('Real and nominal GDP'!K21),'Real and nominal GDP'!K21,NA())),NA())</f>
        <v>3.111</v>
      </c>
      <c r="M34" s="20" t="n">
        <f aca="false">IFERROR(D34/D30-1,NA())</f>
        <v>0.0978623115753783</v>
      </c>
      <c r="N34" s="20" t="n">
        <f aca="false">IFERROR(D34/D33-1,NA())</f>
        <v>0.0208624844137544</v>
      </c>
      <c r="O34" s="20" t="n">
        <f aca="false">IFERROR(I34/I30-1,NA())</f>
        <v>0.242257781367576</v>
      </c>
      <c r="P34" s="21" t="n">
        <f aca="false">IF(COUNT(D31:D34)=4,SUM(D31:D34),NA())</f>
        <v>2386141.194</v>
      </c>
      <c r="Q34" s="21" t="n">
        <f aca="false">IF(COUNT(I31:I34)=4,SUM(I31:I34),NA())</f>
        <v>3170803</v>
      </c>
      <c r="R34" s="21" t="n">
        <f aca="false">IFERROR(I34/K34,NA())</f>
        <v>293347.101182882</v>
      </c>
      <c r="S34" s="21" t="n">
        <f aca="false">IFERROR(I34/L34,NA())</f>
        <v>290694.31051109</v>
      </c>
      <c r="V34" s="22" t="n">
        <v>2017</v>
      </c>
      <c r="W34" s="23" t="n">
        <f aca="false">IF(SUMPRODUCT(($C$21:$C$233=$V$34)*ISNUMBER($D$21:$D$233))=0,NA(),SUMPRODUCT(($C$21:$C$233=$V$34)*IFERROR($D$21:$D$233,0)))</f>
        <v>2905559.792</v>
      </c>
      <c r="X34" s="23" t="n">
        <f aca="false">IF(SUMPRODUCT(($C$21:$C$233=$V$34)*ISNUMBER($E$21:$E$233))=0,NA(),SUMPRODUCT(($C$21:$C$233=$V$34)*IFERROR($E$21:$E$233,0)))</f>
        <v>2154330.499</v>
      </c>
      <c r="Y34" s="23" t="n">
        <f aca="false">IF(SUMPRODUCT(($C$21:$C$233=$V$34)*ISNUMBER($F$21:$F$233))=0,NA(),SUMPRODUCT(($C$21:$C$233=$V$34)*IFERROR($F$21:$F$233,0)))</f>
        <v>395294.198</v>
      </c>
      <c r="Z34" s="23" t="n">
        <f aca="false">IF(SUMPRODUCT(($C$21:$C$233=$V$34)*ISNUMBER($G$21:$G$233))=0,NA(),SUMPRODUCT(($C$21:$C$233=$V$34)*IFERROR($G$21:$G$233,0)))</f>
        <v>602110.057</v>
      </c>
      <c r="AA34" s="23" t="n">
        <f aca="false">IF(SUMPRODUCT(($C$21:$C$233=$V$34)*ISNUMBER($H$21:$H$233))=0,NA(),SUMPRODUCT(($C$21:$C$233=$V$34)*IFERROR($H$21:$H$233,0)))</f>
        <v>2905559.791</v>
      </c>
      <c r="AB34" s="23" t="n">
        <f aca="false">IF(SUMPRODUCT(($C$21:$C$233=$V$34)*ISNUMBER($I$21:$I$233))=0,NA(),SUMPRODUCT(($C$21:$C$233=$V$34)*IFERROR($I$21:$I$233,0)))</f>
        <v>42640914</v>
      </c>
      <c r="AC34" s="23" t="n">
        <f aca="false">IF(SUMPRODUCT(($C$21:$C$233=$V$34)*ISNUMBER($J$21:$J$233))=0,NA(),SUMPRODUCT(($C$21:$C$233=$V$34)*IFERROR($J$21:$J$233,0))/SUMPRODUCT(($C$21:$C$233=$V$34)*ISNUMBER($J$21:$J$233)))</f>
        <v>112.887108333333</v>
      </c>
      <c r="AD34" s="23" t="n">
        <f aca="false">IF(SUMPRODUCT(($C$21:$C$233=$V$34)*ISNUMBER($K$21:$K$233))=0,NA(),SUMPRODUCT(($C$21:$C$233=$V$34)*IFERROR($K$21:$K$233,0))/SUMPRODUCT(($C$21:$C$233=$V$34)*ISNUMBER($K$21:$K$233)))</f>
        <v>16.5616025</v>
      </c>
      <c r="AE34" s="23" t="n">
        <f aca="false">IF(SUMPRODUCT(($C$21:$C$233=$V$34)*ISNUMBER($L$21:$L$233))=0,NA(),SUMPRODUCT(($C$21:$C$233=$V$34)*IFERROR($L$21:$L$233,0))/SUMPRODUCT(($C$21:$C$233=$V$34)*ISNUMBER($L$21:$L$233)))</f>
        <v>16.9745833333333</v>
      </c>
      <c r="AF34" s="20" t="n">
        <f aca="false">IFERROR(W34/W33-1,NA())</f>
        <v>0.0281850298423811</v>
      </c>
    </row>
    <row r="35" customFormat="false" ht="15" hidden="false" customHeight="false" outlineLevel="0" collapsed="false">
      <c r="A35" s="16" t="n">
        <f aca="false">IFERROR(IF(ISNUMBER('Real and nominal GDP'!A22),'Real and nominal GDP'!A22,NA()),NA())</f>
        <v>39326</v>
      </c>
      <c r="B35" s="17" t="str">
        <f aca="false">IFERROR(IF('Real and nominal GDP'!B22="",NA(),'Real and nominal GDP'!B22),NA())</f>
        <v>073</v>
      </c>
      <c r="C35" s="18" t="n">
        <f aca="false">IFERROR(YEAR(A35),0)</f>
        <v>2007</v>
      </c>
      <c r="D35" s="19" t="n">
        <f aca="false">IFERROR(IF('Real and nominal GDP'!C22="",NA(),IF(ISNUMBER('Real and nominal GDP'!C22),'Real and nominal GDP'!C22,NA())),NA())</f>
        <v>624446.895</v>
      </c>
      <c r="E35" s="19" t="n">
        <f aca="false">IFERROR(IF('Real and nominal GDP'!D22="",NA(),IF(ISNUMBER('Real and nominal GDP'!D22),'Real and nominal GDP'!D22,NA())),NA())</f>
        <v>412291.876</v>
      </c>
      <c r="F35" s="19" t="n">
        <f aca="false">IFERROR(IF('Real and nominal GDP'!E22="",NA(),IF(ISNUMBER('Real and nominal GDP'!E22),'Real and nominal GDP'!E22,NA())),NA())</f>
        <v>66182.353</v>
      </c>
      <c r="G35" s="19" t="n">
        <f aca="false">IFERROR(IF('Real and nominal GDP'!F22="",NA(),IF(ISNUMBER('Real and nominal GDP'!F22),'Real and nominal GDP'!F22,NA())),NA())</f>
        <v>125653.674</v>
      </c>
      <c r="H35" s="19" t="n">
        <f aca="false">IFERROR(IF('Real and nominal GDP'!G22="",NA(),IF(ISNUMBER('Real and nominal GDP'!G22),'Real and nominal GDP'!G22,NA())),NA())</f>
        <v>610425.694</v>
      </c>
      <c r="I35" s="19" t="n">
        <f aca="false">IFERROR(IF('Real and nominal GDP'!H22="",NA(),IF(ISNUMBER('Real and nominal GDP'!H22),'Real and nominal GDP'!H22,NA())),NA())</f>
        <v>914104</v>
      </c>
      <c r="J35" s="19" t="e">
        <f aca="false">IFERROR(IF('Real and nominal GDP'!I22="",NA(),IF(ISNUMBER('Real and nominal GDP'!I22),'Real and nominal GDP'!I22,NA())),NA())</f>
        <v>#N/A</v>
      </c>
      <c r="K35" s="19" t="n">
        <f aca="false">IFERROR(IF('Real and nominal GDP'!J22="",NA(),IF(ISNUMBER('Real and nominal GDP'!J22),'Real and nominal GDP'!J22,NA())),NA())</f>
        <v>3.13801333333333</v>
      </c>
      <c r="L35" s="19" t="n">
        <f aca="false">IFERROR(IF('Real and nominal GDP'!K22="",NA(),IF(ISNUMBER('Real and nominal GDP'!K22),'Real and nominal GDP'!K22,NA())),NA())</f>
        <v>3.18166666666667</v>
      </c>
      <c r="M35" s="20" t="n">
        <f aca="false">IFERROR(D35/D31-1,NA())</f>
        <v>0.0820644328325833</v>
      </c>
      <c r="N35" s="20" t="n">
        <f aca="false">IFERROR(D35/D34-1,NA())</f>
        <v>0.0135917724448422</v>
      </c>
      <c r="O35" s="20" t="n">
        <f aca="false">IFERROR(I35/I31-1,NA())</f>
        <v>0.253400868505236</v>
      </c>
      <c r="P35" s="21" t="n">
        <f aca="false">IF(COUNT(D32:D35)=4,SUM(D32:D35),NA())</f>
        <v>2433499.631</v>
      </c>
      <c r="Q35" s="21" t="n">
        <f aca="false">IF(COUNT(I32:I35)=4,SUM(I32:I35),NA())</f>
        <v>3355608</v>
      </c>
      <c r="R35" s="21" t="n">
        <f aca="false">IFERROR(I35/K35,NA())</f>
        <v>291300.22816984</v>
      </c>
      <c r="S35" s="21" t="n">
        <f aca="false">IFERROR(I35/L35,NA())</f>
        <v>287303.509690938</v>
      </c>
      <c r="V35" s="22" t="n">
        <v>2018</v>
      </c>
      <c r="W35" s="23" t="n">
        <f aca="false">IF(SUMPRODUCT(($C$21:$C$233=$V$35)*ISNUMBER($D$21:$D$233))=0,NA(),SUMPRODUCT(($C$21:$C$233=$V$35)*IFERROR($D$21:$D$233,0)))</f>
        <v>2829509.772</v>
      </c>
      <c r="X35" s="23" t="n">
        <f aca="false">IF(SUMPRODUCT(($C$21:$C$233=$V$35)*ISNUMBER($E$21:$E$233))=0,NA(),SUMPRODUCT(($C$21:$C$233=$V$35)*IFERROR($E$21:$E$233,0)))</f>
        <v>2105950.137</v>
      </c>
      <c r="Y35" s="23" t="n">
        <f aca="false">IF(SUMPRODUCT(($C$21:$C$233=$V$35)*ISNUMBER($F$21:$F$233))=0,NA(),SUMPRODUCT(($C$21:$C$233=$V$35)*IFERROR($F$21:$F$233,0)))</f>
        <v>387817.566</v>
      </c>
      <c r="Z35" s="23" t="n">
        <f aca="false">IF(SUMPRODUCT(($C$21:$C$233=$V$35)*ISNUMBER($G$21:$G$233))=0,NA(),SUMPRODUCT(($C$21:$C$233=$V$35)*IFERROR($G$21:$G$233,0)))</f>
        <v>567514.933</v>
      </c>
      <c r="AA35" s="23" t="n">
        <f aca="false">IF(SUMPRODUCT(($C$21:$C$233=$V$35)*ISNUMBER($H$21:$H$233))=0,NA(),SUMPRODUCT(($C$21:$C$233=$V$35)*IFERROR($H$21:$H$233,0)))</f>
        <v>2829509.772</v>
      </c>
      <c r="AB35" s="23" t="n">
        <f aca="false">IF(SUMPRODUCT(($C$21:$C$233=$V$35)*ISNUMBER($I$21:$I$233))=0,NA(),SUMPRODUCT(($C$21:$C$233=$V$35)*IFERROR($I$21:$I$233,0)))</f>
        <v>58979243</v>
      </c>
      <c r="AC35" s="23" t="n">
        <f aca="false">IF(SUMPRODUCT(($C$21:$C$233=$V$35)*ISNUMBER($J$21:$J$233))=0,NA(),SUMPRODUCT(($C$21:$C$233=$V$35)*IFERROR($J$21:$J$233,0))/SUMPRODUCT(($C$21:$C$233=$V$35)*ISNUMBER($J$21:$J$233)))</f>
        <v>151.581675</v>
      </c>
      <c r="AD35" s="23" t="n">
        <f aca="false">IF(SUMPRODUCT(($C$21:$C$233=$V$35)*ISNUMBER($K$21:$K$233))=0,NA(),SUMPRODUCT(($C$21:$C$233=$V$35)*IFERROR($K$21:$K$233,0))/SUMPRODUCT(($C$21:$C$233=$V$35)*ISNUMBER($K$21:$K$233)))</f>
        <v>28.1117416666667</v>
      </c>
      <c r="AE35" s="23" t="n">
        <f aca="false">IF(SUMPRODUCT(($C$21:$C$233=$V$35)*ISNUMBER($L$21:$L$233))=0,NA(),SUMPRODUCT(($C$21:$C$233=$V$35)*IFERROR($L$21:$L$233,0))/SUMPRODUCT(($C$21:$C$233=$V$35)*ISNUMBER($L$21:$L$233)))</f>
        <v>28.18775</v>
      </c>
      <c r="AF35" s="20" t="n">
        <f aca="false">IFERROR(W35/W34-1,NA())</f>
        <v>-0.0261739648963314</v>
      </c>
    </row>
    <row r="36" customFormat="false" ht="15" hidden="false" customHeight="false" outlineLevel="0" collapsed="false">
      <c r="A36" s="16" t="n">
        <f aca="false">IFERROR(IF(ISNUMBER('Real and nominal GDP'!A23),'Real and nominal GDP'!A23,NA()),NA())</f>
        <v>39417</v>
      </c>
      <c r="B36" s="17" t="str">
        <f aca="false">IFERROR(IF('Real and nominal GDP'!B23="",NA(),'Real and nominal GDP'!B23),NA())</f>
        <v>074</v>
      </c>
      <c r="C36" s="18" t="n">
        <f aca="false">IFERROR(YEAR(A36),0)</f>
        <v>2007</v>
      </c>
      <c r="D36" s="19" t="n">
        <f aca="false">IFERROR(IF('Real and nominal GDP'!C23="",NA(),IF(ISNUMBER('Real and nominal GDP'!C23),'Real and nominal GDP'!C23,NA())),NA())</f>
        <v>643766.543</v>
      </c>
      <c r="E36" s="19" t="n">
        <f aca="false">IFERROR(IF('Real and nominal GDP'!D23="",NA(),IF(ISNUMBER('Real and nominal GDP'!D23),'Real and nominal GDP'!D23,NA())),NA())</f>
        <v>419150.79</v>
      </c>
      <c r="F36" s="19" t="n">
        <f aca="false">IFERROR(IF('Real and nominal GDP'!E23="",NA(),IF(ISNUMBER('Real and nominal GDP'!E23),'Real and nominal GDP'!E23,NA())),NA())</f>
        <v>67468.668</v>
      </c>
      <c r="G36" s="19" t="n">
        <f aca="false">IFERROR(IF('Real and nominal GDP'!F23="",NA(),IF(ISNUMBER('Real and nominal GDP'!F23),'Real and nominal GDP'!F23,NA())),NA())</f>
        <v>129139.781</v>
      </c>
      <c r="H36" s="19" t="n">
        <f aca="false">IFERROR(IF('Real and nominal GDP'!G23="",NA(),IF(ISNUMBER('Real and nominal GDP'!G23),'Real and nominal GDP'!G23,NA())),NA())</f>
        <v>625876.868</v>
      </c>
      <c r="I36" s="19" t="n">
        <f aca="false">IFERROR(IF('Real and nominal GDP'!H23="",NA(),IF(ISNUMBER('Real and nominal GDP'!H23),'Real and nominal GDP'!H23,NA())),NA())</f>
        <v>995079</v>
      </c>
      <c r="J36" s="19" t="e">
        <f aca="false">IFERROR(IF('Real and nominal GDP'!I23="",NA(),IF(ISNUMBER('Real and nominal GDP'!I23),'Real and nominal GDP'!I23,NA())),NA())</f>
        <v>#N/A</v>
      </c>
      <c r="K36" s="19" t="n">
        <f aca="false">IFERROR(IF('Real and nominal GDP'!J23="",NA(),IF(ISNUMBER('Real and nominal GDP'!J23),'Real and nominal GDP'!J23,NA())),NA())</f>
        <v>3.14507666666667</v>
      </c>
      <c r="L36" s="19" t="n">
        <f aca="false">IFERROR(IF('Real and nominal GDP'!K23="",NA(),IF(ISNUMBER('Real and nominal GDP'!K23),'Real and nominal GDP'!K23,NA())),NA())</f>
        <v>3.17466666666667</v>
      </c>
      <c r="M36" s="20" t="n">
        <f aca="false">IFERROR(D36/D32-1,NA())</f>
        <v>0.0920623125412947</v>
      </c>
      <c r="N36" s="20" t="n">
        <f aca="false">IFERROR(D36/D35-1,NA())</f>
        <v>0.0309388166627043</v>
      </c>
      <c r="O36" s="20" t="n">
        <f aca="false">IFERROR(I36/I32-1,NA())</f>
        <v>0.304566538099496</v>
      </c>
      <c r="P36" s="21" t="n">
        <f aca="false">IF(COUNT(D33:D36)=4,SUM(D33:D36),NA())</f>
        <v>2487770.011</v>
      </c>
      <c r="Q36" s="21" t="n">
        <f aca="false">IF(COUNT(I33:I36)=4,SUM(I33:I36),NA())</f>
        <v>3587921</v>
      </c>
      <c r="R36" s="21" t="n">
        <f aca="false">IFERROR(I36/K36,NA())</f>
        <v>316392.605161718</v>
      </c>
      <c r="S36" s="21" t="n">
        <f aca="false">IFERROR(I36/L36,NA())</f>
        <v>313443.616127677</v>
      </c>
      <c r="V36" s="22" t="n">
        <v>2019</v>
      </c>
      <c r="W36" s="23" t="n">
        <f aca="false">IF(SUMPRODUCT(($C$21:$C$233=$V$36)*ISNUMBER($D$21:$D$233))=0,NA(),SUMPRODUCT(($C$21:$C$233=$V$36)*IFERROR($D$21:$D$233,0)))</f>
        <v>2772895.215</v>
      </c>
      <c r="X36" s="23" t="n">
        <f aca="false">IF(SUMPRODUCT(($C$21:$C$233=$V$36)*ISNUMBER($E$21:$E$233))=0,NA(),SUMPRODUCT(($C$21:$C$233=$V$36)*IFERROR($E$21:$E$233,0)))</f>
        <v>1976920.453</v>
      </c>
      <c r="Y36" s="23" t="n">
        <f aca="false">IF(SUMPRODUCT(($C$21:$C$233=$V$36)*ISNUMBER($F$21:$F$233))=0,NA(),SUMPRODUCT(($C$21:$C$233=$V$36)*IFERROR($F$21:$F$233,0)))</f>
        <v>362996.745</v>
      </c>
      <c r="Z36" s="23" t="n">
        <f aca="false">IF(SUMPRODUCT(($C$21:$C$233=$V$36)*ISNUMBER($G$21:$G$233))=0,NA(),SUMPRODUCT(($C$21:$C$233=$V$36)*IFERROR($G$21:$G$233,0)))</f>
        <v>476987.491</v>
      </c>
      <c r="AA36" s="23" t="n">
        <f aca="false">IF(SUMPRODUCT(($C$21:$C$233=$V$36)*ISNUMBER($H$21:$H$233))=0,NA(),SUMPRODUCT(($C$21:$C$233=$V$36)*IFERROR($H$21:$H$233,0)))</f>
        <v>2772895.215</v>
      </c>
      <c r="AB36" s="23" t="n">
        <f aca="false">IF(SUMPRODUCT(($C$21:$C$233=$V$36)*ISNUMBER($I$21:$I$233))=0,NA(),SUMPRODUCT(($C$21:$C$233=$V$36)*IFERROR($I$21:$I$233,0)))</f>
        <v>86233777</v>
      </c>
      <c r="AC36" s="23" t="n">
        <f aca="false">IF(SUMPRODUCT(($C$21:$C$233=$V$36)*ISNUMBER($J$21:$J$233))=0,NA(),SUMPRODUCT(($C$21:$C$233=$V$36)*IFERROR($J$21:$J$233,0))/SUMPRODUCT(($C$21:$C$233=$V$36)*ISNUMBER($J$21:$J$233)))</f>
        <v>232.751091666667</v>
      </c>
      <c r="AD36" s="23" t="n">
        <f aca="false">IF(SUMPRODUCT(($C$21:$C$233=$V$36)*ISNUMBER($K$21:$K$233))=0,NA(),SUMPRODUCT(($C$21:$C$233=$V$36)*IFERROR($K$21:$K$233,0))/SUMPRODUCT(($C$21:$C$233=$V$36)*ISNUMBER($K$21:$K$233)))</f>
        <v>48.24785</v>
      </c>
      <c r="AE36" s="23" t="n">
        <f aca="false">IF(SUMPRODUCT(($C$21:$C$233=$V$36)*ISNUMBER($L$21:$L$233))=0,NA(),SUMPRODUCT(($C$21:$C$233=$V$36)*IFERROR($L$21:$L$233,0))/SUMPRODUCT(($C$21:$C$233=$V$36)*ISNUMBER($L$21:$L$233)))</f>
        <v>50.4808333333333</v>
      </c>
      <c r="AF36" s="20" t="n">
        <f aca="false">IFERROR(W36/W35-1,NA())</f>
        <v>-0.0200086098165276</v>
      </c>
    </row>
    <row r="37" customFormat="false" ht="15" hidden="false" customHeight="false" outlineLevel="0" collapsed="false">
      <c r="A37" s="16" t="n">
        <f aca="false">IFERROR(IF(ISNUMBER('Real and nominal GDP'!A24),'Real and nominal GDP'!A24,NA()),NA())</f>
        <v>39508</v>
      </c>
      <c r="B37" s="17" t="str">
        <f aca="false">IFERROR(IF('Real and nominal GDP'!B24="",NA(),'Real and nominal GDP'!B24),NA())</f>
        <v>081</v>
      </c>
      <c r="C37" s="18" t="n">
        <f aca="false">IFERROR(YEAR(A37),0)</f>
        <v>2008</v>
      </c>
      <c r="D37" s="19" t="n">
        <f aca="false">IFERROR(IF('Real and nominal GDP'!C24="",NA(),IF(ISNUMBER('Real and nominal GDP'!C24),'Real and nominal GDP'!C24,NA())),NA())</f>
        <v>650003.257</v>
      </c>
      <c r="E37" s="19" t="n">
        <f aca="false">IFERROR(IF('Real and nominal GDP'!D24="",NA(),IF(ISNUMBER('Real and nominal GDP'!D24),'Real and nominal GDP'!D24,NA())),NA())</f>
        <v>436248.074</v>
      </c>
      <c r="F37" s="19" t="n">
        <f aca="false">IFERROR(IF('Real and nominal GDP'!E24="",NA(),IF(ISNUMBER('Real and nominal GDP'!E24),'Real and nominal GDP'!E24,NA())),NA())</f>
        <v>68277.412</v>
      </c>
      <c r="G37" s="19" t="n">
        <f aca="false">IFERROR(IF('Real and nominal GDP'!F24="",NA(),IF(ISNUMBER('Real and nominal GDP'!F24),'Real and nominal GDP'!F24,NA())),NA())</f>
        <v>139051.967</v>
      </c>
      <c r="H37" s="19" t="n">
        <f aca="false">IFERROR(IF('Real and nominal GDP'!G24="",NA(),IF(ISNUMBER('Real and nominal GDP'!G24),'Real and nominal GDP'!G24,NA())),NA())</f>
        <v>616720.357</v>
      </c>
      <c r="I37" s="19" t="n">
        <f aca="false">IFERROR(IF('Real and nominal GDP'!H24="",NA(),IF(ISNUMBER('Real and nominal GDP'!H24),'Real and nominal GDP'!H24,NA())),NA())</f>
        <v>1032357</v>
      </c>
      <c r="J37" s="19" t="e">
        <f aca="false">IFERROR(IF('Real and nominal GDP'!I24="",NA(),IF(ISNUMBER('Real and nominal GDP'!I24),'Real and nominal GDP'!I24,NA())),NA())</f>
        <v>#N/A</v>
      </c>
      <c r="K37" s="19" t="n">
        <f aca="false">IFERROR(IF('Real and nominal GDP'!J24="",NA(),IF(ISNUMBER('Real and nominal GDP'!J24),'Real and nominal GDP'!J24,NA())),NA())</f>
        <v>3.15340666666667</v>
      </c>
      <c r="L37" s="19" t="n">
        <f aca="false">IFERROR(IF('Real and nominal GDP'!K24="",NA(),IF(ISNUMBER('Real and nominal GDP'!K24),'Real and nominal GDP'!K24,NA())),NA())</f>
        <v>3.177</v>
      </c>
      <c r="M37" s="20" t="n">
        <f aca="false">IFERROR(D37/D33-1,NA())</f>
        <v>0.0770859063854612</v>
      </c>
      <c r="N37" s="20" t="n">
        <f aca="false">IFERROR(D37/D36-1,NA())</f>
        <v>0.00968785046041143</v>
      </c>
      <c r="O37" s="20" t="n">
        <f aca="false">IFERROR(I37/I33-1,NA())</f>
        <v>0.333126288113969</v>
      </c>
      <c r="P37" s="21" t="n">
        <f aca="false">IF(COUNT(D34:D37)=4,SUM(D34:D37),NA())</f>
        <v>2534290.061</v>
      </c>
      <c r="Q37" s="21" t="n">
        <f aca="false">IF(COUNT(I34:I37)=4,SUM(I34:I37),NA())</f>
        <v>3845890</v>
      </c>
      <c r="R37" s="21" t="n">
        <f aca="false">IFERROR(I37/K37,NA())</f>
        <v>327378.327353909</v>
      </c>
      <c r="S37" s="21" t="n">
        <f aca="false">IFERROR(I37/L37,NA())</f>
        <v>324947.119924457</v>
      </c>
      <c r="V37" s="22" t="n">
        <v>2020</v>
      </c>
      <c r="W37" s="23" t="n">
        <f aca="false">IF(SUMPRODUCT(($C$21:$C$233=$V$37)*ISNUMBER($D$21:$D$233))=0,NA(),SUMPRODUCT(($C$21:$C$233=$V$37)*IFERROR($D$21:$D$233,0)))</f>
        <v>2498365.145</v>
      </c>
      <c r="X37" s="23" t="n">
        <f aca="false">IF(SUMPRODUCT(($C$21:$C$233=$V$37)*ISNUMBER($E$21:$E$233))=0,NA(),SUMPRODUCT(($C$21:$C$233=$V$37)*IFERROR($E$21:$E$233,0)))</f>
        <v>1736302.236</v>
      </c>
      <c r="Y37" s="23" t="n">
        <f aca="false">IF(SUMPRODUCT(($C$21:$C$233=$V$37)*ISNUMBER($F$21:$F$233))=0,NA(),SUMPRODUCT(($C$21:$C$233=$V$37)*IFERROR($F$21:$F$233,0)))</f>
        <v>355658.504</v>
      </c>
      <c r="Z37" s="23" t="n">
        <f aca="false">IF(SUMPRODUCT(($C$21:$C$233=$V$37)*ISNUMBER($G$21:$G$233))=0,NA(),SUMPRODUCT(($C$21:$C$233=$V$37)*IFERROR($G$21:$G$233,0)))</f>
        <v>414664.507</v>
      </c>
      <c r="AA37" s="23" t="n">
        <f aca="false">IF(SUMPRODUCT(($C$21:$C$233=$V$37)*ISNUMBER($H$21:$H$233))=0,NA(),SUMPRODUCT(($C$21:$C$233=$V$37)*IFERROR($H$21:$H$233,0)))</f>
        <v>2498365.144</v>
      </c>
      <c r="AB37" s="23" t="n">
        <f aca="false">IF(SUMPRODUCT(($C$21:$C$233=$V$37)*ISNUMBER($I$21:$I$233))=0,NA(),SUMPRODUCT(($C$21:$C$233=$V$37)*IFERROR($I$21:$I$233,0)))</f>
        <v>108839257</v>
      </c>
      <c r="AC37" s="23" t="n">
        <f aca="false">IF(SUMPRODUCT(($C$21:$C$233=$V$37)*ISNUMBER($J$21:$J$233))=0,NA(),SUMPRODUCT(($C$21:$C$233=$V$37)*IFERROR($J$21:$J$233,0))/SUMPRODUCT(($C$21:$C$233=$V$37)*ISNUMBER($J$21:$J$233)))</f>
        <v>330.541683333333</v>
      </c>
      <c r="AD37" s="23" t="n">
        <f aca="false">IF(SUMPRODUCT(($C$21:$C$233=$V$37)*ISNUMBER($K$21:$K$233))=0,NA(),SUMPRODUCT(($C$21:$C$233=$V$37)*IFERROR($K$21:$K$233,0))/SUMPRODUCT(($C$21:$C$233=$V$37)*ISNUMBER($K$21:$K$233)))</f>
        <v>70.6457933333333</v>
      </c>
      <c r="AE37" s="23" t="n">
        <f aca="false">IF(SUMPRODUCT(($C$21:$C$233=$V$37)*ISNUMBER($L$21:$L$233))=0,NA(),SUMPRODUCT(($C$21:$C$233=$V$37)*IFERROR($L$21:$L$233,0))/SUMPRODUCT(($C$21:$C$233=$V$37)*ISNUMBER($L$21:$L$233)))</f>
        <v>120.037833333333</v>
      </c>
      <c r="AF37" s="20" t="n">
        <f aca="false">IFERROR(W37/W36-1,NA())</f>
        <v>-0.0990048482592949</v>
      </c>
    </row>
    <row r="38" customFormat="false" ht="15" hidden="false" customHeight="false" outlineLevel="0" collapsed="false">
      <c r="A38" s="16" t="n">
        <f aca="false">IFERROR(IF(ISNUMBER('Real and nominal GDP'!A25),'Real and nominal GDP'!A25,NA()),NA())</f>
        <v>39600</v>
      </c>
      <c r="B38" s="17" t="str">
        <f aca="false">IFERROR(IF('Real and nominal GDP'!B25="",NA(),'Real and nominal GDP'!B25),NA())</f>
        <v>082</v>
      </c>
      <c r="C38" s="18" t="n">
        <f aca="false">IFERROR(YEAR(A38),0)</f>
        <v>2008</v>
      </c>
      <c r="D38" s="19" t="n">
        <f aca="false">IFERROR(IF('Real and nominal GDP'!C25="",NA(),IF(ISNUMBER('Real and nominal GDP'!C25),'Real and nominal GDP'!C25,NA())),NA())</f>
        <v>653467.954</v>
      </c>
      <c r="E38" s="19" t="n">
        <f aca="false">IFERROR(IF('Real and nominal GDP'!D25="",NA(),IF(ISNUMBER('Real and nominal GDP'!D25),'Real and nominal GDP'!D25,NA())),NA())</f>
        <v>443435.138</v>
      </c>
      <c r="F38" s="19" t="n">
        <f aca="false">IFERROR(IF('Real and nominal GDP'!E25="",NA(),IF(ISNUMBER('Real and nominal GDP'!E25),'Real and nominal GDP'!E25,NA())),NA())</f>
        <v>69644.284</v>
      </c>
      <c r="G38" s="19" t="n">
        <f aca="false">IFERROR(IF('Real and nominal GDP'!F25="",NA(),IF(ISNUMBER('Real and nominal GDP'!F25),'Real and nominal GDP'!F25,NA())),NA())</f>
        <v>142263.681</v>
      </c>
      <c r="H38" s="19" t="n">
        <f aca="false">IFERROR(IF('Real and nominal GDP'!G25="",NA(),IF(ISNUMBER('Real and nominal GDP'!G25),'Real and nominal GDP'!G25,NA())),NA())</f>
        <v>711405.5</v>
      </c>
      <c r="I38" s="19" t="n">
        <f aca="false">IFERROR(IF('Real and nominal GDP'!H25="",NA(),IF(ISNUMBER('Real and nominal GDP'!H25),'Real and nominal GDP'!H25,NA())),NA())</f>
        <v>1213883</v>
      </c>
      <c r="J38" s="19" t="e">
        <f aca="false">IFERROR(IF('Real and nominal GDP'!I25="",NA(),IF(ISNUMBER('Real and nominal GDP'!I25),'Real and nominal GDP'!I25,NA())),NA())</f>
        <v>#N/A</v>
      </c>
      <c r="K38" s="19" t="n">
        <f aca="false">IFERROR(IF('Real and nominal GDP'!J25="",NA(),IF(ISNUMBER('Real and nominal GDP'!J25),'Real and nominal GDP'!J25,NA())),NA())</f>
        <v>3.12105666666667</v>
      </c>
      <c r="L38" s="19" t="n">
        <f aca="false">IFERROR(IF('Real and nominal GDP'!K25="",NA(),IF(ISNUMBER('Real and nominal GDP'!K25),'Real and nominal GDP'!K25,NA())),NA())</f>
        <v>3.18466666666667</v>
      </c>
      <c r="M38" s="20" t="n">
        <f aca="false">IFERROR(D38/D34-1,NA())</f>
        <v>0.0606982707965336</v>
      </c>
      <c r="N38" s="20" t="n">
        <f aca="false">IFERROR(D38/D37-1,NA())</f>
        <v>0.00533027636813843</v>
      </c>
      <c r="O38" s="20" t="n">
        <f aca="false">IFERROR(I38/I34-1,NA())</f>
        <v>0.342271244540278</v>
      </c>
      <c r="P38" s="21" t="n">
        <f aca="false">IF(COUNT(D35:D38)=4,SUM(D35:D38),NA())</f>
        <v>2571684.649</v>
      </c>
      <c r="Q38" s="21" t="n">
        <f aca="false">IF(COUNT(I35:I38)=4,SUM(I35:I38),NA())</f>
        <v>4155423</v>
      </c>
      <c r="R38" s="21" t="n">
        <f aca="false">IFERROR(I38/K38,NA())</f>
        <v>388933.34201985</v>
      </c>
      <c r="S38" s="21" t="n">
        <f aca="false">IFERROR(I38/L38,NA())</f>
        <v>381164.852417836</v>
      </c>
      <c r="V38" s="22" t="n">
        <v>2021</v>
      </c>
      <c r="W38" s="23" t="n">
        <f aca="false">IF(SUMPRODUCT(($C$21:$C$233=$V$38)*ISNUMBER($D$21:$D$233))=0,NA(),SUMPRODUCT(($C$21:$C$233=$V$38)*IFERROR($D$21:$D$233,0)))</f>
        <v>2759239.737</v>
      </c>
      <c r="X38" s="23" t="n">
        <f aca="false">IF(SUMPRODUCT(($C$21:$C$233=$V$38)*ISNUMBER($E$21:$E$233))=0,NA(),SUMPRODUCT(($C$21:$C$233=$V$38)*IFERROR($E$21:$E$233,0)))</f>
        <v>1900663.982</v>
      </c>
      <c r="Y38" s="23" t="n">
        <f aca="false">IF(SUMPRODUCT(($C$21:$C$233=$V$38)*ISNUMBER($F$21:$F$233))=0,NA(),SUMPRODUCT(($C$21:$C$233=$V$38)*IFERROR($F$21:$F$233,0)))</f>
        <v>380997.694</v>
      </c>
      <c r="Z38" s="23" t="n">
        <f aca="false">IF(SUMPRODUCT(($C$21:$C$233=$V$38)*ISNUMBER($G$21:$G$233))=0,NA(),SUMPRODUCT(($C$21:$C$233=$V$38)*IFERROR($G$21:$G$233,0)))</f>
        <v>555718.973</v>
      </c>
      <c r="AA38" s="23" t="n">
        <f aca="false">IF(SUMPRODUCT(($C$21:$C$233=$V$38)*ISNUMBER($H$21:$H$233))=0,NA(),SUMPRODUCT(($C$21:$C$233=$V$38)*IFERROR($H$21:$H$233,0)))</f>
        <v>2759239.736</v>
      </c>
      <c r="AB38" s="23" t="n">
        <f aca="false">IF(SUMPRODUCT(($C$21:$C$233=$V$38)*ISNUMBER($I$21:$I$233))=0,NA(),SUMPRODUCT(($C$21:$C$233=$V$38)*IFERROR($I$21:$I$233,0)))</f>
        <v>184876334</v>
      </c>
      <c r="AC38" s="23" t="n">
        <f aca="false">IF(SUMPRODUCT(($C$21:$C$233=$V$38)*ISNUMBER($J$21:$J$233))=0,NA(),SUMPRODUCT(($C$21:$C$233=$V$38)*IFERROR($J$21:$J$233,0))/SUMPRODUCT(($C$21:$C$233=$V$38)*ISNUMBER($J$21:$J$233)))</f>
        <v>490.554858333333</v>
      </c>
      <c r="AD38" s="23" t="n">
        <f aca="false">IF(SUMPRODUCT(($C$21:$C$233=$V$38)*ISNUMBER($K$21:$K$233))=0,NA(),SUMPRODUCT(($C$21:$C$233=$V$38)*IFERROR($K$21:$K$233,0))/SUMPRODUCT(($C$21:$C$233=$V$38)*ISNUMBER($K$21:$K$233)))</f>
        <v>95.0958925</v>
      </c>
      <c r="AE38" s="23" t="n">
        <f aca="false">IF(SUMPRODUCT(($C$21:$C$233=$V$38)*ISNUMBER($L$21:$L$233))=0,NA(),SUMPRODUCT(($C$21:$C$233=$V$38)*IFERROR($L$21:$L$233,0))/SUMPRODUCT(($C$21:$C$233=$V$38)*ISNUMBER($L$21:$L$233)))</f>
        <v>168.123416666667</v>
      </c>
      <c r="AF38" s="20" t="n">
        <f aca="false">IFERROR(W38/W37-1,NA())</f>
        <v>0.104418120194356</v>
      </c>
    </row>
    <row r="39" customFormat="false" ht="15" hidden="false" customHeight="false" outlineLevel="0" collapsed="false">
      <c r="A39" s="16" t="n">
        <f aca="false">IFERROR(IF(ISNUMBER('Real and nominal GDP'!A26),'Real and nominal GDP'!A26,NA()),NA())</f>
        <v>39692</v>
      </c>
      <c r="B39" s="17" t="str">
        <f aca="false">IFERROR(IF('Real and nominal GDP'!B26="",NA(),'Real and nominal GDP'!B26),NA())</f>
        <v>083</v>
      </c>
      <c r="C39" s="18" t="n">
        <f aca="false">IFERROR(YEAR(A39),0)</f>
        <v>2008</v>
      </c>
      <c r="D39" s="19" t="n">
        <f aca="false">IFERROR(IF('Real and nominal GDP'!C26="",NA(),IF(ISNUMBER('Real and nominal GDP'!C26),'Real and nominal GDP'!C26,NA())),NA())</f>
        <v>657695.284</v>
      </c>
      <c r="E39" s="19" t="n">
        <f aca="false">IFERROR(IF('Real and nominal GDP'!D26="",NA(),IF(ISNUMBER('Real and nominal GDP'!D26),'Real and nominal GDP'!D26,NA())),NA())</f>
        <v>435469.491</v>
      </c>
      <c r="F39" s="19" t="n">
        <f aca="false">IFERROR(IF('Real and nominal GDP'!E26="",NA(),IF(ISNUMBER('Real and nominal GDP'!E26),'Real and nominal GDP'!E26,NA())),NA())</f>
        <v>70201.012</v>
      </c>
      <c r="G39" s="19" t="n">
        <f aca="false">IFERROR(IF('Real and nominal GDP'!F26="",NA(),IF(ISNUMBER('Real and nominal GDP'!F26),'Real and nominal GDP'!F26,NA())),NA())</f>
        <v>134229.042</v>
      </c>
      <c r="H39" s="19" t="n">
        <f aca="false">IFERROR(IF('Real and nominal GDP'!G26="",NA(),IF(ISNUMBER('Real and nominal GDP'!G26),'Real and nominal GDP'!G26,NA())),NA())</f>
        <v>647087.96</v>
      </c>
      <c r="I39" s="19" t="n">
        <f aca="false">IFERROR(IF('Real and nominal GDP'!H26="",NA(),IF(ISNUMBER('Real and nominal GDP'!H26),'Real and nominal GDP'!H26,NA())),NA())</f>
        <v>1183692</v>
      </c>
      <c r="J39" s="19" t="e">
        <f aca="false">IFERROR(IF('Real and nominal GDP'!I26="",NA(),IF(ISNUMBER('Real and nominal GDP'!I26),'Real and nominal GDP'!I26,NA())),NA())</f>
        <v>#N/A</v>
      </c>
      <c r="K39" s="19" t="n">
        <f aca="false">IFERROR(IF('Real and nominal GDP'!J26="",NA(),IF(ISNUMBER('Real and nominal GDP'!J26),'Real and nominal GDP'!J26,NA())),NA())</f>
        <v>3.04647666666667</v>
      </c>
      <c r="L39" s="19" t="n">
        <f aca="false">IFERROR(IF('Real and nominal GDP'!K26="",NA(),IF(ISNUMBER('Real and nominal GDP'!K26),'Real and nominal GDP'!K26,NA())),NA())</f>
        <v>3.08633333333333</v>
      </c>
      <c r="M39" s="20" t="n">
        <f aca="false">IFERROR(D39/D35-1,NA())</f>
        <v>0.0532445421159473</v>
      </c>
      <c r="N39" s="20" t="n">
        <f aca="false">IFERROR(D39/D38-1,NA())</f>
        <v>0.00646907009612896</v>
      </c>
      <c r="O39" s="20" t="n">
        <f aca="false">IFERROR(I39/I35-1,NA())</f>
        <v>0.294920490447477</v>
      </c>
      <c r="P39" s="21" t="n">
        <f aca="false">IF(COUNT(D36:D39)=4,SUM(D36:D39),NA())</f>
        <v>2604933.038</v>
      </c>
      <c r="Q39" s="21" t="n">
        <f aca="false">IF(COUNT(I36:I39)=4,SUM(I36:I39),NA())</f>
        <v>4425011</v>
      </c>
      <c r="R39" s="21" t="n">
        <f aca="false">IFERROR(I39/K39,NA())</f>
        <v>388544.581007787</v>
      </c>
      <c r="S39" s="21" t="n">
        <f aca="false">IFERROR(I39/L39,NA())</f>
        <v>383526.946754509</v>
      </c>
      <c r="V39" s="22" t="n">
        <v>2022</v>
      </c>
      <c r="W39" s="23" t="n">
        <f aca="false">IF(SUMPRODUCT(($C$21:$C$233=$V$39)*ISNUMBER($D$21:$D$233))=0,NA(),SUMPRODUCT(($C$21:$C$233=$V$39)*IFERROR($D$21:$D$233,0)))</f>
        <v>2925366.535</v>
      </c>
      <c r="X39" s="23" t="n">
        <f aca="false">IF(SUMPRODUCT(($C$21:$C$233=$V$39)*ISNUMBER($E$21:$E$233))=0,NA(),SUMPRODUCT(($C$21:$C$233=$V$39)*IFERROR($E$21:$E$233,0)))</f>
        <v>2080585.219</v>
      </c>
      <c r="Y39" s="23" t="n">
        <f aca="false">IF(SUMPRODUCT(($C$21:$C$233=$V$39)*ISNUMBER($F$21:$F$233))=0,NA(),SUMPRODUCT(($C$21:$C$233=$V$39)*IFERROR($F$21:$F$233,0)))</f>
        <v>391538.643</v>
      </c>
      <c r="Z39" s="23" t="n">
        <f aca="false">IF(SUMPRODUCT(($C$21:$C$233=$V$39)*ISNUMBER($G$21:$G$233))=0,NA(),SUMPRODUCT(($C$21:$C$233=$V$39)*IFERROR($G$21:$G$233,0)))</f>
        <v>613809.254</v>
      </c>
      <c r="AA39" s="23" t="n">
        <f aca="false">IF(SUMPRODUCT(($C$21:$C$233=$V$39)*ISNUMBER($H$21:$H$233))=0,NA(),SUMPRODUCT(($C$21:$C$233=$V$39)*IFERROR($H$21:$H$233,0)))</f>
        <v>2925366.536</v>
      </c>
      <c r="AB39" s="23" t="n">
        <f aca="false">IF(SUMPRODUCT(($C$21:$C$233=$V$39)*ISNUMBER($I$21:$I$233))=0,NA(),SUMPRODUCT(($C$21:$C$233=$V$39)*IFERROR($I$21:$I$233,0)))</f>
        <v>331240181</v>
      </c>
      <c r="AC39" s="23" t="n">
        <f aca="false">IF(SUMPRODUCT(($C$21:$C$233=$V$39)*ISNUMBER($J$21:$J$233))=0,NA(),SUMPRODUCT(($C$21:$C$233=$V$39)*IFERROR($J$21:$J$233,0))/SUMPRODUCT(($C$21:$C$233=$V$39)*ISNUMBER($J$21:$J$233)))</f>
        <v>845.867458333333</v>
      </c>
      <c r="AD39" s="23" t="n">
        <f aca="false">IF(SUMPRODUCT(($C$21:$C$233=$V$39)*ISNUMBER($K$21:$K$233))=0,NA(),SUMPRODUCT(($C$21:$C$233=$V$39)*IFERROR($K$21:$K$233,0))/SUMPRODUCT(($C$21:$C$233=$V$39)*ISNUMBER($K$21:$K$233)))</f>
        <v>130.716726666667</v>
      </c>
      <c r="AE39" s="23" t="n">
        <f aca="false">IF(SUMPRODUCT(($C$21:$C$233=$V$39)*ISNUMBER($L$21:$L$233))=0,NA(),SUMPRODUCT(($C$21:$C$233=$V$39)*IFERROR($L$21:$L$233,0))/SUMPRODUCT(($C$21:$C$233=$V$39)*ISNUMBER($L$21:$L$233)))</f>
        <v>250.362</v>
      </c>
      <c r="AF39" s="20" t="n">
        <f aca="false">IFERROR(W39/W38-1,NA())</f>
        <v>0.0602074534417305</v>
      </c>
    </row>
    <row r="40" customFormat="false" ht="15" hidden="false" customHeight="false" outlineLevel="0" collapsed="false">
      <c r="A40" s="16" t="n">
        <f aca="false">IFERROR(IF(ISNUMBER('Real and nominal GDP'!A27),'Real and nominal GDP'!A27,NA()),NA())</f>
        <v>39783</v>
      </c>
      <c r="B40" s="17" t="str">
        <f aca="false">IFERROR(IF('Real and nominal GDP'!B27="",NA(),'Real and nominal GDP'!B27),NA())</f>
        <v>084</v>
      </c>
      <c r="C40" s="18" t="n">
        <f aca="false">IFERROR(YEAR(A40),0)</f>
        <v>2008</v>
      </c>
      <c r="D40" s="19" t="n">
        <f aca="false">IFERROR(IF('Real and nominal GDP'!C27="",NA(),IF(ISNUMBER('Real and nominal GDP'!C27),'Real and nominal GDP'!C27,NA())),NA())</f>
        <v>627538.144</v>
      </c>
      <c r="E40" s="19" t="n">
        <f aca="false">IFERROR(IF('Real and nominal GDP'!D27="",NA(),IF(ISNUMBER('Real and nominal GDP'!D27),'Real and nominal GDP'!D27,NA())),NA())</f>
        <v>429080.864</v>
      </c>
      <c r="F40" s="19" t="n">
        <f aca="false">IFERROR(IF('Real and nominal GDP'!E27="",NA(),IF(ISNUMBER('Real and nominal GDP'!E27),'Real and nominal GDP'!E27,NA())),NA())</f>
        <v>70159.29</v>
      </c>
      <c r="G40" s="19" t="n">
        <f aca="false">IFERROR(IF('Real and nominal GDP'!F27="",NA(),IF(ISNUMBER('Real and nominal GDP'!F27),'Real and nominal GDP'!F27,NA())),NA())</f>
        <v>119856.369</v>
      </c>
      <c r="H40" s="19" t="n">
        <f aca="false">IFERROR(IF('Real and nominal GDP'!G27="",NA(),IF(ISNUMBER('Real and nominal GDP'!G27),'Real and nominal GDP'!G27,NA())),NA())</f>
        <v>613490.822</v>
      </c>
      <c r="I40" s="19" t="n">
        <f aca="false">IFERROR(IF('Real and nominal GDP'!H27="",NA(),IF(ISNUMBER('Real and nominal GDP'!H27),'Real and nominal GDP'!H27,NA())),NA())</f>
        <v>1168652</v>
      </c>
      <c r="J40" s="19" t="e">
        <f aca="false">IFERROR(IF('Real and nominal GDP'!I27="",NA(),IF(ISNUMBER('Real and nominal GDP'!I27),'Real and nominal GDP'!I27,NA())),NA())</f>
        <v>#N/A</v>
      </c>
      <c r="K40" s="19" t="n">
        <f aca="false">IFERROR(IF('Real and nominal GDP'!J27="",NA(),IF(ISNUMBER('Real and nominal GDP'!J27),'Real and nominal GDP'!J27,NA())),NA())</f>
        <v>3.33267333333333</v>
      </c>
      <c r="L40" s="19" t="n">
        <f aca="false">IFERROR(IF('Real and nominal GDP'!K27="",NA(),IF(ISNUMBER('Real and nominal GDP'!K27),'Real and nominal GDP'!K27,NA())),NA())</f>
        <v>3.39166666666667</v>
      </c>
      <c r="M40" s="20" t="n">
        <f aca="false">IFERROR(D40/D36-1,NA())</f>
        <v>-0.0252085156901358</v>
      </c>
      <c r="N40" s="20" t="n">
        <f aca="false">IFERROR(D40/D39-1,NA())</f>
        <v>-0.045852753902368</v>
      </c>
      <c r="O40" s="20" t="n">
        <f aca="false">IFERROR(I40/I36-1,NA())</f>
        <v>0.174431376805259</v>
      </c>
      <c r="P40" s="21" t="n">
        <f aca="false">IF(COUNT(D37:D40)=4,SUM(D37:D40),NA())</f>
        <v>2588704.639</v>
      </c>
      <c r="Q40" s="21" t="n">
        <f aca="false">IF(COUNT(I37:I40)=4,SUM(I37:I40),NA())</f>
        <v>4598584</v>
      </c>
      <c r="R40" s="21" t="n">
        <f aca="false">IFERROR(I40/K40,NA())</f>
        <v>350665.031676272</v>
      </c>
      <c r="S40" s="21" t="n">
        <f aca="false">IFERROR(I40/L40,NA())</f>
        <v>344565.7002457</v>
      </c>
      <c r="V40" s="22" t="n">
        <v>2023</v>
      </c>
      <c r="W40" s="23" t="n">
        <f aca="false">IF(SUMPRODUCT(($C$21:$C$233=$V$40)*ISNUMBER($D$21:$D$233))=0,NA(),SUMPRODUCT(($C$21:$C$233=$V$40)*IFERROR($D$21:$D$233,0)))</f>
        <v>2871077.933</v>
      </c>
      <c r="X40" s="23" t="n">
        <f aca="false">IF(SUMPRODUCT(($C$21:$C$233=$V$40)*ISNUMBER($E$21:$E$233))=0,NA(),SUMPRODUCT(($C$21:$C$233=$V$40)*IFERROR($E$21:$E$233,0)))</f>
        <v>2100804.768</v>
      </c>
      <c r="Y40" s="23" t="n">
        <f aca="false">IF(SUMPRODUCT(($C$21:$C$233=$V$40)*ISNUMBER($F$21:$F$233))=0,NA(),SUMPRODUCT(($C$21:$C$233=$V$40)*IFERROR($F$21:$F$233,0)))</f>
        <v>399609.147</v>
      </c>
      <c r="Z40" s="23" t="n">
        <f aca="false">IF(SUMPRODUCT(($C$21:$C$233=$V$40)*ISNUMBER($G$21:$G$233))=0,NA(),SUMPRODUCT(($C$21:$C$233=$V$40)*IFERROR($G$21:$G$233,0)))</f>
        <v>601834.404</v>
      </c>
      <c r="AA40" s="23" t="n">
        <f aca="false">IF(SUMPRODUCT(($C$21:$C$233=$V$40)*ISNUMBER($H$21:$H$233))=0,NA(),SUMPRODUCT(($C$21:$C$233=$V$40)*IFERROR($H$21:$H$233,0)))</f>
        <v>2871077.933</v>
      </c>
      <c r="AB40" s="23" t="n">
        <f aca="false">IF(SUMPRODUCT(($C$21:$C$233=$V$40)*ISNUMBER($I$21:$I$233))=0,NA(),SUMPRODUCT(($C$21:$C$233=$V$40)*IFERROR($I$21:$I$233,0)))</f>
        <v>769632992</v>
      </c>
      <c r="AC40" s="23" t="n">
        <f aca="false">IF(SUMPRODUCT(($C$21:$C$233=$V$40)*ISNUMBER($J$21:$J$233))=0,NA(),SUMPRODUCT(($C$21:$C$233=$V$40)*IFERROR($J$21:$J$233,0))/SUMPRODUCT(($C$21:$C$233=$V$40)*ISNUMBER($J$21:$J$233)))</f>
        <v>1975.006925</v>
      </c>
      <c r="AD40" s="23" t="n">
        <f aca="false">IF(SUMPRODUCT(($C$21:$C$233=$V$40)*ISNUMBER($K$21:$K$233))=0,NA(),SUMPRODUCT(($C$21:$C$233=$V$40)*IFERROR($K$21:$K$233,0))/SUMPRODUCT(($C$21:$C$233=$V$40)*ISNUMBER($K$21:$K$233)))</f>
        <v>296.605184166667</v>
      </c>
      <c r="AE40" s="23" t="n">
        <f aca="false">IF(SUMPRODUCT(($C$21:$C$233=$V$40)*ISNUMBER($L$21:$L$233))=0,NA(),SUMPRODUCT(($C$21:$C$233=$V$40)*IFERROR($L$21:$L$233,0))/SUMPRODUCT(($C$21:$C$233=$V$40)*ISNUMBER($L$21:$L$233)))</f>
        <v>604.673583333333</v>
      </c>
      <c r="AF40" s="20" t="n">
        <f aca="false">IFERROR(W40/W39-1,NA())</f>
        <v>-0.0185578803033651</v>
      </c>
    </row>
    <row r="41" customFormat="false" ht="15" hidden="false" customHeight="false" outlineLevel="0" collapsed="false">
      <c r="A41" s="16" t="n">
        <f aca="false">IFERROR(IF(ISNUMBER('Real and nominal GDP'!A28),'Real and nominal GDP'!A28,NA()),NA())</f>
        <v>39873</v>
      </c>
      <c r="B41" s="17" t="str">
        <f aca="false">IFERROR(IF('Real and nominal GDP'!B28="",NA(),'Real and nominal GDP'!B28),NA())</f>
        <v>091</v>
      </c>
      <c r="C41" s="18" t="n">
        <f aca="false">IFERROR(YEAR(A41),0)</f>
        <v>2009</v>
      </c>
      <c r="D41" s="19" t="n">
        <f aca="false">IFERROR(IF('Real and nominal GDP'!C28="",NA(),IF(ISNUMBER('Real and nominal GDP'!C28),'Real and nominal GDP'!C28,NA())),NA())</f>
        <v>604940.284</v>
      </c>
      <c r="E41" s="19" t="n">
        <f aca="false">IFERROR(IF('Real and nominal GDP'!D28="",NA(),IF(ISNUMBER('Real and nominal GDP'!D28),'Real and nominal GDP'!D28,NA())),NA())</f>
        <v>410138.801</v>
      </c>
      <c r="F41" s="19" t="n">
        <f aca="false">IFERROR(IF('Real and nominal GDP'!E28="",NA(),IF(ISNUMBER('Real and nominal GDP'!E28),'Real and nominal GDP'!E28,NA())),NA())</f>
        <v>70950.321</v>
      </c>
      <c r="G41" s="19" t="n">
        <f aca="false">IFERROR(IF('Real and nominal GDP'!F28="",NA(),IF(ISNUMBER('Real and nominal GDP'!F28),'Real and nominal GDP'!F28,NA())),NA())</f>
        <v>103713.597</v>
      </c>
      <c r="H41" s="19" t="n">
        <f aca="false">IFERROR(IF('Real and nominal GDP'!G28="",NA(),IF(ISNUMBER('Real and nominal GDP'!G28),'Real and nominal GDP'!G28,NA())),NA())</f>
        <v>578553.044</v>
      </c>
      <c r="I41" s="19" t="n">
        <f aca="false">IFERROR(IF('Real and nominal GDP'!H28="",NA(),IF(ISNUMBER('Real and nominal GDP'!H28),'Real and nominal GDP'!H28,NA())),NA())</f>
        <v>1112307</v>
      </c>
      <c r="J41" s="19" t="e">
        <f aca="false">IFERROR(IF('Real and nominal GDP'!I28="",NA(),IF(ISNUMBER('Real and nominal GDP'!I28),'Real and nominal GDP'!I28,NA())),NA())</f>
        <v>#N/A</v>
      </c>
      <c r="K41" s="19" t="n">
        <f aca="false">IFERROR(IF('Real and nominal GDP'!J28="",NA(),IF(ISNUMBER('Real and nominal GDP'!J28),'Real and nominal GDP'!J28,NA())),NA())</f>
        <v>3.54428666666667</v>
      </c>
      <c r="L41" s="19" t="n">
        <f aca="false">IFERROR(IF('Real and nominal GDP'!K28="",NA(),IF(ISNUMBER('Real and nominal GDP'!K28),'Real and nominal GDP'!K28,NA())),NA())</f>
        <v>3.61666666666667</v>
      </c>
      <c r="M41" s="20" t="n">
        <f aca="false">IFERROR(D41/D37-1,NA())</f>
        <v>-0.0693273033861122</v>
      </c>
      <c r="N41" s="20" t="n">
        <f aca="false">IFERROR(D41/D40-1,NA())</f>
        <v>-0.036010336927025</v>
      </c>
      <c r="O41" s="20" t="n">
        <f aca="false">IFERROR(I41/I37-1,NA())</f>
        <v>0.0774441399632104</v>
      </c>
      <c r="P41" s="21" t="n">
        <f aca="false">IF(COUNT(D38:D41)=4,SUM(D38:D41),NA())</f>
        <v>2543641.666</v>
      </c>
      <c r="Q41" s="21" t="n">
        <f aca="false">IF(COUNT(I38:I41)=4,SUM(I38:I41),NA())</f>
        <v>4678534</v>
      </c>
      <c r="R41" s="21" t="n">
        <f aca="false">IFERROR(I41/K41,NA())</f>
        <v>313830.991849794</v>
      </c>
      <c r="S41" s="21" t="n">
        <f aca="false">IFERROR(I41/L41,NA())</f>
        <v>307550.322580645</v>
      </c>
      <c r="V41" s="22" t="n">
        <v>2024</v>
      </c>
      <c r="W41" s="23" t="n">
        <f aca="false">IF(SUMPRODUCT(($C$21:$C$233=$V$41)*ISNUMBER($D$21:$D$233))=0,NA(),SUMPRODUCT(($C$21:$C$233=$V$41)*IFERROR($D$21:$D$233,0)))</f>
        <v>2832521.346</v>
      </c>
      <c r="X41" s="23" t="n">
        <f aca="false">IF(SUMPRODUCT(($C$21:$C$233=$V$41)*ISNUMBER($E$21:$E$233))=0,NA(),SUMPRODUCT(($C$21:$C$233=$V$41)*IFERROR($E$21:$E$233,0)))</f>
        <v>2039418.507</v>
      </c>
      <c r="Y41" s="23" t="n">
        <f aca="false">IF(SUMPRODUCT(($C$21:$C$233=$V$41)*ISNUMBER($F$21:$F$233))=0,NA(),SUMPRODUCT(($C$21:$C$233=$V$41)*IFERROR($F$21:$F$233,0)))</f>
        <v>384240.874</v>
      </c>
      <c r="Z41" s="23" t="n">
        <f aca="false">IF(SUMPRODUCT(($C$21:$C$233=$V$41)*ISNUMBER($G$21:$G$233))=0,NA(),SUMPRODUCT(($C$21:$C$233=$V$41)*IFERROR($G$21:$G$233,0)))</f>
        <v>498170.627</v>
      </c>
      <c r="AA41" s="23" t="n">
        <f aca="false">IF(SUMPRODUCT(($C$21:$C$233=$V$41)*ISNUMBER($H$21:$H$233))=0,NA(),SUMPRODUCT(($C$21:$C$233=$V$41)*IFERROR($H$21:$H$233,0)))</f>
        <v>2832521.345</v>
      </c>
      <c r="AB41" s="23" t="n">
        <f aca="false">IF(SUMPRODUCT(($C$21:$C$233=$V$41)*ISNUMBER($I$21:$I$233))=0,NA(),SUMPRODUCT(($C$21:$C$233=$V$41)*IFERROR($I$21:$I$233,0)))</f>
        <v>2335638461</v>
      </c>
      <c r="AC41" s="23" t="n">
        <f aca="false">IF(SUMPRODUCT(($C$21:$C$233=$V$41)*ISNUMBER($J$21:$J$233))=0,NA(),SUMPRODUCT(($C$21:$C$233=$V$41)*IFERROR($J$21:$J$233,0))/SUMPRODUCT(($C$21:$C$233=$V$41)*ISNUMBER($J$21:$J$233)))</f>
        <v>6317.74131666667</v>
      </c>
      <c r="AD41" s="23" t="n">
        <f aca="false">IF(SUMPRODUCT(($C$21:$C$233=$V$41)*ISNUMBER($K$21:$K$233))=0,NA(),SUMPRODUCT(($C$21:$C$233=$V$41)*IFERROR($K$21:$K$233,0))/SUMPRODUCT(($C$21:$C$233=$V$41)*ISNUMBER($K$21:$K$233)))</f>
        <v>916.285090833333</v>
      </c>
      <c r="AE41" s="23" t="n">
        <f aca="false">IF(SUMPRODUCT(($C$21:$C$233=$V$41)*ISNUMBER($L$21:$L$233))=0,NA(),SUMPRODUCT(($C$21:$C$233=$V$41)*IFERROR($L$21:$L$233,0))/SUMPRODUCT(($C$21:$C$233=$V$41)*ISNUMBER($L$21:$L$233)))</f>
        <v>1174.06216666667</v>
      </c>
      <c r="AF41" s="20" t="n">
        <f aca="false">IFERROR(W41/W40-1,NA())</f>
        <v>-0.0134293070058577</v>
      </c>
    </row>
    <row r="42" customFormat="false" ht="15" hidden="false" customHeight="false" outlineLevel="0" collapsed="false">
      <c r="A42" s="16" t="n">
        <f aca="false">IFERROR(IF(ISNUMBER('Real and nominal GDP'!A29),'Real and nominal GDP'!A29,NA()),NA())</f>
        <v>39965</v>
      </c>
      <c r="B42" s="17" t="str">
        <f aca="false">IFERROR(IF('Real and nominal GDP'!B29="",NA(),'Real and nominal GDP'!B29),NA())</f>
        <v>092</v>
      </c>
      <c r="C42" s="18" t="n">
        <f aca="false">IFERROR(YEAR(A42),0)</f>
        <v>2009</v>
      </c>
      <c r="D42" s="19" t="n">
        <f aca="false">IFERROR(IF('Real and nominal GDP'!C29="",NA(),IF(ISNUMBER('Real and nominal GDP'!C29),'Real and nominal GDP'!C29,NA())),NA())</f>
        <v>590529.028</v>
      </c>
      <c r="E42" s="19" t="n">
        <f aca="false">IFERROR(IF('Real and nominal GDP'!D29="",NA(),IF(ISNUMBER('Real and nominal GDP'!D29),'Real and nominal GDP'!D29,NA())),NA())</f>
        <v>392881.86</v>
      </c>
      <c r="F42" s="19" t="n">
        <f aca="false">IFERROR(IF('Real and nominal GDP'!E29="",NA(),IF(ISNUMBER('Real and nominal GDP'!E29),'Real and nominal GDP'!E29,NA())),NA())</f>
        <v>71924.292</v>
      </c>
      <c r="G42" s="19" t="n">
        <f aca="false">IFERROR(IF('Real and nominal GDP'!F29="",NA(),IF(ISNUMBER('Real and nominal GDP'!F29),'Real and nominal GDP'!F29,NA())),NA())</f>
        <v>97931.009</v>
      </c>
      <c r="H42" s="19" t="n">
        <f aca="false">IFERROR(IF('Real and nominal GDP'!G29="",NA(),IF(ISNUMBER('Real and nominal GDP'!G29),'Real and nominal GDP'!G29,NA())),NA())</f>
        <v>631197.752</v>
      </c>
      <c r="I42" s="19" t="n">
        <f aca="false">IFERROR(IF('Real and nominal GDP'!H29="",NA(),IF(ISNUMBER('Real and nominal GDP'!H29),'Real and nominal GDP'!H29,NA())),NA())</f>
        <v>1251465</v>
      </c>
      <c r="J42" s="19" t="e">
        <f aca="false">IFERROR(IF('Real and nominal GDP'!I29="",NA(),IF(ISNUMBER('Real and nominal GDP'!I29),'Real and nominal GDP'!I29,NA())),NA())</f>
        <v>#N/A</v>
      </c>
      <c r="K42" s="19" t="n">
        <f aca="false">IFERROR(IF('Real and nominal GDP'!J29="",NA(),IF(ISNUMBER('Real and nominal GDP'!J29),'Real and nominal GDP'!J29,NA())),NA())</f>
        <v>3.72930333333333</v>
      </c>
      <c r="L42" s="19" t="n">
        <f aca="false">IFERROR(IF('Real and nominal GDP'!K29="",NA(),IF(ISNUMBER('Real and nominal GDP'!K29),'Real and nominal GDP'!K29,NA())),NA())</f>
        <v>3.781</v>
      </c>
      <c r="M42" s="20" t="n">
        <f aca="false">IFERROR(D42/D38-1,NA())</f>
        <v>-0.0963152448635606</v>
      </c>
      <c r="N42" s="20" t="n">
        <f aca="false">IFERROR(D42/D41-1,NA())</f>
        <v>-0.0238226092412122</v>
      </c>
      <c r="O42" s="20" t="n">
        <f aca="false">IFERROR(I42/I38-1,NA())</f>
        <v>0.0309601501956942</v>
      </c>
      <c r="P42" s="21" t="n">
        <f aca="false">IF(COUNT(D39:D42)=4,SUM(D39:D42),NA())</f>
        <v>2480702.74</v>
      </c>
      <c r="Q42" s="21" t="n">
        <f aca="false">IF(COUNT(I39:I42)=4,SUM(I39:I42),NA())</f>
        <v>4716116</v>
      </c>
      <c r="R42" s="21" t="n">
        <f aca="false">IFERROR(I42/K42,NA())</f>
        <v>335576.081681029</v>
      </c>
      <c r="S42" s="21" t="n">
        <f aca="false">IFERROR(I42/L42,NA())</f>
        <v>330987.833906374</v>
      </c>
      <c r="V42" s="22" t="n">
        <v>2025</v>
      </c>
      <c r="W42" s="23" t="n">
        <f aca="false">IF(SUMPRODUCT(($C$21:$C$233=$V$42)*ISNUMBER($D$21:$D$233))=0,NA(),SUMPRODUCT(($C$21:$C$233=$V$42)*IFERROR($D$21:$D$233,0)))</f>
        <v>2956226.993</v>
      </c>
      <c r="X42" s="23" t="n">
        <f aca="false">IF(SUMPRODUCT(($C$21:$C$233=$V$42)*ISNUMBER($E$21:$E$233))=0,NA(),SUMPRODUCT(($C$21:$C$233=$V$42)*IFERROR($E$21:$E$233,0)))</f>
        <v>2200003.543</v>
      </c>
      <c r="Y42" s="23" t="n">
        <f aca="false">IF(SUMPRODUCT(($C$21:$C$233=$V$42)*ISNUMBER($F$21:$F$233))=0,NA(),SUMPRODUCT(($C$21:$C$233=$V$42)*IFERROR($F$21:$F$233,0)))</f>
        <v>385090.318</v>
      </c>
      <c r="Z42" s="23" t="n">
        <f aca="false">IF(SUMPRODUCT(($C$21:$C$233=$V$42)*ISNUMBER($G$21:$G$233))=0,NA(),SUMPRODUCT(($C$21:$C$233=$V$42)*IFERROR($G$21:$G$233,0)))</f>
        <v>579660.592</v>
      </c>
      <c r="AA42" s="23" t="n">
        <f aca="false">IF(SUMPRODUCT(($C$21:$C$233=$V$42)*ISNUMBER($H$21:$H$233))=0,NA(),SUMPRODUCT(($C$21:$C$233=$V$42)*IFERROR($H$21:$H$233,0)))</f>
        <v>2956226.994</v>
      </c>
      <c r="AB42" s="23" t="n">
        <f aca="false">IF(SUMPRODUCT(($C$21:$C$233=$V$42)*ISNUMBER($I$21:$I$233))=0,NA(),SUMPRODUCT(($C$21:$C$233=$V$42)*IFERROR($I$21:$I$233,0)))</f>
        <v>3390491491</v>
      </c>
      <c r="AC42" s="23" t="n">
        <f aca="false">IF(SUMPRODUCT(($C$21:$C$233=$V$42)*ISNUMBER($J$21:$J$233))=0,NA(),SUMPRODUCT(($C$21:$C$233=$V$42)*IFERROR($J$21:$J$233,0))/SUMPRODUCT(($C$21:$C$233=$V$42)*ISNUMBER($J$21:$J$233)))</f>
        <v>8966.16653333333</v>
      </c>
      <c r="AD42" s="23" t="n">
        <f aca="false">IF(SUMPRODUCT(($C$21:$C$233=$V$42)*ISNUMBER($K$21:$K$233))=0,NA(),SUMPRODUCT(($C$21:$C$233=$V$42)*IFERROR($K$21:$K$233,0))/SUMPRODUCT(($C$21:$C$233=$V$42)*ISNUMBER($K$21:$K$233)))</f>
        <v>1244.53678416667</v>
      </c>
      <c r="AE42" s="23" t="n">
        <f aca="false">IF(SUMPRODUCT(($C$21:$C$233=$V$42)*ISNUMBER($L$21:$L$233))=0,NA(),SUMPRODUCT(($C$21:$C$233=$V$42)*IFERROR($L$21:$L$233,0))/SUMPRODUCT(($C$21:$C$233=$V$42)*ISNUMBER($L$21:$L$233)))</f>
        <v>1304.809</v>
      </c>
      <c r="AF42" s="20" t="n">
        <f aca="false">IFERROR(W42/W41-1,NA())</f>
        <v>0.0436733326563252</v>
      </c>
    </row>
    <row r="43" customFormat="false" ht="15" hidden="false" customHeight="false" outlineLevel="0" collapsed="false">
      <c r="A43" s="16" t="n">
        <f aca="false">IFERROR(IF(ISNUMBER('Real and nominal GDP'!A30),'Real and nominal GDP'!A30,NA()),NA())</f>
        <v>40057</v>
      </c>
      <c r="B43" s="17" t="str">
        <f aca="false">IFERROR(IF('Real and nominal GDP'!B30="",NA(),'Real and nominal GDP'!B30),NA())</f>
        <v>093</v>
      </c>
      <c r="C43" s="18" t="n">
        <f aca="false">IFERROR(YEAR(A43),0)</f>
        <v>2009</v>
      </c>
      <c r="D43" s="19" t="n">
        <f aca="false">IFERROR(IF('Real and nominal GDP'!C30="",NA(),IF(ISNUMBER('Real and nominal GDP'!C30),'Real and nominal GDP'!C30,NA())),NA())</f>
        <v>613800.257</v>
      </c>
      <c r="E43" s="19" t="n">
        <f aca="false">IFERROR(IF('Real and nominal GDP'!D30="",NA(),IF(ISNUMBER('Real and nominal GDP'!D30),'Real and nominal GDP'!D30,NA())),NA())</f>
        <v>426604.676</v>
      </c>
      <c r="F43" s="19" t="n">
        <f aca="false">IFERROR(IF('Real and nominal GDP'!E30="",NA(),IF(ISNUMBER('Real and nominal GDP'!E30),'Real and nominal GDP'!E30,NA())),NA())</f>
        <v>74810.009</v>
      </c>
      <c r="G43" s="19" t="n">
        <f aca="false">IFERROR(IF('Real and nominal GDP'!F30="",NA(),IF(ISNUMBER('Real and nominal GDP'!F30),'Real and nominal GDP'!F30,NA())),NA())</f>
        <v>103383.817</v>
      </c>
      <c r="H43" s="19" t="n">
        <f aca="false">IFERROR(IF('Real and nominal GDP'!G30="",NA(),IF(ISNUMBER('Real and nominal GDP'!G30),'Real and nominal GDP'!G30,NA())),NA())</f>
        <v>610519.855</v>
      </c>
      <c r="I43" s="19" t="n">
        <f aca="false">IFERROR(IF('Real and nominal GDP'!H30="",NA(),IF(ISNUMBER('Real and nominal GDP'!H30),'Real and nominal GDP'!H30,NA())),NA())</f>
        <v>1269735</v>
      </c>
      <c r="J43" s="19" t="e">
        <f aca="false">IFERROR(IF('Real and nominal GDP'!I30="",NA(),IF(ISNUMBER('Real and nominal GDP'!I30),'Real and nominal GDP'!I30,NA())),NA())</f>
        <v>#N/A</v>
      </c>
      <c r="K43" s="19" t="n">
        <f aca="false">IFERROR(IF('Real and nominal GDP'!J30="",NA(),IF(ISNUMBER('Real and nominal GDP'!J30),'Real and nominal GDP'!J30,NA())),NA())</f>
        <v>3.83043</v>
      </c>
      <c r="L43" s="19" t="n">
        <f aca="false">IFERROR(IF('Real and nominal GDP'!K30="",NA(),IF(ISNUMBER('Real and nominal GDP'!K30),'Real and nominal GDP'!K30,NA())),NA())</f>
        <v>3.857</v>
      </c>
      <c r="M43" s="20" t="n">
        <f aca="false">IFERROR(D43/D39-1,NA())</f>
        <v>-0.066740674698224</v>
      </c>
      <c r="N43" s="20" t="n">
        <f aca="false">IFERROR(D43/D42-1,NA())</f>
        <v>0.0394074260478181</v>
      </c>
      <c r="O43" s="20" t="n">
        <f aca="false">IFERROR(I43/I39-1,NA())</f>
        <v>0.0726903620198498</v>
      </c>
      <c r="P43" s="21" t="n">
        <f aca="false">IF(COUNT(D40:D43)=4,SUM(D40:D43),NA())</f>
        <v>2436807.713</v>
      </c>
      <c r="Q43" s="21" t="n">
        <f aca="false">IF(COUNT(I40:I43)=4,SUM(I40:I43),NA())</f>
        <v>4802159</v>
      </c>
      <c r="R43" s="21" t="n">
        <f aca="false">IFERROR(I43/K43,NA())</f>
        <v>331486.282218968</v>
      </c>
      <c r="S43" s="21" t="n">
        <f aca="false">IFERROR(I43/L43,NA())</f>
        <v>329202.748249935</v>
      </c>
      <c r="V43" s="22" t="n">
        <v>2026</v>
      </c>
      <c r="W43" s="23" t="e">
        <f aca="false">IF(SUMPRODUCT(($C$21:$C$233=$V$43)*ISNUMBER($D$21:$D$233))=0,NA(),SUMPRODUCT(($C$21:$C$233=$V$43)*IFERROR($D$21:$D$233,0)))</f>
        <v>#N/A</v>
      </c>
      <c r="X43" s="23" t="e">
        <f aca="false">IF(SUMPRODUCT(($C$21:$C$233=$V$43)*ISNUMBER($E$21:$E$233))=0,NA(),SUMPRODUCT(($C$21:$C$233=$V$43)*IFERROR($E$21:$E$233,0)))</f>
        <v>#N/A</v>
      </c>
      <c r="Y43" s="23" t="e">
        <f aca="false">IF(SUMPRODUCT(($C$21:$C$233=$V$43)*ISNUMBER($F$21:$F$233))=0,NA(),SUMPRODUCT(($C$21:$C$233=$V$43)*IFERROR($F$21:$F$233,0)))</f>
        <v>#N/A</v>
      </c>
      <c r="Z43" s="23" t="e">
        <f aca="false">IF(SUMPRODUCT(($C$21:$C$233=$V$43)*ISNUMBER($G$21:$G$233))=0,NA(),SUMPRODUCT(($C$21:$C$233=$V$43)*IFERROR($G$21:$G$233,0)))</f>
        <v>#N/A</v>
      </c>
      <c r="AA43" s="23" t="e">
        <f aca="false">IF(SUMPRODUCT(($C$21:$C$233=$V$43)*ISNUMBER($H$21:$H$233))=0,NA(),SUMPRODUCT(($C$21:$C$233=$V$43)*IFERROR($H$21:$H$233,0)))</f>
        <v>#N/A</v>
      </c>
      <c r="AB43" s="23" t="e">
        <f aca="false">IF(SUMPRODUCT(($C$21:$C$233=$V$43)*ISNUMBER($I$21:$I$233))=0,NA(),SUMPRODUCT(($C$21:$C$233=$V$43)*IFERROR($I$21:$I$233,0)))</f>
        <v>#N/A</v>
      </c>
      <c r="AC43" s="23" t="n">
        <f aca="false">IF(SUMPRODUCT(($C$21:$C$233=$V$43)*ISNUMBER($J$21:$J$233))=0,NA(),SUMPRODUCT(($C$21:$C$233=$V$43)*IFERROR($J$21:$J$233,0))/SUMPRODUCT(($C$21:$C$233=$V$43)*ISNUMBER($J$21:$J$233)))</f>
        <v>10734.9057333333</v>
      </c>
      <c r="AD43" s="23" t="n">
        <f aca="false">IF(SUMPRODUCT(($C$21:$C$233=$V$43)*ISNUMBER($K$21:$K$233))=0,NA(),SUMPRODUCT(($C$21:$C$233=$V$43)*IFERROR($K$21:$K$233,0))/SUMPRODUCT(($C$21:$C$233=$V$43)*ISNUMBER($K$21:$K$233)))</f>
        <v>1417.76375666667</v>
      </c>
      <c r="AE43" s="23" t="n">
        <f aca="false">IF(SUMPRODUCT(($C$21:$C$233=$V$43)*ISNUMBER($L$21:$L$233))=0,NA(),SUMPRODUCT(($C$21:$C$233=$V$43)*IFERROR($L$21:$L$233,0))/SUMPRODUCT(($C$21:$C$233=$V$43)*ISNUMBER($L$21:$L$233)))</f>
        <v>1443.68933333333</v>
      </c>
      <c r="AF43" s="20" t="e">
        <f aca="false">IFERROR(W43/W42-1,NA())</f>
        <v>#N/A</v>
      </c>
    </row>
    <row r="44" customFormat="false" ht="15" hidden="false" customHeight="false" outlineLevel="0" collapsed="false">
      <c r="A44" s="16" t="n">
        <f aca="false">IFERROR(IF(ISNUMBER('Real and nominal GDP'!A31),'Real and nominal GDP'!A31,NA()),NA())</f>
        <v>40148</v>
      </c>
      <c r="B44" s="17" t="str">
        <f aca="false">IFERROR(IF('Real and nominal GDP'!B31="",NA(),'Real and nominal GDP'!B31),NA())</f>
        <v>094</v>
      </c>
      <c r="C44" s="18" t="n">
        <f aca="false">IFERROR(YEAR(A44),0)</f>
        <v>2009</v>
      </c>
      <c r="D44" s="19" t="n">
        <f aca="false">IFERROR(IF('Real and nominal GDP'!C31="",NA(),IF(ISNUMBER('Real and nominal GDP'!C31),'Real and nominal GDP'!C31,NA())),NA())</f>
        <v>626221.937</v>
      </c>
      <c r="E44" s="19" t="n">
        <f aca="false">IFERROR(IF('Real and nominal GDP'!D31="",NA(),IF(ISNUMBER('Real and nominal GDP'!D31),'Real and nominal GDP'!D31,NA())),NA())</f>
        <v>420460.572</v>
      </c>
      <c r="F44" s="19" t="n">
        <f aca="false">IFERROR(IF('Real and nominal GDP'!E31="",NA(),IF(ISNUMBER('Real and nominal GDP'!E31),'Real and nominal GDP'!E31,NA())),NA())</f>
        <v>76276.492</v>
      </c>
      <c r="G44" s="19" t="n">
        <f aca="false">IFERROR(IF('Real and nominal GDP'!F31="",NA(),IF(ISNUMBER('Real and nominal GDP'!F31),'Real and nominal GDP'!F31,NA())),NA())</f>
        <v>109517.345</v>
      </c>
      <c r="H44" s="19" t="n">
        <f aca="false">IFERROR(IF('Real and nominal GDP'!G31="",NA(),IF(ISNUMBER('Real and nominal GDP'!G31),'Real and nominal GDP'!G31,NA())),NA())</f>
        <v>615220.855</v>
      </c>
      <c r="I44" s="19" t="n">
        <f aca="false">IFERROR(IF('Real and nominal GDP'!H31="",NA(),IF(ISNUMBER('Real and nominal GDP'!H31),'Real and nominal GDP'!H31,NA())),NA())</f>
        <v>1358210</v>
      </c>
      <c r="J44" s="19" t="e">
        <f aca="false">IFERROR(IF('Real and nominal GDP'!I31="",NA(),IF(ISNUMBER('Real and nominal GDP'!I31),'Real and nominal GDP'!I31,NA())),NA())</f>
        <v>#N/A</v>
      </c>
      <c r="K44" s="19" t="n">
        <f aca="false">IFERROR(IF('Real and nominal GDP'!J31="",NA(),IF(ISNUMBER('Real and nominal GDP'!J31),'Real and nominal GDP'!J31,NA())),NA())</f>
        <v>3.81442666666667</v>
      </c>
      <c r="L44" s="19" t="n">
        <f aca="false">IFERROR(IF('Real and nominal GDP'!K31="",NA(),IF(ISNUMBER('Real and nominal GDP'!K31),'Real and nominal GDP'!K31,NA())),NA())</f>
        <v>3.823</v>
      </c>
      <c r="M44" s="20" t="n">
        <f aca="false">IFERROR(D44/D40-1,NA())</f>
        <v>-0.00209741353985315</v>
      </c>
      <c r="N44" s="20" t="n">
        <f aca="false">IFERROR(D44/D43-1,NA())</f>
        <v>0.0202373326800351</v>
      </c>
      <c r="O44" s="20" t="n">
        <f aca="false">IFERROR(I44/I40-1,NA())</f>
        <v>0.162202263804794</v>
      </c>
      <c r="P44" s="21" t="n">
        <f aca="false">IF(COUNT(D41:D44)=4,SUM(D41:D44),NA())</f>
        <v>2435491.506</v>
      </c>
      <c r="Q44" s="21" t="n">
        <f aca="false">IF(COUNT(I41:I44)=4,SUM(I41:I44),NA())</f>
        <v>4991717</v>
      </c>
      <c r="R44" s="21" t="n">
        <f aca="false">IFERROR(I44/K44,NA())</f>
        <v>356071.860515517</v>
      </c>
      <c r="S44" s="21" t="n">
        <f aca="false">IFERROR(I44/L44,NA())</f>
        <v>355273.345540152</v>
      </c>
      <c r="V44" s="22" t="n">
        <v>2027</v>
      </c>
      <c r="W44" s="23" t="e">
        <f aca="false">IF(SUMPRODUCT(($C$21:$C$233=$V$44)*ISNUMBER($D$21:$D$233))=0,NA(),SUMPRODUCT(($C$21:$C$233=$V$44)*IFERROR($D$21:$D$233,0)))</f>
        <v>#N/A</v>
      </c>
      <c r="X44" s="23" t="e">
        <f aca="false">IF(SUMPRODUCT(($C$21:$C$233=$V$44)*ISNUMBER($E$21:$E$233))=0,NA(),SUMPRODUCT(($C$21:$C$233=$V$44)*IFERROR($E$21:$E$233,0)))</f>
        <v>#N/A</v>
      </c>
      <c r="Y44" s="23" t="e">
        <f aca="false">IF(SUMPRODUCT(($C$21:$C$233=$V$44)*ISNUMBER($F$21:$F$233))=0,NA(),SUMPRODUCT(($C$21:$C$233=$V$44)*IFERROR($F$21:$F$233,0)))</f>
        <v>#N/A</v>
      </c>
      <c r="Z44" s="23" t="e">
        <f aca="false">IF(SUMPRODUCT(($C$21:$C$233=$V$44)*ISNUMBER($G$21:$G$233))=0,NA(),SUMPRODUCT(($C$21:$C$233=$V$44)*IFERROR($G$21:$G$233,0)))</f>
        <v>#N/A</v>
      </c>
      <c r="AA44" s="23" t="e">
        <f aca="false">IF(SUMPRODUCT(($C$21:$C$233=$V$44)*ISNUMBER($H$21:$H$233))=0,NA(),SUMPRODUCT(($C$21:$C$233=$V$44)*IFERROR($H$21:$H$233,0)))</f>
        <v>#N/A</v>
      </c>
      <c r="AB44" s="23" t="e">
        <f aca="false">IF(SUMPRODUCT(($C$21:$C$233=$V$44)*ISNUMBER($I$21:$I$233))=0,NA(),SUMPRODUCT(($C$21:$C$233=$V$44)*IFERROR($I$21:$I$233,0)))</f>
        <v>#N/A</v>
      </c>
      <c r="AC44" s="23" t="e">
        <f aca="false">IF(SUMPRODUCT(($C$21:$C$233=$V$44)*ISNUMBER($J$21:$J$233))=0,NA(),SUMPRODUCT(($C$21:$C$233=$V$44)*IFERROR($J$21:$J$233,0))/SUMPRODUCT(($C$21:$C$233=$V$44)*ISNUMBER($J$21:$J$233)))</f>
        <v>#N/A</v>
      </c>
      <c r="AD44" s="23" t="e">
        <f aca="false">IF(SUMPRODUCT(($C$21:$C$233=$V$44)*ISNUMBER($K$21:$K$233))=0,NA(),SUMPRODUCT(($C$21:$C$233=$V$44)*IFERROR($K$21:$K$233,0))/SUMPRODUCT(($C$21:$C$233=$V$44)*ISNUMBER($K$21:$K$233)))</f>
        <v>#N/A</v>
      </c>
      <c r="AE44" s="23" t="e">
        <f aca="false">IF(SUMPRODUCT(($C$21:$C$233=$V$44)*ISNUMBER($L$21:$L$233))=0,NA(),SUMPRODUCT(($C$21:$C$233=$V$44)*IFERROR($L$21:$L$233,0))/SUMPRODUCT(($C$21:$C$233=$V$44)*ISNUMBER($L$21:$L$233)))</f>
        <v>#N/A</v>
      </c>
      <c r="AF44" s="20" t="e">
        <f aca="false">IFERROR(W44/W43-1,NA())</f>
        <v>#N/A</v>
      </c>
    </row>
    <row r="45" customFormat="false" ht="15" hidden="false" customHeight="false" outlineLevel="0" collapsed="false">
      <c r="A45" s="16" t="n">
        <f aca="false">IFERROR(IF(ISNUMBER('Real and nominal GDP'!A32),'Real and nominal GDP'!A32,NA()),NA())</f>
        <v>40238</v>
      </c>
      <c r="B45" s="17" t="str">
        <f aca="false">IFERROR(IF('Real and nominal GDP'!B32="",NA(),'Real and nominal GDP'!B32),NA())</f>
        <v>101</v>
      </c>
      <c r="C45" s="18" t="n">
        <f aca="false">IFERROR(YEAR(A45),0)</f>
        <v>2010</v>
      </c>
      <c r="D45" s="19" t="n">
        <f aca="false">IFERROR(IF('Real and nominal GDP'!C32="",NA(),IF(ISNUMBER('Real and nominal GDP'!C32),'Real and nominal GDP'!C32,NA())),NA())</f>
        <v>645513.997</v>
      </c>
      <c r="E45" s="19" t="n">
        <f aca="false">IFERROR(IF('Real and nominal GDP'!D32="",NA(),IF(ISNUMBER('Real and nominal GDP'!D32),'Real and nominal GDP'!D32,NA())),NA())</f>
        <v>440950.582</v>
      </c>
      <c r="F45" s="19" t="n">
        <f aca="false">IFERROR(IF('Real and nominal GDP'!E32="",NA(),IF(ISNUMBER('Real and nominal GDP'!E32),'Real and nominal GDP'!E32,NA())),NA())</f>
        <v>76147.371</v>
      </c>
      <c r="G45" s="19" t="n">
        <f aca="false">IFERROR(IF('Real and nominal GDP'!F32="",NA(),IF(ISNUMBER('Real and nominal GDP'!F32),'Real and nominal GDP'!F32,NA())),NA())</f>
        <v>118311.455</v>
      </c>
      <c r="H45" s="19" t="n">
        <f aca="false">IFERROR(IF('Real and nominal GDP'!G32="",NA(),IF(ISNUMBER('Real and nominal GDP'!G32),'Real and nominal GDP'!G32,NA())),NA())</f>
        <v>611607.337</v>
      </c>
      <c r="I45" s="19" t="n">
        <f aca="false">IFERROR(IF('Real and nominal GDP'!H32="",NA(),IF(ISNUMBER('Real and nominal GDP'!H32),'Real and nominal GDP'!H32,NA())),NA())</f>
        <v>1418858</v>
      </c>
      <c r="J45" s="19" t="e">
        <f aca="false">IFERROR(IF('Real and nominal GDP'!I32="",NA(),IF(ISNUMBER('Real and nominal GDP'!I32),'Real and nominal GDP'!I32,NA())),NA())</f>
        <v>#N/A</v>
      </c>
      <c r="K45" s="19" t="n">
        <f aca="false">IFERROR(IF('Real and nominal GDP'!J32="",NA(),IF(ISNUMBER('Real and nominal GDP'!J32),'Real and nominal GDP'!J32,NA())),NA())</f>
        <v>3.83917333333333</v>
      </c>
      <c r="L45" s="19" t="n">
        <f aca="false">IFERROR(IF('Real and nominal GDP'!K32="",NA(),IF(ISNUMBER('Real and nominal GDP'!K32),'Real and nominal GDP'!K32,NA())),NA())</f>
        <v>3.89966666666667</v>
      </c>
      <c r="M45" s="20" t="n">
        <f aca="false">IFERROR(D45/D41-1,NA())</f>
        <v>0.0670706085759698</v>
      </c>
      <c r="N45" s="20" t="n">
        <f aca="false">IFERROR(D45/D44-1,NA())</f>
        <v>0.0308070651316068</v>
      </c>
      <c r="O45" s="20" t="n">
        <f aca="false">IFERROR(I45/I41-1,NA())</f>
        <v>0.275599272503005</v>
      </c>
      <c r="P45" s="21" t="n">
        <f aca="false">IF(COUNT(D42:D45)=4,SUM(D42:D45),NA())</f>
        <v>2476065.219</v>
      </c>
      <c r="Q45" s="21" t="n">
        <f aca="false">IF(COUNT(I42:I45)=4,SUM(I42:I45),NA())</f>
        <v>5298268</v>
      </c>
      <c r="R45" s="21" t="n">
        <f aca="false">IFERROR(I45/K45,NA())</f>
        <v>369573.831866582</v>
      </c>
      <c r="S45" s="21" t="n">
        <f aca="false">IFERROR(I45/L45,NA())</f>
        <v>363840.84109753</v>
      </c>
      <c r="V45" s="22" t="n">
        <v>2028</v>
      </c>
      <c r="W45" s="23" t="e">
        <f aca="false">IF(SUMPRODUCT(($C$21:$C$233=$V$45)*ISNUMBER($D$21:$D$233))=0,NA(),SUMPRODUCT(($C$21:$C$233=$V$45)*IFERROR($D$21:$D$233,0)))</f>
        <v>#N/A</v>
      </c>
      <c r="X45" s="23" t="e">
        <f aca="false">IF(SUMPRODUCT(($C$21:$C$233=$V$45)*ISNUMBER($E$21:$E$233))=0,NA(),SUMPRODUCT(($C$21:$C$233=$V$45)*IFERROR($E$21:$E$233,0)))</f>
        <v>#N/A</v>
      </c>
      <c r="Y45" s="23" t="e">
        <f aca="false">IF(SUMPRODUCT(($C$21:$C$233=$V$45)*ISNUMBER($F$21:$F$233))=0,NA(),SUMPRODUCT(($C$21:$C$233=$V$45)*IFERROR($F$21:$F$233,0)))</f>
        <v>#N/A</v>
      </c>
      <c r="Z45" s="23" t="e">
        <f aca="false">IF(SUMPRODUCT(($C$21:$C$233=$V$45)*ISNUMBER($G$21:$G$233))=0,NA(),SUMPRODUCT(($C$21:$C$233=$V$45)*IFERROR($G$21:$G$233,0)))</f>
        <v>#N/A</v>
      </c>
      <c r="AA45" s="23" t="e">
        <f aca="false">IF(SUMPRODUCT(($C$21:$C$233=$V$45)*ISNUMBER($H$21:$H$233))=0,NA(),SUMPRODUCT(($C$21:$C$233=$V$45)*IFERROR($H$21:$H$233,0)))</f>
        <v>#N/A</v>
      </c>
      <c r="AB45" s="23" t="e">
        <f aca="false">IF(SUMPRODUCT(($C$21:$C$233=$V$45)*ISNUMBER($I$21:$I$233))=0,NA(),SUMPRODUCT(($C$21:$C$233=$V$45)*IFERROR($I$21:$I$233,0)))</f>
        <v>#N/A</v>
      </c>
      <c r="AC45" s="23" t="e">
        <f aca="false">IF(SUMPRODUCT(($C$21:$C$233=$V$45)*ISNUMBER($J$21:$J$233))=0,NA(),SUMPRODUCT(($C$21:$C$233=$V$45)*IFERROR($J$21:$J$233,0))/SUMPRODUCT(($C$21:$C$233=$V$45)*ISNUMBER($J$21:$J$233)))</f>
        <v>#N/A</v>
      </c>
      <c r="AD45" s="23" t="e">
        <f aca="false">IF(SUMPRODUCT(($C$21:$C$233=$V$45)*ISNUMBER($K$21:$K$233))=0,NA(),SUMPRODUCT(($C$21:$C$233=$V$45)*IFERROR($K$21:$K$233,0))/SUMPRODUCT(($C$21:$C$233=$V$45)*ISNUMBER($K$21:$K$233)))</f>
        <v>#N/A</v>
      </c>
      <c r="AE45" s="23" t="e">
        <f aca="false">IF(SUMPRODUCT(($C$21:$C$233=$V$45)*ISNUMBER($L$21:$L$233))=0,NA(),SUMPRODUCT(($C$21:$C$233=$V$45)*IFERROR($L$21:$L$233,0))/SUMPRODUCT(($C$21:$C$233=$V$45)*ISNUMBER($L$21:$L$233)))</f>
        <v>#N/A</v>
      </c>
      <c r="AF45" s="20" t="e">
        <f aca="false">IFERROR(W45/W44-1,NA())</f>
        <v>#N/A</v>
      </c>
    </row>
    <row r="46" customFormat="false" ht="15" hidden="false" customHeight="false" outlineLevel="0" collapsed="false">
      <c r="A46" s="16" t="n">
        <f aca="false">IFERROR(IF(ISNUMBER('Real and nominal GDP'!A33),'Real and nominal GDP'!A33,NA()),NA())</f>
        <v>40330</v>
      </c>
      <c r="B46" s="17" t="str">
        <f aca="false">IFERROR(IF('Real and nominal GDP'!B33="",NA(),'Real and nominal GDP'!B33),NA())</f>
        <v>102</v>
      </c>
      <c r="C46" s="18" t="n">
        <f aca="false">IFERROR(YEAR(A46),0)</f>
        <v>2010</v>
      </c>
      <c r="D46" s="19" t="n">
        <f aca="false">IFERROR(IF('Real and nominal GDP'!C33="",NA(),IF(ISNUMBER('Real and nominal GDP'!C33),'Real and nominal GDP'!C33,NA())),NA())</f>
        <v>674164.235</v>
      </c>
      <c r="E46" s="19" t="n">
        <f aca="false">IFERROR(IF('Real and nominal GDP'!D33="",NA(),IF(ISNUMBER('Real and nominal GDP'!D33),'Real and nominal GDP'!D33,NA())),NA())</f>
        <v>457719.237</v>
      </c>
      <c r="F46" s="19" t="n">
        <f aca="false">IFERROR(IF('Real and nominal GDP'!E33="",NA(),IF(ISNUMBER('Real and nominal GDP'!E33),'Real and nominal GDP'!E33,NA())),NA())</f>
        <v>77531.513</v>
      </c>
      <c r="G46" s="19" t="n">
        <f aca="false">IFERROR(IF('Real and nominal GDP'!F33="",NA(),IF(ISNUMBER('Real and nominal GDP'!F33),'Real and nominal GDP'!F33,NA())),NA())</f>
        <v>129032.371</v>
      </c>
      <c r="H46" s="19" t="n">
        <f aca="false">IFERROR(IF('Real and nominal GDP'!G33="",NA(),IF(ISNUMBER('Real and nominal GDP'!G33),'Real and nominal GDP'!G33,NA())),NA())</f>
        <v>733730.774</v>
      </c>
      <c r="I46" s="19" t="n">
        <f aca="false">IFERROR(IF('Real and nominal GDP'!H33="",NA(),IF(ISNUMBER('Real and nominal GDP'!H33),'Real and nominal GDP'!H33,NA())),NA())</f>
        <v>1686067</v>
      </c>
      <c r="J46" s="19" t="e">
        <f aca="false">IFERROR(IF('Real and nominal GDP'!I33="",NA(),IF(ISNUMBER('Real and nominal GDP'!I33),'Real and nominal GDP'!I33,NA())),NA())</f>
        <v>#N/A</v>
      </c>
      <c r="K46" s="19" t="n">
        <f aca="false">IFERROR(IF('Real and nominal GDP'!J33="",NA(),IF(ISNUMBER('Real and nominal GDP'!J33),'Real and nominal GDP'!J33,NA())),NA())</f>
        <v>3.90137666666667</v>
      </c>
      <c r="L46" s="19" t="n">
        <f aca="false">IFERROR(IF('Real and nominal GDP'!K33="",NA(),IF(ISNUMBER('Real and nominal GDP'!K33),'Real and nominal GDP'!K33,NA())),NA())</f>
        <v>3.95</v>
      </c>
      <c r="M46" s="20" t="n">
        <f aca="false">IFERROR(D46/D42-1,NA())</f>
        <v>0.141627596670828</v>
      </c>
      <c r="N46" s="20" t="n">
        <f aca="false">IFERROR(D46/D45-1,NA())</f>
        <v>0.0443836045897545</v>
      </c>
      <c r="O46" s="20" t="n">
        <f aca="false">IFERROR(I46/I42-1,NA())</f>
        <v>0.347274594175626</v>
      </c>
      <c r="P46" s="21" t="n">
        <f aca="false">IF(COUNT(D43:D46)=4,SUM(D43:D46),NA())</f>
        <v>2559700.426</v>
      </c>
      <c r="Q46" s="21" t="n">
        <f aca="false">IF(COUNT(I43:I46)=4,SUM(I43:I46),NA())</f>
        <v>5732870</v>
      </c>
      <c r="R46" s="21" t="n">
        <f aca="false">IFERROR(I46/K46,NA())</f>
        <v>432172.318660165</v>
      </c>
      <c r="S46" s="21" t="n">
        <f aca="false">IFERROR(I46/L46,NA())</f>
        <v>426852.405063291</v>
      </c>
      <c r="V46" s="22" t="n">
        <v>2029</v>
      </c>
      <c r="W46" s="23" t="e">
        <f aca="false">IF(SUMPRODUCT(($C$21:$C$233=$V$46)*ISNUMBER($D$21:$D$233))=0,NA(),SUMPRODUCT(($C$21:$C$233=$V$46)*IFERROR($D$21:$D$233,0)))</f>
        <v>#N/A</v>
      </c>
      <c r="X46" s="23" t="e">
        <f aca="false">IF(SUMPRODUCT(($C$21:$C$233=$V$46)*ISNUMBER($E$21:$E$233))=0,NA(),SUMPRODUCT(($C$21:$C$233=$V$46)*IFERROR($E$21:$E$233,0)))</f>
        <v>#N/A</v>
      </c>
      <c r="Y46" s="23" t="e">
        <f aca="false">IF(SUMPRODUCT(($C$21:$C$233=$V$46)*ISNUMBER($F$21:$F$233))=0,NA(),SUMPRODUCT(($C$21:$C$233=$V$46)*IFERROR($F$21:$F$233,0)))</f>
        <v>#N/A</v>
      </c>
      <c r="Z46" s="23" t="e">
        <f aca="false">IF(SUMPRODUCT(($C$21:$C$233=$V$46)*ISNUMBER($G$21:$G$233))=0,NA(),SUMPRODUCT(($C$21:$C$233=$V$46)*IFERROR($G$21:$G$233,0)))</f>
        <v>#N/A</v>
      </c>
      <c r="AA46" s="23" t="e">
        <f aca="false">IF(SUMPRODUCT(($C$21:$C$233=$V$46)*ISNUMBER($H$21:$H$233))=0,NA(),SUMPRODUCT(($C$21:$C$233=$V$46)*IFERROR($H$21:$H$233,0)))</f>
        <v>#N/A</v>
      </c>
      <c r="AB46" s="23" t="e">
        <f aca="false">IF(SUMPRODUCT(($C$21:$C$233=$V$46)*ISNUMBER($I$21:$I$233))=0,NA(),SUMPRODUCT(($C$21:$C$233=$V$46)*IFERROR($I$21:$I$233,0)))</f>
        <v>#N/A</v>
      </c>
      <c r="AC46" s="23" t="e">
        <f aca="false">IF(SUMPRODUCT(($C$21:$C$233=$V$46)*ISNUMBER($J$21:$J$233))=0,NA(),SUMPRODUCT(($C$21:$C$233=$V$46)*IFERROR($J$21:$J$233,0))/SUMPRODUCT(($C$21:$C$233=$V$46)*ISNUMBER($J$21:$J$233)))</f>
        <v>#N/A</v>
      </c>
      <c r="AD46" s="23" t="e">
        <f aca="false">IF(SUMPRODUCT(($C$21:$C$233=$V$46)*ISNUMBER($K$21:$K$233))=0,NA(),SUMPRODUCT(($C$21:$C$233=$V$46)*IFERROR($K$21:$K$233,0))/SUMPRODUCT(($C$21:$C$233=$V$46)*ISNUMBER($K$21:$K$233)))</f>
        <v>#N/A</v>
      </c>
      <c r="AE46" s="23" t="e">
        <f aca="false">IF(SUMPRODUCT(($C$21:$C$233=$V$46)*ISNUMBER($L$21:$L$233))=0,NA(),SUMPRODUCT(($C$21:$C$233=$V$46)*IFERROR($L$21:$L$233,0))/SUMPRODUCT(($C$21:$C$233=$V$46)*ISNUMBER($L$21:$L$233)))</f>
        <v>#N/A</v>
      </c>
      <c r="AF46" s="20" t="e">
        <f aca="false">IFERROR(W46/W45-1,NA())</f>
        <v>#N/A</v>
      </c>
    </row>
    <row r="47" customFormat="false" ht="15" hidden="false" customHeight="false" outlineLevel="0" collapsed="false">
      <c r="A47" s="16" t="n">
        <f aca="false">IFERROR(IF(ISNUMBER('Real and nominal GDP'!A34),'Real and nominal GDP'!A34,NA()),NA())</f>
        <v>40422</v>
      </c>
      <c r="B47" s="17" t="str">
        <f aca="false">IFERROR(IF('Real and nominal GDP'!B34="",NA(),'Real and nominal GDP'!B34),NA())</f>
        <v>103</v>
      </c>
      <c r="C47" s="18" t="n">
        <f aca="false">IFERROR(YEAR(A47),0)</f>
        <v>2010</v>
      </c>
      <c r="D47" s="19" t="n">
        <f aca="false">IFERROR(IF('Real and nominal GDP'!C34="",NA(),IF(ISNUMBER('Real and nominal GDP'!C34),'Real and nominal GDP'!C34,NA())),NA())</f>
        <v>676995.54</v>
      </c>
      <c r="E47" s="19" t="n">
        <f aca="false">IFERROR(IF('Real and nominal GDP'!D34="",NA(),IF(ISNUMBER('Real and nominal GDP'!D34),'Real and nominal GDP'!D34,NA())),NA())</f>
        <v>462315.451</v>
      </c>
      <c r="F47" s="19" t="n">
        <f aca="false">IFERROR(IF('Real and nominal GDP'!E34="",NA(),IF(ISNUMBER('Real and nominal GDP'!E34),'Real and nominal GDP'!E34,NA())),NA())</f>
        <v>76551.465</v>
      </c>
      <c r="G47" s="19" t="n">
        <f aca="false">IFERROR(IF('Real and nominal GDP'!F34="",NA(),IF(ISNUMBER('Real and nominal GDP'!F34),'Real and nominal GDP'!F34,NA())),NA())</f>
        <v>133774.825</v>
      </c>
      <c r="H47" s="19" t="n">
        <f aca="false">IFERROR(IF('Real and nominal GDP'!G34="",NA(),IF(ISNUMBER('Real and nominal GDP'!G34),'Real and nominal GDP'!G34,NA())),NA())</f>
        <v>668566.509</v>
      </c>
      <c r="I47" s="19" t="n">
        <f aca="false">IFERROR(IF('Real and nominal GDP'!H34="",NA(),IF(ISNUMBER('Real and nominal GDP'!H34),'Real and nominal GDP'!H34,NA())),NA())</f>
        <v>1712835</v>
      </c>
      <c r="J47" s="19" t="e">
        <f aca="false">IFERROR(IF('Real and nominal GDP'!I34="",NA(),IF(ISNUMBER('Real and nominal GDP'!I34),'Real and nominal GDP'!I34,NA())),NA())</f>
        <v>#N/A</v>
      </c>
      <c r="K47" s="19" t="n">
        <f aca="false">IFERROR(IF('Real and nominal GDP'!J34="",NA(),IF(ISNUMBER('Real and nominal GDP'!J34),'Real and nominal GDP'!J34,NA())),NA())</f>
        <v>3.94155</v>
      </c>
      <c r="L47" s="19" t="n">
        <f aca="false">IFERROR(IF('Real and nominal GDP'!K34="",NA(),IF(ISNUMBER('Real and nominal GDP'!K34),'Real and nominal GDP'!K34,NA())),NA())</f>
        <v>4.00666666666667</v>
      </c>
      <c r="M47" s="20" t="n">
        <f aca="false">IFERROR(D47/D43-1,NA())</f>
        <v>0.102957407200955</v>
      </c>
      <c r="N47" s="20" t="n">
        <f aca="false">IFERROR(D47/D46-1,NA())</f>
        <v>0.0041997259021016</v>
      </c>
      <c r="O47" s="20" t="n">
        <f aca="false">IFERROR(I47/I43-1,NA())</f>
        <v>0.348970454464908</v>
      </c>
      <c r="P47" s="21" t="n">
        <f aca="false">IF(COUNT(D44:D47)=4,SUM(D44:D47),NA())</f>
        <v>2622895.709</v>
      </c>
      <c r="Q47" s="21" t="n">
        <f aca="false">IF(COUNT(I44:I47)=4,SUM(I44:I47),NA())</f>
        <v>6175970</v>
      </c>
      <c r="R47" s="21" t="n">
        <f aca="false">IFERROR(I47/K47,NA())</f>
        <v>434558.739582144</v>
      </c>
      <c r="S47" s="21" t="n">
        <f aca="false">IFERROR(I47/L47,NA())</f>
        <v>427496.256239601</v>
      </c>
      <c r="V47" s="22" t="n">
        <v>2030</v>
      </c>
      <c r="W47" s="23" t="e">
        <f aca="false">IF(SUMPRODUCT(($C$21:$C$233=$V$47)*ISNUMBER($D$21:$D$233))=0,NA(),SUMPRODUCT(($C$21:$C$233=$V$47)*IFERROR($D$21:$D$233,0)))</f>
        <v>#N/A</v>
      </c>
      <c r="X47" s="23" t="e">
        <f aca="false">IF(SUMPRODUCT(($C$21:$C$233=$V$47)*ISNUMBER($E$21:$E$233))=0,NA(),SUMPRODUCT(($C$21:$C$233=$V$47)*IFERROR($E$21:$E$233,0)))</f>
        <v>#N/A</v>
      </c>
      <c r="Y47" s="23" t="e">
        <f aca="false">IF(SUMPRODUCT(($C$21:$C$233=$V$47)*ISNUMBER($F$21:$F$233))=0,NA(),SUMPRODUCT(($C$21:$C$233=$V$47)*IFERROR($F$21:$F$233,0)))</f>
        <v>#N/A</v>
      </c>
      <c r="Z47" s="23" t="e">
        <f aca="false">IF(SUMPRODUCT(($C$21:$C$233=$V$47)*ISNUMBER($G$21:$G$233))=0,NA(),SUMPRODUCT(($C$21:$C$233=$V$47)*IFERROR($G$21:$G$233,0)))</f>
        <v>#N/A</v>
      </c>
      <c r="AA47" s="23" t="e">
        <f aca="false">IF(SUMPRODUCT(($C$21:$C$233=$V$47)*ISNUMBER($H$21:$H$233))=0,NA(),SUMPRODUCT(($C$21:$C$233=$V$47)*IFERROR($H$21:$H$233,0)))</f>
        <v>#N/A</v>
      </c>
      <c r="AB47" s="23" t="e">
        <f aca="false">IF(SUMPRODUCT(($C$21:$C$233=$V$47)*ISNUMBER($I$21:$I$233))=0,NA(),SUMPRODUCT(($C$21:$C$233=$V$47)*IFERROR($I$21:$I$233,0)))</f>
        <v>#N/A</v>
      </c>
      <c r="AC47" s="23" t="e">
        <f aca="false">IF(SUMPRODUCT(($C$21:$C$233=$V$47)*ISNUMBER($J$21:$J$233))=0,NA(),SUMPRODUCT(($C$21:$C$233=$V$47)*IFERROR($J$21:$J$233,0))/SUMPRODUCT(($C$21:$C$233=$V$47)*ISNUMBER($J$21:$J$233)))</f>
        <v>#N/A</v>
      </c>
      <c r="AD47" s="23" t="e">
        <f aca="false">IF(SUMPRODUCT(($C$21:$C$233=$V$47)*ISNUMBER($K$21:$K$233))=0,NA(),SUMPRODUCT(($C$21:$C$233=$V$47)*IFERROR($K$21:$K$233,0))/SUMPRODUCT(($C$21:$C$233=$V$47)*ISNUMBER($K$21:$K$233)))</f>
        <v>#N/A</v>
      </c>
      <c r="AE47" s="23" t="e">
        <f aca="false">IF(SUMPRODUCT(($C$21:$C$233=$V$47)*ISNUMBER($L$21:$L$233))=0,NA(),SUMPRODUCT(($C$21:$C$233=$V$47)*IFERROR($L$21:$L$233,0))/SUMPRODUCT(($C$21:$C$233=$V$47)*ISNUMBER($L$21:$L$233)))</f>
        <v>#N/A</v>
      </c>
      <c r="AF47" s="20" t="e">
        <f aca="false">IFERROR(W47/W46-1,NA())</f>
        <v>#N/A</v>
      </c>
    </row>
    <row r="48" customFormat="false" ht="15" hidden="false" customHeight="false" outlineLevel="0" collapsed="false">
      <c r="A48" s="16" t="n">
        <f aca="false">IFERROR(IF(ISNUMBER('Real and nominal GDP'!A35),'Real and nominal GDP'!A35,NA()),NA())</f>
        <v>40513</v>
      </c>
      <c r="B48" s="17" t="str">
        <f aca="false">IFERROR(IF('Real and nominal GDP'!B35="",NA(),'Real and nominal GDP'!B35),NA())</f>
        <v>104</v>
      </c>
      <c r="C48" s="18" t="n">
        <f aca="false">IFERROR(YEAR(A48),0)</f>
        <v>2010</v>
      </c>
      <c r="D48" s="19" t="n">
        <f aca="false">IFERROR(IF('Real and nominal GDP'!C35="",NA(),IF(ISNUMBER('Real and nominal GDP'!C35),'Real and nominal GDP'!C35,NA())),NA())</f>
        <v>685420.945</v>
      </c>
      <c r="E48" s="19" t="n">
        <f aca="false">IFERROR(IF('Real and nominal GDP'!D35="",NA(),IF(ISNUMBER('Real and nominal GDP'!D35),'Real and nominal GDP'!D35,NA())),NA())</f>
        <v>473715.394</v>
      </c>
      <c r="F48" s="19" t="n">
        <f aca="false">IFERROR(IF('Real and nominal GDP'!E35="",NA(),IF(ISNUMBER('Real and nominal GDP'!E35),'Real and nominal GDP'!E35,NA())),NA())</f>
        <v>79758.041</v>
      </c>
      <c r="G48" s="19" t="n">
        <f aca="false">IFERROR(IF('Real and nominal GDP'!F35="",NA(),IF(ISNUMBER('Real and nominal GDP'!F35),'Real and nominal GDP'!F35,NA())),NA())</f>
        <v>142264.382</v>
      </c>
      <c r="H48" s="19" t="n">
        <f aca="false">IFERROR(IF('Real and nominal GDP'!G35="",NA(),IF(ISNUMBER('Real and nominal GDP'!G35),'Real and nominal GDP'!G35,NA())),NA())</f>
        <v>668190.098</v>
      </c>
      <c r="I48" s="19" t="n">
        <f aca="false">IFERROR(IF('Real and nominal GDP'!H35="",NA(),IF(ISNUMBER('Real and nominal GDP'!H35),'Real and nominal GDP'!H35,NA())),NA())</f>
        <v>1829124</v>
      </c>
      <c r="J48" s="19" t="e">
        <f aca="false">IFERROR(IF('Real and nominal GDP'!I35="",NA(),IF(ISNUMBER('Real and nominal GDP'!I35),'Real and nominal GDP'!I35,NA())),NA())</f>
        <v>#N/A</v>
      </c>
      <c r="K48" s="19" t="n">
        <f aca="false">IFERROR(IF('Real and nominal GDP'!J35="",NA(),IF(ISNUMBER('Real and nominal GDP'!J35),'Real and nominal GDP'!J35,NA())),NA())</f>
        <v>3.96725</v>
      </c>
      <c r="L48" s="19" t="n">
        <f aca="false">IFERROR(IF('Real and nominal GDP'!K35="",NA(),IF(ISNUMBER('Real and nominal GDP'!K35),'Real and nominal GDP'!K35,NA())),NA())</f>
        <v>4.04366666666667</v>
      </c>
      <c r="M48" s="20" t="n">
        <f aca="false">IFERROR(D48/D44-1,NA())</f>
        <v>0.0945335902533224</v>
      </c>
      <c r="N48" s="20" t="n">
        <f aca="false">IFERROR(D48/D47-1,NA())</f>
        <v>0.0124452887828477</v>
      </c>
      <c r="O48" s="20" t="n">
        <f aca="false">IFERROR(I48/I44-1,NA())</f>
        <v>0.346716634393798</v>
      </c>
      <c r="P48" s="21" t="n">
        <f aca="false">IF(COUNT(D45:D48)=4,SUM(D45:D48),NA())</f>
        <v>2682094.717</v>
      </c>
      <c r="Q48" s="21" t="n">
        <f aca="false">IF(COUNT(I45:I48)=4,SUM(I45:I48),NA())</f>
        <v>6646884</v>
      </c>
      <c r="R48" s="21" t="n">
        <f aca="false">IFERROR(I48/K48,NA())</f>
        <v>461055.895141471</v>
      </c>
      <c r="S48" s="21" t="n">
        <f aca="false">IFERROR(I48/L48,NA())</f>
        <v>452342.923089605</v>
      </c>
      <c r="V48" s="22" t="n">
        <v>2031</v>
      </c>
      <c r="W48" s="23" t="e">
        <f aca="false">IF(SUMPRODUCT(($C$21:$C$233=$V$48)*ISNUMBER($D$21:$D$233))=0,NA(),SUMPRODUCT(($C$21:$C$233=$V$48)*IFERROR($D$21:$D$233,0)))</f>
        <v>#N/A</v>
      </c>
      <c r="X48" s="23" t="e">
        <f aca="false">IF(SUMPRODUCT(($C$21:$C$233=$V$48)*ISNUMBER($E$21:$E$233))=0,NA(),SUMPRODUCT(($C$21:$C$233=$V$48)*IFERROR($E$21:$E$233,0)))</f>
        <v>#N/A</v>
      </c>
      <c r="Y48" s="23" t="e">
        <f aca="false">IF(SUMPRODUCT(($C$21:$C$233=$V$48)*ISNUMBER($F$21:$F$233))=0,NA(),SUMPRODUCT(($C$21:$C$233=$V$48)*IFERROR($F$21:$F$233,0)))</f>
        <v>#N/A</v>
      </c>
      <c r="Z48" s="23" t="e">
        <f aca="false">IF(SUMPRODUCT(($C$21:$C$233=$V$48)*ISNUMBER($G$21:$G$233))=0,NA(),SUMPRODUCT(($C$21:$C$233=$V$48)*IFERROR($G$21:$G$233,0)))</f>
        <v>#N/A</v>
      </c>
      <c r="AA48" s="23" t="e">
        <f aca="false">IF(SUMPRODUCT(($C$21:$C$233=$V$48)*ISNUMBER($H$21:$H$233))=0,NA(),SUMPRODUCT(($C$21:$C$233=$V$48)*IFERROR($H$21:$H$233,0)))</f>
        <v>#N/A</v>
      </c>
      <c r="AB48" s="23" t="e">
        <f aca="false">IF(SUMPRODUCT(($C$21:$C$233=$V$48)*ISNUMBER($I$21:$I$233))=0,NA(),SUMPRODUCT(($C$21:$C$233=$V$48)*IFERROR($I$21:$I$233,0)))</f>
        <v>#N/A</v>
      </c>
      <c r="AC48" s="23" t="e">
        <f aca="false">IF(SUMPRODUCT(($C$21:$C$233=$V$48)*ISNUMBER($J$21:$J$233))=0,NA(),SUMPRODUCT(($C$21:$C$233=$V$48)*IFERROR($J$21:$J$233,0))/SUMPRODUCT(($C$21:$C$233=$V$48)*ISNUMBER($J$21:$J$233)))</f>
        <v>#N/A</v>
      </c>
      <c r="AD48" s="23" t="e">
        <f aca="false">IF(SUMPRODUCT(($C$21:$C$233=$V$48)*ISNUMBER($K$21:$K$233))=0,NA(),SUMPRODUCT(($C$21:$C$233=$V$48)*IFERROR($K$21:$K$233,0))/SUMPRODUCT(($C$21:$C$233=$V$48)*ISNUMBER($K$21:$K$233)))</f>
        <v>#N/A</v>
      </c>
      <c r="AE48" s="23" t="e">
        <f aca="false">IF(SUMPRODUCT(($C$21:$C$233=$V$48)*ISNUMBER($L$21:$L$233))=0,NA(),SUMPRODUCT(($C$21:$C$233=$V$48)*IFERROR($L$21:$L$233,0))/SUMPRODUCT(($C$21:$C$233=$V$48)*ISNUMBER($L$21:$L$233)))</f>
        <v>#N/A</v>
      </c>
      <c r="AF48" s="20" t="e">
        <f aca="false">IFERROR(W48/W47-1,NA())</f>
        <v>#N/A</v>
      </c>
    </row>
    <row r="49" customFormat="false" ht="15" hidden="false" customHeight="false" outlineLevel="0" collapsed="false">
      <c r="A49" s="16" t="n">
        <f aca="false">IFERROR(IF(ISNUMBER('Real and nominal GDP'!A36),'Real and nominal GDP'!A36,NA()),NA())</f>
        <v>40603</v>
      </c>
      <c r="B49" s="17" t="str">
        <f aca="false">IFERROR(IF('Real and nominal GDP'!B36="",NA(),'Real and nominal GDP'!B36),NA())</f>
        <v>111</v>
      </c>
      <c r="C49" s="18" t="n">
        <f aca="false">IFERROR(YEAR(A49),0)</f>
        <v>2011</v>
      </c>
      <c r="D49" s="19" t="n">
        <f aca="false">IFERROR(IF('Real and nominal GDP'!C36="",NA(),IF(ISNUMBER('Real and nominal GDP'!C36),'Real and nominal GDP'!C36,NA())),NA())</f>
        <v>701686.921</v>
      </c>
      <c r="E49" s="19" t="n">
        <f aca="false">IFERROR(IF('Real and nominal GDP'!D36="",NA(),IF(ISNUMBER('Real and nominal GDP'!D36),'Real and nominal GDP'!D36,NA())),NA())</f>
        <v>488345.016</v>
      </c>
      <c r="F49" s="19" t="n">
        <f aca="false">IFERROR(IF('Real and nominal GDP'!E36="",NA(),IF(ISNUMBER('Real and nominal GDP'!E36),'Real and nominal GDP'!E36,NA())),NA())</f>
        <v>79621.178</v>
      </c>
      <c r="G49" s="19" t="n">
        <f aca="false">IFERROR(IF('Real and nominal GDP'!F36="",NA(),IF(ISNUMBER('Real and nominal GDP'!F36),'Real and nominal GDP'!F36,NA())),NA())</f>
        <v>149901.36</v>
      </c>
      <c r="H49" s="19" t="n">
        <f aca="false">IFERROR(IF('Real and nominal GDP'!G36="",NA(),IF(ISNUMBER('Real and nominal GDP'!G36),'Real and nominal GDP'!G36,NA())),NA())</f>
        <v>662325.586</v>
      </c>
      <c r="I49" s="19" t="n">
        <f aca="false">IFERROR(IF('Real and nominal GDP'!H36="",NA(),IF(ISNUMBER('Real and nominal GDP'!H36),'Real and nominal GDP'!H36,NA())),NA())</f>
        <v>1888827</v>
      </c>
      <c r="J49" s="19" t="e">
        <f aca="false">IFERROR(IF('Real and nominal GDP'!I36="",NA(),IF(ISNUMBER('Real and nominal GDP'!I36),'Real and nominal GDP'!I36,NA())),NA())</f>
        <v>#N/A</v>
      </c>
      <c r="K49" s="19" t="n">
        <f aca="false">IFERROR(IF('Real and nominal GDP'!J36="",NA(),IF(ISNUMBER('Real and nominal GDP'!J36),'Real and nominal GDP'!J36,NA())),NA())</f>
        <v>4.01408</v>
      </c>
      <c r="L49" s="19" t="n">
        <f aca="false">IFERROR(IF('Real and nominal GDP'!K36="",NA(),IF(ISNUMBER('Real and nominal GDP'!K36),'Real and nominal GDP'!K36,NA())),NA())</f>
        <v>4.143</v>
      </c>
      <c r="M49" s="20" t="n">
        <f aca="false">IFERROR(D49/D45-1,NA())</f>
        <v>0.0870204585199723</v>
      </c>
      <c r="N49" s="20" t="n">
        <f aca="false">IFERROR(D49/D48-1,NA())</f>
        <v>0.0237313670068837</v>
      </c>
      <c r="O49" s="20" t="n">
        <f aca="false">IFERROR(I49/I45-1,NA())</f>
        <v>0.33123046844716</v>
      </c>
      <c r="P49" s="21" t="n">
        <f aca="false">IF(COUNT(D46:D49)=4,SUM(D46:D49),NA())</f>
        <v>2738267.641</v>
      </c>
      <c r="Q49" s="21" t="n">
        <f aca="false">IF(COUNT(I46:I49)=4,SUM(I46:I49),NA())</f>
        <v>7116853</v>
      </c>
      <c r="R49" s="21" t="n">
        <f aca="false">IFERROR(I49/K49,NA())</f>
        <v>470550.412547832</v>
      </c>
      <c r="S49" s="21" t="n">
        <f aca="false">IFERROR(I49/L49,NA())</f>
        <v>455908.037653874</v>
      </c>
      <c r="V49" s="22" t="n">
        <v>2032</v>
      </c>
      <c r="W49" s="23" t="e">
        <f aca="false">IF(SUMPRODUCT(($C$21:$C$233=$V$49)*ISNUMBER($D$21:$D$233))=0,NA(),SUMPRODUCT(($C$21:$C$233=$V$49)*IFERROR($D$21:$D$233,0)))</f>
        <v>#N/A</v>
      </c>
      <c r="X49" s="23" t="e">
        <f aca="false">IF(SUMPRODUCT(($C$21:$C$233=$V$49)*ISNUMBER($E$21:$E$233))=0,NA(),SUMPRODUCT(($C$21:$C$233=$V$49)*IFERROR($E$21:$E$233,0)))</f>
        <v>#N/A</v>
      </c>
      <c r="Y49" s="23" t="e">
        <f aca="false">IF(SUMPRODUCT(($C$21:$C$233=$V$49)*ISNUMBER($F$21:$F$233))=0,NA(),SUMPRODUCT(($C$21:$C$233=$V$49)*IFERROR($F$21:$F$233,0)))</f>
        <v>#N/A</v>
      </c>
      <c r="Z49" s="23" t="e">
        <f aca="false">IF(SUMPRODUCT(($C$21:$C$233=$V$49)*ISNUMBER($G$21:$G$233))=0,NA(),SUMPRODUCT(($C$21:$C$233=$V$49)*IFERROR($G$21:$G$233,0)))</f>
        <v>#N/A</v>
      </c>
      <c r="AA49" s="23" t="e">
        <f aca="false">IF(SUMPRODUCT(($C$21:$C$233=$V$49)*ISNUMBER($H$21:$H$233))=0,NA(),SUMPRODUCT(($C$21:$C$233=$V$49)*IFERROR($H$21:$H$233,0)))</f>
        <v>#N/A</v>
      </c>
      <c r="AB49" s="23" t="e">
        <f aca="false">IF(SUMPRODUCT(($C$21:$C$233=$V$49)*ISNUMBER($I$21:$I$233))=0,NA(),SUMPRODUCT(($C$21:$C$233=$V$49)*IFERROR($I$21:$I$233,0)))</f>
        <v>#N/A</v>
      </c>
      <c r="AC49" s="23" t="e">
        <f aca="false">IF(SUMPRODUCT(($C$21:$C$233=$V$49)*ISNUMBER($J$21:$J$233))=0,NA(),SUMPRODUCT(($C$21:$C$233=$V$49)*IFERROR($J$21:$J$233,0))/SUMPRODUCT(($C$21:$C$233=$V$49)*ISNUMBER($J$21:$J$233)))</f>
        <v>#N/A</v>
      </c>
      <c r="AD49" s="23" t="e">
        <f aca="false">IF(SUMPRODUCT(($C$21:$C$233=$V$49)*ISNUMBER($K$21:$K$233))=0,NA(),SUMPRODUCT(($C$21:$C$233=$V$49)*IFERROR($K$21:$K$233,0))/SUMPRODUCT(($C$21:$C$233=$V$49)*ISNUMBER($K$21:$K$233)))</f>
        <v>#N/A</v>
      </c>
      <c r="AE49" s="23" t="e">
        <f aca="false">IF(SUMPRODUCT(($C$21:$C$233=$V$49)*ISNUMBER($L$21:$L$233))=0,NA(),SUMPRODUCT(($C$21:$C$233=$V$49)*IFERROR($L$21:$L$233,0))/SUMPRODUCT(($C$21:$C$233=$V$49)*ISNUMBER($L$21:$L$233)))</f>
        <v>#N/A</v>
      </c>
      <c r="AF49" s="20" t="e">
        <f aca="false">IFERROR(W49/W48-1,NA())</f>
        <v>#N/A</v>
      </c>
    </row>
    <row r="50" customFormat="false" ht="15" hidden="false" customHeight="false" outlineLevel="0" collapsed="false">
      <c r="A50" s="16" t="n">
        <f aca="false">IFERROR(IF(ISNUMBER('Real and nominal GDP'!A37),'Real and nominal GDP'!A37,NA()),NA())</f>
        <v>40695</v>
      </c>
      <c r="B50" s="17" t="str">
        <f aca="false">IFERROR(IF('Real and nominal GDP'!B37="",NA(),'Real and nominal GDP'!B37),NA())</f>
        <v>112</v>
      </c>
      <c r="C50" s="18" t="n">
        <f aca="false">IFERROR(YEAR(A50),0)</f>
        <v>2011</v>
      </c>
      <c r="D50" s="19" t="n">
        <f aca="false">IFERROR(IF('Real and nominal GDP'!C37="",NA(),IF(ISNUMBER('Real and nominal GDP'!C37),'Real and nominal GDP'!C37,NA())),NA())</f>
        <v>710326.155</v>
      </c>
      <c r="E50" s="19" t="n">
        <f aca="false">IFERROR(IF('Real and nominal GDP'!D37="",NA(),IF(ISNUMBER('Real and nominal GDP'!D37),'Real and nominal GDP'!D37,NA())),NA())</f>
        <v>496352.551</v>
      </c>
      <c r="F50" s="19" t="n">
        <f aca="false">IFERROR(IF('Real and nominal GDP'!E37="",NA(),IF(ISNUMBER('Real and nominal GDP'!E37),'Real and nominal GDP'!E37,NA())),NA())</f>
        <v>81079.657</v>
      </c>
      <c r="G50" s="19" t="n">
        <f aca="false">IFERROR(IF('Real and nominal GDP'!F37="",NA(),IF(ISNUMBER('Real and nominal GDP'!F37),'Real and nominal GDP'!F37,NA())),NA())</f>
        <v>153356.923</v>
      </c>
      <c r="H50" s="19" t="n">
        <f aca="false">IFERROR(IF('Real and nominal GDP'!G37="",NA(),IF(ISNUMBER('Real and nominal GDP'!G37),'Real and nominal GDP'!G37,NA())),NA())</f>
        <v>766332.955</v>
      </c>
      <c r="I50" s="19" t="n">
        <f aca="false">IFERROR(IF('Real and nominal GDP'!H37="",NA(),IF(ISNUMBER('Real and nominal GDP'!H37),'Real and nominal GDP'!H37,NA())),NA())</f>
        <v>2237124</v>
      </c>
      <c r="J50" s="19" t="e">
        <f aca="false">IFERROR(IF('Real and nominal GDP'!I37="",NA(),IF(ISNUMBER('Real and nominal GDP'!I37),'Real and nominal GDP'!I37,NA())),NA())</f>
        <v>#N/A</v>
      </c>
      <c r="K50" s="19" t="n">
        <f aca="false">IFERROR(IF('Real and nominal GDP'!J37="",NA(),IF(ISNUMBER('Real and nominal GDP'!J37),'Real and nominal GDP'!J37,NA())),NA())</f>
        <v>4.08201666666667</v>
      </c>
      <c r="L50" s="19" t="n">
        <f aca="false">IFERROR(IF('Real and nominal GDP'!K37="",NA(),IF(ISNUMBER('Real and nominal GDP'!K37),'Real and nominal GDP'!K37,NA())),NA())</f>
        <v>4.26366666666667</v>
      </c>
      <c r="M50" s="20" t="n">
        <f aca="false">IFERROR(D50/D46-1,NA())</f>
        <v>0.0536396298151296</v>
      </c>
      <c r="N50" s="20" t="n">
        <f aca="false">IFERROR(D50/D49-1,NA())</f>
        <v>0.0123120921046782</v>
      </c>
      <c r="O50" s="20" t="n">
        <f aca="false">IFERROR(I50/I46-1,NA())</f>
        <v>0.326829835350553</v>
      </c>
      <c r="P50" s="21" t="n">
        <f aca="false">IF(COUNT(D47:D50)=4,SUM(D47:D50),NA())</f>
        <v>2774429.561</v>
      </c>
      <c r="Q50" s="21" t="n">
        <f aca="false">IF(COUNT(I47:I50)=4,SUM(I47:I50),NA())</f>
        <v>7667910</v>
      </c>
      <c r="R50" s="21" t="n">
        <f aca="false">IFERROR(I50/K50,NA())</f>
        <v>548043.81821077</v>
      </c>
      <c r="S50" s="21" t="n">
        <f aca="false">IFERROR(I50/L50,NA())</f>
        <v>524694.863575952</v>
      </c>
      <c r="V50" s="22" t="n">
        <v>2033</v>
      </c>
      <c r="W50" s="23" t="e">
        <f aca="false">IF(SUMPRODUCT(($C$21:$C$233=$V$50)*ISNUMBER($D$21:$D$233))=0,NA(),SUMPRODUCT(($C$21:$C$233=$V$50)*IFERROR($D$21:$D$233,0)))</f>
        <v>#N/A</v>
      </c>
      <c r="X50" s="23" t="e">
        <f aca="false">IF(SUMPRODUCT(($C$21:$C$233=$V$50)*ISNUMBER($E$21:$E$233))=0,NA(),SUMPRODUCT(($C$21:$C$233=$V$50)*IFERROR($E$21:$E$233,0)))</f>
        <v>#N/A</v>
      </c>
      <c r="Y50" s="23" t="e">
        <f aca="false">IF(SUMPRODUCT(($C$21:$C$233=$V$50)*ISNUMBER($F$21:$F$233))=0,NA(),SUMPRODUCT(($C$21:$C$233=$V$50)*IFERROR($F$21:$F$233,0)))</f>
        <v>#N/A</v>
      </c>
      <c r="Z50" s="23" t="e">
        <f aca="false">IF(SUMPRODUCT(($C$21:$C$233=$V$50)*ISNUMBER($G$21:$G$233))=0,NA(),SUMPRODUCT(($C$21:$C$233=$V$50)*IFERROR($G$21:$G$233,0)))</f>
        <v>#N/A</v>
      </c>
      <c r="AA50" s="23" t="e">
        <f aca="false">IF(SUMPRODUCT(($C$21:$C$233=$V$50)*ISNUMBER($H$21:$H$233))=0,NA(),SUMPRODUCT(($C$21:$C$233=$V$50)*IFERROR($H$21:$H$233,0)))</f>
        <v>#N/A</v>
      </c>
      <c r="AB50" s="23" t="e">
        <f aca="false">IF(SUMPRODUCT(($C$21:$C$233=$V$50)*ISNUMBER($I$21:$I$233))=0,NA(),SUMPRODUCT(($C$21:$C$233=$V$50)*IFERROR($I$21:$I$233,0)))</f>
        <v>#N/A</v>
      </c>
      <c r="AC50" s="23" t="e">
        <f aca="false">IF(SUMPRODUCT(($C$21:$C$233=$V$50)*ISNUMBER($J$21:$J$233))=0,NA(),SUMPRODUCT(($C$21:$C$233=$V$50)*IFERROR($J$21:$J$233,0))/SUMPRODUCT(($C$21:$C$233=$V$50)*ISNUMBER($J$21:$J$233)))</f>
        <v>#N/A</v>
      </c>
      <c r="AD50" s="23" t="e">
        <f aca="false">IF(SUMPRODUCT(($C$21:$C$233=$V$50)*ISNUMBER($K$21:$K$233))=0,NA(),SUMPRODUCT(($C$21:$C$233=$V$50)*IFERROR($K$21:$K$233,0))/SUMPRODUCT(($C$21:$C$233=$V$50)*ISNUMBER($K$21:$K$233)))</f>
        <v>#N/A</v>
      </c>
      <c r="AE50" s="23" t="e">
        <f aca="false">IF(SUMPRODUCT(($C$21:$C$233=$V$50)*ISNUMBER($L$21:$L$233))=0,NA(),SUMPRODUCT(($C$21:$C$233=$V$50)*IFERROR($L$21:$L$233,0))/SUMPRODUCT(($C$21:$C$233=$V$50)*ISNUMBER($L$21:$L$233)))</f>
        <v>#N/A</v>
      </c>
      <c r="AF50" s="20" t="e">
        <f aca="false">IFERROR(W50/W49-1,NA())</f>
        <v>#N/A</v>
      </c>
    </row>
    <row r="51" customFormat="false" ht="15" hidden="false" customHeight="false" outlineLevel="0" collapsed="false">
      <c r="A51" s="16" t="n">
        <f aca="false">IFERROR(IF(ISNUMBER('Real and nominal GDP'!A38),'Real and nominal GDP'!A38,NA()),NA())</f>
        <v>40787</v>
      </c>
      <c r="B51" s="17" t="str">
        <f aca="false">IFERROR(IF('Real and nominal GDP'!B38="",NA(),'Real and nominal GDP'!B38),NA())</f>
        <v>113</v>
      </c>
      <c r="C51" s="18" t="n">
        <f aca="false">IFERROR(YEAR(A51),0)</f>
        <v>2011</v>
      </c>
      <c r="D51" s="19" t="n">
        <f aca="false">IFERROR(IF('Real and nominal GDP'!C38="",NA(),IF(ISNUMBER('Real and nominal GDP'!C38),'Real and nominal GDP'!C38,NA())),NA())</f>
        <v>715883.911</v>
      </c>
      <c r="E51" s="19" t="n">
        <f aca="false">IFERROR(IF('Real and nominal GDP'!D38="",NA(),IF(ISNUMBER('Real and nominal GDP'!D38),'Real and nominal GDP'!D38,NA())),NA())</f>
        <v>510643.56</v>
      </c>
      <c r="F51" s="19" t="n">
        <f aca="false">IFERROR(IF('Real and nominal GDP'!E38="",NA(),IF(ISNUMBER('Real and nominal GDP'!E38),'Real and nominal GDP'!E38,NA())),NA())</f>
        <v>81880.489</v>
      </c>
      <c r="G51" s="19" t="n">
        <f aca="false">IFERROR(IF('Real and nominal GDP'!F38="",NA(),IF(ISNUMBER('Real and nominal GDP'!F38),'Real and nominal GDP'!F38,NA())),NA())</f>
        <v>157856.26</v>
      </c>
      <c r="H51" s="19" t="n">
        <f aca="false">IFERROR(IF('Real and nominal GDP'!G38="",NA(),IF(ISNUMBER('Real and nominal GDP'!G38),'Real and nominal GDP'!G38,NA())),NA())</f>
        <v>711417.392</v>
      </c>
      <c r="I51" s="19" t="n">
        <f aca="false">IFERROR(IF('Real and nominal GDP'!H38="",NA(),IF(ISNUMBER('Real and nominal GDP'!H38),'Real and nominal GDP'!H38,NA())),NA())</f>
        <v>2250487</v>
      </c>
      <c r="J51" s="19" t="e">
        <f aca="false">IFERROR(IF('Real and nominal GDP'!I38="",NA(),IF(ISNUMBER('Real and nominal GDP'!I38),'Real and nominal GDP'!I38,NA())),NA())</f>
        <v>#N/A</v>
      </c>
      <c r="K51" s="19" t="n">
        <f aca="false">IFERROR(IF('Real and nominal GDP'!J38="",NA(),IF(ISNUMBER('Real and nominal GDP'!J38),'Real and nominal GDP'!J38,NA())),NA())</f>
        <v>4.16678333333333</v>
      </c>
      <c r="L51" s="19" t="n">
        <f aca="false">IFERROR(IF('Real and nominal GDP'!K38="",NA(),IF(ISNUMBER('Real and nominal GDP'!K38),'Real and nominal GDP'!K38,NA())),NA())</f>
        <v>4.365</v>
      </c>
      <c r="M51" s="20" t="n">
        <f aca="false">IFERROR(D51/D47-1,NA())</f>
        <v>0.0574425807886414</v>
      </c>
      <c r="N51" s="20" t="n">
        <f aca="false">IFERROR(D51/D50-1,NA())</f>
        <v>0.00782423110972164</v>
      </c>
      <c r="O51" s="20" t="n">
        <f aca="false">IFERROR(I51/I47-1,NA())</f>
        <v>0.313895967796081</v>
      </c>
      <c r="P51" s="21" t="n">
        <f aca="false">IF(COUNT(D48:D51)=4,SUM(D48:D51),NA())</f>
        <v>2813317.932</v>
      </c>
      <c r="Q51" s="21" t="n">
        <f aca="false">IF(COUNT(I48:I51)=4,SUM(I48:I51),NA())</f>
        <v>8205562</v>
      </c>
      <c r="R51" s="21" t="n">
        <f aca="false">IFERROR(I51/K51,NA())</f>
        <v>540101.7571508</v>
      </c>
      <c r="S51" s="21" t="n">
        <f aca="false">IFERROR(I51/L51,NA())</f>
        <v>515575.486827033</v>
      </c>
    </row>
    <row r="52" customFormat="false" ht="15" hidden="false" customHeight="false" outlineLevel="0" collapsed="false">
      <c r="A52" s="16" t="n">
        <f aca="false">IFERROR(IF(ISNUMBER('Real and nominal GDP'!A39),'Real and nominal GDP'!A39,NA()),NA())</f>
        <v>40878</v>
      </c>
      <c r="B52" s="17" t="str">
        <f aca="false">IFERROR(IF('Real and nominal GDP'!B39="",NA(),'Real and nominal GDP'!B39),NA())</f>
        <v>114</v>
      </c>
      <c r="C52" s="18" t="n">
        <f aca="false">IFERROR(YEAR(A52),0)</f>
        <v>2011</v>
      </c>
      <c r="D52" s="19" t="n">
        <f aca="false">IFERROR(IF('Real and nominal GDP'!C39="",NA(),IF(ISNUMBER('Real and nominal GDP'!C39),'Real and nominal GDP'!C39,NA())),NA())</f>
        <v>715229.402</v>
      </c>
      <c r="E52" s="19" t="n">
        <f aca="false">IFERROR(IF('Real and nominal GDP'!D39="",NA(),IF(ISNUMBER('Real and nominal GDP'!D39),'Real and nominal GDP'!D39,NA())),NA())</f>
        <v>511247.487</v>
      </c>
      <c r="F52" s="19" t="n">
        <f aca="false">IFERROR(IF('Real and nominal GDP'!E39="",NA(),IF(ISNUMBER('Real and nominal GDP'!E39),'Real and nominal GDP'!E39,NA())),NA())</f>
        <v>81557.755</v>
      </c>
      <c r="G52" s="19" t="n">
        <f aca="false">IFERROR(IF('Real and nominal GDP'!F39="",NA(),IF(ISNUMBER('Real and nominal GDP'!F39),'Real and nominal GDP'!F39,NA())),NA())</f>
        <v>153221.797</v>
      </c>
      <c r="H52" s="19" t="n">
        <f aca="false">IFERROR(IF('Real and nominal GDP'!G39="",NA(),IF(ISNUMBER('Real and nominal GDP'!G39),'Real and nominal GDP'!G39,NA())),NA())</f>
        <v>703050.456</v>
      </c>
      <c r="I52" s="19" t="n">
        <f aca="false">IFERROR(IF('Real and nominal GDP'!H39="",NA(),IF(ISNUMBER('Real and nominal GDP'!H39),'Real and nominal GDP'!H39,NA())),NA())</f>
        <v>2339658</v>
      </c>
      <c r="J52" s="19" t="e">
        <f aca="false">IFERROR(IF('Real and nominal GDP'!I39="",NA(),IF(ISNUMBER('Real and nominal GDP'!I39),'Real and nominal GDP'!I39,NA())),NA())</f>
        <v>#N/A</v>
      </c>
      <c r="K52" s="19" t="n">
        <f aca="false">IFERROR(IF('Real and nominal GDP'!J39="",NA(),IF(ISNUMBER('Real and nominal GDP'!J39),'Real and nominal GDP'!J39,NA())),NA())</f>
        <v>4.25717666666667</v>
      </c>
      <c r="L52" s="19" t="n">
        <f aca="false">IFERROR(IF('Real and nominal GDP'!K39="",NA(),IF(ISNUMBER('Real and nominal GDP'!K39),'Real and nominal GDP'!K39,NA())),NA())</f>
        <v>4.602</v>
      </c>
      <c r="M52" s="20" t="n">
        <f aca="false">IFERROR(D52/D48-1,NA())</f>
        <v>0.0434892706700114</v>
      </c>
      <c r="N52" s="20" t="n">
        <f aca="false">IFERROR(D52/D51-1,NA())</f>
        <v>-0.000914266950189813</v>
      </c>
      <c r="O52" s="20" t="n">
        <f aca="false">IFERROR(I52/I48-1,NA())</f>
        <v>0.279113936507312</v>
      </c>
      <c r="P52" s="21" t="n">
        <f aca="false">IF(COUNT(D49:D52)=4,SUM(D49:D52),NA())</f>
        <v>2843126.389</v>
      </c>
      <c r="Q52" s="21" t="n">
        <f aca="false">IF(COUNT(I49:I52)=4,SUM(I49:I52),NA())</f>
        <v>8716096</v>
      </c>
      <c r="R52" s="21" t="n">
        <f aca="false">IFERROR(I52/K52,NA())</f>
        <v>549579.729288503</v>
      </c>
      <c r="S52" s="21" t="n">
        <f aca="false">IFERROR(I52/L52,NA())</f>
        <v>508400.260756193</v>
      </c>
    </row>
    <row r="53" customFormat="false" ht="15" hidden="false" customHeight="false" outlineLevel="0" collapsed="false">
      <c r="A53" s="16" t="n">
        <f aca="false">IFERROR(IF(ISNUMBER('Real and nominal GDP'!A40),'Real and nominal GDP'!A40,NA()),NA())</f>
        <v>40969</v>
      </c>
      <c r="B53" s="17" t="str">
        <f aca="false">IFERROR(IF('Real and nominal GDP'!B40="",NA(),'Real and nominal GDP'!B40),NA())</f>
        <v>121</v>
      </c>
      <c r="C53" s="18" t="n">
        <f aca="false">IFERROR(YEAR(A53),0)</f>
        <v>2012</v>
      </c>
      <c r="D53" s="19" t="n">
        <f aca="false">IFERROR(IF('Real and nominal GDP'!C40="",NA(),IF(ISNUMBER('Real and nominal GDP'!C40),'Real and nominal GDP'!C40,NA())),NA())</f>
        <v>708348.861</v>
      </c>
      <c r="E53" s="19" t="n">
        <f aca="false">IFERROR(IF('Real and nominal GDP'!D40="",NA(),IF(ISNUMBER('Real and nominal GDP'!D40),'Real and nominal GDP'!D40,NA())),NA())</f>
        <v>499862.9</v>
      </c>
      <c r="F53" s="19" t="n">
        <f aca="false">IFERROR(IF('Real and nominal GDP'!E40="",NA(),IF(ISNUMBER('Real and nominal GDP'!E40),'Real and nominal GDP'!E40,NA())),NA())</f>
        <v>82408.506</v>
      </c>
      <c r="G53" s="19" t="n">
        <f aca="false">IFERROR(IF('Real and nominal GDP'!F40="",NA(),IF(ISNUMBER('Real and nominal GDP'!F40),'Real and nominal GDP'!F40,NA())),NA())</f>
        <v>145161.638</v>
      </c>
      <c r="H53" s="19" t="n">
        <f aca="false">IFERROR(IF('Real and nominal GDP'!G40="",NA(),IF(ISNUMBER('Real and nominal GDP'!G40),'Real and nominal GDP'!G40,NA())),NA())</f>
        <v>672685.994</v>
      </c>
      <c r="I53" s="19" t="n">
        <f aca="false">IFERROR(IF('Real and nominal GDP'!H40="",NA(),IF(ISNUMBER('Real and nominal GDP'!H40),'Real and nominal GDP'!H40,NA())),NA())</f>
        <v>2345560</v>
      </c>
      <c r="J53" s="19" t="e">
        <f aca="false">IFERROR(IF('Real and nominal GDP'!I40="",NA(),IF(ISNUMBER('Real and nominal GDP'!I40),'Real and nominal GDP'!I40,NA())),NA())</f>
        <v>#N/A</v>
      </c>
      <c r="K53" s="19" t="n">
        <f aca="false">IFERROR(IF('Real and nominal GDP'!J40="",NA(),IF(ISNUMBER('Real and nominal GDP'!J40),'Real and nominal GDP'!J40,NA())),NA())</f>
        <v>4.34134</v>
      </c>
      <c r="L53" s="19" t="n">
        <f aca="false">IFERROR(IF('Real and nominal GDP'!K40="",NA(),IF(ISNUMBER('Real and nominal GDP'!K40),'Real and nominal GDP'!K40,NA())),NA())</f>
        <v>4.77933333333333</v>
      </c>
      <c r="M53" s="20" t="n">
        <f aca="false">IFERROR(D53/D49-1,NA())</f>
        <v>0.00949417724717727</v>
      </c>
      <c r="N53" s="20" t="n">
        <f aca="false">IFERROR(D53/D52-1,NA())</f>
        <v>-0.00962004775077741</v>
      </c>
      <c r="O53" s="20" t="n">
        <f aca="false">IFERROR(I53/I49-1,NA())</f>
        <v>0.241807746289099</v>
      </c>
      <c r="P53" s="21" t="n">
        <f aca="false">IF(COUNT(D50:D53)=4,SUM(D50:D53),NA())</f>
        <v>2849788.329</v>
      </c>
      <c r="Q53" s="21" t="n">
        <f aca="false">IF(COUNT(I50:I53)=4,SUM(I50:I53),NA())</f>
        <v>9172829</v>
      </c>
      <c r="R53" s="21" t="n">
        <f aca="false">IFERROR(I53/K53,NA())</f>
        <v>540284.796859956</v>
      </c>
      <c r="S53" s="21" t="n">
        <f aca="false">IFERROR(I53/L53,NA())</f>
        <v>490771.376761055</v>
      </c>
    </row>
    <row r="54" customFormat="false" ht="15" hidden="false" customHeight="false" outlineLevel="0" collapsed="false">
      <c r="A54" s="16" t="n">
        <f aca="false">IFERROR(IF(ISNUMBER('Real and nominal GDP'!A41),'Real and nominal GDP'!A41,NA()),NA())</f>
        <v>41061</v>
      </c>
      <c r="B54" s="17" t="str">
        <f aca="false">IFERROR(IF('Real and nominal GDP'!B41="",NA(),'Real and nominal GDP'!B41),NA())</f>
        <v>122</v>
      </c>
      <c r="C54" s="18" t="n">
        <f aca="false">IFERROR(YEAR(A54),0)</f>
        <v>2012</v>
      </c>
      <c r="D54" s="19" t="n">
        <f aca="false">IFERROR(IF('Real and nominal GDP'!C41="",NA(),IF(ISNUMBER('Real and nominal GDP'!C41),'Real and nominal GDP'!C41,NA())),NA())</f>
        <v>683593.316</v>
      </c>
      <c r="E54" s="19" t="n">
        <f aca="false">IFERROR(IF('Real and nominal GDP'!D41="",NA(),IF(ISNUMBER('Real and nominal GDP'!D41),'Real and nominal GDP'!D41,NA())),NA())</f>
        <v>493768.877</v>
      </c>
      <c r="F54" s="19" t="n">
        <f aca="false">IFERROR(IF('Real and nominal GDP'!E41="",NA(),IF(ISNUMBER('Real and nominal GDP'!E41),'Real and nominal GDP'!E41,NA())),NA())</f>
        <v>82764.047</v>
      </c>
      <c r="G54" s="19" t="n">
        <f aca="false">IFERROR(IF('Real and nominal GDP'!F41="",NA(),IF(ISNUMBER('Real and nominal GDP'!F41),'Real and nominal GDP'!F41,NA())),NA())</f>
        <v>133906.717</v>
      </c>
      <c r="H54" s="19" t="n">
        <f aca="false">IFERROR(IF('Real and nominal GDP'!G41="",NA(),IF(ISNUMBER('Real and nominal GDP'!G41),'Real and nominal GDP'!G41,NA())),NA())</f>
        <v>730838.273</v>
      </c>
      <c r="I54" s="19" t="n">
        <f aca="false">IFERROR(IF('Real and nominal GDP'!H41="",NA(),IF(ISNUMBER('Real and nominal GDP'!H41),'Real and nominal GDP'!H41,NA())),NA())</f>
        <v>2651098</v>
      </c>
      <c r="J54" s="19" t="e">
        <f aca="false">IFERROR(IF('Real and nominal GDP'!I41="",NA(),IF(ISNUMBER('Real and nominal GDP'!I41),'Real and nominal GDP'!I41,NA())),NA())</f>
        <v>#N/A</v>
      </c>
      <c r="K54" s="19" t="n">
        <f aca="false">IFERROR(IF('Real and nominal GDP'!J41="",NA(),IF(ISNUMBER('Real and nominal GDP'!J41),'Real and nominal GDP'!J41,NA())),NA())</f>
        <v>4.44972666666667</v>
      </c>
      <c r="L54" s="19" t="n">
        <f aca="false">IFERROR(IF('Real and nominal GDP'!K41="",NA(),IF(ISNUMBER('Real and nominal GDP'!K41),'Real and nominal GDP'!K41,NA())),NA())</f>
        <v>5.468</v>
      </c>
      <c r="M54" s="20" t="n">
        <f aca="false">IFERROR(D54/D50-1,NA())</f>
        <v>-0.0376345975884839</v>
      </c>
      <c r="N54" s="20" t="n">
        <f aca="false">IFERROR(D54/D53-1,NA())</f>
        <v>-0.0349482385911538</v>
      </c>
      <c r="O54" s="20" t="n">
        <f aca="false">IFERROR(I54/I50-1,NA())</f>
        <v>0.185047409084163</v>
      </c>
      <c r="P54" s="21" t="n">
        <f aca="false">IF(COUNT(D51:D54)=4,SUM(D51:D54),NA())</f>
        <v>2823055.49</v>
      </c>
      <c r="Q54" s="21" t="n">
        <f aca="false">IF(COUNT(I51:I54)=4,SUM(I51:I54),NA())</f>
        <v>9586803</v>
      </c>
      <c r="R54" s="21" t="n">
        <f aca="false">IFERROR(I54/K54,NA())</f>
        <v>595788.954827188</v>
      </c>
      <c r="S54" s="21" t="n">
        <f aca="false">IFERROR(I54/L54,NA())</f>
        <v>484838.697878566</v>
      </c>
    </row>
    <row r="55" customFormat="false" ht="15" hidden="false" customHeight="false" outlineLevel="0" collapsed="false">
      <c r="A55" s="16" t="n">
        <f aca="false">IFERROR(IF(ISNUMBER('Real and nominal GDP'!A42),'Real and nominal GDP'!A42,NA()),NA())</f>
        <v>41153</v>
      </c>
      <c r="B55" s="17" t="str">
        <f aca="false">IFERROR(IF('Real and nominal GDP'!B42="",NA(),'Real and nominal GDP'!B42),NA())</f>
        <v>123</v>
      </c>
      <c r="C55" s="18" t="n">
        <f aca="false">IFERROR(YEAR(A55),0)</f>
        <v>2012</v>
      </c>
      <c r="D55" s="19" t="n">
        <f aca="false">IFERROR(IF('Real and nominal GDP'!C42="",NA(),IF(ISNUMBER('Real and nominal GDP'!C42),'Real and nominal GDP'!C42,NA())),NA())</f>
        <v>705293.744</v>
      </c>
      <c r="E55" s="19" t="n">
        <f aca="false">IFERROR(IF('Real and nominal GDP'!D42="",NA(),IF(ISNUMBER('Real and nominal GDP'!D42),'Real and nominal GDP'!D42,NA())),NA())</f>
        <v>515643.412</v>
      </c>
      <c r="F55" s="19" t="n">
        <f aca="false">IFERROR(IF('Real and nominal GDP'!E42="",NA(),IF(ISNUMBER('Real and nominal GDP'!E42),'Real and nominal GDP'!E42,NA())),NA())</f>
        <v>84004.922</v>
      </c>
      <c r="G55" s="19" t="n">
        <f aca="false">IFERROR(IF('Real and nominal GDP'!F42="",NA(),IF(ISNUMBER('Real and nominal GDP'!F42),'Real and nominal GDP'!F42,NA())),NA())</f>
        <v>143391.774</v>
      </c>
      <c r="H55" s="19" t="n">
        <f aca="false">IFERROR(IF('Real and nominal GDP'!G42="",NA(),IF(ISNUMBER('Real and nominal GDP'!G42),'Real and nominal GDP'!G42,NA())),NA())</f>
        <v>703461.653</v>
      </c>
      <c r="I55" s="19" t="n">
        <f aca="false">IFERROR(IF('Real and nominal GDP'!H42="",NA(),IF(ISNUMBER('Real and nominal GDP'!H42),'Real and nominal GDP'!H42,NA())),NA())</f>
        <v>2704828</v>
      </c>
      <c r="J55" s="19" t="n">
        <f aca="false">IFERROR(IF('Real and nominal GDP'!I42="",NA(),IF(ISNUMBER('Real and nominal GDP'!I42),'Real and nominal GDP'!I42,NA())),NA())</f>
        <v>29.7398333333333</v>
      </c>
      <c r="K55" s="19" t="n">
        <f aca="false">IFERROR(IF('Real and nominal GDP'!J42="",NA(),IF(ISNUMBER('Real and nominal GDP'!J42),'Real and nominal GDP'!J42,NA())),NA())</f>
        <v>4.61160666666667</v>
      </c>
      <c r="L55" s="19" t="n">
        <f aca="false">IFERROR(IF('Real and nominal GDP'!K42="",NA(),IF(ISNUMBER('Real and nominal GDP'!K42),'Real and nominal GDP'!K42,NA())),NA())</f>
        <v>6.28666666666667</v>
      </c>
      <c r="M55" s="20" t="n">
        <f aca="false">IFERROR(D55/D51-1,NA())</f>
        <v>-0.0147931345254105</v>
      </c>
      <c r="N55" s="20" t="n">
        <f aca="false">IFERROR(D55/D54-1,NA())</f>
        <v>0.031744646256898</v>
      </c>
      <c r="O55" s="20" t="n">
        <f aca="false">IFERROR(I55/I51-1,NA())</f>
        <v>0.201885636308941</v>
      </c>
      <c r="P55" s="21" t="n">
        <f aca="false">IF(COUNT(D52:D55)=4,SUM(D52:D55),NA())</f>
        <v>2812465.323</v>
      </c>
      <c r="Q55" s="21" t="n">
        <f aca="false">IF(COUNT(I52:I55)=4,SUM(I52:I55),NA())</f>
        <v>10041144</v>
      </c>
      <c r="R55" s="21" t="n">
        <f aca="false">IFERROR(I55/K55,NA())</f>
        <v>586526.170922354</v>
      </c>
      <c r="S55" s="21" t="n">
        <f aca="false">IFERROR(I55/L55,NA())</f>
        <v>430248.35630965</v>
      </c>
    </row>
    <row r="56" customFormat="false" ht="15" hidden="false" customHeight="false" outlineLevel="0" collapsed="false">
      <c r="A56" s="16" t="n">
        <f aca="false">IFERROR(IF(ISNUMBER('Real and nominal GDP'!A43),'Real and nominal GDP'!A43,NA()),NA())</f>
        <v>41244</v>
      </c>
      <c r="B56" s="17" t="str">
        <f aca="false">IFERROR(IF('Real and nominal GDP'!B43="",NA(),'Real and nominal GDP'!B43),NA())</f>
        <v>124</v>
      </c>
      <c r="C56" s="18" t="n">
        <f aca="false">IFERROR(YEAR(A56),0)</f>
        <v>2012</v>
      </c>
      <c r="D56" s="19" t="n">
        <f aca="false">IFERROR(IF('Real and nominal GDP'!C43="",NA(),IF(ISNUMBER('Real and nominal GDP'!C43),'Real and nominal GDP'!C43,NA())),NA())</f>
        <v>716708.036</v>
      </c>
      <c r="E56" s="19" t="n">
        <f aca="false">IFERROR(IF('Real and nominal GDP'!D43="",NA(),IF(ISNUMBER('Real and nominal GDP'!D43),'Real and nominal GDP'!D43,NA())),NA())</f>
        <v>519592.212</v>
      </c>
      <c r="F56" s="19" t="n">
        <f aca="false">IFERROR(IF('Real and nominal GDP'!E43="",NA(),IF(ISNUMBER('Real and nominal GDP'!E43),'Real and nominal GDP'!E43,NA())),NA())</f>
        <v>84715.909</v>
      </c>
      <c r="G56" s="19" t="n">
        <f aca="false">IFERROR(IF('Real and nominal GDP'!F43="",NA(),IF(ISNUMBER('Real and nominal GDP'!F43),'Real and nominal GDP'!F43,NA())),NA())</f>
        <v>148410.679</v>
      </c>
      <c r="H56" s="19" t="n">
        <f aca="false">IFERROR(IF('Real and nominal GDP'!G43="",NA(),IF(ISNUMBER('Real and nominal GDP'!G43),'Real and nominal GDP'!G43,NA())),NA())</f>
        <v>706958.039</v>
      </c>
      <c r="I56" s="19" t="n">
        <f aca="false">IFERROR(IF('Real and nominal GDP'!H43="",NA(),IF(ISNUMBER('Real and nominal GDP'!H43),'Real and nominal GDP'!H43,NA())),NA())</f>
        <v>2850170</v>
      </c>
      <c r="J56" s="19" t="n">
        <f aca="false">IFERROR(IF('Real and nominal GDP'!I43="",NA(),IF(ISNUMBER('Real and nominal GDP'!I43),'Real and nominal GDP'!I43,NA())),NA())</f>
        <v>31.3387</v>
      </c>
      <c r="K56" s="19" t="n">
        <f aca="false">IFERROR(IF('Real and nominal GDP'!J43="",NA(),IF(ISNUMBER('Real and nominal GDP'!J43),'Real and nominal GDP'!J43,NA())),NA())</f>
        <v>4.80352</v>
      </c>
      <c r="L56" s="19" t="n">
        <f aca="false">IFERROR(IF('Real and nominal GDP'!K43="",NA(),IF(ISNUMBER('Real and nominal GDP'!K43),'Real and nominal GDP'!K43,NA())),NA())</f>
        <v>6.39166666666667</v>
      </c>
      <c r="M56" s="20" t="n">
        <f aca="false">IFERROR(D56/D52-1,NA())</f>
        <v>0.00206735628578092</v>
      </c>
      <c r="N56" s="20" t="n">
        <f aca="false">IFERROR(D56/D55-1,NA())</f>
        <v>0.016183742018276</v>
      </c>
      <c r="O56" s="20" t="n">
        <f aca="false">IFERROR(I56/I52-1,NA())</f>
        <v>0.218199412050821</v>
      </c>
      <c r="P56" s="21" t="n">
        <f aca="false">IF(COUNT(D53:D56)=4,SUM(D53:D56),NA())</f>
        <v>2813943.957</v>
      </c>
      <c r="Q56" s="21" t="n">
        <f aca="false">IF(COUNT(I53:I56)=4,SUM(I53:I56),NA())</f>
        <v>10551656</v>
      </c>
      <c r="R56" s="21" t="n">
        <f aca="false">IFERROR(I56/K56,NA())</f>
        <v>593350.29311838</v>
      </c>
      <c r="S56" s="21" t="n">
        <f aca="false">IFERROR(I56/L56,NA())</f>
        <v>445919.687092568</v>
      </c>
    </row>
    <row r="57" customFormat="false" ht="15" hidden="false" customHeight="false" outlineLevel="0" collapsed="false">
      <c r="A57" s="16" t="n">
        <f aca="false">IFERROR(IF(ISNUMBER('Real and nominal GDP'!A44),'Real and nominal GDP'!A44,NA()),NA())</f>
        <v>41334</v>
      </c>
      <c r="B57" s="17" t="str">
        <f aca="false">IFERROR(IF('Real and nominal GDP'!B44="",NA(),'Real and nominal GDP'!B44),NA())</f>
        <v>131</v>
      </c>
      <c r="C57" s="18" t="n">
        <f aca="false">IFERROR(YEAR(A57),0)</f>
        <v>2013</v>
      </c>
      <c r="D57" s="19" t="n">
        <f aca="false">IFERROR(IF('Real and nominal GDP'!C44="",NA(),IF(ISNUMBER('Real and nominal GDP'!C44),'Real and nominal GDP'!C44,NA())),NA())</f>
        <v>715943.738</v>
      </c>
      <c r="E57" s="19" t="n">
        <f aca="false">IFERROR(IF('Real and nominal GDP'!D44="",NA(),IF(ISNUMBER('Real and nominal GDP'!D44),'Real and nominal GDP'!D44,NA())),NA())</f>
        <v>514386.795</v>
      </c>
      <c r="F57" s="19" t="n">
        <f aca="false">IFERROR(IF('Real and nominal GDP'!E44="",NA(),IF(ISNUMBER('Real and nominal GDP'!E44),'Real and nominal GDP'!E44,NA())),NA())</f>
        <v>86326.806</v>
      </c>
      <c r="G57" s="19" t="n">
        <f aca="false">IFERROR(IF('Real and nominal GDP'!F44="",NA(),IF(ISNUMBER('Real and nominal GDP'!F44),'Real and nominal GDP'!F44,NA())),NA())</f>
        <v>145735.999</v>
      </c>
      <c r="H57" s="19" t="n">
        <f aca="false">IFERROR(IF('Real and nominal GDP'!G44="",NA(),IF(ISNUMBER('Real and nominal GDP'!G44),'Real and nominal GDP'!G44,NA())),NA())</f>
        <v>677085.529</v>
      </c>
      <c r="I57" s="19" t="n">
        <f aca="false">IFERROR(IF('Real and nominal GDP'!H44="",NA(),IF(ISNUMBER('Real and nominal GDP'!H44),'Real and nominal GDP'!H44,NA())),NA())</f>
        <v>2888981</v>
      </c>
      <c r="J57" s="19" t="n">
        <f aca="false">IFERROR(IF('Real and nominal GDP'!I44="",NA(),IF(ISNUMBER('Real and nominal GDP'!I44),'Real and nominal GDP'!I44,NA())),NA())</f>
        <v>33.1054333333333</v>
      </c>
      <c r="K57" s="19" t="n">
        <f aca="false">IFERROR(IF('Real and nominal GDP'!J44="",NA(),IF(ISNUMBER('Real and nominal GDP'!J44),'Real and nominal GDP'!J44,NA())),NA())</f>
        <v>5.01564666666667</v>
      </c>
      <c r="L57" s="19" t="n">
        <f aca="false">IFERROR(IF('Real and nominal GDP'!K44="",NA(),IF(ISNUMBER('Real and nominal GDP'!K44),'Real and nominal GDP'!K44,NA())),NA())</f>
        <v>7.721</v>
      </c>
      <c r="M57" s="20" t="n">
        <f aca="false">IFERROR(D57/D53-1,NA())</f>
        <v>0.0107219442539628</v>
      </c>
      <c r="N57" s="20" t="n">
        <f aca="false">IFERROR(D57/D56-1,NA())</f>
        <v>-0.00106640076796904</v>
      </c>
      <c r="O57" s="20" t="n">
        <f aca="false">IFERROR(I57/I53-1,NA())</f>
        <v>0.231680707379048</v>
      </c>
      <c r="P57" s="21" t="n">
        <f aca="false">IF(COUNT(D54:D57)=4,SUM(D54:D57),NA())</f>
        <v>2821538.834</v>
      </c>
      <c r="Q57" s="21" t="n">
        <f aca="false">IF(COUNT(I54:I57)=4,SUM(I54:I57),NA())</f>
        <v>11095077</v>
      </c>
      <c r="R57" s="21" t="n">
        <f aca="false">IFERROR(I57/K57,NA())</f>
        <v>575993.72364082</v>
      </c>
      <c r="S57" s="21" t="n">
        <f aca="false">IFERROR(I57/L57,NA())</f>
        <v>374171.868928895</v>
      </c>
    </row>
    <row r="58" customFormat="false" ht="15" hidden="false" customHeight="false" outlineLevel="0" collapsed="false">
      <c r="A58" s="16" t="n">
        <f aca="false">IFERROR(IF(ISNUMBER('Real and nominal GDP'!A45),'Real and nominal GDP'!A45,NA()),NA())</f>
        <v>41426</v>
      </c>
      <c r="B58" s="17" t="str">
        <f aca="false">IFERROR(IF('Real and nominal GDP'!B45="",NA(),'Real and nominal GDP'!B45),NA())</f>
        <v>132</v>
      </c>
      <c r="C58" s="18" t="n">
        <f aca="false">IFERROR(YEAR(A58),0)</f>
        <v>2013</v>
      </c>
      <c r="D58" s="19" t="n">
        <f aca="false">IFERROR(IF('Real and nominal GDP'!C45="",NA(),IF(ISNUMBER('Real and nominal GDP'!C45),'Real and nominal GDP'!C45,NA())),NA())</f>
        <v>720882.852</v>
      </c>
      <c r="E58" s="19" t="n">
        <f aca="false">IFERROR(IF('Real and nominal GDP'!D45="",NA(),IF(ISNUMBER('Real and nominal GDP'!D45),'Real and nominal GDP'!D45,NA())),NA())</f>
        <v>517251.738</v>
      </c>
      <c r="F58" s="19" t="n">
        <f aca="false">IFERROR(IF('Real and nominal GDP'!E45="",NA(),IF(ISNUMBER('Real and nominal GDP'!E45),'Real and nominal GDP'!E45,NA())),NA())</f>
        <v>87404.109</v>
      </c>
      <c r="G58" s="19" t="n">
        <f aca="false">IFERROR(IF('Real and nominal GDP'!F45="",NA(),IF(ISNUMBER('Real and nominal GDP'!F45),'Real and nominal GDP'!F45,NA())),NA())</f>
        <v>147670.815</v>
      </c>
      <c r="H58" s="19" t="n">
        <f aca="false">IFERROR(IF('Real and nominal GDP'!G45="",NA(),IF(ISNUMBER('Real and nominal GDP'!G45),'Real and nominal GDP'!G45,NA())),NA())</f>
        <v>776486.603</v>
      </c>
      <c r="I58" s="19" t="n">
        <f aca="false">IFERROR(IF('Real and nominal GDP'!H45="",NA(),IF(ISNUMBER('Real and nominal GDP'!H45),'Real and nominal GDP'!H45,NA())),NA())</f>
        <v>3387811</v>
      </c>
      <c r="J58" s="19" t="n">
        <f aca="false">IFERROR(IF('Real and nominal GDP'!I45="",NA(),IF(ISNUMBER('Real and nominal GDP'!I45),'Real and nominal GDP'!I45,NA())),NA())</f>
        <v>34.7982333333333</v>
      </c>
      <c r="K58" s="19" t="n">
        <f aca="false">IFERROR(IF('Real and nominal GDP'!J45="",NA(),IF(ISNUMBER('Real and nominal GDP'!J45),'Real and nominal GDP'!J45,NA())),NA())</f>
        <v>5.24235666666667</v>
      </c>
      <c r="L58" s="19" t="n">
        <f aca="false">IFERROR(IF('Real and nominal GDP'!K45="",NA(),IF(ISNUMBER('Real and nominal GDP'!K45),'Real and nominal GDP'!K45,NA())),NA())</f>
        <v>8.71166666666667</v>
      </c>
      <c r="M58" s="20" t="n">
        <f aca="false">IFERROR(D58/D54-1,NA())</f>
        <v>0.0545492987236873</v>
      </c>
      <c r="N58" s="20" t="n">
        <f aca="false">IFERROR(D58/D57-1,NA())</f>
        <v>0.00689874600174223</v>
      </c>
      <c r="O58" s="20" t="n">
        <f aca="false">IFERROR(I58/I54-1,NA())</f>
        <v>0.277889764920044</v>
      </c>
      <c r="P58" s="21" t="n">
        <f aca="false">IF(COUNT(D55:D58)=4,SUM(D55:D58),NA())</f>
        <v>2858828.37</v>
      </c>
      <c r="Q58" s="21" t="n">
        <f aca="false">IF(COUNT(I55:I58)=4,SUM(I55:I58),NA())</f>
        <v>11831790</v>
      </c>
      <c r="R58" s="21" t="n">
        <f aca="false">IFERROR(I58/K58,NA())</f>
        <v>646238.174052764</v>
      </c>
      <c r="S58" s="21" t="n">
        <f aca="false">IFERROR(I58/L58,NA())</f>
        <v>388882.073847331</v>
      </c>
    </row>
    <row r="59" customFormat="false" ht="15" hidden="false" customHeight="false" outlineLevel="0" collapsed="false">
      <c r="A59" s="16" t="n">
        <f aca="false">IFERROR(IF(ISNUMBER('Real and nominal GDP'!A46),'Real and nominal GDP'!A46,NA()),NA())</f>
        <v>41518</v>
      </c>
      <c r="B59" s="17" t="str">
        <f aca="false">IFERROR(IF('Real and nominal GDP'!B46="",NA(),'Real and nominal GDP'!B46),NA())</f>
        <v>133</v>
      </c>
      <c r="C59" s="18" t="n">
        <f aca="false">IFERROR(YEAR(A59),0)</f>
        <v>2013</v>
      </c>
      <c r="D59" s="19" t="n">
        <f aca="false">IFERROR(IF('Real and nominal GDP'!C46="",NA(),IF(ISNUMBER('Real and nominal GDP'!C46),'Real and nominal GDP'!C46,NA())),NA())</f>
        <v>725588.382</v>
      </c>
      <c r="E59" s="19" t="n">
        <f aca="false">IFERROR(IF('Real and nominal GDP'!D46="",NA(),IF(ISNUMBER('Real and nominal GDP'!D46),'Real and nominal GDP'!D46,NA())),NA())</f>
        <v>535655.927</v>
      </c>
      <c r="F59" s="19" t="n">
        <f aca="false">IFERROR(IF('Real and nominal GDP'!E46="",NA(),IF(ISNUMBER('Real and nominal GDP'!E46),'Real and nominal GDP'!E46,NA())),NA())</f>
        <v>87951.009</v>
      </c>
      <c r="G59" s="19" t="n">
        <f aca="false">IFERROR(IF('Real and nominal GDP'!F46="",NA(),IF(ISNUMBER('Real and nominal GDP'!F46),'Real and nominal GDP'!F46,NA())),NA())</f>
        <v>145972.588</v>
      </c>
      <c r="H59" s="19" t="n">
        <f aca="false">IFERROR(IF('Real and nominal GDP'!G46="",NA(),IF(ISNUMBER('Real and nominal GDP'!G46),'Real and nominal GDP'!G46,NA())),NA())</f>
        <v>721458.944</v>
      </c>
      <c r="I59" s="19" t="n">
        <f aca="false">IFERROR(IF('Real and nominal GDP'!H46="",NA(),IF(ISNUMBER('Real and nominal GDP'!H46),'Real and nominal GDP'!H46,NA())),NA())</f>
        <v>3436547</v>
      </c>
      <c r="J59" s="19" t="n">
        <f aca="false">IFERROR(IF('Real and nominal GDP'!I46="",NA(),IF(ISNUMBER('Real and nominal GDP'!I46),'Real and nominal GDP'!I46,NA())),NA())</f>
        <v>37.0408</v>
      </c>
      <c r="K59" s="19" t="n">
        <f aca="false">IFERROR(IF('Real and nominal GDP'!J46="",NA(),IF(ISNUMBER('Real and nominal GDP'!J46),'Real and nominal GDP'!J46,NA())),NA())</f>
        <v>5.58808</v>
      </c>
      <c r="L59" s="19" t="n">
        <f aca="false">IFERROR(IF('Real and nominal GDP'!K46="",NA(),IF(ISNUMBER('Real and nominal GDP'!K46),'Real and nominal GDP'!K46,NA())),NA())</f>
        <v>8.82533333333333</v>
      </c>
      <c r="M59" s="20" t="n">
        <f aca="false">IFERROR(D59/D55-1,NA())</f>
        <v>0.0287747313408753</v>
      </c>
      <c r="N59" s="20" t="n">
        <f aca="false">IFERROR(D59/D58-1,NA())</f>
        <v>0.00652745447744407</v>
      </c>
      <c r="O59" s="20" t="n">
        <f aca="false">IFERROR(I59/I55-1,NA())</f>
        <v>0.270523301296792</v>
      </c>
      <c r="P59" s="21" t="n">
        <f aca="false">IF(COUNT(D56:D59)=4,SUM(D56:D59),NA())</f>
        <v>2879123.008</v>
      </c>
      <c r="Q59" s="21" t="n">
        <f aca="false">IF(COUNT(I56:I59)=4,SUM(I56:I59),NA())</f>
        <v>12563509</v>
      </c>
      <c r="R59" s="21" t="n">
        <f aca="false">IFERROR(I59/K59,NA())</f>
        <v>614978.13202388</v>
      </c>
      <c r="S59" s="21" t="n">
        <f aca="false">IFERROR(I59/L59,NA())</f>
        <v>389395.716875661</v>
      </c>
    </row>
    <row r="60" customFormat="false" ht="15" hidden="false" customHeight="false" outlineLevel="0" collapsed="false">
      <c r="A60" s="16" t="n">
        <f aca="false">IFERROR(IF(ISNUMBER('Real and nominal GDP'!A47),'Real and nominal GDP'!A47,NA()),NA())</f>
        <v>41609</v>
      </c>
      <c r="B60" s="17" t="str">
        <f aca="false">IFERROR(IF('Real and nominal GDP'!B47="",NA(),'Real and nominal GDP'!B47),NA())</f>
        <v>134</v>
      </c>
      <c r="C60" s="18" t="n">
        <f aca="false">IFERROR(YEAR(A60),0)</f>
        <v>2013</v>
      </c>
      <c r="D60" s="19" t="n">
        <f aca="false">IFERROR(IF('Real and nominal GDP'!C47="",NA(),IF(ISNUMBER('Real and nominal GDP'!C47),'Real and nominal GDP'!C47,NA())),NA())</f>
        <v>719213.45</v>
      </c>
      <c r="E60" s="19" t="n">
        <f aca="false">IFERROR(IF('Real and nominal GDP'!D47="",NA(),IF(ISNUMBER('Real and nominal GDP'!D47),'Real and nominal GDP'!D47,NA())),NA())</f>
        <v>535403.669</v>
      </c>
      <c r="F60" s="19" t="n">
        <f aca="false">IFERROR(IF('Real and nominal GDP'!E47="",NA(),IF(ISNUMBER('Real and nominal GDP'!E47),'Real and nominal GDP'!E47,NA())),NA())</f>
        <v>89983.227</v>
      </c>
      <c r="G60" s="19" t="n">
        <f aca="false">IFERROR(IF('Real and nominal GDP'!F47="",NA(),IF(ISNUMBER('Real and nominal GDP'!F47),'Real and nominal GDP'!F47,NA())),NA())</f>
        <v>144846.871</v>
      </c>
      <c r="H60" s="19" t="n">
        <f aca="false">IFERROR(IF('Real and nominal GDP'!G47="",NA(),IF(ISNUMBER('Real and nominal GDP'!G47),'Real and nominal GDP'!G47,NA())),NA())</f>
        <v>706597.345</v>
      </c>
      <c r="I60" s="19" t="n">
        <f aca="false">IFERROR(IF('Real and nominal GDP'!H47="",NA(),IF(ISNUMBER('Real and nominal GDP'!H47),'Real and nominal GDP'!H47,NA())),NA())</f>
        <v>3679896</v>
      </c>
      <c r="J60" s="19" t="n">
        <f aca="false">IFERROR(IF('Real and nominal GDP'!I47="",NA(),IF(ISNUMBER('Real and nominal GDP'!I47),'Real and nominal GDP'!I47,NA())),NA())</f>
        <v>39.5626</v>
      </c>
      <c r="K60" s="19" t="n">
        <f aca="false">IFERROR(IF('Real and nominal GDP'!J47="",NA(),IF(ISNUMBER('Real and nominal GDP'!J47),'Real and nominal GDP'!J47,NA())),NA())</f>
        <v>6.06685666666667</v>
      </c>
      <c r="L60" s="19" t="n">
        <f aca="false">IFERROR(IF('Real and nominal GDP'!K47="",NA(),IF(ISNUMBER('Real and nominal GDP'!K47),'Real and nominal GDP'!K47,NA())),NA())</f>
        <v>9.723</v>
      </c>
      <c r="M60" s="20" t="n">
        <f aca="false">IFERROR(D60/D56-1,NA())</f>
        <v>0.00349572472213766</v>
      </c>
      <c r="N60" s="20" t="n">
        <f aca="false">IFERROR(D60/D59-1,NA())</f>
        <v>-0.00878587937478859</v>
      </c>
      <c r="O60" s="20" t="n">
        <f aca="false">IFERROR(I60/I56-1,NA())</f>
        <v>0.291114565096117</v>
      </c>
      <c r="P60" s="21" t="n">
        <f aca="false">IF(COUNT(D57:D60)=4,SUM(D57:D60),NA())</f>
        <v>2881628.422</v>
      </c>
      <c r="Q60" s="21" t="n">
        <f aca="false">IF(COUNT(I57:I60)=4,SUM(I57:I60),NA())</f>
        <v>13393235</v>
      </c>
      <c r="R60" s="21" t="n">
        <f aca="false">IFERROR(I60/K60,NA())</f>
        <v>606557.267162512</v>
      </c>
      <c r="S60" s="21" t="n">
        <f aca="false">IFERROR(I60/L60,NA())</f>
        <v>378473.310706572</v>
      </c>
    </row>
    <row r="61" customFormat="false" ht="15" hidden="false" customHeight="false" outlineLevel="0" collapsed="false">
      <c r="A61" s="16" t="n">
        <f aca="false">IFERROR(IF(ISNUMBER('Real and nominal GDP'!A48),'Real and nominal GDP'!A48,NA()),NA())</f>
        <v>41699</v>
      </c>
      <c r="B61" s="17" t="str">
        <f aca="false">IFERROR(IF('Real and nominal GDP'!B48="",NA(),'Real and nominal GDP'!B48),NA())</f>
        <v>141</v>
      </c>
      <c r="C61" s="18" t="n">
        <f aca="false">IFERROR(YEAR(A61),0)</f>
        <v>2014</v>
      </c>
      <c r="D61" s="19" t="n">
        <f aca="false">IFERROR(IF('Real and nominal GDP'!C48="",NA(),IF(ISNUMBER('Real and nominal GDP'!C48),'Real and nominal GDP'!C48,NA())),NA())</f>
        <v>708278.973</v>
      </c>
      <c r="E61" s="19" t="n">
        <f aca="false">IFERROR(IF('Real and nominal GDP'!D48="",NA(),IF(ISNUMBER('Real and nominal GDP'!D48),'Real and nominal GDP'!D48,NA())),NA())</f>
        <v>521790.904</v>
      </c>
      <c r="F61" s="19" t="n">
        <f aca="false">IFERROR(IF('Real and nominal GDP'!E48="",NA(),IF(ISNUMBER('Real and nominal GDP'!E48),'Real and nominal GDP'!E48,NA())),NA())</f>
        <v>90817.606</v>
      </c>
      <c r="G61" s="19" t="n">
        <f aca="false">IFERROR(IF('Real and nominal GDP'!F48="",NA(),IF(ISNUMBER('Real and nominal GDP'!F48),'Real and nominal GDP'!F48,NA())),NA())</f>
        <v>141725.869</v>
      </c>
      <c r="H61" s="19" t="n">
        <f aca="false">IFERROR(IF('Real and nominal GDP'!G48="",NA(),IF(ISNUMBER('Real and nominal GDP'!G48),'Real and nominal GDP'!G48,NA())),NA())</f>
        <v>671066.047</v>
      </c>
      <c r="I61" s="19" t="n">
        <f aca="false">IFERROR(IF('Real and nominal GDP'!H48="",NA(),IF(ISNUMBER('Real and nominal GDP'!H48),'Real and nominal GDP'!H48,NA())),NA())</f>
        <v>3917649</v>
      </c>
      <c r="J61" s="19" t="n">
        <f aca="false">IFERROR(IF('Real and nominal GDP'!I48="",NA(),IF(ISNUMBER('Real and nominal GDP'!I48),'Real and nominal GDP'!I48,NA())),NA())</f>
        <v>44.1826</v>
      </c>
      <c r="K61" s="19" t="n">
        <f aca="false">IFERROR(IF('Real and nominal GDP'!J48="",NA(),IF(ISNUMBER('Real and nominal GDP'!J48),'Real and nominal GDP'!J48,NA())),NA())</f>
        <v>7.63224666666667</v>
      </c>
      <c r="L61" s="19" t="n">
        <f aca="false">IFERROR(IF('Real and nominal GDP'!K48="",NA(),IF(ISNUMBER('Real and nominal GDP'!K48),'Real and nominal GDP'!K48,NA())),NA())</f>
        <v>11.3003333333333</v>
      </c>
      <c r="M61" s="20" t="n">
        <f aca="false">IFERROR(D61/D57-1,NA())</f>
        <v>-0.0107058202944992</v>
      </c>
      <c r="N61" s="20" t="n">
        <f aca="false">IFERROR(D61/D60-1,NA())</f>
        <v>-0.0152033822504292</v>
      </c>
      <c r="O61" s="20" t="n">
        <f aca="false">IFERROR(I61/I57-1,NA())</f>
        <v>0.356066031586916</v>
      </c>
      <c r="P61" s="21" t="n">
        <f aca="false">IF(COUNT(D58:D61)=4,SUM(D58:D61),NA())</f>
        <v>2873963.657</v>
      </c>
      <c r="Q61" s="21" t="n">
        <f aca="false">IF(COUNT(I58:I61)=4,SUM(I58:I61),NA())</f>
        <v>14421903</v>
      </c>
      <c r="R61" s="21" t="n">
        <f aca="false">IFERROR(I61/K61,NA())</f>
        <v>513302.199352397</v>
      </c>
      <c r="S61" s="21" t="n">
        <f aca="false">IFERROR(I61/L61,NA())</f>
        <v>346684.37509218</v>
      </c>
    </row>
    <row r="62" customFormat="false" ht="15" hidden="false" customHeight="false" outlineLevel="0" collapsed="false">
      <c r="A62" s="16" t="n">
        <f aca="false">IFERROR(IF(ISNUMBER('Real and nominal GDP'!A49),'Real and nominal GDP'!A49,NA()),NA())</f>
        <v>41791</v>
      </c>
      <c r="B62" s="17" t="str">
        <f aca="false">IFERROR(IF('Real and nominal GDP'!B49="",NA(),'Real and nominal GDP'!B49),NA())</f>
        <v>142</v>
      </c>
      <c r="C62" s="18" t="n">
        <f aca="false">IFERROR(YEAR(A62),0)</f>
        <v>2014</v>
      </c>
      <c r="D62" s="19" t="n">
        <f aca="false">IFERROR(IF('Real and nominal GDP'!C49="",NA(),IF(ISNUMBER('Real and nominal GDP'!C49),'Real and nominal GDP'!C49,NA())),NA())</f>
        <v>702914.572</v>
      </c>
      <c r="E62" s="19" t="n">
        <f aca="false">IFERROR(IF('Real and nominal GDP'!D49="",NA(),IF(ISNUMBER('Real and nominal GDP'!D49),'Real and nominal GDP'!D49,NA())),NA())</f>
        <v>498942.239</v>
      </c>
      <c r="F62" s="19" t="n">
        <f aca="false">IFERROR(IF('Real and nominal GDP'!E49="",NA(),IF(ISNUMBER('Real and nominal GDP'!E49),'Real and nominal GDP'!E49,NA())),NA())</f>
        <v>89305.792</v>
      </c>
      <c r="G62" s="19" t="n">
        <f aca="false">IFERROR(IF('Real and nominal GDP'!F49="",NA(),IF(ISNUMBER('Real and nominal GDP'!F49),'Real and nominal GDP'!F49,NA())),NA())</f>
        <v>139110.59</v>
      </c>
      <c r="H62" s="19" t="n">
        <f aca="false">IFERROR(IF('Real and nominal GDP'!G49="",NA(),IF(ISNUMBER('Real and nominal GDP'!G49),'Real and nominal GDP'!G49,NA())),NA())</f>
        <v>760576.868</v>
      </c>
      <c r="I62" s="19" t="n">
        <f aca="false">IFERROR(IF('Real and nominal GDP'!H49="",NA(),IF(ISNUMBER('Real and nominal GDP'!H49),'Real and nominal GDP'!H49,NA())),NA())</f>
        <v>4702630</v>
      </c>
      <c r="J62" s="19" t="n">
        <f aca="false">IFERROR(IF('Real and nominal GDP'!I49="",NA(),IF(ISNUMBER('Real and nominal GDP'!I49),'Real and nominal GDP'!I49,NA())),NA())</f>
        <v>48.4746333333333</v>
      </c>
      <c r="K62" s="19" t="n">
        <f aca="false">IFERROR(IF('Real and nominal GDP'!J49="",NA(),IF(ISNUMBER('Real and nominal GDP'!J49),'Real and nominal GDP'!J49,NA())),NA())</f>
        <v>8.05619333333333</v>
      </c>
      <c r="L62" s="19" t="n">
        <f aca="false">IFERROR(IF('Real and nominal GDP'!K49="",NA(),IF(ISNUMBER('Real and nominal GDP'!K49),'Real and nominal GDP'!K49,NA())),NA())</f>
        <v>11.1253333333333</v>
      </c>
      <c r="M62" s="20" t="n">
        <f aca="false">IFERROR(D62/D58-1,NA())</f>
        <v>-0.0249253813572471</v>
      </c>
      <c r="N62" s="20" t="n">
        <f aca="false">IFERROR(D62/D61-1,NA())</f>
        <v>-0.00757385324779358</v>
      </c>
      <c r="O62" s="20" t="n">
        <f aca="false">IFERROR(I62/I58-1,NA())</f>
        <v>0.38810281919505</v>
      </c>
      <c r="P62" s="21" t="n">
        <f aca="false">IF(COUNT(D59:D62)=4,SUM(D59:D62),NA())</f>
        <v>2855995.377</v>
      </c>
      <c r="Q62" s="21" t="n">
        <f aca="false">IF(COUNT(I59:I62)=4,SUM(I59:I62),NA())</f>
        <v>15736722</v>
      </c>
      <c r="R62" s="21" t="n">
        <f aca="false">IFERROR(I62/K62,NA())</f>
        <v>583728.543422907</v>
      </c>
      <c r="S62" s="21" t="n">
        <f aca="false">IFERROR(I62/L62,NA())</f>
        <v>422695.649568552</v>
      </c>
    </row>
    <row r="63" customFormat="false" ht="15" hidden="false" customHeight="false" outlineLevel="0" collapsed="false">
      <c r="A63" s="16" t="n">
        <f aca="false">IFERROR(IF(ISNUMBER('Real and nominal GDP'!A50),'Real and nominal GDP'!A50,NA()),NA())</f>
        <v>41883</v>
      </c>
      <c r="B63" s="17" t="str">
        <f aca="false">IFERROR(IF('Real and nominal GDP'!B50="",NA(),'Real and nominal GDP'!B50),NA())</f>
        <v>143</v>
      </c>
      <c r="C63" s="18" t="n">
        <f aca="false">IFERROR(YEAR(A63),0)</f>
        <v>2014</v>
      </c>
      <c r="D63" s="19" t="n">
        <f aca="false">IFERROR(IF('Real and nominal GDP'!C50="",NA(),IF(ISNUMBER('Real and nominal GDP'!C50),'Real and nominal GDP'!C50,NA())),NA())</f>
        <v>697281.493</v>
      </c>
      <c r="E63" s="19" t="n">
        <f aca="false">IFERROR(IF('Real and nominal GDP'!D50="",NA(),IF(ISNUMBER('Real and nominal GDP'!D50),'Real and nominal GDP'!D50,NA())),NA())</f>
        <v>490465.141</v>
      </c>
      <c r="F63" s="19" t="n">
        <f aca="false">IFERROR(IF('Real and nominal GDP'!E50="",NA(),IF(ISNUMBER('Real and nominal GDP'!E50),'Real and nominal GDP'!E50,NA())),NA())</f>
        <v>90467.767</v>
      </c>
      <c r="G63" s="19" t="n">
        <f aca="false">IFERROR(IF('Real and nominal GDP'!F50="",NA(),IF(ISNUMBER('Real and nominal GDP'!F50),'Real and nominal GDP'!F50,NA())),NA())</f>
        <v>133831.348</v>
      </c>
      <c r="H63" s="19" t="n">
        <f aca="false">IFERROR(IF('Real and nominal GDP'!G50="",NA(),IF(ISNUMBER('Real and nominal GDP'!G50),'Real and nominal GDP'!G50,NA())),NA())</f>
        <v>690879.798</v>
      </c>
      <c r="I63" s="19" t="n">
        <f aca="false">IFERROR(IF('Real and nominal GDP'!H50="",NA(),IF(ISNUMBER('Real and nominal GDP'!H50),'Real and nominal GDP'!H50,NA())),NA())</f>
        <v>4685503</v>
      </c>
      <c r="J63" s="19" t="n">
        <f aca="false">IFERROR(IF('Real and nominal GDP'!I50="",NA(),IF(ISNUMBER('Real and nominal GDP'!I50),'Real and nominal GDP'!I50,NA())),NA())</f>
        <v>51.8846333333333</v>
      </c>
      <c r="K63" s="19" t="n">
        <f aca="false">IFERROR(IF('Real and nominal GDP'!J50="",NA(),IF(ISNUMBER('Real and nominal GDP'!J50),'Real and nominal GDP'!J50,NA())),NA())</f>
        <v>8.29845666666667</v>
      </c>
      <c r="L63" s="19" t="n">
        <f aca="false">IFERROR(IF('Real and nominal GDP'!K50="",NA(),IF(ISNUMBER('Real and nominal GDP'!K50),'Real and nominal GDP'!K50,NA())),NA())</f>
        <v>13.411</v>
      </c>
      <c r="M63" s="20" t="n">
        <f aca="false">IFERROR(D63/D59-1,NA())</f>
        <v>-0.0390123239321657</v>
      </c>
      <c r="N63" s="20" t="n">
        <f aca="false">IFERROR(D63/D62-1,NA())</f>
        <v>-0.00801388849283957</v>
      </c>
      <c r="O63" s="20" t="n">
        <f aca="false">IFERROR(I63/I59-1,NA())</f>
        <v>0.363433411502884</v>
      </c>
      <c r="P63" s="21" t="n">
        <f aca="false">IF(COUNT(D60:D63)=4,SUM(D60:D63),NA())</f>
        <v>2827688.488</v>
      </c>
      <c r="Q63" s="21" t="n">
        <f aca="false">IF(COUNT(I60:I63)=4,SUM(I60:I63),NA())</f>
        <v>16985678</v>
      </c>
      <c r="R63" s="21" t="n">
        <f aca="false">IFERROR(I63/K63,NA())</f>
        <v>564623.421945526</v>
      </c>
      <c r="S63" s="21" t="n">
        <f aca="false">IFERROR(I63/L63,NA())</f>
        <v>349377.60047722</v>
      </c>
    </row>
    <row r="64" customFormat="false" ht="15" hidden="false" customHeight="false" outlineLevel="0" collapsed="false">
      <c r="A64" s="16" t="n">
        <f aca="false">IFERROR(IF(ISNUMBER('Real and nominal GDP'!A51),'Real and nominal GDP'!A51,NA()),NA())</f>
        <v>41974</v>
      </c>
      <c r="B64" s="17" t="str">
        <f aca="false">IFERROR(IF('Real and nominal GDP'!B51="",NA(),'Real and nominal GDP'!B51),NA())</f>
        <v>144</v>
      </c>
      <c r="C64" s="18" t="n">
        <f aca="false">IFERROR(YEAR(A64),0)</f>
        <v>2014</v>
      </c>
      <c r="D64" s="19" t="n">
        <f aca="false">IFERROR(IF('Real and nominal GDP'!C51="",NA(),IF(ISNUMBER('Real and nominal GDP'!C51),'Real and nominal GDP'!C51,NA())),NA())</f>
        <v>700749.147</v>
      </c>
      <c r="E64" s="19" t="n">
        <f aca="false">IFERROR(IF('Real and nominal GDP'!D51="",NA(),IF(ISNUMBER('Real and nominal GDP'!D51),'Real and nominal GDP'!D51,NA())),NA())</f>
        <v>499859.462</v>
      </c>
      <c r="F64" s="19" t="n">
        <f aca="false">IFERROR(IF('Real and nominal GDP'!E51="",NA(),IF(ISNUMBER('Real and nominal GDP'!E51),'Real and nominal GDP'!E51,NA())),NA())</f>
        <v>91430.632</v>
      </c>
      <c r="G64" s="19" t="n">
        <f aca="false">IFERROR(IF('Real and nominal GDP'!F51="",NA(),IF(ISNUMBER('Real and nominal GDP'!F51),'Real and nominal GDP'!F51,NA())),NA())</f>
        <v>130090.782</v>
      </c>
      <c r="H64" s="19" t="n">
        <f aca="false">IFERROR(IF('Real and nominal GDP'!G51="",NA(),IF(ISNUMBER('Real and nominal GDP'!G51),'Real and nominal GDP'!G51,NA())),NA())</f>
        <v>686701.471</v>
      </c>
      <c r="I64" s="19" t="n">
        <f aca="false">IFERROR(IF('Real and nominal GDP'!H51="",NA(),IF(ISNUMBER('Real and nominal GDP'!H51),'Real and nominal GDP'!H51,NA())),NA())</f>
        <v>5010564</v>
      </c>
      <c r="J64" s="19" t="n">
        <f aca="false">IFERROR(IF('Real and nominal GDP'!I51="",NA(),IF(ISNUMBER('Real and nominal GDP'!I51),'Real and nominal GDP'!I51,NA())),NA())</f>
        <v>54.9944666666667</v>
      </c>
      <c r="K64" s="19" t="n">
        <f aca="false">IFERROR(IF('Real and nominal GDP'!J51="",NA(),IF(ISNUMBER('Real and nominal GDP'!J51),'Real and nominal GDP'!J51,NA())),NA())</f>
        <v>8.51345</v>
      </c>
      <c r="L64" s="19" t="n">
        <f aca="false">IFERROR(IF('Real and nominal GDP'!K51="",NA(),IF(ISNUMBER('Real and nominal GDP'!K51),'Real and nominal GDP'!K51,NA())),NA())</f>
        <v>13.7003333333333</v>
      </c>
      <c r="M64" s="20" t="n">
        <f aca="false">IFERROR(D64/D60-1,NA())</f>
        <v>-0.0256729111503684</v>
      </c>
      <c r="N64" s="20" t="n">
        <f aca="false">IFERROR(D64/D63-1,NA())</f>
        <v>0.00497310488635039</v>
      </c>
      <c r="O64" s="20" t="n">
        <f aca="false">IFERROR(I64/I60-1,NA())</f>
        <v>0.36160478448304</v>
      </c>
      <c r="P64" s="21" t="n">
        <f aca="false">IF(COUNT(D61:D64)=4,SUM(D61:D64),NA())</f>
        <v>2809224.185</v>
      </c>
      <c r="Q64" s="21" t="n">
        <f aca="false">IF(COUNT(I61:I64)=4,SUM(I61:I64),NA())</f>
        <v>18316346</v>
      </c>
      <c r="R64" s="21" t="n">
        <f aca="false">IFERROR(I64/K64,NA())</f>
        <v>588546.828841422</v>
      </c>
      <c r="S64" s="21" t="n">
        <f aca="false">IFERROR(I64/L64,NA())</f>
        <v>365725.70010462</v>
      </c>
    </row>
    <row r="65" customFormat="false" ht="15" hidden="false" customHeight="false" outlineLevel="0" collapsed="false">
      <c r="A65" s="16" t="n">
        <f aca="false">IFERROR(IF(ISNUMBER('Real and nominal GDP'!A52),'Real and nominal GDP'!A52,NA()),NA())</f>
        <v>42064</v>
      </c>
      <c r="B65" s="17" t="str">
        <f aca="false">IFERROR(IF('Real and nominal GDP'!B52="",NA(),'Real and nominal GDP'!B52),NA())</f>
        <v>151</v>
      </c>
      <c r="C65" s="18" t="n">
        <f aca="false">IFERROR(YEAR(A65),0)</f>
        <v>2015</v>
      </c>
      <c r="D65" s="19" t="n">
        <f aca="false">IFERROR(IF('Real and nominal GDP'!C52="",NA(),IF(ISNUMBER('Real and nominal GDP'!C52),'Real and nominal GDP'!C52,NA())),NA())</f>
        <v>710714.752</v>
      </c>
      <c r="E65" s="19" t="n">
        <f aca="false">IFERROR(IF('Real and nominal GDP'!D52="",NA(),IF(ISNUMBER('Real and nominal GDP'!D52),'Real and nominal GDP'!D52,NA())),NA())</f>
        <v>508612.971</v>
      </c>
      <c r="F65" s="19" t="n">
        <f aca="false">IFERROR(IF('Real and nominal GDP'!E52="",NA(),IF(ISNUMBER('Real and nominal GDP'!E52),'Real and nominal GDP'!E52,NA())),NA())</f>
        <v>94414.588</v>
      </c>
      <c r="G65" s="19" t="n">
        <f aca="false">IFERROR(IF('Real and nominal GDP'!F52="",NA(),IF(ISNUMBER('Real and nominal GDP'!F52),'Real and nominal GDP'!F52,NA())),NA())</f>
        <v>138222.156</v>
      </c>
      <c r="H65" s="19" t="n">
        <f aca="false">IFERROR(IF('Real and nominal GDP'!G52="",NA(),IF(ISNUMBER('Real and nominal GDP'!G52),'Real and nominal GDP'!G52,NA())),NA())</f>
        <v>672749.811</v>
      </c>
      <c r="I65" s="19" t="n">
        <f aca="false">IFERROR(IF('Real and nominal GDP'!H52="",NA(),IF(ISNUMBER('Real and nominal GDP'!H52),'Real and nominal GDP'!H52,NA())),NA())</f>
        <v>5092694</v>
      </c>
      <c r="J65" s="19" t="n">
        <f aca="false">IFERROR(IF('Real and nominal GDP'!I52="",NA(),IF(ISNUMBER('Real and nominal GDP'!I52),'Real and nominal GDP'!I52,NA())),NA())</f>
        <v>57.8225</v>
      </c>
      <c r="K65" s="19" t="n">
        <f aca="false">IFERROR(IF('Real and nominal GDP'!J52="",NA(),IF(ISNUMBER('Real and nominal GDP'!J52),'Real and nominal GDP'!J52,NA())),NA())</f>
        <v>8.69027</v>
      </c>
      <c r="L65" s="19" t="n">
        <f aca="false">IFERROR(IF('Real and nominal GDP'!K52="",NA(),IF(ISNUMBER('Real and nominal GDP'!K52),'Real and nominal GDP'!K52,NA())),NA())</f>
        <v>13.1726666666667</v>
      </c>
      <c r="M65" s="20" t="n">
        <f aca="false">IFERROR(D65/D61-1,NA())</f>
        <v>0.00343901074697017</v>
      </c>
      <c r="N65" s="20" t="n">
        <f aca="false">IFERROR(D65/D64-1,NA())</f>
        <v>0.0142213587311009</v>
      </c>
      <c r="O65" s="20" t="n">
        <f aca="false">IFERROR(I65/I61-1,NA())</f>
        <v>0.299936262794344</v>
      </c>
      <c r="P65" s="21" t="n">
        <f aca="false">IF(COUNT(D62:D65)=4,SUM(D62:D65),NA())</f>
        <v>2811659.964</v>
      </c>
      <c r="Q65" s="21" t="n">
        <f aca="false">IF(COUNT(I62:I65)=4,SUM(I62:I65),NA())</f>
        <v>19491391</v>
      </c>
      <c r="R65" s="21" t="n">
        <f aca="false">IFERROR(I65/K65,NA())</f>
        <v>586022.528644104</v>
      </c>
      <c r="S65" s="21" t="n">
        <f aca="false">IFERROR(I65/L65,NA())</f>
        <v>386610.70904398</v>
      </c>
    </row>
    <row r="66" customFormat="false" ht="15" hidden="false" customHeight="false" outlineLevel="0" collapsed="false">
      <c r="A66" s="16" t="n">
        <f aca="false">IFERROR(IF(ISNUMBER('Real and nominal GDP'!A53),'Real and nominal GDP'!A53,NA()),NA())</f>
        <v>42156</v>
      </c>
      <c r="B66" s="17" t="str">
        <f aca="false">IFERROR(IF('Real and nominal GDP'!B53="",NA(),'Real and nominal GDP'!B53),NA())</f>
        <v>152</v>
      </c>
      <c r="C66" s="18" t="n">
        <f aca="false">IFERROR(YEAR(A66),0)</f>
        <v>2015</v>
      </c>
      <c r="D66" s="19" t="n">
        <f aca="false">IFERROR(IF('Real and nominal GDP'!C53="",NA(),IF(ISNUMBER('Real and nominal GDP'!C53),'Real and nominal GDP'!C53,NA())),NA())</f>
        <v>728934.835</v>
      </c>
      <c r="E66" s="19" t="n">
        <f aca="false">IFERROR(IF('Real and nominal GDP'!D53="",NA(),IF(ISNUMBER('Real and nominal GDP'!D53),'Real and nominal GDP'!D53,NA())),NA())</f>
        <v>532927.695</v>
      </c>
      <c r="F66" s="19" t="n">
        <f aca="false">IFERROR(IF('Real and nominal GDP'!E53="",NA(),IF(ISNUMBER('Real and nominal GDP'!E53),'Real and nominal GDP'!E53,NA())),NA())</f>
        <v>97682.915</v>
      </c>
      <c r="G66" s="19" t="n">
        <f aca="false">IFERROR(IF('Real and nominal GDP'!F53="",NA(),IF(ISNUMBER('Real and nominal GDP'!F53),'Real and nominal GDP'!F53,NA())),NA())</f>
        <v>141538.902</v>
      </c>
      <c r="H66" s="19" t="n">
        <f aca="false">IFERROR(IF('Real and nominal GDP'!G53="",NA(),IF(ISNUMBER('Real and nominal GDP'!G53),'Real and nominal GDP'!G53,NA())),NA())</f>
        <v>791235.966</v>
      </c>
      <c r="I66" s="19" t="n">
        <f aca="false">IFERROR(IF('Real and nominal GDP'!H53="",NA(),IF(ISNUMBER('Real and nominal GDP'!H53),'Real and nominal GDP'!H53,NA())),NA())</f>
        <v>5951479</v>
      </c>
      <c r="J66" s="19" t="n">
        <f aca="false">IFERROR(IF('Real and nominal GDP'!I53="",NA(),IF(ISNUMBER('Real and nominal GDP'!I53),'Real and nominal GDP'!I53,NA())),NA())</f>
        <v>61.2933333333333</v>
      </c>
      <c r="K66" s="19" t="n">
        <f aca="false">IFERROR(IF('Real and nominal GDP'!J53="",NA(),IF(ISNUMBER('Real and nominal GDP'!J53),'Real and nominal GDP'!J53,NA())),NA())</f>
        <v>8.95316666666667</v>
      </c>
      <c r="L66" s="19" t="n">
        <f aca="false">IFERROR(IF('Real and nominal GDP'!K53="",NA(),IF(ISNUMBER('Real and nominal GDP'!K53),'Real and nominal GDP'!K53,NA())),NA())</f>
        <v>12.6783333333333</v>
      </c>
      <c r="M66" s="20" t="n">
        <f aca="false">IFERROR(D66/D62-1,NA())</f>
        <v>0.0370176747452604</v>
      </c>
      <c r="N66" s="20" t="n">
        <f aca="false">IFERROR(D66/D65-1,NA())</f>
        <v>0.0256362808689807</v>
      </c>
      <c r="O66" s="20" t="n">
        <f aca="false">IFERROR(I66/I62-1,NA())</f>
        <v>0.26556395038521</v>
      </c>
      <c r="P66" s="21" t="n">
        <f aca="false">IF(COUNT(D63:D66)=4,SUM(D63:D66),NA())</f>
        <v>2837680.227</v>
      </c>
      <c r="Q66" s="21" t="n">
        <f aca="false">IF(COUNT(I63:I66)=4,SUM(I63:I66),NA())</f>
        <v>20740240</v>
      </c>
      <c r="R66" s="21" t="n">
        <f aca="false">IFERROR(I66/K66,NA())</f>
        <v>664734.525959158</v>
      </c>
      <c r="S66" s="21" t="n">
        <f aca="false">IFERROR(I66/L66,NA())</f>
        <v>469421.243591429</v>
      </c>
    </row>
    <row r="67" customFormat="false" ht="15" hidden="false" customHeight="false" outlineLevel="0" collapsed="false">
      <c r="A67" s="16" t="n">
        <f aca="false">IFERROR(IF(ISNUMBER('Real and nominal GDP'!A54),'Real and nominal GDP'!A54,NA()),NA())</f>
        <v>42248</v>
      </c>
      <c r="B67" s="17" t="str">
        <f aca="false">IFERROR(IF('Real and nominal GDP'!B54="",NA(),'Real and nominal GDP'!B54),NA())</f>
        <v>153</v>
      </c>
      <c r="C67" s="18" t="n">
        <f aca="false">IFERROR(YEAR(A67),0)</f>
        <v>2015</v>
      </c>
      <c r="D67" s="19" t="n">
        <f aca="false">IFERROR(IF('Real and nominal GDP'!C54="",NA(),IF(ISNUMBER('Real and nominal GDP'!C54),'Real and nominal GDP'!C54,NA())),NA())</f>
        <v>727453.639</v>
      </c>
      <c r="E67" s="19" t="n">
        <f aca="false">IFERROR(IF('Real and nominal GDP'!D54="",NA(),IF(ISNUMBER('Real and nominal GDP'!D54),'Real and nominal GDP'!D54,NA())),NA())</f>
        <v>522378.134</v>
      </c>
      <c r="F67" s="19" t="n">
        <f aca="false">IFERROR(IF('Real and nominal GDP'!E54="",NA(),IF(ISNUMBER('Real and nominal GDP'!E54),'Real and nominal GDP'!E54,NA())),NA())</f>
        <v>97903.688</v>
      </c>
      <c r="G67" s="19" t="n">
        <f aca="false">IFERROR(IF('Real and nominal GDP'!F54="",NA(),IF(ISNUMBER('Real and nominal GDP'!F54),'Real and nominal GDP'!F54,NA())),NA())</f>
        <v>142906.683</v>
      </c>
      <c r="H67" s="19" t="n">
        <f aca="false">IFERROR(IF('Real and nominal GDP'!G54="",NA(),IF(ISNUMBER('Real and nominal GDP'!G54),'Real and nominal GDP'!G54,NA())),NA())</f>
        <v>718281.265</v>
      </c>
      <c r="I67" s="19" t="n">
        <f aca="false">IFERROR(IF('Real and nominal GDP'!H54="",NA(),IF(ISNUMBER('Real and nominal GDP'!H54),'Real and nominal GDP'!H54,NA())),NA())</f>
        <v>6221731</v>
      </c>
      <c r="J67" s="19" t="n">
        <f aca="false">IFERROR(IF('Real and nominal GDP'!I54="",NA(),IF(ISNUMBER('Real and nominal GDP'!I54),'Real and nominal GDP'!I54,NA())),NA())</f>
        <v>64.6946333333333</v>
      </c>
      <c r="K67" s="19" t="n">
        <f aca="false">IFERROR(IF('Real and nominal GDP'!J54="",NA(),IF(ISNUMBER('Real and nominal GDP'!J54),'Real and nominal GDP'!J54,NA())),NA())</f>
        <v>9.25129666666667</v>
      </c>
      <c r="L67" s="19" t="n">
        <f aca="false">IFERROR(IF('Real and nominal GDP'!K54="",NA(),IF(ISNUMBER('Real and nominal GDP'!K54),'Real and nominal GDP'!K54,NA())),NA())</f>
        <v>14.9973333333333</v>
      </c>
      <c r="M67" s="20" t="n">
        <f aca="false">IFERROR(D67/D63-1,NA())</f>
        <v>0.0432711126035865</v>
      </c>
      <c r="N67" s="20" t="n">
        <f aca="false">IFERROR(D67/D66-1,NA())</f>
        <v>-0.00203200056970798</v>
      </c>
      <c r="O67" s="20" t="n">
        <f aca="false">IFERROR(I67/I63-1,NA())</f>
        <v>0.327868320647751</v>
      </c>
      <c r="P67" s="21" t="n">
        <f aca="false">IF(COUNT(D64:D67)=4,SUM(D64:D67),NA())</f>
        <v>2867852.373</v>
      </c>
      <c r="Q67" s="21" t="n">
        <f aca="false">IF(COUNT(I64:I67)=4,SUM(I64:I67),NA())</f>
        <v>22276468</v>
      </c>
      <c r="R67" s="21" t="n">
        <f aca="false">IFERROR(I67/K67,NA())</f>
        <v>672525.29285084</v>
      </c>
      <c r="S67" s="21" t="n">
        <f aca="false">IFERROR(I67/L67,NA())</f>
        <v>414855.818812233</v>
      </c>
    </row>
    <row r="68" customFormat="false" ht="15" hidden="false" customHeight="false" outlineLevel="0" collapsed="false">
      <c r="A68" s="16" t="n">
        <f aca="false">IFERROR(IF(ISNUMBER('Real and nominal GDP'!A55),'Real and nominal GDP'!A55,NA()),NA())</f>
        <v>42339</v>
      </c>
      <c r="B68" s="17" t="str">
        <f aca="false">IFERROR(IF('Real and nominal GDP'!B55="",NA(),'Real and nominal GDP'!B55),NA())</f>
        <v>154</v>
      </c>
      <c r="C68" s="18" t="n">
        <f aca="false">IFERROR(YEAR(A68),0)</f>
        <v>2015</v>
      </c>
      <c r="D68" s="19" t="n">
        <f aca="false">IFERROR(IF('Real and nominal GDP'!C55="",NA(),IF(ISNUMBER('Real and nominal GDP'!C55),'Real and nominal GDP'!C55,NA())),NA())</f>
        <v>718845.361</v>
      </c>
      <c r="E68" s="19" t="n">
        <f aca="false">IFERROR(IF('Real and nominal GDP'!D55="",NA(),IF(ISNUMBER('Real and nominal GDP'!D55),'Real and nominal GDP'!D55,NA())),NA())</f>
        <v>520667.162</v>
      </c>
      <c r="F68" s="19" t="n">
        <f aca="false">IFERROR(IF('Real and nominal GDP'!E55="",NA(),IF(ISNUMBER('Real and nominal GDP'!E55),'Real and nominal GDP'!E55,NA())),NA())</f>
        <v>97166.662</v>
      </c>
      <c r="G68" s="19" t="n">
        <f aca="false">IFERROR(IF('Real and nominal GDP'!F55="",NA(),IF(ISNUMBER('Real and nominal GDP'!F55),'Real and nominal GDP'!F55,NA())),NA())</f>
        <v>140953.14</v>
      </c>
      <c r="H68" s="19" t="n">
        <f aca="false">IFERROR(IF('Real and nominal GDP'!G55="",NA(),IF(ISNUMBER('Real and nominal GDP'!G55),'Real and nominal GDP'!G55,NA())),NA())</f>
        <v>703681.544</v>
      </c>
      <c r="I68" s="19" t="n">
        <f aca="false">IFERROR(IF('Real and nominal GDP'!H55="",NA(),IF(ISNUMBER('Real and nominal GDP'!H55),'Real and nominal GDP'!H55,NA())),NA())</f>
        <v>6552140</v>
      </c>
      <c r="J68" s="19" t="n">
        <f aca="false">IFERROR(IF('Real and nominal GDP'!I55="",NA(),IF(ISNUMBER('Real and nominal GDP'!I55),'Real and nominal GDP'!I55,NA())),NA())</f>
        <v>68.6795666666667</v>
      </c>
      <c r="K68" s="19" t="n">
        <f aca="false">IFERROR(IF('Real and nominal GDP'!J55="",NA(),IF(ISNUMBER('Real and nominal GDP'!J55),'Real and nominal GDP'!J55,NA())),NA())</f>
        <v>10.1747933333333</v>
      </c>
      <c r="L68" s="19" t="n">
        <f aca="false">IFERROR(IF('Real and nominal GDP'!K55="",NA(),IF(ISNUMBER('Real and nominal GDP'!K55),'Real and nominal GDP'!K55,NA())),NA())</f>
        <v>15.082</v>
      </c>
      <c r="M68" s="20" t="n">
        <f aca="false">IFERROR(D68/D64-1,NA())</f>
        <v>0.0258240970787798</v>
      </c>
      <c r="N68" s="20" t="n">
        <f aca="false">IFERROR(D68/D67-1,NA())</f>
        <v>-0.0118334386392421</v>
      </c>
      <c r="O68" s="20" t="n">
        <f aca="false">IFERROR(I68/I64-1,NA())</f>
        <v>0.307665165039305</v>
      </c>
      <c r="P68" s="21" t="n">
        <f aca="false">IF(COUNT(D65:D68)=4,SUM(D65:D68),NA())</f>
        <v>2885948.587</v>
      </c>
      <c r="Q68" s="21" t="n">
        <f aca="false">IF(COUNT(I65:I68)=4,SUM(I65:I68),NA())</f>
        <v>23818044</v>
      </c>
      <c r="R68" s="21" t="n">
        <f aca="false">IFERROR(I68/K68,NA())</f>
        <v>643958.04271864</v>
      </c>
      <c r="S68" s="21" t="n">
        <f aca="false">IFERROR(I68/L68,NA())</f>
        <v>434434.425142554</v>
      </c>
    </row>
    <row r="69" customFormat="false" ht="15" hidden="false" customHeight="false" outlineLevel="0" collapsed="false">
      <c r="A69" s="16" t="n">
        <f aca="false">IFERROR(IF(ISNUMBER('Real and nominal GDP'!A56),'Real and nominal GDP'!A56,NA()),NA())</f>
        <v>42430</v>
      </c>
      <c r="B69" s="17" t="str">
        <f aca="false">IFERROR(IF('Real and nominal GDP'!B56="",NA(),'Real and nominal GDP'!B56),NA())</f>
        <v>161</v>
      </c>
      <c r="C69" s="18" t="n">
        <f aca="false">IFERROR(YEAR(A69),0)</f>
        <v>2016</v>
      </c>
      <c r="D69" s="19" t="n">
        <f aca="false">IFERROR(IF('Real and nominal GDP'!C56="",NA(),IF(ISNUMBER('Real and nominal GDP'!C56),'Real and nominal GDP'!C56,NA())),NA())</f>
        <v>713388.107</v>
      </c>
      <c r="E69" s="19" t="n">
        <f aca="false">IFERROR(IF('Real and nominal GDP'!D56="",NA(),IF(ISNUMBER('Real and nominal GDP'!D56),'Real and nominal GDP'!D56,NA())),NA())</f>
        <v>520516.987</v>
      </c>
      <c r="F69" s="19" t="n">
        <f aca="false">IFERROR(IF('Real and nominal GDP'!E56="",NA(),IF(ISNUMBER('Real and nominal GDP'!E56),'Real and nominal GDP'!E56,NA())),NA())</f>
        <v>96465.266</v>
      </c>
      <c r="G69" s="19" t="n">
        <f aca="false">IFERROR(IF('Real and nominal GDP'!F56="",NA(),IF(ISNUMBER('Real and nominal GDP'!F56),'Real and nominal GDP'!F56,NA())),NA())</f>
        <v>134576.01</v>
      </c>
      <c r="H69" s="19" t="n">
        <f aca="false">IFERROR(IF('Real and nominal GDP'!G56="",NA(),IF(ISNUMBER('Real and nominal GDP'!G56),'Real and nominal GDP'!G56,NA())),NA())</f>
        <v>677652.089</v>
      </c>
      <c r="I69" s="19" t="n">
        <f aca="false">IFERROR(IF('Real and nominal GDP'!H56="",NA(),IF(ISNUMBER('Real and nominal GDP'!H56),'Real and nominal GDP'!H56,NA())),NA())</f>
        <v>7006645</v>
      </c>
      <c r="J69" s="19" t="n">
        <f aca="false">IFERROR(IF('Real and nominal GDP'!I56="",NA(),IF(ISNUMBER('Real and nominal GDP'!I56),'Real and nominal GDP'!I56,NA())),NA())</f>
        <v>76.633</v>
      </c>
      <c r="K69" s="19" t="n">
        <f aca="false">IFERROR(IF('Real and nominal GDP'!J56="",NA(),IF(ISNUMBER('Real and nominal GDP'!J56),'Real and nominal GDP'!J56,NA())),NA())</f>
        <v>14.4866066666667</v>
      </c>
      <c r="L69" s="19" t="n">
        <f aca="false">IFERROR(IF('Real and nominal GDP'!K56="",NA(),IF(ISNUMBER('Real and nominal GDP'!K56),'Real and nominal GDP'!K56,NA())),NA())</f>
        <v>14.7833333333333</v>
      </c>
      <c r="M69" s="20" t="n">
        <f aca="false">IFERROR(D69/D65-1,NA())</f>
        <v>0.00376150205476522</v>
      </c>
      <c r="N69" s="20" t="n">
        <f aca="false">IFERROR(D69/D68-1,NA())</f>
        <v>-0.00759169398048054</v>
      </c>
      <c r="O69" s="20" t="n">
        <f aca="false">IFERROR(I69/I65-1,NA())</f>
        <v>0.375822894523017</v>
      </c>
      <c r="P69" s="21" t="n">
        <f aca="false">IF(COUNT(D66:D69)=4,SUM(D66:D69),NA())</f>
        <v>2888621.942</v>
      </c>
      <c r="Q69" s="21" t="n">
        <f aca="false">IF(COUNT(I66:I69)=4,SUM(I66:I69),NA())</f>
        <v>25731995</v>
      </c>
      <c r="R69" s="21" t="n">
        <f aca="false">IFERROR(I69/K69,NA())</f>
        <v>483663.646098856</v>
      </c>
      <c r="S69" s="21" t="n">
        <f aca="false">IFERROR(I69/L69,NA())</f>
        <v>473955.693348365</v>
      </c>
    </row>
    <row r="70" customFormat="false" ht="15" hidden="false" customHeight="false" outlineLevel="0" collapsed="false">
      <c r="A70" s="16" t="n">
        <f aca="false">IFERROR(IF(ISNUMBER('Real and nominal GDP'!A57),'Real and nominal GDP'!A57,NA()),NA())</f>
        <v>42522</v>
      </c>
      <c r="B70" s="17" t="str">
        <f aca="false">IFERROR(IF('Real and nominal GDP'!B57="",NA(),'Real and nominal GDP'!B57),NA())</f>
        <v>162</v>
      </c>
      <c r="C70" s="18" t="n">
        <f aca="false">IFERROR(YEAR(A70),0)</f>
        <v>2016</v>
      </c>
      <c r="D70" s="19" t="n">
        <f aca="false">IFERROR(IF('Real and nominal GDP'!C57="",NA(),IF(ISNUMBER('Real and nominal GDP'!C57),'Real and nominal GDP'!C57,NA())),NA())</f>
        <v>701514.773</v>
      </c>
      <c r="E70" s="19" t="n">
        <f aca="false">IFERROR(IF('Real and nominal GDP'!D57="",NA(),IF(ISNUMBER('Real and nominal GDP'!D57),'Real and nominal GDP'!D57,NA())),NA())</f>
        <v>515989.48</v>
      </c>
      <c r="F70" s="19" t="n">
        <f aca="false">IFERROR(IF('Real and nominal GDP'!E57="",NA(),IF(ISNUMBER('Real and nominal GDP'!E57),'Real and nominal GDP'!E57,NA())),NA())</f>
        <v>94350.786</v>
      </c>
      <c r="G70" s="19" t="n">
        <f aca="false">IFERROR(IF('Real and nominal GDP'!F57="",NA(),IF(ISNUMBER('Real and nominal GDP'!F57),'Real and nominal GDP'!F57,NA())),NA())</f>
        <v>131382.332</v>
      </c>
      <c r="H70" s="19" t="n">
        <f aca="false">IFERROR(IF('Real and nominal GDP'!G57="",NA(),IF(ISNUMBER('Real and nominal GDP'!G57),'Real and nominal GDP'!G57,NA())),NA())</f>
        <v>760703.28</v>
      </c>
      <c r="I70" s="19" t="n">
        <f aca="false">IFERROR(IF('Real and nominal GDP'!H57="",NA(),IF(ISNUMBER('Real and nominal GDP'!H57),'Real and nominal GDP'!H57,NA())),NA())</f>
        <v>8414556</v>
      </c>
      <c r="J70" s="19" t="n">
        <f aca="false">IFERROR(IF('Real and nominal GDP'!I57="",NA(),IF(ISNUMBER('Real and nominal GDP'!I57),'Real and nominal GDP'!I57,NA())),NA())</f>
        <v>88.2878</v>
      </c>
      <c r="K70" s="19" t="n">
        <f aca="false">IFERROR(IF('Real and nominal GDP'!J57="",NA(),IF(ISNUMBER('Real and nominal GDP'!J57),'Real and nominal GDP'!J57,NA())),NA())</f>
        <v>14.23099</v>
      </c>
      <c r="L70" s="19" t="n">
        <f aca="false">IFERROR(IF('Real and nominal GDP'!K57="",NA(),IF(ISNUMBER('Real and nominal GDP'!K57),'Real and nominal GDP'!K57,NA())),NA())</f>
        <v>14.4963333333333</v>
      </c>
      <c r="M70" s="20" t="n">
        <f aca="false">IFERROR(D70/D66-1,NA())</f>
        <v>-0.0376166163056262</v>
      </c>
      <c r="N70" s="20" t="n">
        <f aca="false">IFERROR(D70/D69-1,NA())</f>
        <v>-0.0166435827616059</v>
      </c>
      <c r="O70" s="20" t="n">
        <f aca="false">IFERROR(I70/I66-1,NA())</f>
        <v>0.41385964732464</v>
      </c>
      <c r="P70" s="21" t="n">
        <f aca="false">IF(COUNT(D67:D70)=4,SUM(D67:D70),NA())</f>
        <v>2861201.88</v>
      </c>
      <c r="Q70" s="21" t="n">
        <f aca="false">IF(COUNT(I67:I70)=4,SUM(I67:I70),NA())</f>
        <v>28195072</v>
      </c>
      <c r="R70" s="21" t="n">
        <f aca="false">IFERROR(I70/K70,NA())</f>
        <v>591283.951432754</v>
      </c>
      <c r="S70" s="21" t="n">
        <f aca="false">IFERROR(I70/L70,NA())</f>
        <v>580460.990135437</v>
      </c>
    </row>
    <row r="71" customFormat="false" ht="15" hidden="false" customHeight="false" outlineLevel="0" collapsed="false">
      <c r="A71" s="16" t="n">
        <f aca="false">IFERROR(IF(ISNUMBER('Real and nominal GDP'!A58),'Real and nominal GDP'!A58,NA()),NA())</f>
        <v>42614</v>
      </c>
      <c r="B71" s="17" t="str">
        <f aca="false">IFERROR(IF('Real and nominal GDP'!B58="",NA(),'Real and nominal GDP'!B58),NA())</f>
        <v>163</v>
      </c>
      <c r="C71" s="18" t="n">
        <f aca="false">IFERROR(YEAR(A71),0)</f>
        <v>2016</v>
      </c>
      <c r="D71" s="19" t="n">
        <f aca="false">IFERROR(IF('Real and nominal GDP'!C58="",NA(),IF(ISNUMBER('Real and nominal GDP'!C58),'Real and nominal GDP'!C58,NA())),NA())</f>
        <v>703211.859</v>
      </c>
      <c r="E71" s="19" t="n">
        <f aca="false">IFERROR(IF('Real and nominal GDP'!D58="",NA(),IF(ISNUMBER('Real and nominal GDP'!D58),'Real and nominal GDP'!D58,NA())),NA())</f>
        <v>513838.65</v>
      </c>
      <c r="F71" s="19" t="n">
        <f aca="false">IFERROR(IF('Real and nominal GDP'!E58="",NA(),IF(ISNUMBER('Real and nominal GDP'!E58),'Real and nominal GDP'!E58,NA())),NA())</f>
        <v>96626.84</v>
      </c>
      <c r="G71" s="19" t="n">
        <f aca="false">IFERROR(IF('Real and nominal GDP'!F58="",NA(),IF(ISNUMBER('Real and nominal GDP'!F58),'Real and nominal GDP'!F58,NA())),NA())</f>
        <v>131200.31</v>
      </c>
      <c r="H71" s="19" t="n">
        <f aca="false">IFERROR(IF('Real and nominal GDP'!G58="",NA(),IF(ISNUMBER('Real and nominal GDP'!G58),'Real and nominal GDP'!G58,NA())),NA())</f>
        <v>694382.476</v>
      </c>
      <c r="I71" s="19" t="n">
        <f aca="false">IFERROR(IF('Real and nominal GDP'!H58="",NA(),IF(ISNUMBER('Real and nominal GDP'!H58),'Real and nominal GDP'!H58,NA())),NA())</f>
        <v>8527629</v>
      </c>
      <c r="J71" s="19" t="n">
        <f aca="false">IFERROR(IF('Real and nominal GDP'!I58="",NA(),IF(ISNUMBER('Real and nominal GDP'!I58),'Real and nominal GDP'!I58,NA())),NA())</f>
        <v>93.5306</v>
      </c>
      <c r="K71" s="19" t="n">
        <f aca="false">IFERROR(IF('Real and nominal GDP'!J58="",NA(),IF(ISNUMBER('Real and nominal GDP'!J58),'Real and nominal GDP'!J58,NA())),NA())</f>
        <v>14.9491666666667</v>
      </c>
      <c r="L71" s="19" t="n">
        <f aca="false">IFERROR(IF('Real and nominal GDP'!K58="",NA(),IF(ISNUMBER('Real and nominal GDP'!K58),'Real and nominal GDP'!K58,NA())),NA())</f>
        <v>15.1943333333333</v>
      </c>
      <c r="M71" s="20" t="n">
        <f aca="false">IFERROR(D71/D67-1,NA())</f>
        <v>-0.0333241579948986</v>
      </c>
      <c r="N71" s="20" t="n">
        <f aca="false">IFERROR(D71/D70-1,NA())</f>
        <v>0.00241917357312738</v>
      </c>
      <c r="O71" s="20" t="n">
        <f aca="false">IFERROR(I71/I67-1,NA())</f>
        <v>0.370620009126078</v>
      </c>
      <c r="P71" s="21" t="n">
        <f aca="false">IF(COUNT(D68:D71)=4,SUM(D68:D71),NA())</f>
        <v>2836960.1</v>
      </c>
      <c r="Q71" s="21" t="n">
        <f aca="false">IF(COUNT(I68:I71)=4,SUM(I68:I71),NA())</f>
        <v>30500970</v>
      </c>
      <c r="R71" s="21" t="n">
        <f aca="false">IFERROR(I71/K71,NA())</f>
        <v>570441.763754947</v>
      </c>
      <c r="S71" s="21" t="n">
        <f aca="false">IFERROR(I71/L71,NA())</f>
        <v>561237.456946669</v>
      </c>
    </row>
    <row r="72" customFormat="false" ht="15" hidden="false" customHeight="false" outlineLevel="0" collapsed="false">
      <c r="A72" s="16" t="n">
        <f aca="false">IFERROR(IF(ISNUMBER('Real and nominal GDP'!A59),'Real and nominal GDP'!A59,NA()),NA())</f>
        <v>42705</v>
      </c>
      <c r="B72" s="17" t="str">
        <f aca="false">IFERROR(IF('Real and nominal GDP'!B59="",NA(),'Real and nominal GDP'!B59),NA())</f>
        <v>164</v>
      </c>
      <c r="C72" s="18" t="n">
        <f aca="false">IFERROR(YEAR(A72),0)</f>
        <v>2016</v>
      </c>
      <c r="D72" s="19" t="n">
        <f aca="false">IFERROR(IF('Real and nominal GDP'!C59="",NA(),IF(ISNUMBER('Real and nominal GDP'!C59),'Real and nominal GDP'!C59,NA())),NA())</f>
        <v>707796.656</v>
      </c>
      <c r="E72" s="19" t="n">
        <f aca="false">IFERROR(IF('Real and nominal GDP'!D59="",NA(),IF(ISNUMBER('Real and nominal GDP'!D59),'Real and nominal GDP'!D59,NA())),NA())</f>
        <v>517975.438</v>
      </c>
      <c r="F72" s="19" t="n">
        <f aca="false">IFERROR(IF('Real and nominal GDP'!E59="",NA(),IF(ISNUMBER('Real and nominal GDP'!E59),'Real and nominal GDP'!E59,NA())),NA())</f>
        <v>97694.747</v>
      </c>
      <c r="G72" s="19" t="n">
        <f aca="false">IFERROR(IF('Real and nominal GDP'!F59="",NA(),IF(ISNUMBER('Real and nominal GDP'!F59),'Real and nominal GDP'!F59,NA())),NA())</f>
        <v>133893.569</v>
      </c>
      <c r="H72" s="19" t="n">
        <f aca="false">IFERROR(IF('Real and nominal GDP'!G59="",NA(),IF(ISNUMBER('Real and nominal GDP'!G59),'Real and nominal GDP'!G59,NA())),NA())</f>
        <v>693173.549</v>
      </c>
      <c r="I72" s="19" t="n">
        <f aca="false">IFERROR(IF('Real and nominal GDP'!H59="",NA(),IF(ISNUMBER('Real and nominal GDP'!H59),'Real and nominal GDP'!H59,NA())),NA())</f>
        <v>8963808</v>
      </c>
      <c r="J72" s="19" t="n">
        <f aca="false">IFERROR(IF('Real and nominal GDP'!I59="",NA(),IF(ISNUMBER('Real and nominal GDP'!I59),'Real and nominal GDP'!I59,NA())),NA())</f>
        <v>98.5429333333333</v>
      </c>
      <c r="K72" s="19" t="n">
        <f aca="false">IFERROR(IF('Real and nominal GDP'!J59="",NA(),IF(ISNUMBER('Real and nominal GDP'!J59),'Real and nominal GDP'!J59,NA())),NA())</f>
        <v>15.4573066666667</v>
      </c>
      <c r="L72" s="19" t="n">
        <f aca="false">IFERROR(IF('Real and nominal GDP'!K59="",NA(),IF(ISNUMBER('Real and nominal GDP'!K59),'Real and nominal GDP'!K59,NA())),NA())</f>
        <v>15.752</v>
      </c>
      <c r="M72" s="20" t="n">
        <f aca="false">IFERROR(D72/D68-1,NA())</f>
        <v>-0.0153700720619939</v>
      </c>
      <c r="N72" s="20" t="n">
        <f aca="false">IFERROR(D72/D71-1,NA())</f>
        <v>0.00651979476927433</v>
      </c>
      <c r="O72" s="20" t="n">
        <f aca="false">IFERROR(I72/I68-1,NA())</f>
        <v>0.368073331766415</v>
      </c>
      <c r="P72" s="21" t="n">
        <f aca="false">IF(COUNT(D69:D72)=4,SUM(D69:D72),NA())</f>
        <v>2825911.395</v>
      </c>
      <c r="Q72" s="21" t="n">
        <f aca="false">IF(COUNT(I69:I72)=4,SUM(I69:I72),NA())</f>
        <v>32912638</v>
      </c>
      <c r="R72" s="21" t="n">
        <f aca="false">IFERROR(I72/K72,NA())</f>
        <v>579907.495743114</v>
      </c>
      <c r="S72" s="21" t="n">
        <f aca="false">IFERROR(I72/L72,NA())</f>
        <v>569058.405281869</v>
      </c>
    </row>
    <row r="73" customFormat="false" ht="15" hidden="false" customHeight="false" outlineLevel="0" collapsed="false">
      <c r="A73" s="16" t="n">
        <f aca="false">IFERROR(IF(ISNUMBER('Real and nominal GDP'!A60),'Real and nominal GDP'!A60,NA()),NA())</f>
        <v>42795</v>
      </c>
      <c r="B73" s="17" t="str">
        <f aca="false">IFERROR(IF('Real and nominal GDP'!B60="",NA(),'Real and nominal GDP'!B60),NA())</f>
        <v>171</v>
      </c>
      <c r="C73" s="18" t="n">
        <f aca="false">IFERROR(YEAR(A73),0)</f>
        <v>2017</v>
      </c>
      <c r="D73" s="19" t="n">
        <f aca="false">IFERROR(IF('Real and nominal GDP'!C60="",NA(),IF(ISNUMBER('Real and nominal GDP'!C60),'Real and nominal GDP'!C60,NA())),NA())</f>
        <v>714701.004</v>
      </c>
      <c r="E73" s="19" t="n">
        <f aca="false">IFERROR(IF('Real and nominal GDP'!D60="",NA(),IF(ISNUMBER('Real and nominal GDP'!D60),'Real and nominal GDP'!D60,NA())),NA())</f>
        <v>531030.937</v>
      </c>
      <c r="F73" s="19" t="n">
        <f aca="false">IFERROR(IF('Real and nominal GDP'!E60="",NA(),IF(ISNUMBER('Real and nominal GDP'!E60),'Real and nominal GDP'!E60,NA())),NA())</f>
        <v>98159.584</v>
      </c>
      <c r="G73" s="19" t="n">
        <f aca="false">IFERROR(IF('Real and nominal GDP'!F60="",NA(),IF(ISNUMBER('Real and nominal GDP'!F60),'Real and nominal GDP'!F60,NA())),NA())</f>
        <v>139328.965</v>
      </c>
      <c r="H73" s="19" t="n">
        <f aca="false">IFERROR(IF('Real and nominal GDP'!G60="",NA(),IF(ISNUMBER('Real and nominal GDP'!G60),'Real and nominal GDP'!G60,NA())),NA())</f>
        <v>681444.766</v>
      </c>
      <c r="I73" s="19" t="n">
        <f aca="false">IFERROR(IF('Real and nominal GDP'!H60="",NA(),IF(ISNUMBER('Real and nominal GDP'!H60),'Real and nominal GDP'!H60,NA())),NA())</f>
        <v>9240878</v>
      </c>
      <c r="J73" s="19" t="n">
        <f aca="false">IFERROR(IF('Real and nominal GDP'!I60="",NA(),IF(ISNUMBER('Real and nominal GDP'!I60),'Real and nominal GDP'!I60,NA())),NA())</f>
        <v>103.806466666667</v>
      </c>
      <c r="K73" s="19" t="n">
        <f aca="false">IFERROR(IF('Real and nominal GDP'!J60="",NA(),IF(ISNUMBER('Real and nominal GDP'!J60),'Real and nominal GDP'!J60,NA())),NA())</f>
        <v>15.6742233333333</v>
      </c>
      <c r="L73" s="19" t="n">
        <f aca="false">IFERROR(IF('Real and nominal GDP'!K60="",NA(),IF(ISNUMBER('Real and nominal GDP'!K60),'Real and nominal GDP'!K60,NA())),NA())</f>
        <v>16.2476666666667</v>
      </c>
      <c r="M73" s="20" t="n">
        <f aca="false">IFERROR(D73/D69-1,NA())</f>
        <v>0.0018403684994428</v>
      </c>
      <c r="N73" s="20" t="n">
        <f aca="false">IFERROR(D73/D72-1,NA())</f>
        <v>0.00975470559442715</v>
      </c>
      <c r="O73" s="20" t="n">
        <f aca="false">IFERROR(I73/I69-1,NA())</f>
        <v>0.318873440855074</v>
      </c>
      <c r="P73" s="21" t="n">
        <f aca="false">IF(COUNT(D70:D73)=4,SUM(D70:D73),NA())</f>
        <v>2827224.292</v>
      </c>
      <c r="Q73" s="21" t="n">
        <f aca="false">IF(COUNT(I70:I73)=4,SUM(I70:I73),NA())</f>
        <v>35146871</v>
      </c>
      <c r="R73" s="21" t="n">
        <f aca="false">IFERROR(I73/K73,NA())</f>
        <v>589558.908500942</v>
      </c>
      <c r="S73" s="21" t="n">
        <f aca="false">IFERROR(I73/L73,NA())</f>
        <v>568751.082206676</v>
      </c>
    </row>
    <row r="74" customFormat="false" ht="15" hidden="false" customHeight="false" outlineLevel="0" collapsed="false">
      <c r="A74" s="16" t="n">
        <f aca="false">IFERROR(IF(ISNUMBER('Real and nominal GDP'!A61),'Real and nominal GDP'!A61,NA()),NA())</f>
        <v>42887</v>
      </c>
      <c r="B74" s="17" t="str">
        <f aca="false">IFERROR(IF('Real and nominal GDP'!B61="",NA(),'Real and nominal GDP'!B61),NA())</f>
        <v>172</v>
      </c>
      <c r="C74" s="18" t="n">
        <f aca="false">IFERROR(YEAR(A74),0)</f>
        <v>2017</v>
      </c>
      <c r="D74" s="19" t="n">
        <f aca="false">IFERROR(IF('Real and nominal GDP'!C61="",NA(),IF(ISNUMBER('Real and nominal GDP'!C61),'Real and nominal GDP'!C61,NA())),NA())</f>
        <v>721713.658</v>
      </c>
      <c r="E74" s="19" t="n">
        <f aca="false">IFERROR(IF('Real and nominal GDP'!D61="",NA(),IF(ISNUMBER('Real and nominal GDP'!D61),'Real and nominal GDP'!D61,NA())),NA())</f>
        <v>533213.036</v>
      </c>
      <c r="F74" s="19" t="n">
        <f aca="false">IFERROR(IF('Real and nominal GDP'!E61="",NA(),IF(ISNUMBER('Real and nominal GDP'!E61),'Real and nominal GDP'!E61,NA())),NA())</f>
        <v>98371.791</v>
      </c>
      <c r="G74" s="19" t="n">
        <f aca="false">IFERROR(IF('Real and nominal GDP'!F61="",NA(),IF(ISNUMBER('Real and nominal GDP'!F61),'Real and nominal GDP'!F61,NA())),NA())</f>
        <v>146886.612</v>
      </c>
      <c r="H74" s="19" t="n">
        <f aca="false">IFERROR(IF('Real and nominal GDP'!G61="",NA(),IF(ISNUMBER('Real and nominal GDP'!G61),'Real and nominal GDP'!G61,NA())),NA())</f>
        <v>778401.676</v>
      </c>
      <c r="I74" s="19" t="n">
        <f aca="false">IFERROR(IF('Real and nominal GDP'!H61="",NA(),IF(ISNUMBER('Real and nominal GDP'!H61),'Real and nominal GDP'!H61,NA())),NA())</f>
        <v>10558208</v>
      </c>
      <c r="J74" s="19" t="n">
        <f aca="false">IFERROR(IF('Real and nominal GDP'!I61="",NA(),IF(ISNUMBER('Real and nominal GDP'!I61),'Real and nominal GDP'!I61,NA())),NA())</f>
        <v>110.448166666667</v>
      </c>
      <c r="K74" s="19" t="n">
        <f aca="false">IFERROR(IF('Real and nominal GDP'!J61="",NA(),IF(ISNUMBER('Real and nominal GDP'!J61),'Real and nominal GDP'!J61,NA())),NA())</f>
        <v>15.73215</v>
      </c>
      <c r="L74" s="19" t="n">
        <f aca="false">IFERROR(IF('Real and nominal GDP'!K61="",NA(),IF(ISNUMBER('Real and nominal GDP'!K61),'Real and nominal GDP'!K61,NA())),NA())</f>
        <v>15.979</v>
      </c>
      <c r="M74" s="20" t="n">
        <f aca="false">IFERROR(D74/D70-1,NA())</f>
        <v>0.0287932425337534</v>
      </c>
      <c r="N74" s="20" t="n">
        <f aca="false">IFERROR(D74/D73-1,NA())</f>
        <v>0.00981201084194927</v>
      </c>
      <c r="O74" s="20" t="n">
        <f aca="false">IFERROR(I74/I70-1,NA())</f>
        <v>0.254755212277392</v>
      </c>
      <c r="P74" s="21" t="n">
        <f aca="false">IF(COUNT(D71:D74)=4,SUM(D71:D74),NA())</f>
        <v>2847423.177</v>
      </c>
      <c r="Q74" s="21" t="n">
        <f aca="false">IF(COUNT(I71:I74)=4,SUM(I71:I74),NA())</f>
        <v>37290523</v>
      </c>
      <c r="R74" s="21" t="n">
        <f aca="false">IFERROR(I74/K74,NA())</f>
        <v>671123.018786371</v>
      </c>
      <c r="S74" s="21" t="n">
        <f aca="false">IFERROR(I74/L74,NA())</f>
        <v>660755.241254146</v>
      </c>
    </row>
    <row r="75" customFormat="false" ht="15" hidden="false" customHeight="false" outlineLevel="0" collapsed="false">
      <c r="A75" s="16" t="n">
        <f aca="false">IFERROR(IF(ISNUMBER('Real and nominal GDP'!A62),'Real and nominal GDP'!A62,NA()),NA())</f>
        <v>42979</v>
      </c>
      <c r="B75" s="17" t="str">
        <f aca="false">IFERROR(IF('Real and nominal GDP'!B62="",NA(),'Real and nominal GDP'!B62),NA())</f>
        <v>173</v>
      </c>
      <c r="C75" s="18" t="n">
        <f aca="false">IFERROR(YEAR(A75),0)</f>
        <v>2017</v>
      </c>
      <c r="D75" s="19" t="n">
        <f aca="false">IFERROR(IF('Real and nominal GDP'!C62="",NA(),IF(ISNUMBER('Real and nominal GDP'!C62),'Real and nominal GDP'!C62,NA())),NA())</f>
        <v>731047.006</v>
      </c>
      <c r="E75" s="19" t="n">
        <f aca="false">IFERROR(IF('Real and nominal GDP'!D62="",NA(),IF(ISNUMBER('Real and nominal GDP'!D62),'Real and nominal GDP'!D62,NA())),NA())</f>
        <v>541396.14</v>
      </c>
      <c r="F75" s="19" t="n">
        <f aca="false">IFERROR(IF('Real and nominal GDP'!E62="",NA(),IF(ISNUMBER('Real and nominal GDP'!E62),'Real and nominal GDP'!E62,NA())),NA())</f>
        <v>99345.368</v>
      </c>
      <c r="G75" s="19" t="n">
        <f aca="false">IFERROR(IF('Real and nominal GDP'!F62="",NA(),IF(ISNUMBER('Real and nominal GDP'!F62),'Real and nominal GDP'!F62,NA())),NA())</f>
        <v>154564.521</v>
      </c>
      <c r="H75" s="19" t="n">
        <f aca="false">IFERROR(IF('Real and nominal GDP'!G62="",NA(),IF(ISNUMBER('Real and nominal GDP'!G62),'Real and nominal GDP'!G62,NA())),NA())</f>
        <v>721120.427</v>
      </c>
      <c r="I75" s="19" t="n">
        <f aca="false">IFERROR(IF('Real and nominal GDP'!H62="",NA(),IF(ISNUMBER('Real and nominal GDP'!H62),'Real and nominal GDP'!H62,NA())),NA())</f>
        <v>11116422</v>
      </c>
      <c r="J75" s="19" t="n">
        <f aca="false">IFERROR(IF('Real and nominal GDP'!I62="",NA(),IF(ISNUMBER('Real and nominal GDP'!I62),'Real and nominal GDP'!I62,NA())),NA())</f>
        <v>115.579666666667</v>
      </c>
      <c r="K75" s="19" t="n">
        <f aca="false">IFERROR(IF('Real and nominal GDP'!J62="",NA(),IF(ISNUMBER('Real and nominal GDP'!J62),'Real and nominal GDP'!J62,NA())),NA())</f>
        <v>17.2848933333333</v>
      </c>
      <c r="L75" s="19" t="n">
        <f aca="false">IFERROR(IF('Real and nominal GDP'!K62="",NA(),IF(ISNUMBER('Real and nominal GDP'!K62),'Real and nominal GDP'!K62,NA())),NA())</f>
        <v>17.7636666666667</v>
      </c>
      <c r="M75" s="20" t="n">
        <f aca="false">IFERROR(D75/D71-1,NA())</f>
        <v>0.0395828748388614</v>
      </c>
      <c r="N75" s="20" t="n">
        <f aca="false">IFERROR(D75/D74-1,NA())</f>
        <v>0.0129322036468928</v>
      </c>
      <c r="O75" s="20" t="n">
        <f aca="false">IFERROR(I75/I71-1,NA())</f>
        <v>0.303577113873035</v>
      </c>
      <c r="P75" s="21" t="n">
        <f aca="false">IF(COUNT(D72:D75)=4,SUM(D72:D75),NA())</f>
        <v>2875258.324</v>
      </c>
      <c r="Q75" s="21" t="n">
        <f aca="false">IF(COUNT(I72:I75)=4,SUM(I72:I75),NA())</f>
        <v>39879316</v>
      </c>
      <c r="R75" s="21" t="n">
        <f aca="false">IFERROR(I75/K75,NA())</f>
        <v>643129.337602701</v>
      </c>
      <c r="S75" s="21" t="n">
        <f aca="false">IFERROR(I75/L75,NA())</f>
        <v>625795.462648477</v>
      </c>
    </row>
    <row r="76" customFormat="false" ht="15" hidden="false" customHeight="false" outlineLevel="0" collapsed="false">
      <c r="A76" s="16" t="n">
        <f aca="false">IFERROR(IF(ISNUMBER('Real and nominal GDP'!A63),'Real and nominal GDP'!A63,NA()),NA())</f>
        <v>43070</v>
      </c>
      <c r="B76" s="17" t="str">
        <f aca="false">IFERROR(IF('Real and nominal GDP'!B63="",NA(),'Real and nominal GDP'!B63),NA())</f>
        <v>174</v>
      </c>
      <c r="C76" s="18" t="n">
        <f aca="false">IFERROR(YEAR(A76),0)</f>
        <v>2017</v>
      </c>
      <c r="D76" s="19" t="n">
        <f aca="false">IFERROR(IF('Real and nominal GDP'!C63="",NA(),IF(ISNUMBER('Real and nominal GDP'!C63),'Real and nominal GDP'!C63,NA())),NA())</f>
        <v>738098.124</v>
      </c>
      <c r="E76" s="19" t="n">
        <f aca="false">IFERROR(IF('Real and nominal GDP'!D63="",NA(),IF(ISNUMBER('Real and nominal GDP'!D63),'Real and nominal GDP'!D63,NA())),NA())</f>
        <v>548690.386</v>
      </c>
      <c r="F76" s="19" t="n">
        <f aca="false">IFERROR(IF('Real and nominal GDP'!E63="",NA(),IF(ISNUMBER('Real and nominal GDP'!E63),'Real and nominal GDP'!E63,NA())),NA())</f>
        <v>99417.455</v>
      </c>
      <c r="G76" s="19" t="n">
        <f aca="false">IFERROR(IF('Real and nominal GDP'!F63="",NA(),IF(ISNUMBER('Real and nominal GDP'!F63),'Real and nominal GDP'!F63,NA())),NA())</f>
        <v>161329.959</v>
      </c>
      <c r="H76" s="19" t="n">
        <f aca="false">IFERROR(IF('Real and nominal GDP'!G63="",NA(),IF(ISNUMBER('Real and nominal GDP'!G63),'Real and nominal GDP'!G63,NA())),NA())</f>
        <v>724592.922</v>
      </c>
      <c r="I76" s="19" t="n">
        <f aca="false">IFERROR(IF('Real and nominal GDP'!H63="",NA(),IF(ISNUMBER('Real and nominal GDP'!H63),'Real and nominal GDP'!H63,NA())),NA())</f>
        <v>11725406</v>
      </c>
      <c r="J76" s="19" t="n">
        <f aca="false">IFERROR(IF('Real and nominal GDP'!I63="",NA(),IF(ISNUMBER('Real and nominal GDP'!I63),'Real and nominal GDP'!I63,NA())),NA())</f>
        <v>121.714133333333</v>
      </c>
      <c r="K76" s="19" t="n">
        <f aca="false">IFERROR(IF('Real and nominal GDP'!J63="",NA(),IF(ISNUMBER('Real and nominal GDP'!J63),'Real and nominal GDP'!J63,NA())),NA())</f>
        <v>17.5551433333333</v>
      </c>
      <c r="L76" s="19" t="n">
        <f aca="false">IFERROR(IF('Real and nominal GDP'!K63="",NA(),IF(ISNUMBER('Real and nominal GDP'!K63),'Real and nominal GDP'!K63,NA())),NA())</f>
        <v>17.908</v>
      </c>
      <c r="M76" s="20" t="n">
        <f aca="false">IFERROR(D76/D72-1,NA())</f>
        <v>0.0428109793160707</v>
      </c>
      <c r="N76" s="20" t="n">
        <f aca="false">IFERROR(D76/D75-1,NA())</f>
        <v>0.00964523203313683</v>
      </c>
      <c r="O76" s="20" t="n">
        <f aca="false">IFERROR(I76/I72-1,NA())</f>
        <v>0.308083127170952</v>
      </c>
      <c r="P76" s="21" t="n">
        <f aca="false">IF(COUNT(D73:D76)=4,SUM(D73:D76),NA())</f>
        <v>2905559.792</v>
      </c>
      <c r="Q76" s="21" t="n">
        <f aca="false">IF(COUNT(I73:I76)=4,SUM(I73:I76),NA())</f>
        <v>42640914</v>
      </c>
      <c r="R76" s="21" t="n">
        <f aca="false">IFERROR(I76/K76,NA())</f>
        <v>667918.556821809</v>
      </c>
      <c r="S76" s="21" t="n">
        <f aca="false">IFERROR(I76/L76,NA())</f>
        <v>654757.985257985</v>
      </c>
    </row>
    <row r="77" customFormat="false" ht="15" hidden="false" customHeight="false" outlineLevel="0" collapsed="false">
      <c r="A77" s="16" t="n">
        <f aca="false">IFERROR(IF(ISNUMBER('Real and nominal GDP'!A64),'Real and nominal GDP'!A64,NA()),NA())</f>
        <v>43160</v>
      </c>
      <c r="B77" s="17" t="str">
        <f aca="false">IFERROR(IF('Real and nominal GDP'!B64="",NA(),'Real and nominal GDP'!B64),NA())</f>
        <v>181</v>
      </c>
      <c r="C77" s="18" t="n">
        <f aca="false">IFERROR(YEAR(A77),0)</f>
        <v>2018</v>
      </c>
      <c r="D77" s="19" t="n">
        <f aca="false">IFERROR(IF('Real and nominal GDP'!C64="",NA(),IF(ISNUMBER('Real and nominal GDP'!C64),'Real and nominal GDP'!C64,NA())),NA())</f>
        <v>734098.411</v>
      </c>
      <c r="E77" s="19" t="n">
        <f aca="false">IFERROR(IF('Real and nominal GDP'!D64="",NA(),IF(ISNUMBER('Real and nominal GDP'!D64),'Real and nominal GDP'!D64,NA())),NA())</f>
        <v>546568.689</v>
      </c>
      <c r="F77" s="19" t="n">
        <f aca="false">IFERROR(IF('Real and nominal GDP'!E64="",NA(),IF(ISNUMBER('Real and nominal GDP'!E64),'Real and nominal GDP'!E64,NA())),NA())</f>
        <v>97896.96</v>
      </c>
      <c r="G77" s="19" t="n">
        <f aca="false">IFERROR(IF('Real and nominal GDP'!F64="",NA(),IF(ISNUMBER('Real and nominal GDP'!F64),'Real and nominal GDP'!F64,NA())),NA())</f>
        <v>161282.846</v>
      </c>
      <c r="H77" s="19" t="n">
        <f aca="false">IFERROR(IF('Real and nominal GDP'!G64="",NA(),IF(ISNUMBER('Real and nominal GDP'!G64),'Real and nominal GDP'!G64,NA())),NA())</f>
        <v>707324.268</v>
      </c>
      <c r="I77" s="19" t="n">
        <f aca="false">IFERROR(IF('Real and nominal GDP'!H64="",NA(),IF(ISNUMBER('Real and nominal GDP'!H64),'Real and nominal GDP'!H64,NA())),NA())</f>
        <v>12457790</v>
      </c>
      <c r="J77" s="19" t="n">
        <f aca="false">IFERROR(IF('Real and nominal GDP'!I64="",NA(),IF(ISNUMBER('Real and nominal GDP'!I64),'Real and nominal GDP'!I64,NA())),NA())</f>
        <v>130.051566666667</v>
      </c>
      <c r="K77" s="19" t="n">
        <f aca="false">IFERROR(IF('Real and nominal GDP'!J64="",NA(),IF(ISNUMBER('Real and nominal GDP'!J64),'Real and nominal GDP'!J64,NA())),NA())</f>
        <v>19.7044033333333</v>
      </c>
      <c r="L77" s="19" t="n">
        <f aca="false">IFERROR(IF('Real and nominal GDP'!K64="",NA(),IF(ISNUMBER('Real and nominal GDP'!K64),'Real and nominal GDP'!K64,NA())),NA())</f>
        <v>19.975</v>
      </c>
      <c r="M77" s="20" t="n">
        <f aca="false">IFERROR(D77/D73-1,NA())</f>
        <v>0.0271405901089234</v>
      </c>
      <c r="N77" s="20" t="n">
        <f aca="false">IFERROR(D77/D76-1,NA())</f>
        <v>-0.00541894481227534</v>
      </c>
      <c r="O77" s="20" t="n">
        <f aca="false">IFERROR(I77/I73-1,NA())</f>
        <v>0.348117570646426</v>
      </c>
      <c r="P77" s="21" t="n">
        <f aca="false">IF(COUNT(D74:D77)=4,SUM(D74:D77),NA())</f>
        <v>2924957.199</v>
      </c>
      <c r="Q77" s="21" t="n">
        <f aca="false">IF(COUNT(I74:I77)=4,SUM(I74:I77),NA())</f>
        <v>45857826</v>
      </c>
      <c r="R77" s="21" t="n">
        <f aca="false">IFERROR(I77/K77,NA())</f>
        <v>632233.810344591</v>
      </c>
      <c r="S77" s="21" t="n">
        <f aca="false">IFERROR(I77/L77,NA())</f>
        <v>623669.086357947</v>
      </c>
    </row>
    <row r="78" customFormat="false" ht="15" hidden="false" customHeight="false" outlineLevel="0" collapsed="false">
      <c r="A78" s="16" t="n">
        <f aca="false">IFERROR(IF(ISNUMBER('Real and nominal GDP'!A65),'Real and nominal GDP'!A65,NA()),NA())</f>
        <v>43252</v>
      </c>
      <c r="B78" s="17" t="str">
        <f aca="false">IFERROR(IF('Real and nominal GDP'!B65="",NA(),'Real and nominal GDP'!B65),NA())</f>
        <v>182</v>
      </c>
      <c r="C78" s="18" t="n">
        <f aca="false">IFERROR(YEAR(A78),0)</f>
        <v>2018</v>
      </c>
      <c r="D78" s="19" t="n">
        <f aca="false">IFERROR(IF('Real and nominal GDP'!C65="",NA(),IF(ISNUMBER('Real and nominal GDP'!C65),'Real and nominal GDP'!C65,NA())),NA())</f>
        <v>703426.52</v>
      </c>
      <c r="E78" s="19" t="n">
        <f aca="false">IFERROR(IF('Real and nominal GDP'!D65="",NA(),IF(ISNUMBER('Real and nominal GDP'!D65),'Real and nominal GDP'!D65,NA())),NA())</f>
        <v>540185.228</v>
      </c>
      <c r="F78" s="19" t="n">
        <f aca="false">IFERROR(IF('Real and nominal GDP'!E65="",NA(),IF(ISNUMBER('Real and nominal GDP'!E65),'Real and nominal GDP'!E65,NA())),NA())</f>
        <v>97128.705</v>
      </c>
      <c r="G78" s="19" t="n">
        <f aca="false">IFERROR(IF('Real and nominal GDP'!F65="",NA(),IF(ISNUMBER('Real and nominal GDP'!F65),'Real and nominal GDP'!F65,NA())),NA())</f>
        <v>149622.854</v>
      </c>
      <c r="H78" s="19" t="n">
        <f aca="false">IFERROR(IF('Real and nominal GDP'!G65="",NA(),IF(ISNUMBER('Real and nominal GDP'!G65),'Real and nominal GDP'!G65,NA())),NA())</f>
        <v>747428.3</v>
      </c>
      <c r="I78" s="19" t="n">
        <f aca="false">IFERROR(IF('Real and nominal GDP'!H65="",NA(),IF(ISNUMBER('Real and nominal GDP'!H65),'Real and nominal GDP'!H65,NA())),NA())</f>
        <v>14431394</v>
      </c>
      <c r="J78" s="19" t="n">
        <f aca="false">IFERROR(IF('Real and nominal GDP'!I65="",NA(),IF(ISNUMBER('Real and nominal GDP'!I65),'Real and nominal GDP'!I65,NA())),NA())</f>
        <v>140.381933333333</v>
      </c>
      <c r="K78" s="19" t="n">
        <f aca="false">IFERROR(IF('Real and nominal GDP'!J65="",NA(),IF(ISNUMBER('Real and nominal GDP'!J65),'Real and nominal GDP'!J65,NA())),NA())</f>
        <v>23.52607</v>
      </c>
      <c r="L78" s="19" t="n">
        <f aca="false">IFERROR(IF('Real and nominal GDP'!K65="",NA(),IF(ISNUMBER('Real and nominal GDP'!K65),'Real and nominal GDP'!K65,NA())),NA())</f>
        <v>23.8966666666667</v>
      </c>
      <c r="M78" s="20" t="n">
        <f aca="false">IFERROR(D78/D74-1,NA())</f>
        <v>-0.0253384951182398</v>
      </c>
      <c r="N78" s="20" t="n">
        <f aca="false">IFERROR(D78/D77-1,NA())</f>
        <v>-0.0417817155580248</v>
      </c>
      <c r="O78" s="20" t="n">
        <f aca="false">IFERROR(I78/I74-1,NA())</f>
        <v>0.366841229117668</v>
      </c>
      <c r="P78" s="21" t="n">
        <f aca="false">IF(COUNT(D75:D78)=4,SUM(D75:D78),NA())</f>
        <v>2906670.061</v>
      </c>
      <c r="Q78" s="21" t="n">
        <f aca="false">IF(COUNT(I75:I78)=4,SUM(I75:I78),NA())</f>
        <v>49731012</v>
      </c>
      <c r="R78" s="21" t="n">
        <f aca="false">IFERROR(I78/K78,NA())</f>
        <v>613421.36616953</v>
      </c>
      <c r="S78" s="21" t="n">
        <f aca="false">IFERROR(I78/L78,NA())</f>
        <v>603908.243827591</v>
      </c>
    </row>
    <row r="79" customFormat="false" ht="15" hidden="false" customHeight="false" outlineLevel="0" collapsed="false">
      <c r="A79" s="16" t="n">
        <f aca="false">IFERROR(IF(ISNUMBER('Real and nominal GDP'!A66),'Real and nominal GDP'!A66,NA()),NA())</f>
        <v>43344</v>
      </c>
      <c r="B79" s="17" t="str">
        <f aca="false">IFERROR(IF('Real and nominal GDP'!B66="",NA(),'Real and nominal GDP'!B66),NA())</f>
        <v>183</v>
      </c>
      <c r="C79" s="18" t="n">
        <f aca="false">IFERROR(YEAR(A79),0)</f>
        <v>2018</v>
      </c>
      <c r="D79" s="19" t="n">
        <f aca="false">IFERROR(IF('Real and nominal GDP'!C66="",NA(),IF(ISNUMBER('Real and nominal GDP'!C66),'Real and nominal GDP'!C66,NA())),NA())</f>
        <v>701416.021</v>
      </c>
      <c r="E79" s="19" t="n">
        <f aca="false">IFERROR(IF('Real and nominal GDP'!D66="",NA(),IF(ISNUMBER('Real and nominal GDP'!D66),'Real and nominal GDP'!D66,NA())),NA())</f>
        <v>529845.891</v>
      </c>
      <c r="F79" s="19" t="n">
        <f aca="false">IFERROR(IF('Real and nominal GDP'!E66="",NA(),IF(ISNUMBER('Real and nominal GDP'!E66),'Real and nominal GDP'!E66,NA())),NA())</f>
        <v>97071.384</v>
      </c>
      <c r="G79" s="19" t="n">
        <f aca="false">IFERROR(IF('Real and nominal GDP'!F66="",NA(),IF(ISNUMBER('Real and nominal GDP'!F66),'Real and nominal GDP'!F66,NA())),NA())</f>
        <v>135904.151</v>
      </c>
      <c r="H79" s="19" t="n">
        <f aca="false">IFERROR(IF('Real and nominal GDP'!G66="",NA(),IF(ISNUMBER('Real and nominal GDP'!G66),'Real and nominal GDP'!G66,NA())),NA())</f>
        <v>696101.584</v>
      </c>
      <c r="I79" s="19" t="n">
        <f aca="false">IFERROR(IF('Real and nominal GDP'!H66="",NA(),IF(ISNUMBER('Real and nominal GDP'!H66),'Real and nominal GDP'!H66,NA())),NA())</f>
        <v>15276276</v>
      </c>
      <c r="J79" s="19" t="n">
        <f aca="false">IFERROR(IF('Real and nominal GDP'!I66="",NA(),IF(ISNUMBER('Real and nominal GDP'!I66),'Real and nominal GDP'!I66,NA())),NA())</f>
        <v>156.5461</v>
      </c>
      <c r="K79" s="19" t="n">
        <f aca="false">IFERROR(IF('Real and nominal GDP'!J66="",NA(),IF(ISNUMBER('Real and nominal GDP'!J66),'Real and nominal GDP'!J66,NA())),NA())</f>
        <v>32.0911566666667</v>
      </c>
      <c r="L79" s="19" t="n">
        <f aca="false">IFERROR(IF('Real and nominal GDP'!K66="",NA(),IF(ISNUMBER('Real and nominal GDP'!K66),'Real and nominal GDP'!K66,NA())),NA())</f>
        <v>32.3513333333333</v>
      </c>
      <c r="M79" s="20" t="n">
        <f aca="false">IFERROR(D79/D75-1,NA())</f>
        <v>-0.0405322568272718</v>
      </c>
      <c r="N79" s="20" t="n">
        <f aca="false">IFERROR(D79/D78-1,NA())</f>
        <v>-0.00285815069923734</v>
      </c>
      <c r="O79" s="20" t="n">
        <f aca="false">IFERROR(I79/I75-1,NA())</f>
        <v>0.374207996062042</v>
      </c>
      <c r="P79" s="21" t="n">
        <f aca="false">IF(COUNT(D76:D79)=4,SUM(D76:D79),NA())</f>
        <v>2877039.076</v>
      </c>
      <c r="Q79" s="21" t="n">
        <f aca="false">IF(COUNT(I76:I79)=4,SUM(I76:I79),NA())</f>
        <v>53890866</v>
      </c>
      <c r="R79" s="21" t="n">
        <f aca="false">IFERROR(I79/K79,NA())</f>
        <v>476027.590986385</v>
      </c>
      <c r="S79" s="21" t="n">
        <f aca="false">IFERROR(I79/L79,NA())</f>
        <v>472199.270509201</v>
      </c>
    </row>
    <row r="80" customFormat="false" ht="15" hidden="false" customHeight="false" outlineLevel="0" collapsed="false">
      <c r="A80" s="16" t="n">
        <f aca="false">IFERROR(IF(ISNUMBER('Real and nominal GDP'!A67),'Real and nominal GDP'!A67,NA()),NA())</f>
        <v>43435</v>
      </c>
      <c r="B80" s="17" t="str">
        <f aca="false">IFERROR(IF('Real and nominal GDP'!B67="",NA(),'Real and nominal GDP'!B67),NA())</f>
        <v>184</v>
      </c>
      <c r="C80" s="18" t="n">
        <f aca="false">IFERROR(YEAR(A80),0)</f>
        <v>2018</v>
      </c>
      <c r="D80" s="19" t="n">
        <f aca="false">IFERROR(IF('Real and nominal GDP'!C67="",NA(),IF(ISNUMBER('Real and nominal GDP'!C67),'Real and nominal GDP'!C67,NA())),NA())</f>
        <v>690568.82</v>
      </c>
      <c r="E80" s="19" t="n">
        <f aca="false">IFERROR(IF('Real and nominal GDP'!D67="",NA(),IF(ISNUMBER('Real and nominal GDP'!D67),'Real and nominal GDP'!D67,NA())),NA())</f>
        <v>489350.329</v>
      </c>
      <c r="F80" s="19" t="n">
        <f aca="false">IFERROR(IF('Real and nominal GDP'!E67="",NA(),IF(ISNUMBER('Real and nominal GDP'!E67),'Real and nominal GDP'!E67,NA())),NA())</f>
        <v>95720.517</v>
      </c>
      <c r="G80" s="19" t="n">
        <f aca="false">IFERROR(IF('Real and nominal GDP'!F67="",NA(),IF(ISNUMBER('Real and nominal GDP'!F67),'Real and nominal GDP'!F67,NA())),NA())</f>
        <v>120705.082</v>
      </c>
      <c r="H80" s="19" t="n">
        <f aca="false">IFERROR(IF('Real and nominal GDP'!G67="",NA(),IF(ISNUMBER('Real and nominal GDP'!G67),'Real and nominal GDP'!G67,NA())),NA())</f>
        <v>678655.62</v>
      </c>
      <c r="I80" s="19" t="n">
        <f aca="false">IFERROR(IF('Real and nominal GDP'!H67="",NA(),IF(ISNUMBER('Real and nominal GDP'!H67),'Real and nominal GDP'!H67,NA())),NA())</f>
        <v>16813783</v>
      </c>
      <c r="J80" s="19" t="n">
        <f aca="false">IFERROR(IF('Real and nominal GDP'!I67="",NA(),IF(ISNUMBER('Real and nominal GDP'!I67),'Real and nominal GDP'!I67,NA())),NA())</f>
        <v>179.3471</v>
      </c>
      <c r="K80" s="19" t="n">
        <f aca="false">IFERROR(IF('Real and nominal GDP'!J67="",NA(),IF(ISNUMBER('Real and nominal GDP'!J67),'Real and nominal GDP'!J67,NA())),NA())</f>
        <v>37.1253366666667</v>
      </c>
      <c r="L80" s="19" t="n">
        <f aca="false">IFERROR(IF('Real and nominal GDP'!K67="",NA(),IF(ISNUMBER('Real and nominal GDP'!K67),'Real and nominal GDP'!K67,NA())),NA())</f>
        <v>36.528</v>
      </c>
      <c r="M80" s="20" t="n">
        <f aca="false">IFERROR(D80/D76-1,NA())</f>
        <v>-0.0643942891257098</v>
      </c>
      <c r="N80" s="20" t="n">
        <f aca="false">IFERROR(D80/D79-1,NA())</f>
        <v>-0.0154647180492616</v>
      </c>
      <c r="O80" s="20" t="n">
        <f aca="false">IFERROR(I80/I76-1,NA())</f>
        <v>0.433961689684775</v>
      </c>
      <c r="P80" s="21" t="n">
        <f aca="false">IF(COUNT(D77:D80)=4,SUM(D77:D80),NA())</f>
        <v>2829509.772</v>
      </c>
      <c r="Q80" s="21" t="n">
        <f aca="false">IF(COUNT(I77:I80)=4,SUM(I77:I80),NA())</f>
        <v>58979243</v>
      </c>
      <c r="R80" s="21" t="n">
        <f aca="false">IFERROR(I80/K80,NA())</f>
        <v>452892.404746767</v>
      </c>
      <c r="S80" s="21" t="n">
        <f aca="false">IFERROR(I80/L80,NA())</f>
        <v>460298.483355234</v>
      </c>
    </row>
    <row r="81" customFormat="false" ht="15" hidden="false" customHeight="false" outlineLevel="0" collapsed="false">
      <c r="A81" s="16" t="n">
        <f aca="false">IFERROR(IF(ISNUMBER('Real and nominal GDP'!A68),'Real and nominal GDP'!A68,NA()),NA())</f>
        <v>43525</v>
      </c>
      <c r="B81" s="17" t="str">
        <f aca="false">IFERROR(IF('Real and nominal GDP'!B68="",NA(),'Real and nominal GDP'!B68),NA())</f>
        <v>191</v>
      </c>
      <c r="C81" s="18" t="n">
        <f aca="false">IFERROR(YEAR(A81),0)</f>
        <v>2019</v>
      </c>
      <c r="D81" s="19" t="n">
        <f aca="false">IFERROR(IF('Real and nominal GDP'!C68="",NA(),IF(ISNUMBER('Real and nominal GDP'!C68),'Real and nominal GDP'!C68,NA())),NA())</f>
        <v>692977.788</v>
      </c>
      <c r="E81" s="19" t="n">
        <f aca="false">IFERROR(IF('Real and nominal GDP'!D68="",NA(),IF(ISNUMBER('Real and nominal GDP'!D68),'Real and nominal GDP'!D68,NA())),NA())</f>
        <v>499058.592</v>
      </c>
      <c r="F81" s="19" t="n">
        <f aca="false">IFERROR(IF('Real and nominal GDP'!E68="",NA(),IF(ISNUMBER('Real and nominal GDP'!E68),'Real and nominal GDP'!E68,NA())),NA())</f>
        <v>93150.586</v>
      </c>
      <c r="G81" s="19" t="n">
        <f aca="false">IFERROR(IF('Real and nominal GDP'!F68="",NA(),IF(ISNUMBER('Real and nominal GDP'!F68),'Real and nominal GDP'!F68,NA())),NA())</f>
        <v>121370.452</v>
      </c>
      <c r="H81" s="19" t="n">
        <f aca="false">IFERROR(IF('Real and nominal GDP'!G68="",NA(),IF(ISNUMBER('Real and nominal GDP'!G68),'Real and nominal GDP'!G68,NA())),NA())</f>
        <v>665848.715</v>
      </c>
      <c r="I81" s="19" t="n">
        <f aca="false">IFERROR(IF('Real and nominal GDP'!H68="",NA(),IF(ISNUMBER('Real and nominal GDP'!H68),'Real and nominal GDP'!H68,NA())),NA())</f>
        <v>17484109</v>
      </c>
      <c r="J81" s="19" t="n">
        <f aca="false">IFERROR(IF('Real and nominal GDP'!I68="",NA(),IF(ISNUMBER('Real and nominal GDP'!I68),'Real and nominal GDP'!I68,NA())),NA())</f>
        <v>197.4391</v>
      </c>
      <c r="K81" s="19" t="n">
        <f aca="false">IFERROR(IF('Real and nominal GDP'!J68="",NA(),IF(ISNUMBER('Real and nominal GDP'!J68),'Real and nominal GDP'!J68,NA())),NA())</f>
        <v>39.1028833333333</v>
      </c>
      <c r="L81" s="19" t="n">
        <f aca="false">IFERROR(IF('Real and nominal GDP'!K68="",NA(),IF(ISNUMBER('Real and nominal GDP'!K68),'Real and nominal GDP'!K68,NA())),NA())</f>
        <v>38.937</v>
      </c>
      <c r="M81" s="20" t="n">
        <f aca="false">IFERROR(D81/D77-1,NA())</f>
        <v>-0.0560151369132987</v>
      </c>
      <c r="N81" s="20" t="n">
        <f aca="false">IFERROR(D81/D80-1,NA())</f>
        <v>0.00348838222959436</v>
      </c>
      <c r="O81" s="20" t="n">
        <f aca="false">IFERROR(I81/I77-1,NA())</f>
        <v>0.403467950575503</v>
      </c>
      <c r="P81" s="21" t="n">
        <f aca="false">IF(COUNT(D78:D81)=4,SUM(D78:D81),NA())</f>
        <v>2788389.149</v>
      </c>
      <c r="Q81" s="21" t="n">
        <f aca="false">IF(COUNT(I78:I81)=4,SUM(I78:I81),NA())</f>
        <v>64005562</v>
      </c>
      <c r="R81" s="21" t="n">
        <f aca="false">IFERROR(I81/K81,NA())</f>
        <v>447130.940471994</v>
      </c>
      <c r="S81" s="21" t="n">
        <f aca="false">IFERROR(I81/L81,NA())</f>
        <v>449035.852787837</v>
      </c>
    </row>
    <row r="82" customFormat="false" ht="15" hidden="false" customHeight="false" outlineLevel="0" collapsed="false">
      <c r="A82" s="16" t="n">
        <f aca="false">IFERROR(IF(ISNUMBER('Real and nominal GDP'!A69),'Real and nominal GDP'!A69,NA()),NA())</f>
        <v>43617</v>
      </c>
      <c r="B82" s="17" t="str">
        <f aca="false">IFERROR(IF('Real and nominal GDP'!B69="",NA(),'Real and nominal GDP'!B69),NA())</f>
        <v>192</v>
      </c>
      <c r="C82" s="18" t="n">
        <f aca="false">IFERROR(YEAR(A82),0)</f>
        <v>2019</v>
      </c>
      <c r="D82" s="19" t="n">
        <f aca="false">IFERROR(IF('Real and nominal GDP'!C69="",NA(),IF(ISNUMBER('Real and nominal GDP'!C69),'Real and nominal GDP'!C69,NA())),NA())</f>
        <v>696856.654</v>
      </c>
      <c r="E82" s="19" t="n">
        <f aca="false">IFERROR(IF('Real and nominal GDP'!D69="",NA(),IF(ISNUMBER('Real and nominal GDP'!D69),'Real and nominal GDP'!D69,NA())),NA())</f>
        <v>502080.623</v>
      </c>
      <c r="F82" s="19" t="n">
        <f aca="false">IFERROR(IF('Real and nominal GDP'!E69="",NA(),IF(ISNUMBER('Real and nominal GDP'!E69),'Real and nominal GDP'!E69,NA())),NA())</f>
        <v>92357.045</v>
      </c>
      <c r="G82" s="19" t="n">
        <f aca="false">IFERROR(IF('Real and nominal GDP'!F69="",NA(),IF(ISNUMBER('Real and nominal GDP'!F69),'Real and nominal GDP'!F69,NA())),NA())</f>
        <v>123729.954</v>
      </c>
      <c r="H82" s="19" t="n">
        <f aca="false">IFERROR(IF('Real and nominal GDP'!G69="",NA(),IF(ISNUMBER('Real and nominal GDP'!G69),'Real and nominal GDP'!G69,NA())),NA())</f>
        <v>751784.461</v>
      </c>
      <c r="I82" s="19" t="n">
        <f aca="false">IFERROR(IF('Real and nominal GDP'!H69="",NA(),IF(ISNUMBER('Real and nominal GDP'!H69),'Real and nominal GDP'!H69,NA())),NA())</f>
        <v>21233558</v>
      </c>
      <c r="J82" s="19" t="n">
        <f aca="false">IFERROR(IF('Real and nominal GDP'!I69="",NA(),IF(ISNUMBER('Real and nominal GDP'!I69),'Real and nominal GDP'!I69,NA())),NA())</f>
        <v>219.385933333333</v>
      </c>
      <c r="K82" s="19" t="n">
        <f aca="false">IFERROR(IF('Real and nominal GDP'!J69="",NA(),IF(ISNUMBER('Real and nominal GDP'!J69),'Real and nominal GDP'!J69,NA())),NA())</f>
        <v>43.95696</v>
      </c>
      <c r="L82" s="19" t="n">
        <f aca="false">IFERROR(IF('Real and nominal GDP'!K69="",NA(),IF(ISNUMBER('Real and nominal GDP'!K69),'Real and nominal GDP'!K69,NA())),NA())</f>
        <v>44.4896666666667</v>
      </c>
      <c r="M82" s="20" t="n">
        <f aca="false">IFERROR(D82/D78-1,NA())</f>
        <v>-0.00933980424849501</v>
      </c>
      <c r="N82" s="20" t="n">
        <f aca="false">IFERROR(D82/D81-1,NA())</f>
        <v>0.00559738864241921</v>
      </c>
      <c r="O82" s="20" t="n">
        <f aca="false">IFERROR(I82/I78-1,NA())</f>
        <v>0.471344902647658</v>
      </c>
      <c r="P82" s="21" t="n">
        <f aca="false">IF(COUNT(D79:D82)=4,SUM(D79:D82),NA())</f>
        <v>2781819.283</v>
      </c>
      <c r="Q82" s="21" t="n">
        <f aca="false">IF(COUNT(I79:I82)=4,SUM(I79:I82),NA())</f>
        <v>70807726</v>
      </c>
      <c r="R82" s="21" t="n">
        <f aca="false">IFERROR(I82/K82,NA())</f>
        <v>483053.377667609</v>
      </c>
      <c r="S82" s="21" t="n">
        <f aca="false">IFERROR(I82/L82,NA())</f>
        <v>477269.433351565</v>
      </c>
    </row>
    <row r="83" customFormat="false" ht="15" hidden="false" customHeight="false" outlineLevel="0" collapsed="false">
      <c r="A83" s="16" t="n">
        <f aca="false">IFERROR(IF(ISNUMBER('Real and nominal GDP'!A70),'Real and nominal GDP'!A70,NA()),NA())</f>
        <v>43709</v>
      </c>
      <c r="B83" s="17" t="str">
        <f aca="false">IFERROR(IF('Real and nominal GDP'!B70="",NA(),'Real and nominal GDP'!B70),NA())</f>
        <v>193</v>
      </c>
      <c r="C83" s="18" t="n">
        <f aca="false">IFERROR(YEAR(A83),0)</f>
        <v>2019</v>
      </c>
      <c r="D83" s="19" t="n">
        <f aca="false">IFERROR(IF('Real and nominal GDP'!C70="",NA(),IF(ISNUMBER('Real and nominal GDP'!C70),'Real and nominal GDP'!C70,NA())),NA())</f>
        <v>696337.741</v>
      </c>
      <c r="E83" s="19" t="n">
        <f aca="false">IFERROR(IF('Real and nominal GDP'!D70="",NA(),IF(ISNUMBER('Real and nominal GDP'!D70),'Real and nominal GDP'!D70,NA())),NA())</f>
        <v>499698.52</v>
      </c>
      <c r="F83" s="19" t="n">
        <f aca="false">IFERROR(IF('Real and nominal GDP'!E70="",NA(),IF(ISNUMBER('Real and nominal GDP'!E70),'Real and nominal GDP'!E70,NA())),NA())</f>
        <v>89188.056</v>
      </c>
      <c r="G83" s="19" t="n">
        <f aca="false">IFERROR(IF('Real and nominal GDP'!F70="",NA(),IF(ISNUMBER('Real and nominal GDP'!F70),'Real and nominal GDP'!F70,NA())),NA())</f>
        <v>121548.602</v>
      </c>
      <c r="H83" s="19" t="n">
        <f aca="false">IFERROR(IF('Real and nominal GDP'!G70="",NA(),IF(ISNUMBER('Real and nominal GDP'!G70),'Real and nominal GDP'!G70,NA())),NA())</f>
        <v>683900.899</v>
      </c>
      <c r="I83" s="19" t="n">
        <f aca="false">IFERROR(IF('Real and nominal GDP'!H70="",NA(),IF(ISNUMBER('Real and nominal GDP'!H70),'Real and nominal GDP'!H70,NA())),NA())</f>
        <v>22303884</v>
      </c>
      <c r="J83" s="19" t="n">
        <f aca="false">IFERROR(IF('Real and nominal GDP'!I70="",NA(),IF(ISNUMBER('Real and nominal GDP'!I70),'Real and nominal GDP'!I70,NA())),NA())</f>
        <v>241.270633333333</v>
      </c>
      <c r="K83" s="19" t="n">
        <f aca="false">IFERROR(IF('Real and nominal GDP'!J70="",NA(),IF(ISNUMBER('Real and nominal GDP'!J70),'Real and nominal GDP'!J70,NA())),NA())</f>
        <v>50.54492</v>
      </c>
      <c r="L83" s="19" t="n">
        <f aca="false">IFERROR(IF('Real and nominal GDP'!K70="",NA(),IF(ISNUMBER('Real and nominal GDP'!K70),'Real and nominal GDP'!K70,NA())),NA())</f>
        <v>51.9556666666667</v>
      </c>
      <c r="M83" s="20" t="n">
        <f aca="false">IFERROR(D83/D79-1,NA())</f>
        <v>-0.00724003993059619</v>
      </c>
      <c r="N83" s="20" t="n">
        <f aca="false">IFERROR(D83/D82-1,NA())</f>
        <v>-0.000744648123859215</v>
      </c>
      <c r="O83" s="20" t="n">
        <f aca="false">IFERROR(I83/I79-1,NA())</f>
        <v>0.460034107789097</v>
      </c>
      <c r="P83" s="21" t="n">
        <f aca="false">IF(COUNT(D80:D83)=4,SUM(D80:D83),NA())</f>
        <v>2776741.003</v>
      </c>
      <c r="Q83" s="21" t="n">
        <f aca="false">IF(COUNT(I80:I83)=4,SUM(I80:I83),NA())</f>
        <v>77835334</v>
      </c>
      <c r="R83" s="21" t="n">
        <f aca="false">IFERROR(I83/K83,NA())</f>
        <v>441268.558739434</v>
      </c>
      <c r="S83" s="21" t="n">
        <f aca="false">IFERROR(I83/L83,NA())</f>
        <v>429286.840703933</v>
      </c>
    </row>
    <row r="84" customFormat="false" ht="15" hidden="false" customHeight="false" outlineLevel="0" collapsed="false">
      <c r="A84" s="16" t="n">
        <f aca="false">IFERROR(IF(ISNUMBER('Real and nominal GDP'!A71),'Real and nominal GDP'!A71,NA()),NA())</f>
        <v>43800</v>
      </c>
      <c r="B84" s="17" t="str">
        <f aca="false">IFERROR(IF('Real and nominal GDP'!B71="",NA(),'Real and nominal GDP'!B71),NA())</f>
        <v>194</v>
      </c>
      <c r="C84" s="18" t="n">
        <f aca="false">IFERROR(YEAR(A84),0)</f>
        <v>2019</v>
      </c>
      <c r="D84" s="19" t="n">
        <f aca="false">IFERROR(IF('Real and nominal GDP'!C71="",NA(),IF(ISNUMBER('Real and nominal GDP'!C71),'Real and nominal GDP'!C71,NA())),NA())</f>
        <v>686723.032</v>
      </c>
      <c r="E84" s="19" t="n">
        <f aca="false">IFERROR(IF('Real and nominal GDP'!D71="",NA(),IF(ISNUMBER('Real and nominal GDP'!D71),'Real and nominal GDP'!D71,NA())),NA())</f>
        <v>476082.718</v>
      </c>
      <c r="F84" s="19" t="n">
        <f aca="false">IFERROR(IF('Real and nominal GDP'!E71="",NA(),IF(ISNUMBER('Real and nominal GDP'!E71),'Real and nominal GDP'!E71,NA())),NA())</f>
        <v>88301.058</v>
      </c>
      <c r="G84" s="19" t="n">
        <f aca="false">IFERROR(IF('Real and nominal GDP'!F71="",NA(),IF(ISNUMBER('Real and nominal GDP'!F71),'Real and nominal GDP'!F71,NA())),NA())</f>
        <v>110338.483</v>
      </c>
      <c r="H84" s="19" t="n">
        <f aca="false">IFERROR(IF('Real and nominal GDP'!G71="",NA(),IF(ISNUMBER('Real and nominal GDP'!G71),'Real and nominal GDP'!G71,NA())),NA())</f>
        <v>671361.14</v>
      </c>
      <c r="I84" s="19" t="n">
        <f aca="false">IFERROR(IF('Real and nominal GDP'!H71="",NA(),IF(ISNUMBER('Real and nominal GDP'!H71),'Real and nominal GDP'!H71,NA())),NA())</f>
        <v>25212226</v>
      </c>
      <c r="J84" s="19" t="n">
        <f aca="false">IFERROR(IF('Real and nominal GDP'!I71="",NA(),IF(ISNUMBER('Real and nominal GDP'!I71),'Real and nominal GDP'!I71,NA())),NA())</f>
        <v>272.9087</v>
      </c>
      <c r="K84" s="19" t="n">
        <f aca="false">IFERROR(IF('Real and nominal GDP'!J71="",NA(),IF(ISNUMBER('Real and nominal GDP'!J71),'Real and nominal GDP'!J71,NA())),NA())</f>
        <v>59.3866366666667</v>
      </c>
      <c r="L84" s="19" t="n">
        <f aca="false">IFERROR(IF('Real and nominal GDP'!K71="",NA(),IF(ISNUMBER('Real and nominal GDP'!K71),'Real and nominal GDP'!K71,NA())),NA())</f>
        <v>66.541</v>
      </c>
      <c r="M84" s="20" t="n">
        <f aca="false">IFERROR(D84/D80-1,NA())</f>
        <v>-0.00556901483041172</v>
      </c>
      <c r="N84" s="20" t="n">
        <f aca="false">IFERROR(D84/D83-1,NA())</f>
        <v>-0.0138075368228534</v>
      </c>
      <c r="O84" s="20" t="n">
        <f aca="false">IFERROR(I84/I80-1,NA())</f>
        <v>0.499497525333829</v>
      </c>
      <c r="P84" s="21" t="n">
        <f aca="false">IF(COUNT(D81:D84)=4,SUM(D81:D84),NA())</f>
        <v>2772895.215</v>
      </c>
      <c r="Q84" s="21" t="n">
        <f aca="false">IF(COUNT(I81:I84)=4,SUM(I81:I84),NA())</f>
        <v>86233777</v>
      </c>
      <c r="R84" s="21" t="n">
        <f aca="false">IFERROR(I84/K84,NA())</f>
        <v>424543.759592155</v>
      </c>
      <c r="S84" s="21" t="n">
        <f aca="false">IFERROR(I84/L84,NA())</f>
        <v>378897.611998617</v>
      </c>
    </row>
    <row r="85" customFormat="false" ht="15" hidden="false" customHeight="false" outlineLevel="0" collapsed="false">
      <c r="A85" s="16" t="n">
        <f aca="false">IFERROR(IF(ISNUMBER('Real and nominal GDP'!A72),'Real and nominal GDP'!A72,NA()),NA())</f>
        <v>43891</v>
      </c>
      <c r="B85" s="17" t="str">
        <f aca="false">IFERROR(IF('Real and nominal GDP'!B72="",NA(),'Real and nominal GDP'!B72),NA())</f>
        <v>201</v>
      </c>
      <c r="C85" s="18" t="n">
        <f aca="false">IFERROR(YEAR(A85),0)</f>
        <v>2020</v>
      </c>
      <c r="D85" s="19" t="n">
        <f aca="false">IFERROR(IF('Real and nominal GDP'!C72="",NA(),IF(ISNUMBER('Real and nominal GDP'!C72),'Real and nominal GDP'!C72,NA())),NA())</f>
        <v>656405.462</v>
      </c>
      <c r="E85" s="19" t="n">
        <f aca="false">IFERROR(IF('Real and nominal GDP'!D72="",NA(),IF(ISNUMBER('Real and nominal GDP'!D72),'Real and nominal GDP'!D72,NA())),NA())</f>
        <v>461300.787</v>
      </c>
      <c r="F85" s="19" t="n">
        <f aca="false">IFERROR(IF('Real and nominal GDP'!E72="",NA(),IF(ISNUMBER('Real and nominal GDP'!E72),'Real and nominal GDP'!E72,NA())),NA())</f>
        <v>92144.235</v>
      </c>
      <c r="G85" s="19" t="n">
        <f aca="false">IFERROR(IF('Real and nominal GDP'!F72="",NA(),IF(ISNUMBER('Real and nominal GDP'!F72),'Real and nominal GDP'!F72,NA())),NA())</f>
        <v>100833.016</v>
      </c>
      <c r="H85" s="19" t="n">
        <f aca="false">IFERROR(IF('Real and nominal GDP'!G72="",NA(),IF(ISNUMBER('Real and nominal GDP'!G72),'Real and nominal GDP'!G72,NA())),NA())</f>
        <v>632389.354</v>
      </c>
      <c r="I85" s="19" t="n">
        <f aca="false">IFERROR(IF('Real and nominal GDP'!H72="",NA(),IF(ISNUMBER('Real and nominal GDP'!H72),'Real and nominal GDP'!H72,NA())),NA())</f>
        <v>24999988</v>
      </c>
      <c r="J85" s="19" t="n">
        <f aca="false">IFERROR(IF('Real and nominal GDP'!I72="",NA(),IF(ISNUMBER('Real and nominal GDP'!I72),'Real and nominal GDP'!I72,NA())),NA())</f>
        <v>297.0158</v>
      </c>
      <c r="K85" s="19" t="n">
        <f aca="false">IFERROR(IF('Real and nominal GDP'!J72="",NA(),IF(ISNUMBER('Real and nominal GDP'!J72),'Real and nominal GDP'!J72,NA())),NA())</f>
        <v>61.4968266666667</v>
      </c>
      <c r="L85" s="19" t="n">
        <f aca="false">IFERROR(IF('Real and nominal GDP'!K72="",NA(),IF(ISNUMBER('Real and nominal GDP'!K72),'Real and nominal GDP'!K72,NA())),NA())</f>
        <v>77.2543333333333</v>
      </c>
      <c r="M85" s="20" t="n">
        <f aca="false">IFERROR(D85/D81-1,NA())</f>
        <v>-0.0527756107530533</v>
      </c>
      <c r="N85" s="20" t="n">
        <f aca="false">IFERROR(D85/D84-1,NA())</f>
        <v>-0.0441481770484726</v>
      </c>
      <c r="O85" s="20" t="n">
        <f aca="false">IFERROR(I85/I81-1,NA())</f>
        <v>0.429869145748291</v>
      </c>
      <c r="P85" s="21" t="n">
        <f aca="false">IF(COUNT(D82:D85)=4,SUM(D82:D85),NA())</f>
        <v>2736322.889</v>
      </c>
      <c r="Q85" s="21" t="n">
        <f aca="false">IF(COUNT(I82:I85)=4,SUM(I82:I85),NA())</f>
        <v>93749656</v>
      </c>
      <c r="R85" s="21" t="n">
        <f aca="false">IFERROR(I85/K85,NA())</f>
        <v>406524.846160084</v>
      </c>
      <c r="S85" s="21" t="n">
        <f aca="false">IFERROR(I85/L85,NA())</f>
        <v>323606.287457446</v>
      </c>
    </row>
    <row r="86" customFormat="false" ht="15" hidden="false" customHeight="false" outlineLevel="0" collapsed="false">
      <c r="A86" s="16" t="n">
        <f aca="false">IFERROR(IF(ISNUMBER('Real and nominal GDP'!A73),'Real and nominal GDP'!A73,NA()),NA())</f>
        <v>43983</v>
      </c>
      <c r="B86" s="17" t="str">
        <f aca="false">IFERROR(IF('Real and nominal GDP'!B73="",NA(),'Real and nominal GDP'!B73),NA())</f>
        <v>202</v>
      </c>
      <c r="C86" s="18" t="n">
        <f aca="false">IFERROR(YEAR(A86),0)</f>
        <v>2020</v>
      </c>
      <c r="D86" s="19" t="n">
        <f aca="false">IFERROR(IF('Real and nominal GDP'!C73="",NA(),IF(ISNUMBER('Real and nominal GDP'!C73),'Real and nominal GDP'!C73,NA())),NA())</f>
        <v>563484.662</v>
      </c>
      <c r="E86" s="19" t="n">
        <f aca="false">IFERROR(IF('Real and nominal GDP'!D73="",NA(),IF(ISNUMBER('Real and nominal GDP'!D73),'Real and nominal GDP'!D73,NA())),NA())</f>
        <v>395002.518</v>
      </c>
      <c r="F86" s="19" t="n">
        <f aca="false">IFERROR(IF('Real and nominal GDP'!E73="",NA(),IF(ISNUMBER('Real and nominal GDP'!E73),'Real and nominal GDP'!E73,NA())),NA())</f>
        <v>86851.051</v>
      </c>
      <c r="G86" s="19" t="n">
        <f aca="false">IFERROR(IF('Real and nominal GDP'!F73="",NA(),IF(ISNUMBER('Real and nominal GDP'!F73),'Real and nominal GDP'!F73,NA())),NA())</f>
        <v>76419.56</v>
      </c>
      <c r="H86" s="19" t="n">
        <f aca="false">IFERROR(IF('Real and nominal GDP'!G73="",NA(),IF(ISNUMBER('Real and nominal GDP'!G73),'Real and nominal GDP'!G73,NA())),NA())</f>
        <v>609379.989</v>
      </c>
      <c r="I86" s="19" t="n">
        <f aca="false">IFERROR(IF('Real and nominal GDP'!H73="",NA(),IF(ISNUMBER('Real and nominal GDP'!H73),'Real and nominal GDP'!H73,NA())),NA())</f>
        <v>24025362</v>
      </c>
      <c r="J86" s="19" t="n">
        <f aca="false">IFERROR(IF('Real and nominal GDP'!I73="",NA(),IF(ISNUMBER('Real and nominal GDP'!I73),'Real and nominal GDP'!I73,NA())),NA())</f>
        <v>315.668933333333</v>
      </c>
      <c r="K86" s="19" t="n">
        <f aca="false">IFERROR(IF('Real and nominal GDP'!J73="",NA(),IF(ISNUMBER('Real and nominal GDP'!J73),'Real and nominal GDP'!J73,NA())),NA())</f>
        <v>67.6782166666667</v>
      </c>
      <c r="L86" s="19" t="n">
        <f aca="false">IFERROR(IF('Real and nominal GDP'!K73="",NA(),IF(ISNUMBER('Real and nominal GDP'!K73),'Real and nominal GDP'!K73,NA())),NA())</f>
        <v>113.169</v>
      </c>
      <c r="M86" s="20" t="n">
        <f aca="false">IFERROR(D86/D82-1,NA())</f>
        <v>-0.191390856691167</v>
      </c>
      <c r="N86" s="20" t="n">
        <f aca="false">IFERROR(D86/D85-1,NA())</f>
        <v>-0.141560065202504</v>
      </c>
      <c r="O86" s="20" t="n">
        <f aca="false">IFERROR(I86/I82-1,NA())</f>
        <v>0.13148074383012</v>
      </c>
      <c r="P86" s="21" t="n">
        <f aca="false">IF(COUNT(D83:D86)=4,SUM(D83:D86),NA())</f>
        <v>2602950.897</v>
      </c>
      <c r="Q86" s="21" t="n">
        <f aca="false">IF(COUNT(I83:I86)=4,SUM(I83:I86),NA())</f>
        <v>96541460</v>
      </c>
      <c r="R86" s="21" t="n">
        <f aca="false">IFERROR(I86/K86,NA())</f>
        <v>354994.017031083</v>
      </c>
      <c r="S86" s="21" t="n">
        <f aca="false">IFERROR(I86/L86,NA())</f>
        <v>212296.317896244</v>
      </c>
    </row>
    <row r="87" customFormat="false" ht="15" hidden="false" customHeight="false" outlineLevel="0" collapsed="false">
      <c r="A87" s="16" t="n">
        <f aca="false">IFERROR(IF(ISNUMBER('Real and nominal GDP'!A74),'Real and nominal GDP'!A74,NA()),NA())</f>
        <v>44075</v>
      </c>
      <c r="B87" s="17" t="str">
        <f aca="false">IFERROR(IF('Real and nominal GDP'!B74="",NA(),'Real and nominal GDP'!B74),NA())</f>
        <v>203</v>
      </c>
      <c r="C87" s="18" t="n">
        <f aca="false">IFERROR(YEAR(A87),0)</f>
        <v>2020</v>
      </c>
      <c r="D87" s="19" t="n">
        <f aca="false">IFERROR(IF('Real and nominal GDP'!C74="",NA(),IF(ISNUMBER('Real and nominal GDP'!C74),'Real and nominal GDP'!C74,NA())),NA())</f>
        <v>623894.442</v>
      </c>
      <c r="E87" s="19" t="n">
        <f aca="false">IFERROR(IF('Real and nominal GDP'!D74="",NA(),IF(ISNUMBER('Real and nominal GDP'!D74),'Real and nominal GDP'!D74,NA())),NA())</f>
        <v>428108.77</v>
      </c>
      <c r="F87" s="19" t="n">
        <f aca="false">IFERROR(IF('Real and nominal GDP'!E74="",NA(),IF(ISNUMBER('Real and nominal GDP'!E74),'Real and nominal GDP'!E74,NA())),NA())</f>
        <v>87786.334</v>
      </c>
      <c r="G87" s="19" t="n">
        <f aca="false">IFERROR(IF('Real and nominal GDP'!F74="",NA(),IF(ISNUMBER('Real and nominal GDP'!F74),'Real and nominal GDP'!F74,NA())),NA())</f>
        <v>109863.886</v>
      </c>
      <c r="H87" s="19" t="n">
        <f aca="false">IFERROR(IF('Real and nominal GDP'!G74="",NA(),IF(ISNUMBER('Real and nominal GDP'!G74),'Real and nominal GDP'!G74,NA())),NA())</f>
        <v>614192.478</v>
      </c>
      <c r="I87" s="19" t="n">
        <f aca="false">IFERROR(IF('Real and nominal GDP'!H74="",NA(),IF(ISNUMBER('Real and nominal GDP'!H74),'Real and nominal GDP'!H74,NA())),NA())</f>
        <v>27536380</v>
      </c>
      <c r="J87" s="19" t="n">
        <f aca="false">IFERROR(IF('Real and nominal GDP'!I74="",NA(),IF(ISNUMBER('Real and nominal GDP'!I74),'Real and nominal GDP'!I74,NA())),NA())</f>
        <v>337.2951</v>
      </c>
      <c r="K87" s="19" t="n">
        <f aca="false">IFERROR(IF('Real and nominal GDP'!J74="",NA(),IF(ISNUMBER('Real and nominal GDP'!J74),'Real and nominal GDP'!J74,NA())),NA())</f>
        <v>73.3270533333333</v>
      </c>
      <c r="L87" s="19" t="n">
        <f aca="false">IFERROR(IF('Real and nominal GDP'!K74="",NA(),IF(ISNUMBER('Real and nominal GDP'!K74),'Real and nominal GDP'!K74,NA())),NA())</f>
        <v>131.332666666667</v>
      </c>
      <c r="M87" s="20" t="n">
        <f aca="false">IFERROR(D87/D83-1,NA())</f>
        <v>-0.104034715820466</v>
      </c>
      <c r="N87" s="20" t="n">
        <f aca="false">IFERROR(D87/D86-1,NA())</f>
        <v>0.107207496625702</v>
      </c>
      <c r="O87" s="20" t="n">
        <f aca="false">IFERROR(I87/I83-1,NA())</f>
        <v>0.234600215818913</v>
      </c>
      <c r="P87" s="21" t="n">
        <f aca="false">IF(COUNT(D84:D87)=4,SUM(D84:D87),NA())</f>
        <v>2530507.598</v>
      </c>
      <c r="Q87" s="21" t="n">
        <f aca="false">IF(COUNT(I84:I87)=4,SUM(I84:I87),NA())</f>
        <v>101773956</v>
      </c>
      <c r="R87" s="21" t="n">
        <f aca="false">IFERROR(I87/K87,NA())</f>
        <v>375528.249782845</v>
      </c>
      <c r="S87" s="21" t="n">
        <f aca="false">IFERROR(I87/L87,NA())</f>
        <v>209668.932329606</v>
      </c>
    </row>
    <row r="88" customFormat="false" ht="15" hidden="false" customHeight="false" outlineLevel="0" collapsed="false">
      <c r="A88" s="16" t="n">
        <f aca="false">IFERROR(IF(ISNUMBER('Real and nominal GDP'!A75),'Real and nominal GDP'!A75,NA()),NA())</f>
        <v>44166</v>
      </c>
      <c r="B88" s="17" t="str">
        <f aca="false">IFERROR(IF('Real and nominal GDP'!B75="",NA(),'Real and nominal GDP'!B75),NA())</f>
        <v>204</v>
      </c>
      <c r="C88" s="18" t="n">
        <f aca="false">IFERROR(YEAR(A88),0)</f>
        <v>2020</v>
      </c>
      <c r="D88" s="19" t="n">
        <f aca="false">IFERROR(IF('Real and nominal GDP'!C75="",NA(),IF(ISNUMBER('Real and nominal GDP'!C75),'Real and nominal GDP'!C75,NA())),NA())</f>
        <v>654580.579</v>
      </c>
      <c r="E88" s="19" t="n">
        <f aca="false">IFERROR(IF('Real and nominal GDP'!D75="",NA(),IF(ISNUMBER('Real and nominal GDP'!D75),'Real and nominal GDP'!D75,NA())),NA())</f>
        <v>451890.161</v>
      </c>
      <c r="F88" s="19" t="n">
        <f aca="false">IFERROR(IF('Real and nominal GDP'!E75="",NA(),IF(ISNUMBER('Real and nominal GDP'!E75),'Real and nominal GDP'!E75,NA())),NA())</f>
        <v>88876.884</v>
      </c>
      <c r="G88" s="19" t="n">
        <f aca="false">IFERROR(IF('Real and nominal GDP'!F75="",NA(),IF(ISNUMBER('Real and nominal GDP'!F75),'Real and nominal GDP'!F75,NA())),NA())</f>
        <v>127548.045</v>
      </c>
      <c r="H88" s="19" t="n">
        <f aca="false">IFERROR(IF('Real and nominal GDP'!G75="",NA(),IF(ISNUMBER('Real and nominal GDP'!G75),'Real and nominal GDP'!G75,NA())),NA())</f>
        <v>642403.323</v>
      </c>
      <c r="I88" s="19" t="n">
        <f aca="false">IFERROR(IF('Real and nominal GDP'!H75="",NA(),IF(ISNUMBER('Real and nominal GDP'!H75),'Real and nominal GDP'!H75,NA())),NA())</f>
        <v>32277527</v>
      </c>
      <c r="J88" s="19" t="n">
        <f aca="false">IFERROR(IF('Real and nominal GDP'!I75="",NA(),IF(ISNUMBER('Real and nominal GDP'!I75),'Real and nominal GDP'!I75,NA())),NA())</f>
        <v>372.1869</v>
      </c>
      <c r="K88" s="19" t="n">
        <f aca="false">IFERROR(IF('Real and nominal GDP'!J75="",NA(),IF(ISNUMBER('Real and nominal GDP'!J75),'Real and nominal GDP'!J75,NA())),NA())</f>
        <v>80.0810766666667</v>
      </c>
      <c r="L88" s="19" t="n">
        <f aca="false">IFERROR(IF('Real and nominal GDP'!K75="",NA(),IF(ISNUMBER('Real and nominal GDP'!K75),'Real and nominal GDP'!K75,NA())),NA())</f>
        <v>158.395333333333</v>
      </c>
      <c r="M88" s="20" t="n">
        <f aca="false">IFERROR(D88/D84-1,NA())</f>
        <v>-0.0468055555183418</v>
      </c>
      <c r="N88" s="20" t="n">
        <f aca="false">IFERROR(D88/D87-1,NA())</f>
        <v>0.0491848218772879</v>
      </c>
      <c r="O88" s="20" t="n">
        <f aca="false">IFERROR(I88/I84-1,NA())</f>
        <v>0.280233129752208</v>
      </c>
      <c r="P88" s="21" t="n">
        <f aca="false">IF(COUNT(D85:D88)=4,SUM(D85:D88),NA())</f>
        <v>2498365.145</v>
      </c>
      <c r="Q88" s="21" t="n">
        <f aca="false">IF(COUNT(I85:I88)=4,SUM(I85:I88),NA())</f>
        <v>108839257</v>
      </c>
      <c r="R88" s="21" t="n">
        <f aca="false">IFERROR(I88/K88,NA())</f>
        <v>403060.602373686</v>
      </c>
      <c r="S88" s="21" t="n">
        <f aca="false">IFERROR(I88/L88,NA())</f>
        <v>203778.269982701</v>
      </c>
    </row>
    <row r="89" customFormat="false" ht="15" hidden="false" customHeight="false" outlineLevel="0" collapsed="false">
      <c r="A89" s="16" t="n">
        <f aca="false">IFERROR(IF(ISNUMBER('Real and nominal GDP'!A76),'Real and nominal GDP'!A76,NA()),NA())</f>
        <v>44256</v>
      </c>
      <c r="B89" s="17" t="str">
        <f aca="false">IFERROR(IF('Real and nominal GDP'!B76="",NA(),'Real and nominal GDP'!B76),NA())</f>
        <v>211</v>
      </c>
      <c r="C89" s="18" t="n">
        <f aca="false">IFERROR(YEAR(A89),0)</f>
        <v>2021</v>
      </c>
      <c r="D89" s="19" t="n">
        <f aca="false">IFERROR(IF('Real and nominal GDP'!C76="",NA(),IF(ISNUMBER('Real and nominal GDP'!C76),'Real and nominal GDP'!C76,NA())),NA())</f>
        <v>677169.138</v>
      </c>
      <c r="E89" s="19" t="n">
        <f aca="false">IFERROR(IF('Real and nominal GDP'!D76="",NA(),IF(ISNUMBER('Real and nominal GDP'!D76),'Real and nominal GDP'!D76,NA())),NA())</f>
        <v>463333.189</v>
      </c>
      <c r="F89" s="19" t="n">
        <f aca="false">IFERROR(IF('Real and nominal GDP'!E76="",NA(),IF(ISNUMBER('Real and nominal GDP'!E76),'Real and nominal GDP'!E76,NA())),NA())</f>
        <v>92261.121</v>
      </c>
      <c r="G89" s="19" t="n">
        <f aca="false">IFERROR(IF('Real and nominal GDP'!F76="",NA(),IF(ISNUMBER('Real and nominal GDP'!F76),'Real and nominal GDP'!F76,NA())),NA())</f>
        <v>137749.855</v>
      </c>
      <c r="H89" s="19" t="n">
        <f aca="false">IFERROR(IF('Real and nominal GDP'!G76="",NA(),IF(ISNUMBER('Real and nominal GDP'!G76),'Real and nominal GDP'!G76,NA())),NA())</f>
        <v>652831.977</v>
      </c>
      <c r="I89" s="19" t="n">
        <f aca="false">IFERROR(IF('Real and nominal GDP'!H76="",NA(),IF(ISNUMBER('Real and nominal GDP'!H76),'Real and nominal GDP'!H76,NA())),NA())</f>
        <v>36785110</v>
      </c>
      <c r="J89" s="19" t="n">
        <f aca="false">IFERROR(IF('Real and nominal GDP'!I76="",NA(),IF(ISNUMBER('Real and nominal GDP'!I76),'Real and nominal GDP'!I76,NA())),NA())</f>
        <v>417.7441</v>
      </c>
      <c r="K89" s="19" t="n">
        <f aca="false">IFERROR(IF('Real and nominal GDP'!J76="",NA(),IF(ISNUMBER('Real and nominal GDP'!J76),'Real and nominal GDP'!J76,NA())),NA())</f>
        <v>88.57195</v>
      </c>
      <c r="L89" s="19" t="n">
        <f aca="false">IFERROR(IF('Real and nominal GDP'!K76="",NA(),IF(ISNUMBER('Real and nominal GDP'!K76),'Real and nominal GDP'!K76,NA())),NA())</f>
        <v>147.644666666667</v>
      </c>
      <c r="M89" s="20" t="n">
        <f aca="false">IFERROR(D89/D85-1,NA())</f>
        <v>0.0316323936987593</v>
      </c>
      <c r="N89" s="20" t="n">
        <f aca="false">IFERROR(D89/D88-1,NA())</f>
        <v>0.0345084466674959</v>
      </c>
      <c r="O89" s="20" t="n">
        <f aca="false">IFERROR(I89/I85-1,NA())</f>
        <v>0.471405106274451</v>
      </c>
      <c r="P89" s="21" t="n">
        <f aca="false">IF(COUNT(D86:D89)=4,SUM(D86:D89),NA())</f>
        <v>2519128.821</v>
      </c>
      <c r="Q89" s="21" t="n">
        <f aca="false">IF(COUNT(I86:I89)=4,SUM(I86:I89),NA())</f>
        <v>120624379</v>
      </c>
      <c r="R89" s="21" t="n">
        <f aca="false">IFERROR(I89/K89,NA())</f>
        <v>415313.31307485</v>
      </c>
      <c r="S89" s="21" t="n">
        <f aca="false">IFERROR(I89/L89,NA())</f>
        <v>249146.215914786</v>
      </c>
    </row>
    <row r="90" customFormat="false" ht="15" hidden="false" customHeight="false" outlineLevel="0" collapsed="false">
      <c r="A90" s="16" t="n">
        <f aca="false">IFERROR(IF(ISNUMBER('Real and nominal GDP'!A77),'Real and nominal GDP'!A77,NA()),NA())</f>
        <v>44348</v>
      </c>
      <c r="B90" s="17" t="str">
        <f aca="false">IFERROR(IF('Real and nominal GDP'!B77="",NA(),'Real and nominal GDP'!B77),NA())</f>
        <v>212</v>
      </c>
      <c r="C90" s="18" t="n">
        <f aca="false">IFERROR(YEAR(A90),0)</f>
        <v>2021</v>
      </c>
      <c r="D90" s="19" t="n">
        <f aca="false">IFERROR(IF('Real and nominal GDP'!C77="",NA(),IF(ISNUMBER('Real and nominal GDP'!C77),'Real and nominal GDP'!C77,NA())),NA())</f>
        <v>679096.314</v>
      </c>
      <c r="E90" s="19" t="n">
        <f aca="false">IFERROR(IF('Real and nominal GDP'!D77="",NA(),IF(ISNUMBER('Real and nominal GDP'!D77),'Real and nominal GDP'!D77,NA())),NA())</f>
        <v>467218.392</v>
      </c>
      <c r="F90" s="19" t="n">
        <f aca="false">IFERROR(IF('Real and nominal GDP'!E77="",NA(),IF(ISNUMBER('Real and nominal GDP'!E77),'Real and nominal GDP'!E77,NA())),NA())</f>
        <v>92611.21</v>
      </c>
      <c r="G90" s="19" t="n">
        <f aca="false">IFERROR(IF('Real and nominal GDP'!F77="",NA(),IF(ISNUMBER('Real and nominal GDP'!F77),'Real and nominal GDP'!F77,NA())),NA())</f>
        <v>136073.458</v>
      </c>
      <c r="H90" s="19" t="n">
        <f aca="false">IFERROR(IF('Real and nominal GDP'!G77="",NA(),IF(ISNUMBER('Real and nominal GDP'!G77),'Real and nominal GDP'!G77,NA())),NA())</f>
        <v>723516.622</v>
      </c>
      <c r="I90" s="19" t="n">
        <f aca="false">IFERROR(IF('Real and nominal GDP'!H77="",NA(),IF(ISNUMBER('Real and nominal GDP'!H77),'Real and nominal GDP'!H77,NA())),NA())</f>
        <v>46340281</v>
      </c>
      <c r="J90" s="19" t="n">
        <f aca="false">IFERROR(IF('Real and nominal GDP'!I77="",NA(),IF(ISNUMBER('Real and nominal GDP'!I77),'Real and nominal GDP'!I77,NA())),NA())</f>
        <v>468.660066666667</v>
      </c>
      <c r="K90" s="19" t="n">
        <f aca="false">IFERROR(IF('Real and nominal GDP'!J77="",NA(),IF(ISNUMBER('Real and nominal GDP'!J77),'Real and nominal GDP'!J77,NA())),NA())</f>
        <v>94.0741666666667</v>
      </c>
      <c r="L90" s="19" t="n">
        <f aca="false">IFERROR(IF('Real and nominal GDP'!K77="",NA(),IF(ISNUMBER('Real and nominal GDP'!K77),'Real and nominal GDP'!K77,NA())),NA())</f>
        <v>151.4</v>
      </c>
      <c r="M90" s="20" t="n">
        <f aca="false">IFERROR(D90/D86-1,NA())</f>
        <v>0.205172668923507</v>
      </c>
      <c r="N90" s="20" t="n">
        <f aca="false">IFERROR(D90/D89-1,NA())</f>
        <v>0.0028459300518211</v>
      </c>
      <c r="O90" s="20" t="n">
        <f aca="false">IFERROR(I90/I86-1,NA())</f>
        <v>0.928806775107072</v>
      </c>
      <c r="P90" s="21" t="n">
        <f aca="false">IF(COUNT(D87:D90)=4,SUM(D87:D90),NA())</f>
        <v>2634740.473</v>
      </c>
      <c r="Q90" s="21" t="n">
        <f aca="false">IF(COUNT(I87:I90)=4,SUM(I87:I90),NA())</f>
        <v>142939298</v>
      </c>
      <c r="R90" s="21" t="n">
        <f aca="false">IFERROR(I90/K90,NA())</f>
        <v>492593.053353294</v>
      </c>
      <c r="S90" s="21" t="n">
        <f aca="false">IFERROR(I90/L90,NA())</f>
        <v>306078.474240423</v>
      </c>
    </row>
    <row r="91" customFormat="false" ht="15" hidden="false" customHeight="false" outlineLevel="0" collapsed="false">
      <c r="A91" s="16" t="n">
        <f aca="false">IFERROR(IF(ISNUMBER('Real and nominal GDP'!A78),'Real and nominal GDP'!A78,NA()),NA())</f>
        <v>44440</v>
      </c>
      <c r="B91" s="17" t="str">
        <f aca="false">IFERROR(IF('Real and nominal GDP'!B78="",NA(),'Real and nominal GDP'!B78),NA())</f>
        <v>213</v>
      </c>
      <c r="C91" s="18" t="n">
        <f aca="false">IFERROR(YEAR(A91),0)</f>
        <v>2021</v>
      </c>
      <c r="D91" s="19" t="n">
        <f aca="false">IFERROR(IF('Real and nominal GDP'!C78="",NA(),IF(ISNUMBER('Real and nominal GDP'!C78),'Real and nominal GDP'!C78,NA())),NA())</f>
        <v>693100.336</v>
      </c>
      <c r="E91" s="19" t="n">
        <f aca="false">IFERROR(IF('Real and nominal GDP'!D78="",NA(),IF(ISNUMBER('Real and nominal GDP'!D78),'Real and nominal GDP'!D78,NA())),NA())</f>
        <v>474677.997</v>
      </c>
      <c r="F91" s="19" t="n">
        <f aca="false">IFERROR(IF('Real and nominal GDP'!E78="",NA(),IF(ISNUMBER('Real and nominal GDP'!E78),'Real and nominal GDP'!E78,NA())),NA())</f>
        <v>96279.133</v>
      </c>
      <c r="G91" s="19" t="n">
        <f aca="false">IFERROR(IF('Real and nominal GDP'!F78="",NA(),IF(ISNUMBER('Real and nominal GDP'!F78),'Real and nominal GDP'!F78,NA())),NA())</f>
        <v>135003.221</v>
      </c>
      <c r="H91" s="19" t="n">
        <f aca="false">IFERROR(IF('Real and nominal GDP'!G78="",NA(),IF(ISNUMBER('Real and nominal GDP'!G78),'Real and nominal GDP'!G78,NA())),NA())</f>
        <v>686756.468</v>
      </c>
      <c r="I91" s="19" t="n">
        <f aca="false">IFERROR(IF('Real and nominal GDP'!H78="",NA(),IF(ISNUMBER('Real and nominal GDP'!H78),'Real and nominal GDP'!H78,NA())),NA())</f>
        <v>47462529</v>
      </c>
      <c r="J91" s="19" t="n">
        <f aca="false">IFERROR(IF('Real and nominal GDP'!I78="",NA(),IF(ISNUMBER('Real and nominal GDP'!I78),'Real and nominal GDP'!I78,NA())),NA())</f>
        <v>512.3299</v>
      </c>
      <c r="K91" s="19" t="n">
        <f aca="false">IFERROR(IF('Real and nominal GDP'!J78="",NA(),IF(ISNUMBER('Real and nominal GDP'!J78),'Real and nominal GDP'!J78,NA())),NA())</f>
        <v>97.2416</v>
      </c>
      <c r="L91" s="19" t="n">
        <f aca="false">IFERROR(IF('Real and nominal GDP'!K78="",NA(),IF(ISNUMBER('Real and nominal GDP'!K78),'Real and nominal GDP'!K78,NA())),NA())</f>
        <v>178.669</v>
      </c>
      <c r="M91" s="20" t="n">
        <f aca="false">IFERROR(D91/D87-1,NA())</f>
        <v>0.110925645976503</v>
      </c>
      <c r="N91" s="20" t="n">
        <f aca="false">IFERROR(D91/D90-1,NA())</f>
        <v>0.020621555015538</v>
      </c>
      <c r="O91" s="20" t="n">
        <f aca="false">IFERROR(I91/I87-1,NA())</f>
        <v>0.723629939737903</v>
      </c>
      <c r="P91" s="21" t="n">
        <f aca="false">IF(COUNT(D88:D91)=4,SUM(D88:D91),NA())</f>
        <v>2703946.367</v>
      </c>
      <c r="Q91" s="21" t="n">
        <f aca="false">IF(COUNT(I88:I91)=4,SUM(I88:I91),NA())</f>
        <v>162865447</v>
      </c>
      <c r="R91" s="21" t="n">
        <f aca="false">IFERROR(I91/K91,NA())</f>
        <v>488088.72951494</v>
      </c>
      <c r="S91" s="21" t="n">
        <f aca="false">IFERROR(I91/L91,NA())</f>
        <v>265645.01396437</v>
      </c>
    </row>
    <row r="92" customFormat="false" ht="15" hidden="false" customHeight="false" outlineLevel="0" collapsed="false">
      <c r="A92" s="16" t="n">
        <f aca="false">IFERROR(IF(ISNUMBER('Real and nominal GDP'!A79),'Real and nominal GDP'!A79,NA()),NA())</f>
        <v>44531</v>
      </c>
      <c r="B92" s="17" t="str">
        <f aca="false">IFERROR(IF('Real and nominal GDP'!B79="",NA(),'Real and nominal GDP'!B79),NA())</f>
        <v>214</v>
      </c>
      <c r="C92" s="18" t="n">
        <f aca="false">IFERROR(YEAR(A92),0)</f>
        <v>2021</v>
      </c>
      <c r="D92" s="19" t="n">
        <f aca="false">IFERROR(IF('Real and nominal GDP'!C79="",NA(),IF(ISNUMBER('Real and nominal GDP'!C79),'Real and nominal GDP'!C79,NA())),NA())</f>
        <v>709873.949</v>
      </c>
      <c r="E92" s="19" t="n">
        <f aca="false">IFERROR(IF('Real and nominal GDP'!D79="",NA(),IF(ISNUMBER('Real and nominal GDP'!D79),'Real and nominal GDP'!D79,NA())),NA())</f>
        <v>495434.404</v>
      </c>
      <c r="F92" s="19" t="n">
        <f aca="false">IFERROR(IF('Real and nominal GDP'!E79="",NA(),IF(ISNUMBER('Real and nominal GDP'!E79),'Real and nominal GDP'!E79,NA())),NA())</f>
        <v>99846.23</v>
      </c>
      <c r="G92" s="19" t="n">
        <f aca="false">IFERROR(IF('Real and nominal GDP'!F79="",NA(),IF(ISNUMBER('Real and nominal GDP'!F79),'Real and nominal GDP'!F79,NA())),NA())</f>
        <v>146892.439</v>
      </c>
      <c r="H92" s="19" t="n">
        <f aca="false">IFERROR(IF('Real and nominal GDP'!G79="",NA(),IF(ISNUMBER('Real and nominal GDP'!G79),'Real and nominal GDP'!G79,NA())),NA())</f>
        <v>696134.669</v>
      </c>
      <c r="I92" s="19" t="n">
        <f aca="false">IFERROR(IF('Real and nominal GDP'!H79="",NA(),IF(ISNUMBER('Real and nominal GDP'!H79),'Real and nominal GDP'!H79,NA())),NA())</f>
        <v>54288414</v>
      </c>
      <c r="J92" s="19" t="n">
        <f aca="false">IFERROR(IF('Real and nominal GDP'!I79="",NA(),IF(ISNUMBER('Real and nominal GDP'!I79),'Real and nominal GDP'!I79,NA())),NA())</f>
        <v>563.485366666667</v>
      </c>
      <c r="K92" s="19" t="n">
        <f aca="false">IFERROR(IF('Real and nominal GDP'!J79="",NA(),IF(ISNUMBER('Real and nominal GDP'!J79),'Real and nominal GDP'!J79,NA())),NA())</f>
        <v>100.495853333333</v>
      </c>
      <c r="L92" s="19" t="n">
        <f aca="false">IFERROR(IF('Real and nominal GDP'!K79="",NA(),IF(ISNUMBER('Real and nominal GDP'!K79),'Real and nominal GDP'!K79,NA())),NA())</f>
        <v>194.78</v>
      </c>
      <c r="M92" s="20" t="n">
        <f aca="false">IFERROR(D92/D88-1,NA())</f>
        <v>0.0844714490070442</v>
      </c>
      <c r="N92" s="20" t="n">
        <f aca="false">IFERROR(D92/D91-1,NA())</f>
        <v>0.0242008438443464</v>
      </c>
      <c r="O92" s="20" t="n">
        <f aca="false">IFERROR(I92/I88-1,NA())</f>
        <v>0.681926065773255</v>
      </c>
      <c r="P92" s="21" t="n">
        <f aca="false">IF(COUNT(D89:D92)=4,SUM(D89:D92),NA())</f>
        <v>2759239.737</v>
      </c>
      <c r="Q92" s="21" t="n">
        <f aca="false">IF(COUNT(I89:I92)=4,SUM(I89:I92),NA())</f>
        <v>184876334</v>
      </c>
      <c r="R92" s="21" t="n">
        <f aca="false">IFERROR(I92/K92,NA())</f>
        <v>540205.512957152</v>
      </c>
      <c r="S92" s="21" t="n">
        <f aca="false">IFERROR(I92/L92,NA())</f>
        <v>278716.572543382</v>
      </c>
    </row>
    <row r="93" customFormat="false" ht="15" hidden="false" customHeight="false" outlineLevel="0" collapsed="false">
      <c r="A93" s="16" t="n">
        <f aca="false">IFERROR(IF(ISNUMBER('Real and nominal GDP'!A80),'Real and nominal GDP'!A80,NA()),NA())</f>
        <v>44621</v>
      </c>
      <c r="B93" s="17" t="str">
        <f aca="false">IFERROR(IF('Real and nominal GDP'!B80="",NA(),'Real and nominal GDP'!B80),NA())</f>
        <v>221</v>
      </c>
      <c r="C93" s="18" t="n">
        <f aca="false">IFERROR(YEAR(A93),0)</f>
        <v>2022</v>
      </c>
      <c r="D93" s="19" t="n">
        <f aca="false">IFERROR(IF('Real and nominal GDP'!C80="",NA(),IF(ISNUMBER('Real and nominal GDP'!C80),'Real and nominal GDP'!C80,NA())),NA())</f>
        <v>726931.818</v>
      </c>
      <c r="E93" s="19" t="n">
        <f aca="false">IFERROR(IF('Real and nominal GDP'!D80="",NA(),IF(ISNUMBER('Real and nominal GDP'!D80),'Real and nominal GDP'!D80,NA())),NA())</f>
        <v>508532.07</v>
      </c>
      <c r="F93" s="19" t="n">
        <f aca="false">IFERROR(IF('Real and nominal GDP'!E80="",NA(),IF(ISNUMBER('Real and nominal GDP'!E80),'Real and nominal GDP'!E80,NA())),NA())</f>
        <v>98711.252</v>
      </c>
      <c r="G93" s="19" t="n">
        <f aca="false">IFERROR(IF('Real and nominal GDP'!F80="",NA(),IF(ISNUMBER('Real and nominal GDP'!F80),'Real and nominal GDP'!F80,NA())),NA())</f>
        <v>152776.131</v>
      </c>
      <c r="H93" s="19" t="n">
        <f aca="false">IFERROR(IF('Real and nominal GDP'!G80="",NA(),IF(ISNUMBER('Real and nominal GDP'!G80),'Real and nominal GDP'!G80,NA())),NA())</f>
        <v>697625.285</v>
      </c>
      <c r="I93" s="19" t="n">
        <f aca="false">IFERROR(IF('Real and nominal GDP'!H80="",NA(),IF(ISNUMBER('Real and nominal GDP'!H80),'Real and nominal GDP'!H80,NA())),NA())</f>
        <v>60345325</v>
      </c>
      <c r="J93" s="19" t="n">
        <f aca="false">IFERROR(IF('Real and nominal GDP'!I80="",NA(),IF(ISNUMBER('Real and nominal GDP'!I80),'Real and nominal GDP'!I80,NA())),NA())</f>
        <v>638.174133333333</v>
      </c>
      <c r="K93" s="19" t="n">
        <f aca="false">IFERROR(IF('Real and nominal GDP'!J80="",NA(),IF(ISNUMBER('Real and nominal GDP'!J80),'Real and nominal GDP'!J80,NA())),NA())</f>
        <v>106.582693333333</v>
      </c>
      <c r="L93" s="19" t="n">
        <f aca="false">IFERROR(IF('Real and nominal GDP'!K80="",NA(),IF(ISNUMBER('Real and nominal GDP'!K80),'Real and nominal GDP'!K80,NA())),NA())</f>
        <v>207.156666666667</v>
      </c>
      <c r="M93" s="20" t="n">
        <f aca="false">IFERROR(D93/D89-1,NA())</f>
        <v>0.0734863377663262</v>
      </c>
      <c r="N93" s="20" t="n">
        <f aca="false">IFERROR(D93/D92-1,NA())</f>
        <v>0.0240294337100684</v>
      </c>
      <c r="O93" s="20" t="n">
        <f aca="false">IFERROR(I93/I89-1,NA())</f>
        <v>0.640482385399962</v>
      </c>
      <c r="P93" s="21" t="n">
        <f aca="false">IF(COUNT(D90:D93)=4,SUM(D90:D93),NA())</f>
        <v>2809002.417</v>
      </c>
      <c r="Q93" s="21" t="n">
        <f aca="false">IF(COUNT(I90:I93)=4,SUM(I90:I93),NA())</f>
        <v>208436549</v>
      </c>
      <c r="R93" s="21" t="n">
        <f aca="false">IFERROR(I93/K93,NA())</f>
        <v>566183.149559491</v>
      </c>
      <c r="S93" s="21" t="n">
        <f aca="false">IFERROR(I93/L93,NA())</f>
        <v>291302.838431461</v>
      </c>
    </row>
    <row r="94" customFormat="false" ht="15" hidden="false" customHeight="false" outlineLevel="0" collapsed="false">
      <c r="A94" s="16" t="n">
        <f aca="false">IFERROR(IF(ISNUMBER('Real and nominal GDP'!A81),'Real and nominal GDP'!A81,NA()),NA())</f>
        <v>44713</v>
      </c>
      <c r="B94" s="17" t="str">
        <f aca="false">IFERROR(IF('Real and nominal GDP'!B81="",NA(),'Real and nominal GDP'!B81),NA())</f>
        <v>222</v>
      </c>
      <c r="C94" s="18" t="n">
        <f aca="false">IFERROR(YEAR(A94),0)</f>
        <v>2022</v>
      </c>
      <c r="D94" s="19" t="n">
        <f aca="false">IFERROR(IF('Real and nominal GDP'!C81="",NA(),IF(ISNUMBER('Real and nominal GDP'!C81),'Real and nominal GDP'!C81,NA())),NA())</f>
        <v>741189.864</v>
      </c>
      <c r="E94" s="19" t="n">
        <f aca="false">IFERROR(IF('Real and nominal GDP'!D81="",NA(),IF(ISNUMBER('Real and nominal GDP'!D81),'Real and nominal GDP'!D81,NA())),NA())</f>
        <v>523115.152</v>
      </c>
      <c r="F94" s="19" t="n">
        <f aca="false">IFERROR(IF('Real and nominal GDP'!E81="",NA(),IF(ISNUMBER('Real and nominal GDP'!E81),'Real and nominal GDP'!E81,NA())),NA())</f>
        <v>98068.772</v>
      </c>
      <c r="G94" s="19" t="n">
        <f aca="false">IFERROR(IF('Real and nominal GDP'!F81="",NA(),IF(ISNUMBER('Real and nominal GDP'!F81),'Real and nominal GDP'!F81,NA())),NA())</f>
        <v>160039.113</v>
      </c>
      <c r="H94" s="19" t="n">
        <f aca="false">IFERROR(IF('Real and nominal GDP'!G81="",NA(),IF(ISNUMBER('Real and nominal GDP'!G81),'Real and nominal GDP'!G81,NA())),NA())</f>
        <v>782338.629</v>
      </c>
      <c r="I94" s="19" t="n">
        <f aca="false">IFERROR(IF('Real and nominal GDP'!H81="",NA(),IF(ISNUMBER('Real and nominal GDP'!H81),'Real and nominal GDP'!H81,NA())),NA())</f>
        <v>78676963</v>
      </c>
      <c r="J94" s="19" t="n">
        <f aca="false">IFERROR(IF('Real and nominal GDP'!I81="",NA(),IF(ISNUMBER('Real and nominal GDP'!I81),'Real and nominal GDP'!I81,NA())),NA())</f>
        <v>754.371566666667</v>
      </c>
      <c r="K94" s="19" t="n">
        <f aca="false">IFERROR(IF('Real and nominal GDP'!J81="",NA(),IF(ISNUMBER('Real and nominal GDP'!J81),'Real and nominal GDP'!J81,NA())),NA())</f>
        <v>117.951456666667</v>
      </c>
      <c r="L94" s="19" t="n">
        <f aca="false">IFERROR(IF('Real and nominal GDP'!K81="",NA(),IF(ISNUMBER('Real and nominal GDP'!K81),'Real and nominal GDP'!K81,NA())),NA())</f>
        <v>205.512333333333</v>
      </c>
      <c r="M94" s="20" t="n">
        <f aca="false">IFERROR(D94/D90-1,NA())</f>
        <v>0.0914355574016559</v>
      </c>
      <c r="N94" s="20" t="n">
        <f aca="false">IFERROR(D94/D93-1,NA())</f>
        <v>0.0196140073208351</v>
      </c>
      <c r="O94" s="20" t="n">
        <f aca="false">IFERROR(I94/I90-1,NA())</f>
        <v>0.697809363736918</v>
      </c>
      <c r="P94" s="21" t="n">
        <f aca="false">IF(COUNT(D91:D94)=4,SUM(D91:D94),NA())</f>
        <v>2871095.967</v>
      </c>
      <c r="Q94" s="21" t="n">
        <f aca="false">IF(COUNT(I91:I94)=4,SUM(I91:I94),NA())</f>
        <v>240773231</v>
      </c>
      <c r="R94" s="21" t="n">
        <f aca="false">IFERROR(I94/K94,NA())</f>
        <v>667028.328631352</v>
      </c>
      <c r="S94" s="21" t="n">
        <f aca="false">IFERROR(I94/L94,NA())</f>
        <v>382833.291432631</v>
      </c>
    </row>
    <row r="95" customFormat="false" ht="15" hidden="false" customHeight="false" outlineLevel="0" collapsed="false">
      <c r="A95" s="16" t="n">
        <f aca="false">IFERROR(IF(ISNUMBER('Real and nominal GDP'!A82),'Real and nominal GDP'!A82,NA()),NA())</f>
        <v>44805</v>
      </c>
      <c r="B95" s="17" t="str">
        <f aca="false">IFERROR(IF('Real and nominal GDP'!B82="",NA(),'Real and nominal GDP'!B82),NA())</f>
        <v>223</v>
      </c>
      <c r="C95" s="18" t="n">
        <f aca="false">IFERROR(YEAR(A95),0)</f>
        <v>2022</v>
      </c>
      <c r="D95" s="19" t="n">
        <f aca="false">IFERROR(IF('Real and nominal GDP'!C82="",NA(),IF(ISNUMBER('Real and nominal GDP'!C82),'Real and nominal GDP'!C82,NA())),NA())</f>
        <v>735605.991</v>
      </c>
      <c r="E95" s="19" t="n">
        <f aca="false">IFERROR(IF('Real and nominal GDP'!D82="",NA(),IF(ISNUMBER('Real and nominal GDP'!D82),'Real and nominal GDP'!D82,NA())),NA())</f>
        <v>526502.402</v>
      </c>
      <c r="F95" s="19" t="n">
        <f aca="false">IFERROR(IF('Real and nominal GDP'!E82="",NA(),IF(ISNUMBER('Real and nominal GDP'!E82),'Real and nominal GDP'!E82,NA())),NA())</f>
        <v>97139.337</v>
      </c>
      <c r="G95" s="19" t="n">
        <f aca="false">IFERROR(IF('Real and nominal GDP'!F82="",NA(),IF(ISNUMBER('Real and nominal GDP'!F82),'Real and nominal GDP'!F82,NA())),NA())</f>
        <v>153059.852</v>
      </c>
      <c r="H95" s="19" t="n">
        <f aca="false">IFERROR(IF('Real and nominal GDP'!G82="",NA(),IF(ISNUMBER('Real and nominal GDP'!G82),'Real and nominal GDP'!G82,NA())),NA())</f>
        <v>732662.164</v>
      </c>
      <c r="I95" s="19" t="n">
        <f aca="false">IFERROR(IF('Real and nominal GDP'!H82="",NA(),IF(ISNUMBER('Real and nominal GDP'!H82),'Real and nominal GDP'!H82,NA())),NA())</f>
        <v>87863364</v>
      </c>
      <c r="J95" s="19" t="n">
        <f aca="false">IFERROR(IF('Real and nominal GDP'!I82="",NA(),IF(ISNUMBER('Real and nominal GDP'!I82),'Real and nominal GDP'!I82,NA())),NA())</f>
        <v>910.066733333333</v>
      </c>
      <c r="K95" s="19" t="n">
        <f aca="false">IFERROR(IF('Real and nominal GDP'!J82="",NA(),IF(ISNUMBER('Real and nominal GDP'!J82),'Real and nominal GDP'!J82,NA())),NA())</f>
        <v>135.79549</v>
      </c>
      <c r="L95" s="19" t="n">
        <f aca="false">IFERROR(IF('Real and nominal GDP'!K82="",NA(),IF(ISNUMBER('Real and nominal GDP'!K82),'Real and nominal GDP'!K82,NA())),NA())</f>
        <v>284.839666666667</v>
      </c>
      <c r="M95" s="20" t="n">
        <f aca="false">IFERROR(D95/D91-1,NA())</f>
        <v>0.0613268422943025</v>
      </c>
      <c r="N95" s="20" t="n">
        <f aca="false">IFERROR(D95/D94-1,NA())</f>
        <v>-0.00753366076792428</v>
      </c>
      <c r="O95" s="20" t="n">
        <f aca="false">IFERROR(I95/I91-1,NA())</f>
        <v>0.851215387195234</v>
      </c>
      <c r="P95" s="21" t="n">
        <f aca="false">IF(COUNT(D92:D95)=4,SUM(D92:D95),NA())</f>
        <v>2913601.622</v>
      </c>
      <c r="Q95" s="21" t="n">
        <f aca="false">IF(COUNT(I92:I95)=4,SUM(I92:I95),NA())</f>
        <v>281174066</v>
      </c>
      <c r="R95" s="21" t="n">
        <f aca="false">IFERROR(I95/K95,NA())</f>
        <v>647027.114081624</v>
      </c>
      <c r="S95" s="21" t="n">
        <f aca="false">IFERROR(I95/L95,NA())</f>
        <v>308466.039959322</v>
      </c>
    </row>
    <row r="96" customFormat="false" ht="15" hidden="false" customHeight="false" outlineLevel="0" collapsed="false">
      <c r="A96" s="16" t="n">
        <f aca="false">IFERROR(IF(ISNUMBER('Real and nominal GDP'!A83),'Real and nominal GDP'!A83,NA()),NA())</f>
        <v>44896</v>
      </c>
      <c r="B96" s="17" t="str">
        <f aca="false">IFERROR(IF('Real and nominal GDP'!B83="",NA(),'Real and nominal GDP'!B83),NA())</f>
        <v>224</v>
      </c>
      <c r="C96" s="18" t="n">
        <f aca="false">IFERROR(YEAR(A96),0)</f>
        <v>2022</v>
      </c>
      <c r="D96" s="19" t="n">
        <f aca="false">IFERROR(IF('Real and nominal GDP'!C83="",NA(),IF(ISNUMBER('Real and nominal GDP'!C83),'Real and nominal GDP'!C83,NA())),NA())</f>
        <v>721638.862</v>
      </c>
      <c r="E96" s="19" t="n">
        <f aca="false">IFERROR(IF('Real and nominal GDP'!D83="",NA(),IF(ISNUMBER('Real and nominal GDP'!D83),'Real and nominal GDP'!D83,NA())),NA())</f>
        <v>522435.595</v>
      </c>
      <c r="F96" s="19" t="n">
        <f aca="false">IFERROR(IF('Real and nominal GDP'!E83="",NA(),IF(ISNUMBER('Real and nominal GDP'!E83),'Real and nominal GDP'!E83,NA())),NA())</f>
        <v>97619.282</v>
      </c>
      <c r="G96" s="19" t="n">
        <f aca="false">IFERROR(IF('Real and nominal GDP'!F83="",NA(),IF(ISNUMBER('Real and nominal GDP'!F83),'Real and nominal GDP'!F83,NA())),NA())</f>
        <v>147934.158</v>
      </c>
      <c r="H96" s="19" t="n">
        <f aca="false">IFERROR(IF('Real and nominal GDP'!G83="",NA(),IF(ISNUMBER('Real and nominal GDP'!G83),'Real and nominal GDP'!G83,NA())),NA())</f>
        <v>712740.458</v>
      </c>
      <c r="I96" s="19" t="n">
        <f aca="false">IFERROR(IF('Real and nominal GDP'!H83="",NA(),IF(ISNUMBER('Real and nominal GDP'!H83),'Real and nominal GDP'!H83,NA())),NA())</f>
        <v>104354529</v>
      </c>
      <c r="J96" s="19" t="n">
        <f aca="false">IFERROR(IF('Real and nominal GDP'!I83="",NA(),IF(ISNUMBER('Real and nominal GDP'!I83),'Real and nominal GDP'!I83,NA())),NA())</f>
        <v>1080.8574</v>
      </c>
      <c r="K96" s="19" t="n">
        <f aca="false">IFERROR(IF('Real and nominal GDP'!J83="",NA(),IF(ISNUMBER('Real and nominal GDP'!J83),'Real and nominal GDP'!J83,NA())),NA())</f>
        <v>162.537266666667</v>
      </c>
      <c r="L96" s="19" t="n">
        <f aca="false">IFERROR(IF('Real and nominal GDP'!K83="",NA(),IF(ISNUMBER('Real and nominal GDP'!K83),'Real and nominal GDP'!K83,NA())),NA())</f>
        <v>303.939333333333</v>
      </c>
      <c r="M96" s="20" t="n">
        <f aca="false">IFERROR(D96/D92-1,NA())</f>
        <v>0.0165732423574259</v>
      </c>
      <c r="N96" s="20" t="n">
        <f aca="false">IFERROR(D96/D95-1,NA())</f>
        <v>-0.0189872420438186</v>
      </c>
      <c r="O96" s="20" t="n">
        <f aca="false">IFERROR(I96/I92-1,NA())</f>
        <v>0.922224675784413</v>
      </c>
      <c r="P96" s="21" t="n">
        <f aca="false">IF(COUNT(D93:D96)=4,SUM(D93:D96),NA())</f>
        <v>2925366.535</v>
      </c>
      <c r="Q96" s="21" t="n">
        <f aca="false">IF(COUNT(I93:I96)=4,SUM(I93:I96),NA())</f>
        <v>331240181</v>
      </c>
      <c r="R96" s="21" t="n">
        <f aca="false">IFERROR(I96/K96,NA())</f>
        <v>642034.477016348</v>
      </c>
      <c r="S96" s="21" t="n">
        <f aca="false">IFERROR(I96/L96,NA())</f>
        <v>343339.994384844</v>
      </c>
    </row>
    <row r="97" customFormat="false" ht="15" hidden="false" customHeight="false" outlineLevel="0" collapsed="false">
      <c r="A97" s="16" t="n">
        <f aca="false">IFERROR(IF(ISNUMBER('Real and nominal GDP'!A84),'Real and nominal GDP'!A84,NA()),NA())</f>
        <v>44986</v>
      </c>
      <c r="B97" s="17" t="str">
        <f aca="false">IFERROR(IF('Real and nominal GDP'!B84="",NA(),'Real and nominal GDP'!B84),NA())</f>
        <v>231</v>
      </c>
      <c r="C97" s="18" t="n">
        <f aca="false">IFERROR(YEAR(A97),0)</f>
        <v>2023</v>
      </c>
      <c r="D97" s="19" t="n">
        <f aca="false">IFERROR(IF('Real and nominal GDP'!C84="",NA(),IF(ISNUMBER('Real and nominal GDP'!C84),'Real and nominal GDP'!C84,NA())),NA())</f>
        <v>727949.285</v>
      </c>
      <c r="E97" s="19" t="n">
        <f aca="false">IFERROR(IF('Real and nominal GDP'!D84="",NA(),IF(ISNUMBER('Real and nominal GDP'!D84),'Real and nominal GDP'!D84,NA())),NA())</f>
        <v>526315.996</v>
      </c>
      <c r="F97" s="19" t="n">
        <f aca="false">IFERROR(IF('Real and nominal GDP'!E84="",NA(),IF(ISNUMBER('Real and nominal GDP'!E84),'Real and nominal GDP'!E84,NA())),NA())</f>
        <v>101137.536</v>
      </c>
      <c r="G97" s="19" t="n">
        <f aca="false">IFERROR(IF('Real and nominal GDP'!F84="",NA(),IF(ISNUMBER('Real and nominal GDP'!F84),'Real and nominal GDP'!F84,NA())),NA())</f>
        <v>151758.998</v>
      </c>
      <c r="H97" s="19" t="n">
        <f aca="false">IFERROR(IF('Real and nominal GDP'!G84="",NA(),IF(ISNUMBER('Real and nominal GDP'!G84),'Real and nominal GDP'!G84,NA())),NA())</f>
        <v>703987.504</v>
      </c>
      <c r="I97" s="19" t="n">
        <f aca="false">IFERROR(IF('Real and nominal GDP'!H84="",NA(),IF(ISNUMBER('Real and nominal GDP'!H84),'Real and nominal GDP'!H84,NA())),NA())</f>
        <v>120719557</v>
      </c>
      <c r="J97" s="19" t="n">
        <f aca="false">IFERROR(IF('Real and nominal GDP'!I84="",NA(),IF(ISNUMBER('Real and nominal GDP'!I84),'Real and nominal GDP'!I84,NA())),NA())</f>
        <v>1288.9494</v>
      </c>
      <c r="K97" s="19" t="n">
        <f aca="false">IFERROR(IF('Real and nominal GDP'!J84="",NA(),IF(ISNUMBER('Real and nominal GDP'!J84),'Real and nominal GDP'!J84,NA())),NA())</f>
        <v>192.41485</v>
      </c>
      <c r="L97" s="19" t="n">
        <f aca="false">IFERROR(IF('Real and nominal GDP'!K84="",NA(),IF(ISNUMBER('Real and nominal GDP'!K84),'Real and nominal GDP'!K84,NA())),NA())</f>
        <v>374.148333333333</v>
      </c>
      <c r="M97" s="20" t="n">
        <f aca="false">IFERROR(D97/D93-1,NA())</f>
        <v>0.00139967322217283</v>
      </c>
      <c r="N97" s="20" t="n">
        <f aca="false">IFERROR(D97/D96-1,NA())</f>
        <v>0.00874457201835122</v>
      </c>
      <c r="O97" s="20" t="n">
        <f aca="false">IFERROR(I97/I93-1,NA())</f>
        <v>1.00047902633717</v>
      </c>
      <c r="P97" s="21" t="n">
        <f aca="false">IF(COUNT(D94:D97)=4,SUM(D94:D97),NA())</f>
        <v>2926384.002</v>
      </c>
      <c r="Q97" s="21" t="n">
        <f aca="false">IF(COUNT(I94:I97)=4,SUM(I94:I97),NA())</f>
        <v>391614413</v>
      </c>
      <c r="R97" s="21" t="n">
        <f aca="false">IFERROR(I97/K97,NA())</f>
        <v>627392.100973496</v>
      </c>
      <c r="S97" s="21" t="n">
        <f aca="false">IFERROR(I97/L97,NA())</f>
        <v>322651.596292023</v>
      </c>
    </row>
    <row r="98" customFormat="false" ht="15" hidden="false" customHeight="false" outlineLevel="0" collapsed="false">
      <c r="A98" s="16" t="n">
        <f aca="false">IFERROR(IF(ISNUMBER('Real and nominal GDP'!A85),'Real and nominal GDP'!A85,NA()),NA())</f>
        <v>45078</v>
      </c>
      <c r="B98" s="17" t="str">
        <f aca="false">IFERROR(IF('Real and nominal GDP'!B85="",NA(),'Real and nominal GDP'!B85),NA())</f>
        <v>232</v>
      </c>
      <c r="C98" s="18" t="n">
        <f aca="false">IFERROR(YEAR(A98),0)</f>
        <v>2023</v>
      </c>
      <c r="D98" s="19" t="n">
        <f aca="false">IFERROR(IF('Real and nominal GDP'!C85="",NA(),IF(ISNUMBER('Real and nominal GDP'!C85),'Real and nominal GDP'!C85,NA())),NA())</f>
        <v>710424.849</v>
      </c>
      <c r="E98" s="19" t="n">
        <f aca="false">IFERROR(IF('Real and nominal GDP'!D85="",NA(),IF(ISNUMBER('Real and nominal GDP'!D85),'Real and nominal GDP'!D85,NA())),NA())</f>
        <v>535460.37</v>
      </c>
      <c r="F98" s="19" t="n">
        <f aca="false">IFERROR(IF('Real and nominal GDP'!E85="",NA(),IF(ISNUMBER('Real and nominal GDP'!E85),'Real and nominal GDP'!E85,NA())),NA())</f>
        <v>101754.077</v>
      </c>
      <c r="G98" s="19" t="n">
        <f aca="false">IFERROR(IF('Real and nominal GDP'!F85="",NA(),IF(ISNUMBER('Real and nominal GDP'!F85),'Real and nominal GDP'!F85,NA())),NA())</f>
        <v>158262.646</v>
      </c>
      <c r="H98" s="19" t="n">
        <f aca="false">IFERROR(IF('Real and nominal GDP'!G85="",NA(),IF(ISNUMBER('Real and nominal GDP'!G85),'Real and nominal GDP'!G85,NA())),NA())</f>
        <v>737941.909</v>
      </c>
      <c r="I98" s="19" t="n">
        <f aca="false">IFERROR(IF('Real and nominal GDP'!H85="",NA(),IF(ISNUMBER('Real and nominal GDP'!H85),'Real and nominal GDP'!H85,NA())),NA())</f>
        <v>159215855</v>
      </c>
      <c r="J98" s="19" t="n">
        <f aca="false">IFERROR(IF('Real and nominal GDP'!I85="",NA(),IF(ISNUMBER('Real and nominal GDP'!I85),'Real and nominal GDP'!I85,NA())),NA())</f>
        <v>1606.80523333333</v>
      </c>
      <c r="K98" s="19" t="n">
        <f aca="false">IFERROR(IF('Real and nominal GDP'!J85="",NA(),IF(ISNUMBER('Real and nominal GDP'!J85),'Real and nominal GDP'!J85,NA())),NA())</f>
        <v>232.18287</v>
      </c>
      <c r="L98" s="19" t="n">
        <f aca="false">IFERROR(IF('Real and nominal GDP'!K85="",NA(),IF(ISNUMBER('Real and nominal GDP'!K85),'Real and nominal GDP'!K85,NA())),NA())</f>
        <v>461.922666666667</v>
      </c>
      <c r="M98" s="20" t="n">
        <f aca="false">IFERROR(D98/D94-1,NA())</f>
        <v>-0.0415076035092675</v>
      </c>
      <c r="N98" s="20" t="n">
        <f aca="false">IFERROR(D98/D97-1,NA())</f>
        <v>-0.024073704530117</v>
      </c>
      <c r="O98" s="20" t="n">
        <f aca="false">IFERROR(I98/I94-1,NA())</f>
        <v>1.02366549151116</v>
      </c>
      <c r="P98" s="21" t="n">
        <f aca="false">IF(COUNT(D95:D98)=4,SUM(D95:D98),NA())</f>
        <v>2895618.987</v>
      </c>
      <c r="Q98" s="21" t="n">
        <f aca="false">IF(COUNT(I95:I98)=4,SUM(I95:I98),NA())</f>
        <v>472153305</v>
      </c>
      <c r="R98" s="21" t="n">
        <f aca="false">IFERROR(I98/K98,NA())</f>
        <v>685734.71850012</v>
      </c>
      <c r="S98" s="21" t="n">
        <f aca="false">IFERROR(I98/L98,NA())</f>
        <v>344680.75825102</v>
      </c>
    </row>
    <row r="99" customFormat="false" ht="15" hidden="false" customHeight="false" outlineLevel="0" collapsed="false">
      <c r="A99" s="16" t="n">
        <f aca="false">IFERROR(IF(ISNUMBER('Real and nominal GDP'!A86),'Real and nominal GDP'!A86,NA()),NA())</f>
        <v>45170</v>
      </c>
      <c r="B99" s="17" t="str">
        <f aca="false">IFERROR(IF('Real and nominal GDP'!B86="",NA(),'Real and nominal GDP'!B86),NA())</f>
        <v>233</v>
      </c>
      <c r="C99" s="18" t="n">
        <f aca="false">IFERROR(YEAR(A99),0)</f>
        <v>2023</v>
      </c>
      <c r="D99" s="19" t="n">
        <f aca="false">IFERROR(IF('Real and nominal GDP'!C86="",NA(),IF(ISNUMBER('Real and nominal GDP'!C86),'Real and nominal GDP'!C86,NA())),NA())</f>
        <v>725091.04</v>
      </c>
      <c r="E99" s="19" t="n">
        <f aca="false">IFERROR(IF('Real and nominal GDP'!D86="",NA(),IF(ISNUMBER('Real and nominal GDP'!D86),'Real and nominal GDP'!D86,NA())),NA())</f>
        <v>526871.217</v>
      </c>
      <c r="F99" s="19" t="n">
        <f aca="false">IFERROR(IF('Real and nominal GDP'!E86="",NA(),IF(ISNUMBER('Real and nominal GDP'!E86),'Real and nominal GDP'!E86,NA())),NA())</f>
        <v>100244.497</v>
      </c>
      <c r="G99" s="19" t="n">
        <f aca="false">IFERROR(IF('Real and nominal GDP'!F86="",NA(),IF(ISNUMBER('Real and nominal GDP'!F86),'Real and nominal GDP'!F86,NA())),NA())</f>
        <v>154251.274</v>
      </c>
      <c r="H99" s="19" t="n">
        <f aca="false">IFERROR(IF('Real and nominal GDP'!G86="",NA(),IF(ISNUMBER('Real and nominal GDP'!G86),'Real and nominal GDP'!G86,NA())),NA())</f>
        <v>728638.585</v>
      </c>
      <c r="I99" s="19" t="n">
        <f aca="false">IFERROR(IF('Real and nominal GDP'!H86="",NA(),IF(ISNUMBER('Real and nominal GDP'!H86),'Real and nominal GDP'!H86,NA())),NA())</f>
        <v>206516400</v>
      </c>
      <c r="J99" s="19" t="n">
        <f aca="false">IFERROR(IF('Real and nominal GDP'!I86="",NA(),IF(ISNUMBER('Real and nominal GDP'!I86),'Real and nominal GDP'!I86,NA())),NA())</f>
        <v>2055.76373333333</v>
      </c>
      <c r="K99" s="19" t="n">
        <f aca="false">IFERROR(IF('Real and nominal GDP'!J86="",NA(),IF(ISNUMBER('Real and nominal GDP'!J86),'Real and nominal GDP'!J86,NA())),NA())</f>
        <v>312.8535</v>
      </c>
      <c r="L99" s="19" t="n">
        <f aca="false">IFERROR(IF('Real and nominal GDP'!K86="",NA(),IF(ISNUMBER('Real and nominal GDP'!K86),'Real and nominal GDP'!K86,NA())),NA())</f>
        <v>640.264666666667</v>
      </c>
      <c r="M99" s="20" t="n">
        <f aca="false">IFERROR(D99/D95-1,NA())</f>
        <v>-0.0142942704771962</v>
      </c>
      <c r="N99" s="20" t="n">
        <f aca="false">IFERROR(D99/D98-1,NA())</f>
        <v>0.0206442539568319</v>
      </c>
      <c r="O99" s="20" t="n">
        <f aca="false">IFERROR(I99/I95-1,NA())</f>
        <v>1.35042673758769</v>
      </c>
      <c r="P99" s="21" t="n">
        <f aca="false">IF(COUNT(D96:D99)=4,SUM(D96:D99),NA())</f>
        <v>2885104.036</v>
      </c>
      <c r="Q99" s="21" t="n">
        <f aca="false">IF(COUNT(I96:I99)=4,SUM(I96:I99),NA())</f>
        <v>590806341</v>
      </c>
      <c r="R99" s="21" t="n">
        <f aca="false">IFERROR(I99/K99,NA())</f>
        <v>660105.768354837</v>
      </c>
      <c r="S99" s="21" t="n">
        <f aca="false">IFERROR(I99/L99,NA())</f>
        <v>322548.487760791</v>
      </c>
    </row>
    <row r="100" customFormat="false" ht="15" hidden="false" customHeight="false" outlineLevel="0" collapsed="false">
      <c r="A100" s="16" t="n">
        <f aca="false">IFERROR(IF(ISNUMBER('Real and nominal GDP'!A87),'Real and nominal GDP'!A87,NA()),NA())</f>
        <v>45261</v>
      </c>
      <c r="B100" s="17" t="str">
        <f aca="false">IFERROR(IF('Real and nominal GDP'!B87="",NA(),'Real and nominal GDP'!B87),NA())</f>
        <v>234</v>
      </c>
      <c r="C100" s="18" t="n">
        <f aca="false">IFERROR(YEAR(A100),0)</f>
        <v>2023</v>
      </c>
      <c r="D100" s="19" t="n">
        <f aca="false">IFERROR(IF('Real and nominal GDP'!C87="",NA(),IF(ISNUMBER('Real and nominal GDP'!C87),'Real and nominal GDP'!C87,NA())),NA())</f>
        <v>707612.759</v>
      </c>
      <c r="E100" s="19" t="n">
        <f aca="false">IFERROR(IF('Real and nominal GDP'!D87="",NA(),IF(ISNUMBER('Real and nominal GDP'!D87),'Real and nominal GDP'!D87,NA())),NA())</f>
        <v>512157.185</v>
      </c>
      <c r="F100" s="19" t="n">
        <f aca="false">IFERROR(IF('Real and nominal GDP'!E87="",NA(),IF(ISNUMBER('Real and nominal GDP'!E87),'Real and nominal GDP'!E87,NA())),NA())</f>
        <v>96473.037</v>
      </c>
      <c r="G100" s="19" t="n">
        <f aca="false">IFERROR(IF('Real and nominal GDP'!F87="",NA(),IF(ISNUMBER('Real and nominal GDP'!F87),'Real and nominal GDP'!F87,NA())),NA())</f>
        <v>137561.486</v>
      </c>
      <c r="H100" s="19" t="n">
        <f aca="false">IFERROR(IF('Real and nominal GDP'!G87="",NA(),IF(ISNUMBER('Real and nominal GDP'!G87),'Real and nominal GDP'!G87,NA())),NA())</f>
        <v>700509.935</v>
      </c>
      <c r="I100" s="19" t="n">
        <f aca="false">IFERROR(IF('Real and nominal GDP'!H87="",NA(),IF(ISNUMBER('Real and nominal GDP'!H87),'Real and nominal GDP'!H87,NA())),NA())</f>
        <v>283181180</v>
      </c>
      <c r="J100" s="19" t="n">
        <f aca="false">IFERROR(IF('Real and nominal GDP'!I87="",NA(),IF(ISNUMBER('Real and nominal GDP'!I87),'Real and nominal GDP'!I87,NA())),NA())</f>
        <v>2948.50933333333</v>
      </c>
      <c r="K100" s="19" t="n">
        <f aca="false">IFERROR(IF('Real and nominal GDP'!J87="",NA(),IF(ISNUMBER('Real and nominal GDP'!J87),'Real and nominal GDP'!J87,NA())),NA())</f>
        <v>448.969516666667</v>
      </c>
      <c r="L100" s="19" t="n">
        <f aca="false">IFERROR(IF('Real and nominal GDP'!K87="",NA(),IF(ISNUMBER('Real and nominal GDP'!K87),'Real and nominal GDP'!K87,NA())),NA())</f>
        <v>942.358666666667</v>
      </c>
      <c r="M100" s="20" t="n">
        <f aca="false">IFERROR(D100/D96-1,NA())</f>
        <v>-0.0194364574007656</v>
      </c>
      <c r="N100" s="20" t="n">
        <f aca="false">IFERROR(D100/D99-1,NA())</f>
        <v>-0.0241049468767399</v>
      </c>
      <c r="O100" s="20" t="n">
        <f aca="false">IFERROR(I100/I96-1,NA())</f>
        <v>1.71364532726701</v>
      </c>
      <c r="P100" s="21" t="n">
        <f aca="false">IF(COUNT(D97:D100)=4,SUM(D97:D100),NA())</f>
        <v>2871077.933</v>
      </c>
      <c r="Q100" s="21" t="n">
        <f aca="false">IF(COUNT(I97:I100)=4,SUM(I97:I100),NA())</f>
        <v>769632992</v>
      </c>
      <c r="R100" s="21" t="n">
        <f aca="false">IFERROR(I100/K100,NA())</f>
        <v>630735.872899463</v>
      </c>
      <c r="S100" s="21" t="n">
        <f aca="false">IFERROR(I100/L100,NA())</f>
        <v>300502.54750845</v>
      </c>
    </row>
    <row r="101" customFormat="false" ht="15" hidden="false" customHeight="false" outlineLevel="0" collapsed="false">
      <c r="A101" s="16" t="n">
        <f aca="false">IFERROR(IF(ISNUMBER('Real and nominal GDP'!A88),'Real and nominal GDP'!A88,NA()),NA())</f>
        <v>45352</v>
      </c>
      <c r="B101" s="17" t="str">
        <f aca="false">IFERROR(IF('Real and nominal GDP'!B88="",NA(),'Real and nominal GDP'!B88),NA())</f>
        <v>241</v>
      </c>
      <c r="C101" s="18" t="n">
        <f aca="false">IFERROR(YEAR(A101),0)</f>
        <v>2024</v>
      </c>
      <c r="D101" s="19" t="n">
        <f aca="false">IFERROR(IF('Real and nominal GDP'!C88="",NA(),IF(ISNUMBER('Real and nominal GDP'!C88),'Real and nominal GDP'!C88,NA())),NA())</f>
        <v>696039.642</v>
      </c>
      <c r="E101" s="19" t="n">
        <f aca="false">IFERROR(IF('Real and nominal GDP'!D88="",NA(),IF(ISNUMBER('Real and nominal GDP'!D88),'Real and nominal GDP'!D88,NA())),NA())</f>
        <v>497472.141</v>
      </c>
      <c r="F101" s="19" t="n">
        <f aca="false">IFERROR(IF('Real and nominal GDP'!E88="",NA(),IF(ISNUMBER('Real and nominal GDP'!E88),'Real and nominal GDP'!E88,NA())),NA())</f>
        <v>97145.635</v>
      </c>
      <c r="G101" s="19" t="n">
        <f aca="false">IFERROR(IF('Real and nominal GDP'!F88="",NA(),IF(ISNUMBER('Real and nominal GDP'!F88),'Real and nominal GDP'!F88,NA())),NA())</f>
        <v>119496.49</v>
      </c>
      <c r="H101" s="19" t="n">
        <f aca="false">IFERROR(IF('Real and nominal GDP'!G88="",NA(),IF(ISNUMBER('Real and nominal GDP'!G88),'Real and nominal GDP'!G88,NA())),NA())</f>
        <v>669057.733</v>
      </c>
      <c r="I101" s="19" t="n">
        <f aca="false">IFERROR(IF('Real and nominal GDP'!H88="",NA(),IF(ISNUMBER('Real and nominal GDP'!H88),'Real and nominal GDP'!H88,NA())),NA())</f>
        <v>423472034</v>
      </c>
      <c r="J101" s="19" t="n">
        <f aca="false">IFERROR(IF('Real and nominal GDP'!I88="",NA(),IF(ISNUMBER('Real and nominal GDP'!I88),'Real and nominal GDP'!I88,NA())),NA())</f>
        <v>4814.80446666667</v>
      </c>
      <c r="K101" s="19" t="n">
        <f aca="false">IFERROR(IF('Real and nominal GDP'!J88="",NA(),IF(ISNUMBER('Real and nominal GDP'!J88),'Real and nominal GDP'!J88,NA())),NA())</f>
        <v>834.460686666667</v>
      </c>
      <c r="L101" s="19" t="n">
        <f aca="false">IFERROR(IF('Real and nominal GDP'!K88="",NA(),IF(ISNUMBER('Real and nominal GDP'!K88),'Real and nominal GDP'!K88,NA())),NA())</f>
        <v>1077.56766666667</v>
      </c>
      <c r="M101" s="20" t="n">
        <f aca="false">IFERROR(D101/D97-1,NA())</f>
        <v>-0.0438349808943078</v>
      </c>
      <c r="N101" s="20" t="n">
        <f aca="false">IFERROR(D101/D100-1,NA())</f>
        <v>-0.0163551559137446</v>
      </c>
      <c r="O101" s="20" t="n">
        <f aca="false">IFERROR(I101/I97-1,NA())</f>
        <v>2.50789917163132</v>
      </c>
      <c r="P101" s="21" t="n">
        <f aca="false">IF(COUNT(D98:D101)=4,SUM(D98:D101),NA())</f>
        <v>2839168.29</v>
      </c>
      <c r="Q101" s="21" t="n">
        <f aca="false">IF(COUNT(I98:I101)=4,SUM(I98:I101),NA())</f>
        <v>1072385469</v>
      </c>
      <c r="R101" s="21" t="n">
        <f aca="false">IFERROR(I101/K101,NA())</f>
        <v>507479.909798507</v>
      </c>
      <c r="S101" s="21" t="n">
        <f aca="false">IFERROR(I101/L101,NA())</f>
        <v>392988.809055456</v>
      </c>
    </row>
    <row r="102" customFormat="false" ht="15" hidden="false" customHeight="false" outlineLevel="0" collapsed="false">
      <c r="A102" s="16" t="n">
        <f aca="false">IFERROR(IF(ISNUMBER('Real and nominal GDP'!A89),'Real and nominal GDP'!A89,NA()),NA())</f>
        <v>45444</v>
      </c>
      <c r="B102" s="17" t="str">
        <f aca="false">IFERROR(IF('Real and nominal GDP'!B89="",NA(),'Real and nominal GDP'!B89),NA())</f>
        <v>242</v>
      </c>
      <c r="C102" s="18" t="n">
        <f aca="false">IFERROR(YEAR(A102),0)</f>
        <v>2024</v>
      </c>
      <c r="D102" s="19" t="n">
        <f aca="false">IFERROR(IF('Real and nominal GDP'!C89="",NA(),IF(ISNUMBER('Real and nominal GDP'!C89),'Real and nominal GDP'!C89,NA())),NA())</f>
        <v>690565.599</v>
      </c>
      <c r="E102" s="19" t="n">
        <f aca="false">IFERROR(IF('Real and nominal GDP'!D89="",NA(),IF(ISNUMBER('Real and nominal GDP'!D89),'Real and nominal GDP'!D89,NA())),NA())</f>
        <v>489105.647</v>
      </c>
      <c r="F102" s="19" t="n">
        <f aca="false">IFERROR(IF('Real and nominal GDP'!E89="",NA(),IF(ISNUMBER('Real and nominal GDP'!E89),'Real and nominal GDP'!E89,NA())),NA())</f>
        <v>95665.212</v>
      </c>
      <c r="G102" s="19" t="n">
        <f aca="false">IFERROR(IF('Real and nominal GDP'!F89="",NA(),IF(ISNUMBER('Real and nominal GDP'!F89),'Real and nominal GDP'!F89,NA())),NA())</f>
        <v>111230.711</v>
      </c>
      <c r="H102" s="19" t="n">
        <f aca="false">IFERROR(IF('Real and nominal GDP'!G89="",NA(),IF(ISNUMBER('Real and nominal GDP'!G89),'Real and nominal GDP'!G89,NA())),NA())</f>
        <v>729947.785</v>
      </c>
      <c r="I102" s="19" t="n">
        <f aca="false">IFERROR(IF('Real and nominal GDP'!H89="",NA(),IF(ISNUMBER('Real and nominal GDP'!H89),'Real and nominal GDP'!H89,NA())),NA())</f>
        <v>559938389</v>
      </c>
      <c r="J102" s="19" t="n">
        <f aca="false">IFERROR(IF('Real and nominal GDP'!I89="",NA(),IF(ISNUMBER('Real and nominal GDP'!I89),'Real and nominal GDP'!I89,NA())),NA())</f>
        <v>6085.21936666667</v>
      </c>
      <c r="K102" s="19" t="n">
        <f aca="false">IFERROR(IF('Real and nominal GDP'!J89="",NA(),IF(ISNUMBER('Real and nominal GDP'!J89),'Real and nominal GDP'!J89,NA())),NA())</f>
        <v>886.467693333333</v>
      </c>
      <c r="L102" s="19" t="n">
        <f aca="false">IFERROR(IF('Real and nominal GDP'!K89="",NA(),IF(ISNUMBER('Real and nominal GDP'!K89),'Real and nominal GDP'!K89,NA())),NA())</f>
        <v>1136.24033333333</v>
      </c>
      <c r="M102" s="20" t="n">
        <f aca="false">IFERROR(D102/D98-1,NA())</f>
        <v>-0.0279540475364199</v>
      </c>
      <c r="N102" s="20" t="n">
        <f aca="false">IFERROR(D102/D101-1,NA())</f>
        <v>-0.00786455636962113</v>
      </c>
      <c r="O102" s="20" t="n">
        <f aca="false">IFERROR(I102/I98-1,NA())</f>
        <v>2.51685068676106</v>
      </c>
      <c r="P102" s="21" t="n">
        <f aca="false">IF(COUNT(D99:D102)=4,SUM(D99:D102),NA())</f>
        <v>2819309.04</v>
      </c>
      <c r="Q102" s="21" t="n">
        <f aca="false">IF(COUNT(I99:I102)=4,SUM(I99:I102),NA())</f>
        <v>1473108003</v>
      </c>
      <c r="R102" s="21" t="n">
        <f aca="false">IFERROR(I102/K102,NA())</f>
        <v>631651.207608589</v>
      </c>
      <c r="S102" s="21" t="n">
        <f aca="false">IFERROR(I102/L102,NA())</f>
        <v>492799.254324423</v>
      </c>
    </row>
    <row r="103" customFormat="false" ht="15" hidden="false" customHeight="false" outlineLevel="0" collapsed="false">
      <c r="A103" s="16" t="n">
        <f aca="false">IFERROR(IF(ISNUMBER('Real and nominal GDP'!A90),'Real and nominal GDP'!A90,NA()),NA())</f>
        <v>45536</v>
      </c>
      <c r="B103" s="17" t="str">
        <f aca="false">IFERROR(IF('Real and nominal GDP'!B90="",NA(),'Real and nominal GDP'!B90),NA())</f>
        <v>243</v>
      </c>
      <c r="C103" s="18" t="n">
        <f aca="false">IFERROR(YEAR(A103),0)</f>
        <v>2024</v>
      </c>
      <c r="D103" s="19" t="n">
        <f aca="false">IFERROR(IF('Real and nominal GDP'!C90="",NA(),IF(ISNUMBER('Real and nominal GDP'!C90),'Real and nominal GDP'!C90,NA())),NA())</f>
        <v>717175.748</v>
      </c>
      <c r="E103" s="19" t="n">
        <f aca="false">IFERROR(IF('Real and nominal GDP'!D90="",NA(),IF(ISNUMBER('Real and nominal GDP'!D90),'Real and nominal GDP'!D90,NA())),NA())</f>
        <v>518756.305</v>
      </c>
      <c r="F103" s="19" t="n">
        <f aca="false">IFERROR(IF('Real and nominal GDP'!E90="",NA(),IF(ISNUMBER('Real and nominal GDP'!E90),'Real and nominal GDP'!E90,NA())),NA())</f>
        <v>95439.131</v>
      </c>
      <c r="G103" s="19" t="n">
        <f aca="false">IFERROR(IF('Real and nominal GDP'!F90="",NA(),IF(ISNUMBER('Real and nominal GDP'!F90),'Real and nominal GDP'!F90,NA())),NA())</f>
        <v>126850.986</v>
      </c>
      <c r="H103" s="19" t="n">
        <f aca="false">IFERROR(IF('Real and nominal GDP'!G90="",NA(),IF(ISNUMBER('Real and nominal GDP'!G90),'Real and nominal GDP'!G90,NA())),NA())</f>
        <v>714524.366</v>
      </c>
      <c r="I103" s="19" t="n">
        <f aca="false">IFERROR(IF('Real and nominal GDP'!H90="",NA(),IF(ISNUMBER('Real and nominal GDP'!H90),'Real and nominal GDP'!H90,NA())),NA())</f>
        <v>642862095</v>
      </c>
      <c r="J103" s="19" t="n">
        <f aca="false">IFERROR(IF('Real and nominal GDP'!I90="",NA(),IF(ISNUMBER('Real and nominal GDP'!I90),'Real and nominal GDP'!I90,NA())),NA())</f>
        <v>6871.14373333333</v>
      </c>
      <c r="K103" s="19" t="n">
        <f aca="false">IFERROR(IF('Real and nominal GDP'!J90="",NA(),IF(ISNUMBER('Real and nominal GDP'!J90),'Real and nominal GDP'!J90,NA())),NA())</f>
        <v>942.74711</v>
      </c>
      <c r="L103" s="19" t="n">
        <f aca="false">IFERROR(IF('Real and nominal GDP'!K90="",NA(),IF(ISNUMBER('Real and nominal GDP'!K90),'Real and nominal GDP'!K90,NA())),NA())</f>
        <v>1335.40966666667</v>
      </c>
      <c r="M103" s="20" t="n">
        <f aca="false">IFERROR(D103/D99-1,NA())</f>
        <v>-0.0109162733551362</v>
      </c>
      <c r="N103" s="20" t="n">
        <f aca="false">IFERROR(D103/D102-1,NA())</f>
        <v>0.0385338468040311</v>
      </c>
      <c r="O103" s="20" t="n">
        <f aca="false">IFERROR(I103/I99-1,NA())</f>
        <v>2.11288640998972</v>
      </c>
      <c r="P103" s="21" t="n">
        <f aca="false">IF(COUNT(D100:D103)=4,SUM(D100:D103),NA())</f>
        <v>2811393.748</v>
      </c>
      <c r="Q103" s="21" t="n">
        <f aca="false">IF(COUNT(I100:I103)=4,SUM(I100:I103),NA())</f>
        <v>1909453698</v>
      </c>
      <c r="R103" s="21" t="n">
        <f aca="false">IFERROR(I103/K103,NA())</f>
        <v>681903.013205737</v>
      </c>
      <c r="S103" s="21" t="n">
        <f aca="false">IFERROR(I103/L103,NA())</f>
        <v>481396.91590271</v>
      </c>
    </row>
    <row r="104" customFormat="false" ht="15" hidden="false" customHeight="false" outlineLevel="0" collapsed="false">
      <c r="A104" s="16" t="n">
        <f aca="false">IFERROR(IF(ISNUMBER('Real and nominal GDP'!A91),'Real and nominal GDP'!A91,NA()),NA())</f>
        <v>45627</v>
      </c>
      <c r="B104" s="17" t="str">
        <f aca="false">IFERROR(IF('Real and nominal GDP'!B91="",NA(),'Real and nominal GDP'!B91),NA())</f>
        <v>244</v>
      </c>
      <c r="C104" s="18" t="n">
        <f aca="false">IFERROR(YEAR(A104),0)</f>
        <v>2024</v>
      </c>
      <c r="D104" s="19" t="n">
        <f aca="false">IFERROR(IF('Real and nominal GDP'!C91="",NA(),IF(ISNUMBER('Real and nominal GDP'!C91),'Real and nominal GDP'!C91,NA())),NA())</f>
        <v>728740.357</v>
      </c>
      <c r="E104" s="19" t="n">
        <f aca="false">IFERROR(IF('Real and nominal GDP'!D91="",NA(),IF(ISNUMBER('Real and nominal GDP'!D91),'Real and nominal GDP'!D91,NA())),NA())</f>
        <v>534084.414</v>
      </c>
      <c r="F104" s="19" t="n">
        <f aca="false">IFERROR(IF('Real and nominal GDP'!E91="",NA(),IF(ISNUMBER('Real and nominal GDP'!E91),'Real and nominal GDP'!E91,NA())),NA())</f>
        <v>95990.896</v>
      </c>
      <c r="G104" s="19" t="n">
        <f aca="false">IFERROR(IF('Real and nominal GDP'!F91="",NA(),IF(ISNUMBER('Real and nominal GDP'!F91),'Real and nominal GDP'!F91,NA())),NA())</f>
        <v>140592.44</v>
      </c>
      <c r="H104" s="19" t="n">
        <f aca="false">IFERROR(IF('Real and nominal GDP'!G91="",NA(),IF(ISNUMBER('Real and nominal GDP'!G91),'Real and nominal GDP'!G91,NA())),NA())</f>
        <v>718991.461</v>
      </c>
      <c r="I104" s="19" t="n">
        <f aca="false">IFERROR(IF('Real and nominal GDP'!H91="",NA(),IF(ISNUMBER('Real and nominal GDP'!H91),'Real and nominal GDP'!H91,NA())),NA())</f>
        <v>709365943</v>
      </c>
      <c r="J104" s="19" t="n">
        <f aca="false">IFERROR(IF('Real and nominal GDP'!I91="",NA(),IF(ISNUMBER('Real and nominal GDP'!I91),'Real and nominal GDP'!I91,NA())),NA())</f>
        <v>7499.7977</v>
      </c>
      <c r="K104" s="19" t="n">
        <f aca="false">IFERROR(IF('Real and nominal GDP'!J91="",NA(),IF(ISNUMBER('Real and nominal GDP'!J91),'Real and nominal GDP'!J91,NA())),NA())</f>
        <v>1001.46487333333</v>
      </c>
      <c r="L104" s="19" t="n">
        <f aca="false">IFERROR(IF('Real and nominal GDP'!K91="",NA(),IF(ISNUMBER('Real and nominal GDP'!K91),'Real and nominal GDP'!K91,NA())),NA())</f>
        <v>1147.031</v>
      </c>
      <c r="M104" s="20" t="n">
        <f aca="false">IFERROR(D104/D100-1,NA())</f>
        <v>0.0298575707281727</v>
      </c>
      <c r="N104" s="20" t="n">
        <f aca="false">IFERROR(D104/D103-1,NA())</f>
        <v>0.0161252092422957</v>
      </c>
      <c r="O104" s="20" t="n">
        <f aca="false">IFERROR(I104/I100-1,NA())</f>
        <v>1.50498971365258</v>
      </c>
      <c r="P104" s="21" t="n">
        <f aca="false">IF(COUNT(D101:D104)=4,SUM(D101:D104),NA())</f>
        <v>2832521.346</v>
      </c>
      <c r="Q104" s="21" t="n">
        <f aca="false">IF(COUNT(I101:I104)=4,SUM(I101:I104),NA())</f>
        <v>2335638461</v>
      </c>
      <c r="R104" s="21" t="n">
        <f aca="false">IFERROR(I104/K104,NA())</f>
        <v>708328.331715626</v>
      </c>
      <c r="S104" s="21" t="n">
        <f aca="false">IFERROR(I104/L104,NA())</f>
        <v>618436.592385036</v>
      </c>
    </row>
    <row r="105" customFormat="false" ht="15" hidden="false" customHeight="false" outlineLevel="0" collapsed="false">
      <c r="A105" s="16" t="n">
        <f aca="false">IFERROR(IF(ISNUMBER('Real and nominal GDP'!A92),'Real and nominal GDP'!A92,NA()),NA())</f>
        <v>45717</v>
      </c>
      <c r="B105" s="17" t="str">
        <f aca="false">IFERROR(IF('Real and nominal GDP'!B92="",NA(),'Real and nominal GDP'!B92),NA())</f>
        <v>251</v>
      </c>
      <c r="C105" s="18" t="n">
        <f aca="false">IFERROR(YEAR(A105),0)</f>
        <v>2025</v>
      </c>
      <c r="D105" s="19" t="n">
        <f aca="false">IFERROR(IF('Real and nominal GDP'!C92="",NA(),IF(ISNUMBER('Real and nominal GDP'!C92),'Real and nominal GDP'!C92,NA())),NA())</f>
        <v>736261.05</v>
      </c>
      <c r="E105" s="19" t="n">
        <f aca="false">IFERROR(IF('Real and nominal GDP'!D92="",NA(),IF(ISNUMBER('Real and nominal GDP'!D92),'Real and nominal GDP'!D92,NA())),NA())</f>
        <v>547554.055</v>
      </c>
      <c r="F105" s="19" t="n">
        <f aca="false">IFERROR(IF('Real and nominal GDP'!E92="",NA(),IF(ISNUMBER('Real and nominal GDP'!E92),'Real and nominal GDP'!E92,NA())),NA())</f>
        <v>95475.269</v>
      </c>
      <c r="G105" s="19" t="n">
        <f aca="false">IFERROR(IF('Real and nominal GDP'!F92="",NA(),IF(ISNUMBER('Real and nominal GDP'!F92),'Real and nominal GDP'!F92,NA())),NA())</f>
        <v>151386.434</v>
      </c>
      <c r="H105" s="19" t="n">
        <f aca="false">IFERROR(IF('Real and nominal GDP'!G92="",NA(),IF(ISNUMBER('Real and nominal GDP'!G92),'Real and nominal GDP'!G92,NA())),NA())</f>
        <v>708113.806</v>
      </c>
      <c r="I105" s="19" t="n">
        <f aca="false">IFERROR(IF('Real and nominal GDP'!H92="",NA(),IF(ISNUMBER('Real and nominal GDP'!H92),'Real and nominal GDP'!H92,NA())),NA())</f>
        <v>723984892</v>
      </c>
      <c r="J105" s="19" t="n">
        <f aca="false">IFERROR(IF('Real and nominal GDP'!I92="",NA(),IF(ISNUMBER('Real and nominal GDP'!I92),'Real and nominal GDP'!I92,NA())),NA())</f>
        <v>8090.14473333333</v>
      </c>
      <c r="K105" s="19" t="n">
        <f aca="false">IFERROR(IF('Real and nominal GDP'!J92="",NA(),IF(ISNUMBER('Real and nominal GDP'!J92),'Real and nominal GDP'!J92,NA())),NA())</f>
        <v>1057.00362</v>
      </c>
      <c r="L105" s="19" t="n">
        <f aca="false">IFERROR(IF('Real and nominal GDP'!K92="",NA(),IF(ISNUMBER('Real and nominal GDP'!K92),'Real and nominal GDP'!K92,NA())),NA())</f>
        <v>1225.07933333333</v>
      </c>
      <c r="M105" s="20" t="n">
        <f aca="false">IFERROR(D105/D101-1,NA())</f>
        <v>0.057786087994109</v>
      </c>
      <c r="N105" s="20" t="n">
        <f aca="false">IFERROR(D105/D104-1,NA())</f>
        <v>0.0103201269529802</v>
      </c>
      <c r="O105" s="20" t="n">
        <f aca="false">IFERROR(I105/I101-1,NA())</f>
        <v>0.709640386784078</v>
      </c>
      <c r="P105" s="21" t="n">
        <f aca="false">IF(COUNT(D102:D105)=4,SUM(D102:D105),NA())</f>
        <v>2872742.754</v>
      </c>
      <c r="Q105" s="21" t="n">
        <f aca="false">IF(COUNT(I102:I105)=4,SUM(I102:I105),NA())</f>
        <v>2636151319</v>
      </c>
      <c r="R105" s="21" t="n">
        <f aca="false">IFERROR(I105/K105,NA())</f>
        <v>684940.787620008</v>
      </c>
      <c r="S105" s="21" t="n">
        <f aca="false">IFERROR(I105/L105,NA())</f>
        <v>590969.802771957</v>
      </c>
    </row>
    <row r="106" customFormat="false" ht="15" hidden="false" customHeight="false" outlineLevel="0" collapsed="false">
      <c r="A106" s="16" t="n">
        <f aca="false">IFERROR(IF(ISNUMBER('Real and nominal GDP'!A93),'Real and nominal GDP'!A93,NA()),NA())</f>
        <v>45809</v>
      </c>
      <c r="B106" s="17" t="str">
        <f aca="false">IFERROR(IF('Real and nominal GDP'!B93="",NA(),'Real and nominal GDP'!B93),NA())</f>
        <v>252</v>
      </c>
      <c r="C106" s="18" t="n">
        <f aca="false">IFERROR(YEAR(A106),0)</f>
        <v>2025</v>
      </c>
      <c r="D106" s="19" t="n">
        <f aca="false">IFERROR(IF('Real and nominal GDP'!C93="",NA(),IF(ISNUMBER('Real and nominal GDP'!C93),'Real and nominal GDP'!C93,NA())),NA())</f>
        <v>735534.382</v>
      </c>
      <c r="E106" s="19" t="n">
        <f aca="false">IFERROR(IF('Real and nominal GDP'!D93="",NA(),IF(ISNUMBER('Real and nominal GDP'!D93),'Real and nominal GDP'!D93,NA())),NA())</f>
        <v>546540.104</v>
      </c>
      <c r="F106" s="19" t="n">
        <f aca="false">IFERROR(IF('Real and nominal GDP'!E93="",NA(),IF(ISNUMBER('Real and nominal GDP'!E93),'Real and nominal GDP'!E93,NA())),NA())</f>
        <v>96672.734</v>
      </c>
      <c r="G106" s="19" t="n">
        <f aca="false">IFERROR(IF('Real and nominal GDP'!F93="",NA(),IF(ISNUMBER('Real and nominal GDP'!F93),'Real and nominal GDP'!F93,NA())),NA())</f>
        <v>149371.692</v>
      </c>
      <c r="H106" s="19" t="n">
        <f aca="false">IFERROR(IF('Real and nominal GDP'!G93="",NA(),IF(ISNUMBER('Real and nominal GDP'!G93),'Real and nominal GDP'!G93,NA())),NA())</f>
        <v>776528.776</v>
      </c>
      <c r="I106" s="19" t="n">
        <f aca="false">IFERROR(IF('Real and nominal GDP'!H93="",NA(),IF(ISNUMBER('Real and nominal GDP'!H93),'Real and nominal GDP'!H93,NA())),NA())</f>
        <v>833779386</v>
      </c>
      <c r="J106" s="19" t="n">
        <f aca="false">IFERROR(IF('Real and nominal GDP'!I93="",NA(),IF(ISNUMBER('Real and nominal GDP'!I93),'Real and nominal GDP'!I93,NA())),NA())</f>
        <v>8718.55433333333</v>
      </c>
      <c r="K106" s="19" t="n">
        <f aca="false">IFERROR(IF('Real and nominal GDP'!J93="",NA(),IF(ISNUMBER('Real and nominal GDP'!J93),'Real and nominal GDP'!J93,NA())),NA())</f>
        <v>1151.04298333333</v>
      </c>
      <c r="L106" s="19" t="n">
        <f aca="false">IFERROR(IF('Real and nominal GDP'!K93="",NA(),IF(ISNUMBER('Real and nominal GDP'!K93),'Real and nominal GDP'!K93,NA())),NA())</f>
        <v>1203.09533333333</v>
      </c>
      <c r="M106" s="20" t="n">
        <f aca="false">IFERROR(D106/D102-1,NA())</f>
        <v>0.0651187708526442</v>
      </c>
      <c r="N106" s="20" t="n">
        <f aca="false">IFERROR(D106/D105-1,NA())</f>
        <v>-0.000986970586044245</v>
      </c>
      <c r="O106" s="20" t="n">
        <f aca="false">IFERROR(I106/I102-1,NA())</f>
        <v>0.489055586078061</v>
      </c>
      <c r="P106" s="21" t="n">
        <f aca="false">IF(COUNT(D103:D106)=4,SUM(D103:D106),NA())</f>
        <v>2917711.537</v>
      </c>
      <c r="Q106" s="21" t="n">
        <f aca="false">IF(COUNT(I103:I106)=4,SUM(I103:I106),NA())</f>
        <v>2909992316</v>
      </c>
      <c r="R106" s="21" t="n">
        <f aca="false">IFERROR(I106/K106,NA())</f>
        <v>724368.592722262</v>
      </c>
      <c r="S106" s="21" t="n">
        <f aca="false">IFERROR(I106/L106,NA())</f>
        <v>693028.526417691</v>
      </c>
    </row>
    <row r="107" customFormat="false" ht="15" hidden="false" customHeight="false" outlineLevel="0" collapsed="false">
      <c r="A107" s="16" t="n">
        <f aca="false">IFERROR(IF(ISNUMBER('Real and nominal GDP'!A94),'Real and nominal GDP'!A94,NA()),NA())</f>
        <v>45901</v>
      </c>
      <c r="B107" s="17" t="str">
        <f aca="false">IFERROR(IF('Real and nominal GDP'!B94="",NA(),'Real and nominal GDP'!B94),NA())</f>
        <v>253</v>
      </c>
      <c r="C107" s="18" t="n">
        <f aca="false">IFERROR(YEAR(A107),0)</f>
        <v>2025</v>
      </c>
      <c r="D107" s="19" t="n">
        <f aca="false">IFERROR(IF('Real and nominal GDP'!C94="",NA(),IF(ISNUMBER('Real and nominal GDP'!C94),'Real and nominal GDP'!C94,NA())),NA())</f>
        <v>739903.773</v>
      </c>
      <c r="E107" s="19" t="n">
        <f aca="false">IFERROR(IF('Real and nominal GDP'!D94="",NA(),IF(ISNUMBER('Real and nominal GDP'!D94),'Real and nominal GDP'!D94,NA())),NA())</f>
        <v>548277.87</v>
      </c>
      <c r="F107" s="19" t="n">
        <f aca="false">IFERROR(IF('Real and nominal GDP'!E94="",NA(),IF(ISNUMBER('Real and nominal GDP'!E94),'Real and nominal GDP'!E94,NA())),NA())</f>
        <v>96956.462</v>
      </c>
      <c r="G107" s="19" t="n">
        <f aca="false">IFERROR(IF('Real and nominal GDP'!F94="",NA(),IF(ISNUMBER('Real and nominal GDP'!F94),'Real and nominal GDP'!F94,NA())),NA())</f>
        <v>141434.338</v>
      </c>
      <c r="H107" s="19" t="n">
        <f aca="false">IFERROR(IF('Real and nominal GDP'!G94="",NA(),IF(ISNUMBER('Real and nominal GDP'!G94),'Real and nominal GDP'!G94,NA())),NA())</f>
        <v>737795.742</v>
      </c>
      <c r="I107" s="19" t="n">
        <f aca="false">IFERROR(IF('Real and nominal GDP'!H94="",NA(),IF(ISNUMBER('Real and nominal GDP'!H94),'Real and nominal GDP'!H94,NA())),NA())</f>
        <v>893277010</v>
      </c>
      <c r="J107" s="19" t="n">
        <f aca="false">IFERROR(IF('Real and nominal GDP'!I94="",NA(),IF(ISNUMBER('Real and nominal GDP'!I94),'Real and nominal GDP'!I94,NA())),NA())</f>
        <v>9200.43643333333</v>
      </c>
      <c r="K107" s="19" t="n">
        <f aca="false">IFERROR(IF('Real and nominal GDP'!J94="",NA(),IF(ISNUMBER('Real and nominal GDP'!J94),'Real and nominal GDP'!J94,NA())),NA())</f>
        <v>1333.03787666667</v>
      </c>
      <c r="L107" s="19" t="n">
        <f aca="false">IFERROR(IF('Real and nominal GDP'!K94="",NA(),IF(ISNUMBER('Real and nominal GDP'!K94),'Real and nominal GDP'!K94,NA())),NA())</f>
        <v>1337.99233333333</v>
      </c>
      <c r="M107" s="20" t="n">
        <f aca="false">IFERROR(D107/D103-1,NA())</f>
        <v>0.0316910116709637</v>
      </c>
      <c r="N107" s="20" t="n">
        <f aca="false">IFERROR(D107/D106-1,NA())</f>
        <v>0.00594043066772643</v>
      </c>
      <c r="O107" s="20" t="n">
        <f aca="false">IFERROR(I107/I103-1,NA())</f>
        <v>0.389531311532686</v>
      </c>
      <c r="P107" s="21" t="n">
        <f aca="false">IF(COUNT(D104:D107)=4,SUM(D104:D107),NA())</f>
        <v>2940439.562</v>
      </c>
      <c r="Q107" s="21" t="n">
        <f aca="false">IF(COUNT(I104:I107)=4,SUM(I104:I107),NA())</f>
        <v>3160407231</v>
      </c>
      <c r="R107" s="21" t="n">
        <f aca="false">IFERROR(I107/K107,NA())</f>
        <v>670106.248018764</v>
      </c>
      <c r="S107" s="21" t="n">
        <f aca="false">IFERROR(I107/L107,NA())</f>
        <v>667624.909161164</v>
      </c>
    </row>
    <row r="108" customFormat="false" ht="15" hidden="false" customHeight="false" outlineLevel="0" collapsed="false">
      <c r="A108" s="16" t="n">
        <f aca="false">IFERROR(IF(ISNUMBER('Real and nominal GDP'!A95),'Real and nominal GDP'!A95,NA()),NA())</f>
        <v>45992</v>
      </c>
      <c r="B108" s="17" t="str">
        <f aca="false">IFERROR(IF('Real and nominal GDP'!B95="",NA(),'Real and nominal GDP'!B95),NA())</f>
        <v>254</v>
      </c>
      <c r="C108" s="18" t="n">
        <f aca="false">IFERROR(YEAR(A108),0)</f>
        <v>2025</v>
      </c>
      <c r="D108" s="19" t="n">
        <f aca="false">IFERROR(IF('Real and nominal GDP'!C95="",NA(),IF(ISNUMBER('Real and nominal GDP'!C95),'Real and nominal GDP'!C95,NA())),NA())</f>
        <v>744527.788</v>
      </c>
      <c r="E108" s="19" t="n">
        <f aca="false">IFERROR(IF('Real and nominal GDP'!D95="",NA(),IF(ISNUMBER('Real and nominal GDP'!D95),'Real and nominal GDP'!D95,NA())),NA())</f>
        <v>557631.514</v>
      </c>
      <c r="F108" s="19" t="n">
        <f aca="false">IFERROR(IF('Real and nominal GDP'!E95="",NA(),IF(ISNUMBER('Real and nominal GDP'!E95),'Real and nominal GDP'!E95,NA())),NA())</f>
        <v>95985.853</v>
      </c>
      <c r="G108" s="19" t="n">
        <f aca="false">IFERROR(IF('Real and nominal GDP'!F95="",NA(),IF(ISNUMBER('Real and nominal GDP'!F95),'Real and nominal GDP'!F95,NA())),NA())</f>
        <v>137468.128</v>
      </c>
      <c r="H108" s="19" t="n">
        <f aca="false">IFERROR(IF('Real and nominal GDP'!G95="",NA(),IF(ISNUMBER('Real and nominal GDP'!G95),'Real and nominal GDP'!G95,NA())),NA())</f>
        <v>733788.67</v>
      </c>
      <c r="I108" s="19" t="n">
        <f aca="false">IFERROR(IF('Real and nominal GDP'!H95="",NA(),IF(ISNUMBER('Real and nominal GDP'!H95),'Real and nominal GDP'!H95,NA())),NA())</f>
        <v>939450203</v>
      </c>
      <c r="J108" s="19" t="n">
        <f aca="false">IFERROR(IF('Real and nominal GDP'!I95="",NA(),IF(ISNUMBER('Real and nominal GDP'!I95),'Real and nominal GDP'!I95,NA())),NA())</f>
        <v>9855.53063333333</v>
      </c>
      <c r="K108" s="19" t="n">
        <f aca="false">IFERROR(IF('Real and nominal GDP'!J95="",NA(),IF(ISNUMBER('Real and nominal GDP'!J95),'Real and nominal GDP'!J95,NA())),NA())</f>
        <v>1437.06265666667</v>
      </c>
      <c r="L108" s="19" t="n">
        <f aca="false">IFERROR(IF('Real and nominal GDP'!K95="",NA(),IF(ISNUMBER('Real and nominal GDP'!K95),'Real and nominal GDP'!K95,NA())),NA())</f>
        <v>1453.069</v>
      </c>
      <c r="M108" s="20" t="n">
        <f aca="false">IFERROR(D108/D104-1,NA())</f>
        <v>0.0216639998709445</v>
      </c>
      <c r="N108" s="20" t="n">
        <f aca="false">IFERROR(D108/D107-1,NA())</f>
        <v>0.00624948157954575</v>
      </c>
      <c r="O108" s="20" t="n">
        <f aca="false">IFERROR(I108/I104-1,NA())</f>
        <v>0.324351996695731</v>
      </c>
      <c r="P108" s="21" t="n">
        <f aca="false">IF(COUNT(D105:D108)=4,SUM(D105:D108),NA())</f>
        <v>2956226.993</v>
      </c>
      <c r="Q108" s="21" t="n">
        <f aca="false">IF(COUNT(I105:I108)=4,SUM(I105:I108),NA())</f>
        <v>3390491491</v>
      </c>
      <c r="R108" s="21" t="n">
        <f aca="false">IFERROR(I108/K108,NA())</f>
        <v>653729.465894757</v>
      </c>
      <c r="S108" s="21" t="n">
        <f aca="false">IFERROR(I108/L108,NA())</f>
        <v>646528.281175911</v>
      </c>
    </row>
    <row r="109" customFormat="false" ht="15" hidden="false" customHeight="false" outlineLevel="0" collapsed="false">
      <c r="A109" s="16" t="n">
        <f aca="false">IFERROR(IF(ISNUMBER('Real and nominal GDP'!A96),'Real and nominal GDP'!A96,NA()),NA())</f>
        <v>46082</v>
      </c>
      <c r="B109" s="17" t="str">
        <f aca="false">IFERROR(IF('Real and nominal GDP'!B96="",NA(),'Real and nominal GDP'!B96),NA())</f>
        <v>261</v>
      </c>
      <c r="C109" s="18" t="n">
        <f aca="false">IFERROR(YEAR(A109),0)</f>
        <v>2026</v>
      </c>
      <c r="D109" s="19" t="e">
        <f aca="false">IFERROR(IF('Real and nominal GDP'!C96="",NA(),IF(ISNUMBER('Real and nominal GDP'!C96),'Real and nominal GDP'!C96,NA())),NA())</f>
        <v>#N/A</v>
      </c>
      <c r="E109" s="19" t="e">
        <f aca="false">IFERROR(IF('Real and nominal GDP'!D96="",NA(),IF(ISNUMBER('Real and nominal GDP'!D96),'Real and nominal GDP'!D96,NA())),NA())</f>
        <v>#N/A</v>
      </c>
      <c r="F109" s="19" t="e">
        <f aca="false">IFERROR(IF('Real and nominal GDP'!E96="",NA(),IF(ISNUMBER('Real and nominal GDP'!E96),'Real and nominal GDP'!E96,NA())),NA())</f>
        <v>#N/A</v>
      </c>
      <c r="G109" s="19" t="e">
        <f aca="false">IFERROR(IF('Real and nominal GDP'!F96="",NA(),IF(ISNUMBER('Real and nominal GDP'!F96),'Real and nominal GDP'!F96,NA())),NA())</f>
        <v>#N/A</v>
      </c>
      <c r="H109" s="19" t="e">
        <f aca="false">IFERROR(IF('Real and nominal GDP'!G96="",NA(),IF(ISNUMBER('Real and nominal GDP'!G96),'Real and nominal GDP'!G96,NA())),NA())</f>
        <v>#N/A</v>
      </c>
      <c r="I109" s="19" t="e">
        <f aca="false">IFERROR(IF('Real and nominal GDP'!H96="",NA(),IF(ISNUMBER('Real and nominal GDP'!H96),'Real and nominal GDP'!H96,NA())),NA())</f>
        <v>#N/A</v>
      </c>
      <c r="J109" s="19" t="n">
        <f aca="false">IFERROR(IF('Real and nominal GDP'!I96="",NA(),IF(ISNUMBER('Real and nominal GDP'!I96),'Real and nominal GDP'!I96,NA())),NA())</f>
        <v>10734.9057333333</v>
      </c>
      <c r="K109" s="19" t="n">
        <f aca="false">IFERROR(IF('Real and nominal GDP'!J96="",NA(),IF(ISNUMBER('Real and nominal GDP'!J96),'Real and nominal GDP'!J96,NA())),NA())</f>
        <v>1417.76375666667</v>
      </c>
      <c r="L109" s="19" t="n">
        <f aca="false">IFERROR(IF('Real and nominal GDP'!K96="",NA(),IF(ISNUMBER('Real and nominal GDP'!K96),'Real and nominal GDP'!K96,NA())),NA())</f>
        <v>1443.68933333333</v>
      </c>
      <c r="M109" s="20" t="e">
        <f aca="false">IFERROR(D109/D105-1,NA())</f>
        <v>#N/A</v>
      </c>
      <c r="N109" s="20" t="e">
        <f aca="false">IFERROR(D109/D108-1,NA())</f>
        <v>#N/A</v>
      </c>
      <c r="O109" s="20" t="e">
        <f aca="false">IFERROR(I109/I105-1,NA())</f>
        <v>#N/A</v>
      </c>
      <c r="P109" s="21" t="e">
        <f aca="false">IF(COUNT(D106:D109)=4,SUM(D106:D109),NA())</f>
        <v>#N/A</v>
      </c>
      <c r="Q109" s="21" t="e">
        <f aca="false">IF(COUNT(I106:I109)=4,SUM(I106:I109),NA())</f>
        <v>#N/A</v>
      </c>
      <c r="R109" s="21" t="e">
        <f aca="false">IFERROR(I109/K109,NA())</f>
        <v>#N/A</v>
      </c>
      <c r="S109" s="21" t="e">
        <f aca="false">IFERROR(I109/L109,NA())</f>
        <v>#N/A</v>
      </c>
    </row>
    <row r="110" customFormat="false" ht="15" hidden="false" customHeight="false" outlineLevel="0" collapsed="false">
      <c r="A110" s="16" t="e">
        <f aca="false">IFERROR(IF(ISNUMBER('Real and nominal GDP'!A97),'Real and nominal GDP'!A97,NA()),NA())</f>
        <v>#N/A</v>
      </c>
      <c r="B110" s="17" t="e">
        <f aca="false">IFERROR(IF('Real and nominal GDP'!B97="",NA(),'Real and nominal GDP'!B97),NA())</f>
        <v>#N/A</v>
      </c>
      <c r="C110" s="18" t="n">
        <f aca="false">IFERROR(YEAR(A110),0)</f>
        <v>0</v>
      </c>
      <c r="D110" s="19" t="e">
        <f aca="false">IFERROR(IF('Real and nominal GDP'!C97="",NA(),IF(ISNUMBER('Real and nominal GDP'!C97),'Real and nominal GDP'!C97,NA())),NA())</f>
        <v>#N/A</v>
      </c>
      <c r="E110" s="19" t="e">
        <f aca="false">IFERROR(IF('Real and nominal GDP'!D97="",NA(),IF(ISNUMBER('Real and nominal GDP'!D97),'Real and nominal GDP'!D97,NA())),NA())</f>
        <v>#N/A</v>
      </c>
      <c r="F110" s="19" t="e">
        <f aca="false">IFERROR(IF('Real and nominal GDP'!E97="",NA(),IF(ISNUMBER('Real and nominal GDP'!E97),'Real and nominal GDP'!E97,NA())),NA())</f>
        <v>#N/A</v>
      </c>
      <c r="G110" s="19" t="e">
        <f aca="false">IFERROR(IF('Real and nominal GDP'!F97="",NA(),IF(ISNUMBER('Real and nominal GDP'!F97),'Real and nominal GDP'!F97,NA())),NA())</f>
        <v>#N/A</v>
      </c>
      <c r="H110" s="19" t="e">
        <f aca="false">IFERROR(IF('Real and nominal GDP'!G97="",NA(),IF(ISNUMBER('Real and nominal GDP'!G97),'Real and nominal GDP'!G97,NA())),NA())</f>
        <v>#N/A</v>
      </c>
      <c r="I110" s="19" t="e">
        <f aca="false">IFERROR(IF('Real and nominal GDP'!H97="",NA(),IF(ISNUMBER('Real and nominal GDP'!H97),'Real and nominal GDP'!H97,NA())),NA())</f>
        <v>#N/A</v>
      </c>
      <c r="J110" s="19" t="e">
        <f aca="false">IFERROR(IF('Real and nominal GDP'!I97="",NA(),IF(ISNUMBER('Real and nominal GDP'!I97),'Real and nominal GDP'!I97,NA())),NA())</f>
        <v>#N/A</v>
      </c>
      <c r="K110" s="19" t="e">
        <f aca="false">IFERROR(IF('Real and nominal GDP'!J97="",NA(),IF(ISNUMBER('Real and nominal GDP'!J97),'Real and nominal GDP'!J97,NA())),NA())</f>
        <v>#N/A</v>
      </c>
      <c r="L110" s="19" t="e">
        <f aca="false">IFERROR(IF('Real and nominal GDP'!K97="",NA(),IF(ISNUMBER('Real and nominal GDP'!K97),'Real and nominal GDP'!K97,NA())),NA())</f>
        <v>#N/A</v>
      </c>
      <c r="M110" s="20" t="e">
        <f aca="false">IFERROR(D110/D106-1,NA())</f>
        <v>#N/A</v>
      </c>
      <c r="N110" s="20" t="e">
        <f aca="false">IFERROR(D110/D109-1,NA())</f>
        <v>#N/A</v>
      </c>
      <c r="O110" s="20" t="e">
        <f aca="false">IFERROR(I110/I106-1,NA())</f>
        <v>#N/A</v>
      </c>
      <c r="P110" s="21" t="e">
        <f aca="false">IF(COUNT(D107:D110)=4,SUM(D107:D110),NA())</f>
        <v>#N/A</v>
      </c>
      <c r="Q110" s="21" t="e">
        <f aca="false">IF(COUNT(I107:I110)=4,SUM(I107:I110),NA())</f>
        <v>#N/A</v>
      </c>
      <c r="R110" s="21" t="e">
        <f aca="false">IFERROR(I110/K110,NA())</f>
        <v>#N/A</v>
      </c>
      <c r="S110" s="21" t="e">
        <f aca="false">IFERROR(I110/L110,NA())</f>
        <v>#N/A</v>
      </c>
    </row>
    <row r="111" customFormat="false" ht="15" hidden="false" customHeight="false" outlineLevel="0" collapsed="false">
      <c r="A111" s="16" t="e">
        <f aca="false">IFERROR(IF(ISNUMBER('Real and nominal GDP'!A98),'Real and nominal GDP'!A98,NA()),NA())</f>
        <v>#N/A</v>
      </c>
      <c r="B111" s="17" t="e">
        <f aca="false">IFERROR(IF('Real and nominal GDP'!B98="",NA(),'Real and nominal GDP'!B98),NA())</f>
        <v>#N/A</v>
      </c>
      <c r="C111" s="18" t="n">
        <f aca="false">IFERROR(YEAR(A111),0)</f>
        <v>0</v>
      </c>
      <c r="D111" s="19" t="e">
        <f aca="false">IFERROR(IF('Real and nominal GDP'!C98="",NA(),IF(ISNUMBER('Real and nominal GDP'!C98),'Real and nominal GDP'!C98,NA())),NA())</f>
        <v>#N/A</v>
      </c>
      <c r="E111" s="19" t="e">
        <f aca="false">IFERROR(IF('Real and nominal GDP'!D98="",NA(),IF(ISNUMBER('Real and nominal GDP'!D98),'Real and nominal GDP'!D98,NA())),NA())</f>
        <v>#N/A</v>
      </c>
      <c r="F111" s="19" t="e">
        <f aca="false">IFERROR(IF('Real and nominal GDP'!E98="",NA(),IF(ISNUMBER('Real and nominal GDP'!E98),'Real and nominal GDP'!E98,NA())),NA())</f>
        <v>#N/A</v>
      </c>
      <c r="G111" s="19" t="e">
        <f aca="false">IFERROR(IF('Real and nominal GDP'!F98="",NA(),IF(ISNUMBER('Real and nominal GDP'!F98),'Real and nominal GDP'!F98,NA())),NA())</f>
        <v>#N/A</v>
      </c>
      <c r="H111" s="19" t="e">
        <f aca="false">IFERROR(IF('Real and nominal GDP'!G98="",NA(),IF(ISNUMBER('Real and nominal GDP'!G98),'Real and nominal GDP'!G98,NA())),NA())</f>
        <v>#N/A</v>
      </c>
      <c r="I111" s="19" t="e">
        <f aca="false">IFERROR(IF('Real and nominal GDP'!H98="",NA(),IF(ISNUMBER('Real and nominal GDP'!H98),'Real and nominal GDP'!H98,NA())),NA())</f>
        <v>#N/A</v>
      </c>
      <c r="J111" s="19" t="e">
        <f aca="false">IFERROR(IF('Real and nominal GDP'!I98="",NA(),IF(ISNUMBER('Real and nominal GDP'!I98),'Real and nominal GDP'!I98,NA())),NA())</f>
        <v>#N/A</v>
      </c>
      <c r="K111" s="19" t="e">
        <f aca="false">IFERROR(IF('Real and nominal GDP'!J98="",NA(),IF(ISNUMBER('Real and nominal GDP'!J98),'Real and nominal GDP'!J98,NA())),NA())</f>
        <v>#N/A</v>
      </c>
      <c r="L111" s="19" t="e">
        <f aca="false">IFERROR(IF('Real and nominal GDP'!K98="",NA(),IF(ISNUMBER('Real and nominal GDP'!K98),'Real and nominal GDP'!K98,NA())),NA())</f>
        <v>#N/A</v>
      </c>
      <c r="M111" s="20" t="e">
        <f aca="false">IFERROR(D111/D107-1,NA())</f>
        <v>#N/A</v>
      </c>
      <c r="N111" s="20" t="e">
        <f aca="false">IFERROR(D111/D110-1,NA())</f>
        <v>#N/A</v>
      </c>
      <c r="O111" s="20" t="e">
        <f aca="false">IFERROR(I111/I107-1,NA())</f>
        <v>#N/A</v>
      </c>
      <c r="P111" s="21" t="e">
        <f aca="false">IF(COUNT(D108:D111)=4,SUM(D108:D111),NA())</f>
        <v>#N/A</v>
      </c>
      <c r="Q111" s="21" t="e">
        <f aca="false">IF(COUNT(I108:I111)=4,SUM(I108:I111),NA())</f>
        <v>#N/A</v>
      </c>
      <c r="R111" s="21" t="e">
        <f aca="false">IFERROR(I111/K111,NA())</f>
        <v>#N/A</v>
      </c>
      <c r="S111" s="21" t="e">
        <f aca="false">IFERROR(I111/L111,NA())</f>
        <v>#N/A</v>
      </c>
    </row>
    <row r="112" customFormat="false" ht="15" hidden="false" customHeight="false" outlineLevel="0" collapsed="false">
      <c r="A112" s="16" t="e">
        <f aca="false">IFERROR(IF(ISNUMBER('Real and nominal GDP'!A99),'Real and nominal GDP'!A99,NA()),NA())</f>
        <v>#N/A</v>
      </c>
      <c r="B112" s="17" t="e">
        <f aca="false">IFERROR(IF('Real and nominal GDP'!B99="",NA(),'Real and nominal GDP'!B99),NA())</f>
        <v>#N/A</v>
      </c>
      <c r="C112" s="18" t="n">
        <f aca="false">IFERROR(YEAR(A112),0)</f>
        <v>0</v>
      </c>
      <c r="D112" s="19" t="e">
        <f aca="false">IFERROR(IF('Real and nominal GDP'!C99="",NA(),IF(ISNUMBER('Real and nominal GDP'!C99),'Real and nominal GDP'!C99,NA())),NA())</f>
        <v>#N/A</v>
      </c>
      <c r="E112" s="19" t="e">
        <f aca="false">IFERROR(IF('Real and nominal GDP'!D99="",NA(),IF(ISNUMBER('Real and nominal GDP'!D99),'Real and nominal GDP'!D99,NA())),NA())</f>
        <v>#N/A</v>
      </c>
      <c r="F112" s="19" t="e">
        <f aca="false">IFERROR(IF('Real and nominal GDP'!E99="",NA(),IF(ISNUMBER('Real and nominal GDP'!E99),'Real and nominal GDP'!E99,NA())),NA())</f>
        <v>#N/A</v>
      </c>
      <c r="G112" s="19" t="e">
        <f aca="false">IFERROR(IF('Real and nominal GDP'!F99="",NA(),IF(ISNUMBER('Real and nominal GDP'!F99),'Real and nominal GDP'!F99,NA())),NA())</f>
        <v>#N/A</v>
      </c>
      <c r="H112" s="19" t="e">
        <f aca="false">IFERROR(IF('Real and nominal GDP'!G99="",NA(),IF(ISNUMBER('Real and nominal GDP'!G99),'Real and nominal GDP'!G99,NA())),NA())</f>
        <v>#N/A</v>
      </c>
      <c r="I112" s="19" t="e">
        <f aca="false">IFERROR(IF('Real and nominal GDP'!H99="",NA(),IF(ISNUMBER('Real and nominal GDP'!H99),'Real and nominal GDP'!H99,NA())),NA())</f>
        <v>#N/A</v>
      </c>
      <c r="J112" s="19" t="e">
        <f aca="false">IFERROR(IF('Real and nominal GDP'!I99="",NA(),IF(ISNUMBER('Real and nominal GDP'!I99),'Real and nominal GDP'!I99,NA())),NA())</f>
        <v>#N/A</v>
      </c>
      <c r="K112" s="19" t="e">
        <f aca="false">IFERROR(IF('Real and nominal GDP'!J99="",NA(),IF(ISNUMBER('Real and nominal GDP'!J99),'Real and nominal GDP'!J99,NA())),NA())</f>
        <v>#N/A</v>
      </c>
      <c r="L112" s="19" t="e">
        <f aca="false">IFERROR(IF('Real and nominal GDP'!K99="",NA(),IF(ISNUMBER('Real and nominal GDP'!K99),'Real and nominal GDP'!K99,NA())),NA())</f>
        <v>#N/A</v>
      </c>
      <c r="M112" s="20" t="e">
        <f aca="false">IFERROR(D112/D108-1,NA())</f>
        <v>#N/A</v>
      </c>
      <c r="N112" s="20" t="e">
        <f aca="false">IFERROR(D112/D111-1,NA())</f>
        <v>#N/A</v>
      </c>
      <c r="O112" s="20" t="e">
        <f aca="false">IFERROR(I112/I108-1,NA())</f>
        <v>#N/A</v>
      </c>
      <c r="P112" s="21" t="e">
        <f aca="false">IF(COUNT(D109:D112)=4,SUM(D109:D112),NA())</f>
        <v>#N/A</v>
      </c>
      <c r="Q112" s="21" t="e">
        <f aca="false">IF(COUNT(I109:I112)=4,SUM(I109:I112),NA())</f>
        <v>#N/A</v>
      </c>
      <c r="R112" s="21" t="e">
        <f aca="false">IFERROR(I112/K112,NA())</f>
        <v>#N/A</v>
      </c>
      <c r="S112" s="21" t="e">
        <f aca="false">IFERROR(I112/L112,NA())</f>
        <v>#N/A</v>
      </c>
    </row>
    <row r="113" customFormat="false" ht="15" hidden="false" customHeight="false" outlineLevel="0" collapsed="false">
      <c r="A113" s="16" t="e">
        <f aca="false">IFERROR(IF(ISNUMBER('Real and nominal GDP'!A100),'Real and nominal GDP'!A100,NA()),NA())</f>
        <v>#N/A</v>
      </c>
      <c r="B113" s="17" t="e">
        <f aca="false">IFERROR(IF('Real and nominal GDP'!B100="",NA(),'Real and nominal GDP'!B100),NA())</f>
        <v>#N/A</v>
      </c>
      <c r="C113" s="18" t="n">
        <f aca="false">IFERROR(YEAR(A113),0)</f>
        <v>0</v>
      </c>
      <c r="D113" s="19" t="e">
        <f aca="false">IFERROR(IF('Real and nominal GDP'!C100="",NA(),IF(ISNUMBER('Real and nominal GDP'!C100),'Real and nominal GDP'!C100,NA())),NA())</f>
        <v>#N/A</v>
      </c>
      <c r="E113" s="19" t="e">
        <f aca="false">IFERROR(IF('Real and nominal GDP'!D100="",NA(),IF(ISNUMBER('Real and nominal GDP'!D100),'Real and nominal GDP'!D100,NA())),NA())</f>
        <v>#N/A</v>
      </c>
      <c r="F113" s="19" t="e">
        <f aca="false">IFERROR(IF('Real and nominal GDP'!E100="",NA(),IF(ISNUMBER('Real and nominal GDP'!E100),'Real and nominal GDP'!E100,NA())),NA())</f>
        <v>#N/A</v>
      </c>
      <c r="G113" s="19" t="e">
        <f aca="false">IFERROR(IF('Real and nominal GDP'!F100="",NA(),IF(ISNUMBER('Real and nominal GDP'!F100),'Real and nominal GDP'!F100,NA())),NA())</f>
        <v>#N/A</v>
      </c>
      <c r="H113" s="19" t="e">
        <f aca="false">IFERROR(IF('Real and nominal GDP'!G100="",NA(),IF(ISNUMBER('Real and nominal GDP'!G100),'Real and nominal GDP'!G100,NA())),NA())</f>
        <v>#N/A</v>
      </c>
      <c r="I113" s="19" t="e">
        <f aca="false">IFERROR(IF('Real and nominal GDP'!H100="",NA(),IF(ISNUMBER('Real and nominal GDP'!H100),'Real and nominal GDP'!H100,NA())),NA())</f>
        <v>#N/A</v>
      </c>
      <c r="J113" s="19" t="e">
        <f aca="false">IFERROR(IF('Real and nominal GDP'!I100="",NA(),IF(ISNUMBER('Real and nominal GDP'!I100),'Real and nominal GDP'!I100,NA())),NA())</f>
        <v>#N/A</v>
      </c>
      <c r="K113" s="19" t="e">
        <f aca="false">IFERROR(IF('Real and nominal GDP'!J100="",NA(),IF(ISNUMBER('Real and nominal GDP'!J100),'Real and nominal GDP'!J100,NA())),NA())</f>
        <v>#N/A</v>
      </c>
      <c r="L113" s="19" t="e">
        <f aca="false">IFERROR(IF('Real and nominal GDP'!K100="",NA(),IF(ISNUMBER('Real and nominal GDP'!K100),'Real and nominal GDP'!K100,NA())),NA())</f>
        <v>#N/A</v>
      </c>
      <c r="M113" s="20" t="e">
        <f aca="false">IFERROR(D113/D109-1,NA())</f>
        <v>#N/A</v>
      </c>
      <c r="N113" s="20" t="e">
        <f aca="false">IFERROR(D113/D112-1,NA())</f>
        <v>#N/A</v>
      </c>
      <c r="O113" s="20" t="e">
        <f aca="false">IFERROR(I113/I109-1,NA())</f>
        <v>#N/A</v>
      </c>
      <c r="P113" s="21" t="e">
        <f aca="false">IF(COUNT(D110:D113)=4,SUM(D110:D113),NA())</f>
        <v>#N/A</v>
      </c>
      <c r="Q113" s="21" t="e">
        <f aca="false">IF(COUNT(I110:I113)=4,SUM(I110:I113),NA())</f>
        <v>#N/A</v>
      </c>
      <c r="R113" s="21" t="e">
        <f aca="false">IFERROR(I113/K113,NA())</f>
        <v>#N/A</v>
      </c>
      <c r="S113" s="21" t="e">
        <f aca="false">IFERROR(I113/L113,NA())</f>
        <v>#N/A</v>
      </c>
    </row>
    <row r="114" customFormat="false" ht="15" hidden="false" customHeight="false" outlineLevel="0" collapsed="false">
      <c r="A114" s="16" t="e">
        <f aca="false">IFERROR(IF(ISNUMBER('Real and nominal GDP'!A101),'Real and nominal GDP'!A101,NA()),NA())</f>
        <v>#N/A</v>
      </c>
      <c r="B114" s="17" t="e">
        <f aca="false">IFERROR(IF('Real and nominal GDP'!B101="",NA(),'Real and nominal GDP'!B101),NA())</f>
        <v>#N/A</v>
      </c>
      <c r="C114" s="18" t="n">
        <f aca="false">IFERROR(YEAR(A114),0)</f>
        <v>0</v>
      </c>
      <c r="D114" s="19" t="e">
        <f aca="false">IFERROR(IF('Real and nominal GDP'!C101="",NA(),IF(ISNUMBER('Real and nominal GDP'!C101),'Real and nominal GDP'!C101,NA())),NA())</f>
        <v>#N/A</v>
      </c>
      <c r="E114" s="19" t="e">
        <f aca="false">IFERROR(IF('Real and nominal GDP'!D101="",NA(),IF(ISNUMBER('Real and nominal GDP'!D101),'Real and nominal GDP'!D101,NA())),NA())</f>
        <v>#N/A</v>
      </c>
      <c r="F114" s="19" t="e">
        <f aca="false">IFERROR(IF('Real and nominal GDP'!E101="",NA(),IF(ISNUMBER('Real and nominal GDP'!E101),'Real and nominal GDP'!E101,NA())),NA())</f>
        <v>#N/A</v>
      </c>
      <c r="G114" s="19" t="e">
        <f aca="false">IFERROR(IF('Real and nominal GDP'!F101="",NA(),IF(ISNUMBER('Real and nominal GDP'!F101),'Real and nominal GDP'!F101,NA())),NA())</f>
        <v>#N/A</v>
      </c>
      <c r="H114" s="19" t="e">
        <f aca="false">IFERROR(IF('Real and nominal GDP'!G101="",NA(),IF(ISNUMBER('Real and nominal GDP'!G101),'Real and nominal GDP'!G101,NA())),NA())</f>
        <v>#N/A</v>
      </c>
      <c r="I114" s="19" t="e">
        <f aca="false">IFERROR(IF('Real and nominal GDP'!H101="",NA(),IF(ISNUMBER('Real and nominal GDP'!H101),'Real and nominal GDP'!H101,NA())),NA())</f>
        <v>#N/A</v>
      </c>
      <c r="J114" s="19" t="e">
        <f aca="false">IFERROR(IF('Real and nominal GDP'!I101="",NA(),IF(ISNUMBER('Real and nominal GDP'!I101),'Real and nominal GDP'!I101,NA())),NA())</f>
        <v>#N/A</v>
      </c>
      <c r="K114" s="19" t="e">
        <f aca="false">IFERROR(IF('Real and nominal GDP'!J101="",NA(),IF(ISNUMBER('Real and nominal GDP'!J101),'Real and nominal GDP'!J101,NA())),NA())</f>
        <v>#N/A</v>
      </c>
      <c r="L114" s="19" t="e">
        <f aca="false">IFERROR(IF('Real and nominal GDP'!K101="",NA(),IF(ISNUMBER('Real and nominal GDP'!K101),'Real and nominal GDP'!K101,NA())),NA())</f>
        <v>#N/A</v>
      </c>
      <c r="M114" s="20" t="e">
        <f aca="false">IFERROR(D114/D110-1,NA())</f>
        <v>#N/A</v>
      </c>
      <c r="N114" s="20" t="e">
        <f aca="false">IFERROR(D114/D113-1,NA())</f>
        <v>#N/A</v>
      </c>
      <c r="O114" s="20" t="e">
        <f aca="false">IFERROR(I114/I110-1,NA())</f>
        <v>#N/A</v>
      </c>
      <c r="P114" s="21" t="e">
        <f aca="false">IF(COUNT(D111:D114)=4,SUM(D111:D114),NA())</f>
        <v>#N/A</v>
      </c>
      <c r="Q114" s="21" t="e">
        <f aca="false">IF(COUNT(I111:I114)=4,SUM(I111:I114),NA())</f>
        <v>#N/A</v>
      </c>
      <c r="R114" s="21" t="e">
        <f aca="false">IFERROR(I114/K114,NA())</f>
        <v>#N/A</v>
      </c>
      <c r="S114" s="21" t="e">
        <f aca="false">IFERROR(I114/L114,NA())</f>
        <v>#N/A</v>
      </c>
    </row>
    <row r="115" customFormat="false" ht="15" hidden="false" customHeight="false" outlineLevel="0" collapsed="false">
      <c r="A115" s="16" t="e">
        <f aca="false">IFERROR(IF(ISNUMBER('Real and nominal GDP'!A102),'Real and nominal GDP'!A102,NA()),NA())</f>
        <v>#N/A</v>
      </c>
      <c r="B115" s="17" t="e">
        <f aca="false">IFERROR(IF('Real and nominal GDP'!B102="",NA(),'Real and nominal GDP'!B102),NA())</f>
        <v>#N/A</v>
      </c>
      <c r="C115" s="18" t="n">
        <f aca="false">IFERROR(YEAR(A115),0)</f>
        <v>0</v>
      </c>
      <c r="D115" s="19" t="e">
        <f aca="false">IFERROR(IF('Real and nominal GDP'!C102="",NA(),IF(ISNUMBER('Real and nominal GDP'!C102),'Real and nominal GDP'!C102,NA())),NA())</f>
        <v>#N/A</v>
      </c>
      <c r="E115" s="19" t="e">
        <f aca="false">IFERROR(IF('Real and nominal GDP'!D102="",NA(),IF(ISNUMBER('Real and nominal GDP'!D102),'Real and nominal GDP'!D102,NA())),NA())</f>
        <v>#N/A</v>
      </c>
      <c r="F115" s="19" t="e">
        <f aca="false">IFERROR(IF('Real and nominal GDP'!E102="",NA(),IF(ISNUMBER('Real and nominal GDP'!E102),'Real and nominal GDP'!E102,NA())),NA())</f>
        <v>#N/A</v>
      </c>
      <c r="G115" s="19" t="e">
        <f aca="false">IFERROR(IF('Real and nominal GDP'!F102="",NA(),IF(ISNUMBER('Real and nominal GDP'!F102),'Real and nominal GDP'!F102,NA())),NA())</f>
        <v>#N/A</v>
      </c>
      <c r="H115" s="19" t="e">
        <f aca="false">IFERROR(IF('Real and nominal GDP'!G102="",NA(),IF(ISNUMBER('Real and nominal GDP'!G102),'Real and nominal GDP'!G102,NA())),NA())</f>
        <v>#N/A</v>
      </c>
      <c r="I115" s="19" t="e">
        <f aca="false">IFERROR(IF('Real and nominal GDP'!H102="",NA(),IF(ISNUMBER('Real and nominal GDP'!H102),'Real and nominal GDP'!H102,NA())),NA())</f>
        <v>#N/A</v>
      </c>
      <c r="J115" s="19" t="e">
        <f aca="false">IFERROR(IF('Real and nominal GDP'!I102="",NA(),IF(ISNUMBER('Real and nominal GDP'!I102),'Real and nominal GDP'!I102,NA())),NA())</f>
        <v>#N/A</v>
      </c>
      <c r="K115" s="19" t="e">
        <f aca="false">IFERROR(IF('Real and nominal GDP'!J102="",NA(),IF(ISNUMBER('Real and nominal GDP'!J102),'Real and nominal GDP'!J102,NA())),NA())</f>
        <v>#N/A</v>
      </c>
      <c r="L115" s="19" t="e">
        <f aca="false">IFERROR(IF('Real and nominal GDP'!K102="",NA(),IF(ISNUMBER('Real and nominal GDP'!K102),'Real and nominal GDP'!K102,NA())),NA())</f>
        <v>#N/A</v>
      </c>
      <c r="M115" s="20" t="e">
        <f aca="false">IFERROR(D115/D111-1,NA())</f>
        <v>#N/A</v>
      </c>
      <c r="N115" s="20" t="e">
        <f aca="false">IFERROR(D115/D114-1,NA())</f>
        <v>#N/A</v>
      </c>
      <c r="O115" s="20" t="e">
        <f aca="false">IFERROR(I115/I111-1,NA())</f>
        <v>#N/A</v>
      </c>
      <c r="P115" s="21" t="e">
        <f aca="false">IF(COUNT(D112:D115)=4,SUM(D112:D115),NA())</f>
        <v>#N/A</v>
      </c>
      <c r="Q115" s="21" t="e">
        <f aca="false">IF(COUNT(I112:I115)=4,SUM(I112:I115),NA())</f>
        <v>#N/A</v>
      </c>
      <c r="R115" s="21" t="e">
        <f aca="false">IFERROR(I115/K115,NA())</f>
        <v>#N/A</v>
      </c>
      <c r="S115" s="21" t="e">
        <f aca="false">IFERROR(I115/L115,NA())</f>
        <v>#N/A</v>
      </c>
    </row>
    <row r="116" customFormat="false" ht="15" hidden="false" customHeight="false" outlineLevel="0" collapsed="false">
      <c r="A116" s="16" t="e">
        <f aca="false">IFERROR(IF(ISNUMBER('Real and nominal GDP'!A103),'Real and nominal GDP'!A103,NA()),NA())</f>
        <v>#N/A</v>
      </c>
      <c r="B116" s="17" t="e">
        <f aca="false">IFERROR(IF('Real and nominal GDP'!B103="",NA(),'Real and nominal GDP'!B103),NA())</f>
        <v>#N/A</v>
      </c>
      <c r="C116" s="18" t="n">
        <f aca="false">IFERROR(YEAR(A116),0)</f>
        <v>0</v>
      </c>
      <c r="D116" s="19" t="e">
        <f aca="false">IFERROR(IF('Real and nominal GDP'!C103="",NA(),IF(ISNUMBER('Real and nominal GDP'!C103),'Real and nominal GDP'!C103,NA())),NA())</f>
        <v>#N/A</v>
      </c>
      <c r="E116" s="19" t="e">
        <f aca="false">IFERROR(IF('Real and nominal GDP'!D103="",NA(),IF(ISNUMBER('Real and nominal GDP'!D103),'Real and nominal GDP'!D103,NA())),NA())</f>
        <v>#N/A</v>
      </c>
      <c r="F116" s="19" t="e">
        <f aca="false">IFERROR(IF('Real and nominal GDP'!E103="",NA(),IF(ISNUMBER('Real and nominal GDP'!E103),'Real and nominal GDP'!E103,NA())),NA())</f>
        <v>#N/A</v>
      </c>
      <c r="G116" s="19" t="e">
        <f aca="false">IFERROR(IF('Real and nominal GDP'!F103="",NA(),IF(ISNUMBER('Real and nominal GDP'!F103),'Real and nominal GDP'!F103,NA())),NA())</f>
        <v>#N/A</v>
      </c>
      <c r="H116" s="19" t="e">
        <f aca="false">IFERROR(IF('Real and nominal GDP'!G103="",NA(),IF(ISNUMBER('Real and nominal GDP'!G103),'Real and nominal GDP'!G103,NA())),NA())</f>
        <v>#N/A</v>
      </c>
      <c r="I116" s="19" t="e">
        <f aca="false">IFERROR(IF('Real and nominal GDP'!H103="",NA(),IF(ISNUMBER('Real and nominal GDP'!H103),'Real and nominal GDP'!H103,NA())),NA())</f>
        <v>#N/A</v>
      </c>
      <c r="J116" s="19" t="e">
        <f aca="false">IFERROR(IF('Real and nominal GDP'!I103="",NA(),IF(ISNUMBER('Real and nominal GDP'!I103),'Real and nominal GDP'!I103,NA())),NA())</f>
        <v>#N/A</v>
      </c>
      <c r="K116" s="19" t="e">
        <f aca="false">IFERROR(IF('Real and nominal GDP'!J103="",NA(),IF(ISNUMBER('Real and nominal GDP'!J103),'Real and nominal GDP'!J103,NA())),NA())</f>
        <v>#N/A</v>
      </c>
      <c r="L116" s="19" t="e">
        <f aca="false">IFERROR(IF('Real and nominal GDP'!K103="",NA(),IF(ISNUMBER('Real and nominal GDP'!K103),'Real and nominal GDP'!K103,NA())),NA())</f>
        <v>#N/A</v>
      </c>
      <c r="M116" s="20" t="e">
        <f aca="false">IFERROR(D116/D112-1,NA())</f>
        <v>#N/A</v>
      </c>
      <c r="N116" s="20" t="e">
        <f aca="false">IFERROR(D116/D115-1,NA())</f>
        <v>#N/A</v>
      </c>
      <c r="O116" s="20" t="e">
        <f aca="false">IFERROR(I116/I112-1,NA())</f>
        <v>#N/A</v>
      </c>
      <c r="P116" s="21" t="e">
        <f aca="false">IF(COUNT(D113:D116)=4,SUM(D113:D116),NA())</f>
        <v>#N/A</v>
      </c>
      <c r="Q116" s="21" t="e">
        <f aca="false">IF(COUNT(I113:I116)=4,SUM(I113:I116),NA())</f>
        <v>#N/A</v>
      </c>
      <c r="R116" s="21" t="e">
        <f aca="false">IFERROR(I116/K116,NA())</f>
        <v>#N/A</v>
      </c>
      <c r="S116" s="21" t="e">
        <f aca="false">IFERROR(I116/L116,NA())</f>
        <v>#N/A</v>
      </c>
    </row>
    <row r="117" customFormat="false" ht="15" hidden="false" customHeight="false" outlineLevel="0" collapsed="false">
      <c r="A117" s="16" t="e">
        <f aca="false">IFERROR(IF(ISNUMBER('Real and nominal GDP'!A104),'Real and nominal GDP'!A104,NA()),NA())</f>
        <v>#N/A</v>
      </c>
      <c r="B117" s="17" t="e">
        <f aca="false">IFERROR(IF('Real and nominal GDP'!B104="",NA(),'Real and nominal GDP'!B104),NA())</f>
        <v>#N/A</v>
      </c>
      <c r="C117" s="18" t="n">
        <f aca="false">IFERROR(YEAR(A117),0)</f>
        <v>0</v>
      </c>
      <c r="D117" s="19" t="e">
        <f aca="false">IFERROR(IF('Real and nominal GDP'!C104="",NA(),IF(ISNUMBER('Real and nominal GDP'!C104),'Real and nominal GDP'!C104,NA())),NA())</f>
        <v>#N/A</v>
      </c>
      <c r="E117" s="19" t="e">
        <f aca="false">IFERROR(IF('Real and nominal GDP'!D104="",NA(),IF(ISNUMBER('Real and nominal GDP'!D104),'Real and nominal GDP'!D104,NA())),NA())</f>
        <v>#N/A</v>
      </c>
      <c r="F117" s="19" t="e">
        <f aca="false">IFERROR(IF('Real and nominal GDP'!E104="",NA(),IF(ISNUMBER('Real and nominal GDP'!E104),'Real and nominal GDP'!E104,NA())),NA())</f>
        <v>#N/A</v>
      </c>
      <c r="G117" s="19" t="e">
        <f aca="false">IFERROR(IF('Real and nominal GDP'!F104="",NA(),IF(ISNUMBER('Real and nominal GDP'!F104),'Real and nominal GDP'!F104,NA())),NA())</f>
        <v>#N/A</v>
      </c>
      <c r="H117" s="19" t="e">
        <f aca="false">IFERROR(IF('Real and nominal GDP'!G104="",NA(),IF(ISNUMBER('Real and nominal GDP'!G104),'Real and nominal GDP'!G104,NA())),NA())</f>
        <v>#N/A</v>
      </c>
      <c r="I117" s="19" t="e">
        <f aca="false">IFERROR(IF('Real and nominal GDP'!H104="",NA(),IF(ISNUMBER('Real and nominal GDP'!H104),'Real and nominal GDP'!H104,NA())),NA())</f>
        <v>#N/A</v>
      </c>
      <c r="J117" s="19" t="e">
        <f aca="false">IFERROR(IF('Real and nominal GDP'!I104="",NA(),IF(ISNUMBER('Real and nominal GDP'!I104),'Real and nominal GDP'!I104,NA())),NA())</f>
        <v>#N/A</v>
      </c>
      <c r="K117" s="19" t="e">
        <f aca="false">IFERROR(IF('Real and nominal GDP'!J104="",NA(),IF(ISNUMBER('Real and nominal GDP'!J104),'Real and nominal GDP'!J104,NA())),NA())</f>
        <v>#N/A</v>
      </c>
      <c r="L117" s="19" t="e">
        <f aca="false">IFERROR(IF('Real and nominal GDP'!K104="",NA(),IF(ISNUMBER('Real and nominal GDP'!K104),'Real and nominal GDP'!K104,NA())),NA())</f>
        <v>#N/A</v>
      </c>
      <c r="M117" s="20" t="e">
        <f aca="false">IFERROR(D117/D113-1,NA())</f>
        <v>#N/A</v>
      </c>
      <c r="N117" s="20" t="e">
        <f aca="false">IFERROR(D117/D116-1,NA())</f>
        <v>#N/A</v>
      </c>
      <c r="O117" s="20" t="e">
        <f aca="false">IFERROR(I117/I113-1,NA())</f>
        <v>#N/A</v>
      </c>
      <c r="P117" s="21" t="e">
        <f aca="false">IF(COUNT(D114:D117)=4,SUM(D114:D117),NA())</f>
        <v>#N/A</v>
      </c>
      <c r="Q117" s="21" t="e">
        <f aca="false">IF(COUNT(I114:I117)=4,SUM(I114:I117),NA())</f>
        <v>#N/A</v>
      </c>
      <c r="R117" s="21" t="e">
        <f aca="false">IFERROR(I117/K117,NA())</f>
        <v>#N/A</v>
      </c>
      <c r="S117" s="21" t="e">
        <f aca="false">IFERROR(I117/L117,NA())</f>
        <v>#N/A</v>
      </c>
    </row>
    <row r="118" customFormat="false" ht="15" hidden="false" customHeight="false" outlineLevel="0" collapsed="false">
      <c r="A118" s="16" t="e">
        <f aca="false">IFERROR(IF(ISNUMBER('Real and nominal GDP'!A105),'Real and nominal GDP'!A105,NA()),NA())</f>
        <v>#N/A</v>
      </c>
      <c r="B118" s="17" t="e">
        <f aca="false">IFERROR(IF('Real and nominal GDP'!B105="",NA(),'Real and nominal GDP'!B105),NA())</f>
        <v>#N/A</v>
      </c>
      <c r="C118" s="18" t="n">
        <f aca="false">IFERROR(YEAR(A118),0)</f>
        <v>0</v>
      </c>
      <c r="D118" s="19" t="e">
        <f aca="false">IFERROR(IF('Real and nominal GDP'!C105="",NA(),IF(ISNUMBER('Real and nominal GDP'!C105),'Real and nominal GDP'!C105,NA())),NA())</f>
        <v>#N/A</v>
      </c>
      <c r="E118" s="19" t="e">
        <f aca="false">IFERROR(IF('Real and nominal GDP'!D105="",NA(),IF(ISNUMBER('Real and nominal GDP'!D105),'Real and nominal GDP'!D105,NA())),NA())</f>
        <v>#N/A</v>
      </c>
      <c r="F118" s="19" t="e">
        <f aca="false">IFERROR(IF('Real and nominal GDP'!E105="",NA(),IF(ISNUMBER('Real and nominal GDP'!E105),'Real and nominal GDP'!E105,NA())),NA())</f>
        <v>#N/A</v>
      </c>
      <c r="G118" s="19" t="e">
        <f aca="false">IFERROR(IF('Real and nominal GDP'!F105="",NA(),IF(ISNUMBER('Real and nominal GDP'!F105),'Real and nominal GDP'!F105,NA())),NA())</f>
        <v>#N/A</v>
      </c>
      <c r="H118" s="19" t="e">
        <f aca="false">IFERROR(IF('Real and nominal GDP'!G105="",NA(),IF(ISNUMBER('Real and nominal GDP'!G105),'Real and nominal GDP'!G105,NA())),NA())</f>
        <v>#N/A</v>
      </c>
      <c r="I118" s="19" t="e">
        <f aca="false">IFERROR(IF('Real and nominal GDP'!H105="",NA(),IF(ISNUMBER('Real and nominal GDP'!H105),'Real and nominal GDP'!H105,NA())),NA())</f>
        <v>#N/A</v>
      </c>
      <c r="J118" s="19" t="e">
        <f aca="false">IFERROR(IF('Real and nominal GDP'!I105="",NA(),IF(ISNUMBER('Real and nominal GDP'!I105),'Real and nominal GDP'!I105,NA())),NA())</f>
        <v>#N/A</v>
      </c>
      <c r="K118" s="19" t="e">
        <f aca="false">IFERROR(IF('Real and nominal GDP'!J105="",NA(),IF(ISNUMBER('Real and nominal GDP'!J105),'Real and nominal GDP'!J105,NA())),NA())</f>
        <v>#N/A</v>
      </c>
      <c r="L118" s="19" t="e">
        <f aca="false">IFERROR(IF('Real and nominal GDP'!K105="",NA(),IF(ISNUMBER('Real and nominal GDP'!K105),'Real and nominal GDP'!K105,NA())),NA())</f>
        <v>#N/A</v>
      </c>
      <c r="M118" s="20" t="e">
        <f aca="false">IFERROR(D118/D114-1,NA())</f>
        <v>#N/A</v>
      </c>
      <c r="N118" s="20" t="e">
        <f aca="false">IFERROR(D118/D117-1,NA())</f>
        <v>#N/A</v>
      </c>
      <c r="O118" s="20" t="e">
        <f aca="false">IFERROR(I118/I114-1,NA())</f>
        <v>#N/A</v>
      </c>
      <c r="P118" s="21" t="e">
        <f aca="false">IF(COUNT(D115:D118)=4,SUM(D115:D118),NA())</f>
        <v>#N/A</v>
      </c>
      <c r="Q118" s="21" t="e">
        <f aca="false">IF(COUNT(I115:I118)=4,SUM(I115:I118),NA())</f>
        <v>#N/A</v>
      </c>
      <c r="R118" s="21" t="e">
        <f aca="false">IFERROR(I118/K118,NA())</f>
        <v>#N/A</v>
      </c>
      <c r="S118" s="21" t="e">
        <f aca="false">IFERROR(I118/L118,NA())</f>
        <v>#N/A</v>
      </c>
    </row>
    <row r="119" customFormat="false" ht="15" hidden="false" customHeight="false" outlineLevel="0" collapsed="false">
      <c r="A119" s="16" t="e">
        <f aca="false">IFERROR(IF(ISNUMBER('Real and nominal GDP'!A106),'Real and nominal GDP'!A106,NA()),NA())</f>
        <v>#N/A</v>
      </c>
      <c r="B119" s="17" t="e">
        <f aca="false">IFERROR(IF('Real and nominal GDP'!B106="",NA(),'Real and nominal GDP'!B106),NA())</f>
        <v>#N/A</v>
      </c>
      <c r="C119" s="18" t="n">
        <f aca="false">IFERROR(YEAR(A119),0)</f>
        <v>0</v>
      </c>
      <c r="D119" s="19" t="e">
        <f aca="false">IFERROR(IF('Real and nominal GDP'!C106="",NA(),IF(ISNUMBER('Real and nominal GDP'!C106),'Real and nominal GDP'!C106,NA())),NA())</f>
        <v>#N/A</v>
      </c>
      <c r="E119" s="19" t="e">
        <f aca="false">IFERROR(IF('Real and nominal GDP'!D106="",NA(),IF(ISNUMBER('Real and nominal GDP'!D106),'Real and nominal GDP'!D106,NA())),NA())</f>
        <v>#N/A</v>
      </c>
      <c r="F119" s="19" t="e">
        <f aca="false">IFERROR(IF('Real and nominal GDP'!E106="",NA(),IF(ISNUMBER('Real and nominal GDP'!E106),'Real and nominal GDP'!E106,NA())),NA())</f>
        <v>#N/A</v>
      </c>
      <c r="G119" s="19" t="e">
        <f aca="false">IFERROR(IF('Real and nominal GDP'!F106="",NA(),IF(ISNUMBER('Real and nominal GDP'!F106),'Real and nominal GDP'!F106,NA())),NA())</f>
        <v>#N/A</v>
      </c>
      <c r="H119" s="19" t="e">
        <f aca="false">IFERROR(IF('Real and nominal GDP'!G106="",NA(),IF(ISNUMBER('Real and nominal GDP'!G106),'Real and nominal GDP'!G106,NA())),NA())</f>
        <v>#N/A</v>
      </c>
      <c r="I119" s="19" t="e">
        <f aca="false">IFERROR(IF('Real and nominal GDP'!H106="",NA(),IF(ISNUMBER('Real and nominal GDP'!H106),'Real and nominal GDP'!H106,NA())),NA())</f>
        <v>#N/A</v>
      </c>
      <c r="J119" s="19" t="e">
        <f aca="false">IFERROR(IF('Real and nominal GDP'!I106="",NA(),IF(ISNUMBER('Real and nominal GDP'!I106),'Real and nominal GDP'!I106,NA())),NA())</f>
        <v>#N/A</v>
      </c>
      <c r="K119" s="19" t="e">
        <f aca="false">IFERROR(IF('Real and nominal GDP'!J106="",NA(),IF(ISNUMBER('Real and nominal GDP'!J106),'Real and nominal GDP'!J106,NA())),NA())</f>
        <v>#N/A</v>
      </c>
      <c r="L119" s="19" t="e">
        <f aca="false">IFERROR(IF('Real and nominal GDP'!K106="",NA(),IF(ISNUMBER('Real and nominal GDP'!K106),'Real and nominal GDP'!K106,NA())),NA())</f>
        <v>#N/A</v>
      </c>
      <c r="M119" s="20" t="e">
        <f aca="false">IFERROR(D119/D115-1,NA())</f>
        <v>#N/A</v>
      </c>
      <c r="N119" s="20" t="e">
        <f aca="false">IFERROR(D119/D118-1,NA())</f>
        <v>#N/A</v>
      </c>
      <c r="O119" s="20" t="e">
        <f aca="false">IFERROR(I119/I115-1,NA())</f>
        <v>#N/A</v>
      </c>
      <c r="P119" s="21" t="e">
        <f aca="false">IF(COUNT(D116:D119)=4,SUM(D116:D119),NA())</f>
        <v>#N/A</v>
      </c>
      <c r="Q119" s="21" t="e">
        <f aca="false">IF(COUNT(I116:I119)=4,SUM(I116:I119),NA())</f>
        <v>#N/A</v>
      </c>
      <c r="R119" s="21" t="e">
        <f aca="false">IFERROR(I119/K119,NA())</f>
        <v>#N/A</v>
      </c>
      <c r="S119" s="21" t="e">
        <f aca="false">IFERROR(I119/L119,NA())</f>
        <v>#N/A</v>
      </c>
    </row>
    <row r="120" customFormat="false" ht="15" hidden="false" customHeight="false" outlineLevel="0" collapsed="false">
      <c r="A120" s="16" t="e">
        <f aca="false">IFERROR(IF(ISNUMBER('Real and nominal GDP'!A107),'Real and nominal GDP'!A107,NA()),NA())</f>
        <v>#N/A</v>
      </c>
      <c r="B120" s="17" t="e">
        <f aca="false">IFERROR(IF('Real and nominal GDP'!B107="",NA(),'Real and nominal GDP'!B107),NA())</f>
        <v>#N/A</v>
      </c>
      <c r="C120" s="18" t="n">
        <f aca="false">IFERROR(YEAR(A120),0)</f>
        <v>0</v>
      </c>
      <c r="D120" s="19" t="e">
        <f aca="false">IFERROR(IF('Real and nominal GDP'!C107="",NA(),IF(ISNUMBER('Real and nominal GDP'!C107),'Real and nominal GDP'!C107,NA())),NA())</f>
        <v>#N/A</v>
      </c>
      <c r="E120" s="19" t="e">
        <f aca="false">IFERROR(IF('Real and nominal GDP'!D107="",NA(),IF(ISNUMBER('Real and nominal GDP'!D107),'Real and nominal GDP'!D107,NA())),NA())</f>
        <v>#N/A</v>
      </c>
      <c r="F120" s="19" t="e">
        <f aca="false">IFERROR(IF('Real and nominal GDP'!E107="",NA(),IF(ISNUMBER('Real and nominal GDP'!E107),'Real and nominal GDP'!E107,NA())),NA())</f>
        <v>#N/A</v>
      </c>
      <c r="G120" s="19" t="e">
        <f aca="false">IFERROR(IF('Real and nominal GDP'!F107="",NA(),IF(ISNUMBER('Real and nominal GDP'!F107),'Real and nominal GDP'!F107,NA())),NA())</f>
        <v>#N/A</v>
      </c>
      <c r="H120" s="19" t="e">
        <f aca="false">IFERROR(IF('Real and nominal GDP'!G107="",NA(),IF(ISNUMBER('Real and nominal GDP'!G107),'Real and nominal GDP'!G107,NA())),NA())</f>
        <v>#N/A</v>
      </c>
      <c r="I120" s="19" t="e">
        <f aca="false">IFERROR(IF('Real and nominal GDP'!H107="",NA(),IF(ISNUMBER('Real and nominal GDP'!H107),'Real and nominal GDP'!H107,NA())),NA())</f>
        <v>#N/A</v>
      </c>
      <c r="J120" s="19" t="e">
        <f aca="false">IFERROR(IF('Real and nominal GDP'!I107="",NA(),IF(ISNUMBER('Real and nominal GDP'!I107),'Real and nominal GDP'!I107,NA())),NA())</f>
        <v>#N/A</v>
      </c>
      <c r="K120" s="19" t="e">
        <f aca="false">IFERROR(IF('Real and nominal GDP'!J107="",NA(),IF(ISNUMBER('Real and nominal GDP'!J107),'Real and nominal GDP'!J107,NA())),NA())</f>
        <v>#N/A</v>
      </c>
      <c r="L120" s="19" t="e">
        <f aca="false">IFERROR(IF('Real and nominal GDP'!K107="",NA(),IF(ISNUMBER('Real and nominal GDP'!K107),'Real and nominal GDP'!K107,NA())),NA())</f>
        <v>#N/A</v>
      </c>
      <c r="M120" s="20" t="e">
        <f aca="false">IFERROR(D120/D116-1,NA())</f>
        <v>#N/A</v>
      </c>
      <c r="N120" s="20" t="e">
        <f aca="false">IFERROR(D120/D119-1,NA())</f>
        <v>#N/A</v>
      </c>
      <c r="O120" s="20" t="e">
        <f aca="false">IFERROR(I120/I116-1,NA())</f>
        <v>#N/A</v>
      </c>
      <c r="P120" s="21" t="e">
        <f aca="false">IF(COUNT(D117:D120)=4,SUM(D117:D120),NA())</f>
        <v>#N/A</v>
      </c>
      <c r="Q120" s="21" t="e">
        <f aca="false">IF(COUNT(I117:I120)=4,SUM(I117:I120),NA())</f>
        <v>#N/A</v>
      </c>
      <c r="R120" s="21" t="e">
        <f aca="false">IFERROR(I120/K120,NA())</f>
        <v>#N/A</v>
      </c>
      <c r="S120" s="21" t="e">
        <f aca="false">IFERROR(I120/L120,NA())</f>
        <v>#N/A</v>
      </c>
    </row>
    <row r="121" customFormat="false" ht="15" hidden="false" customHeight="false" outlineLevel="0" collapsed="false">
      <c r="A121" s="16" t="e">
        <f aca="false">IFERROR(IF(ISNUMBER('Real and nominal GDP'!A108),'Real and nominal GDP'!A108,NA()),NA())</f>
        <v>#N/A</v>
      </c>
      <c r="B121" s="17" t="e">
        <f aca="false">IFERROR(IF('Real and nominal GDP'!B108="",NA(),'Real and nominal GDP'!B108),NA())</f>
        <v>#N/A</v>
      </c>
      <c r="C121" s="18" t="n">
        <f aca="false">IFERROR(YEAR(A121),0)</f>
        <v>0</v>
      </c>
      <c r="D121" s="19" t="e">
        <f aca="false">IFERROR(IF('Real and nominal GDP'!C108="",NA(),IF(ISNUMBER('Real and nominal GDP'!C108),'Real and nominal GDP'!C108,NA())),NA())</f>
        <v>#N/A</v>
      </c>
      <c r="E121" s="19" t="e">
        <f aca="false">IFERROR(IF('Real and nominal GDP'!D108="",NA(),IF(ISNUMBER('Real and nominal GDP'!D108),'Real and nominal GDP'!D108,NA())),NA())</f>
        <v>#N/A</v>
      </c>
      <c r="F121" s="19" t="e">
        <f aca="false">IFERROR(IF('Real and nominal GDP'!E108="",NA(),IF(ISNUMBER('Real and nominal GDP'!E108),'Real and nominal GDP'!E108,NA())),NA())</f>
        <v>#N/A</v>
      </c>
      <c r="G121" s="19" t="e">
        <f aca="false">IFERROR(IF('Real and nominal GDP'!F108="",NA(),IF(ISNUMBER('Real and nominal GDP'!F108),'Real and nominal GDP'!F108,NA())),NA())</f>
        <v>#N/A</v>
      </c>
      <c r="H121" s="19" t="e">
        <f aca="false">IFERROR(IF('Real and nominal GDP'!G108="",NA(),IF(ISNUMBER('Real and nominal GDP'!G108),'Real and nominal GDP'!G108,NA())),NA())</f>
        <v>#N/A</v>
      </c>
      <c r="I121" s="19" t="e">
        <f aca="false">IFERROR(IF('Real and nominal GDP'!H108="",NA(),IF(ISNUMBER('Real and nominal GDP'!H108),'Real and nominal GDP'!H108,NA())),NA())</f>
        <v>#N/A</v>
      </c>
      <c r="J121" s="19" t="e">
        <f aca="false">IFERROR(IF('Real and nominal GDP'!I108="",NA(),IF(ISNUMBER('Real and nominal GDP'!I108),'Real and nominal GDP'!I108,NA())),NA())</f>
        <v>#N/A</v>
      </c>
      <c r="K121" s="19" t="e">
        <f aca="false">IFERROR(IF('Real and nominal GDP'!J108="",NA(),IF(ISNUMBER('Real and nominal GDP'!J108),'Real and nominal GDP'!J108,NA())),NA())</f>
        <v>#N/A</v>
      </c>
      <c r="L121" s="19" t="e">
        <f aca="false">IFERROR(IF('Real and nominal GDP'!K108="",NA(),IF(ISNUMBER('Real and nominal GDP'!K108),'Real and nominal GDP'!K108,NA())),NA())</f>
        <v>#N/A</v>
      </c>
      <c r="M121" s="20" t="e">
        <f aca="false">IFERROR(D121/D117-1,NA())</f>
        <v>#N/A</v>
      </c>
      <c r="N121" s="20" t="e">
        <f aca="false">IFERROR(D121/D120-1,NA())</f>
        <v>#N/A</v>
      </c>
      <c r="O121" s="20" t="e">
        <f aca="false">IFERROR(I121/I117-1,NA())</f>
        <v>#N/A</v>
      </c>
      <c r="P121" s="21" t="e">
        <f aca="false">IF(COUNT(D118:D121)=4,SUM(D118:D121),NA())</f>
        <v>#N/A</v>
      </c>
      <c r="Q121" s="21" t="e">
        <f aca="false">IF(COUNT(I118:I121)=4,SUM(I118:I121),NA())</f>
        <v>#N/A</v>
      </c>
      <c r="R121" s="21" t="e">
        <f aca="false">IFERROR(I121/K121,NA())</f>
        <v>#N/A</v>
      </c>
      <c r="S121" s="21" t="e">
        <f aca="false">IFERROR(I121/L121,NA())</f>
        <v>#N/A</v>
      </c>
    </row>
    <row r="122" customFormat="false" ht="15" hidden="false" customHeight="false" outlineLevel="0" collapsed="false">
      <c r="A122" s="16" t="e">
        <f aca="false">IFERROR(IF(ISNUMBER('Real and nominal GDP'!A109),'Real and nominal GDP'!A109,NA()),NA())</f>
        <v>#N/A</v>
      </c>
      <c r="B122" s="17" t="e">
        <f aca="false">IFERROR(IF('Real and nominal GDP'!B109="",NA(),'Real and nominal GDP'!B109),NA())</f>
        <v>#N/A</v>
      </c>
      <c r="C122" s="18" t="n">
        <f aca="false">IFERROR(YEAR(A122),0)</f>
        <v>0</v>
      </c>
      <c r="D122" s="19" t="e">
        <f aca="false">IFERROR(IF('Real and nominal GDP'!C109="",NA(),IF(ISNUMBER('Real and nominal GDP'!C109),'Real and nominal GDP'!C109,NA())),NA())</f>
        <v>#N/A</v>
      </c>
      <c r="E122" s="19" t="e">
        <f aca="false">IFERROR(IF('Real and nominal GDP'!D109="",NA(),IF(ISNUMBER('Real and nominal GDP'!D109),'Real and nominal GDP'!D109,NA())),NA())</f>
        <v>#N/A</v>
      </c>
      <c r="F122" s="19" t="e">
        <f aca="false">IFERROR(IF('Real and nominal GDP'!E109="",NA(),IF(ISNUMBER('Real and nominal GDP'!E109),'Real and nominal GDP'!E109,NA())),NA())</f>
        <v>#N/A</v>
      </c>
      <c r="G122" s="19" t="e">
        <f aca="false">IFERROR(IF('Real and nominal GDP'!F109="",NA(),IF(ISNUMBER('Real and nominal GDP'!F109),'Real and nominal GDP'!F109,NA())),NA())</f>
        <v>#N/A</v>
      </c>
      <c r="H122" s="19" t="e">
        <f aca="false">IFERROR(IF('Real and nominal GDP'!G109="",NA(),IF(ISNUMBER('Real and nominal GDP'!G109),'Real and nominal GDP'!G109,NA())),NA())</f>
        <v>#N/A</v>
      </c>
      <c r="I122" s="19" t="e">
        <f aca="false">IFERROR(IF('Real and nominal GDP'!H109="",NA(),IF(ISNUMBER('Real and nominal GDP'!H109),'Real and nominal GDP'!H109,NA())),NA())</f>
        <v>#N/A</v>
      </c>
      <c r="J122" s="19" t="e">
        <f aca="false">IFERROR(IF('Real and nominal GDP'!I109="",NA(),IF(ISNUMBER('Real and nominal GDP'!I109),'Real and nominal GDP'!I109,NA())),NA())</f>
        <v>#N/A</v>
      </c>
      <c r="K122" s="19" t="e">
        <f aca="false">IFERROR(IF('Real and nominal GDP'!J109="",NA(),IF(ISNUMBER('Real and nominal GDP'!J109),'Real and nominal GDP'!J109,NA())),NA())</f>
        <v>#N/A</v>
      </c>
      <c r="L122" s="19" t="e">
        <f aca="false">IFERROR(IF('Real and nominal GDP'!K109="",NA(),IF(ISNUMBER('Real and nominal GDP'!K109),'Real and nominal GDP'!K109,NA())),NA())</f>
        <v>#N/A</v>
      </c>
      <c r="M122" s="20" t="e">
        <f aca="false">IFERROR(D122/D118-1,NA())</f>
        <v>#N/A</v>
      </c>
      <c r="N122" s="20" t="e">
        <f aca="false">IFERROR(D122/D121-1,NA())</f>
        <v>#N/A</v>
      </c>
      <c r="O122" s="20" t="e">
        <f aca="false">IFERROR(I122/I118-1,NA())</f>
        <v>#N/A</v>
      </c>
      <c r="P122" s="21" t="e">
        <f aca="false">IF(COUNT(D119:D122)=4,SUM(D119:D122),NA())</f>
        <v>#N/A</v>
      </c>
      <c r="Q122" s="21" t="e">
        <f aca="false">IF(COUNT(I119:I122)=4,SUM(I119:I122),NA())</f>
        <v>#N/A</v>
      </c>
      <c r="R122" s="21" t="e">
        <f aca="false">IFERROR(I122/K122,NA())</f>
        <v>#N/A</v>
      </c>
      <c r="S122" s="21" t="e">
        <f aca="false">IFERROR(I122/L122,NA())</f>
        <v>#N/A</v>
      </c>
    </row>
    <row r="123" customFormat="false" ht="15" hidden="false" customHeight="false" outlineLevel="0" collapsed="false">
      <c r="A123" s="16" t="e">
        <f aca="false">IFERROR(IF(ISNUMBER('Real and nominal GDP'!A110),'Real and nominal GDP'!A110,NA()),NA())</f>
        <v>#N/A</v>
      </c>
      <c r="B123" s="17" t="e">
        <f aca="false">IFERROR(IF('Real and nominal GDP'!B110="",NA(),'Real and nominal GDP'!B110),NA())</f>
        <v>#N/A</v>
      </c>
      <c r="C123" s="18" t="n">
        <f aca="false">IFERROR(YEAR(A123),0)</f>
        <v>0</v>
      </c>
      <c r="D123" s="19" t="e">
        <f aca="false">IFERROR(IF('Real and nominal GDP'!C110="",NA(),IF(ISNUMBER('Real and nominal GDP'!C110),'Real and nominal GDP'!C110,NA())),NA())</f>
        <v>#N/A</v>
      </c>
      <c r="E123" s="19" t="e">
        <f aca="false">IFERROR(IF('Real and nominal GDP'!D110="",NA(),IF(ISNUMBER('Real and nominal GDP'!D110),'Real and nominal GDP'!D110,NA())),NA())</f>
        <v>#N/A</v>
      </c>
      <c r="F123" s="19" t="e">
        <f aca="false">IFERROR(IF('Real and nominal GDP'!E110="",NA(),IF(ISNUMBER('Real and nominal GDP'!E110),'Real and nominal GDP'!E110,NA())),NA())</f>
        <v>#N/A</v>
      </c>
      <c r="G123" s="19" t="e">
        <f aca="false">IFERROR(IF('Real and nominal GDP'!F110="",NA(),IF(ISNUMBER('Real and nominal GDP'!F110),'Real and nominal GDP'!F110,NA())),NA())</f>
        <v>#N/A</v>
      </c>
      <c r="H123" s="19" t="e">
        <f aca="false">IFERROR(IF('Real and nominal GDP'!G110="",NA(),IF(ISNUMBER('Real and nominal GDP'!G110),'Real and nominal GDP'!G110,NA())),NA())</f>
        <v>#N/A</v>
      </c>
      <c r="I123" s="19" t="e">
        <f aca="false">IFERROR(IF('Real and nominal GDP'!H110="",NA(),IF(ISNUMBER('Real and nominal GDP'!H110),'Real and nominal GDP'!H110,NA())),NA())</f>
        <v>#N/A</v>
      </c>
      <c r="J123" s="19" t="e">
        <f aca="false">IFERROR(IF('Real and nominal GDP'!I110="",NA(),IF(ISNUMBER('Real and nominal GDP'!I110),'Real and nominal GDP'!I110,NA())),NA())</f>
        <v>#N/A</v>
      </c>
      <c r="K123" s="19" t="e">
        <f aca="false">IFERROR(IF('Real and nominal GDP'!J110="",NA(),IF(ISNUMBER('Real and nominal GDP'!J110),'Real and nominal GDP'!J110,NA())),NA())</f>
        <v>#N/A</v>
      </c>
      <c r="L123" s="19" t="e">
        <f aca="false">IFERROR(IF('Real and nominal GDP'!K110="",NA(),IF(ISNUMBER('Real and nominal GDP'!K110),'Real and nominal GDP'!K110,NA())),NA())</f>
        <v>#N/A</v>
      </c>
      <c r="M123" s="20" t="e">
        <f aca="false">IFERROR(D123/D119-1,NA())</f>
        <v>#N/A</v>
      </c>
      <c r="N123" s="20" t="e">
        <f aca="false">IFERROR(D123/D122-1,NA())</f>
        <v>#N/A</v>
      </c>
      <c r="O123" s="20" t="e">
        <f aca="false">IFERROR(I123/I119-1,NA())</f>
        <v>#N/A</v>
      </c>
      <c r="P123" s="21" t="e">
        <f aca="false">IF(COUNT(D120:D123)=4,SUM(D120:D123),NA())</f>
        <v>#N/A</v>
      </c>
      <c r="Q123" s="21" t="e">
        <f aca="false">IF(COUNT(I120:I123)=4,SUM(I120:I123),NA())</f>
        <v>#N/A</v>
      </c>
      <c r="R123" s="21" t="e">
        <f aca="false">IFERROR(I123/K123,NA())</f>
        <v>#N/A</v>
      </c>
      <c r="S123" s="21" t="e">
        <f aca="false">IFERROR(I123/L123,NA())</f>
        <v>#N/A</v>
      </c>
    </row>
    <row r="124" customFormat="false" ht="15" hidden="false" customHeight="false" outlineLevel="0" collapsed="false">
      <c r="A124" s="16" t="e">
        <f aca="false">IFERROR(IF(ISNUMBER('Real and nominal GDP'!A111),'Real and nominal GDP'!A111,NA()),NA())</f>
        <v>#N/A</v>
      </c>
      <c r="B124" s="17" t="e">
        <f aca="false">IFERROR(IF('Real and nominal GDP'!B111="",NA(),'Real and nominal GDP'!B111),NA())</f>
        <v>#N/A</v>
      </c>
      <c r="C124" s="18" t="n">
        <f aca="false">IFERROR(YEAR(A124),0)</f>
        <v>0</v>
      </c>
      <c r="D124" s="19" t="e">
        <f aca="false">IFERROR(IF('Real and nominal GDP'!C111="",NA(),IF(ISNUMBER('Real and nominal GDP'!C111),'Real and nominal GDP'!C111,NA())),NA())</f>
        <v>#N/A</v>
      </c>
      <c r="E124" s="19" t="e">
        <f aca="false">IFERROR(IF('Real and nominal GDP'!D111="",NA(),IF(ISNUMBER('Real and nominal GDP'!D111),'Real and nominal GDP'!D111,NA())),NA())</f>
        <v>#N/A</v>
      </c>
      <c r="F124" s="19" t="e">
        <f aca="false">IFERROR(IF('Real and nominal GDP'!E111="",NA(),IF(ISNUMBER('Real and nominal GDP'!E111),'Real and nominal GDP'!E111,NA())),NA())</f>
        <v>#N/A</v>
      </c>
      <c r="G124" s="19" t="e">
        <f aca="false">IFERROR(IF('Real and nominal GDP'!F111="",NA(),IF(ISNUMBER('Real and nominal GDP'!F111),'Real and nominal GDP'!F111,NA())),NA())</f>
        <v>#N/A</v>
      </c>
      <c r="H124" s="19" t="e">
        <f aca="false">IFERROR(IF('Real and nominal GDP'!G111="",NA(),IF(ISNUMBER('Real and nominal GDP'!G111),'Real and nominal GDP'!G111,NA())),NA())</f>
        <v>#N/A</v>
      </c>
      <c r="I124" s="19" t="e">
        <f aca="false">IFERROR(IF('Real and nominal GDP'!H111="",NA(),IF(ISNUMBER('Real and nominal GDP'!H111),'Real and nominal GDP'!H111,NA())),NA())</f>
        <v>#N/A</v>
      </c>
      <c r="J124" s="19" t="e">
        <f aca="false">IFERROR(IF('Real and nominal GDP'!I111="",NA(),IF(ISNUMBER('Real and nominal GDP'!I111),'Real and nominal GDP'!I111,NA())),NA())</f>
        <v>#N/A</v>
      </c>
      <c r="K124" s="19" t="e">
        <f aca="false">IFERROR(IF('Real and nominal GDP'!J111="",NA(),IF(ISNUMBER('Real and nominal GDP'!J111),'Real and nominal GDP'!J111,NA())),NA())</f>
        <v>#N/A</v>
      </c>
      <c r="L124" s="19" t="e">
        <f aca="false">IFERROR(IF('Real and nominal GDP'!K111="",NA(),IF(ISNUMBER('Real and nominal GDP'!K111),'Real and nominal GDP'!K111,NA())),NA())</f>
        <v>#N/A</v>
      </c>
      <c r="M124" s="20" t="e">
        <f aca="false">IFERROR(D124/D120-1,NA())</f>
        <v>#N/A</v>
      </c>
      <c r="N124" s="20" t="e">
        <f aca="false">IFERROR(D124/D123-1,NA())</f>
        <v>#N/A</v>
      </c>
      <c r="O124" s="20" t="e">
        <f aca="false">IFERROR(I124/I120-1,NA())</f>
        <v>#N/A</v>
      </c>
      <c r="P124" s="21" t="e">
        <f aca="false">IF(COUNT(D121:D124)=4,SUM(D121:D124),NA())</f>
        <v>#N/A</v>
      </c>
      <c r="Q124" s="21" t="e">
        <f aca="false">IF(COUNT(I121:I124)=4,SUM(I121:I124),NA())</f>
        <v>#N/A</v>
      </c>
      <c r="R124" s="21" t="e">
        <f aca="false">IFERROR(I124/K124,NA())</f>
        <v>#N/A</v>
      </c>
      <c r="S124" s="21" t="e">
        <f aca="false">IFERROR(I124/L124,NA())</f>
        <v>#N/A</v>
      </c>
    </row>
    <row r="125" customFormat="false" ht="15" hidden="false" customHeight="false" outlineLevel="0" collapsed="false">
      <c r="A125" s="16" t="e">
        <f aca="false">IFERROR(IF(ISNUMBER('Real and nominal GDP'!A112),'Real and nominal GDP'!A112,NA()),NA())</f>
        <v>#N/A</v>
      </c>
      <c r="B125" s="17" t="e">
        <f aca="false">IFERROR(IF('Real and nominal GDP'!B112="",NA(),'Real and nominal GDP'!B112),NA())</f>
        <v>#N/A</v>
      </c>
      <c r="C125" s="18" t="n">
        <f aca="false">IFERROR(YEAR(A125),0)</f>
        <v>0</v>
      </c>
      <c r="D125" s="19" t="e">
        <f aca="false">IFERROR(IF('Real and nominal GDP'!C112="",NA(),IF(ISNUMBER('Real and nominal GDP'!C112),'Real and nominal GDP'!C112,NA())),NA())</f>
        <v>#N/A</v>
      </c>
      <c r="E125" s="19" t="e">
        <f aca="false">IFERROR(IF('Real and nominal GDP'!D112="",NA(),IF(ISNUMBER('Real and nominal GDP'!D112),'Real and nominal GDP'!D112,NA())),NA())</f>
        <v>#N/A</v>
      </c>
      <c r="F125" s="19" t="e">
        <f aca="false">IFERROR(IF('Real and nominal GDP'!E112="",NA(),IF(ISNUMBER('Real and nominal GDP'!E112),'Real and nominal GDP'!E112,NA())),NA())</f>
        <v>#N/A</v>
      </c>
      <c r="G125" s="19" t="e">
        <f aca="false">IFERROR(IF('Real and nominal GDP'!F112="",NA(),IF(ISNUMBER('Real and nominal GDP'!F112),'Real and nominal GDP'!F112,NA())),NA())</f>
        <v>#N/A</v>
      </c>
      <c r="H125" s="19" t="e">
        <f aca="false">IFERROR(IF('Real and nominal GDP'!G112="",NA(),IF(ISNUMBER('Real and nominal GDP'!G112),'Real and nominal GDP'!G112,NA())),NA())</f>
        <v>#N/A</v>
      </c>
      <c r="I125" s="19" t="e">
        <f aca="false">IFERROR(IF('Real and nominal GDP'!H112="",NA(),IF(ISNUMBER('Real and nominal GDP'!H112),'Real and nominal GDP'!H112,NA())),NA())</f>
        <v>#N/A</v>
      </c>
      <c r="J125" s="19" t="e">
        <f aca="false">IFERROR(IF('Real and nominal GDP'!I112="",NA(),IF(ISNUMBER('Real and nominal GDP'!I112),'Real and nominal GDP'!I112,NA())),NA())</f>
        <v>#N/A</v>
      </c>
      <c r="K125" s="19" t="e">
        <f aca="false">IFERROR(IF('Real and nominal GDP'!J112="",NA(),IF(ISNUMBER('Real and nominal GDP'!J112),'Real and nominal GDP'!J112,NA())),NA())</f>
        <v>#N/A</v>
      </c>
      <c r="L125" s="19" t="e">
        <f aca="false">IFERROR(IF('Real and nominal GDP'!K112="",NA(),IF(ISNUMBER('Real and nominal GDP'!K112),'Real and nominal GDP'!K112,NA())),NA())</f>
        <v>#N/A</v>
      </c>
      <c r="M125" s="20" t="e">
        <f aca="false">IFERROR(D125/D121-1,NA())</f>
        <v>#N/A</v>
      </c>
      <c r="N125" s="20" t="e">
        <f aca="false">IFERROR(D125/D124-1,NA())</f>
        <v>#N/A</v>
      </c>
      <c r="O125" s="20" t="e">
        <f aca="false">IFERROR(I125/I121-1,NA())</f>
        <v>#N/A</v>
      </c>
      <c r="P125" s="21" t="e">
        <f aca="false">IF(COUNT(D122:D125)=4,SUM(D122:D125),NA())</f>
        <v>#N/A</v>
      </c>
      <c r="Q125" s="21" t="e">
        <f aca="false">IF(COUNT(I122:I125)=4,SUM(I122:I125),NA())</f>
        <v>#N/A</v>
      </c>
      <c r="R125" s="21" t="e">
        <f aca="false">IFERROR(I125/K125,NA())</f>
        <v>#N/A</v>
      </c>
      <c r="S125" s="21" t="e">
        <f aca="false">IFERROR(I125/L125,NA())</f>
        <v>#N/A</v>
      </c>
    </row>
    <row r="126" customFormat="false" ht="15" hidden="false" customHeight="false" outlineLevel="0" collapsed="false">
      <c r="A126" s="16" t="e">
        <f aca="false">IFERROR(IF(ISNUMBER('Real and nominal GDP'!A113),'Real and nominal GDP'!A113,NA()),NA())</f>
        <v>#N/A</v>
      </c>
      <c r="B126" s="17" t="e">
        <f aca="false">IFERROR(IF('Real and nominal GDP'!B113="",NA(),'Real and nominal GDP'!B113),NA())</f>
        <v>#N/A</v>
      </c>
      <c r="C126" s="18" t="n">
        <f aca="false">IFERROR(YEAR(A126),0)</f>
        <v>0</v>
      </c>
      <c r="D126" s="19" t="e">
        <f aca="false">IFERROR(IF('Real and nominal GDP'!C113="",NA(),IF(ISNUMBER('Real and nominal GDP'!C113),'Real and nominal GDP'!C113,NA())),NA())</f>
        <v>#N/A</v>
      </c>
      <c r="E126" s="19" t="e">
        <f aca="false">IFERROR(IF('Real and nominal GDP'!D113="",NA(),IF(ISNUMBER('Real and nominal GDP'!D113),'Real and nominal GDP'!D113,NA())),NA())</f>
        <v>#N/A</v>
      </c>
      <c r="F126" s="19" t="e">
        <f aca="false">IFERROR(IF('Real and nominal GDP'!E113="",NA(),IF(ISNUMBER('Real and nominal GDP'!E113),'Real and nominal GDP'!E113,NA())),NA())</f>
        <v>#N/A</v>
      </c>
      <c r="G126" s="19" t="e">
        <f aca="false">IFERROR(IF('Real and nominal GDP'!F113="",NA(),IF(ISNUMBER('Real and nominal GDP'!F113),'Real and nominal GDP'!F113,NA())),NA())</f>
        <v>#N/A</v>
      </c>
      <c r="H126" s="19" t="e">
        <f aca="false">IFERROR(IF('Real and nominal GDP'!G113="",NA(),IF(ISNUMBER('Real and nominal GDP'!G113),'Real and nominal GDP'!G113,NA())),NA())</f>
        <v>#N/A</v>
      </c>
      <c r="I126" s="19" t="e">
        <f aca="false">IFERROR(IF('Real and nominal GDP'!H113="",NA(),IF(ISNUMBER('Real and nominal GDP'!H113),'Real and nominal GDP'!H113,NA())),NA())</f>
        <v>#N/A</v>
      </c>
      <c r="J126" s="19" t="e">
        <f aca="false">IFERROR(IF('Real and nominal GDP'!I113="",NA(),IF(ISNUMBER('Real and nominal GDP'!I113),'Real and nominal GDP'!I113,NA())),NA())</f>
        <v>#N/A</v>
      </c>
      <c r="K126" s="19" t="e">
        <f aca="false">IFERROR(IF('Real and nominal GDP'!J113="",NA(),IF(ISNUMBER('Real and nominal GDP'!J113),'Real and nominal GDP'!J113,NA())),NA())</f>
        <v>#N/A</v>
      </c>
      <c r="L126" s="19" t="e">
        <f aca="false">IFERROR(IF('Real and nominal GDP'!K113="",NA(),IF(ISNUMBER('Real and nominal GDP'!K113),'Real and nominal GDP'!K113,NA())),NA())</f>
        <v>#N/A</v>
      </c>
      <c r="M126" s="20" t="e">
        <f aca="false">IFERROR(D126/D122-1,NA())</f>
        <v>#N/A</v>
      </c>
      <c r="N126" s="20" t="e">
        <f aca="false">IFERROR(D126/D125-1,NA())</f>
        <v>#N/A</v>
      </c>
      <c r="O126" s="20" t="e">
        <f aca="false">IFERROR(I126/I122-1,NA())</f>
        <v>#N/A</v>
      </c>
      <c r="P126" s="21" t="e">
        <f aca="false">IF(COUNT(D123:D126)=4,SUM(D123:D126),NA())</f>
        <v>#N/A</v>
      </c>
      <c r="Q126" s="21" t="e">
        <f aca="false">IF(COUNT(I123:I126)=4,SUM(I123:I126),NA())</f>
        <v>#N/A</v>
      </c>
      <c r="R126" s="21" t="e">
        <f aca="false">IFERROR(I126/K126,NA())</f>
        <v>#N/A</v>
      </c>
      <c r="S126" s="21" t="e">
        <f aca="false">IFERROR(I126/L126,NA())</f>
        <v>#N/A</v>
      </c>
    </row>
    <row r="127" customFormat="false" ht="15" hidden="false" customHeight="false" outlineLevel="0" collapsed="false">
      <c r="A127" s="16" t="e">
        <f aca="false">IFERROR(IF(ISNUMBER('Real and nominal GDP'!A114),'Real and nominal GDP'!A114,NA()),NA())</f>
        <v>#N/A</v>
      </c>
      <c r="B127" s="17" t="e">
        <f aca="false">IFERROR(IF('Real and nominal GDP'!B114="",NA(),'Real and nominal GDP'!B114),NA())</f>
        <v>#N/A</v>
      </c>
      <c r="C127" s="18" t="n">
        <f aca="false">IFERROR(YEAR(A127),0)</f>
        <v>0</v>
      </c>
      <c r="D127" s="19" t="e">
        <f aca="false">IFERROR(IF('Real and nominal GDP'!C114="",NA(),IF(ISNUMBER('Real and nominal GDP'!C114),'Real and nominal GDP'!C114,NA())),NA())</f>
        <v>#N/A</v>
      </c>
      <c r="E127" s="19" t="e">
        <f aca="false">IFERROR(IF('Real and nominal GDP'!D114="",NA(),IF(ISNUMBER('Real and nominal GDP'!D114),'Real and nominal GDP'!D114,NA())),NA())</f>
        <v>#N/A</v>
      </c>
      <c r="F127" s="19" t="e">
        <f aca="false">IFERROR(IF('Real and nominal GDP'!E114="",NA(),IF(ISNUMBER('Real and nominal GDP'!E114),'Real and nominal GDP'!E114,NA())),NA())</f>
        <v>#N/A</v>
      </c>
      <c r="G127" s="19" t="e">
        <f aca="false">IFERROR(IF('Real and nominal GDP'!F114="",NA(),IF(ISNUMBER('Real and nominal GDP'!F114),'Real and nominal GDP'!F114,NA())),NA())</f>
        <v>#N/A</v>
      </c>
      <c r="H127" s="19" t="e">
        <f aca="false">IFERROR(IF('Real and nominal GDP'!G114="",NA(),IF(ISNUMBER('Real and nominal GDP'!G114),'Real and nominal GDP'!G114,NA())),NA())</f>
        <v>#N/A</v>
      </c>
      <c r="I127" s="19" t="e">
        <f aca="false">IFERROR(IF('Real and nominal GDP'!H114="",NA(),IF(ISNUMBER('Real and nominal GDP'!H114),'Real and nominal GDP'!H114,NA())),NA())</f>
        <v>#N/A</v>
      </c>
      <c r="J127" s="19" t="e">
        <f aca="false">IFERROR(IF('Real and nominal GDP'!I114="",NA(),IF(ISNUMBER('Real and nominal GDP'!I114),'Real and nominal GDP'!I114,NA())),NA())</f>
        <v>#N/A</v>
      </c>
      <c r="K127" s="19" t="e">
        <f aca="false">IFERROR(IF('Real and nominal GDP'!J114="",NA(),IF(ISNUMBER('Real and nominal GDP'!J114),'Real and nominal GDP'!J114,NA())),NA())</f>
        <v>#N/A</v>
      </c>
      <c r="L127" s="19" t="e">
        <f aca="false">IFERROR(IF('Real and nominal GDP'!K114="",NA(),IF(ISNUMBER('Real and nominal GDP'!K114),'Real and nominal GDP'!K114,NA())),NA())</f>
        <v>#N/A</v>
      </c>
      <c r="M127" s="20" t="e">
        <f aca="false">IFERROR(D127/D123-1,NA())</f>
        <v>#N/A</v>
      </c>
      <c r="N127" s="20" t="e">
        <f aca="false">IFERROR(D127/D126-1,NA())</f>
        <v>#N/A</v>
      </c>
      <c r="O127" s="20" t="e">
        <f aca="false">IFERROR(I127/I123-1,NA())</f>
        <v>#N/A</v>
      </c>
      <c r="P127" s="21" t="e">
        <f aca="false">IF(COUNT(D124:D127)=4,SUM(D124:D127),NA())</f>
        <v>#N/A</v>
      </c>
      <c r="Q127" s="21" t="e">
        <f aca="false">IF(COUNT(I124:I127)=4,SUM(I124:I127),NA())</f>
        <v>#N/A</v>
      </c>
      <c r="R127" s="21" t="e">
        <f aca="false">IFERROR(I127/K127,NA())</f>
        <v>#N/A</v>
      </c>
      <c r="S127" s="21" t="e">
        <f aca="false">IFERROR(I127/L127,NA())</f>
        <v>#N/A</v>
      </c>
    </row>
    <row r="128" customFormat="false" ht="15" hidden="false" customHeight="false" outlineLevel="0" collapsed="false">
      <c r="A128" s="16" t="e">
        <f aca="false">IFERROR(IF(ISNUMBER('Real and nominal GDP'!A115),'Real and nominal GDP'!A115,NA()),NA())</f>
        <v>#N/A</v>
      </c>
      <c r="B128" s="17" t="e">
        <f aca="false">IFERROR(IF('Real and nominal GDP'!B115="",NA(),'Real and nominal GDP'!B115),NA())</f>
        <v>#N/A</v>
      </c>
      <c r="C128" s="18" t="n">
        <f aca="false">IFERROR(YEAR(A128),0)</f>
        <v>0</v>
      </c>
      <c r="D128" s="19" t="e">
        <f aca="false">IFERROR(IF('Real and nominal GDP'!C115="",NA(),IF(ISNUMBER('Real and nominal GDP'!C115),'Real and nominal GDP'!C115,NA())),NA())</f>
        <v>#N/A</v>
      </c>
      <c r="E128" s="19" t="e">
        <f aca="false">IFERROR(IF('Real and nominal GDP'!D115="",NA(),IF(ISNUMBER('Real and nominal GDP'!D115),'Real and nominal GDP'!D115,NA())),NA())</f>
        <v>#N/A</v>
      </c>
      <c r="F128" s="19" t="e">
        <f aca="false">IFERROR(IF('Real and nominal GDP'!E115="",NA(),IF(ISNUMBER('Real and nominal GDP'!E115),'Real and nominal GDP'!E115,NA())),NA())</f>
        <v>#N/A</v>
      </c>
      <c r="G128" s="19" t="e">
        <f aca="false">IFERROR(IF('Real and nominal GDP'!F115="",NA(),IF(ISNUMBER('Real and nominal GDP'!F115),'Real and nominal GDP'!F115,NA())),NA())</f>
        <v>#N/A</v>
      </c>
      <c r="H128" s="19" t="e">
        <f aca="false">IFERROR(IF('Real and nominal GDP'!G115="",NA(),IF(ISNUMBER('Real and nominal GDP'!G115),'Real and nominal GDP'!G115,NA())),NA())</f>
        <v>#N/A</v>
      </c>
      <c r="I128" s="19" t="e">
        <f aca="false">IFERROR(IF('Real and nominal GDP'!H115="",NA(),IF(ISNUMBER('Real and nominal GDP'!H115),'Real and nominal GDP'!H115,NA())),NA())</f>
        <v>#N/A</v>
      </c>
      <c r="J128" s="19" t="e">
        <f aca="false">IFERROR(IF('Real and nominal GDP'!I115="",NA(),IF(ISNUMBER('Real and nominal GDP'!I115),'Real and nominal GDP'!I115,NA())),NA())</f>
        <v>#N/A</v>
      </c>
      <c r="K128" s="19" t="e">
        <f aca="false">IFERROR(IF('Real and nominal GDP'!J115="",NA(),IF(ISNUMBER('Real and nominal GDP'!J115),'Real and nominal GDP'!J115,NA())),NA())</f>
        <v>#N/A</v>
      </c>
      <c r="L128" s="19" t="e">
        <f aca="false">IFERROR(IF('Real and nominal GDP'!K115="",NA(),IF(ISNUMBER('Real and nominal GDP'!K115),'Real and nominal GDP'!K115,NA())),NA())</f>
        <v>#N/A</v>
      </c>
      <c r="M128" s="20" t="e">
        <f aca="false">IFERROR(D128/D124-1,NA())</f>
        <v>#N/A</v>
      </c>
      <c r="N128" s="20" t="e">
        <f aca="false">IFERROR(D128/D127-1,NA())</f>
        <v>#N/A</v>
      </c>
      <c r="O128" s="20" t="e">
        <f aca="false">IFERROR(I128/I124-1,NA())</f>
        <v>#N/A</v>
      </c>
      <c r="P128" s="21" t="e">
        <f aca="false">IF(COUNT(D125:D128)=4,SUM(D125:D128),NA())</f>
        <v>#N/A</v>
      </c>
      <c r="Q128" s="21" t="e">
        <f aca="false">IF(COUNT(I125:I128)=4,SUM(I125:I128),NA())</f>
        <v>#N/A</v>
      </c>
      <c r="R128" s="21" t="e">
        <f aca="false">IFERROR(I128/K128,NA())</f>
        <v>#N/A</v>
      </c>
      <c r="S128" s="21" t="e">
        <f aca="false">IFERROR(I128/L128,NA())</f>
        <v>#N/A</v>
      </c>
    </row>
    <row r="129" customFormat="false" ht="15" hidden="false" customHeight="false" outlineLevel="0" collapsed="false">
      <c r="A129" s="16" t="e">
        <f aca="false">IFERROR(IF(ISNUMBER('Real and nominal GDP'!A116),'Real and nominal GDP'!A116,NA()),NA())</f>
        <v>#N/A</v>
      </c>
      <c r="B129" s="17" t="e">
        <f aca="false">IFERROR(IF('Real and nominal GDP'!B116="",NA(),'Real and nominal GDP'!B116),NA())</f>
        <v>#N/A</v>
      </c>
      <c r="C129" s="18" t="n">
        <f aca="false">IFERROR(YEAR(A129),0)</f>
        <v>0</v>
      </c>
      <c r="D129" s="19" t="e">
        <f aca="false">IFERROR(IF('Real and nominal GDP'!C116="",NA(),IF(ISNUMBER('Real and nominal GDP'!C116),'Real and nominal GDP'!C116,NA())),NA())</f>
        <v>#N/A</v>
      </c>
      <c r="E129" s="19" t="e">
        <f aca="false">IFERROR(IF('Real and nominal GDP'!D116="",NA(),IF(ISNUMBER('Real and nominal GDP'!D116),'Real and nominal GDP'!D116,NA())),NA())</f>
        <v>#N/A</v>
      </c>
      <c r="F129" s="19" t="e">
        <f aca="false">IFERROR(IF('Real and nominal GDP'!E116="",NA(),IF(ISNUMBER('Real and nominal GDP'!E116),'Real and nominal GDP'!E116,NA())),NA())</f>
        <v>#N/A</v>
      </c>
      <c r="G129" s="19" t="e">
        <f aca="false">IFERROR(IF('Real and nominal GDP'!F116="",NA(),IF(ISNUMBER('Real and nominal GDP'!F116),'Real and nominal GDP'!F116,NA())),NA())</f>
        <v>#N/A</v>
      </c>
      <c r="H129" s="19" t="e">
        <f aca="false">IFERROR(IF('Real and nominal GDP'!G116="",NA(),IF(ISNUMBER('Real and nominal GDP'!G116),'Real and nominal GDP'!G116,NA())),NA())</f>
        <v>#N/A</v>
      </c>
      <c r="I129" s="19" t="e">
        <f aca="false">IFERROR(IF('Real and nominal GDP'!H116="",NA(),IF(ISNUMBER('Real and nominal GDP'!H116),'Real and nominal GDP'!H116,NA())),NA())</f>
        <v>#N/A</v>
      </c>
      <c r="J129" s="19" t="e">
        <f aca="false">IFERROR(IF('Real and nominal GDP'!I116="",NA(),IF(ISNUMBER('Real and nominal GDP'!I116),'Real and nominal GDP'!I116,NA())),NA())</f>
        <v>#N/A</v>
      </c>
      <c r="K129" s="19" t="e">
        <f aca="false">IFERROR(IF('Real and nominal GDP'!J116="",NA(),IF(ISNUMBER('Real and nominal GDP'!J116),'Real and nominal GDP'!J116,NA())),NA())</f>
        <v>#N/A</v>
      </c>
      <c r="L129" s="19" t="e">
        <f aca="false">IFERROR(IF('Real and nominal GDP'!K116="",NA(),IF(ISNUMBER('Real and nominal GDP'!K116),'Real and nominal GDP'!K116,NA())),NA())</f>
        <v>#N/A</v>
      </c>
      <c r="M129" s="20" t="e">
        <f aca="false">IFERROR(D129/D125-1,NA())</f>
        <v>#N/A</v>
      </c>
      <c r="N129" s="20" t="e">
        <f aca="false">IFERROR(D129/D128-1,NA())</f>
        <v>#N/A</v>
      </c>
      <c r="O129" s="20" t="e">
        <f aca="false">IFERROR(I129/I125-1,NA())</f>
        <v>#N/A</v>
      </c>
      <c r="P129" s="21" t="e">
        <f aca="false">IF(COUNT(D126:D129)=4,SUM(D126:D129),NA())</f>
        <v>#N/A</v>
      </c>
      <c r="Q129" s="21" t="e">
        <f aca="false">IF(COUNT(I126:I129)=4,SUM(I126:I129),NA())</f>
        <v>#N/A</v>
      </c>
      <c r="R129" s="21" t="e">
        <f aca="false">IFERROR(I129/K129,NA())</f>
        <v>#N/A</v>
      </c>
      <c r="S129" s="21" t="e">
        <f aca="false">IFERROR(I129/L129,NA())</f>
        <v>#N/A</v>
      </c>
    </row>
    <row r="130" customFormat="false" ht="15" hidden="false" customHeight="false" outlineLevel="0" collapsed="false">
      <c r="A130" s="16" t="e">
        <f aca="false">IFERROR(IF(ISNUMBER('Real and nominal GDP'!A117),'Real and nominal GDP'!A117,NA()),NA())</f>
        <v>#N/A</v>
      </c>
      <c r="B130" s="17" t="e">
        <f aca="false">IFERROR(IF('Real and nominal GDP'!B117="",NA(),'Real and nominal GDP'!B117),NA())</f>
        <v>#N/A</v>
      </c>
      <c r="C130" s="18" t="n">
        <f aca="false">IFERROR(YEAR(A130),0)</f>
        <v>0</v>
      </c>
      <c r="D130" s="19" t="e">
        <f aca="false">IFERROR(IF('Real and nominal GDP'!C117="",NA(),IF(ISNUMBER('Real and nominal GDP'!C117),'Real and nominal GDP'!C117,NA())),NA())</f>
        <v>#N/A</v>
      </c>
      <c r="E130" s="19" t="e">
        <f aca="false">IFERROR(IF('Real and nominal GDP'!D117="",NA(),IF(ISNUMBER('Real and nominal GDP'!D117),'Real and nominal GDP'!D117,NA())),NA())</f>
        <v>#N/A</v>
      </c>
      <c r="F130" s="19" t="e">
        <f aca="false">IFERROR(IF('Real and nominal GDP'!E117="",NA(),IF(ISNUMBER('Real and nominal GDP'!E117),'Real and nominal GDP'!E117,NA())),NA())</f>
        <v>#N/A</v>
      </c>
      <c r="G130" s="19" t="e">
        <f aca="false">IFERROR(IF('Real and nominal GDP'!F117="",NA(),IF(ISNUMBER('Real and nominal GDP'!F117),'Real and nominal GDP'!F117,NA())),NA())</f>
        <v>#N/A</v>
      </c>
      <c r="H130" s="19" t="e">
        <f aca="false">IFERROR(IF('Real and nominal GDP'!G117="",NA(),IF(ISNUMBER('Real and nominal GDP'!G117),'Real and nominal GDP'!G117,NA())),NA())</f>
        <v>#N/A</v>
      </c>
      <c r="I130" s="19" t="e">
        <f aca="false">IFERROR(IF('Real and nominal GDP'!H117="",NA(),IF(ISNUMBER('Real and nominal GDP'!H117),'Real and nominal GDP'!H117,NA())),NA())</f>
        <v>#N/A</v>
      </c>
      <c r="J130" s="19" t="e">
        <f aca="false">IFERROR(IF('Real and nominal GDP'!I117="",NA(),IF(ISNUMBER('Real and nominal GDP'!I117),'Real and nominal GDP'!I117,NA())),NA())</f>
        <v>#N/A</v>
      </c>
      <c r="K130" s="19" t="e">
        <f aca="false">IFERROR(IF('Real and nominal GDP'!J117="",NA(),IF(ISNUMBER('Real and nominal GDP'!J117),'Real and nominal GDP'!J117,NA())),NA())</f>
        <v>#N/A</v>
      </c>
      <c r="L130" s="19" t="e">
        <f aca="false">IFERROR(IF('Real and nominal GDP'!K117="",NA(),IF(ISNUMBER('Real and nominal GDP'!K117),'Real and nominal GDP'!K117,NA())),NA())</f>
        <v>#N/A</v>
      </c>
      <c r="M130" s="20" t="e">
        <f aca="false">IFERROR(D130/D126-1,NA())</f>
        <v>#N/A</v>
      </c>
      <c r="N130" s="20" t="e">
        <f aca="false">IFERROR(D130/D129-1,NA())</f>
        <v>#N/A</v>
      </c>
      <c r="O130" s="20" t="e">
        <f aca="false">IFERROR(I130/I126-1,NA())</f>
        <v>#N/A</v>
      </c>
      <c r="P130" s="21" t="e">
        <f aca="false">IF(COUNT(D127:D130)=4,SUM(D127:D130),NA())</f>
        <v>#N/A</v>
      </c>
      <c r="Q130" s="21" t="e">
        <f aca="false">IF(COUNT(I127:I130)=4,SUM(I127:I130),NA())</f>
        <v>#N/A</v>
      </c>
      <c r="R130" s="21" t="e">
        <f aca="false">IFERROR(I130/K130,NA())</f>
        <v>#N/A</v>
      </c>
      <c r="S130" s="21" t="e">
        <f aca="false">IFERROR(I130/L130,NA())</f>
        <v>#N/A</v>
      </c>
    </row>
    <row r="131" customFormat="false" ht="15" hidden="false" customHeight="false" outlineLevel="0" collapsed="false">
      <c r="A131" s="16" t="e">
        <f aca="false">IFERROR(IF(ISNUMBER('Real and nominal GDP'!A118),'Real and nominal GDP'!A118,NA()),NA())</f>
        <v>#N/A</v>
      </c>
      <c r="B131" s="17" t="e">
        <f aca="false">IFERROR(IF('Real and nominal GDP'!B118="",NA(),'Real and nominal GDP'!B118),NA())</f>
        <v>#N/A</v>
      </c>
      <c r="C131" s="18" t="n">
        <f aca="false">IFERROR(YEAR(A131),0)</f>
        <v>0</v>
      </c>
      <c r="D131" s="19" t="e">
        <f aca="false">IFERROR(IF('Real and nominal GDP'!C118="",NA(),IF(ISNUMBER('Real and nominal GDP'!C118),'Real and nominal GDP'!C118,NA())),NA())</f>
        <v>#N/A</v>
      </c>
      <c r="E131" s="19" t="e">
        <f aca="false">IFERROR(IF('Real and nominal GDP'!D118="",NA(),IF(ISNUMBER('Real and nominal GDP'!D118),'Real and nominal GDP'!D118,NA())),NA())</f>
        <v>#N/A</v>
      </c>
      <c r="F131" s="19" t="e">
        <f aca="false">IFERROR(IF('Real and nominal GDP'!E118="",NA(),IF(ISNUMBER('Real and nominal GDP'!E118),'Real and nominal GDP'!E118,NA())),NA())</f>
        <v>#N/A</v>
      </c>
      <c r="G131" s="19" t="e">
        <f aca="false">IFERROR(IF('Real and nominal GDP'!F118="",NA(),IF(ISNUMBER('Real and nominal GDP'!F118),'Real and nominal GDP'!F118,NA())),NA())</f>
        <v>#N/A</v>
      </c>
      <c r="H131" s="19" t="e">
        <f aca="false">IFERROR(IF('Real and nominal GDP'!G118="",NA(),IF(ISNUMBER('Real and nominal GDP'!G118),'Real and nominal GDP'!G118,NA())),NA())</f>
        <v>#N/A</v>
      </c>
      <c r="I131" s="19" t="e">
        <f aca="false">IFERROR(IF('Real and nominal GDP'!H118="",NA(),IF(ISNUMBER('Real and nominal GDP'!H118),'Real and nominal GDP'!H118,NA())),NA())</f>
        <v>#N/A</v>
      </c>
      <c r="J131" s="19" t="e">
        <f aca="false">IFERROR(IF('Real and nominal GDP'!I118="",NA(),IF(ISNUMBER('Real and nominal GDP'!I118),'Real and nominal GDP'!I118,NA())),NA())</f>
        <v>#N/A</v>
      </c>
      <c r="K131" s="19" t="e">
        <f aca="false">IFERROR(IF('Real and nominal GDP'!J118="",NA(),IF(ISNUMBER('Real and nominal GDP'!J118),'Real and nominal GDP'!J118,NA())),NA())</f>
        <v>#N/A</v>
      </c>
      <c r="L131" s="19" t="e">
        <f aca="false">IFERROR(IF('Real and nominal GDP'!K118="",NA(),IF(ISNUMBER('Real and nominal GDP'!K118),'Real and nominal GDP'!K118,NA())),NA())</f>
        <v>#N/A</v>
      </c>
      <c r="M131" s="20" t="e">
        <f aca="false">IFERROR(D131/D127-1,NA())</f>
        <v>#N/A</v>
      </c>
      <c r="N131" s="20" t="e">
        <f aca="false">IFERROR(D131/D130-1,NA())</f>
        <v>#N/A</v>
      </c>
      <c r="O131" s="20" t="e">
        <f aca="false">IFERROR(I131/I127-1,NA())</f>
        <v>#N/A</v>
      </c>
      <c r="P131" s="21" t="e">
        <f aca="false">IF(COUNT(D128:D131)=4,SUM(D128:D131),NA())</f>
        <v>#N/A</v>
      </c>
      <c r="Q131" s="21" t="e">
        <f aca="false">IF(COUNT(I128:I131)=4,SUM(I128:I131),NA())</f>
        <v>#N/A</v>
      </c>
      <c r="R131" s="21" t="e">
        <f aca="false">IFERROR(I131/K131,NA())</f>
        <v>#N/A</v>
      </c>
      <c r="S131" s="21" t="e">
        <f aca="false">IFERROR(I131/L131,NA())</f>
        <v>#N/A</v>
      </c>
    </row>
    <row r="132" customFormat="false" ht="15" hidden="false" customHeight="false" outlineLevel="0" collapsed="false">
      <c r="A132" s="16" t="e">
        <f aca="false">IFERROR(IF(ISNUMBER('Real and nominal GDP'!A119),'Real and nominal GDP'!A119,NA()),NA())</f>
        <v>#N/A</v>
      </c>
      <c r="B132" s="17" t="e">
        <f aca="false">IFERROR(IF('Real and nominal GDP'!B119="",NA(),'Real and nominal GDP'!B119),NA())</f>
        <v>#N/A</v>
      </c>
      <c r="C132" s="18" t="n">
        <f aca="false">IFERROR(YEAR(A132),0)</f>
        <v>0</v>
      </c>
      <c r="D132" s="19" t="e">
        <f aca="false">IFERROR(IF('Real and nominal GDP'!C119="",NA(),IF(ISNUMBER('Real and nominal GDP'!C119),'Real and nominal GDP'!C119,NA())),NA())</f>
        <v>#N/A</v>
      </c>
      <c r="E132" s="19" t="e">
        <f aca="false">IFERROR(IF('Real and nominal GDP'!D119="",NA(),IF(ISNUMBER('Real and nominal GDP'!D119),'Real and nominal GDP'!D119,NA())),NA())</f>
        <v>#N/A</v>
      </c>
      <c r="F132" s="19" t="e">
        <f aca="false">IFERROR(IF('Real and nominal GDP'!E119="",NA(),IF(ISNUMBER('Real and nominal GDP'!E119),'Real and nominal GDP'!E119,NA())),NA())</f>
        <v>#N/A</v>
      </c>
      <c r="G132" s="19" t="e">
        <f aca="false">IFERROR(IF('Real and nominal GDP'!F119="",NA(),IF(ISNUMBER('Real and nominal GDP'!F119),'Real and nominal GDP'!F119,NA())),NA())</f>
        <v>#N/A</v>
      </c>
      <c r="H132" s="19" t="e">
        <f aca="false">IFERROR(IF('Real and nominal GDP'!G119="",NA(),IF(ISNUMBER('Real and nominal GDP'!G119),'Real and nominal GDP'!G119,NA())),NA())</f>
        <v>#N/A</v>
      </c>
      <c r="I132" s="19" t="e">
        <f aca="false">IFERROR(IF('Real and nominal GDP'!H119="",NA(),IF(ISNUMBER('Real and nominal GDP'!H119),'Real and nominal GDP'!H119,NA())),NA())</f>
        <v>#N/A</v>
      </c>
      <c r="J132" s="19" t="e">
        <f aca="false">IFERROR(IF('Real and nominal GDP'!I119="",NA(),IF(ISNUMBER('Real and nominal GDP'!I119),'Real and nominal GDP'!I119,NA())),NA())</f>
        <v>#N/A</v>
      </c>
      <c r="K132" s="19" t="e">
        <f aca="false">IFERROR(IF('Real and nominal GDP'!J119="",NA(),IF(ISNUMBER('Real and nominal GDP'!J119),'Real and nominal GDP'!J119,NA())),NA())</f>
        <v>#N/A</v>
      </c>
      <c r="L132" s="19" t="e">
        <f aca="false">IFERROR(IF('Real and nominal GDP'!K119="",NA(),IF(ISNUMBER('Real and nominal GDP'!K119),'Real and nominal GDP'!K119,NA())),NA())</f>
        <v>#N/A</v>
      </c>
      <c r="M132" s="20" t="e">
        <f aca="false">IFERROR(D132/D128-1,NA())</f>
        <v>#N/A</v>
      </c>
      <c r="N132" s="20" t="e">
        <f aca="false">IFERROR(D132/D131-1,NA())</f>
        <v>#N/A</v>
      </c>
      <c r="O132" s="20" t="e">
        <f aca="false">IFERROR(I132/I128-1,NA())</f>
        <v>#N/A</v>
      </c>
      <c r="P132" s="21" t="e">
        <f aca="false">IF(COUNT(D129:D132)=4,SUM(D129:D132),NA())</f>
        <v>#N/A</v>
      </c>
      <c r="Q132" s="21" t="e">
        <f aca="false">IF(COUNT(I129:I132)=4,SUM(I129:I132),NA())</f>
        <v>#N/A</v>
      </c>
      <c r="R132" s="21" t="e">
        <f aca="false">IFERROR(I132/K132,NA())</f>
        <v>#N/A</v>
      </c>
      <c r="S132" s="21" t="e">
        <f aca="false">IFERROR(I132/L132,NA())</f>
        <v>#N/A</v>
      </c>
    </row>
    <row r="133" customFormat="false" ht="15" hidden="false" customHeight="false" outlineLevel="0" collapsed="false">
      <c r="A133" s="16" t="e">
        <f aca="false">IFERROR(IF(ISNUMBER('Real and nominal GDP'!A120),'Real and nominal GDP'!A120,NA()),NA())</f>
        <v>#N/A</v>
      </c>
      <c r="B133" s="17" t="e">
        <f aca="false">IFERROR(IF('Real and nominal GDP'!B120="",NA(),'Real and nominal GDP'!B120),NA())</f>
        <v>#N/A</v>
      </c>
      <c r="C133" s="18" t="n">
        <f aca="false">IFERROR(YEAR(A133),0)</f>
        <v>0</v>
      </c>
      <c r="D133" s="19" t="e">
        <f aca="false">IFERROR(IF('Real and nominal GDP'!C120="",NA(),IF(ISNUMBER('Real and nominal GDP'!C120),'Real and nominal GDP'!C120,NA())),NA())</f>
        <v>#N/A</v>
      </c>
      <c r="E133" s="19" t="e">
        <f aca="false">IFERROR(IF('Real and nominal GDP'!D120="",NA(),IF(ISNUMBER('Real and nominal GDP'!D120),'Real and nominal GDP'!D120,NA())),NA())</f>
        <v>#N/A</v>
      </c>
      <c r="F133" s="19" t="e">
        <f aca="false">IFERROR(IF('Real and nominal GDP'!E120="",NA(),IF(ISNUMBER('Real and nominal GDP'!E120),'Real and nominal GDP'!E120,NA())),NA())</f>
        <v>#N/A</v>
      </c>
      <c r="G133" s="19" t="e">
        <f aca="false">IFERROR(IF('Real and nominal GDP'!F120="",NA(),IF(ISNUMBER('Real and nominal GDP'!F120),'Real and nominal GDP'!F120,NA())),NA())</f>
        <v>#N/A</v>
      </c>
      <c r="H133" s="19" t="e">
        <f aca="false">IFERROR(IF('Real and nominal GDP'!G120="",NA(),IF(ISNUMBER('Real and nominal GDP'!G120),'Real and nominal GDP'!G120,NA())),NA())</f>
        <v>#N/A</v>
      </c>
      <c r="I133" s="19" t="e">
        <f aca="false">IFERROR(IF('Real and nominal GDP'!H120="",NA(),IF(ISNUMBER('Real and nominal GDP'!H120),'Real and nominal GDP'!H120,NA())),NA())</f>
        <v>#N/A</v>
      </c>
      <c r="J133" s="19" t="e">
        <f aca="false">IFERROR(IF('Real and nominal GDP'!I120="",NA(),IF(ISNUMBER('Real and nominal GDP'!I120),'Real and nominal GDP'!I120,NA())),NA())</f>
        <v>#N/A</v>
      </c>
      <c r="K133" s="19" t="e">
        <f aca="false">IFERROR(IF('Real and nominal GDP'!J120="",NA(),IF(ISNUMBER('Real and nominal GDP'!J120),'Real and nominal GDP'!J120,NA())),NA())</f>
        <v>#N/A</v>
      </c>
      <c r="L133" s="19" t="e">
        <f aca="false">IFERROR(IF('Real and nominal GDP'!K120="",NA(),IF(ISNUMBER('Real and nominal GDP'!K120),'Real and nominal GDP'!K120,NA())),NA())</f>
        <v>#N/A</v>
      </c>
      <c r="M133" s="20" t="e">
        <f aca="false">IFERROR(D133/D129-1,NA())</f>
        <v>#N/A</v>
      </c>
      <c r="N133" s="20" t="e">
        <f aca="false">IFERROR(D133/D132-1,NA())</f>
        <v>#N/A</v>
      </c>
      <c r="O133" s="20" t="e">
        <f aca="false">IFERROR(I133/I129-1,NA())</f>
        <v>#N/A</v>
      </c>
      <c r="P133" s="21" t="e">
        <f aca="false">IF(COUNT(D130:D133)=4,SUM(D130:D133),NA())</f>
        <v>#N/A</v>
      </c>
      <c r="Q133" s="21" t="e">
        <f aca="false">IF(COUNT(I130:I133)=4,SUM(I130:I133),NA())</f>
        <v>#N/A</v>
      </c>
      <c r="R133" s="21" t="e">
        <f aca="false">IFERROR(I133/K133,NA())</f>
        <v>#N/A</v>
      </c>
      <c r="S133" s="21" t="e">
        <f aca="false">IFERROR(I133/L133,NA())</f>
        <v>#N/A</v>
      </c>
    </row>
    <row r="134" customFormat="false" ht="15" hidden="false" customHeight="false" outlineLevel="0" collapsed="false">
      <c r="A134" s="16" t="e">
        <f aca="false">IFERROR(IF(ISNUMBER('Real and nominal GDP'!A121),'Real and nominal GDP'!A121,NA()),NA())</f>
        <v>#N/A</v>
      </c>
      <c r="B134" s="17" t="e">
        <f aca="false">IFERROR(IF('Real and nominal GDP'!B121="",NA(),'Real and nominal GDP'!B121),NA())</f>
        <v>#N/A</v>
      </c>
      <c r="C134" s="18" t="n">
        <f aca="false">IFERROR(YEAR(A134),0)</f>
        <v>0</v>
      </c>
      <c r="D134" s="19" t="e">
        <f aca="false">IFERROR(IF('Real and nominal GDP'!C121="",NA(),IF(ISNUMBER('Real and nominal GDP'!C121),'Real and nominal GDP'!C121,NA())),NA())</f>
        <v>#N/A</v>
      </c>
      <c r="E134" s="19" t="e">
        <f aca="false">IFERROR(IF('Real and nominal GDP'!D121="",NA(),IF(ISNUMBER('Real and nominal GDP'!D121),'Real and nominal GDP'!D121,NA())),NA())</f>
        <v>#N/A</v>
      </c>
      <c r="F134" s="19" t="e">
        <f aca="false">IFERROR(IF('Real and nominal GDP'!E121="",NA(),IF(ISNUMBER('Real and nominal GDP'!E121),'Real and nominal GDP'!E121,NA())),NA())</f>
        <v>#N/A</v>
      </c>
      <c r="G134" s="19" t="e">
        <f aca="false">IFERROR(IF('Real and nominal GDP'!F121="",NA(),IF(ISNUMBER('Real and nominal GDP'!F121),'Real and nominal GDP'!F121,NA())),NA())</f>
        <v>#N/A</v>
      </c>
      <c r="H134" s="19" t="e">
        <f aca="false">IFERROR(IF('Real and nominal GDP'!G121="",NA(),IF(ISNUMBER('Real and nominal GDP'!G121),'Real and nominal GDP'!G121,NA())),NA())</f>
        <v>#N/A</v>
      </c>
      <c r="I134" s="19" t="e">
        <f aca="false">IFERROR(IF('Real and nominal GDP'!H121="",NA(),IF(ISNUMBER('Real and nominal GDP'!H121),'Real and nominal GDP'!H121,NA())),NA())</f>
        <v>#N/A</v>
      </c>
      <c r="J134" s="19" t="e">
        <f aca="false">IFERROR(IF('Real and nominal GDP'!I121="",NA(),IF(ISNUMBER('Real and nominal GDP'!I121),'Real and nominal GDP'!I121,NA())),NA())</f>
        <v>#N/A</v>
      </c>
      <c r="K134" s="19" t="e">
        <f aca="false">IFERROR(IF('Real and nominal GDP'!J121="",NA(),IF(ISNUMBER('Real and nominal GDP'!J121),'Real and nominal GDP'!J121,NA())),NA())</f>
        <v>#N/A</v>
      </c>
      <c r="L134" s="19" t="e">
        <f aca="false">IFERROR(IF('Real and nominal GDP'!K121="",NA(),IF(ISNUMBER('Real and nominal GDP'!K121),'Real and nominal GDP'!K121,NA())),NA())</f>
        <v>#N/A</v>
      </c>
      <c r="M134" s="20" t="e">
        <f aca="false">IFERROR(D134/D130-1,NA())</f>
        <v>#N/A</v>
      </c>
      <c r="N134" s="20" t="e">
        <f aca="false">IFERROR(D134/D133-1,NA())</f>
        <v>#N/A</v>
      </c>
      <c r="O134" s="20" t="e">
        <f aca="false">IFERROR(I134/I130-1,NA())</f>
        <v>#N/A</v>
      </c>
      <c r="P134" s="21" t="e">
        <f aca="false">IF(COUNT(D131:D134)=4,SUM(D131:D134),NA())</f>
        <v>#N/A</v>
      </c>
      <c r="Q134" s="21" t="e">
        <f aca="false">IF(COUNT(I131:I134)=4,SUM(I131:I134),NA())</f>
        <v>#N/A</v>
      </c>
      <c r="R134" s="21" t="e">
        <f aca="false">IFERROR(I134/K134,NA())</f>
        <v>#N/A</v>
      </c>
      <c r="S134" s="21" t="e">
        <f aca="false">IFERROR(I134/L134,NA())</f>
        <v>#N/A</v>
      </c>
    </row>
    <row r="135" customFormat="false" ht="15" hidden="false" customHeight="false" outlineLevel="0" collapsed="false">
      <c r="A135" s="16" t="e">
        <f aca="false">IFERROR(IF(ISNUMBER('Real and nominal GDP'!A122),'Real and nominal GDP'!A122,NA()),NA())</f>
        <v>#N/A</v>
      </c>
      <c r="B135" s="17" t="e">
        <f aca="false">IFERROR(IF('Real and nominal GDP'!B122="",NA(),'Real and nominal GDP'!B122),NA())</f>
        <v>#N/A</v>
      </c>
      <c r="C135" s="18" t="n">
        <f aca="false">IFERROR(YEAR(A135),0)</f>
        <v>0</v>
      </c>
      <c r="D135" s="19" t="e">
        <f aca="false">IFERROR(IF('Real and nominal GDP'!C122="",NA(),IF(ISNUMBER('Real and nominal GDP'!C122),'Real and nominal GDP'!C122,NA())),NA())</f>
        <v>#N/A</v>
      </c>
      <c r="E135" s="19" t="e">
        <f aca="false">IFERROR(IF('Real and nominal GDP'!D122="",NA(),IF(ISNUMBER('Real and nominal GDP'!D122),'Real and nominal GDP'!D122,NA())),NA())</f>
        <v>#N/A</v>
      </c>
      <c r="F135" s="19" t="e">
        <f aca="false">IFERROR(IF('Real and nominal GDP'!E122="",NA(),IF(ISNUMBER('Real and nominal GDP'!E122),'Real and nominal GDP'!E122,NA())),NA())</f>
        <v>#N/A</v>
      </c>
      <c r="G135" s="19" t="e">
        <f aca="false">IFERROR(IF('Real and nominal GDP'!F122="",NA(),IF(ISNUMBER('Real and nominal GDP'!F122),'Real and nominal GDP'!F122,NA())),NA())</f>
        <v>#N/A</v>
      </c>
      <c r="H135" s="19" t="e">
        <f aca="false">IFERROR(IF('Real and nominal GDP'!G122="",NA(),IF(ISNUMBER('Real and nominal GDP'!G122),'Real and nominal GDP'!G122,NA())),NA())</f>
        <v>#N/A</v>
      </c>
      <c r="I135" s="19" t="e">
        <f aca="false">IFERROR(IF('Real and nominal GDP'!H122="",NA(),IF(ISNUMBER('Real and nominal GDP'!H122),'Real and nominal GDP'!H122,NA())),NA())</f>
        <v>#N/A</v>
      </c>
      <c r="J135" s="19" t="e">
        <f aca="false">IFERROR(IF('Real and nominal GDP'!I122="",NA(),IF(ISNUMBER('Real and nominal GDP'!I122),'Real and nominal GDP'!I122,NA())),NA())</f>
        <v>#N/A</v>
      </c>
      <c r="K135" s="19" t="e">
        <f aca="false">IFERROR(IF('Real and nominal GDP'!J122="",NA(),IF(ISNUMBER('Real and nominal GDP'!J122),'Real and nominal GDP'!J122,NA())),NA())</f>
        <v>#N/A</v>
      </c>
      <c r="L135" s="19" t="e">
        <f aca="false">IFERROR(IF('Real and nominal GDP'!K122="",NA(),IF(ISNUMBER('Real and nominal GDP'!K122),'Real and nominal GDP'!K122,NA())),NA())</f>
        <v>#N/A</v>
      </c>
      <c r="M135" s="20" t="e">
        <f aca="false">IFERROR(D135/D131-1,NA())</f>
        <v>#N/A</v>
      </c>
      <c r="N135" s="20" t="e">
        <f aca="false">IFERROR(D135/D134-1,NA())</f>
        <v>#N/A</v>
      </c>
      <c r="O135" s="20" t="e">
        <f aca="false">IFERROR(I135/I131-1,NA())</f>
        <v>#N/A</v>
      </c>
      <c r="P135" s="21" t="e">
        <f aca="false">IF(COUNT(D132:D135)=4,SUM(D132:D135),NA())</f>
        <v>#N/A</v>
      </c>
      <c r="Q135" s="21" t="e">
        <f aca="false">IF(COUNT(I132:I135)=4,SUM(I132:I135),NA())</f>
        <v>#N/A</v>
      </c>
      <c r="R135" s="21" t="e">
        <f aca="false">IFERROR(I135/K135,NA())</f>
        <v>#N/A</v>
      </c>
      <c r="S135" s="21" t="e">
        <f aca="false">IFERROR(I135/L135,NA())</f>
        <v>#N/A</v>
      </c>
    </row>
    <row r="136" customFormat="false" ht="15" hidden="false" customHeight="false" outlineLevel="0" collapsed="false">
      <c r="A136" s="16" t="e">
        <f aca="false">IFERROR(IF(ISNUMBER('Real and nominal GDP'!A123),'Real and nominal GDP'!A123,NA()),NA())</f>
        <v>#N/A</v>
      </c>
      <c r="B136" s="17" t="e">
        <f aca="false">IFERROR(IF('Real and nominal GDP'!B123="",NA(),'Real and nominal GDP'!B123),NA())</f>
        <v>#N/A</v>
      </c>
      <c r="C136" s="18" t="n">
        <f aca="false">IFERROR(YEAR(A136),0)</f>
        <v>0</v>
      </c>
      <c r="D136" s="19" t="e">
        <f aca="false">IFERROR(IF('Real and nominal GDP'!C123="",NA(),IF(ISNUMBER('Real and nominal GDP'!C123),'Real and nominal GDP'!C123,NA())),NA())</f>
        <v>#N/A</v>
      </c>
      <c r="E136" s="19" t="e">
        <f aca="false">IFERROR(IF('Real and nominal GDP'!D123="",NA(),IF(ISNUMBER('Real and nominal GDP'!D123),'Real and nominal GDP'!D123,NA())),NA())</f>
        <v>#N/A</v>
      </c>
      <c r="F136" s="19" t="e">
        <f aca="false">IFERROR(IF('Real and nominal GDP'!E123="",NA(),IF(ISNUMBER('Real and nominal GDP'!E123),'Real and nominal GDP'!E123,NA())),NA())</f>
        <v>#N/A</v>
      </c>
      <c r="G136" s="19" t="e">
        <f aca="false">IFERROR(IF('Real and nominal GDP'!F123="",NA(),IF(ISNUMBER('Real and nominal GDP'!F123),'Real and nominal GDP'!F123,NA())),NA())</f>
        <v>#N/A</v>
      </c>
      <c r="H136" s="19" t="e">
        <f aca="false">IFERROR(IF('Real and nominal GDP'!G123="",NA(),IF(ISNUMBER('Real and nominal GDP'!G123),'Real and nominal GDP'!G123,NA())),NA())</f>
        <v>#N/A</v>
      </c>
      <c r="I136" s="19" t="e">
        <f aca="false">IFERROR(IF('Real and nominal GDP'!H123="",NA(),IF(ISNUMBER('Real and nominal GDP'!H123),'Real and nominal GDP'!H123,NA())),NA())</f>
        <v>#N/A</v>
      </c>
      <c r="J136" s="19" t="e">
        <f aca="false">IFERROR(IF('Real and nominal GDP'!I123="",NA(),IF(ISNUMBER('Real and nominal GDP'!I123),'Real and nominal GDP'!I123,NA())),NA())</f>
        <v>#N/A</v>
      </c>
      <c r="K136" s="19" t="e">
        <f aca="false">IFERROR(IF('Real and nominal GDP'!J123="",NA(),IF(ISNUMBER('Real and nominal GDP'!J123),'Real and nominal GDP'!J123,NA())),NA())</f>
        <v>#N/A</v>
      </c>
      <c r="L136" s="19" t="e">
        <f aca="false">IFERROR(IF('Real and nominal GDP'!K123="",NA(),IF(ISNUMBER('Real and nominal GDP'!K123),'Real and nominal GDP'!K123,NA())),NA())</f>
        <v>#N/A</v>
      </c>
      <c r="M136" s="20" t="e">
        <f aca="false">IFERROR(D136/D132-1,NA())</f>
        <v>#N/A</v>
      </c>
      <c r="N136" s="20" t="e">
        <f aca="false">IFERROR(D136/D135-1,NA())</f>
        <v>#N/A</v>
      </c>
      <c r="O136" s="20" t="e">
        <f aca="false">IFERROR(I136/I132-1,NA())</f>
        <v>#N/A</v>
      </c>
      <c r="P136" s="21" t="e">
        <f aca="false">IF(COUNT(D133:D136)=4,SUM(D133:D136),NA())</f>
        <v>#N/A</v>
      </c>
      <c r="Q136" s="21" t="e">
        <f aca="false">IF(COUNT(I133:I136)=4,SUM(I133:I136),NA())</f>
        <v>#N/A</v>
      </c>
      <c r="R136" s="21" t="e">
        <f aca="false">IFERROR(I136/K136,NA())</f>
        <v>#N/A</v>
      </c>
      <c r="S136" s="21" t="e">
        <f aca="false">IFERROR(I136/L136,NA())</f>
        <v>#N/A</v>
      </c>
    </row>
    <row r="137" customFormat="false" ht="15" hidden="false" customHeight="false" outlineLevel="0" collapsed="false">
      <c r="A137" s="16" t="e">
        <f aca="false">IFERROR(IF(ISNUMBER('Real and nominal GDP'!A124),'Real and nominal GDP'!A124,NA()),NA())</f>
        <v>#N/A</v>
      </c>
      <c r="B137" s="17" t="e">
        <f aca="false">IFERROR(IF('Real and nominal GDP'!B124="",NA(),'Real and nominal GDP'!B124),NA())</f>
        <v>#N/A</v>
      </c>
      <c r="C137" s="18" t="n">
        <f aca="false">IFERROR(YEAR(A137),0)</f>
        <v>0</v>
      </c>
      <c r="D137" s="19" t="e">
        <f aca="false">IFERROR(IF('Real and nominal GDP'!C124="",NA(),IF(ISNUMBER('Real and nominal GDP'!C124),'Real and nominal GDP'!C124,NA())),NA())</f>
        <v>#N/A</v>
      </c>
      <c r="E137" s="19" t="e">
        <f aca="false">IFERROR(IF('Real and nominal GDP'!D124="",NA(),IF(ISNUMBER('Real and nominal GDP'!D124),'Real and nominal GDP'!D124,NA())),NA())</f>
        <v>#N/A</v>
      </c>
      <c r="F137" s="19" t="e">
        <f aca="false">IFERROR(IF('Real and nominal GDP'!E124="",NA(),IF(ISNUMBER('Real and nominal GDP'!E124),'Real and nominal GDP'!E124,NA())),NA())</f>
        <v>#N/A</v>
      </c>
      <c r="G137" s="19" t="e">
        <f aca="false">IFERROR(IF('Real and nominal GDP'!F124="",NA(),IF(ISNUMBER('Real and nominal GDP'!F124),'Real and nominal GDP'!F124,NA())),NA())</f>
        <v>#N/A</v>
      </c>
      <c r="H137" s="19" t="e">
        <f aca="false">IFERROR(IF('Real and nominal GDP'!G124="",NA(),IF(ISNUMBER('Real and nominal GDP'!G124),'Real and nominal GDP'!G124,NA())),NA())</f>
        <v>#N/A</v>
      </c>
      <c r="I137" s="19" t="e">
        <f aca="false">IFERROR(IF('Real and nominal GDP'!H124="",NA(),IF(ISNUMBER('Real and nominal GDP'!H124),'Real and nominal GDP'!H124,NA())),NA())</f>
        <v>#N/A</v>
      </c>
      <c r="J137" s="19" t="e">
        <f aca="false">IFERROR(IF('Real and nominal GDP'!I124="",NA(),IF(ISNUMBER('Real and nominal GDP'!I124),'Real and nominal GDP'!I124,NA())),NA())</f>
        <v>#N/A</v>
      </c>
      <c r="K137" s="19" t="e">
        <f aca="false">IFERROR(IF('Real and nominal GDP'!J124="",NA(),IF(ISNUMBER('Real and nominal GDP'!J124),'Real and nominal GDP'!J124,NA())),NA())</f>
        <v>#N/A</v>
      </c>
      <c r="L137" s="19" t="e">
        <f aca="false">IFERROR(IF('Real and nominal GDP'!K124="",NA(),IF(ISNUMBER('Real and nominal GDP'!K124),'Real and nominal GDP'!K124,NA())),NA())</f>
        <v>#N/A</v>
      </c>
      <c r="M137" s="20" t="e">
        <f aca="false">IFERROR(D137/D133-1,NA())</f>
        <v>#N/A</v>
      </c>
      <c r="N137" s="20" t="e">
        <f aca="false">IFERROR(D137/D136-1,NA())</f>
        <v>#N/A</v>
      </c>
      <c r="O137" s="20" t="e">
        <f aca="false">IFERROR(I137/I133-1,NA())</f>
        <v>#N/A</v>
      </c>
      <c r="P137" s="21" t="e">
        <f aca="false">IF(COUNT(D134:D137)=4,SUM(D134:D137),NA())</f>
        <v>#N/A</v>
      </c>
      <c r="Q137" s="21" t="e">
        <f aca="false">IF(COUNT(I134:I137)=4,SUM(I134:I137),NA())</f>
        <v>#N/A</v>
      </c>
      <c r="R137" s="21" t="e">
        <f aca="false">IFERROR(I137/K137,NA())</f>
        <v>#N/A</v>
      </c>
      <c r="S137" s="21" t="e">
        <f aca="false">IFERROR(I137/L137,NA())</f>
        <v>#N/A</v>
      </c>
    </row>
    <row r="138" customFormat="false" ht="15" hidden="false" customHeight="false" outlineLevel="0" collapsed="false">
      <c r="A138" s="16" t="e">
        <f aca="false">IFERROR(IF(ISNUMBER('Real and nominal GDP'!A125),'Real and nominal GDP'!A125,NA()),NA())</f>
        <v>#N/A</v>
      </c>
      <c r="B138" s="17" t="e">
        <f aca="false">IFERROR(IF('Real and nominal GDP'!B125="",NA(),'Real and nominal GDP'!B125),NA())</f>
        <v>#N/A</v>
      </c>
      <c r="C138" s="18" t="n">
        <f aca="false">IFERROR(YEAR(A138),0)</f>
        <v>0</v>
      </c>
      <c r="D138" s="19" t="e">
        <f aca="false">IFERROR(IF('Real and nominal GDP'!C125="",NA(),IF(ISNUMBER('Real and nominal GDP'!C125),'Real and nominal GDP'!C125,NA())),NA())</f>
        <v>#N/A</v>
      </c>
      <c r="E138" s="19" t="e">
        <f aca="false">IFERROR(IF('Real and nominal GDP'!D125="",NA(),IF(ISNUMBER('Real and nominal GDP'!D125),'Real and nominal GDP'!D125,NA())),NA())</f>
        <v>#N/A</v>
      </c>
      <c r="F138" s="19" t="e">
        <f aca="false">IFERROR(IF('Real and nominal GDP'!E125="",NA(),IF(ISNUMBER('Real and nominal GDP'!E125),'Real and nominal GDP'!E125,NA())),NA())</f>
        <v>#N/A</v>
      </c>
      <c r="G138" s="19" t="e">
        <f aca="false">IFERROR(IF('Real and nominal GDP'!F125="",NA(),IF(ISNUMBER('Real and nominal GDP'!F125),'Real and nominal GDP'!F125,NA())),NA())</f>
        <v>#N/A</v>
      </c>
      <c r="H138" s="19" t="e">
        <f aca="false">IFERROR(IF('Real and nominal GDP'!G125="",NA(),IF(ISNUMBER('Real and nominal GDP'!G125),'Real and nominal GDP'!G125,NA())),NA())</f>
        <v>#N/A</v>
      </c>
      <c r="I138" s="19" t="e">
        <f aca="false">IFERROR(IF('Real and nominal GDP'!H125="",NA(),IF(ISNUMBER('Real and nominal GDP'!H125),'Real and nominal GDP'!H125,NA())),NA())</f>
        <v>#N/A</v>
      </c>
      <c r="J138" s="19" t="e">
        <f aca="false">IFERROR(IF('Real and nominal GDP'!I125="",NA(),IF(ISNUMBER('Real and nominal GDP'!I125),'Real and nominal GDP'!I125,NA())),NA())</f>
        <v>#N/A</v>
      </c>
      <c r="K138" s="19" t="e">
        <f aca="false">IFERROR(IF('Real and nominal GDP'!J125="",NA(),IF(ISNUMBER('Real and nominal GDP'!J125),'Real and nominal GDP'!J125,NA())),NA())</f>
        <v>#N/A</v>
      </c>
      <c r="L138" s="19" t="e">
        <f aca="false">IFERROR(IF('Real and nominal GDP'!K125="",NA(),IF(ISNUMBER('Real and nominal GDP'!K125),'Real and nominal GDP'!K125,NA())),NA())</f>
        <v>#N/A</v>
      </c>
      <c r="M138" s="20" t="e">
        <f aca="false">IFERROR(D138/D134-1,NA())</f>
        <v>#N/A</v>
      </c>
      <c r="N138" s="20" t="e">
        <f aca="false">IFERROR(D138/D137-1,NA())</f>
        <v>#N/A</v>
      </c>
      <c r="O138" s="20" t="e">
        <f aca="false">IFERROR(I138/I134-1,NA())</f>
        <v>#N/A</v>
      </c>
      <c r="P138" s="21" t="e">
        <f aca="false">IF(COUNT(D135:D138)=4,SUM(D135:D138),NA())</f>
        <v>#N/A</v>
      </c>
      <c r="Q138" s="21" t="e">
        <f aca="false">IF(COUNT(I135:I138)=4,SUM(I135:I138),NA())</f>
        <v>#N/A</v>
      </c>
      <c r="R138" s="21" t="e">
        <f aca="false">IFERROR(I138/K138,NA())</f>
        <v>#N/A</v>
      </c>
      <c r="S138" s="21" t="e">
        <f aca="false">IFERROR(I138/L138,NA())</f>
        <v>#N/A</v>
      </c>
    </row>
    <row r="139" customFormat="false" ht="15" hidden="false" customHeight="false" outlineLevel="0" collapsed="false">
      <c r="A139" s="16" t="e">
        <f aca="false">IFERROR(IF(ISNUMBER('Real and nominal GDP'!A126),'Real and nominal GDP'!A126,NA()),NA())</f>
        <v>#N/A</v>
      </c>
      <c r="B139" s="17" t="e">
        <f aca="false">IFERROR(IF('Real and nominal GDP'!B126="",NA(),'Real and nominal GDP'!B126),NA())</f>
        <v>#N/A</v>
      </c>
      <c r="C139" s="18" t="n">
        <f aca="false">IFERROR(YEAR(A139),0)</f>
        <v>0</v>
      </c>
      <c r="D139" s="19" t="e">
        <f aca="false">IFERROR(IF('Real and nominal GDP'!C126="",NA(),IF(ISNUMBER('Real and nominal GDP'!C126),'Real and nominal GDP'!C126,NA())),NA())</f>
        <v>#N/A</v>
      </c>
      <c r="E139" s="19" t="e">
        <f aca="false">IFERROR(IF('Real and nominal GDP'!D126="",NA(),IF(ISNUMBER('Real and nominal GDP'!D126),'Real and nominal GDP'!D126,NA())),NA())</f>
        <v>#N/A</v>
      </c>
      <c r="F139" s="19" t="e">
        <f aca="false">IFERROR(IF('Real and nominal GDP'!E126="",NA(),IF(ISNUMBER('Real and nominal GDP'!E126),'Real and nominal GDP'!E126,NA())),NA())</f>
        <v>#N/A</v>
      </c>
      <c r="G139" s="19" t="e">
        <f aca="false">IFERROR(IF('Real and nominal GDP'!F126="",NA(),IF(ISNUMBER('Real and nominal GDP'!F126),'Real and nominal GDP'!F126,NA())),NA())</f>
        <v>#N/A</v>
      </c>
      <c r="H139" s="19" t="e">
        <f aca="false">IFERROR(IF('Real and nominal GDP'!G126="",NA(),IF(ISNUMBER('Real and nominal GDP'!G126),'Real and nominal GDP'!G126,NA())),NA())</f>
        <v>#N/A</v>
      </c>
      <c r="I139" s="19" t="e">
        <f aca="false">IFERROR(IF('Real and nominal GDP'!H126="",NA(),IF(ISNUMBER('Real and nominal GDP'!H126),'Real and nominal GDP'!H126,NA())),NA())</f>
        <v>#N/A</v>
      </c>
      <c r="J139" s="19" t="e">
        <f aca="false">IFERROR(IF('Real and nominal GDP'!I126="",NA(),IF(ISNUMBER('Real and nominal GDP'!I126),'Real and nominal GDP'!I126,NA())),NA())</f>
        <v>#N/A</v>
      </c>
      <c r="K139" s="19" t="e">
        <f aca="false">IFERROR(IF('Real and nominal GDP'!J126="",NA(),IF(ISNUMBER('Real and nominal GDP'!J126),'Real and nominal GDP'!J126,NA())),NA())</f>
        <v>#N/A</v>
      </c>
      <c r="L139" s="19" t="e">
        <f aca="false">IFERROR(IF('Real and nominal GDP'!K126="",NA(),IF(ISNUMBER('Real and nominal GDP'!K126),'Real and nominal GDP'!K126,NA())),NA())</f>
        <v>#N/A</v>
      </c>
      <c r="M139" s="20" t="e">
        <f aca="false">IFERROR(D139/D135-1,NA())</f>
        <v>#N/A</v>
      </c>
      <c r="N139" s="20" t="e">
        <f aca="false">IFERROR(D139/D138-1,NA())</f>
        <v>#N/A</v>
      </c>
      <c r="O139" s="20" t="e">
        <f aca="false">IFERROR(I139/I135-1,NA())</f>
        <v>#N/A</v>
      </c>
      <c r="P139" s="21" t="e">
        <f aca="false">IF(COUNT(D136:D139)=4,SUM(D136:D139),NA())</f>
        <v>#N/A</v>
      </c>
      <c r="Q139" s="21" t="e">
        <f aca="false">IF(COUNT(I136:I139)=4,SUM(I136:I139),NA())</f>
        <v>#N/A</v>
      </c>
      <c r="R139" s="21" t="e">
        <f aca="false">IFERROR(I139/K139,NA())</f>
        <v>#N/A</v>
      </c>
      <c r="S139" s="21" t="e">
        <f aca="false">IFERROR(I139/L139,NA())</f>
        <v>#N/A</v>
      </c>
    </row>
    <row r="140" customFormat="false" ht="15" hidden="false" customHeight="false" outlineLevel="0" collapsed="false">
      <c r="A140" s="16" t="e">
        <f aca="false">IFERROR(IF(ISNUMBER('Real and nominal GDP'!A127),'Real and nominal GDP'!A127,NA()),NA())</f>
        <v>#N/A</v>
      </c>
      <c r="B140" s="17" t="e">
        <f aca="false">IFERROR(IF('Real and nominal GDP'!B127="",NA(),'Real and nominal GDP'!B127),NA())</f>
        <v>#N/A</v>
      </c>
      <c r="C140" s="18" t="n">
        <f aca="false">IFERROR(YEAR(A140),0)</f>
        <v>0</v>
      </c>
      <c r="D140" s="19" t="e">
        <f aca="false">IFERROR(IF('Real and nominal GDP'!C127="",NA(),IF(ISNUMBER('Real and nominal GDP'!C127),'Real and nominal GDP'!C127,NA())),NA())</f>
        <v>#N/A</v>
      </c>
      <c r="E140" s="19" t="e">
        <f aca="false">IFERROR(IF('Real and nominal GDP'!D127="",NA(),IF(ISNUMBER('Real and nominal GDP'!D127),'Real and nominal GDP'!D127,NA())),NA())</f>
        <v>#N/A</v>
      </c>
      <c r="F140" s="19" t="e">
        <f aca="false">IFERROR(IF('Real and nominal GDP'!E127="",NA(),IF(ISNUMBER('Real and nominal GDP'!E127),'Real and nominal GDP'!E127,NA())),NA())</f>
        <v>#N/A</v>
      </c>
      <c r="G140" s="19" t="e">
        <f aca="false">IFERROR(IF('Real and nominal GDP'!F127="",NA(),IF(ISNUMBER('Real and nominal GDP'!F127),'Real and nominal GDP'!F127,NA())),NA())</f>
        <v>#N/A</v>
      </c>
      <c r="H140" s="19" t="e">
        <f aca="false">IFERROR(IF('Real and nominal GDP'!G127="",NA(),IF(ISNUMBER('Real and nominal GDP'!G127),'Real and nominal GDP'!G127,NA())),NA())</f>
        <v>#N/A</v>
      </c>
      <c r="I140" s="19" t="e">
        <f aca="false">IFERROR(IF('Real and nominal GDP'!H127="",NA(),IF(ISNUMBER('Real and nominal GDP'!H127),'Real and nominal GDP'!H127,NA())),NA())</f>
        <v>#N/A</v>
      </c>
      <c r="J140" s="19" t="e">
        <f aca="false">IFERROR(IF('Real and nominal GDP'!I127="",NA(),IF(ISNUMBER('Real and nominal GDP'!I127),'Real and nominal GDP'!I127,NA())),NA())</f>
        <v>#N/A</v>
      </c>
      <c r="K140" s="19" t="e">
        <f aca="false">IFERROR(IF('Real and nominal GDP'!J127="",NA(),IF(ISNUMBER('Real and nominal GDP'!J127),'Real and nominal GDP'!J127,NA())),NA())</f>
        <v>#N/A</v>
      </c>
      <c r="L140" s="19" t="e">
        <f aca="false">IFERROR(IF('Real and nominal GDP'!K127="",NA(),IF(ISNUMBER('Real and nominal GDP'!K127),'Real and nominal GDP'!K127,NA())),NA())</f>
        <v>#N/A</v>
      </c>
      <c r="M140" s="20" t="e">
        <f aca="false">IFERROR(D140/D136-1,NA())</f>
        <v>#N/A</v>
      </c>
      <c r="N140" s="20" t="e">
        <f aca="false">IFERROR(D140/D139-1,NA())</f>
        <v>#N/A</v>
      </c>
      <c r="O140" s="20" t="e">
        <f aca="false">IFERROR(I140/I136-1,NA())</f>
        <v>#N/A</v>
      </c>
      <c r="P140" s="21" t="e">
        <f aca="false">IF(COUNT(D137:D140)=4,SUM(D137:D140),NA())</f>
        <v>#N/A</v>
      </c>
      <c r="Q140" s="21" t="e">
        <f aca="false">IF(COUNT(I137:I140)=4,SUM(I137:I140),NA())</f>
        <v>#N/A</v>
      </c>
      <c r="R140" s="21" t="e">
        <f aca="false">IFERROR(I140/K140,NA())</f>
        <v>#N/A</v>
      </c>
      <c r="S140" s="21" t="e">
        <f aca="false">IFERROR(I140/L140,NA())</f>
        <v>#N/A</v>
      </c>
    </row>
    <row r="141" customFormat="false" ht="15" hidden="false" customHeight="false" outlineLevel="0" collapsed="false">
      <c r="A141" s="16" t="e">
        <f aca="false">IFERROR(IF(ISNUMBER('Real and nominal GDP'!A128),'Real and nominal GDP'!A128,NA()),NA())</f>
        <v>#N/A</v>
      </c>
      <c r="B141" s="17" t="e">
        <f aca="false">IFERROR(IF('Real and nominal GDP'!B128="",NA(),'Real and nominal GDP'!B128),NA())</f>
        <v>#N/A</v>
      </c>
      <c r="C141" s="18" t="n">
        <f aca="false">IFERROR(YEAR(A141),0)</f>
        <v>0</v>
      </c>
      <c r="D141" s="19" t="e">
        <f aca="false">IFERROR(IF('Real and nominal GDP'!C128="",NA(),IF(ISNUMBER('Real and nominal GDP'!C128),'Real and nominal GDP'!C128,NA())),NA())</f>
        <v>#N/A</v>
      </c>
      <c r="E141" s="19" t="e">
        <f aca="false">IFERROR(IF('Real and nominal GDP'!D128="",NA(),IF(ISNUMBER('Real and nominal GDP'!D128),'Real and nominal GDP'!D128,NA())),NA())</f>
        <v>#N/A</v>
      </c>
      <c r="F141" s="19" t="e">
        <f aca="false">IFERROR(IF('Real and nominal GDP'!E128="",NA(),IF(ISNUMBER('Real and nominal GDP'!E128),'Real and nominal GDP'!E128,NA())),NA())</f>
        <v>#N/A</v>
      </c>
      <c r="G141" s="19" t="e">
        <f aca="false">IFERROR(IF('Real and nominal GDP'!F128="",NA(),IF(ISNUMBER('Real and nominal GDP'!F128),'Real and nominal GDP'!F128,NA())),NA())</f>
        <v>#N/A</v>
      </c>
      <c r="H141" s="19" t="e">
        <f aca="false">IFERROR(IF('Real and nominal GDP'!G128="",NA(),IF(ISNUMBER('Real and nominal GDP'!G128),'Real and nominal GDP'!G128,NA())),NA())</f>
        <v>#N/A</v>
      </c>
      <c r="I141" s="19" t="e">
        <f aca="false">IFERROR(IF('Real and nominal GDP'!H128="",NA(),IF(ISNUMBER('Real and nominal GDP'!H128),'Real and nominal GDP'!H128,NA())),NA())</f>
        <v>#N/A</v>
      </c>
      <c r="J141" s="19" t="e">
        <f aca="false">IFERROR(IF('Real and nominal GDP'!I128="",NA(),IF(ISNUMBER('Real and nominal GDP'!I128),'Real and nominal GDP'!I128,NA())),NA())</f>
        <v>#N/A</v>
      </c>
      <c r="K141" s="19" t="e">
        <f aca="false">IFERROR(IF('Real and nominal GDP'!J128="",NA(),IF(ISNUMBER('Real and nominal GDP'!J128),'Real and nominal GDP'!J128,NA())),NA())</f>
        <v>#N/A</v>
      </c>
      <c r="L141" s="19" t="e">
        <f aca="false">IFERROR(IF('Real and nominal GDP'!K128="",NA(),IF(ISNUMBER('Real and nominal GDP'!K128),'Real and nominal GDP'!K128,NA())),NA())</f>
        <v>#N/A</v>
      </c>
      <c r="M141" s="20" t="e">
        <f aca="false">IFERROR(D141/D137-1,NA())</f>
        <v>#N/A</v>
      </c>
      <c r="N141" s="20" t="e">
        <f aca="false">IFERROR(D141/D140-1,NA())</f>
        <v>#N/A</v>
      </c>
      <c r="O141" s="20" t="e">
        <f aca="false">IFERROR(I141/I137-1,NA())</f>
        <v>#N/A</v>
      </c>
      <c r="P141" s="21" t="e">
        <f aca="false">IF(COUNT(D138:D141)=4,SUM(D138:D141),NA())</f>
        <v>#N/A</v>
      </c>
      <c r="Q141" s="21" t="e">
        <f aca="false">IF(COUNT(I138:I141)=4,SUM(I138:I141),NA())</f>
        <v>#N/A</v>
      </c>
      <c r="R141" s="21" t="e">
        <f aca="false">IFERROR(I141/K141,NA())</f>
        <v>#N/A</v>
      </c>
      <c r="S141" s="21" t="e">
        <f aca="false">IFERROR(I141/L141,NA())</f>
        <v>#N/A</v>
      </c>
    </row>
    <row r="142" customFormat="false" ht="15" hidden="false" customHeight="false" outlineLevel="0" collapsed="false">
      <c r="A142" s="16" t="e">
        <f aca="false">IFERROR(IF(ISNUMBER('Real and nominal GDP'!A129),'Real and nominal GDP'!A129,NA()),NA())</f>
        <v>#N/A</v>
      </c>
      <c r="B142" s="17" t="e">
        <f aca="false">IFERROR(IF('Real and nominal GDP'!B129="",NA(),'Real and nominal GDP'!B129),NA())</f>
        <v>#N/A</v>
      </c>
      <c r="C142" s="18" t="n">
        <f aca="false">IFERROR(YEAR(A142),0)</f>
        <v>0</v>
      </c>
      <c r="D142" s="19" t="e">
        <f aca="false">IFERROR(IF('Real and nominal GDP'!C129="",NA(),IF(ISNUMBER('Real and nominal GDP'!C129),'Real and nominal GDP'!C129,NA())),NA())</f>
        <v>#N/A</v>
      </c>
      <c r="E142" s="19" t="e">
        <f aca="false">IFERROR(IF('Real and nominal GDP'!D129="",NA(),IF(ISNUMBER('Real and nominal GDP'!D129),'Real and nominal GDP'!D129,NA())),NA())</f>
        <v>#N/A</v>
      </c>
      <c r="F142" s="19" t="e">
        <f aca="false">IFERROR(IF('Real and nominal GDP'!E129="",NA(),IF(ISNUMBER('Real and nominal GDP'!E129),'Real and nominal GDP'!E129,NA())),NA())</f>
        <v>#N/A</v>
      </c>
      <c r="G142" s="19" t="e">
        <f aca="false">IFERROR(IF('Real and nominal GDP'!F129="",NA(),IF(ISNUMBER('Real and nominal GDP'!F129),'Real and nominal GDP'!F129,NA())),NA())</f>
        <v>#N/A</v>
      </c>
      <c r="H142" s="19" t="e">
        <f aca="false">IFERROR(IF('Real and nominal GDP'!G129="",NA(),IF(ISNUMBER('Real and nominal GDP'!G129),'Real and nominal GDP'!G129,NA())),NA())</f>
        <v>#N/A</v>
      </c>
      <c r="I142" s="19" t="e">
        <f aca="false">IFERROR(IF('Real and nominal GDP'!H129="",NA(),IF(ISNUMBER('Real and nominal GDP'!H129),'Real and nominal GDP'!H129,NA())),NA())</f>
        <v>#N/A</v>
      </c>
      <c r="J142" s="19" t="e">
        <f aca="false">IFERROR(IF('Real and nominal GDP'!I129="",NA(),IF(ISNUMBER('Real and nominal GDP'!I129),'Real and nominal GDP'!I129,NA())),NA())</f>
        <v>#N/A</v>
      </c>
      <c r="K142" s="19" t="e">
        <f aca="false">IFERROR(IF('Real and nominal GDP'!J129="",NA(),IF(ISNUMBER('Real and nominal GDP'!J129),'Real and nominal GDP'!J129,NA())),NA())</f>
        <v>#N/A</v>
      </c>
      <c r="L142" s="19" t="e">
        <f aca="false">IFERROR(IF('Real and nominal GDP'!K129="",NA(),IF(ISNUMBER('Real and nominal GDP'!K129),'Real and nominal GDP'!K129,NA())),NA())</f>
        <v>#N/A</v>
      </c>
      <c r="M142" s="20" t="e">
        <f aca="false">IFERROR(D142/D138-1,NA())</f>
        <v>#N/A</v>
      </c>
      <c r="N142" s="20" t="e">
        <f aca="false">IFERROR(D142/D141-1,NA())</f>
        <v>#N/A</v>
      </c>
      <c r="O142" s="20" t="e">
        <f aca="false">IFERROR(I142/I138-1,NA())</f>
        <v>#N/A</v>
      </c>
      <c r="P142" s="21" t="e">
        <f aca="false">IF(COUNT(D139:D142)=4,SUM(D139:D142),NA())</f>
        <v>#N/A</v>
      </c>
      <c r="Q142" s="21" t="e">
        <f aca="false">IF(COUNT(I139:I142)=4,SUM(I139:I142),NA())</f>
        <v>#N/A</v>
      </c>
      <c r="R142" s="21" t="e">
        <f aca="false">IFERROR(I142/K142,NA())</f>
        <v>#N/A</v>
      </c>
      <c r="S142" s="21" t="e">
        <f aca="false">IFERROR(I142/L142,NA())</f>
        <v>#N/A</v>
      </c>
    </row>
    <row r="143" customFormat="false" ht="15" hidden="false" customHeight="false" outlineLevel="0" collapsed="false">
      <c r="A143" s="16" t="e">
        <f aca="false">IFERROR(IF(ISNUMBER('Real and nominal GDP'!A130),'Real and nominal GDP'!A130,NA()),NA())</f>
        <v>#N/A</v>
      </c>
      <c r="B143" s="17" t="e">
        <f aca="false">IFERROR(IF('Real and nominal GDP'!B130="",NA(),'Real and nominal GDP'!B130),NA())</f>
        <v>#N/A</v>
      </c>
      <c r="C143" s="18" t="n">
        <f aca="false">IFERROR(YEAR(A143),0)</f>
        <v>0</v>
      </c>
      <c r="D143" s="19" t="e">
        <f aca="false">IFERROR(IF('Real and nominal GDP'!C130="",NA(),IF(ISNUMBER('Real and nominal GDP'!C130),'Real and nominal GDP'!C130,NA())),NA())</f>
        <v>#N/A</v>
      </c>
      <c r="E143" s="19" t="e">
        <f aca="false">IFERROR(IF('Real and nominal GDP'!D130="",NA(),IF(ISNUMBER('Real and nominal GDP'!D130),'Real and nominal GDP'!D130,NA())),NA())</f>
        <v>#N/A</v>
      </c>
      <c r="F143" s="19" t="e">
        <f aca="false">IFERROR(IF('Real and nominal GDP'!E130="",NA(),IF(ISNUMBER('Real and nominal GDP'!E130),'Real and nominal GDP'!E130,NA())),NA())</f>
        <v>#N/A</v>
      </c>
      <c r="G143" s="19" t="e">
        <f aca="false">IFERROR(IF('Real and nominal GDP'!F130="",NA(),IF(ISNUMBER('Real and nominal GDP'!F130),'Real and nominal GDP'!F130,NA())),NA())</f>
        <v>#N/A</v>
      </c>
      <c r="H143" s="19" t="e">
        <f aca="false">IFERROR(IF('Real and nominal GDP'!G130="",NA(),IF(ISNUMBER('Real and nominal GDP'!G130),'Real and nominal GDP'!G130,NA())),NA())</f>
        <v>#N/A</v>
      </c>
      <c r="I143" s="19" t="e">
        <f aca="false">IFERROR(IF('Real and nominal GDP'!H130="",NA(),IF(ISNUMBER('Real and nominal GDP'!H130),'Real and nominal GDP'!H130,NA())),NA())</f>
        <v>#N/A</v>
      </c>
      <c r="J143" s="19" t="e">
        <f aca="false">IFERROR(IF('Real and nominal GDP'!I130="",NA(),IF(ISNUMBER('Real and nominal GDP'!I130),'Real and nominal GDP'!I130,NA())),NA())</f>
        <v>#N/A</v>
      </c>
      <c r="K143" s="19" t="e">
        <f aca="false">IFERROR(IF('Real and nominal GDP'!J130="",NA(),IF(ISNUMBER('Real and nominal GDP'!J130),'Real and nominal GDP'!J130,NA())),NA())</f>
        <v>#N/A</v>
      </c>
      <c r="L143" s="19" t="e">
        <f aca="false">IFERROR(IF('Real and nominal GDP'!K130="",NA(),IF(ISNUMBER('Real and nominal GDP'!K130),'Real and nominal GDP'!K130,NA())),NA())</f>
        <v>#N/A</v>
      </c>
      <c r="M143" s="20" t="e">
        <f aca="false">IFERROR(D143/D139-1,NA())</f>
        <v>#N/A</v>
      </c>
      <c r="N143" s="20" t="e">
        <f aca="false">IFERROR(D143/D142-1,NA())</f>
        <v>#N/A</v>
      </c>
      <c r="O143" s="20" t="e">
        <f aca="false">IFERROR(I143/I139-1,NA())</f>
        <v>#N/A</v>
      </c>
      <c r="P143" s="21" t="e">
        <f aca="false">IF(COUNT(D140:D143)=4,SUM(D140:D143),NA())</f>
        <v>#N/A</v>
      </c>
      <c r="Q143" s="21" t="e">
        <f aca="false">IF(COUNT(I140:I143)=4,SUM(I140:I143),NA())</f>
        <v>#N/A</v>
      </c>
      <c r="R143" s="21" t="e">
        <f aca="false">IFERROR(I143/K143,NA())</f>
        <v>#N/A</v>
      </c>
      <c r="S143" s="21" t="e">
        <f aca="false">IFERROR(I143/L143,NA())</f>
        <v>#N/A</v>
      </c>
    </row>
    <row r="144" customFormat="false" ht="15" hidden="false" customHeight="false" outlineLevel="0" collapsed="false">
      <c r="A144" s="16" t="e">
        <f aca="false">IFERROR(IF(ISNUMBER('Real and nominal GDP'!A131),'Real and nominal GDP'!A131,NA()),NA())</f>
        <v>#N/A</v>
      </c>
      <c r="B144" s="17" t="e">
        <f aca="false">IFERROR(IF('Real and nominal GDP'!B131="",NA(),'Real and nominal GDP'!B131),NA())</f>
        <v>#N/A</v>
      </c>
      <c r="C144" s="18" t="n">
        <f aca="false">IFERROR(YEAR(A144),0)</f>
        <v>0</v>
      </c>
      <c r="D144" s="19" t="e">
        <f aca="false">IFERROR(IF('Real and nominal GDP'!C131="",NA(),IF(ISNUMBER('Real and nominal GDP'!C131),'Real and nominal GDP'!C131,NA())),NA())</f>
        <v>#N/A</v>
      </c>
      <c r="E144" s="19" t="e">
        <f aca="false">IFERROR(IF('Real and nominal GDP'!D131="",NA(),IF(ISNUMBER('Real and nominal GDP'!D131),'Real and nominal GDP'!D131,NA())),NA())</f>
        <v>#N/A</v>
      </c>
      <c r="F144" s="19" t="e">
        <f aca="false">IFERROR(IF('Real and nominal GDP'!E131="",NA(),IF(ISNUMBER('Real and nominal GDP'!E131),'Real and nominal GDP'!E131,NA())),NA())</f>
        <v>#N/A</v>
      </c>
      <c r="G144" s="19" t="e">
        <f aca="false">IFERROR(IF('Real and nominal GDP'!F131="",NA(),IF(ISNUMBER('Real and nominal GDP'!F131),'Real and nominal GDP'!F131,NA())),NA())</f>
        <v>#N/A</v>
      </c>
      <c r="H144" s="19" t="e">
        <f aca="false">IFERROR(IF('Real and nominal GDP'!G131="",NA(),IF(ISNUMBER('Real and nominal GDP'!G131),'Real and nominal GDP'!G131,NA())),NA())</f>
        <v>#N/A</v>
      </c>
      <c r="I144" s="19" t="e">
        <f aca="false">IFERROR(IF('Real and nominal GDP'!H131="",NA(),IF(ISNUMBER('Real and nominal GDP'!H131),'Real and nominal GDP'!H131,NA())),NA())</f>
        <v>#N/A</v>
      </c>
      <c r="J144" s="19" t="e">
        <f aca="false">IFERROR(IF('Real and nominal GDP'!I131="",NA(),IF(ISNUMBER('Real and nominal GDP'!I131),'Real and nominal GDP'!I131,NA())),NA())</f>
        <v>#N/A</v>
      </c>
      <c r="K144" s="19" t="e">
        <f aca="false">IFERROR(IF('Real and nominal GDP'!J131="",NA(),IF(ISNUMBER('Real and nominal GDP'!J131),'Real and nominal GDP'!J131,NA())),NA())</f>
        <v>#N/A</v>
      </c>
      <c r="L144" s="19" t="e">
        <f aca="false">IFERROR(IF('Real and nominal GDP'!K131="",NA(),IF(ISNUMBER('Real and nominal GDP'!K131),'Real and nominal GDP'!K131,NA())),NA())</f>
        <v>#N/A</v>
      </c>
      <c r="M144" s="20" t="e">
        <f aca="false">IFERROR(D144/D140-1,NA())</f>
        <v>#N/A</v>
      </c>
      <c r="N144" s="20" t="e">
        <f aca="false">IFERROR(D144/D143-1,NA())</f>
        <v>#N/A</v>
      </c>
      <c r="O144" s="20" t="e">
        <f aca="false">IFERROR(I144/I140-1,NA())</f>
        <v>#N/A</v>
      </c>
      <c r="P144" s="21" t="e">
        <f aca="false">IF(COUNT(D141:D144)=4,SUM(D141:D144),NA())</f>
        <v>#N/A</v>
      </c>
      <c r="Q144" s="21" t="e">
        <f aca="false">IF(COUNT(I141:I144)=4,SUM(I141:I144),NA())</f>
        <v>#N/A</v>
      </c>
      <c r="R144" s="21" t="e">
        <f aca="false">IFERROR(I144/K144,NA())</f>
        <v>#N/A</v>
      </c>
      <c r="S144" s="21" t="e">
        <f aca="false">IFERROR(I144/L144,NA())</f>
        <v>#N/A</v>
      </c>
    </row>
    <row r="145" customFormat="false" ht="15" hidden="false" customHeight="false" outlineLevel="0" collapsed="false">
      <c r="A145" s="16" t="e">
        <f aca="false">IFERROR(IF(ISNUMBER('Real and nominal GDP'!A132),'Real and nominal GDP'!A132,NA()),NA())</f>
        <v>#N/A</v>
      </c>
      <c r="B145" s="17" t="e">
        <f aca="false">IFERROR(IF('Real and nominal GDP'!B132="",NA(),'Real and nominal GDP'!B132),NA())</f>
        <v>#N/A</v>
      </c>
      <c r="C145" s="18" t="n">
        <f aca="false">IFERROR(YEAR(A145),0)</f>
        <v>0</v>
      </c>
      <c r="D145" s="19" t="e">
        <f aca="false">IFERROR(IF('Real and nominal GDP'!C132="",NA(),IF(ISNUMBER('Real and nominal GDP'!C132),'Real and nominal GDP'!C132,NA())),NA())</f>
        <v>#N/A</v>
      </c>
      <c r="E145" s="19" t="e">
        <f aca="false">IFERROR(IF('Real and nominal GDP'!D132="",NA(),IF(ISNUMBER('Real and nominal GDP'!D132),'Real and nominal GDP'!D132,NA())),NA())</f>
        <v>#N/A</v>
      </c>
      <c r="F145" s="19" t="e">
        <f aca="false">IFERROR(IF('Real and nominal GDP'!E132="",NA(),IF(ISNUMBER('Real and nominal GDP'!E132),'Real and nominal GDP'!E132,NA())),NA())</f>
        <v>#N/A</v>
      </c>
      <c r="G145" s="19" t="e">
        <f aca="false">IFERROR(IF('Real and nominal GDP'!F132="",NA(),IF(ISNUMBER('Real and nominal GDP'!F132),'Real and nominal GDP'!F132,NA())),NA())</f>
        <v>#N/A</v>
      </c>
      <c r="H145" s="19" t="e">
        <f aca="false">IFERROR(IF('Real and nominal GDP'!G132="",NA(),IF(ISNUMBER('Real and nominal GDP'!G132),'Real and nominal GDP'!G132,NA())),NA())</f>
        <v>#N/A</v>
      </c>
      <c r="I145" s="19" t="e">
        <f aca="false">IFERROR(IF('Real and nominal GDP'!H132="",NA(),IF(ISNUMBER('Real and nominal GDP'!H132),'Real and nominal GDP'!H132,NA())),NA())</f>
        <v>#N/A</v>
      </c>
      <c r="J145" s="19" t="e">
        <f aca="false">IFERROR(IF('Real and nominal GDP'!I132="",NA(),IF(ISNUMBER('Real and nominal GDP'!I132),'Real and nominal GDP'!I132,NA())),NA())</f>
        <v>#N/A</v>
      </c>
      <c r="K145" s="19" t="e">
        <f aca="false">IFERROR(IF('Real and nominal GDP'!J132="",NA(),IF(ISNUMBER('Real and nominal GDP'!J132),'Real and nominal GDP'!J132,NA())),NA())</f>
        <v>#N/A</v>
      </c>
      <c r="L145" s="19" t="e">
        <f aca="false">IFERROR(IF('Real and nominal GDP'!K132="",NA(),IF(ISNUMBER('Real and nominal GDP'!K132),'Real and nominal GDP'!K132,NA())),NA())</f>
        <v>#N/A</v>
      </c>
      <c r="M145" s="20" t="e">
        <f aca="false">IFERROR(D145/D141-1,NA())</f>
        <v>#N/A</v>
      </c>
      <c r="N145" s="20" t="e">
        <f aca="false">IFERROR(D145/D144-1,NA())</f>
        <v>#N/A</v>
      </c>
      <c r="O145" s="20" t="e">
        <f aca="false">IFERROR(I145/I141-1,NA())</f>
        <v>#N/A</v>
      </c>
      <c r="P145" s="21" t="e">
        <f aca="false">IF(COUNT(D142:D145)=4,SUM(D142:D145),NA())</f>
        <v>#N/A</v>
      </c>
      <c r="Q145" s="21" t="e">
        <f aca="false">IF(COUNT(I142:I145)=4,SUM(I142:I145),NA())</f>
        <v>#N/A</v>
      </c>
      <c r="R145" s="21" t="e">
        <f aca="false">IFERROR(I145/K145,NA())</f>
        <v>#N/A</v>
      </c>
      <c r="S145" s="21" t="e">
        <f aca="false">IFERROR(I145/L145,NA())</f>
        <v>#N/A</v>
      </c>
    </row>
    <row r="146" customFormat="false" ht="15" hidden="false" customHeight="false" outlineLevel="0" collapsed="false">
      <c r="A146" s="16" t="e">
        <f aca="false">IFERROR(IF(ISNUMBER('Real and nominal GDP'!A133),'Real and nominal GDP'!A133,NA()),NA())</f>
        <v>#N/A</v>
      </c>
      <c r="B146" s="17" t="e">
        <f aca="false">IFERROR(IF('Real and nominal GDP'!B133="",NA(),'Real and nominal GDP'!B133),NA())</f>
        <v>#N/A</v>
      </c>
      <c r="C146" s="18" t="n">
        <f aca="false">IFERROR(YEAR(A146),0)</f>
        <v>0</v>
      </c>
      <c r="D146" s="19" t="e">
        <f aca="false">IFERROR(IF('Real and nominal GDP'!C133="",NA(),IF(ISNUMBER('Real and nominal GDP'!C133),'Real and nominal GDP'!C133,NA())),NA())</f>
        <v>#N/A</v>
      </c>
      <c r="E146" s="19" t="e">
        <f aca="false">IFERROR(IF('Real and nominal GDP'!D133="",NA(),IF(ISNUMBER('Real and nominal GDP'!D133),'Real and nominal GDP'!D133,NA())),NA())</f>
        <v>#N/A</v>
      </c>
      <c r="F146" s="19" t="e">
        <f aca="false">IFERROR(IF('Real and nominal GDP'!E133="",NA(),IF(ISNUMBER('Real and nominal GDP'!E133),'Real and nominal GDP'!E133,NA())),NA())</f>
        <v>#N/A</v>
      </c>
      <c r="G146" s="19" t="e">
        <f aca="false">IFERROR(IF('Real and nominal GDP'!F133="",NA(),IF(ISNUMBER('Real and nominal GDP'!F133),'Real and nominal GDP'!F133,NA())),NA())</f>
        <v>#N/A</v>
      </c>
      <c r="H146" s="19" t="e">
        <f aca="false">IFERROR(IF('Real and nominal GDP'!G133="",NA(),IF(ISNUMBER('Real and nominal GDP'!G133),'Real and nominal GDP'!G133,NA())),NA())</f>
        <v>#N/A</v>
      </c>
      <c r="I146" s="19" t="e">
        <f aca="false">IFERROR(IF('Real and nominal GDP'!H133="",NA(),IF(ISNUMBER('Real and nominal GDP'!H133),'Real and nominal GDP'!H133,NA())),NA())</f>
        <v>#N/A</v>
      </c>
      <c r="J146" s="19" t="e">
        <f aca="false">IFERROR(IF('Real and nominal GDP'!I133="",NA(),IF(ISNUMBER('Real and nominal GDP'!I133),'Real and nominal GDP'!I133,NA())),NA())</f>
        <v>#N/A</v>
      </c>
      <c r="K146" s="19" t="e">
        <f aca="false">IFERROR(IF('Real and nominal GDP'!J133="",NA(),IF(ISNUMBER('Real and nominal GDP'!J133),'Real and nominal GDP'!J133,NA())),NA())</f>
        <v>#N/A</v>
      </c>
      <c r="L146" s="19" t="e">
        <f aca="false">IFERROR(IF('Real and nominal GDP'!K133="",NA(),IF(ISNUMBER('Real and nominal GDP'!K133),'Real and nominal GDP'!K133,NA())),NA())</f>
        <v>#N/A</v>
      </c>
      <c r="M146" s="20" t="e">
        <f aca="false">IFERROR(D146/D142-1,NA())</f>
        <v>#N/A</v>
      </c>
      <c r="N146" s="20" t="e">
        <f aca="false">IFERROR(D146/D145-1,NA())</f>
        <v>#N/A</v>
      </c>
      <c r="O146" s="20" t="e">
        <f aca="false">IFERROR(I146/I142-1,NA())</f>
        <v>#N/A</v>
      </c>
      <c r="P146" s="21" t="e">
        <f aca="false">IF(COUNT(D143:D146)=4,SUM(D143:D146),NA())</f>
        <v>#N/A</v>
      </c>
      <c r="Q146" s="21" t="e">
        <f aca="false">IF(COUNT(I143:I146)=4,SUM(I143:I146),NA())</f>
        <v>#N/A</v>
      </c>
      <c r="R146" s="21" t="e">
        <f aca="false">IFERROR(I146/K146,NA())</f>
        <v>#N/A</v>
      </c>
      <c r="S146" s="21" t="e">
        <f aca="false">IFERROR(I146/L146,NA())</f>
        <v>#N/A</v>
      </c>
    </row>
    <row r="147" customFormat="false" ht="15" hidden="false" customHeight="false" outlineLevel="0" collapsed="false">
      <c r="A147" s="16" t="e">
        <f aca="false">IFERROR(IF(ISNUMBER('Real and nominal GDP'!A134),'Real and nominal GDP'!A134,NA()),NA())</f>
        <v>#N/A</v>
      </c>
      <c r="B147" s="17" t="e">
        <f aca="false">IFERROR(IF('Real and nominal GDP'!B134="",NA(),'Real and nominal GDP'!B134),NA())</f>
        <v>#N/A</v>
      </c>
      <c r="C147" s="18" t="n">
        <f aca="false">IFERROR(YEAR(A147),0)</f>
        <v>0</v>
      </c>
      <c r="D147" s="19" t="e">
        <f aca="false">IFERROR(IF('Real and nominal GDP'!C134="",NA(),IF(ISNUMBER('Real and nominal GDP'!C134),'Real and nominal GDP'!C134,NA())),NA())</f>
        <v>#N/A</v>
      </c>
      <c r="E147" s="19" t="e">
        <f aca="false">IFERROR(IF('Real and nominal GDP'!D134="",NA(),IF(ISNUMBER('Real and nominal GDP'!D134),'Real and nominal GDP'!D134,NA())),NA())</f>
        <v>#N/A</v>
      </c>
      <c r="F147" s="19" t="e">
        <f aca="false">IFERROR(IF('Real and nominal GDP'!E134="",NA(),IF(ISNUMBER('Real and nominal GDP'!E134),'Real and nominal GDP'!E134,NA())),NA())</f>
        <v>#N/A</v>
      </c>
      <c r="G147" s="19" t="e">
        <f aca="false">IFERROR(IF('Real and nominal GDP'!F134="",NA(),IF(ISNUMBER('Real and nominal GDP'!F134),'Real and nominal GDP'!F134,NA())),NA())</f>
        <v>#N/A</v>
      </c>
      <c r="H147" s="19" t="e">
        <f aca="false">IFERROR(IF('Real and nominal GDP'!G134="",NA(),IF(ISNUMBER('Real and nominal GDP'!G134),'Real and nominal GDP'!G134,NA())),NA())</f>
        <v>#N/A</v>
      </c>
      <c r="I147" s="19" t="e">
        <f aca="false">IFERROR(IF('Real and nominal GDP'!H134="",NA(),IF(ISNUMBER('Real and nominal GDP'!H134),'Real and nominal GDP'!H134,NA())),NA())</f>
        <v>#N/A</v>
      </c>
      <c r="J147" s="19" t="e">
        <f aca="false">IFERROR(IF('Real and nominal GDP'!I134="",NA(),IF(ISNUMBER('Real and nominal GDP'!I134),'Real and nominal GDP'!I134,NA())),NA())</f>
        <v>#N/A</v>
      </c>
      <c r="K147" s="19" t="e">
        <f aca="false">IFERROR(IF('Real and nominal GDP'!J134="",NA(),IF(ISNUMBER('Real and nominal GDP'!J134),'Real and nominal GDP'!J134,NA())),NA())</f>
        <v>#N/A</v>
      </c>
      <c r="L147" s="19" t="e">
        <f aca="false">IFERROR(IF('Real and nominal GDP'!K134="",NA(),IF(ISNUMBER('Real and nominal GDP'!K134),'Real and nominal GDP'!K134,NA())),NA())</f>
        <v>#N/A</v>
      </c>
      <c r="M147" s="20" t="e">
        <f aca="false">IFERROR(D147/D143-1,NA())</f>
        <v>#N/A</v>
      </c>
      <c r="N147" s="20" t="e">
        <f aca="false">IFERROR(D147/D146-1,NA())</f>
        <v>#N/A</v>
      </c>
      <c r="O147" s="20" t="e">
        <f aca="false">IFERROR(I147/I143-1,NA())</f>
        <v>#N/A</v>
      </c>
      <c r="P147" s="21" t="e">
        <f aca="false">IF(COUNT(D144:D147)=4,SUM(D144:D147),NA())</f>
        <v>#N/A</v>
      </c>
      <c r="Q147" s="21" t="e">
        <f aca="false">IF(COUNT(I144:I147)=4,SUM(I144:I147),NA())</f>
        <v>#N/A</v>
      </c>
      <c r="R147" s="21" t="e">
        <f aca="false">IFERROR(I147/K147,NA())</f>
        <v>#N/A</v>
      </c>
      <c r="S147" s="21" t="e">
        <f aca="false">IFERROR(I147/L147,NA())</f>
        <v>#N/A</v>
      </c>
    </row>
    <row r="148" customFormat="false" ht="15" hidden="false" customHeight="false" outlineLevel="0" collapsed="false">
      <c r="A148" s="16" t="e">
        <f aca="false">IFERROR(IF(ISNUMBER('Real and nominal GDP'!A135),'Real and nominal GDP'!A135,NA()),NA())</f>
        <v>#N/A</v>
      </c>
      <c r="B148" s="17" t="e">
        <f aca="false">IFERROR(IF('Real and nominal GDP'!B135="",NA(),'Real and nominal GDP'!B135),NA())</f>
        <v>#N/A</v>
      </c>
      <c r="C148" s="18" t="n">
        <f aca="false">IFERROR(YEAR(A148),0)</f>
        <v>0</v>
      </c>
      <c r="D148" s="19" t="e">
        <f aca="false">IFERROR(IF('Real and nominal GDP'!C135="",NA(),IF(ISNUMBER('Real and nominal GDP'!C135),'Real and nominal GDP'!C135,NA())),NA())</f>
        <v>#N/A</v>
      </c>
      <c r="E148" s="19" t="e">
        <f aca="false">IFERROR(IF('Real and nominal GDP'!D135="",NA(),IF(ISNUMBER('Real and nominal GDP'!D135),'Real and nominal GDP'!D135,NA())),NA())</f>
        <v>#N/A</v>
      </c>
      <c r="F148" s="19" t="e">
        <f aca="false">IFERROR(IF('Real and nominal GDP'!E135="",NA(),IF(ISNUMBER('Real and nominal GDP'!E135),'Real and nominal GDP'!E135,NA())),NA())</f>
        <v>#N/A</v>
      </c>
      <c r="G148" s="19" t="e">
        <f aca="false">IFERROR(IF('Real and nominal GDP'!F135="",NA(),IF(ISNUMBER('Real and nominal GDP'!F135),'Real and nominal GDP'!F135,NA())),NA())</f>
        <v>#N/A</v>
      </c>
      <c r="H148" s="19" t="e">
        <f aca="false">IFERROR(IF('Real and nominal GDP'!G135="",NA(),IF(ISNUMBER('Real and nominal GDP'!G135),'Real and nominal GDP'!G135,NA())),NA())</f>
        <v>#N/A</v>
      </c>
      <c r="I148" s="19" t="e">
        <f aca="false">IFERROR(IF('Real and nominal GDP'!H135="",NA(),IF(ISNUMBER('Real and nominal GDP'!H135),'Real and nominal GDP'!H135,NA())),NA())</f>
        <v>#N/A</v>
      </c>
      <c r="J148" s="19" t="e">
        <f aca="false">IFERROR(IF('Real and nominal GDP'!I135="",NA(),IF(ISNUMBER('Real and nominal GDP'!I135),'Real and nominal GDP'!I135,NA())),NA())</f>
        <v>#N/A</v>
      </c>
      <c r="K148" s="19" t="e">
        <f aca="false">IFERROR(IF('Real and nominal GDP'!J135="",NA(),IF(ISNUMBER('Real and nominal GDP'!J135),'Real and nominal GDP'!J135,NA())),NA())</f>
        <v>#N/A</v>
      </c>
      <c r="L148" s="19" t="e">
        <f aca="false">IFERROR(IF('Real and nominal GDP'!K135="",NA(),IF(ISNUMBER('Real and nominal GDP'!K135),'Real and nominal GDP'!K135,NA())),NA())</f>
        <v>#N/A</v>
      </c>
      <c r="M148" s="20" t="e">
        <f aca="false">IFERROR(D148/D144-1,NA())</f>
        <v>#N/A</v>
      </c>
      <c r="N148" s="20" t="e">
        <f aca="false">IFERROR(D148/D147-1,NA())</f>
        <v>#N/A</v>
      </c>
      <c r="O148" s="20" t="e">
        <f aca="false">IFERROR(I148/I144-1,NA())</f>
        <v>#N/A</v>
      </c>
      <c r="P148" s="21" t="e">
        <f aca="false">IF(COUNT(D145:D148)=4,SUM(D145:D148),NA())</f>
        <v>#N/A</v>
      </c>
      <c r="Q148" s="21" t="e">
        <f aca="false">IF(COUNT(I145:I148)=4,SUM(I145:I148),NA())</f>
        <v>#N/A</v>
      </c>
      <c r="R148" s="21" t="e">
        <f aca="false">IFERROR(I148/K148,NA())</f>
        <v>#N/A</v>
      </c>
      <c r="S148" s="21" t="e">
        <f aca="false">IFERROR(I148/L148,NA())</f>
        <v>#N/A</v>
      </c>
    </row>
    <row r="149" customFormat="false" ht="15" hidden="false" customHeight="false" outlineLevel="0" collapsed="false">
      <c r="A149" s="16" t="e">
        <f aca="false">IFERROR(IF(ISNUMBER('Real and nominal GDP'!A136),'Real and nominal GDP'!A136,NA()),NA())</f>
        <v>#N/A</v>
      </c>
      <c r="B149" s="17" t="e">
        <f aca="false">IFERROR(IF('Real and nominal GDP'!B136="",NA(),'Real and nominal GDP'!B136),NA())</f>
        <v>#N/A</v>
      </c>
      <c r="C149" s="18" t="n">
        <f aca="false">IFERROR(YEAR(A149),0)</f>
        <v>0</v>
      </c>
      <c r="D149" s="19" t="e">
        <f aca="false">IFERROR(IF('Real and nominal GDP'!C136="",NA(),IF(ISNUMBER('Real and nominal GDP'!C136),'Real and nominal GDP'!C136,NA())),NA())</f>
        <v>#N/A</v>
      </c>
      <c r="E149" s="19" t="e">
        <f aca="false">IFERROR(IF('Real and nominal GDP'!D136="",NA(),IF(ISNUMBER('Real and nominal GDP'!D136),'Real and nominal GDP'!D136,NA())),NA())</f>
        <v>#N/A</v>
      </c>
      <c r="F149" s="19" t="e">
        <f aca="false">IFERROR(IF('Real and nominal GDP'!E136="",NA(),IF(ISNUMBER('Real and nominal GDP'!E136),'Real and nominal GDP'!E136,NA())),NA())</f>
        <v>#N/A</v>
      </c>
      <c r="G149" s="19" t="e">
        <f aca="false">IFERROR(IF('Real and nominal GDP'!F136="",NA(),IF(ISNUMBER('Real and nominal GDP'!F136),'Real and nominal GDP'!F136,NA())),NA())</f>
        <v>#N/A</v>
      </c>
      <c r="H149" s="19" t="e">
        <f aca="false">IFERROR(IF('Real and nominal GDP'!G136="",NA(),IF(ISNUMBER('Real and nominal GDP'!G136),'Real and nominal GDP'!G136,NA())),NA())</f>
        <v>#N/A</v>
      </c>
      <c r="I149" s="19" t="e">
        <f aca="false">IFERROR(IF('Real and nominal GDP'!H136="",NA(),IF(ISNUMBER('Real and nominal GDP'!H136),'Real and nominal GDP'!H136,NA())),NA())</f>
        <v>#N/A</v>
      </c>
      <c r="J149" s="19" t="e">
        <f aca="false">IFERROR(IF('Real and nominal GDP'!I136="",NA(),IF(ISNUMBER('Real and nominal GDP'!I136),'Real and nominal GDP'!I136,NA())),NA())</f>
        <v>#N/A</v>
      </c>
      <c r="K149" s="19" t="e">
        <f aca="false">IFERROR(IF('Real and nominal GDP'!J136="",NA(),IF(ISNUMBER('Real and nominal GDP'!J136),'Real and nominal GDP'!J136,NA())),NA())</f>
        <v>#N/A</v>
      </c>
      <c r="L149" s="19" t="e">
        <f aca="false">IFERROR(IF('Real and nominal GDP'!K136="",NA(),IF(ISNUMBER('Real and nominal GDP'!K136),'Real and nominal GDP'!K136,NA())),NA())</f>
        <v>#N/A</v>
      </c>
      <c r="M149" s="20" t="e">
        <f aca="false">IFERROR(D149/D145-1,NA())</f>
        <v>#N/A</v>
      </c>
      <c r="N149" s="20" t="e">
        <f aca="false">IFERROR(D149/D148-1,NA())</f>
        <v>#N/A</v>
      </c>
      <c r="O149" s="20" t="e">
        <f aca="false">IFERROR(I149/I145-1,NA())</f>
        <v>#N/A</v>
      </c>
      <c r="P149" s="21" t="e">
        <f aca="false">IF(COUNT(D146:D149)=4,SUM(D146:D149),NA())</f>
        <v>#N/A</v>
      </c>
      <c r="Q149" s="21" t="e">
        <f aca="false">IF(COUNT(I146:I149)=4,SUM(I146:I149),NA())</f>
        <v>#N/A</v>
      </c>
      <c r="R149" s="21" t="e">
        <f aca="false">IFERROR(I149/K149,NA())</f>
        <v>#N/A</v>
      </c>
      <c r="S149" s="21" t="e">
        <f aca="false">IFERROR(I149/L149,NA())</f>
        <v>#N/A</v>
      </c>
    </row>
    <row r="150" customFormat="false" ht="15" hidden="false" customHeight="false" outlineLevel="0" collapsed="false">
      <c r="A150" s="16" t="e">
        <f aca="false">IFERROR(IF(ISNUMBER('Real and nominal GDP'!A137),'Real and nominal GDP'!A137,NA()),NA())</f>
        <v>#N/A</v>
      </c>
      <c r="B150" s="17" t="e">
        <f aca="false">IFERROR(IF('Real and nominal GDP'!B137="",NA(),'Real and nominal GDP'!B137),NA())</f>
        <v>#N/A</v>
      </c>
      <c r="C150" s="18" t="n">
        <f aca="false">IFERROR(YEAR(A150),0)</f>
        <v>0</v>
      </c>
      <c r="D150" s="19" t="e">
        <f aca="false">IFERROR(IF('Real and nominal GDP'!C137="",NA(),IF(ISNUMBER('Real and nominal GDP'!C137),'Real and nominal GDP'!C137,NA())),NA())</f>
        <v>#N/A</v>
      </c>
      <c r="E150" s="19" t="e">
        <f aca="false">IFERROR(IF('Real and nominal GDP'!D137="",NA(),IF(ISNUMBER('Real and nominal GDP'!D137),'Real and nominal GDP'!D137,NA())),NA())</f>
        <v>#N/A</v>
      </c>
      <c r="F150" s="19" t="e">
        <f aca="false">IFERROR(IF('Real and nominal GDP'!E137="",NA(),IF(ISNUMBER('Real and nominal GDP'!E137),'Real and nominal GDP'!E137,NA())),NA())</f>
        <v>#N/A</v>
      </c>
      <c r="G150" s="19" t="e">
        <f aca="false">IFERROR(IF('Real and nominal GDP'!F137="",NA(),IF(ISNUMBER('Real and nominal GDP'!F137),'Real and nominal GDP'!F137,NA())),NA())</f>
        <v>#N/A</v>
      </c>
      <c r="H150" s="19" t="e">
        <f aca="false">IFERROR(IF('Real and nominal GDP'!G137="",NA(),IF(ISNUMBER('Real and nominal GDP'!G137),'Real and nominal GDP'!G137,NA())),NA())</f>
        <v>#N/A</v>
      </c>
      <c r="I150" s="19" t="e">
        <f aca="false">IFERROR(IF('Real and nominal GDP'!H137="",NA(),IF(ISNUMBER('Real and nominal GDP'!H137),'Real and nominal GDP'!H137,NA())),NA())</f>
        <v>#N/A</v>
      </c>
      <c r="J150" s="19" t="e">
        <f aca="false">IFERROR(IF('Real and nominal GDP'!I137="",NA(),IF(ISNUMBER('Real and nominal GDP'!I137),'Real and nominal GDP'!I137,NA())),NA())</f>
        <v>#N/A</v>
      </c>
      <c r="K150" s="19" t="e">
        <f aca="false">IFERROR(IF('Real and nominal GDP'!J137="",NA(),IF(ISNUMBER('Real and nominal GDP'!J137),'Real and nominal GDP'!J137,NA())),NA())</f>
        <v>#N/A</v>
      </c>
      <c r="L150" s="19" t="e">
        <f aca="false">IFERROR(IF('Real and nominal GDP'!K137="",NA(),IF(ISNUMBER('Real and nominal GDP'!K137),'Real and nominal GDP'!K137,NA())),NA())</f>
        <v>#N/A</v>
      </c>
      <c r="M150" s="20" t="e">
        <f aca="false">IFERROR(D150/D146-1,NA())</f>
        <v>#N/A</v>
      </c>
      <c r="N150" s="20" t="e">
        <f aca="false">IFERROR(D150/D149-1,NA())</f>
        <v>#N/A</v>
      </c>
      <c r="O150" s="20" t="e">
        <f aca="false">IFERROR(I150/I146-1,NA())</f>
        <v>#N/A</v>
      </c>
      <c r="P150" s="21" t="e">
        <f aca="false">IF(COUNT(D147:D150)=4,SUM(D147:D150),NA())</f>
        <v>#N/A</v>
      </c>
      <c r="Q150" s="21" t="e">
        <f aca="false">IF(COUNT(I147:I150)=4,SUM(I147:I150),NA())</f>
        <v>#N/A</v>
      </c>
      <c r="R150" s="21" t="e">
        <f aca="false">IFERROR(I150/K150,NA())</f>
        <v>#N/A</v>
      </c>
      <c r="S150" s="21" t="e">
        <f aca="false">IFERROR(I150/L150,NA())</f>
        <v>#N/A</v>
      </c>
    </row>
    <row r="151" customFormat="false" ht="15" hidden="false" customHeight="false" outlineLevel="0" collapsed="false">
      <c r="A151" s="16" t="e">
        <f aca="false">IFERROR(IF(ISNUMBER('Real and nominal GDP'!A138),'Real and nominal GDP'!A138,NA()),NA())</f>
        <v>#N/A</v>
      </c>
      <c r="B151" s="17" t="e">
        <f aca="false">IFERROR(IF('Real and nominal GDP'!B138="",NA(),'Real and nominal GDP'!B138),NA())</f>
        <v>#N/A</v>
      </c>
      <c r="C151" s="18" t="n">
        <f aca="false">IFERROR(YEAR(A151),0)</f>
        <v>0</v>
      </c>
      <c r="D151" s="19" t="e">
        <f aca="false">IFERROR(IF('Real and nominal GDP'!C138="",NA(),IF(ISNUMBER('Real and nominal GDP'!C138),'Real and nominal GDP'!C138,NA())),NA())</f>
        <v>#N/A</v>
      </c>
      <c r="E151" s="19" t="e">
        <f aca="false">IFERROR(IF('Real and nominal GDP'!D138="",NA(),IF(ISNUMBER('Real and nominal GDP'!D138),'Real and nominal GDP'!D138,NA())),NA())</f>
        <v>#N/A</v>
      </c>
      <c r="F151" s="19" t="e">
        <f aca="false">IFERROR(IF('Real and nominal GDP'!E138="",NA(),IF(ISNUMBER('Real and nominal GDP'!E138),'Real and nominal GDP'!E138,NA())),NA())</f>
        <v>#N/A</v>
      </c>
      <c r="G151" s="19" t="e">
        <f aca="false">IFERROR(IF('Real and nominal GDP'!F138="",NA(),IF(ISNUMBER('Real and nominal GDP'!F138),'Real and nominal GDP'!F138,NA())),NA())</f>
        <v>#N/A</v>
      </c>
      <c r="H151" s="19" t="e">
        <f aca="false">IFERROR(IF('Real and nominal GDP'!G138="",NA(),IF(ISNUMBER('Real and nominal GDP'!G138),'Real and nominal GDP'!G138,NA())),NA())</f>
        <v>#N/A</v>
      </c>
      <c r="I151" s="19" t="e">
        <f aca="false">IFERROR(IF('Real and nominal GDP'!H138="",NA(),IF(ISNUMBER('Real and nominal GDP'!H138),'Real and nominal GDP'!H138,NA())),NA())</f>
        <v>#N/A</v>
      </c>
      <c r="J151" s="19" t="e">
        <f aca="false">IFERROR(IF('Real and nominal GDP'!I138="",NA(),IF(ISNUMBER('Real and nominal GDP'!I138),'Real and nominal GDP'!I138,NA())),NA())</f>
        <v>#N/A</v>
      </c>
      <c r="K151" s="19" t="e">
        <f aca="false">IFERROR(IF('Real and nominal GDP'!J138="",NA(),IF(ISNUMBER('Real and nominal GDP'!J138),'Real and nominal GDP'!J138,NA())),NA())</f>
        <v>#N/A</v>
      </c>
      <c r="L151" s="19" t="e">
        <f aca="false">IFERROR(IF('Real and nominal GDP'!K138="",NA(),IF(ISNUMBER('Real and nominal GDP'!K138),'Real and nominal GDP'!K138,NA())),NA())</f>
        <v>#N/A</v>
      </c>
      <c r="M151" s="20" t="e">
        <f aca="false">IFERROR(D151/D147-1,NA())</f>
        <v>#N/A</v>
      </c>
      <c r="N151" s="20" t="e">
        <f aca="false">IFERROR(D151/D150-1,NA())</f>
        <v>#N/A</v>
      </c>
      <c r="O151" s="20" t="e">
        <f aca="false">IFERROR(I151/I147-1,NA())</f>
        <v>#N/A</v>
      </c>
      <c r="P151" s="21" t="e">
        <f aca="false">IF(COUNT(D148:D151)=4,SUM(D148:D151),NA())</f>
        <v>#N/A</v>
      </c>
      <c r="Q151" s="21" t="e">
        <f aca="false">IF(COUNT(I148:I151)=4,SUM(I148:I151),NA())</f>
        <v>#N/A</v>
      </c>
      <c r="R151" s="21" t="e">
        <f aca="false">IFERROR(I151/K151,NA())</f>
        <v>#N/A</v>
      </c>
      <c r="S151" s="21" t="e">
        <f aca="false">IFERROR(I151/L151,NA())</f>
        <v>#N/A</v>
      </c>
    </row>
    <row r="152" customFormat="false" ht="15" hidden="false" customHeight="false" outlineLevel="0" collapsed="false">
      <c r="A152" s="16" t="e">
        <f aca="false">IFERROR(IF(ISNUMBER('Real and nominal GDP'!A139),'Real and nominal GDP'!A139,NA()),NA())</f>
        <v>#N/A</v>
      </c>
      <c r="B152" s="17" t="e">
        <f aca="false">IFERROR(IF('Real and nominal GDP'!B139="",NA(),'Real and nominal GDP'!B139),NA())</f>
        <v>#N/A</v>
      </c>
      <c r="C152" s="18" t="n">
        <f aca="false">IFERROR(YEAR(A152),0)</f>
        <v>0</v>
      </c>
      <c r="D152" s="19" t="e">
        <f aca="false">IFERROR(IF('Real and nominal GDP'!C139="",NA(),IF(ISNUMBER('Real and nominal GDP'!C139),'Real and nominal GDP'!C139,NA())),NA())</f>
        <v>#N/A</v>
      </c>
      <c r="E152" s="19" t="e">
        <f aca="false">IFERROR(IF('Real and nominal GDP'!D139="",NA(),IF(ISNUMBER('Real and nominal GDP'!D139),'Real and nominal GDP'!D139,NA())),NA())</f>
        <v>#N/A</v>
      </c>
      <c r="F152" s="19" t="e">
        <f aca="false">IFERROR(IF('Real and nominal GDP'!E139="",NA(),IF(ISNUMBER('Real and nominal GDP'!E139),'Real and nominal GDP'!E139,NA())),NA())</f>
        <v>#N/A</v>
      </c>
      <c r="G152" s="19" t="e">
        <f aca="false">IFERROR(IF('Real and nominal GDP'!F139="",NA(),IF(ISNUMBER('Real and nominal GDP'!F139),'Real and nominal GDP'!F139,NA())),NA())</f>
        <v>#N/A</v>
      </c>
      <c r="H152" s="19" t="e">
        <f aca="false">IFERROR(IF('Real and nominal GDP'!G139="",NA(),IF(ISNUMBER('Real and nominal GDP'!G139),'Real and nominal GDP'!G139,NA())),NA())</f>
        <v>#N/A</v>
      </c>
      <c r="I152" s="19" t="e">
        <f aca="false">IFERROR(IF('Real and nominal GDP'!H139="",NA(),IF(ISNUMBER('Real and nominal GDP'!H139),'Real and nominal GDP'!H139,NA())),NA())</f>
        <v>#N/A</v>
      </c>
      <c r="J152" s="19" t="e">
        <f aca="false">IFERROR(IF('Real and nominal GDP'!I139="",NA(),IF(ISNUMBER('Real and nominal GDP'!I139),'Real and nominal GDP'!I139,NA())),NA())</f>
        <v>#N/A</v>
      </c>
      <c r="K152" s="19" t="e">
        <f aca="false">IFERROR(IF('Real and nominal GDP'!J139="",NA(),IF(ISNUMBER('Real and nominal GDP'!J139),'Real and nominal GDP'!J139,NA())),NA())</f>
        <v>#N/A</v>
      </c>
      <c r="L152" s="19" t="e">
        <f aca="false">IFERROR(IF('Real and nominal GDP'!K139="",NA(),IF(ISNUMBER('Real and nominal GDP'!K139),'Real and nominal GDP'!K139,NA())),NA())</f>
        <v>#N/A</v>
      </c>
      <c r="M152" s="20" t="e">
        <f aca="false">IFERROR(D152/D148-1,NA())</f>
        <v>#N/A</v>
      </c>
      <c r="N152" s="20" t="e">
        <f aca="false">IFERROR(D152/D151-1,NA())</f>
        <v>#N/A</v>
      </c>
      <c r="O152" s="20" t="e">
        <f aca="false">IFERROR(I152/I148-1,NA())</f>
        <v>#N/A</v>
      </c>
      <c r="P152" s="21" t="e">
        <f aca="false">IF(COUNT(D149:D152)=4,SUM(D149:D152),NA())</f>
        <v>#N/A</v>
      </c>
      <c r="Q152" s="21" t="e">
        <f aca="false">IF(COUNT(I149:I152)=4,SUM(I149:I152),NA())</f>
        <v>#N/A</v>
      </c>
      <c r="R152" s="21" t="e">
        <f aca="false">IFERROR(I152/K152,NA())</f>
        <v>#N/A</v>
      </c>
      <c r="S152" s="21" t="e">
        <f aca="false">IFERROR(I152/L152,NA())</f>
        <v>#N/A</v>
      </c>
    </row>
    <row r="153" customFormat="false" ht="15" hidden="false" customHeight="false" outlineLevel="0" collapsed="false">
      <c r="A153" s="16" t="e">
        <f aca="false">IFERROR(IF(ISNUMBER('Real and nominal GDP'!A140),'Real and nominal GDP'!A140,NA()),NA())</f>
        <v>#N/A</v>
      </c>
      <c r="B153" s="17" t="e">
        <f aca="false">IFERROR(IF('Real and nominal GDP'!B140="",NA(),'Real and nominal GDP'!B140),NA())</f>
        <v>#N/A</v>
      </c>
      <c r="C153" s="18" t="n">
        <f aca="false">IFERROR(YEAR(A153),0)</f>
        <v>0</v>
      </c>
      <c r="D153" s="19" t="e">
        <f aca="false">IFERROR(IF('Real and nominal GDP'!C140="",NA(),IF(ISNUMBER('Real and nominal GDP'!C140),'Real and nominal GDP'!C140,NA())),NA())</f>
        <v>#N/A</v>
      </c>
      <c r="E153" s="19" t="e">
        <f aca="false">IFERROR(IF('Real and nominal GDP'!D140="",NA(),IF(ISNUMBER('Real and nominal GDP'!D140),'Real and nominal GDP'!D140,NA())),NA())</f>
        <v>#N/A</v>
      </c>
      <c r="F153" s="19" t="e">
        <f aca="false">IFERROR(IF('Real and nominal GDP'!E140="",NA(),IF(ISNUMBER('Real and nominal GDP'!E140),'Real and nominal GDP'!E140,NA())),NA())</f>
        <v>#N/A</v>
      </c>
      <c r="G153" s="19" t="e">
        <f aca="false">IFERROR(IF('Real and nominal GDP'!F140="",NA(),IF(ISNUMBER('Real and nominal GDP'!F140),'Real and nominal GDP'!F140,NA())),NA())</f>
        <v>#N/A</v>
      </c>
      <c r="H153" s="19" t="e">
        <f aca="false">IFERROR(IF('Real and nominal GDP'!G140="",NA(),IF(ISNUMBER('Real and nominal GDP'!G140),'Real and nominal GDP'!G140,NA())),NA())</f>
        <v>#N/A</v>
      </c>
      <c r="I153" s="19" t="e">
        <f aca="false">IFERROR(IF('Real and nominal GDP'!H140="",NA(),IF(ISNUMBER('Real and nominal GDP'!H140),'Real and nominal GDP'!H140,NA())),NA())</f>
        <v>#N/A</v>
      </c>
      <c r="J153" s="19" t="e">
        <f aca="false">IFERROR(IF('Real and nominal GDP'!I140="",NA(),IF(ISNUMBER('Real and nominal GDP'!I140),'Real and nominal GDP'!I140,NA())),NA())</f>
        <v>#N/A</v>
      </c>
      <c r="K153" s="19" t="e">
        <f aca="false">IFERROR(IF('Real and nominal GDP'!J140="",NA(),IF(ISNUMBER('Real and nominal GDP'!J140),'Real and nominal GDP'!J140,NA())),NA())</f>
        <v>#N/A</v>
      </c>
      <c r="L153" s="19" t="e">
        <f aca="false">IFERROR(IF('Real and nominal GDP'!K140="",NA(),IF(ISNUMBER('Real and nominal GDP'!K140),'Real and nominal GDP'!K140,NA())),NA())</f>
        <v>#N/A</v>
      </c>
      <c r="M153" s="20" t="e">
        <f aca="false">IFERROR(D153/D149-1,NA())</f>
        <v>#N/A</v>
      </c>
      <c r="N153" s="20" t="e">
        <f aca="false">IFERROR(D153/D152-1,NA())</f>
        <v>#N/A</v>
      </c>
      <c r="O153" s="20" t="e">
        <f aca="false">IFERROR(I153/I149-1,NA())</f>
        <v>#N/A</v>
      </c>
      <c r="P153" s="21" t="e">
        <f aca="false">IF(COUNT(D150:D153)=4,SUM(D150:D153),NA())</f>
        <v>#N/A</v>
      </c>
      <c r="Q153" s="21" t="e">
        <f aca="false">IF(COUNT(I150:I153)=4,SUM(I150:I153),NA())</f>
        <v>#N/A</v>
      </c>
      <c r="R153" s="21" t="e">
        <f aca="false">IFERROR(I153/K153,NA())</f>
        <v>#N/A</v>
      </c>
      <c r="S153" s="21" t="e">
        <f aca="false">IFERROR(I153/L153,NA())</f>
        <v>#N/A</v>
      </c>
    </row>
    <row r="154" customFormat="false" ht="15" hidden="false" customHeight="false" outlineLevel="0" collapsed="false">
      <c r="A154" s="16" t="e">
        <f aca="false">IFERROR(IF(ISNUMBER('Real and nominal GDP'!A141),'Real and nominal GDP'!A141,NA()),NA())</f>
        <v>#N/A</v>
      </c>
      <c r="B154" s="17" t="e">
        <f aca="false">IFERROR(IF('Real and nominal GDP'!B141="",NA(),'Real and nominal GDP'!B141),NA())</f>
        <v>#N/A</v>
      </c>
      <c r="C154" s="18" t="n">
        <f aca="false">IFERROR(YEAR(A154),0)</f>
        <v>0</v>
      </c>
      <c r="D154" s="19" t="e">
        <f aca="false">IFERROR(IF('Real and nominal GDP'!C141="",NA(),IF(ISNUMBER('Real and nominal GDP'!C141),'Real and nominal GDP'!C141,NA())),NA())</f>
        <v>#N/A</v>
      </c>
      <c r="E154" s="19" t="e">
        <f aca="false">IFERROR(IF('Real and nominal GDP'!D141="",NA(),IF(ISNUMBER('Real and nominal GDP'!D141),'Real and nominal GDP'!D141,NA())),NA())</f>
        <v>#N/A</v>
      </c>
      <c r="F154" s="19" t="e">
        <f aca="false">IFERROR(IF('Real and nominal GDP'!E141="",NA(),IF(ISNUMBER('Real and nominal GDP'!E141),'Real and nominal GDP'!E141,NA())),NA())</f>
        <v>#N/A</v>
      </c>
      <c r="G154" s="19" t="e">
        <f aca="false">IFERROR(IF('Real and nominal GDP'!F141="",NA(),IF(ISNUMBER('Real and nominal GDP'!F141),'Real and nominal GDP'!F141,NA())),NA())</f>
        <v>#N/A</v>
      </c>
      <c r="H154" s="19" t="e">
        <f aca="false">IFERROR(IF('Real and nominal GDP'!G141="",NA(),IF(ISNUMBER('Real and nominal GDP'!G141),'Real and nominal GDP'!G141,NA())),NA())</f>
        <v>#N/A</v>
      </c>
      <c r="I154" s="19" t="e">
        <f aca="false">IFERROR(IF('Real and nominal GDP'!H141="",NA(),IF(ISNUMBER('Real and nominal GDP'!H141),'Real and nominal GDP'!H141,NA())),NA())</f>
        <v>#N/A</v>
      </c>
      <c r="J154" s="19" t="e">
        <f aca="false">IFERROR(IF('Real and nominal GDP'!I141="",NA(),IF(ISNUMBER('Real and nominal GDP'!I141),'Real and nominal GDP'!I141,NA())),NA())</f>
        <v>#N/A</v>
      </c>
      <c r="K154" s="19" t="e">
        <f aca="false">IFERROR(IF('Real and nominal GDP'!J141="",NA(),IF(ISNUMBER('Real and nominal GDP'!J141),'Real and nominal GDP'!J141,NA())),NA())</f>
        <v>#N/A</v>
      </c>
      <c r="L154" s="19" t="e">
        <f aca="false">IFERROR(IF('Real and nominal GDP'!K141="",NA(),IF(ISNUMBER('Real and nominal GDP'!K141),'Real and nominal GDP'!K141,NA())),NA())</f>
        <v>#N/A</v>
      </c>
      <c r="M154" s="20" t="e">
        <f aca="false">IFERROR(D154/D150-1,NA())</f>
        <v>#N/A</v>
      </c>
      <c r="N154" s="20" t="e">
        <f aca="false">IFERROR(D154/D153-1,NA())</f>
        <v>#N/A</v>
      </c>
      <c r="O154" s="20" t="e">
        <f aca="false">IFERROR(I154/I150-1,NA())</f>
        <v>#N/A</v>
      </c>
      <c r="P154" s="21" t="e">
        <f aca="false">IF(COUNT(D151:D154)=4,SUM(D151:D154),NA())</f>
        <v>#N/A</v>
      </c>
      <c r="Q154" s="21" t="e">
        <f aca="false">IF(COUNT(I151:I154)=4,SUM(I151:I154),NA())</f>
        <v>#N/A</v>
      </c>
      <c r="R154" s="21" t="e">
        <f aca="false">IFERROR(I154/K154,NA())</f>
        <v>#N/A</v>
      </c>
      <c r="S154" s="21" t="e">
        <f aca="false">IFERROR(I154/L154,NA())</f>
        <v>#N/A</v>
      </c>
    </row>
    <row r="155" customFormat="false" ht="15" hidden="false" customHeight="false" outlineLevel="0" collapsed="false">
      <c r="A155" s="16" t="e">
        <f aca="false">IFERROR(IF(ISNUMBER('Real and nominal GDP'!A142),'Real and nominal GDP'!A142,NA()),NA())</f>
        <v>#N/A</v>
      </c>
      <c r="B155" s="17" t="e">
        <f aca="false">IFERROR(IF('Real and nominal GDP'!B142="",NA(),'Real and nominal GDP'!B142),NA())</f>
        <v>#N/A</v>
      </c>
      <c r="C155" s="18" t="n">
        <f aca="false">IFERROR(YEAR(A155),0)</f>
        <v>0</v>
      </c>
      <c r="D155" s="19" t="e">
        <f aca="false">IFERROR(IF('Real and nominal GDP'!C142="",NA(),IF(ISNUMBER('Real and nominal GDP'!C142),'Real and nominal GDP'!C142,NA())),NA())</f>
        <v>#N/A</v>
      </c>
      <c r="E155" s="19" t="e">
        <f aca="false">IFERROR(IF('Real and nominal GDP'!D142="",NA(),IF(ISNUMBER('Real and nominal GDP'!D142),'Real and nominal GDP'!D142,NA())),NA())</f>
        <v>#N/A</v>
      </c>
      <c r="F155" s="19" t="e">
        <f aca="false">IFERROR(IF('Real and nominal GDP'!E142="",NA(),IF(ISNUMBER('Real and nominal GDP'!E142),'Real and nominal GDP'!E142,NA())),NA())</f>
        <v>#N/A</v>
      </c>
      <c r="G155" s="19" t="e">
        <f aca="false">IFERROR(IF('Real and nominal GDP'!F142="",NA(),IF(ISNUMBER('Real and nominal GDP'!F142),'Real and nominal GDP'!F142,NA())),NA())</f>
        <v>#N/A</v>
      </c>
      <c r="H155" s="19" t="e">
        <f aca="false">IFERROR(IF('Real and nominal GDP'!G142="",NA(),IF(ISNUMBER('Real and nominal GDP'!G142),'Real and nominal GDP'!G142,NA())),NA())</f>
        <v>#N/A</v>
      </c>
      <c r="I155" s="19" t="e">
        <f aca="false">IFERROR(IF('Real and nominal GDP'!H142="",NA(),IF(ISNUMBER('Real and nominal GDP'!H142),'Real and nominal GDP'!H142,NA())),NA())</f>
        <v>#N/A</v>
      </c>
      <c r="J155" s="19" t="e">
        <f aca="false">IFERROR(IF('Real and nominal GDP'!I142="",NA(),IF(ISNUMBER('Real and nominal GDP'!I142),'Real and nominal GDP'!I142,NA())),NA())</f>
        <v>#N/A</v>
      </c>
      <c r="K155" s="19" t="e">
        <f aca="false">IFERROR(IF('Real and nominal GDP'!J142="",NA(),IF(ISNUMBER('Real and nominal GDP'!J142),'Real and nominal GDP'!J142,NA())),NA())</f>
        <v>#N/A</v>
      </c>
      <c r="L155" s="19" t="e">
        <f aca="false">IFERROR(IF('Real and nominal GDP'!K142="",NA(),IF(ISNUMBER('Real and nominal GDP'!K142),'Real and nominal GDP'!K142,NA())),NA())</f>
        <v>#N/A</v>
      </c>
      <c r="M155" s="20" t="e">
        <f aca="false">IFERROR(D155/D151-1,NA())</f>
        <v>#N/A</v>
      </c>
      <c r="N155" s="20" t="e">
        <f aca="false">IFERROR(D155/D154-1,NA())</f>
        <v>#N/A</v>
      </c>
      <c r="O155" s="20" t="e">
        <f aca="false">IFERROR(I155/I151-1,NA())</f>
        <v>#N/A</v>
      </c>
      <c r="P155" s="21" t="e">
        <f aca="false">IF(COUNT(D152:D155)=4,SUM(D152:D155),NA())</f>
        <v>#N/A</v>
      </c>
      <c r="Q155" s="21" t="e">
        <f aca="false">IF(COUNT(I152:I155)=4,SUM(I152:I155),NA())</f>
        <v>#N/A</v>
      </c>
      <c r="R155" s="21" t="e">
        <f aca="false">IFERROR(I155/K155,NA())</f>
        <v>#N/A</v>
      </c>
      <c r="S155" s="21" t="e">
        <f aca="false">IFERROR(I155/L155,NA())</f>
        <v>#N/A</v>
      </c>
    </row>
    <row r="156" customFormat="false" ht="15" hidden="false" customHeight="false" outlineLevel="0" collapsed="false">
      <c r="A156" s="16" t="e">
        <f aca="false">IFERROR(IF(ISNUMBER('Real and nominal GDP'!A143),'Real and nominal GDP'!A143,NA()),NA())</f>
        <v>#N/A</v>
      </c>
      <c r="B156" s="17" t="e">
        <f aca="false">IFERROR(IF('Real and nominal GDP'!B143="",NA(),'Real and nominal GDP'!B143),NA())</f>
        <v>#N/A</v>
      </c>
      <c r="C156" s="18" t="n">
        <f aca="false">IFERROR(YEAR(A156),0)</f>
        <v>0</v>
      </c>
      <c r="D156" s="19" t="e">
        <f aca="false">IFERROR(IF('Real and nominal GDP'!C143="",NA(),IF(ISNUMBER('Real and nominal GDP'!C143),'Real and nominal GDP'!C143,NA())),NA())</f>
        <v>#N/A</v>
      </c>
      <c r="E156" s="19" t="e">
        <f aca="false">IFERROR(IF('Real and nominal GDP'!D143="",NA(),IF(ISNUMBER('Real and nominal GDP'!D143),'Real and nominal GDP'!D143,NA())),NA())</f>
        <v>#N/A</v>
      </c>
      <c r="F156" s="19" t="e">
        <f aca="false">IFERROR(IF('Real and nominal GDP'!E143="",NA(),IF(ISNUMBER('Real and nominal GDP'!E143),'Real and nominal GDP'!E143,NA())),NA())</f>
        <v>#N/A</v>
      </c>
      <c r="G156" s="19" t="e">
        <f aca="false">IFERROR(IF('Real and nominal GDP'!F143="",NA(),IF(ISNUMBER('Real and nominal GDP'!F143),'Real and nominal GDP'!F143,NA())),NA())</f>
        <v>#N/A</v>
      </c>
      <c r="H156" s="19" t="e">
        <f aca="false">IFERROR(IF('Real and nominal GDP'!G143="",NA(),IF(ISNUMBER('Real and nominal GDP'!G143),'Real and nominal GDP'!G143,NA())),NA())</f>
        <v>#N/A</v>
      </c>
      <c r="I156" s="19" t="e">
        <f aca="false">IFERROR(IF('Real and nominal GDP'!H143="",NA(),IF(ISNUMBER('Real and nominal GDP'!H143),'Real and nominal GDP'!H143,NA())),NA())</f>
        <v>#N/A</v>
      </c>
      <c r="J156" s="19" t="e">
        <f aca="false">IFERROR(IF('Real and nominal GDP'!I143="",NA(),IF(ISNUMBER('Real and nominal GDP'!I143),'Real and nominal GDP'!I143,NA())),NA())</f>
        <v>#N/A</v>
      </c>
      <c r="K156" s="19" t="e">
        <f aca="false">IFERROR(IF('Real and nominal GDP'!J143="",NA(),IF(ISNUMBER('Real and nominal GDP'!J143),'Real and nominal GDP'!J143,NA())),NA())</f>
        <v>#N/A</v>
      </c>
      <c r="L156" s="19" t="e">
        <f aca="false">IFERROR(IF('Real and nominal GDP'!K143="",NA(),IF(ISNUMBER('Real and nominal GDP'!K143),'Real and nominal GDP'!K143,NA())),NA())</f>
        <v>#N/A</v>
      </c>
      <c r="M156" s="20" t="e">
        <f aca="false">IFERROR(D156/D152-1,NA())</f>
        <v>#N/A</v>
      </c>
      <c r="N156" s="20" t="e">
        <f aca="false">IFERROR(D156/D155-1,NA())</f>
        <v>#N/A</v>
      </c>
      <c r="O156" s="20" t="e">
        <f aca="false">IFERROR(I156/I152-1,NA())</f>
        <v>#N/A</v>
      </c>
      <c r="P156" s="21" t="e">
        <f aca="false">IF(COUNT(D153:D156)=4,SUM(D153:D156),NA())</f>
        <v>#N/A</v>
      </c>
      <c r="Q156" s="21" t="e">
        <f aca="false">IF(COUNT(I153:I156)=4,SUM(I153:I156),NA())</f>
        <v>#N/A</v>
      </c>
      <c r="R156" s="21" t="e">
        <f aca="false">IFERROR(I156/K156,NA())</f>
        <v>#N/A</v>
      </c>
      <c r="S156" s="21" t="e">
        <f aca="false">IFERROR(I156/L156,NA())</f>
        <v>#N/A</v>
      </c>
    </row>
    <row r="157" customFormat="false" ht="15" hidden="false" customHeight="false" outlineLevel="0" collapsed="false">
      <c r="A157" s="16" t="e">
        <f aca="false">IFERROR(IF(ISNUMBER('Real and nominal GDP'!A144),'Real and nominal GDP'!A144,NA()),NA())</f>
        <v>#N/A</v>
      </c>
      <c r="B157" s="17" t="e">
        <f aca="false">IFERROR(IF('Real and nominal GDP'!B144="",NA(),'Real and nominal GDP'!B144),NA())</f>
        <v>#N/A</v>
      </c>
      <c r="C157" s="18" t="n">
        <f aca="false">IFERROR(YEAR(A157),0)</f>
        <v>0</v>
      </c>
      <c r="D157" s="19" t="e">
        <f aca="false">IFERROR(IF('Real and nominal GDP'!C144="",NA(),IF(ISNUMBER('Real and nominal GDP'!C144),'Real and nominal GDP'!C144,NA())),NA())</f>
        <v>#N/A</v>
      </c>
      <c r="E157" s="19" t="e">
        <f aca="false">IFERROR(IF('Real and nominal GDP'!D144="",NA(),IF(ISNUMBER('Real and nominal GDP'!D144),'Real and nominal GDP'!D144,NA())),NA())</f>
        <v>#N/A</v>
      </c>
      <c r="F157" s="19" t="e">
        <f aca="false">IFERROR(IF('Real and nominal GDP'!E144="",NA(),IF(ISNUMBER('Real and nominal GDP'!E144),'Real and nominal GDP'!E144,NA())),NA())</f>
        <v>#N/A</v>
      </c>
      <c r="G157" s="19" t="e">
        <f aca="false">IFERROR(IF('Real and nominal GDP'!F144="",NA(),IF(ISNUMBER('Real and nominal GDP'!F144),'Real and nominal GDP'!F144,NA())),NA())</f>
        <v>#N/A</v>
      </c>
      <c r="H157" s="19" t="e">
        <f aca="false">IFERROR(IF('Real and nominal GDP'!G144="",NA(),IF(ISNUMBER('Real and nominal GDP'!G144),'Real and nominal GDP'!G144,NA())),NA())</f>
        <v>#N/A</v>
      </c>
      <c r="I157" s="19" t="e">
        <f aca="false">IFERROR(IF('Real and nominal GDP'!H144="",NA(),IF(ISNUMBER('Real and nominal GDP'!H144),'Real and nominal GDP'!H144,NA())),NA())</f>
        <v>#N/A</v>
      </c>
      <c r="J157" s="19" t="e">
        <f aca="false">IFERROR(IF('Real and nominal GDP'!I144="",NA(),IF(ISNUMBER('Real and nominal GDP'!I144),'Real and nominal GDP'!I144,NA())),NA())</f>
        <v>#N/A</v>
      </c>
      <c r="K157" s="19" t="e">
        <f aca="false">IFERROR(IF('Real and nominal GDP'!J144="",NA(),IF(ISNUMBER('Real and nominal GDP'!J144),'Real and nominal GDP'!J144,NA())),NA())</f>
        <v>#N/A</v>
      </c>
      <c r="L157" s="19" t="e">
        <f aca="false">IFERROR(IF('Real and nominal GDP'!K144="",NA(),IF(ISNUMBER('Real and nominal GDP'!K144),'Real and nominal GDP'!K144,NA())),NA())</f>
        <v>#N/A</v>
      </c>
      <c r="M157" s="20" t="e">
        <f aca="false">IFERROR(D157/D153-1,NA())</f>
        <v>#N/A</v>
      </c>
      <c r="N157" s="20" t="e">
        <f aca="false">IFERROR(D157/D156-1,NA())</f>
        <v>#N/A</v>
      </c>
      <c r="O157" s="20" t="e">
        <f aca="false">IFERROR(I157/I153-1,NA())</f>
        <v>#N/A</v>
      </c>
      <c r="P157" s="21" t="e">
        <f aca="false">IF(COUNT(D154:D157)=4,SUM(D154:D157),NA())</f>
        <v>#N/A</v>
      </c>
      <c r="Q157" s="21" t="e">
        <f aca="false">IF(COUNT(I154:I157)=4,SUM(I154:I157),NA())</f>
        <v>#N/A</v>
      </c>
      <c r="R157" s="21" t="e">
        <f aca="false">IFERROR(I157/K157,NA())</f>
        <v>#N/A</v>
      </c>
      <c r="S157" s="21" t="e">
        <f aca="false">IFERROR(I157/L157,NA())</f>
        <v>#N/A</v>
      </c>
    </row>
    <row r="158" customFormat="false" ht="15" hidden="false" customHeight="false" outlineLevel="0" collapsed="false">
      <c r="A158" s="16" t="e">
        <f aca="false">IFERROR(IF(ISNUMBER('Real and nominal GDP'!A145),'Real and nominal GDP'!A145,NA()),NA())</f>
        <v>#N/A</v>
      </c>
      <c r="B158" s="17" t="e">
        <f aca="false">IFERROR(IF('Real and nominal GDP'!B145="",NA(),'Real and nominal GDP'!B145),NA())</f>
        <v>#N/A</v>
      </c>
      <c r="C158" s="18" t="n">
        <f aca="false">IFERROR(YEAR(A158),0)</f>
        <v>0</v>
      </c>
      <c r="D158" s="19" t="e">
        <f aca="false">IFERROR(IF('Real and nominal GDP'!C145="",NA(),IF(ISNUMBER('Real and nominal GDP'!C145),'Real and nominal GDP'!C145,NA())),NA())</f>
        <v>#N/A</v>
      </c>
      <c r="E158" s="19" t="e">
        <f aca="false">IFERROR(IF('Real and nominal GDP'!D145="",NA(),IF(ISNUMBER('Real and nominal GDP'!D145),'Real and nominal GDP'!D145,NA())),NA())</f>
        <v>#N/A</v>
      </c>
      <c r="F158" s="19" t="e">
        <f aca="false">IFERROR(IF('Real and nominal GDP'!E145="",NA(),IF(ISNUMBER('Real and nominal GDP'!E145),'Real and nominal GDP'!E145,NA())),NA())</f>
        <v>#N/A</v>
      </c>
      <c r="G158" s="19" t="e">
        <f aca="false">IFERROR(IF('Real and nominal GDP'!F145="",NA(),IF(ISNUMBER('Real and nominal GDP'!F145),'Real and nominal GDP'!F145,NA())),NA())</f>
        <v>#N/A</v>
      </c>
      <c r="H158" s="19" t="e">
        <f aca="false">IFERROR(IF('Real and nominal GDP'!G145="",NA(),IF(ISNUMBER('Real and nominal GDP'!G145),'Real and nominal GDP'!G145,NA())),NA())</f>
        <v>#N/A</v>
      </c>
      <c r="I158" s="19" t="e">
        <f aca="false">IFERROR(IF('Real and nominal GDP'!H145="",NA(),IF(ISNUMBER('Real and nominal GDP'!H145),'Real and nominal GDP'!H145,NA())),NA())</f>
        <v>#N/A</v>
      </c>
      <c r="J158" s="19" t="e">
        <f aca="false">IFERROR(IF('Real and nominal GDP'!I145="",NA(),IF(ISNUMBER('Real and nominal GDP'!I145),'Real and nominal GDP'!I145,NA())),NA())</f>
        <v>#N/A</v>
      </c>
      <c r="K158" s="19" t="e">
        <f aca="false">IFERROR(IF('Real and nominal GDP'!J145="",NA(),IF(ISNUMBER('Real and nominal GDP'!J145),'Real and nominal GDP'!J145,NA())),NA())</f>
        <v>#N/A</v>
      </c>
      <c r="L158" s="19" t="e">
        <f aca="false">IFERROR(IF('Real and nominal GDP'!K145="",NA(),IF(ISNUMBER('Real and nominal GDP'!K145),'Real and nominal GDP'!K145,NA())),NA())</f>
        <v>#N/A</v>
      </c>
      <c r="M158" s="20" t="e">
        <f aca="false">IFERROR(D158/D154-1,NA())</f>
        <v>#N/A</v>
      </c>
      <c r="N158" s="20" t="e">
        <f aca="false">IFERROR(D158/D157-1,NA())</f>
        <v>#N/A</v>
      </c>
      <c r="O158" s="20" t="e">
        <f aca="false">IFERROR(I158/I154-1,NA())</f>
        <v>#N/A</v>
      </c>
      <c r="P158" s="21" t="e">
        <f aca="false">IF(COUNT(D155:D158)=4,SUM(D155:D158),NA())</f>
        <v>#N/A</v>
      </c>
      <c r="Q158" s="21" t="e">
        <f aca="false">IF(COUNT(I155:I158)=4,SUM(I155:I158),NA())</f>
        <v>#N/A</v>
      </c>
      <c r="R158" s="21" t="e">
        <f aca="false">IFERROR(I158/K158,NA())</f>
        <v>#N/A</v>
      </c>
      <c r="S158" s="21" t="e">
        <f aca="false">IFERROR(I158/L158,NA())</f>
        <v>#N/A</v>
      </c>
    </row>
    <row r="159" customFormat="false" ht="15" hidden="false" customHeight="false" outlineLevel="0" collapsed="false">
      <c r="A159" s="16" t="e">
        <f aca="false">IFERROR(IF(ISNUMBER('Real and nominal GDP'!A146),'Real and nominal GDP'!A146,NA()),NA())</f>
        <v>#N/A</v>
      </c>
      <c r="B159" s="17" t="e">
        <f aca="false">IFERROR(IF('Real and nominal GDP'!B146="",NA(),'Real and nominal GDP'!B146),NA())</f>
        <v>#N/A</v>
      </c>
      <c r="C159" s="18" t="n">
        <f aca="false">IFERROR(YEAR(A159),0)</f>
        <v>0</v>
      </c>
      <c r="D159" s="19" t="e">
        <f aca="false">IFERROR(IF('Real and nominal GDP'!C146="",NA(),IF(ISNUMBER('Real and nominal GDP'!C146),'Real and nominal GDP'!C146,NA())),NA())</f>
        <v>#N/A</v>
      </c>
      <c r="E159" s="19" t="e">
        <f aca="false">IFERROR(IF('Real and nominal GDP'!D146="",NA(),IF(ISNUMBER('Real and nominal GDP'!D146),'Real and nominal GDP'!D146,NA())),NA())</f>
        <v>#N/A</v>
      </c>
      <c r="F159" s="19" t="e">
        <f aca="false">IFERROR(IF('Real and nominal GDP'!E146="",NA(),IF(ISNUMBER('Real and nominal GDP'!E146),'Real and nominal GDP'!E146,NA())),NA())</f>
        <v>#N/A</v>
      </c>
      <c r="G159" s="19" t="e">
        <f aca="false">IFERROR(IF('Real and nominal GDP'!F146="",NA(),IF(ISNUMBER('Real and nominal GDP'!F146),'Real and nominal GDP'!F146,NA())),NA())</f>
        <v>#N/A</v>
      </c>
      <c r="H159" s="19" t="e">
        <f aca="false">IFERROR(IF('Real and nominal GDP'!G146="",NA(),IF(ISNUMBER('Real and nominal GDP'!G146),'Real and nominal GDP'!G146,NA())),NA())</f>
        <v>#N/A</v>
      </c>
      <c r="I159" s="19" t="e">
        <f aca="false">IFERROR(IF('Real and nominal GDP'!H146="",NA(),IF(ISNUMBER('Real and nominal GDP'!H146),'Real and nominal GDP'!H146,NA())),NA())</f>
        <v>#N/A</v>
      </c>
      <c r="J159" s="19" t="e">
        <f aca="false">IFERROR(IF('Real and nominal GDP'!I146="",NA(),IF(ISNUMBER('Real and nominal GDP'!I146),'Real and nominal GDP'!I146,NA())),NA())</f>
        <v>#N/A</v>
      </c>
      <c r="K159" s="19" t="e">
        <f aca="false">IFERROR(IF('Real and nominal GDP'!J146="",NA(),IF(ISNUMBER('Real and nominal GDP'!J146),'Real and nominal GDP'!J146,NA())),NA())</f>
        <v>#N/A</v>
      </c>
      <c r="L159" s="19" t="e">
        <f aca="false">IFERROR(IF('Real and nominal GDP'!K146="",NA(),IF(ISNUMBER('Real and nominal GDP'!K146),'Real and nominal GDP'!K146,NA())),NA())</f>
        <v>#N/A</v>
      </c>
      <c r="M159" s="20" t="e">
        <f aca="false">IFERROR(D159/D155-1,NA())</f>
        <v>#N/A</v>
      </c>
      <c r="N159" s="20" t="e">
        <f aca="false">IFERROR(D159/D158-1,NA())</f>
        <v>#N/A</v>
      </c>
      <c r="O159" s="20" t="e">
        <f aca="false">IFERROR(I159/I155-1,NA())</f>
        <v>#N/A</v>
      </c>
      <c r="P159" s="21" t="e">
        <f aca="false">IF(COUNT(D156:D159)=4,SUM(D156:D159),NA())</f>
        <v>#N/A</v>
      </c>
      <c r="Q159" s="21" t="e">
        <f aca="false">IF(COUNT(I156:I159)=4,SUM(I156:I159),NA())</f>
        <v>#N/A</v>
      </c>
      <c r="R159" s="21" t="e">
        <f aca="false">IFERROR(I159/K159,NA())</f>
        <v>#N/A</v>
      </c>
      <c r="S159" s="21" t="e">
        <f aca="false">IFERROR(I159/L159,NA())</f>
        <v>#N/A</v>
      </c>
    </row>
    <row r="160" customFormat="false" ht="15" hidden="false" customHeight="false" outlineLevel="0" collapsed="false">
      <c r="A160" s="16" t="e">
        <f aca="false">IFERROR(IF(ISNUMBER('Real and nominal GDP'!A147),'Real and nominal GDP'!A147,NA()),NA())</f>
        <v>#N/A</v>
      </c>
      <c r="B160" s="17" t="e">
        <f aca="false">IFERROR(IF('Real and nominal GDP'!B147="",NA(),'Real and nominal GDP'!B147),NA())</f>
        <v>#N/A</v>
      </c>
      <c r="C160" s="18" t="n">
        <f aca="false">IFERROR(YEAR(A160),0)</f>
        <v>0</v>
      </c>
      <c r="D160" s="19" t="e">
        <f aca="false">IFERROR(IF('Real and nominal GDP'!C147="",NA(),IF(ISNUMBER('Real and nominal GDP'!C147),'Real and nominal GDP'!C147,NA())),NA())</f>
        <v>#N/A</v>
      </c>
      <c r="E160" s="19" t="e">
        <f aca="false">IFERROR(IF('Real and nominal GDP'!D147="",NA(),IF(ISNUMBER('Real and nominal GDP'!D147),'Real and nominal GDP'!D147,NA())),NA())</f>
        <v>#N/A</v>
      </c>
      <c r="F160" s="19" t="e">
        <f aca="false">IFERROR(IF('Real and nominal GDP'!E147="",NA(),IF(ISNUMBER('Real and nominal GDP'!E147),'Real and nominal GDP'!E147,NA())),NA())</f>
        <v>#N/A</v>
      </c>
      <c r="G160" s="19" t="e">
        <f aca="false">IFERROR(IF('Real and nominal GDP'!F147="",NA(),IF(ISNUMBER('Real and nominal GDP'!F147),'Real and nominal GDP'!F147,NA())),NA())</f>
        <v>#N/A</v>
      </c>
      <c r="H160" s="19" t="e">
        <f aca="false">IFERROR(IF('Real and nominal GDP'!G147="",NA(),IF(ISNUMBER('Real and nominal GDP'!G147),'Real and nominal GDP'!G147,NA())),NA())</f>
        <v>#N/A</v>
      </c>
      <c r="I160" s="19" t="e">
        <f aca="false">IFERROR(IF('Real and nominal GDP'!H147="",NA(),IF(ISNUMBER('Real and nominal GDP'!H147),'Real and nominal GDP'!H147,NA())),NA())</f>
        <v>#N/A</v>
      </c>
      <c r="J160" s="19" t="e">
        <f aca="false">IFERROR(IF('Real and nominal GDP'!I147="",NA(),IF(ISNUMBER('Real and nominal GDP'!I147),'Real and nominal GDP'!I147,NA())),NA())</f>
        <v>#N/A</v>
      </c>
      <c r="K160" s="19" t="e">
        <f aca="false">IFERROR(IF('Real and nominal GDP'!J147="",NA(),IF(ISNUMBER('Real and nominal GDP'!J147),'Real and nominal GDP'!J147,NA())),NA())</f>
        <v>#N/A</v>
      </c>
      <c r="L160" s="19" t="e">
        <f aca="false">IFERROR(IF('Real and nominal GDP'!K147="",NA(),IF(ISNUMBER('Real and nominal GDP'!K147),'Real and nominal GDP'!K147,NA())),NA())</f>
        <v>#N/A</v>
      </c>
      <c r="M160" s="20" t="e">
        <f aca="false">IFERROR(D160/D156-1,NA())</f>
        <v>#N/A</v>
      </c>
      <c r="N160" s="20" t="e">
        <f aca="false">IFERROR(D160/D159-1,NA())</f>
        <v>#N/A</v>
      </c>
      <c r="O160" s="20" t="e">
        <f aca="false">IFERROR(I160/I156-1,NA())</f>
        <v>#N/A</v>
      </c>
      <c r="P160" s="21" t="e">
        <f aca="false">IF(COUNT(D157:D160)=4,SUM(D157:D160),NA())</f>
        <v>#N/A</v>
      </c>
      <c r="Q160" s="21" t="e">
        <f aca="false">IF(COUNT(I157:I160)=4,SUM(I157:I160),NA())</f>
        <v>#N/A</v>
      </c>
      <c r="R160" s="21" t="e">
        <f aca="false">IFERROR(I160/K160,NA())</f>
        <v>#N/A</v>
      </c>
      <c r="S160" s="21" t="e">
        <f aca="false">IFERROR(I160/L160,NA())</f>
        <v>#N/A</v>
      </c>
    </row>
    <row r="161" customFormat="false" ht="15" hidden="false" customHeight="false" outlineLevel="0" collapsed="false">
      <c r="A161" s="16" t="e">
        <f aca="false">IFERROR(IF(ISNUMBER('Real and nominal GDP'!A148),'Real and nominal GDP'!A148,NA()),NA())</f>
        <v>#N/A</v>
      </c>
      <c r="B161" s="17" t="e">
        <f aca="false">IFERROR(IF('Real and nominal GDP'!B148="",NA(),'Real and nominal GDP'!B148),NA())</f>
        <v>#N/A</v>
      </c>
      <c r="C161" s="18" t="n">
        <f aca="false">IFERROR(YEAR(A161),0)</f>
        <v>0</v>
      </c>
      <c r="D161" s="19" t="e">
        <f aca="false">IFERROR(IF('Real and nominal GDP'!C148="",NA(),IF(ISNUMBER('Real and nominal GDP'!C148),'Real and nominal GDP'!C148,NA())),NA())</f>
        <v>#N/A</v>
      </c>
      <c r="E161" s="19" t="e">
        <f aca="false">IFERROR(IF('Real and nominal GDP'!D148="",NA(),IF(ISNUMBER('Real and nominal GDP'!D148),'Real and nominal GDP'!D148,NA())),NA())</f>
        <v>#N/A</v>
      </c>
      <c r="F161" s="19" t="e">
        <f aca="false">IFERROR(IF('Real and nominal GDP'!E148="",NA(),IF(ISNUMBER('Real and nominal GDP'!E148),'Real and nominal GDP'!E148,NA())),NA())</f>
        <v>#N/A</v>
      </c>
      <c r="G161" s="19" t="e">
        <f aca="false">IFERROR(IF('Real and nominal GDP'!F148="",NA(),IF(ISNUMBER('Real and nominal GDP'!F148),'Real and nominal GDP'!F148,NA())),NA())</f>
        <v>#N/A</v>
      </c>
      <c r="H161" s="19" t="e">
        <f aca="false">IFERROR(IF('Real and nominal GDP'!G148="",NA(),IF(ISNUMBER('Real and nominal GDP'!G148),'Real and nominal GDP'!G148,NA())),NA())</f>
        <v>#N/A</v>
      </c>
      <c r="I161" s="19" t="e">
        <f aca="false">IFERROR(IF('Real and nominal GDP'!H148="",NA(),IF(ISNUMBER('Real and nominal GDP'!H148),'Real and nominal GDP'!H148,NA())),NA())</f>
        <v>#N/A</v>
      </c>
      <c r="J161" s="19" t="e">
        <f aca="false">IFERROR(IF('Real and nominal GDP'!I148="",NA(),IF(ISNUMBER('Real and nominal GDP'!I148),'Real and nominal GDP'!I148,NA())),NA())</f>
        <v>#N/A</v>
      </c>
      <c r="K161" s="19" t="e">
        <f aca="false">IFERROR(IF('Real and nominal GDP'!J148="",NA(),IF(ISNUMBER('Real and nominal GDP'!J148),'Real and nominal GDP'!J148,NA())),NA())</f>
        <v>#N/A</v>
      </c>
      <c r="L161" s="19" t="e">
        <f aca="false">IFERROR(IF('Real and nominal GDP'!K148="",NA(),IF(ISNUMBER('Real and nominal GDP'!K148),'Real and nominal GDP'!K148,NA())),NA())</f>
        <v>#N/A</v>
      </c>
      <c r="M161" s="20" t="e">
        <f aca="false">IFERROR(D161/D157-1,NA())</f>
        <v>#N/A</v>
      </c>
      <c r="N161" s="20" t="e">
        <f aca="false">IFERROR(D161/D160-1,NA())</f>
        <v>#N/A</v>
      </c>
      <c r="O161" s="20" t="e">
        <f aca="false">IFERROR(I161/I157-1,NA())</f>
        <v>#N/A</v>
      </c>
      <c r="P161" s="21" t="e">
        <f aca="false">IF(COUNT(D158:D161)=4,SUM(D158:D161),NA())</f>
        <v>#N/A</v>
      </c>
      <c r="Q161" s="21" t="e">
        <f aca="false">IF(COUNT(I158:I161)=4,SUM(I158:I161),NA())</f>
        <v>#N/A</v>
      </c>
      <c r="R161" s="21" t="e">
        <f aca="false">IFERROR(I161/K161,NA())</f>
        <v>#N/A</v>
      </c>
      <c r="S161" s="21" t="e">
        <f aca="false">IFERROR(I161/L161,NA())</f>
        <v>#N/A</v>
      </c>
    </row>
    <row r="162" customFormat="false" ht="15" hidden="false" customHeight="false" outlineLevel="0" collapsed="false">
      <c r="A162" s="16" t="e">
        <f aca="false">IFERROR(IF(ISNUMBER('Real and nominal GDP'!A149),'Real and nominal GDP'!A149,NA()),NA())</f>
        <v>#N/A</v>
      </c>
      <c r="B162" s="17" t="e">
        <f aca="false">IFERROR(IF('Real and nominal GDP'!B149="",NA(),'Real and nominal GDP'!B149),NA())</f>
        <v>#N/A</v>
      </c>
      <c r="C162" s="18" t="n">
        <f aca="false">IFERROR(YEAR(A162),0)</f>
        <v>0</v>
      </c>
      <c r="D162" s="19" t="e">
        <f aca="false">IFERROR(IF('Real and nominal GDP'!C149="",NA(),IF(ISNUMBER('Real and nominal GDP'!C149),'Real and nominal GDP'!C149,NA())),NA())</f>
        <v>#N/A</v>
      </c>
      <c r="E162" s="19" t="e">
        <f aca="false">IFERROR(IF('Real and nominal GDP'!D149="",NA(),IF(ISNUMBER('Real and nominal GDP'!D149),'Real and nominal GDP'!D149,NA())),NA())</f>
        <v>#N/A</v>
      </c>
      <c r="F162" s="19" t="e">
        <f aca="false">IFERROR(IF('Real and nominal GDP'!E149="",NA(),IF(ISNUMBER('Real and nominal GDP'!E149),'Real and nominal GDP'!E149,NA())),NA())</f>
        <v>#N/A</v>
      </c>
      <c r="G162" s="19" t="e">
        <f aca="false">IFERROR(IF('Real and nominal GDP'!F149="",NA(),IF(ISNUMBER('Real and nominal GDP'!F149),'Real and nominal GDP'!F149,NA())),NA())</f>
        <v>#N/A</v>
      </c>
      <c r="H162" s="19" t="e">
        <f aca="false">IFERROR(IF('Real and nominal GDP'!G149="",NA(),IF(ISNUMBER('Real and nominal GDP'!G149),'Real and nominal GDP'!G149,NA())),NA())</f>
        <v>#N/A</v>
      </c>
      <c r="I162" s="19" t="e">
        <f aca="false">IFERROR(IF('Real and nominal GDP'!H149="",NA(),IF(ISNUMBER('Real and nominal GDP'!H149),'Real and nominal GDP'!H149,NA())),NA())</f>
        <v>#N/A</v>
      </c>
      <c r="J162" s="19" t="e">
        <f aca="false">IFERROR(IF('Real and nominal GDP'!I149="",NA(),IF(ISNUMBER('Real and nominal GDP'!I149),'Real and nominal GDP'!I149,NA())),NA())</f>
        <v>#N/A</v>
      </c>
      <c r="K162" s="19" t="e">
        <f aca="false">IFERROR(IF('Real and nominal GDP'!J149="",NA(),IF(ISNUMBER('Real and nominal GDP'!J149),'Real and nominal GDP'!J149,NA())),NA())</f>
        <v>#N/A</v>
      </c>
      <c r="L162" s="19" t="e">
        <f aca="false">IFERROR(IF('Real and nominal GDP'!K149="",NA(),IF(ISNUMBER('Real and nominal GDP'!K149),'Real and nominal GDP'!K149,NA())),NA())</f>
        <v>#N/A</v>
      </c>
      <c r="M162" s="20" t="e">
        <f aca="false">IFERROR(D162/D158-1,NA())</f>
        <v>#N/A</v>
      </c>
      <c r="N162" s="20" t="e">
        <f aca="false">IFERROR(D162/D161-1,NA())</f>
        <v>#N/A</v>
      </c>
      <c r="O162" s="20" t="e">
        <f aca="false">IFERROR(I162/I158-1,NA())</f>
        <v>#N/A</v>
      </c>
      <c r="P162" s="21" t="e">
        <f aca="false">IF(COUNT(D159:D162)=4,SUM(D159:D162),NA())</f>
        <v>#N/A</v>
      </c>
      <c r="Q162" s="21" t="e">
        <f aca="false">IF(COUNT(I159:I162)=4,SUM(I159:I162),NA())</f>
        <v>#N/A</v>
      </c>
      <c r="R162" s="21" t="e">
        <f aca="false">IFERROR(I162/K162,NA())</f>
        <v>#N/A</v>
      </c>
      <c r="S162" s="21" t="e">
        <f aca="false">IFERROR(I162/L162,NA())</f>
        <v>#N/A</v>
      </c>
    </row>
    <row r="163" customFormat="false" ht="15" hidden="false" customHeight="false" outlineLevel="0" collapsed="false">
      <c r="A163" s="16" t="e">
        <f aca="false">IFERROR(IF(ISNUMBER('Real and nominal GDP'!A150),'Real and nominal GDP'!A150,NA()),NA())</f>
        <v>#N/A</v>
      </c>
      <c r="B163" s="17" t="e">
        <f aca="false">IFERROR(IF('Real and nominal GDP'!B150="",NA(),'Real and nominal GDP'!B150),NA())</f>
        <v>#N/A</v>
      </c>
      <c r="C163" s="18" t="n">
        <f aca="false">IFERROR(YEAR(A163),0)</f>
        <v>0</v>
      </c>
      <c r="D163" s="19" t="e">
        <f aca="false">IFERROR(IF('Real and nominal GDP'!C150="",NA(),IF(ISNUMBER('Real and nominal GDP'!C150),'Real and nominal GDP'!C150,NA())),NA())</f>
        <v>#N/A</v>
      </c>
      <c r="E163" s="19" t="e">
        <f aca="false">IFERROR(IF('Real and nominal GDP'!D150="",NA(),IF(ISNUMBER('Real and nominal GDP'!D150),'Real and nominal GDP'!D150,NA())),NA())</f>
        <v>#N/A</v>
      </c>
      <c r="F163" s="19" t="e">
        <f aca="false">IFERROR(IF('Real and nominal GDP'!E150="",NA(),IF(ISNUMBER('Real and nominal GDP'!E150),'Real and nominal GDP'!E150,NA())),NA())</f>
        <v>#N/A</v>
      </c>
      <c r="G163" s="19" t="e">
        <f aca="false">IFERROR(IF('Real and nominal GDP'!F150="",NA(),IF(ISNUMBER('Real and nominal GDP'!F150),'Real and nominal GDP'!F150,NA())),NA())</f>
        <v>#N/A</v>
      </c>
      <c r="H163" s="19" t="e">
        <f aca="false">IFERROR(IF('Real and nominal GDP'!G150="",NA(),IF(ISNUMBER('Real and nominal GDP'!G150),'Real and nominal GDP'!G150,NA())),NA())</f>
        <v>#N/A</v>
      </c>
      <c r="I163" s="19" t="e">
        <f aca="false">IFERROR(IF('Real and nominal GDP'!H150="",NA(),IF(ISNUMBER('Real and nominal GDP'!H150),'Real and nominal GDP'!H150,NA())),NA())</f>
        <v>#N/A</v>
      </c>
      <c r="J163" s="19" t="e">
        <f aca="false">IFERROR(IF('Real and nominal GDP'!I150="",NA(),IF(ISNUMBER('Real and nominal GDP'!I150),'Real and nominal GDP'!I150,NA())),NA())</f>
        <v>#N/A</v>
      </c>
      <c r="K163" s="19" t="e">
        <f aca="false">IFERROR(IF('Real and nominal GDP'!J150="",NA(),IF(ISNUMBER('Real and nominal GDP'!J150),'Real and nominal GDP'!J150,NA())),NA())</f>
        <v>#N/A</v>
      </c>
      <c r="L163" s="19" t="e">
        <f aca="false">IFERROR(IF('Real and nominal GDP'!K150="",NA(),IF(ISNUMBER('Real and nominal GDP'!K150),'Real and nominal GDP'!K150,NA())),NA())</f>
        <v>#N/A</v>
      </c>
      <c r="M163" s="20" t="e">
        <f aca="false">IFERROR(D163/D159-1,NA())</f>
        <v>#N/A</v>
      </c>
      <c r="N163" s="20" t="e">
        <f aca="false">IFERROR(D163/D162-1,NA())</f>
        <v>#N/A</v>
      </c>
      <c r="O163" s="20" t="e">
        <f aca="false">IFERROR(I163/I159-1,NA())</f>
        <v>#N/A</v>
      </c>
      <c r="P163" s="21" t="e">
        <f aca="false">IF(COUNT(D160:D163)=4,SUM(D160:D163),NA())</f>
        <v>#N/A</v>
      </c>
      <c r="Q163" s="21" t="e">
        <f aca="false">IF(COUNT(I160:I163)=4,SUM(I160:I163),NA())</f>
        <v>#N/A</v>
      </c>
      <c r="R163" s="21" t="e">
        <f aca="false">IFERROR(I163/K163,NA())</f>
        <v>#N/A</v>
      </c>
      <c r="S163" s="21" t="e">
        <f aca="false">IFERROR(I163/L163,NA())</f>
        <v>#N/A</v>
      </c>
    </row>
    <row r="164" customFormat="false" ht="15" hidden="false" customHeight="false" outlineLevel="0" collapsed="false">
      <c r="A164" s="16" t="e">
        <f aca="false">IFERROR(IF(ISNUMBER('Real and nominal GDP'!A151),'Real and nominal GDP'!A151,NA()),NA())</f>
        <v>#N/A</v>
      </c>
      <c r="B164" s="17" t="e">
        <f aca="false">IFERROR(IF('Real and nominal GDP'!B151="",NA(),'Real and nominal GDP'!B151),NA())</f>
        <v>#N/A</v>
      </c>
      <c r="C164" s="18" t="n">
        <f aca="false">IFERROR(YEAR(A164),0)</f>
        <v>0</v>
      </c>
      <c r="D164" s="19" t="e">
        <f aca="false">IFERROR(IF('Real and nominal GDP'!C151="",NA(),IF(ISNUMBER('Real and nominal GDP'!C151),'Real and nominal GDP'!C151,NA())),NA())</f>
        <v>#N/A</v>
      </c>
      <c r="E164" s="19" t="e">
        <f aca="false">IFERROR(IF('Real and nominal GDP'!D151="",NA(),IF(ISNUMBER('Real and nominal GDP'!D151),'Real and nominal GDP'!D151,NA())),NA())</f>
        <v>#N/A</v>
      </c>
      <c r="F164" s="19" t="e">
        <f aca="false">IFERROR(IF('Real and nominal GDP'!E151="",NA(),IF(ISNUMBER('Real and nominal GDP'!E151),'Real and nominal GDP'!E151,NA())),NA())</f>
        <v>#N/A</v>
      </c>
      <c r="G164" s="19" t="e">
        <f aca="false">IFERROR(IF('Real and nominal GDP'!F151="",NA(),IF(ISNUMBER('Real and nominal GDP'!F151),'Real and nominal GDP'!F151,NA())),NA())</f>
        <v>#N/A</v>
      </c>
      <c r="H164" s="19" t="e">
        <f aca="false">IFERROR(IF('Real and nominal GDP'!G151="",NA(),IF(ISNUMBER('Real and nominal GDP'!G151),'Real and nominal GDP'!G151,NA())),NA())</f>
        <v>#N/A</v>
      </c>
      <c r="I164" s="19" t="e">
        <f aca="false">IFERROR(IF('Real and nominal GDP'!H151="",NA(),IF(ISNUMBER('Real and nominal GDP'!H151),'Real and nominal GDP'!H151,NA())),NA())</f>
        <v>#N/A</v>
      </c>
      <c r="J164" s="19" t="e">
        <f aca="false">IFERROR(IF('Real and nominal GDP'!I151="",NA(),IF(ISNUMBER('Real and nominal GDP'!I151),'Real and nominal GDP'!I151,NA())),NA())</f>
        <v>#N/A</v>
      </c>
      <c r="K164" s="19" t="e">
        <f aca="false">IFERROR(IF('Real and nominal GDP'!J151="",NA(),IF(ISNUMBER('Real and nominal GDP'!J151),'Real and nominal GDP'!J151,NA())),NA())</f>
        <v>#N/A</v>
      </c>
      <c r="L164" s="19" t="e">
        <f aca="false">IFERROR(IF('Real and nominal GDP'!K151="",NA(),IF(ISNUMBER('Real and nominal GDP'!K151),'Real and nominal GDP'!K151,NA())),NA())</f>
        <v>#N/A</v>
      </c>
      <c r="M164" s="20" t="e">
        <f aca="false">IFERROR(D164/D160-1,NA())</f>
        <v>#N/A</v>
      </c>
      <c r="N164" s="20" t="e">
        <f aca="false">IFERROR(D164/D163-1,NA())</f>
        <v>#N/A</v>
      </c>
      <c r="O164" s="20" t="e">
        <f aca="false">IFERROR(I164/I160-1,NA())</f>
        <v>#N/A</v>
      </c>
      <c r="P164" s="21" t="e">
        <f aca="false">IF(COUNT(D161:D164)=4,SUM(D161:D164),NA())</f>
        <v>#N/A</v>
      </c>
      <c r="Q164" s="21" t="e">
        <f aca="false">IF(COUNT(I161:I164)=4,SUM(I161:I164),NA())</f>
        <v>#N/A</v>
      </c>
      <c r="R164" s="21" t="e">
        <f aca="false">IFERROR(I164/K164,NA())</f>
        <v>#N/A</v>
      </c>
      <c r="S164" s="21" t="e">
        <f aca="false">IFERROR(I164/L164,NA())</f>
        <v>#N/A</v>
      </c>
    </row>
    <row r="165" customFormat="false" ht="15" hidden="false" customHeight="false" outlineLevel="0" collapsed="false">
      <c r="A165" s="16" t="e">
        <f aca="false">IFERROR(IF(ISNUMBER('Real and nominal GDP'!A152),'Real and nominal GDP'!A152,NA()),NA())</f>
        <v>#N/A</v>
      </c>
      <c r="B165" s="17" t="e">
        <f aca="false">IFERROR(IF('Real and nominal GDP'!B152="",NA(),'Real and nominal GDP'!B152),NA())</f>
        <v>#N/A</v>
      </c>
      <c r="C165" s="18" t="n">
        <f aca="false">IFERROR(YEAR(A165),0)</f>
        <v>0</v>
      </c>
      <c r="D165" s="19" t="e">
        <f aca="false">IFERROR(IF('Real and nominal GDP'!C152="",NA(),IF(ISNUMBER('Real and nominal GDP'!C152),'Real and nominal GDP'!C152,NA())),NA())</f>
        <v>#N/A</v>
      </c>
      <c r="E165" s="19" t="e">
        <f aca="false">IFERROR(IF('Real and nominal GDP'!D152="",NA(),IF(ISNUMBER('Real and nominal GDP'!D152),'Real and nominal GDP'!D152,NA())),NA())</f>
        <v>#N/A</v>
      </c>
      <c r="F165" s="19" t="e">
        <f aca="false">IFERROR(IF('Real and nominal GDP'!E152="",NA(),IF(ISNUMBER('Real and nominal GDP'!E152),'Real and nominal GDP'!E152,NA())),NA())</f>
        <v>#N/A</v>
      </c>
      <c r="G165" s="19" t="e">
        <f aca="false">IFERROR(IF('Real and nominal GDP'!F152="",NA(),IF(ISNUMBER('Real and nominal GDP'!F152),'Real and nominal GDP'!F152,NA())),NA())</f>
        <v>#N/A</v>
      </c>
      <c r="H165" s="19" t="e">
        <f aca="false">IFERROR(IF('Real and nominal GDP'!G152="",NA(),IF(ISNUMBER('Real and nominal GDP'!G152),'Real and nominal GDP'!G152,NA())),NA())</f>
        <v>#N/A</v>
      </c>
      <c r="I165" s="19" t="e">
        <f aca="false">IFERROR(IF('Real and nominal GDP'!H152="",NA(),IF(ISNUMBER('Real and nominal GDP'!H152),'Real and nominal GDP'!H152,NA())),NA())</f>
        <v>#N/A</v>
      </c>
      <c r="J165" s="19" t="e">
        <f aca="false">IFERROR(IF('Real and nominal GDP'!I152="",NA(),IF(ISNUMBER('Real and nominal GDP'!I152),'Real and nominal GDP'!I152,NA())),NA())</f>
        <v>#N/A</v>
      </c>
      <c r="K165" s="19" t="e">
        <f aca="false">IFERROR(IF('Real and nominal GDP'!J152="",NA(),IF(ISNUMBER('Real and nominal GDP'!J152),'Real and nominal GDP'!J152,NA())),NA())</f>
        <v>#N/A</v>
      </c>
      <c r="L165" s="19" t="e">
        <f aca="false">IFERROR(IF('Real and nominal GDP'!K152="",NA(),IF(ISNUMBER('Real and nominal GDP'!K152),'Real and nominal GDP'!K152,NA())),NA())</f>
        <v>#N/A</v>
      </c>
      <c r="M165" s="20" t="e">
        <f aca="false">IFERROR(D165/D161-1,NA())</f>
        <v>#N/A</v>
      </c>
      <c r="N165" s="20" t="e">
        <f aca="false">IFERROR(D165/D164-1,NA())</f>
        <v>#N/A</v>
      </c>
      <c r="O165" s="20" t="e">
        <f aca="false">IFERROR(I165/I161-1,NA())</f>
        <v>#N/A</v>
      </c>
      <c r="P165" s="21" t="e">
        <f aca="false">IF(COUNT(D162:D165)=4,SUM(D162:D165),NA())</f>
        <v>#N/A</v>
      </c>
      <c r="Q165" s="21" t="e">
        <f aca="false">IF(COUNT(I162:I165)=4,SUM(I162:I165),NA())</f>
        <v>#N/A</v>
      </c>
      <c r="R165" s="21" t="e">
        <f aca="false">IFERROR(I165/K165,NA())</f>
        <v>#N/A</v>
      </c>
      <c r="S165" s="21" t="e">
        <f aca="false">IFERROR(I165/L165,NA())</f>
        <v>#N/A</v>
      </c>
    </row>
    <row r="166" customFormat="false" ht="15" hidden="false" customHeight="false" outlineLevel="0" collapsed="false">
      <c r="A166" s="16" t="e">
        <f aca="false">IFERROR(IF(ISNUMBER('Real and nominal GDP'!A153),'Real and nominal GDP'!A153,NA()),NA())</f>
        <v>#N/A</v>
      </c>
      <c r="B166" s="17" t="e">
        <f aca="false">IFERROR(IF('Real and nominal GDP'!B153="",NA(),'Real and nominal GDP'!B153),NA())</f>
        <v>#N/A</v>
      </c>
      <c r="C166" s="18" t="n">
        <f aca="false">IFERROR(YEAR(A166),0)</f>
        <v>0</v>
      </c>
      <c r="D166" s="19" t="e">
        <f aca="false">IFERROR(IF('Real and nominal GDP'!C153="",NA(),IF(ISNUMBER('Real and nominal GDP'!C153),'Real and nominal GDP'!C153,NA())),NA())</f>
        <v>#N/A</v>
      </c>
      <c r="E166" s="19" t="e">
        <f aca="false">IFERROR(IF('Real and nominal GDP'!D153="",NA(),IF(ISNUMBER('Real and nominal GDP'!D153),'Real and nominal GDP'!D153,NA())),NA())</f>
        <v>#N/A</v>
      </c>
      <c r="F166" s="19" t="e">
        <f aca="false">IFERROR(IF('Real and nominal GDP'!E153="",NA(),IF(ISNUMBER('Real and nominal GDP'!E153),'Real and nominal GDP'!E153,NA())),NA())</f>
        <v>#N/A</v>
      </c>
      <c r="G166" s="19" t="e">
        <f aca="false">IFERROR(IF('Real and nominal GDP'!F153="",NA(),IF(ISNUMBER('Real and nominal GDP'!F153),'Real and nominal GDP'!F153,NA())),NA())</f>
        <v>#N/A</v>
      </c>
      <c r="H166" s="19" t="e">
        <f aca="false">IFERROR(IF('Real and nominal GDP'!G153="",NA(),IF(ISNUMBER('Real and nominal GDP'!G153),'Real and nominal GDP'!G153,NA())),NA())</f>
        <v>#N/A</v>
      </c>
      <c r="I166" s="19" t="e">
        <f aca="false">IFERROR(IF('Real and nominal GDP'!H153="",NA(),IF(ISNUMBER('Real and nominal GDP'!H153),'Real and nominal GDP'!H153,NA())),NA())</f>
        <v>#N/A</v>
      </c>
      <c r="J166" s="19" t="e">
        <f aca="false">IFERROR(IF('Real and nominal GDP'!I153="",NA(),IF(ISNUMBER('Real and nominal GDP'!I153),'Real and nominal GDP'!I153,NA())),NA())</f>
        <v>#N/A</v>
      </c>
      <c r="K166" s="19" t="e">
        <f aca="false">IFERROR(IF('Real and nominal GDP'!J153="",NA(),IF(ISNUMBER('Real and nominal GDP'!J153),'Real and nominal GDP'!J153,NA())),NA())</f>
        <v>#N/A</v>
      </c>
      <c r="L166" s="19" t="e">
        <f aca="false">IFERROR(IF('Real and nominal GDP'!K153="",NA(),IF(ISNUMBER('Real and nominal GDP'!K153),'Real and nominal GDP'!K153,NA())),NA())</f>
        <v>#N/A</v>
      </c>
      <c r="M166" s="20" t="e">
        <f aca="false">IFERROR(D166/D162-1,NA())</f>
        <v>#N/A</v>
      </c>
      <c r="N166" s="20" t="e">
        <f aca="false">IFERROR(D166/D165-1,NA())</f>
        <v>#N/A</v>
      </c>
      <c r="O166" s="20" t="e">
        <f aca="false">IFERROR(I166/I162-1,NA())</f>
        <v>#N/A</v>
      </c>
      <c r="P166" s="21" t="e">
        <f aca="false">IF(COUNT(D163:D166)=4,SUM(D163:D166),NA())</f>
        <v>#N/A</v>
      </c>
      <c r="Q166" s="21" t="e">
        <f aca="false">IF(COUNT(I163:I166)=4,SUM(I163:I166),NA())</f>
        <v>#N/A</v>
      </c>
      <c r="R166" s="21" t="e">
        <f aca="false">IFERROR(I166/K166,NA())</f>
        <v>#N/A</v>
      </c>
      <c r="S166" s="21" t="e">
        <f aca="false">IFERROR(I166/L166,NA())</f>
        <v>#N/A</v>
      </c>
    </row>
    <row r="167" customFormat="false" ht="15" hidden="false" customHeight="false" outlineLevel="0" collapsed="false">
      <c r="A167" s="16" t="e">
        <f aca="false">IFERROR(IF(ISNUMBER('Real and nominal GDP'!A154),'Real and nominal GDP'!A154,NA()),NA())</f>
        <v>#N/A</v>
      </c>
      <c r="B167" s="17" t="e">
        <f aca="false">IFERROR(IF('Real and nominal GDP'!B154="",NA(),'Real and nominal GDP'!B154),NA())</f>
        <v>#N/A</v>
      </c>
      <c r="C167" s="18" t="n">
        <f aca="false">IFERROR(YEAR(A167),0)</f>
        <v>0</v>
      </c>
      <c r="D167" s="19" t="e">
        <f aca="false">IFERROR(IF('Real and nominal GDP'!C154="",NA(),IF(ISNUMBER('Real and nominal GDP'!C154),'Real and nominal GDP'!C154,NA())),NA())</f>
        <v>#N/A</v>
      </c>
      <c r="E167" s="19" t="e">
        <f aca="false">IFERROR(IF('Real and nominal GDP'!D154="",NA(),IF(ISNUMBER('Real and nominal GDP'!D154),'Real and nominal GDP'!D154,NA())),NA())</f>
        <v>#N/A</v>
      </c>
      <c r="F167" s="19" t="e">
        <f aca="false">IFERROR(IF('Real and nominal GDP'!E154="",NA(),IF(ISNUMBER('Real and nominal GDP'!E154),'Real and nominal GDP'!E154,NA())),NA())</f>
        <v>#N/A</v>
      </c>
      <c r="G167" s="19" t="e">
        <f aca="false">IFERROR(IF('Real and nominal GDP'!F154="",NA(),IF(ISNUMBER('Real and nominal GDP'!F154),'Real and nominal GDP'!F154,NA())),NA())</f>
        <v>#N/A</v>
      </c>
      <c r="H167" s="19" t="e">
        <f aca="false">IFERROR(IF('Real and nominal GDP'!G154="",NA(),IF(ISNUMBER('Real and nominal GDP'!G154),'Real and nominal GDP'!G154,NA())),NA())</f>
        <v>#N/A</v>
      </c>
      <c r="I167" s="19" t="e">
        <f aca="false">IFERROR(IF('Real and nominal GDP'!H154="",NA(),IF(ISNUMBER('Real and nominal GDP'!H154),'Real and nominal GDP'!H154,NA())),NA())</f>
        <v>#N/A</v>
      </c>
      <c r="J167" s="19" t="e">
        <f aca="false">IFERROR(IF('Real and nominal GDP'!I154="",NA(),IF(ISNUMBER('Real and nominal GDP'!I154),'Real and nominal GDP'!I154,NA())),NA())</f>
        <v>#N/A</v>
      </c>
      <c r="K167" s="19" t="e">
        <f aca="false">IFERROR(IF('Real and nominal GDP'!J154="",NA(),IF(ISNUMBER('Real and nominal GDP'!J154),'Real and nominal GDP'!J154,NA())),NA())</f>
        <v>#N/A</v>
      </c>
      <c r="L167" s="19" t="e">
        <f aca="false">IFERROR(IF('Real and nominal GDP'!K154="",NA(),IF(ISNUMBER('Real and nominal GDP'!K154),'Real and nominal GDP'!K154,NA())),NA())</f>
        <v>#N/A</v>
      </c>
      <c r="M167" s="20" t="e">
        <f aca="false">IFERROR(D167/D163-1,NA())</f>
        <v>#N/A</v>
      </c>
      <c r="N167" s="20" t="e">
        <f aca="false">IFERROR(D167/D166-1,NA())</f>
        <v>#N/A</v>
      </c>
      <c r="O167" s="20" t="e">
        <f aca="false">IFERROR(I167/I163-1,NA())</f>
        <v>#N/A</v>
      </c>
      <c r="P167" s="21" t="e">
        <f aca="false">IF(COUNT(D164:D167)=4,SUM(D164:D167),NA())</f>
        <v>#N/A</v>
      </c>
      <c r="Q167" s="21" t="e">
        <f aca="false">IF(COUNT(I164:I167)=4,SUM(I164:I167),NA())</f>
        <v>#N/A</v>
      </c>
      <c r="R167" s="21" t="e">
        <f aca="false">IFERROR(I167/K167,NA())</f>
        <v>#N/A</v>
      </c>
      <c r="S167" s="21" t="e">
        <f aca="false">IFERROR(I167/L167,NA())</f>
        <v>#N/A</v>
      </c>
    </row>
    <row r="168" customFormat="false" ht="15" hidden="false" customHeight="false" outlineLevel="0" collapsed="false">
      <c r="A168" s="16" t="e">
        <f aca="false">IFERROR(IF(ISNUMBER('Real and nominal GDP'!A155),'Real and nominal GDP'!A155,NA()),NA())</f>
        <v>#N/A</v>
      </c>
      <c r="B168" s="17" t="e">
        <f aca="false">IFERROR(IF('Real and nominal GDP'!B155="",NA(),'Real and nominal GDP'!B155),NA())</f>
        <v>#N/A</v>
      </c>
      <c r="C168" s="18" t="n">
        <f aca="false">IFERROR(YEAR(A168),0)</f>
        <v>0</v>
      </c>
      <c r="D168" s="19" t="e">
        <f aca="false">IFERROR(IF('Real and nominal GDP'!C155="",NA(),IF(ISNUMBER('Real and nominal GDP'!C155),'Real and nominal GDP'!C155,NA())),NA())</f>
        <v>#N/A</v>
      </c>
      <c r="E168" s="19" t="e">
        <f aca="false">IFERROR(IF('Real and nominal GDP'!D155="",NA(),IF(ISNUMBER('Real and nominal GDP'!D155),'Real and nominal GDP'!D155,NA())),NA())</f>
        <v>#N/A</v>
      </c>
      <c r="F168" s="19" t="e">
        <f aca="false">IFERROR(IF('Real and nominal GDP'!E155="",NA(),IF(ISNUMBER('Real and nominal GDP'!E155),'Real and nominal GDP'!E155,NA())),NA())</f>
        <v>#N/A</v>
      </c>
      <c r="G168" s="19" t="e">
        <f aca="false">IFERROR(IF('Real and nominal GDP'!F155="",NA(),IF(ISNUMBER('Real and nominal GDP'!F155),'Real and nominal GDP'!F155,NA())),NA())</f>
        <v>#N/A</v>
      </c>
      <c r="H168" s="19" t="e">
        <f aca="false">IFERROR(IF('Real and nominal GDP'!G155="",NA(),IF(ISNUMBER('Real and nominal GDP'!G155),'Real and nominal GDP'!G155,NA())),NA())</f>
        <v>#N/A</v>
      </c>
      <c r="I168" s="19" t="e">
        <f aca="false">IFERROR(IF('Real and nominal GDP'!H155="",NA(),IF(ISNUMBER('Real and nominal GDP'!H155),'Real and nominal GDP'!H155,NA())),NA())</f>
        <v>#N/A</v>
      </c>
      <c r="J168" s="19" t="e">
        <f aca="false">IFERROR(IF('Real and nominal GDP'!I155="",NA(),IF(ISNUMBER('Real and nominal GDP'!I155),'Real and nominal GDP'!I155,NA())),NA())</f>
        <v>#N/A</v>
      </c>
      <c r="K168" s="19" t="e">
        <f aca="false">IFERROR(IF('Real and nominal GDP'!J155="",NA(),IF(ISNUMBER('Real and nominal GDP'!J155),'Real and nominal GDP'!J155,NA())),NA())</f>
        <v>#N/A</v>
      </c>
      <c r="L168" s="19" t="e">
        <f aca="false">IFERROR(IF('Real and nominal GDP'!K155="",NA(),IF(ISNUMBER('Real and nominal GDP'!K155),'Real and nominal GDP'!K155,NA())),NA())</f>
        <v>#N/A</v>
      </c>
      <c r="M168" s="20" t="e">
        <f aca="false">IFERROR(D168/D164-1,NA())</f>
        <v>#N/A</v>
      </c>
      <c r="N168" s="20" t="e">
        <f aca="false">IFERROR(D168/D167-1,NA())</f>
        <v>#N/A</v>
      </c>
      <c r="O168" s="20" t="e">
        <f aca="false">IFERROR(I168/I164-1,NA())</f>
        <v>#N/A</v>
      </c>
      <c r="P168" s="21" t="e">
        <f aca="false">IF(COUNT(D165:D168)=4,SUM(D165:D168),NA())</f>
        <v>#N/A</v>
      </c>
      <c r="Q168" s="21" t="e">
        <f aca="false">IF(COUNT(I165:I168)=4,SUM(I165:I168),NA())</f>
        <v>#N/A</v>
      </c>
      <c r="R168" s="21" t="e">
        <f aca="false">IFERROR(I168/K168,NA())</f>
        <v>#N/A</v>
      </c>
      <c r="S168" s="21" t="e">
        <f aca="false">IFERROR(I168/L168,NA())</f>
        <v>#N/A</v>
      </c>
    </row>
    <row r="169" customFormat="false" ht="15" hidden="false" customHeight="false" outlineLevel="0" collapsed="false">
      <c r="A169" s="16" t="e">
        <f aca="false">IFERROR(IF(ISNUMBER('Real and nominal GDP'!A156),'Real and nominal GDP'!A156,NA()),NA())</f>
        <v>#N/A</v>
      </c>
      <c r="B169" s="17" t="e">
        <f aca="false">IFERROR(IF('Real and nominal GDP'!B156="",NA(),'Real and nominal GDP'!B156),NA())</f>
        <v>#N/A</v>
      </c>
      <c r="C169" s="18" t="n">
        <f aca="false">IFERROR(YEAR(A169),0)</f>
        <v>0</v>
      </c>
      <c r="D169" s="19" t="e">
        <f aca="false">IFERROR(IF('Real and nominal GDP'!C156="",NA(),IF(ISNUMBER('Real and nominal GDP'!C156),'Real and nominal GDP'!C156,NA())),NA())</f>
        <v>#N/A</v>
      </c>
      <c r="E169" s="19" t="e">
        <f aca="false">IFERROR(IF('Real and nominal GDP'!D156="",NA(),IF(ISNUMBER('Real and nominal GDP'!D156),'Real and nominal GDP'!D156,NA())),NA())</f>
        <v>#N/A</v>
      </c>
      <c r="F169" s="19" t="e">
        <f aca="false">IFERROR(IF('Real and nominal GDP'!E156="",NA(),IF(ISNUMBER('Real and nominal GDP'!E156),'Real and nominal GDP'!E156,NA())),NA())</f>
        <v>#N/A</v>
      </c>
      <c r="G169" s="19" t="e">
        <f aca="false">IFERROR(IF('Real and nominal GDP'!F156="",NA(),IF(ISNUMBER('Real and nominal GDP'!F156),'Real and nominal GDP'!F156,NA())),NA())</f>
        <v>#N/A</v>
      </c>
      <c r="H169" s="19" t="e">
        <f aca="false">IFERROR(IF('Real and nominal GDP'!G156="",NA(),IF(ISNUMBER('Real and nominal GDP'!G156),'Real and nominal GDP'!G156,NA())),NA())</f>
        <v>#N/A</v>
      </c>
      <c r="I169" s="19" t="e">
        <f aca="false">IFERROR(IF('Real and nominal GDP'!H156="",NA(),IF(ISNUMBER('Real and nominal GDP'!H156),'Real and nominal GDP'!H156,NA())),NA())</f>
        <v>#N/A</v>
      </c>
      <c r="J169" s="19" t="e">
        <f aca="false">IFERROR(IF('Real and nominal GDP'!I156="",NA(),IF(ISNUMBER('Real and nominal GDP'!I156),'Real and nominal GDP'!I156,NA())),NA())</f>
        <v>#N/A</v>
      </c>
      <c r="K169" s="19" t="e">
        <f aca="false">IFERROR(IF('Real and nominal GDP'!J156="",NA(),IF(ISNUMBER('Real and nominal GDP'!J156),'Real and nominal GDP'!J156,NA())),NA())</f>
        <v>#N/A</v>
      </c>
      <c r="L169" s="19" t="e">
        <f aca="false">IFERROR(IF('Real and nominal GDP'!K156="",NA(),IF(ISNUMBER('Real and nominal GDP'!K156),'Real and nominal GDP'!K156,NA())),NA())</f>
        <v>#N/A</v>
      </c>
      <c r="M169" s="20" t="e">
        <f aca="false">IFERROR(D169/D165-1,NA())</f>
        <v>#N/A</v>
      </c>
      <c r="N169" s="20" t="e">
        <f aca="false">IFERROR(D169/D168-1,NA())</f>
        <v>#N/A</v>
      </c>
      <c r="O169" s="20" t="e">
        <f aca="false">IFERROR(I169/I165-1,NA())</f>
        <v>#N/A</v>
      </c>
      <c r="P169" s="21" t="e">
        <f aca="false">IF(COUNT(D166:D169)=4,SUM(D166:D169),NA())</f>
        <v>#N/A</v>
      </c>
      <c r="Q169" s="21" t="e">
        <f aca="false">IF(COUNT(I166:I169)=4,SUM(I166:I169),NA())</f>
        <v>#N/A</v>
      </c>
      <c r="R169" s="21" t="e">
        <f aca="false">IFERROR(I169/K169,NA())</f>
        <v>#N/A</v>
      </c>
      <c r="S169" s="21" t="e">
        <f aca="false">IFERROR(I169/L169,NA())</f>
        <v>#N/A</v>
      </c>
    </row>
    <row r="170" customFormat="false" ht="15" hidden="false" customHeight="false" outlineLevel="0" collapsed="false">
      <c r="A170" s="16" t="e">
        <f aca="false">IFERROR(IF(ISNUMBER('Real and nominal GDP'!A157),'Real and nominal GDP'!A157,NA()),NA())</f>
        <v>#N/A</v>
      </c>
      <c r="B170" s="17" t="e">
        <f aca="false">IFERROR(IF('Real and nominal GDP'!B157="",NA(),'Real and nominal GDP'!B157),NA())</f>
        <v>#N/A</v>
      </c>
      <c r="C170" s="18" t="n">
        <f aca="false">IFERROR(YEAR(A170),0)</f>
        <v>0</v>
      </c>
      <c r="D170" s="19" t="e">
        <f aca="false">IFERROR(IF('Real and nominal GDP'!C157="",NA(),IF(ISNUMBER('Real and nominal GDP'!C157),'Real and nominal GDP'!C157,NA())),NA())</f>
        <v>#N/A</v>
      </c>
      <c r="E170" s="19" t="e">
        <f aca="false">IFERROR(IF('Real and nominal GDP'!D157="",NA(),IF(ISNUMBER('Real and nominal GDP'!D157),'Real and nominal GDP'!D157,NA())),NA())</f>
        <v>#N/A</v>
      </c>
      <c r="F170" s="19" t="e">
        <f aca="false">IFERROR(IF('Real and nominal GDP'!E157="",NA(),IF(ISNUMBER('Real and nominal GDP'!E157),'Real and nominal GDP'!E157,NA())),NA())</f>
        <v>#N/A</v>
      </c>
      <c r="G170" s="19" t="e">
        <f aca="false">IFERROR(IF('Real and nominal GDP'!F157="",NA(),IF(ISNUMBER('Real and nominal GDP'!F157),'Real and nominal GDP'!F157,NA())),NA())</f>
        <v>#N/A</v>
      </c>
      <c r="H170" s="19" t="e">
        <f aca="false">IFERROR(IF('Real and nominal GDP'!G157="",NA(),IF(ISNUMBER('Real and nominal GDP'!G157),'Real and nominal GDP'!G157,NA())),NA())</f>
        <v>#N/A</v>
      </c>
      <c r="I170" s="19" t="e">
        <f aca="false">IFERROR(IF('Real and nominal GDP'!H157="",NA(),IF(ISNUMBER('Real and nominal GDP'!H157),'Real and nominal GDP'!H157,NA())),NA())</f>
        <v>#N/A</v>
      </c>
      <c r="J170" s="19" t="e">
        <f aca="false">IFERROR(IF('Real and nominal GDP'!I157="",NA(),IF(ISNUMBER('Real and nominal GDP'!I157),'Real and nominal GDP'!I157,NA())),NA())</f>
        <v>#N/A</v>
      </c>
      <c r="K170" s="19" t="e">
        <f aca="false">IFERROR(IF('Real and nominal GDP'!J157="",NA(),IF(ISNUMBER('Real and nominal GDP'!J157),'Real and nominal GDP'!J157,NA())),NA())</f>
        <v>#N/A</v>
      </c>
      <c r="L170" s="19" t="e">
        <f aca="false">IFERROR(IF('Real and nominal GDP'!K157="",NA(),IF(ISNUMBER('Real and nominal GDP'!K157),'Real and nominal GDP'!K157,NA())),NA())</f>
        <v>#N/A</v>
      </c>
      <c r="M170" s="20" t="e">
        <f aca="false">IFERROR(D170/D166-1,NA())</f>
        <v>#N/A</v>
      </c>
      <c r="N170" s="20" t="e">
        <f aca="false">IFERROR(D170/D169-1,NA())</f>
        <v>#N/A</v>
      </c>
      <c r="O170" s="20" t="e">
        <f aca="false">IFERROR(I170/I166-1,NA())</f>
        <v>#N/A</v>
      </c>
      <c r="P170" s="21" t="e">
        <f aca="false">IF(COUNT(D167:D170)=4,SUM(D167:D170),NA())</f>
        <v>#N/A</v>
      </c>
      <c r="Q170" s="21" t="e">
        <f aca="false">IF(COUNT(I167:I170)=4,SUM(I167:I170),NA())</f>
        <v>#N/A</v>
      </c>
      <c r="R170" s="21" t="e">
        <f aca="false">IFERROR(I170/K170,NA())</f>
        <v>#N/A</v>
      </c>
      <c r="S170" s="21" t="e">
        <f aca="false">IFERROR(I170/L170,NA())</f>
        <v>#N/A</v>
      </c>
    </row>
    <row r="171" customFormat="false" ht="15" hidden="false" customHeight="false" outlineLevel="0" collapsed="false">
      <c r="A171" s="16" t="e">
        <f aca="false">IFERROR(IF(ISNUMBER('Real and nominal GDP'!A158),'Real and nominal GDP'!A158,NA()),NA())</f>
        <v>#N/A</v>
      </c>
      <c r="B171" s="17" t="e">
        <f aca="false">IFERROR(IF('Real and nominal GDP'!B158="",NA(),'Real and nominal GDP'!B158),NA())</f>
        <v>#N/A</v>
      </c>
      <c r="C171" s="18" t="n">
        <f aca="false">IFERROR(YEAR(A171),0)</f>
        <v>0</v>
      </c>
      <c r="D171" s="19" t="e">
        <f aca="false">IFERROR(IF('Real and nominal GDP'!C158="",NA(),IF(ISNUMBER('Real and nominal GDP'!C158),'Real and nominal GDP'!C158,NA())),NA())</f>
        <v>#N/A</v>
      </c>
      <c r="E171" s="19" t="e">
        <f aca="false">IFERROR(IF('Real and nominal GDP'!D158="",NA(),IF(ISNUMBER('Real and nominal GDP'!D158),'Real and nominal GDP'!D158,NA())),NA())</f>
        <v>#N/A</v>
      </c>
      <c r="F171" s="19" t="e">
        <f aca="false">IFERROR(IF('Real and nominal GDP'!E158="",NA(),IF(ISNUMBER('Real and nominal GDP'!E158),'Real and nominal GDP'!E158,NA())),NA())</f>
        <v>#N/A</v>
      </c>
      <c r="G171" s="19" t="e">
        <f aca="false">IFERROR(IF('Real and nominal GDP'!F158="",NA(),IF(ISNUMBER('Real and nominal GDP'!F158),'Real and nominal GDP'!F158,NA())),NA())</f>
        <v>#N/A</v>
      </c>
      <c r="H171" s="19" t="e">
        <f aca="false">IFERROR(IF('Real and nominal GDP'!G158="",NA(),IF(ISNUMBER('Real and nominal GDP'!G158),'Real and nominal GDP'!G158,NA())),NA())</f>
        <v>#N/A</v>
      </c>
      <c r="I171" s="19" t="e">
        <f aca="false">IFERROR(IF('Real and nominal GDP'!H158="",NA(),IF(ISNUMBER('Real and nominal GDP'!H158),'Real and nominal GDP'!H158,NA())),NA())</f>
        <v>#N/A</v>
      </c>
      <c r="J171" s="19" t="e">
        <f aca="false">IFERROR(IF('Real and nominal GDP'!I158="",NA(),IF(ISNUMBER('Real and nominal GDP'!I158),'Real and nominal GDP'!I158,NA())),NA())</f>
        <v>#N/A</v>
      </c>
      <c r="K171" s="19" t="e">
        <f aca="false">IFERROR(IF('Real and nominal GDP'!J158="",NA(),IF(ISNUMBER('Real and nominal GDP'!J158),'Real and nominal GDP'!J158,NA())),NA())</f>
        <v>#N/A</v>
      </c>
      <c r="L171" s="19" t="e">
        <f aca="false">IFERROR(IF('Real and nominal GDP'!K158="",NA(),IF(ISNUMBER('Real and nominal GDP'!K158),'Real and nominal GDP'!K158,NA())),NA())</f>
        <v>#N/A</v>
      </c>
      <c r="M171" s="20" t="e">
        <f aca="false">IFERROR(D171/D167-1,NA())</f>
        <v>#N/A</v>
      </c>
      <c r="N171" s="20" t="e">
        <f aca="false">IFERROR(D171/D170-1,NA())</f>
        <v>#N/A</v>
      </c>
      <c r="O171" s="20" t="e">
        <f aca="false">IFERROR(I171/I167-1,NA())</f>
        <v>#N/A</v>
      </c>
      <c r="P171" s="21" t="e">
        <f aca="false">IF(COUNT(D168:D171)=4,SUM(D168:D171),NA())</f>
        <v>#N/A</v>
      </c>
      <c r="Q171" s="21" t="e">
        <f aca="false">IF(COUNT(I168:I171)=4,SUM(I168:I171),NA())</f>
        <v>#N/A</v>
      </c>
      <c r="R171" s="21" t="e">
        <f aca="false">IFERROR(I171/K171,NA())</f>
        <v>#N/A</v>
      </c>
      <c r="S171" s="21" t="e">
        <f aca="false">IFERROR(I171/L171,NA())</f>
        <v>#N/A</v>
      </c>
    </row>
    <row r="172" customFormat="false" ht="15" hidden="false" customHeight="false" outlineLevel="0" collapsed="false">
      <c r="A172" s="16" t="e">
        <f aca="false">IFERROR(IF(ISNUMBER('Real and nominal GDP'!A159),'Real and nominal GDP'!A159,NA()),NA())</f>
        <v>#N/A</v>
      </c>
      <c r="B172" s="17" t="e">
        <f aca="false">IFERROR(IF('Real and nominal GDP'!B159="",NA(),'Real and nominal GDP'!B159),NA())</f>
        <v>#N/A</v>
      </c>
      <c r="C172" s="18" t="n">
        <f aca="false">IFERROR(YEAR(A172),0)</f>
        <v>0</v>
      </c>
      <c r="D172" s="19" t="e">
        <f aca="false">IFERROR(IF('Real and nominal GDP'!C159="",NA(),IF(ISNUMBER('Real and nominal GDP'!C159),'Real and nominal GDP'!C159,NA())),NA())</f>
        <v>#N/A</v>
      </c>
      <c r="E172" s="19" t="e">
        <f aca="false">IFERROR(IF('Real and nominal GDP'!D159="",NA(),IF(ISNUMBER('Real and nominal GDP'!D159),'Real and nominal GDP'!D159,NA())),NA())</f>
        <v>#N/A</v>
      </c>
      <c r="F172" s="19" t="e">
        <f aca="false">IFERROR(IF('Real and nominal GDP'!E159="",NA(),IF(ISNUMBER('Real and nominal GDP'!E159),'Real and nominal GDP'!E159,NA())),NA())</f>
        <v>#N/A</v>
      </c>
      <c r="G172" s="19" t="e">
        <f aca="false">IFERROR(IF('Real and nominal GDP'!F159="",NA(),IF(ISNUMBER('Real and nominal GDP'!F159),'Real and nominal GDP'!F159,NA())),NA())</f>
        <v>#N/A</v>
      </c>
      <c r="H172" s="19" t="e">
        <f aca="false">IFERROR(IF('Real and nominal GDP'!G159="",NA(),IF(ISNUMBER('Real and nominal GDP'!G159),'Real and nominal GDP'!G159,NA())),NA())</f>
        <v>#N/A</v>
      </c>
      <c r="I172" s="19" t="e">
        <f aca="false">IFERROR(IF('Real and nominal GDP'!H159="",NA(),IF(ISNUMBER('Real and nominal GDP'!H159),'Real and nominal GDP'!H159,NA())),NA())</f>
        <v>#N/A</v>
      </c>
      <c r="J172" s="19" t="e">
        <f aca="false">IFERROR(IF('Real and nominal GDP'!I159="",NA(),IF(ISNUMBER('Real and nominal GDP'!I159),'Real and nominal GDP'!I159,NA())),NA())</f>
        <v>#N/A</v>
      </c>
      <c r="K172" s="19" t="e">
        <f aca="false">IFERROR(IF('Real and nominal GDP'!J159="",NA(),IF(ISNUMBER('Real and nominal GDP'!J159),'Real and nominal GDP'!J159,NA())),NA())</f>
        <v>#N/A</v>
      </c>
      <c r="L172" s="19" t="e">
        <f aca="false">IFERROR(IF('Real and nominal GDP'!K159="",NA(),IF(ISNUMBER('Real and nominal GDP'!K159),'Real and nominal GDP'!K159,NA())),NA())</f>
        <v>#N/A</v>
      </c>
      <c r="M172" s="20" t="e">
        <f aca="false">IFERROR(D172/D168-1,NA())</f>
        <v>#N/A</v>
      </c>
      <c r="N172" s="20" t="e">
        <f aca="false">IFERROR(D172/D171-1,NA())</f>
        <v>#N/A</v>
      </c>
      <c r="O172" s="20" t="e">
        <f aca="false">IFERROR(I172/I168-1,NA())</f>
        <v>#N/A</v>
      </c>
      <c r="P172" s="21" t="e">
        <f aca="false">IF(COUNT(D169:D172)=4,SUM(D169:D172),NA())</f>
        <v>#N/A</v>
      </c>
      <c r="Q172" s="21" t="e">
        <f aca="false">IF(COUNT(I169:I172)=4,SUM(I169:I172),NA())</f>
        <v>#N/A</v>
      </c>
      <c r="R172" s="21" t="e">
        <f aca="false">IFERROR(I172/K172,NA())</f>
        <v>#N/A</v>
      </c>
      <c r="S172" s="21" t="e">
        <f aca="false">IFERROR(I172/L172,NA())</f>
        <v>#N/A</v>
      </c>
    </row>
    <row r="173" customFormat="false" ht="15" hidden="false" customHeight="false" outlineLevel="0" collapsed="false">
      <c r="A173" s="16" t="e">
        <f aca="false">IFERROR(IF(ISNUMBER('Real and nominal GDP'!A160),'Real and nominal GDP'!A160,NA()),NA())</f>
        <v>#N/A</v>
      </c>
      <c r="B173" s="17" t="e">
        <f aca="false">IFERROR(IF('Real and nominal GDP'!B160="",NA(),'Real and nominal GDP'!B160),NA())</f>
        <v>#N/A</v>
      </c>
      <c r="C173" s="18" t="n">
        <f aca="false">IFERROR(YEAR(A173),0)</f>
        <v>0</v>
      </c>
      <c r="D173" s="19" t="e">
        <f aca="false">IFERROR(IF('Real and nominal GDP'!C160="",NA(),IF(ISNUMBER('Real and nominal GDP'!C160),'Real and nominal GDP'!C160,NA())),NA())</f>
        <v>#N/A</v>
      </c>
      <c r="E173" s="19" t="e">
        <f aca="false">IFERROR(IF('Real and nominal GDP'!D160="",NA(),IF(ISNUMBER('Real and nominal GDP'!D160),'Real and nominal GDP'!D160,NA())),NA())</f>
        <v>#N/A</v>
      </c>
      <c r="F173" s="19" t="e">
        <f aca="false">IFERROR(IF('Real and nominal GDP'!E160="",NA(),IF(ISNUMBER('Real and nominal GDP'!E160),'Real and nominal GDP'!E160,NA())),NA())</f>
        <v>#N/A</v>
      </c>
      <c r="G173" s="19" t="e">
        <f aca="false">IFERROR(IF('Real and nominal GDP'!F160="",NA(),IF(ISNUMBER('Real and nominal GDP'!F160),'Real and nominal GDP'!F160,NA())),NA())</f>
        <v>#N/A</v>
      </c>
      <c r="H173" s="19" t="e">
        <f aca="false">IFERROR(IF('Real and nominal GDP'!G160="",NA(),IF(ISNUMBER('Real and nominal GDP'!G160),'Real and nominal GDP'!G160,NA())),NA())</f>
        <v>#N/A</v>
      </c>
      <c r="I173" s="19" t="e">
        <f aca="false">IFERROR(IF('Real and nominal GDP'!H160="",NA(),IF(ISNUMBER('Real and nominal GDP'!H160),'Real and nominal GDP'!H160,NA())),NA())</f>
        <v>#N/A</v>
      </c>
      <c r="J173" s="19" t="e">
        <f aca="false">IFERROR(IF('Real and nominal GDP'!I160="",NA(),IF(ISNUMBER('Real and nominal GDP'!I160),'Real and nominal GDP'!I160,NA())),NA())</f>
        <v>#N/A</v>
      </c>
      <c r="K173" s="19" t="e">
        <f aca="false">IFERROR(IF('Real and nominal GDP'!J160="",NA(),IF(ISNUMBER('Real and nominal GDP'!J160),'Real and nominal GDP'!J160,NA())),NA())</f>
        <v>#N/A</v>
      </c>
      <c r="L173" s="19" t="e">
        <f aca="false">IFERROR(IF('Real and nominal GDP'!K160="",NA(),IF(ISNUMBER('Real and nominal GDP'!K160),'Real and nominal GDP'!K160,NA())),NA())</f>
        <v>#N/A</v>
      </c>
      <c r="M173" s="20" t="e">
        <f aca="false">IFERROR(D173/D169-1,NA())</f>
        <v>#N/A</v>
      </c>
      <c r="N173" s="20" t="e">
        <f aca="false">IFERROR(D173/D172-1,NA())</f>
        <v>#N/A</v>
      </c>
      <c r="O173" s="20" t="e">
        <f aca="false">IFERROR(I173/I169-1,NA())</f>
        <v>#N/A</v>
      </c>
      <c r="P173" s="21" t="e">
        <f aca="false">IF(COUNT(D170:D173)=4,SUM(D170:D173),NA())</f>
        <v>#N/A</v>
      </c>
      <c r="Q173" s="21" t="e">
        <f aca="false">IF(COUNT(I170:I173)=4,SUM(I170:I173),NA())</f>
        <v>#N/A</v>
      </c>
      <c r="R173" s="21" t="e">
        <f aca="false">IFERROR(I173/K173,NA())</f>
        <v>#N/A</v>
      </c>
      <c r="S173" s="21" t="e">
        <f aca="false">IFERROR(I173/L173,NA())</f>
        <v>#N/A</v>
      </c>
    </row>
    <row r="174" customFormat="false" ht="15" hidden="false" customHeight="false" outlineLevel="0" collapsed="false">
      <c r="A174" s="16" t="e">
        <f aca="false">IFERROR(IF(ISNUMBER('Real and nominal GDP'!A161),'Real and nominal GDP'!A161,NA()),NA())</f>
        <v>#N/A</v>
      </c>
      <c r="B174" s="17" t="e">
        <f aca="false">IFERROR(IF('Real and nominal GDP'!B161="",NA(),'Real and nominal GDP'!B161),NA())</f>
        <v>#N/A</v>
      </c>
      <c r="C174" s="18" t="n">
        <f aca="false">IFERROR(YEAR(A174),0)</f>
        <v>0</v>
      </c>
      <c r="D174" s="19" t="e">
        <f aca="false">IFERROR(IF('Real and nominal GDP'!C161="",NA(),IF(ISNUMBER('Real and nominal GDP'!C161),'Real and nominal GDP'!C161,NA())),NA())</f>
        <v>#N/A</v>
      </c>
      <c r="E174" s="19" t="e">
        <f aca="false">IFERROR(IF('Real and nominal GDP'!D161="",NA(),IF(ISNUMBER('Real and nominal GDP'!D161),'Real and nominal GDP'!D161,NA())),NA())</f>
        <v>#N/A</v>
      </c>
      <c r="F174" s="19" t="e">
        <f aca="false">IFERROR(IF('Real and nominal GDP'!E161="",NA(),IF(ISNUMBER('Real and nominal GDP'!E161),'Real and nominal GDP'!E161,NA())),NA())</f>
        <v>#N/A</v>
      </c>
      <c r="G174" s="19" t="e">
        <f aca="false">IFERROR(IF('Real and nominal GDP'!F161="",NA(),IF(ISNUMBER('Real and nominal GDP'!F161),'Real and nominal GDP'!F161,NA())),NA())</f>
        <v>#N/A</v>
      </c>
      <c r="H174" s="19" t="e">
        <f aca="false">IFERROR(IF('Real and nominal GDP'!G161="",NA(),IF(ISNUMBER('Real and nominal GDP'!G161),'Real and nominal GDP'!G161,NA())),NA())</f>
        <v>#N/A</v>
      </c>
      <c r="I174" s="19" t="e">
        <f aca="false">IFERROR(IF('Real and nominal GDP'!H161="",NA(),IF(ISNUMBER('Real and nominal GDP'!H161),'Real and nominal GDP'!H161,NA())),NA())</f>
        <v>#N/A</v>
      </c>
      <c r="J174" s="19" t="e">
        <f aca="false">IFERROR(IF('Real and nominal GDP'!I161="",NA(),IF(ISNUMBER('Real and nominal GDP'!I161),'Real and nominal GDP'!I161,NA())),NA())</f>
        <v>#N/A</v>
      </c>
      <c r="K174" s="19" t="e">
        <f aca="false">IFERROR(IF('Real and nominal GDP'!J161="",NA(),IF(ISNUMBER('Real and nominal GDP'!J161),'Real and nominal GDP'!J161,NA())),NA())</f>
        <v>#N/A</v>
      </c>
      <c r="L174" s="19" t="e">
        <f aca="false">IFERROR(IF('Real and nominal GDP'!K161="",NA(),IF(ISNUMBER('Real and nominal GDP'!K161),'Real and nominal GDP'!K161,NA())),NA())</f>
        <v>#N/A</v>
      </c>
      <c r="M174" s="20" t="e">
        <f aca="false">IFERROR(D174/D170-1,NA())</f>
        <v>#N/A</v>
      </c>
      <c r="N174" s="20" t="e">
        <f aca="false">IFERROR(D174/D173-1,NA())</f>
        <v>#N/A</v>
      </c>
      <c r="O174" s="20" t="e">
        <f aca="false">IFERROR(I174/I170-1,NA())</f>
        <v>#N/A</v>
      </c>
      <c r="P174" s="21" t="e">
        <f aca="false">IF(COUNT(D171:D174)=4,SUM(D171:D174),NA())</f>
        <v>#N/A</v>
      </c>
      <c r="Q174" s="21" t="e">
        <f aca="false">IF(COUNT(I171:I174)=4,SUM(I171:I174),NA())</f>
        <v>#N/A</v>
      </c>
      <c r="R174" s="21" t="e">
        <f aca="false">IFERROR(I174/K174,NA())</f>
        <v>#N/A</v>
      </c>
      <c r="S174" s="21" t="e">
        <f aca="false">IFERROR(I174/L174,NA())</f>
        <v>#N/A</v>
      </c>
    </row>
    <row r="175" customFormat="false" ht="15" hidden="false" customHeight="false" outlineLevel="0" collapsed="false">
      <c r="A175" s="16" t="e">
        <f aca="false">IFERROR(IF(ISNUMBER('Real and nominal GDP'!A162),'Real and nominal GDP'!A162,NA()),NA())</f>
        <v>#N/A</v>
      </c>
      <c r="B175" s="17" t="e">
        <f aca="false">IFERROR(IF('Real and nominal GDP'!B162="",NA(),'Real and nominal GDP'!B162),NA())</f>
        <v>#N/A</v>
      </c>
      <c r="C175" s="18" t="n">
        <f aca="false">IFERROR(YEAR(A175),0)</f>
        <v>0</v>
      </c>
      <c r="D175" s="19" t="e">
        <f aca="false">IFERROR(IF('Real and nominal GDP'!C162="",NA(),IF(ISNUMBER('Real and nominal GDP'!C162),'Real and nominal GDP'!C162,NA())),NA())</f>
        <v>#N/A</v>
      </c>
      <c r="E175" s="19" t="e">
        <f aca="false">IFERROR(IF('Real and nominal GDP'!D162="",NA(),IF(ISNUMBER('Real and nominal GDP'!D162),'Real and nominal GDP'!D162,NA())),NA())</f>
        <v>#N/A</v>
      </c>
      <c r="F175" s="19" t="e">
        <f aca="false">IFERROR(IF('Real and nominal GDP'!E162="",NA(),IF(ISNUMBER('Real and nominal GDP'!E162),'Real and nominal GDP'!E162,NA())),NA())</f>
        <v>#N/A</v>
      </c>
      <c r="G175" s="19" t="e">
        <f aca="false">IFERROR(IF('Real and nominal GDP'!F162="",NA(),IF(ISNUMBER('Real and nominal GDP'!F162),'Real and nominal GDP'!F162,NA())),NA())</f>
        <v>#N/A</v>
      </c>
      <c r="H175" s="19" t="e">
        <f aca="false">IFERROR(IF('Real and nominal GDP'!G162="",NA(),IF(ISNUMBER('Real and nominal GDP'!G162),'Real and nominal GDP'!G162,NA())),NA())</f>
        <v>#N/A</v>
      </c>
      <c r="I175" s="19" t="e">
        <f aca="false">IFERROR(IF('Real and nominal GDP'!H162="",NA(),IF(ISNUMBER('Real and nominal GDP'!H162),'Real and nominal GDP'!H162,NA())),NA())</f>
        <v>#N/A</v>
      </c>
      <c r="J175" s="19" t="e">
        <f aca="false">IFERROR(IF('Real and nominal GDP'!I162="",NA(),IF(ISNUMBER('Real and nominal GDP'!I162),'Real and nominal GDP'!I162,NA())),NA())</f>
        <v>#N/A</v>
      </c>
      <c r="K175" s="19" t="e">
        <f aca="false">IFERROR(IF('Real and nominal GDP'!J162="",NA(),IF(ISNUMBER('Real and nominal GDP'!J162),'Real and nominal GDP'!J162,NA())),NA())</f>
        <v>#N/A</v>
      </c>
      <c r="L175" s="19" t="e">
        <f aca="false">IFERROR(IF('Real and nominal GDP'!K162="",NA(),IF(ISNUMBER('Real and nominal GDP'!K162),'Real and nominal GDP'!K162,NA())),NA())</f>
        <v>#N/A</v>
      </c>
      <c r="M175" s="20" t="e">
        <f aca="false">IFERROR(D175/D171-1,NA())</f>
        <v>#N/A</v>
      </c>
      <c r="N175" s="20" t="e">
        <f aca="false">IFERROR(D175/D174-1,NA())</f>
        <v>#N/A</v>
      </c>
      <c r="O175" s="20" t="e">
        <f aca="false">IFERROR(I175/I171-1,NA())</f>
        <v>#N/A</v>
      </c>
      <c r="P175" s="21" t="e">
        <f aca="false">IF(COUNT(D172:D175)=4,SUM(D172:D175),NA())</f>
        <v>#N/A</v>
      </c>
      <c r="Q175" s="21" t="e">
        <f aca="false">IF(COUNT(I172:I175)=4,SUM(I172:I175),NA())</f>
        <v>#N/A</v>
      </c>
      <c r="R175" s="21" t="e">
        <f aca="false">IFERROR(I175/K175,NA())</f>
        <v>#N/A</v>
      </c>
      <c r="S175" s="21" t="e">
        <f aca="false">IFERROR(I175/L175,NA())</f>
        <v>#N/A</v>
      </c>
    </row>
    <row r="176" customFormat="false" ht="15" hidden="false" customHeight="false" outlineLevel="0" collapsed="false">
      <c r="A176" s="16" t="e">
        <f aca="false">IFERROR(IF(ISNUMBER('Real and nominal GDP'!A163),'Real and nominal GDP'!A163,NA()),NA())</f>
        <v>#N/A</v>
      </c>
      <c r="B176" s="17" t="e">
        <f aca="false">IFERROR(IF('Real and nominal GDP'!B163="",NA(),'Real and nominal GDP'!B163),NA())</f>
        <v>#N/A</v>
      </c>
      <c r="C176" s="18" t="n">
        <f aca="false">IFERROR(YEAR(A176),0)</f>
        <v>0</v>
      </c>
      <c r="D176" s="19" t="e">
        <f aca="false">IFERROR(IF('Real and nominal GDP'!C163="",NA(),IF(ISNUMBER('Real and nominal GDP'!C163),'Real and nominal GDP'!C163,NA())),NA())</f>
        <v>#N/A</v>
      </c>
      <c r="E176" s="19" t="e">
        <f aca="false">IFERROR(IF('Real and nominal GDP'!D163="",NA(),IF(ISNUMBER('Real and nominal GDP'!D163),'Real and nominal GDP'!D163,NA())),NA())</f>
        <v>#N/A</v>
      </c>
      <c r="F176" s="19" t="e">
        <f aca="false">IFERROR(IF('Real and nominal GDP'!E163="",NA(),IF(ISNUMBER('Real and nominal GDP'!E163),'Real and nominal GDP'!E163,NA())),NA())</f>
        <v>#N/A</v>
      </c>
      <c r="G176" s="19" t="e">
        <f aca="false">IFERROR(IF('Real and nominal GDP'!F163="",NA(),IF(ISNUMBER('Real and nominal GDP'!F163),'Real and nominal GDP'!F163,NA())),NA())</f>
        <v>#N/A</v>
      </c>
      <c r="H176" s="19" t="e">
        <f aca="false">IFERROR(IF('Real and nominal GDP'!G163="",NA(),IF(ISNUMBER('Real and nominal GDP'!G163),'Real and nominal GDP'!G163,NA())),NA())</f>
        <v>#N/A</v>
      </c>
      <c r="I176" s="19" t="e">
        <f aca="false">IFERROR(IF('Real and nominal GDP'!H163="",NA(),IF(ISNUMBER('Real and nominal GDP'!H163),'Real and nominal GDP'!H163,NA())),NA())</f>
        <v>#N/A</v>
      </c>
      <c r="J176" s="19" t="e">
        <f aca="false">IFERROR(IF('Real and nominal GDP'!I163="",NA(),IF(ISNUMBER('Real and nominal GDP'!I163),'Real and nominal GDP'!I163,NA())),NA())</f>
        <v>#N/A</v>
      </c>
      <c r="K176" s="19" t="e">
        <f aca="false">IFERROR(IF('Real and nominal GDP'!J163="",NA(),IF(ISNUMBER('Real and nominal GDP'!J163),'Real and nominal GDP'!J163,NA())),NA())</f>
        <v>#N/A</v>
      </c>
      <c r="L176" s="19" t="e">
        <f aca="false">IFERROR(IF('Real and nominal GDP'!K163="",NA(),IF(ISNUMBER('Real and nominal GDP'!K163),'Real and nominal GDP'!K163,NA())),NA())</f>
        <v>#N/A</v>
      </c>
      <c r="M176" s="20" t="e">
        <f aca="false">IFERROR(D176/D172-1,NA())</f>
        <v>#N/A</v>
      </c>
      <c r="N176" s="20" t="e">
        <f aca="false">IFERROR(D176/D175-1,NA())</f>
        <v>#N/A</v>
      </c>
      <c r="O176" s="20" t="e">
        <f aca="false">IFERROR(I176/I172-1,NA())</f>
        <v>#N/A</v>
      </c>
      <c r="P176" s="21" t="e">
        <f aca="false">IF(COUNT(D173:D176)=4,SUM(D173:D176),NA())</f>
        <v>#N/A</v>
      </c>
      <c r="Q176" s="21" t="e">
        <f aca="false">IF(COUNT(I173:I176)=4,SUM(I173:I176),NA())</f>
        <v>#N/A</v>
      </c>
      <c r="R176" s="21" t="e">
        <f aca="false">IFERROR(I176/K176,NA())</f>
        <v>#N/A</v>
      </c>
      <c r="S176" s="21" t="e">
        <f aca="false">IFERROR(I176/L176,NA())</f>
        <v>#N/A</v>
      </c>
    </row>
    <row r="177" customFormat="false" ht="15" hidden="false" customHeight="false" outlineLevel="0" collapsed="false">
      <c r="A177" s="16" t="e">
        <f aca="false">IFERROR(IF(ISNUMBER('Real and nominal GDP'!A164),'Real and nominal GDP'!A164,NA()),NA())</f>
        <v>#N/A</v>
      </c>
      <c r="B177" s="17" t="e">
        <f aca="false">IFERROR(IF('Real and nominal GDP'!B164="",NA(),'Real and nominal GDP'!B164),NA())</f>
        <v>#N/A</v>
      </c>
      <c r="C177" s="18" t="n">
        <f aca="false">IFERROR(YEAR(A177),0)</f>
        <v>0</v>
      </c>
      <c r="D177" s="19" t="e">
        <f aca="false">IFERROR(IF('Real and nominal GDP'!C164="",NA(),IF(ISNUMBER('Real and nominal GDP'!C164),'Real and nominal GDP'!C164,NA())),NA())</f>
        <v>#N/A</v>
      </c>
      <c r="E177" s="19" t="e">
        <f aca="false">IFERROR(IF('Real and nominal GDP'!D164="",NA(),IF(ISNUMBER('Real and nominal GDP'!D164),'Real and nominal GDP'!D164,NA())),NA())</f>
        <v>#N/A</v>
      </c>
      <c r="F177" s="19" t="e">
        <f aca="false">IFERROR(IF('Real and nominal GDP'!E164="",NA(),IF(ISNUMBER('Real and nominal GDP'!E164),'Real and nominal GDP'!E164,NA())),NA())</f>
        <v>#N/A</v>
      </c>
      <c r="G177" s="19" t="e">
        <f aca="false">IFERROR(IF('Real and nominal GDP'!F164="",NA(),IF(ISNUMBER('Real and nominal GDP'!F164),'Real and nominal GDP'!F164,NA())),NA())</f>
        <v>#N/A</v>
      </c>
      <c r="H177" s="19" t="e">
        <f aca="false">IFERROR(IF('Real and nominal GDP'!G164="",NA(),IF(ISNUMBER('Real and nominal GDP'!G164),'Real and nominal GDP'!G164,NA())),NA())</f>
        <v>#N/A</v>
      </c>
      <c r="I177" s="19" t="e">
        <f aca="false">IFERROR(IF('Real and nominal GDP'!H164="",NA(),IF(ISNUMBER('Real and nominal GDP'!H164),'Real and nominal GDP'!H164,NA())),NA())</f>
        <v>#N/A</v>
      </c>
      <c r="J177" s="19" t="e">
        <f aca="false">IFERROR(IF('Real and nominal GDP'!I164="",NA(),IF(ISNUMBER('Real and nominal GDP'!I164),'Real and nominal GDP'!I164,NA())),NA())</f>
        <v>#N/A</v>
      </c>
      <c r="K177" s="19" t="e">
        <f aca="false">IFERROR(IF('Real and nominal GDP'!J164="",NA(),IF(ISNUMBER('Real and nominal GDP'!J164),'Real and nominal GDP'!J164,NA())),NA())</f>
        <v>#N/A</v>
      </c>
      <c r="L177" s="19" t="e">
        <f aca="false">IFERROR(IF('Real and nominal GDP'!K164="",NA(),IF(ISNUMBER('Real and nominal GDP'!K164),'Real and nominal GDP'!K164,NA())),NA())</f>
        <v>#N/A</v>
      </c>
      <c r="M177" s="20" t="e">
        <f aca="false">IFERROR(D177/D173-1,NA())</f>
        <v>#N/A</v>
      </c>
      <c r="N177" s="20" t="e">
        <f aca="false">IFERROR(D177/D176-1,NA())</f>
        <v>#N/A</v>
      </c>
      <c r="O177" s="20" t="e">
        <f aca="false">IFERROR(I177/I173-1,NA())</f>
        <v>#N/A</v>
      </c>
      <c r="P177" s="21" t="e">
        <f aca="false">IF(COUNT(D174:D177)=4,SUM(D174:D177),NA())</f>
        <v>#N/A</v>
      </c>
      <c r="Q177" s="21" t="e">
        <f aca="false">IF(COUNT(I174:I177)=4,SUM(I174:I177),NA())</f>
        <v>#N/A</v>
      </c>
      <c r="R177" s="21" t="e">
        <f aca="false">IFERROR(I177/K177,NA())</f>
        <v>#N/A</v>
      </c>
      <c r="S177" s="21" t="e">
        <f aca="false">IFERROR(I177/L177,NA())</f>
        <v>#N/A</v>
      </c>
    </row>
    <row r="178" customFormat="false" ht="15" hidden="false" customHeight="false" outlineLevel="0" collapsed="false">
      <c r="A178" s="16" t="e">
        <f aca="false">IFERROR(IF(ISNUMBER('Real and nominal GDP'!A165),'Real and nominal GDP'!A165,NA()),NA())</f>
        <v>#N/A</v>
      </c>
      <c r="B178" s="17" t="e">
        <f aca="false">IFERROR(IF('Real and nominal GDP'!B165="",NA(),'Real and nominal GDP'!B165),NA())</f>
        <v>#N/A</v>
      </c>
      <c r="C178" s="18" t="n">
        <f aca="false">IFERROR(YEAR(A178),0)</f>
        <v>0</v>
      </c>
      <c r="D178" s="19" t="e">
        <f aca="false">IFERROR(IF('Real and nominal GDP'!C165="",NA(),IF(ISNUMBER('Real and nominal GDP'!C165),'Real and nominal GDP'!C165,NA())),NA())</f>
        <v>#N/A</v>
      </c>
      <c r="E178" s="19" t="e">
        <f aca="false">IFERROR(IF('Real and nominal GDP'!D165="",NA(),IF(ISNUMBER('Real and nominal GDP'!D165),'Real and nominal GDP'!D165,NA())),NA())</f>
        <v>#N/A</v>
      </c>
      <c r="F178" s="19" t="e">
        <f aca="false">IFERROR(IF('Real and nominal GDP'!E165="",NA(),IF(ISNUMBER('Real and nominal GDP'!E165),'Real and nominal GDP'!E165,NA())),NA())</f>
        <v>#N/A</v>
      </c>
      <c r="G178" s="19" t="e">
        <f aca="false">IFERROR(IF('Real and nominal GDP'!F165="",NA(),IF(ISNUMBER('Real and nominal GDP'!F165),'Real and nominal GDP'!F165,NA())),NA())</f>
        <v>#N/A</v>
      </c>
      <c r="H178" s="19" t="e">
        <f aca="false">IFERROR(IF('Real and nominal GDP'!G165="",NA(),IF(ISNUMBER('Real and nominal GDP'!G165),'Real and nominal GDP'!G165,NA())),NA())</f>
        <v>#N/A</v>
      </c>
      <c r="I178" s="19" t="e">
        <f aca="false">IFERROR(IF('Real and nominal GDP'!H165="",NA(),IF(ISNUMBER('Real and nominal GDP'!H165),'Real and nominal GDP'!H165,NA())),NA())</f>
        <v>#N/A</v>
      </c>
      <c r="J178" s="19" t="e">
        <f aca="false">IFERROR(IF('Real and nominal GDP'!I165="",NA(),IF(ISNUMBER('Real and nominal GDP'!I165),'Real and nominal GDP'!I165,NA())),NA())</f>
        <v>#N/A</v>
      </c>
      <c r="K178" s="19" t="e">
        <f aca="false">IFERROR(IF('Real and nominal GDP'!J165="",NA(),IF(ISNUMBER('Real and nominal GDP'!J165),'Real and nominal GDP'!J165,NA())),NA())</f>
        <v>#N/A</v>
      </c>
      <c r="L178" s="19" t="e">
        <f aca="false">IFERROR(IF('Real and nominal GDP'!K165="",NA(),IF(ISNUMBER('Real and nominal GDP'!K165),'Real and nominal GDP'!K165,NA())),NA())</f>
        <v>#N/A</v>
      </c>
      <c r="M178" s="20" t="e">
        <f aca="false">IFERROR(D178/D174-1,NA())</f>
        <v>#N/A</v>
      </c>
      <c r="N178" s="20" t="e">
        <f aca="false">IFERROR(D178/D177-1,NA())</f>
        <v>#N/A</v>
      </c>
      <c r="O178" s="20" t="e">
        <f aca="false">IFERROR(I178/I174-1,NA())</f>
        <v>#N/A</v>
      </c>
      <c r="P178" s="21" t="e">
        <f aca="false">IF(COUNT(D175:D178)=4,SUM(D175:D178),NA())</f>
        <v>#N/A</v>
      </c>
      <c r="Q178" s="21" t="e">
        <f aca="false">IF(COUNT(I175:I178)=4,SUM(I175:I178),NA())</f>
        <v>#N/A</v>
      </c>
      <c r="R178" s="21" t="e">
        <f aca="false">IFERROR(I178/K178,NA())</f>
        <v>#N/A</v>
      </c>
      <c r="S178" s="21" t="e">
        <f aca="false">IFERROR(I178/L178,NA())</f>
        <v>#N/A</v>
      </c>
    </row>
    <row r="179" customFormat="false" ht="15" hidden="false" customHeight="false" outlineLevel="0" collapsed="false">
      <c r="A179" s="16" t="e">
        <f aca="false">IFERROR(IF(ISNUMBER('Real and nominal GDP'!A166),'Real and nominal GDP'!A166,NA()),NA())</f>
        <v>#N/A</v>
      </c>
      <c r="B179" s="17" t="e">
        <f aca="false">IFERROR(IF('Real and nominal GDP'!B166="",NA(),'Real and nominal GDP'!B166),NA())</f>
        <v>#N/A</v>
      </c>
      <c r="C179" s="18" t="n">
        <f aca="false">IFERROR(YEAR(A179),0)</f>
        <v>0</v>
      </c>
      <c r="D179" s="19" t="e">
        <f aca="false">IFERROR(IF('Real and nominal GDP'!C166="",NA(),IF(ISNUMBER('Real and nominal GDP'!C166),'Real and nominal GDP'!C166,NA())),NA())</f>
        <v>#N/A</v>
      </c>
      <c r="E179" s="19" t="e">
        <f aca="false">IFERROR(IF('Real and nominal GDP'!D166="",NA(),IF(ISNUMBER('Real and nominal GDP'!D166),'Real and nominal GDP'!D166,NA())),NA())</f>
        <v>#N/A</v>
      </c>
      <c r="F179" s="19" t="e">
        <f aca="false">IFERROR(IF('Real and nominal GDP'!E166="",NA(),IF(ISNUMBER('Real and nominal GDP'!E166),'Real and nominal GDP'!E166,NA())),NA())</f>
        <v>#N/A</v>
      </c>
      <c r="G179" s="19" t="e">
        <f aca="false">IFERROR(IF('Real and nominal GDP'!F166="",NA(),IF(ISNUMBER('Real and nominal GDP'!F166),'Real and nominal GDP'!F166,NA())),NA())</f>
        <v>#N/A</v>
      </c>
      <c r="H179" s="19" t="e">
        <f aca="false">IFERROR(IF('Real and nominal GDP'!G166="",NA(),IF(ISNUMBER('Real and nominal GDP'!G166),'Real and nominal GDP'!G166,NA())),NA())</f>
        <v>#N/A</v>
      </c>
      <c r="I179" s="19" t="e">
        <f aca="false">IFERROR(IF('Real and nominal GDP'!H166="",NA(),IF(ISNUMBER('Real and nominal GDP'!H166),'Real and nominal GDP'!H166,NA())),NA())</f>
        <v>#N/A</v>
      </c>
      <c r="J179" s="19" t="e">
        <f aca="false">IFERROR(IF('Real and nominal GDP'!I166="",NA(),IF(ISNUMBER('Real and nominal GDP'!I166),'Real and nominal GDP'!I166,NA())),NA())</f>
        <v>#N/A</v>
      </c>
      <c r="K179" s="19" t="e">
        <f aca="false">IFERROR(IF('Real and nominal GDP'!J166="",NA(),IF(ISNUMBER('Real and nominal GDP'!J166),'Real and nominal GDP'!J166,NA())),NA())</f>
        <v>#N/A</v>
      </c>
      <c r="L179" s="19" t="e">
        <f aca="false">IFERROR(IF('Real and nominal GDP'!K166="",NA(),IF(ISNUMBER('Real and nominal GDP'!K166),'Real and nominal GDP'!K166,NA())),NA())</f>
        <v>#N/A</v>
      </c>
      <c r="M179" s="20" t="e">
        <f aca="false">IFERROR(D179/D175-1,NA())</f>
        <v>#N/A</v>
      </c>
      <c r="N179" s="20" t="e">
        <f aca="false">IFERROR(D179/D178-1,NA())</f>
        <v>#N/A</v>
      </c>
      <c r="O179" s="20" t="e">
        <f aca="false">IFERROR(I179/I175-1,NA())</f>
        <v>#N/A</v>
      </c>
      <c r="P179" s="21" t="e">
        <f aca="false">IF(COUNT(D176:D179)=4,SUM(D176:D179),NA())</f>
        <v>#N/A</v>
      </c>
      <c r="Q179" s="21" t="e">
        <f aca="false">IF(COUNT(I176:I179)=4,SUM(I176:I179),NA())</f>
        <v>#N/A</v>
      </c>
      <c r="R179" s="21" t="e">
        <f aca="false">IFERROR(I179/K179,NA())</f>
        <v>#N/A</v>
      </c>
      <c r="S179" s="21" t="e">
        <f aca="false">IFERROR(I179/L179,NA())</f>
        <v>#N/A</v>
      </c>
    </row>
    <row r="180" customFormat="false" ht="15" hidden="false" customHeight="false" outlineLevel="0" collapsed="false">
      <c r="A180" s="16" t="e">
        <f aca="false">IFERROR(IF(ISNUMBER('Real and nominal GDP'!A167),'Real and nominal GDP'!A167,NA()),NA())</f>
        <v>#N/A</v>
      </c>
      <c r="B180" s="17" t="e">
        <f aca="false">IFERROR(IF('Real and nominal GDP'!B167="",NA(),'Real and nominal GDP'!B167),NA())</f>
        <v>#N/A</v>
      </c>
      <c r="C180" s="18" t="n">
        <f aca="false">IFERROR(YEAR(A180),0)</f>
        <v>0</v>
      </c>
      <c r="D180" s="19" t="e">
        <f aca="false">IFERROR(IF('Real and nominal GDP'!C167="",NA(),IF(ISNUMBER('Real and nominal GDP'!C167),'Real and nominal GDP'!C167,NA())),NA())</f>
        <v>#N/A</v>
      </c>
      <c r="E180" s="19" t="e">
        <f aca="false">IFERROR(IF('Real and nominal GDP'!D167="",NA(),IF(ISNUMBER('Real and nominal GDP'!D167),'Real and nominal GDP'!D167,NA())),NA())</f>
        <v>#N/A</v>
      </c>
      <c r="F180" s="19" t="e">
        <f aca="false">IFERROR(IF('Real and nominal GDP'!E167="",NA(),IF(ISNUMBER('Real and nominal GDP'!E167),'Real and nominal GDP'!E167,NA())),NA())</f>
        <v>#N/A</v>
      </c>
      <c r="G180" s="19" t="e">
        <f aca="false">IFERROR(IF('Real and nominal GDP'!F167="",NA(),IF(ISNUMBER('Real and nominal GDP'!F167),'Real and nominal GDP'!F167,NA())),NA())</f>
        <v>#N/A</v>
      </c>
      <c r="H180" s="19" t="e">
        <f aca="false">IFERROR(IF('Real and nominal GDP'!G167="",NA(),IF(ISNUMBER('Real and nominal GDP'!G167),'Real and nominal GDP'!G167,NA())),NA())</f>
        <v>#N/A</v>
      </c>
      <c r="I180" s="19" t="e">
        <f aca="false">IFERROR(IF('Real and nominal GDP'!H167="",NA(),IF(ISNUMBER('Real and nominal GDP'!H167),'Real and nominal GDP'!H167,NA())),NA())</f>
        <v>#N/A</v>
      </c>
      <c r="J180" s="19" t="e">
        <f aca="false">IFERROR(IF('Real and nominal GDP'!I167="",NA(),IF(ISNUMBER('Real and nominal GDP'!I167),'Real and nominal GDP'!I167,NA())),NA())</f>
        <v>#N/A</v>
      </c>
      <c r="K180" s="19" t="e">
        <f aca="false">IFERROR(IF('Real and nominal GDP'!J167="",NA(),IF(ISNUMBER('Real and nominal GDP'!J167),'Real and nominal GDP'!J167,NA())),NA())</f>
        <v>#N/A</v>
      </c>
      <c r="L180" s="19" t="e">
        <f aca="false">IFERROR(IF('Real and nominal GDP'!K167="",NA(),IF(ISNUMBER('Real and nominal GDP'!K167),'Real and nominal GDP'!K167,NA())),NA())</f>
        <v>#N/A</v>
      </c>
      <c r="M180" s="20" t="e">
        <f aca="false">IFERROR(D180/D176-1,NA())</f>
        <v>#N/A</v>
      </c>
      <c r="N180" s="20" t="e">
        <f aca="false">IFERROR(D180/D179-1,NA())</f>
        <v>#N/A</v>
      </c>
      <c r="O180" s="20" t="e">
        <f aca="false">IFERROR(I180/I176-1,NA())</f>
        <v>#N/A</v>
      </c>
      <c r="P180" s="21" t="e">
        <f aca="false">IF(COUNT(D177:D180)=4,SUM(D177:D180),NA())</f>
        <v>#N/A</v>
      </c>
      <c r="Q180" s="21" t="e">
        <f aca="false">IF(COUNT(I177:I180)=4,SUM(I177:I180),NA())</f>
        <v>#N/A</v>
      </c>
      <c r="R180" s="21" t="e">
        <f aca="false">IFERROR(I180/K180,NA())</f>
        <v>#N/A</v>
      </c>
      <c r="S180" s="21" t="e">
        <f aca="false">IFERROR(I180/L180,NA())</f>
        <v>#N/A</v>
      </c>
    </row>
    <row r="181" customFormat="false" ht="15" hidden="false" customHeight="false" outlineLevel="0" collapsed="false">
      <c r="A181" s="16" t="e">
        <f aca="false">IFERROR(IF(ISNUMBER('Real and nominal GDP'!A168),'Real and nominal GDP'!A168,NA()),NA())</f>
        <v>#N/A</v>
      </c>
      <c r="B181" s="17" t="e">
        <f aca="false">IFERROR(IF('Real and nominal GDP'!B168="",NA(),'Real and nominal GDP'!B168),NA())</f>
        <v>#N/A</v>
      </c>
      <c r="C181" s="18" t="n">
        <f aca="false">IFERROR(YEAR(A181),0)</f>
        <v>0</v>
      </c>
      <c r="D181" s="19" t="e">
        <f aca="false">IFERROR(IF('Real and nominal GDP'!C168="",NA(),IF(ISNUMBER('Real and nominal GDP'!C168),'Real and nominal GDP'!C168,NA())),NA())</f>
        <v>#N/A</v>
      </c>
      <c r="E181" s="19" t="e">
        <f aca="false">IFERROR(IF('Real and nominal GDP'!D168="",NA(),IF(ISNUMBER('Real and nominal GDP'!D168),'Real and nominal GDP'!D168,NA())),NA())</f>
        <v>#N/A</v>
      </c>
      <c r="F181" s="19" t="e">
        <f aca="false">IFERROR(IF('Real and nominal GDP'!E168="",NA(),IF(ISNUMBER('Real and nominal GDP'!E168),'Real and nominal GDP'!E168,NA())),NA())</f>
        <v>#N/A</v>
      </c>
      <c r="G181" s="19" t="e">
        <f aca="false">IFERROR(IF('Real and nominal GDP'!F168="",NA(),IF(ISNUMBER('Real and nominal GDP'!F168),'Real and nominal GDP'!F168,NA())),NA())</f>
        <v>#N/A</v>
      </c>
      <c r="H181" s="19" t="e">
        <f aca="false">IFERROR(IF('Real and nominal GDP'!G168="",NA(),IF(ISNUMBER('Real and nominal GDP'!G168),'Real and nominal GDP'!G168,NA())),NA())</f>
        <v>#N/A</v>
      </c>
      <c r="I181" s="19" t="e">
        <f aca="false">IFERROR(IF('Real and nominal GDP'!H168="",NA(),IF(ISNUMBER('Real and nominal GDP'!H168),'Real and nominal GDP'!H168,NA())),NA())</f>
        <v>#N/A</v>
      </c>
      <c r="J181" s="19" t="e">
        <f aca="false">IFERROR(IF('Real and nominal GDP'!I168="",NA(),IF(ISNUMBER('Real and nominal GDP'!I168),'Real and nominal GDP'!I168,NA())),NA())</f>
        <v>#N/A</v>
      </c>
      <c r="K181" s="19" t="e">
        <f aca="false">IFERROR(IF('Real and nominal GDP'!J168="",NA(),IF(ISNUMBER('Real and nominal GDP'!J168),'Real and nominal GDP'!J168,NA())),NA())</f>
        <v>#N/A</v>
      </c>
      <c r="L181" s="19" t="e">
        <f aca="false">IFERROR(IF('Real and nominal GDP'!K168="",NA(),IF(ISNUMBER('Real and nominal GDP'!K168),'Real and nominal GDP'!K168,NA())),NA())</f>
        <v>#N/A</v>
      </c>
      <c r="M181" s="20" t="e">
        <f aca="false">IFERROR(D181/D177-1,NA())</f>
        <v>#N/A</v>
      </c>
      <c r="N181" s="20" t="e">
        <f aca="false">IFERROR(D181/D180-1,NA())</f>
        <v>#N/A</v>
      </c>
      <c r="O181" s="20" t="e">
        <f aca="false">IFERROR(I181/I177-1,NA())</f>
        <v>#N/A</v>
      </c>
      <c r="P181" s="21" t="e">
        <f aca="false">IF(COUNT(D178:D181)=4,SUM(D178:D181),NA())</f>
        <v>#N/A</v>
      </c>
      <c r="Q181" s="21" t="e">
        <f aca="false">IF(COUNT(I178:I181)=4,SUM(I178:I181),NA())</f>
        <v>#N/A</v>
      </c>
      <c r="R181" s="21" t="e">
        <f aca="false">IFERROR(I181/K181,NA())</f>
        <v>#N/A</v>
      </c>
      <c r="S181" s="21" t="e">
        <f aca="false">IFERROR(I181/L181,NA())</f>
        <v>#N/A</v>
      </c>
    </row>
    <row r="182" customFormat="false" ht="15" hidden="false" customHeight="false" outlineLevel="0" collapsed="false">
      <c r="A182" s="16" t="e">
        <f aca="false">IFERROR(IF(ISNUMBER('Real and nominal GDP'!A169),'Real and nominal GDP'!A169,NA()),NA())</f>
        <v>#N/A</v>
      </c>
      <c r="B182" s="17" t="e">
        <f aca="false">IFERROR(IF('Real and nominal GDP'!B169="",NA(),'Real and nominal GDP'!B169),NA())</f>
        <v>#N/A</v>
      </c>
      <c r="C182" s="18" t="n">
        <f aca="false">IFERROR(YEAR(A182),0)</f>
        <v>0</v>
      </c>
      <c r="D182" s="19" t="e">
        <f aca="false">IFERROR(IF('Real and nominal GDP'!C169="",NA(),IF(ISNUMBER('Real and nominal GDP'!C169),'Real and nominal GDP'!C169,NA())),NA())</f>
        <v>#N/A</v>
      </c>
      <c r="E182" s="19" t="e">
        <f aca="false">IFERROR(IF('Real and nominal GDP'!D169="",NA(),IF(ISNUMBER('Real and nominal GDP'!D169),'Real and nominal GDP'!D169,NA())),NA())</f>
        <v>#N/A</v>
      </c>
      <c r="F182" s="19" t="e">
        <f aca="false">IFERROR(IF('Real and nominal GDP'!E169="",NA(),IF(ISNUMBER('Real and nominal GDP'!E169),'Real and nominal GDP'!E169,NA())),NA())</f>
        <v>#N/A</v>
      </c>
      <c r="G182" s="19" t="e">
        <f aca="false">IFERROR(IF('Real and nominal GDP'!F169="",NA(),IF(ISNUMBER('Real and nominal GDP'!F169),'Real and nominal GDP'!F169,NA())),NA())</f>
        <v>#N/A</v>
      </c>
      <c r="H182" s="19" t="e">
        <f aca="false">IFERROR(IF('Real and nominal GDP'!G169="",NA(),IF(ISNUMBER('Real and nominal GDP'!G169),'Real and nominal GDP'!G169,NA())),NA())</f>
        <v>#N/A</v>
      </c>
      <c r="I182" s="19" t="e">
        <f aca="false">IFERROR(IF('Real and nominal GDP'!H169="",NA(),IF(ISNUMBER('Real and nominal GDP'!H169),'Real and nominal GDP'!H169,NA())),NA())</f>
        <v>#N/A</v>
      </c>
      <c r="J182" s="19" t="e">
        <f aca="false">IFERROR(IF('Real and nominal GDP'!I169="",NA(),IF(ISNUMBER('Real and nominal GDP'!I169),'Real and nominal GDP'!I169,NA())),NA())</f>
        <v>#N/A</v>
      </c>
      <c r="K182" s="19" t="e">
        <f aca="false">IFERROR(IF('Real and nominal GDP'!J169="",NA(),IF(ISNUMBER('Real and nominal GDP'!J169),'Real and nominal GDP'!J169,NA())),NA())</f>
        <v>#N/A</v>
      </c>
      <c r="L182" s="19" t="e">
        <f aca="false">IFERROR(IF('Real and nominal GDP'!K169="",NA(),IF(ISNUMBER('Real and nominal GDP'!K169),'Real and nominal GDP'!K169,NA())),NA())</f>
        <v>#N/A</v>
      </c>
      <c r="M182" s="20" t="e">
        <f aca="false">IFERROR(D182/D178-1,NA())</f>
        <v>#N/A</v>
      </c>
      <c r="N182" s="20" t="e">
        <f aca="false">IFERROR(D182/D181-1,NA())</f>
        <v>#N/A</v>
      </c>
      <c r="O182" s="20" t="e">
        <f aca="false">IFERROR(I182/I178-1,NA())</f>
        <v>#N/A</v>
      </c>
      <c r="P182" s="21" t="e">
        <f aca="false">IF(COUNT(D179:D182)=4,SUM(D179:D182),NA())</f>
        <v>#N/A</v>
      </c>
      <c r="Q182" s="21" t="e">
        <f aca="false">IF(COUNT(I179:I182)=4,SUM(I179:I182),NA())</f>
        <v>#N/A</v>
      </c>
      <c r="R182" s="21" t="e">
        <f aca="false">IFERROR(I182/K182,NA())</f>
        <v>#N/A</v>
      </c>
      <c r="S182" s="21" t="e">
        <f aca="false">IFERROR(I182/L182,NA())</f>
        <v>#N/A</v>
      </c>
    </row>
    <row r="183" customFormat="false" ht="15" hidden="false" customHeight="false" outlineLevel="0" collapsed="false">
      <c r="A183" s="16" t="e">
        <f aca="false">IFERROR(IF(ISNUMBER('Real and nominal GDP'!A170),'Real and nominal GDP'!A170,NA()),NA())</f>
        <v>#N/A</v>
      </c>
      <c r="B183" s="17" t="e">
        <f aca="false">IFERROR(IF('Real and nominal GDP'!B170="",NA(),'Real and nominal GDP'!B170),NA())</f>
        <v>#N/A</v>
      </c>
      <c r="C183" s="18" t="n">
        <f aca="false">IFERROR(YEAR(A183),0)</f>
        <v>0</v>
      </c>
      <c r="D183" s="19" t="e">
        <f aca="false">IFERROR(IF('Real and nominal GDP'!C170="",NA(),IF(ISNUMBER('Real and nominal GDP'!C170),'Real and nominal GDP'!C170,NA())),NA())</f>
        <v>#N/A</v>
      </c>
      <c r="E183" s="19" t="e">
        <f aca="false">IFERROR(IF('Real and nominal GDP'!D170="",NA(),IF(ISNUMBER('Real and nominal GDP'!D170),'Real and nominal GDP'!D170,NA())),NA())</f>
        <v>#N/A</v>
      </c>
      <c r="F183" s="19" t="e">
        <f aca="false">IFERROR(IF('Real and nominal GDP'!E170="",NA(),IF(ISNUMBER('Real and nominal GDP'!E170),'Real and nominal GDP'!E170,NA())),NA())</f>
        <v>#N/A</v>
      </c>
      <c r="G183" s="19" t="e">
        <f aca="false">IFERROR(IF('Real and nominal GDP'!F170="",NA(),IF(ISNUMBER('Real and nominal GDP'!F170),'Real and nominal GDP'!F170,NA())),NA())</f>
        <v>#N/A</v>
      </c>
      <c r="H183" s="19" t="e">
        <f aca="false">IFERROR(IF('Real and nominal GDP'!G170="",NA(),IF(ISNUMBER('Real and nominal GDP'!G170),'Real and nominal GDP'!G170,NA())),NA())</f>
        <v>#N/A</v>
      </c>
      <c r="I183" s="19" t="e">
        <f aca="false">IFERROR(IF('Real and nominal GDP'!H170="",NA(),IF(ISNUMBER('Real and nominal GDP'!H170),'Real and nominal GDP'!H170,NA())),NA())</f>
        <v>#N/A</v>
      </c>
      <c r="J183" s="19" t="e">
        <f aca="false">IFERROR(IF('Real and nominal GDP'!I170="",NA(),IF(ISNUMBER('Real and nominal GDP'!I170),'Real and nominal GDP'!I170,NA())),NA())</f>
        <v>#N/A</v>
      </c>
      <c r="K183" s="19" t="e">
        <f aca="false">IFERROR(IF('Real and nominal GDP'!J170="",NA(),IF(ISNUMBER('Real and nominal GDP'!J170),'Real and nominal GDP'!J170,NA())),NA())</f>
        <v>#N/A</v>
      </c>
      <c r="L183" s="19" t="e">
        <f aca="false">IFERROR(IF('Real and nominal GDP'!K170="",NA(),IF(ISNUMBER('Real and nominal GDP'!K170),'Real and nominal GDP'!K170,NA())),NA())</f>
        <v>#N/A</v>
      </c>
      <c r="M183" s="20" t="e">
        <f aca="false">IFERROR(D183/D179-1,NA())</f>
        <v>#N/A</v>
      </c>
      <c r="N183" s="20" t="e">
        <f aca="false">IFERROR(D183/D182-1,NA())</f>
        <v>#N/A</v>
      </c>
      <c r="O183" s="20" t="e">
        <f aca="false">IFERROR(I183/I179-1,NA())</f>
        <v>#N/A</v>
      </c>
      <c r="P183" s="21" t="e">
        <f aca="false">IF(COUNT(D180:D183)=4,SUM(D180:D183),NA())</f>
        <v>#N/A</v>
      </c>
      <c r="Q183" s="21" t="e">
        <f aca="false">IF(COUNT(I180:I183)=4,SUM(I180:I183),NA())</f>
        <v>#N/A</v>
      </c>
      <c r="R183" s="21" t="e">
        <f aca="false">IFERROR(I183/K183,NA())</f>
        <v>#N/A</v>
      </c>
      <c r="S183" s="21" t="e">
        <f aca="false">IFERROR(I183/L183,NA())</f>
        <v>#N/A</v>
      </c>
    </row>
    <row r="184" customFormat="false" ht="15" hidden="false" customHeight="false" outlineLevel="0" collapsed="false">
      <c r="A184" s="16" t="e">
        <f aca="false">IFERROR(IF(ISNUMBER('Real and nominal GDP'!A171),'Real and nominal GDP'!A171,NA()),NA())</f>
        <v>#N/A</v>
      </c>
      <c r="B184" s="17" t="e">
        <f aca="false">IFERROR(IF('Real and nominal GDP'!B171="",NA(),'Real and nominal GDP'!B171),NA())</f>
        <v>#N/A</v>
      </c>
      <c r="C184" s="18" t="n">
        <f aca="false">IFERROR(YEAR(A184),0)</f>
        <v>0</v>
      </c>
      <c r="D184" s="19" t="e">
        <f aca="false">IFERROR(IF('Real and nominal GDP'!C171="",NA(),IF(ISNUMBER('Real and nominal GDP'!C171),'Real and nominal GDP'!C171,NA())),NA())</f>
        <v>#N/A</v>
      </c>
      <c r="E184" s="19" t="e">
        <f aca="false">IFERROR(IF('Real and nominal GDP'!D171="",NA(),IF(ISNUMBER('Real and nominal GDP'!D171),'Real and nominal GDP'!D171,NA())),NA())</f>
        <v>#N/A</v>
      </c>
      <c r="F184" s="19" t="e">
        <f aca="false">IFERROR(IF('Real and nominal GDP'!E171="",NA(),IF(ISNUMBER('Real and nominal GDP'!E171),'Real and nominal GDP'!E171,NA())),NA())</f>
        <v>#N/A</v>
      </c>
      <c r="G184" s="19" t="e">
        <f aca="false">IFERROR(IF('Real and nominal GDP'!F171="",NA(),IF(ISNUMBER('Real and nominal GDP'!F171),'Real and nominal GDP'!F171,NA())),NA())</f>
        <v>#N/A</v>
      </c>
      <c r="H184" s="19" t="e">
        <f aca="false">IFERROR(IF('Real and nominal GDP'!G171="",NA(),IF(ISNUMBER('Real and nominal GDP'!G171),'Real and nominal GDP'!G171,NA())),NA())</f>
        <v>#N/A</v>
      </c>
      <c r="I184" s="19" t="e">
        <f aca="false">IFERROR(IF('Real and nominal GDP'!H171="",NA(),IF(ISNUMBER('Real and nominal GDP'!H171),'Real and nominal GDP'!H171,NA())),NA())</f>
        <v>#N/A</v>
      </c>
      <c r="J184" s="19" t="e">
        <f aca="false">IFERROR(IF('Real and nominal GDP'!I171="",NA(),IF(ISNUMBER('Real and nominal GDP'!I171),'Real and nominal GDP'!I171,NA())),NA())</f>
        <v>#N/A</v>
      </c>
      <c r="K184" s="19" t="e">
        <f aca="false">IFERROR(IF('Real and nominal GDP'!J171="",NA(),IF(ISNUMBER('Real and nominal GDP'!J171),'Real and nominal GDP'!J171,NA())),NA())</f>
        <v>#N/A</v>
      </c>
      <c r="L184" s="19" t="e">
        <f aca="false">IFERROR(IF('Real and nominal GDP'!K171="",NA(),IF(ISNUMBER('Real and nominal GDP'!K171),'Real and nominal GDP'!K171,NA())),NA())</f>
        <v>#N/A</v>
      </c>
      <c r="M184" s="20" t="e">
        <f aca="false">IFERROR(D184/D180-1,NA())</f>
        <v>#N/A</v>
      </c>
      <c r="N184" s="20" t="e">
        <f aca="false">IFERROR(D184/D183-1,NA())</f>
        <v>#N/A</v>
      </c>
      <c r="O184" s="20" t="e">
        <f aca="false">IFERROR(I184/I180-1,NA())</f>
        <v>#N/A</v>
      </c>
      <c r="P184" s="21" t="e">
        <f aca="false">IF(COUNT(D181:D184)=4,SUM(D181:D184),NA())</f>
        <v>#N/A</v>
      </c>
      <c r="Q184" s="21" t="e">
        <f aca="false">IF(COUNT(I181:I184)=4,SUM(I181:I184),NA())</f>
        <v>#N/A</v>
      </c>
      <c r="R184" s="21" t="e">
        <f aca="false">IFERROR(I184/K184,NA())</f>
        <v>#N/A</v>
      </c>
      <c r="S184" s="21" t="e">
        <f aca="false">IFERROR(I184/L184,NA())</f>
        <v>#N/A</v>
      </c>
    </row>
    <row r="185" customFormat="false" ht="15" hidden="false" customHeight="false" outlineLevel="0" collapsed="false">
      <c r="A185" s="16" t="e">
        <f aca="false">IFERROR(IF(ISNUMBER('Real and nominal GDP'!A172),'Real and nominal GDP'!A172,NA()),NA())</f>
        <v>#N/A</v>
      </c>
      <c r="B185" s="17" t="e">
        <f aca="false">IFERROR(IF('Real and nominal GDP'!B172="",NA(),'Real and nominal GDP'!B172),NA())</f>
        <v>#N/A</v>
      </c>
      <c r="C185" s="18" t="n">
        <f aca="false">IFERROR(YEAR(A185),0)</f>
        <v>0</v>
      </c>
      <c r="D185" s="19" t="e">
        <f aca="false">IFERROR(IF('Real and nominal GDP'!C172="",NA(),IF(ISNUMBER('Real and nominal GDP'!C172),'Real and nominal GDP'!C172,NA())),NA())</f>
        <v>#N/A</v>
      </c>
      <c r="E185" s="19" t="e">
        <f aca="false">IFERROR(IF('Real and nominal GDP'!D172="",NA(),IF(ISNUMBER('Real and nominal GDP'!D172),'Real and nominal GDP'!D172,NA())),NA())</f>
        <v>#N/A</v>
      </c>
      <c r="F185" s="19" t="e">
        <f aca="false">IFERROR(IF('Real and nominal GDP'!E172="",NA(),IF(ISNUMBER('Real and nominal GDP'!E172),'Real and nominal GDP'!E172,NA())),NA())</f>
        <v>#N/A</v>
      </c>
      <c r="G185" s="19" t="e">
        <f aca="false">IFERROR(IF('Real and nominal GDP'!F172="",NA(),IF(ISNUMBER('Real and nominal GDP'!F172),'Real and nominal GDP'!F172,NA())),NA())</f>
        <v>#N/A</v>
      </c>
      <c r="H185" s="19" t="e">
        <f aca="false">IFERROR(IF('Real and nominal GDP'!G172="",NA(),IF(ISNUMBER('Real and nominal GDP'!G172),'Real and nominal GDP'!G172,NA())),NA())</f>
        <v>#N/A</v>
      </c>
      <c r="I185" s="19" t="e">
        <f aca="false">IFERROR(IF('Real and nominal GDP'!H172="",NA(),IF(ISNUMBER('Real and nominal GDP'!H172),'Real and nominal GDP'!H172,NA())),NA())</f>
        <v>#N/A</v>
      </c>
      <c r="J185" s="19" t="e">
        <f aca="false">IFERROR(IF('Real and nominal GDP'!I172="",NA(),IF(ISNUMBER('Real and nominal GDP'!I172),'Real and nominal GDP'!I172,NA())),NA())</f>
        <v>#N/A</v>
      </c>
      <c r="K185" s="19" t="e">
        <f aca="false">IFERROR(IF('Real and nominal GDP'!J172="",NA(),IF(ISNUMBER('Real and nominal GDP'!J172),'Real and nominal GDP'!J172,NA())),NA())</f>
        <v>#N/A</v>
      </c>
      <c r="L185" s="19" t="e">
        <f aca="false">IFERROR(IF('Real and nominal GDP'!K172="",NA(),IF(ISNUMBER('Real and nominal GDP'!K172),'Real and nominal GDP'!K172,NA())),NA())</f>
        <v>#N/A</v>
      </c>
      <c r="M185" s="20" t="e">
        <f aca="false">IFERROR(D185/D181-1,NA())</f>
        <v>#N/A</v>
      </c>
      <c r="N185" s="20" t="e">
        <f aca="false">IFERROR(D185/D184-1,NA())</f>
        <v>#N/A</v>
      </c>
      <c r="O185" s="20" t="e">
        <f aca="false">IFERROR(I185/I181-1,NA())</f>
        <v>#N/A</v>
      </c>
      <c r="P185" s="21" t="e">
        <f aca="false">IF(COUNT(D182:D185)=4,SUM(D182:D185),NA())</f>
        <v>#N/A</v>
      </c>
      <c r="Q185" s="21" t="e">
        <f aca="false">IF(COUNT(I182:I185)=4,SUM(I182:I185),NA())</f>
        <v>#N/A</v>
      </c>
      <c r="R185" s="21" t="e">
        <f aca="false">IFERROR(I185/K185,NA())</f>
        <v>#N/A</v>
      </c>
      <c r="S185" s="21" t="e">
        <f aca="false">IFERROR(I185/L185,NA())</f>
        <v>#N/A</v>
      </c>
    </row>
    <row r="186" customFormat="false" ht="15" hidden="false" customHeight="false" outlineLevel="0" collapsed="false">
      <c r="A186" s="16" t="e">
        <f aca="false">IFERROR(IF(ISNUMBER('Real and nominal GDP'!A173),'Real and nominal GDP'!A173,NA()),NA())</f>
        <v>#N/A</v>
      </c>
      <c r="B186" s="17" t="e">
        <f aca="false">IFERROR(IF('Real and nominal GDP'!B173="",NA(),'Real and nominal GDP'!B173),NA())</f>
        <v>#N/A</v>
      </c>
      <c r="C186" s="18" t="n">
        <f aca="false">IFERROR(YEAR(A186),0)</f>
        <v>0</v>
      </c>
      <c r="D186" s="19" t="e">
        <f aca="false">IFERROR(IF('Real and nominal GDP'!C173="",NA(),IF(ISNUMBER('Real and nominal GDP'!C173),'Real and nominal GDP'!C173,NA())),NA())</f>
        <v>#N/A</v>
      </c>
      <c r="E186" s="19" t="e">
        <f aca="false">IFERROR(IF('Real and nominal GDP'!D173="",NA(),IF(ISNUMBER('Real and nominal GDP'!D173),'Real and nominal GDP'!D173,NA())),NA())</f>
        <v>#N/A</v>
      </c>
      <c r="F186" s="19" t="e">
        <f aca="false">IFERROR(IF('Real and nominal GDP'!E173="",NA(),IF(ISNUMBER('Real and nominal GDP'!E173),'Real and nominal GDP'!E173,NA())),NA())</f>
        <v>#N/A</v>
      </c>
      <c r="G186" s="19" t="e">
        <f aca="false">IFERROR(IF('Real and nominal GDP'!F173="",NA(),IF(ISNUMBER('Real and nominal GDP'!F173),'Real and nominal GDP'!F173,NA())),NA())</f>
        <v>#N/A</v>
      </c>
      <c r="H186" s="19" t="e">
        <f aca="false">IFERROR(IF('Real and nominal GDP'!G173="",NA(),IF(ISNUMBER('Real and nominal GDP'!G173),'Real and nominal GDP'!G173,NA())),NA())</f>
        <v>#N/A</v>
      </c>
      <c r="I186" s="19" t="e">
        <f aca="false">IFERROR(IF('Real and nominal GDP'!H173="",NA(),IF(ISNUMBER('Real and nominal GDP'!H173),'Real and nominal GDP'!H173,NA())),NA())</f>
        <v>#N/A</v>
      </c>
      <c r="J186" s="19" t="e">
        <f aca="false">IFERROR(IF('Real and nominal GDP'!I173="",NA(),IF(ISNUMBER('Real and nominal GDP'!I173),'Real and nominal GDP'!I173,NA())),NA())</f>
        <v>#N/A</v>
      </c>
      <c r="K186" s="19" t="e">
        <f aca="false">IFERROR(IF('Real and nominal GDP'!J173="",NA(),IF(ISNUMBER('Real and nominal GDP'!J173),'Real and nominal GDP'!J173,NA())),NA())</f>
        <v>#N/A</v>
      </c>
      <c r="L186" s="19" t="e">
        <f aca="false">IFERROR(IF('Real and nominal GDP'!K173="",NA(),IF(ISNUMBER('Real and nominal GDP'!K173),'Real and nominal GDP'!K173,NA())),NA())</f>
        <v>#N/A</v>
      </c>
      <c r="M186" s="20" t="e">
        <f aca="false">IFERROR(D186/D182-1,NA())</f>
        <v>#N/A</v>
      </c>
      <c r="N186" s="20" t="e">
        <f aca="false">IFERROR(D186/D185-1,NA())</f>
        <v>#N/A</v>
      </c>
      <c r="O186" s="20" t="e">
        <f aca="false">IFERROR(I186/I182-1,NA())</f>
        <v>#N/A</v>
      </c>
      <c r="P186" s="21" t="e">
        <f aca="false">IF(COUNT(D183:D186)=4,SUM(D183:D186),NA())</f>
        <v>#N/A</v>
      </c>
      <c r="Q186" s="21" t="e">
        <f aca="false">IF(COUNT(I183:I186)=4,SUM(I183:I186),NA())</f>
        <v>#N/A</v>
      </c>
      <c r="R186" s="21" t="e">
        <f aca="false">IFERROR(I186/K186,NA())</f>
        <v>#N/A</v>
      </c>
      <c r="S186" s="21" t="e">
        <f aca="false">IFERROR(I186/L186,NA())</f>
        <v>#N/A</v>
      </c>
    </row>
    <row r="187" customFormat="false" ht="15" hidden="false" customHeight="false" outlineLevel="0" collapsed="false">
      <c r="A187" s="16" t="e">
        <f aca="false">IFERROR(IF(ISNUMBER('Real and nominal GDP'!A174),'Real and nominal GDP'!A174,NA()),NA())</f>
        <v>#N/A</v>
      </c>
      <c r="B187" s="17" t="e">
        <f aca="false">IFERROR(IF('Real and nominal GDP'!B174="",NA(),'Real and nominal GDP'!B174),NA())</f>
        <v>#N/A</v>
      </c>
      <c r="C187" s="18" t="n">
        <f aca="false">IFERROR(YEAR(A187),0)</f>
        <v>0</v>
      </c>
      <c r="D187" s="19" t="e">
        <f aca="false">IFERROR(IF('Real and nominal GDP'!C174="",NA(),IF(ISNUMBER('Real and nominal GDP'!C174),'Real and nominal GDP'!C174,NA())),NA())</f>
        <v>#N/A</v>
      </c>
      <c r="E187" s="19" t="e">
        <f aca="false">IFERROR(IF('Real and nominal GDP'!D174="",NA(),IF(ISNUMBER('Real and nominal GDP'!D174),'Real and nominal GDP'!D174,NA())),NA())</f>
        <v>#N/A</v>
      </c>
      <c r="F187" s="19" t="e">
        <f aca="false">IFERROR(IF('Real and nominal GDP'!E174="",NA(),IF(ISNUMBER('Real and nominal GDP'!E174),'Real and nominal GDP'!E174,NA())),NA())</f>
        <v>#N/A</v>
      </c>
      <c r="G187" s="19" t="e">
        <f aca="false">IFERROR(IF('Real and nominal GDP'!F174="",NA(),IF(ISNUMBER('Real and nominal GDP'!F174),'Real and nominal GDP'!F174,NA())),NA())</f>
        <v>#N/A</v>
      </c>
      <c r="H187" s="19" t="e">
        <f aca="false">IFERROR(IF('Real and nominal GDP'!G174="",NA(),IF(ISNUMBER('Real and nominal GDP'!G174),'Real and nominal GDP'!G174,NA())),NA())</f>
        <v>#N/A</v>
      </c>
      <c r="I187" s="19" t="e">
        <f aca="false">IFERROR(IF('Real and nominal GDP'!H174="",NA(),IF(ISNUMBER('Real and nominal GDP'!H174),'Real and nominal GDP'!H174,NA())),NA())</f>
        <v>#N/A</v>
      </c>
      <c r="J187" s="19" t="e">
        <f aca="false">IFERROR(IF('Real and nominal GDP'!I174="",NA(),IF(ISNUMBER('Real and nominal GDP'!I174),'Real and nominal GDP'!I174,NA())),NA())</f>
        <v>#N/A</v>
      </c>
      <c r="K187" s="19" t="e">
        <f aca="false">IFERROR(IF('Real and nominal GDP'!J174="",NA(),IF(ISNUMBER('Real and nominal GDP'!J174),'Real and nominal GDP'!J174,NA())),NA())</f>
        <v>#N/A</v>
      </c>
      <c r="L187" s="19" t="e">
        <f aca="false">IFERROR(IF('Real and nominal GDP'!K174="",NA(),IF(ISNUMBER('Real and nominal GDP'!K174),'Real and nominal GDP'!K174,NA())),NA())</f>
        <v>#N/A</v>
      </c>
      <c r="M187" s="20" t="e">
        <f aca="false">IFERROR(D187/D183-1,NA())</f>
        <v>#N/A</v>
      </c>
      <c r="N187" s="20" t="e">
        <f aca="false">IFERROR(D187/D186-1,NA())</f>
        <v>#N/A</v>
      </c>
      <c r="O187" s="20" t="e">
        <f aca="false">IFERROR(I187/I183-1,NA())</f>
        <v>#N/A</v>
      </c>
      <c r="P187" s="21" t="e">
        <f aca="false">IF(COUNT(D184:D187)=4,SUM(D184:D187),NA())</f>
        <v>#N/A</v>
      </c>
      <c r="Q187" s="21" t="e">
        <f aca="false">IF(COUNT(I184:I187)=4,SUM(I184:I187),NA())</f>
        <v>#N/A</v>
      </c>
      <c r="R187" s="21" t="e">
        <f aca="false">IFERROR(I187/K187,NA())</f>
        <v>#N/A</v>
      </c>
      <c r="S187" s="21" t="e">
        <f aca="false">IFERROR(I187/L187,NA())</f>
        <v>#N/A</v>
      </c>
    </row>
    <row r="188" customFormat="false" ht="15" hidden="false" customHeight="false" outlineLevel="0" collapsed="false">
      <c r="A188" s="16" t="e">
        <f aca="false">IFERROR(IF(ISNUMBER('Real and nominal GDP'!A175),'Real and nominal GDP'!A175,NA()),NA())</f>
        <v>#N/A</v>
      </c>
      <c r="B188" s="17" t="e">
        <f aca="false">IFERROR(IF('Real and nominal GDP'!B175="",NA(),'Real and nominal GDP'!B175),NA())</f>
        <v>#N/A</v>
      </c>
      <c r="C188" s="18" t="n">
        <f aca="false">IFERROR(YEAR(A188),0)</f>
        <v>0</v>
      </c>
      <c r="D188" s="19" t="e">
        <f aca="false">IFERROR(IF('Real and nominal GDP'!C175="",NA(),IF(ISNUMBER('Real and nominal GDP'!C175),'Real and nominal GDP'!C175,NA())),NA())</f>
        <v>#N/A</v>
      </c>
      <c r="E188" s="19" t="e">
        <f aca="false">IFERROR(IF('Real and nominal GDP'!D175="",NA(),IF(ISNUMBER('Real and nominal GDP'!D175),'Real and nominal GDP'!D175,NA())),NA())</f>
        <v>#N/A</v>
      </c>
      <c r="F188" s="19" t="e">
        <f aca="false">IFERROR(IF('Real and nominal GDP'!E175="",NA(),IF(ISNUMBER('Real and nominal GDP'!E175),'Real and nominal GDP'!E175,NA())),NA())</f>
        <v>#N/A</v>
      </c>
      <c r="G188" s="19" t="e">
        <f aca="false">IFERROR(IF('Real and nominal GDP'!F175="",NA(),IF(ISNUMBER('Real and nominal GDP'!F175),'Real and nominal GDP'!F175,NA())),NA())</f>
        <v>#N/A</v>
      </c>
      <c r="H188" s="19" t="e">
        <f aca="false">IFERROR(IF('Real and nominal GDP'!G175="",NA(),IF(ISNUMBER('Real and nominal GDP'!G175),'Real and nominal GDP'!G175,NA())),NA())</f>
        <v>#N/A</v>
      </c>
      <c r="I188" s="19" t="e">
        <f aca="false">IFERROR(IF('Real and nominal GDP'!H175="",NA(),IF(ISNUMBER('Real and nominal GDP'!H175),'Real and nominal GDP'!H175,NA())),NA())</f>
        <v>#N/A</v>
      </c>
      <c r="J188" s="19" t="e">
        <f aca="false">IFERROR(IF('Real and nominal GDP'!I175="",NA(),IF(ISNUMBER('Real and nominal GDP'!I175),'Real and nominal GDP'!I175,NA())),NA())</f>
        <v>#N/A</v>
      </c>
      <c r="K188" s="19" t="e">
        <f aca="false">IFERROR(IF('Real and nominal GDP'!J175="",NA(),IF(ISNUMBER('Real and nominal GDP'!J175),'Real and nominal GDP'!J175,NA())),NA())</f>
        <v>#N/A</v>
      </c>
      <c r="L188" s="19" t="e">
        <f aca="false">IFERROR(IF('Real and nominal GDP'!K175="",NA(),IF(ISNUMBER('Real and nominal GDP'!K175),'Real and nominal GDP'!K175,NA())),NA())</f>
        <v>#N/A</v>
      </c>
      <c r="M188" s="20" t="e">
        <f aca="false">IFERROR(D188/D184-1,NA())</f>
        <v>#N/A</v>
      </c>
      <c r="N188" s="20" t="e">
        <f aca="false">IFERROR(D188/D187-1,NA())</f>
        <v>#N/A</v>
      </c>
      <c r="O188" s="20" t="e">
        <f aca="false">IFERROR(I188/I184-1,NA())</f>
        <v>#N/A</v>
      </c>
      <c r="P188" s="21" t="e">
        <f aca="false">IF(COUNT(D185:D188)=4,SUM(D185:D188),NA())</f>
        <v>#N/A</v>
      </c>
      <c r="Q188" s="21" t="e">
        <f aca="false">IF(COUNT(I185:I188)=4,SUM(I185:I188),NA())</f>
        <v>#N/A</v>
      </c>
      <c r="R188" s="21" t="e">
        <f aca="false">IFERROR(I188/K188,NA())</f>
        <v>#N/A</v>
      </c>
      <c r="S188" s="21" t="e">
        <f aca="false">IFERROR(I188/L188,NA())</f>
        <v>#N/A</v>
      </c>
    </row>
    <row r="189" customFormat="false" ht="15" hidden="false" customHeight="false" outlineLevel="0" collapsed="false">
      <c r="A189" s="16" t="e">
        <f aca="false">IFERROR(IF(ISNUMBER('Real and nominal GDP'!A176),'Real and nominal GDP'!A176,NA()),NA())</f>
        <v>#N/A</v>
      </c>
      <c r="B189" s="17" t="e">
        <f aca="false">IFERROR(IF('Real and nominal GDP'!B176="",NA(),'Real and nominal GDP'!B176),NA())</f>
        <v>#N/A</v>
      </c>
      <c r="C189" s="18" t="n">
        <f aca="false">IFERROR(YEAR(A189),0)</f>
        <v>0</v>
      </c>
      <c r="D189" s="19" t="e">
        <f aca="false">IFERROR(IF('Real and nominal GDP'!C176="",NA(),IF(ISNUMBER('Real and nominal GDP'!C176),'Real and nominal GDP'!C176,NA())),NA())</f>
        <v>#N/A</v>
      </c>
      <c r="E189" s="19" t="e">
        <f aca="false">IFERROR(IF('Real and nominal GDP'!D176="",NA(),IF(ISNUMBER('Real and nominal GDP'!D176),'Real and nominal GDP'!D176,NA())),NA())</f>
        <v>#N/A</v>
      </c>
      <c r="F189" s="19" t="e">
        <f aca="false">IFERROR(IF('Real and nominal GDP'!E176="",NA(),IF(ISNUMBER('Real and nominal GDP'!E176),'Real and nominal GDP'!E176,NA())),NA())</f>
        <v>#N/A</v>
      </c>
      <c r="G189" s="19" t="e">
        <f aca="false">IFERROR(IF('Real and nominal GDP'!F176="",NA(),IF(ISNUMBER('Real and nominal GDP'!F176),'Real and nominal GDP'!F176,NA())),NA())</f>
        <v>#N/A</v>
      </c>
      <c r="H189" s="19" t="e">
        <f aca="false">IFERROR(IF('Real and nominal GDP'!G176="",NA(),IF(ISNUMBER('Real and nominal GDP'!G176),'Real and nominal GDP'!G176,NA())),NA())</f>
        <v>#N/A</v>
      </c>
      <c r="I189" s="19" t="e">
        <f aca="false">IFERROR(IF('Real and nominal GDP'!H176="",NA(),IF(ISNUMBER('Real and nominal GDP'!H176),'Real and nominal GDP'!H176,NA())),NA())</f>
        <v>#N/A</v>
      </c>
      <c r="J189" s="19" t="e">
        <f aca="false">IFERROR(IF('Real and nominal GDP'!I176="",NA(),IF(ISNUMBER('Real and nominal GDP'!I176),'Real and nominal GDP'!I176,NA())),NA())</f>
        <v>#N/A</v>
      </c>
      <c r="K189" s="19" t="e">
        <f aca="false">IFERROR(IF('Real and nominal GDP'!J176="",NA(),IF(ISNUMBER('Real and nominal GDP'!J176),'Real and nominal GDP'!J176,NA())),NA())</f>
        <v>#N/A</v>
      </c>
      <c r="L189" s="19" t="e">
        <f aca="false">IFERROR(IF('Real and nominal GDP'!K176="",NA(),IF(ISNUMBER('Real and nominal GDP'!K176),'Real and nominal GDP'!K176,NA())),NA())</f>
        <v>#N/A</v>
      </c>
      <c r="M189" s="20" t="e">
        <f aca="false">IFERROR(D189/D185-1,NA())</f>
        <v>#N/A</v>
      </c>
      <c r="N189" s="20" t="e">
        <f aca="false">IFERROR(D189/D188-1,NA())</f>
        <v>#N/A</v>
      </c>
      <c r="O189" s="20" t="e">
        <f aca="false">IFERROR(I189/I185-1,NA())</f>
        <v>#N/A</v>
      </c>
      <c r="P189" s="21" t="e">
        <f aca="false">IF(COUNT(D186:D189)=4,SUM(D186:D189),NA())</f>
        <v>#N/A</v>
      </c>
      <c r="Q189" s="21" t="e">
        <f aca="false">IF(COUNT(I186:I189)=4,SUM(I186:I189),NA())</f>
        <v>#N/A</v>
      </c>
      <c r="R189" s="21" t="e">
        <f aca="false">IFERROR(I189/K189,NA())</f>
        <v>#N/A</v>
      </c>
      <c r="S189" s="21" t="e">
        <f aca="false">IFERROR(I189/L189,NA())</f>
        <v>#N/A</v>
      </c>
    </row>
    <row r="190" customFormat="false" ht="15" hidden="false" customHeight="false" outlineLevel="0" collapsed="false">
      <c r="A190" s="16" t="e">
        <f aca="false">IFERROR(IF(ISNUMBER('Real and nominal GDP'!A177),'Real and nominal GDP'!A177,NA()),NA())</f>
        <v>#N/A</v>
      </c>
      <c r="B190" s="17" t="e">
        <f aca="false">IFERROR(IF('Real and nominal GDP'!B177="",NA(),'Real and nominal GDP'!B177),NA())</f>
        <v>#N/A</v>
      </c>
      <c r="C190" s="18" t="n">
        <f aca="false">IFERROR(YEAR(A190),0)</f>
        <v>0</v>
      </c>
      <c r="D190" s="19" t="e">
        <f aca="false">IFERROR(IF('Real and nominal GDP'!C177="",NA(),IF(ISNUMBER('Real and nominal GDP'!C177),'Real and nominal GDP'!C177,NA())),NA())</f>
        <v>#N/A</v>
      </c>
      <c r="E190" s="19" t="e">
        <f aca="false">IFERROR(IF('Real and nominal GDP'!D177="",NA(),IF(ISNUMBER('Real and nominal GDP'!D177),'Real and nominal GDP'!D177,NA())),NA())</f>
        <v>#N/A</v>
      </c>
      <c r="F190" s="19" t="e">
        <f aca="false">IFERROR(IF('Real and nominal GDP'!E177="",NA(),IF(ISNUMBER('Real and nominal GDP'!E177),'Real and nominal GDP'!E177,NA())),NA())</f>
        <v>#N/A</v>
      </c>
      <c r="G190" s="19" t="e">
        <f aca="false">IFERROR(IF('Real and nominal GDP'!F177="",NA(),IF(ISNUMBER('Real and nominal GDP'!F177),'Real and nominal GDP'!F177,NA())),NA())</f>
        <v>#N/A</v>
      </c>
      <c r="H190" s="19" t="e">
        <f aca="false">IFERROR(IF('Real and nominal GDP'!G177="",NA(),IF(ISNUMBER('Real and nominal GDP'!G177),'Real and nominal GDP'!G177,NA())),NA())</f>
        <v>#N/A</v>
      </c>
      <c r="I190" s="19" t="e">
        <f aca="false">IFERROR(IF('Real and nominal GDP'!H177="",NA(),IF(ISNUMBER('Real and nominal GDP'!H177),'Real and nominal GDP'!H177,NA())),NA())</f>
        <v>#N/A</v>
      </c>
      <c r="J190" s="19" t="e">
        <f aca="false">IFERROR(IF('Real and nominal GDP'!I177="",NA(),IF(ISNUMBER('Real and nominal GDP'!I177),'Real and nominal GDP'!I177,NA())),NA())</f>
        <v>#N/A</v>
      </c>
      <c r="K190" s="19" t="e">
        <f aca="false">IFERROR(IF('Real and nominal GDP'!J177="",NA(),IF(ISNUMBER('Real and nominal GDP'!J177),'Real and nominal GDP'!J177,NA())),NA())</f>
        <v>#N/A</v>
      </c>
      <c r="L190" s="19" t="e">
        <f aca="false">IFERROR(IF('Real and nominal GDP'!K177="",NA(),IF(ISNUMBER('Real and nominal GDP'!K177),'Real and nominal GDP'!K177,NA())),NA())</f>
        <v>#N/A</v>
      </c>
      <c r="M190" s="20" t="e">
        <f aca="false">IFERROR(D190/D186-1,NA())</f>
        <v>#N/A</v>
      </c>
      <c r="N190" s="20" t="e">
        <f aca="false">IFERROR(D190/D189-1,NA())</f>
        <v>#N/A</v>
      </c>
      <c r="O190" s="20" t="e">
        <f aca="false">IFERROR(I190/I186-1,NA())</f>
        <v>#N/A</v>
      </c>
      <c r="P190" s="21" t="e">
        <f aca="false">IF(COUNT(D187:D190)=4,SUM(D187:D190),NA())</f>
        <v>#N/A</v>
      </c>
      <c r="Q190" s="21" t="e">
        <f aca="false">IF(COUNT(I187:I190)=4,SUM(I187:I190),NA())</f>
        <v>#N/A</v>
      </c>
      <c r="R190" s="21" t="e">
        <f aca="false">IFERROR(I190/K190,NA())</f>
        <v>#N/A</v>
      </c>
      <c r="S190" s="21" t="e">
        <f aca="false">IFERROR(I190/L190,NA())</f>
        <v>#N/A</v>
      </c>
    </row>
    <row r="191" customFormat="false" ht="15" hidden="false" customHeight="false" outlineLevel="0" collapsed="false">
      <c r="A191" s="16" t="e">
        <f aca="false">IFERROR(IF(ISNUMBER('Real and nominal GDP'!A178),'Real and nominal GDP'!A178,NA()),NA())</f>
        <v>#N/A</v>
      </c>
      <c r="B191" s="17" t="e">
        <f aca="false">IFERROR(IF('Real and nominal GDP'!B178="",NA(),'Real and nominal GDP'!B178),NA())</f>
        <v>#N/A</v>
      </c>
      <c r="C191" s="18" t="n">
        <f aca="false">IFERROR(YEAR(A191),0)</f>
        <v>0</v>
      </c>
      <c r="D191" s="19" t="e">
        <f aca="false">IFERROR(IF('Real and nominal GDP'!C178="",NA(),IF(ISNUMBER('Real and nominal GDP'!C178),'Real and nominal GDP'!C178,NA())),NA())</f>
        <v>#N/A</v>
      </c>
      <c r="E191" s="19" t="e">
        <f aca="false">IFERROR(IF('Real and nominal GDP'!D178="",NA(),IF(ISNUMBER('Real and nominal GDP'!D178),'Real and nominal GDP'!D178,NA())),NA())</f>
        <v>#N/A</v>
      </c>
      <c r="F191" s="19" t="e">
        <f aca="false">IFERROR(IF('Real and nominal GDP'!E178="",NA(),IF(ISNUMBER('Real and nominal GDP'!E178),'Real and nominal GDP'!E178,NA())),NA())</f>
        <v>#N/A</v>
      </c>
      <c r="G191" s="19" t="e">
        <f aca="false">IFERROR(IF('Real and nominal GDP'!F178="",NA(),IF(ISNUMBER('Real and nominal GDP'!F178),'Real and nominal GDP'!F178,NA())),NA())</f>
        <v>#N/A</v>
      </c>
      <c r="H191" s="19" t="e">
        <f aca="false">IFERROR(IF('Real and nominal GDP'!G178="",NA(),IF(ISNUMBER('Real and nominal GDP'!G178),'Real and nominal GDP'!G178,NA())),NA())</f>
        <v>#N/A</v>
      </c>
      <c r="I191" s="19" t="e">
        <f aca="false">IFERROR(IF('Real and nominal GDP'!H178="",NA(),IF(ISNUMBER('Real and nominal GDP'!H178),'Real and nominal GDP'!H178,NA())),NA())</f>
        <v>#N/A</v>
      </c>
      <c r="J191" s="19" t="e">
        <f aca="false">IFERROR(IF('Real and nominal GDP'!I178="",NA(),IF(ISNUMBER('Real and nominal GDP'!I178),'Real and nominal GDP'!I178,NA())),NA())</f>
        <v>#N/A</v>
      </c>
      <c r="K191" s="19" t="e">
        <f aca="false">IFERROR(IF('Real and nominal GDP'!J178="",NA(),IF(ISNUMBER('Real and nominal GDP'!J178),'Real and nominal GDP'!J178,NA())),NA())</f>
        <v>#N/A</v>
      </c>
      <c r="L191" s="19" t="e">
        <f aca="false">IFERROR(IF('Real and nominal GDP'!K178="",NA(),IF(ISNUMBER('Real and nominal GDP'!K178),'Real and nominal GDP'!K178,NA())),NA())</f>
        <v>#N/A</v>
      </c>
      <c r="M191" s="20" t="e">
        <f aca="false">IFERROR(D191/D187-1,NA())</f>
        <v>#N/A</v>
      </c>
      <c r="N191" s="20" t="e">
        <f aca="false">IFERROR(D191/D190-1,NA())</f>
        <v>#N/A</v>
      </c>
      <c r="O191" s="20" t="e">
        <f aca="false">IFERROR(I191/I187-1,NA())</f>
        <v>#N/A</v>
      </c>
      <c r="P191" s="21" t="e">
        <f aca="false">IF(COUNT(D188:D191)=4,SUM(D188:D191),NA())</f>
        <v>#N/A</v>
      </c>
      <c r="Q191" s="21" t="e">
        <f aca="false">IF(COUNT(I188:I191)=4,SUM(I188:I191),NA())</f>
        <v>#N/A</v>
      </c>
      <c r="R191" s="21" t="e">
        <f aca="false">IFERROR(I191/K191,NA())</f>
        <v>#N/A</v>
      </c>
      <c r="S191" s="21" t="e">
        <f aca="false">IFERROR(I191/L191,NA())</f>
        <v>#N/A</v>
      </c>
    </row>
    <row r="192" customFormat="false" ht="15" hidden="false" customHeight="false" outlineLevel="0" collapsed="false">
      <c r="A192" s="16" t="e">
        <f aca="false">IFERROR(IF(ISNUMBER('Real and nominal GDP'!A179),'Real and nominal GDP'!A179,NA()),NA())</f>
        <v>#N/A</v>
      </c>
      <c r="B192" s="17" t="e">
        <f aca="false">IFERROR(IF('Real and nominal GDP'!B179="",NA(),'Real and nominal GDP'!B179),NA())</f>
        <v>#N/A</v>
      </c>
      <c r="C192" s="18" t="n">
        <f aca="false">IFERROR(YEAR(A192),0)</f>
        <v>0</v>
      </c>
      <c r="D192" s="19" t="e">
        <f aca="false">IFERROR(IF('Real and nominal GDP'!C179="",NA(),IF(ISNUMBER('Real and nominal GDP'!C179),'Real and nominal GDP'!C179,NA())),NA())</f>
        <v>#N/A</v>
      </c>
      <c r="E192" s="19" t="e">
        <f aca="false">IFERROR(IF('Real and nominal GDP'!D179="",NA(),IF(ISNUMBER('Real and nominal GDP'!D179),'Real and nominal GDP'!D179,NA())),NA())</f>
        <v>#N/A</v>
      </c>
      <c r="F192" s="19" t="e">
        <f aca="false">IFERROR(IF('Real and nominal GDP'!E179="",NA(),IF(ISNUMBER('Real and nominal GDP'!E179),'Real and nominal GDP'!E179,NA())),NA())</f>
        <v>#N/A</v>
      </c>
      <c r="G192" s="19" t="e">
        <f aca="false">IFERROR(IF('Real and nominal GDP'!F179="",NA(),IF(ISNUMBER('Real and nominal GDP'!F179),'Real and nominal GDP'!F179,NA())),NA())</f>
        <v>#N/A</v>
      </c>
      <c r="H192" s="19" t="e">
        <f aca="false">IFERROR(IF('Real and nominal GDP'!G179="",NA(),IF(ISNUMBER('Real and nominal GDP'!G179),'Real and nominal GDP'!G179,NA())),NA())</f>
        <v>#N/A</v>
      </c>
      <c r="I192" s="19" t="e">
        <f aca="false">IFERROR(IF('Real and nominal GDP'!H179="",NA(),IF(ISNUMBER('Real and nominal GDP'!H179),'Real and nominal GDP'!H179,NA())),NA())</f>
        <v>#N/A</v>
      </c>
      <c r="J192" s="19" t="e">
        <f aca="false">IFERROR(IF('Real and nominal GDP'!I179="",NA(),IF(ISNUMBER('Real and nominal GDP'!I179),'Real and nominal GDP'!I179,NA())),NA())</f>
        <v>#N/A</v>
      </c>
      <c r="K192" s="19" t="e">
        <f aca="false">IFERROR(IF('Real and nominal GDP'!J179="",NA(),IF(ISNUMBER('Real and nominal GDP'!J179),'Real and nominal GDP'!J179,NA())),NA())</f>
        <v>#N/A</v>
      </c>
      <c r="L192" s="19" t="e">
        <f aca="false">IFERROR(IF('Real and nominal GDP'!K179="",NA(),IF(ISNUMBER('Real and nominal GDP'!K179),'Real and nominal GDP'!K179,NA())),NA())</f>
        <v>#N/A</v>
      </c>
      <c r="M192" s="20" t="e">
        <f aca="false">IFERROR(D192/D188-1,NA())</f>
        <v>#N/A</v>
      </c>
      <c r="N192" s="20" t="e">
        <f aca="false">IFERROR(D192/D191-1,NA())</f>
        <v>#N/A</v>
      </c>
      <c r="O192" s="20" t="e">
        <f aca="false">IFERROR(I192/I188-1,NA())</f>
        <v>#N/A</v>
      </c>
      <c r="P192" s="21" t="e">
        <f aca="false">IF(COUNT(D189:D192)=4,SUM(D189:D192),NA())</f>
        <v>#N/A</v>
      </c>
      <c r="Q192" s="21" t="e">
        <f aca="false">IF(COUNT(I189:I192)=4,SUM(I189:I192),NA())</f>
        <v>#N/A</v>
      </c>
      <c r="R192" s="21" t="e">
        <f aca="false">IFERROR(I192/K192,NA())</f>
        <v>#N/A</v>
      </c>
      <c r="S192" s="21" t="e">
        <f aca="false">IFERROR(I192/L192,NA())</f>
        <v>#N/A</v>
      </c>
    </row>
    <row r="193" customFormat="false" ht="15" hidden="false" customHeight="false" outlineLevel="0" collapsed="false">
      <c r="A193" s="16" t="e">
        <f aca="false">IFERROR(IF(ISNUMBER('Real and nominal GDP'!A180),'Real and nominal GDP'!A180,NA()),NA())</f>
        <v>#N/A</v>
      </c>
      <c r="B193" s="17" t="e">
        <f aca="false">IFERROR(IF('Real and nominal GDP'!B180="",NA(),'Real and nominal GDP'!B180),NA())</f>
        <v>#N/A</v>
      </c>
      <c r="C193" s="18" t="n">
        <f aca="false">IFERROR(YEAR(A193),0)</f>
        <v>0</v>
      </c>
      <c r="D193" s="19" t="e">
        <f aca="false">IFERROR(IF('Real and nominal GDP'!C180="",NA(),IF(ISNUMBER('Real and nominal GDP'!C180),'Real and nominal GDP'!C180,NA())),NA())</f>
        <v>#N/A</v>
      </c>
      <c r="E193" s="19" t="e">
        <f aca="false">IFERROR(IF('Real and nominal GDP'!D180="",NA(),IF(ISNUMBER('Real and nominal GDP'!D180),'Real and nominal GDP'!D180,NA())),NA())</f>
        <v>#N/A</v>
      </c>
      <c r="F193" s="19" t="e">
        <f aca="false">IFERROR(IF('Real and nominal GDP'!E180="",NA(),IF(ISNUMBER('Real and nominal GDP'!E180),'Real and nominal GDP'!E180,NA())),NA())</f>
        <v>#N/A</v>
      </c>
      <c r="G193" s="19" t="e">
        <f aca="false">IFERROR(IF('Real and nominal GDP'!F180="",NA(),IF(ISNUMBER('Real and nominal GDP'!F180),'Real and nominal GDP'!F180,NA())),NA())</f>
        <v>#N/A</v>
      </c>
      <c r="H193" s="19" t="e">
        <f aca="false">IFERROR(IF('Real and nominal GDP'!G180="",NA(),IF(ISNUMBER('Real and nominal GDP'!G180),'Real and nominal GDP'!G180,NA())),NA())</f>
        <v>#N/A</v>
      </c>
      <c r="I193" s="19" t="e">
        <f aca="false">IFERROR(IF('Real and nominal GDP'!H180="",NA(),IF(ISNUMBER('Real and nominal GDP'!H180),'Real and nominal GDP'!H180,NA())),NA())</f>
        <v>#N/A</v>
      </c>
      <c r="J193" s="19" t="e">
        <f aca="false">IFERROR(IF('Real and nominal GDP'!I180="",NA(),IF(ISNUMBER('Real and nominal GDP'!I180),'Real and nominal GDP'!I180,NA())),NA())</f>
        <v>#N/A</v>
      </c>
      <c r="K193" s="19" t="e">
        <f aca="false">IFERROR(IF('Real and nominal GDP'!J180="",NA(),IF(ISNUMBER('Real and nominal GDP'!J180),'Real and nominal GDP'!J180,NA())),NA())</f>
        <v>#N/A</v>
      </c>
      <c r="L193" s="19" t="e">
        <f aca="false">IFERROR(IF('Real and nominal GDP'!K180="",NA(),IF(ISNUMBER('Real and nominal GDP'!K180),'Real and nominal GDP'!K180,NA())),NA())</f>
        <v>#N/A</v>
      </c>
      <c r="M193" s="20" t="e">
        <f aca="false">IFERROR(D193/D189-1,NA())</f>
        <v>#N/A</v>
      </c>
      <c r="N193" s="20" t="e">
        <f aca="false">IFERROR(D193/D192-1,NA())</f>
        <v>#N/A</v>
      </c>
      <c r="O193" s="20" t="e">
        <f aca="false">IFERROR(I193/I189-1,NA())</f>
        <v>#N/A</v>
      </c>
      <c r="P193" s="21" t="e">
        <f aca="false">IF(COUNT(D190:D193)=4,SUM(D190:D193),NA())</f>
        <v>#N/A</v>
      </c>
      <c r="Q193" s="21" t="e">
        <f aca="false">IF(COUNT(I190:I193)=4,SUM(I190:I193),NA())</f>
        <v>#N/A</v>
      </c>
      <c r="R193" s="21" t="e">
        <f aca="false">IFERROR(I193/K193,NA())</f>
        <v>#N/A</v>
      </c>
      <c r="S193" s="21" t="e">
        <f aca="false">IFERROR(I193/L193,NA())</f>
        <v>#N/A</v>
      </c>
    </row>
    <row r="194" customFormat="false" ht="15" hidden="false" customHeight="false" outlineLevel="0" collapsed="false">
      <c r="A194" s="16" t="e">
        <f aca="false">IFERROR(IF(ISNUMBER('Real and nominal GDP'!A181),'Real and nominal GDP'!A181,NA()),NA())</f>
        <v>#N/A</v>
      </c>
      <c r="B194" s="17" t="e">
        <f aca="false">IFERROR(IF('Real and nominal GDP'!B181="",NA(),'Real and nominal GDP'!B181),NA())</f>
        <v>#N/A</v>
      </c>
      <c r="C194" s="18" t="n">
        <f aca="false">IFERROR(YEAR(A194),0)</f>
        <v>0</v>
      </c>
      <c r="D194" s="19" t="e">
        <f aca="false">IFERROR(IF('Real and nominal GDP'!C181="",NA(),IF(ISNUMBER('Real and nominal GDP'!C181),'Real and nominal GDP'!C181,NA())),NA())</f>
        <v>#N/A</v>
      </c>
      <c r="E194" s="19" t="e">
        <f aca="false">IFERROR(IF('Real and nominal GDP'!D181="",NA(),IF(ISNUMBER('Real and nominal GDP'!D181),'Real and nominal GDP'!D181,NA())),NA())</f>
        <v>#N/A</v>
      </c>
      <c r="F194" s="19" t="e">
        <f aca="false">IFERROR(IF('Real and nominal GDP'!E181="",NA(),IF(ISNUMBER('Real and nominal GDP'!E181),'Real and nominal GDP'!E181,NA())),NA())</f>
        <v>#N/A</v>
      </c>
      <c r="G194" s="19" t="e">
        <f aca="false">IFERROR(IF('Real and nominal GDP'!F181="",NA(),IF(ISNUMBER('Real and nominal GDP'!F181),'Real and nominal GDP'!F181,NA())),NA())</f>
        <v>#N/A</v>
      </c>
      <c r="H194" s="19" t="e">
        <f aca="false">IFERROR(IF('Real and nominal GDP'!G181="",NA(),IF(ISNUMBER('Real and nominal GDP'!G181),'Real and nominal GDP'!G181,NA())),NA())</f>
        <v>#N/A</v>
      </c>
      <c r="I194" s="19" t="e">
        <f aca="false">IFERROR(IF('Real and nominal GDP'!H181="",NA(),IF(ISNUMBER('Real and nominal GDP'!H181),'Real and nominal GDP'!H181,NA())),NA())</f>
        <v>#N/A</v>
      </c>
      <c r="J194" s="19" t="e">
        <f aca="false">IFERROR(IF('Real and nominal GDP'!I181="",NA(),IF(ISNUMBER('Real and nominal GDP'!I181),'Real and nominal GDP'!I181,NA())),NA())</f>
        <v>#N/A</v>
      </c>
      <c r="K194" s="19" t="e">
        <f aca="false">IFERROR(IF('Real and nominal GDP'!J181="",NA(),IF(ISNUMBER('Real and nominal GDP'!J181),'Real and nominal GDP'!J181,NA())),NA())</f>
        <v>#N/A</v>
      </c>
      <c r="L194" s="19" t="e">
        <f aca="false">IFERROR(IF('Real and nominal GDP'!K181="",NA(),IF(ISNUMBER('Real and nominal GDP'!K181),'Real and nominal GDP'!K181,NA())),NA())</f>
        <v>#N/A</v>
      </c>
      <c r="M194" s="20" t="e">
        <f aca="false">IFERROR(D194/D190-1,NA())</f>
        <v>#N/A</v>
      </c>
      <c r="N194" s="20" t="e">
        <f aca="false">IFERROR(D194/D193-1,NA())</f>
        <v>#N/A</v>
      </c>
      <c r="O194" s="20" t="e">
        <f aca="false">IFERROR(I194/I190-1,NA())</f>
        <v>#N/A</v>
      </c>
      <c r="P194" s="21" t="e">
        <f aca="false">IF(COUNT(D191:D194)=4,SUM(D191:D194),NA())</f>
        <v>#N/A</v>
      </c>
      <c r="Q194" s="21" t="e">
        <f aca="false">IF(COUNT(I191:I194)=4,SUM(I191:I194),NA())</f>
        <v>#N/A</v>
      </c>
      <c r="R194" s="21" t="e">
        <f aca="false">IFERROR(I194/K194,NA())</f>
        <v>#N/A</v>
      </c>
      <c r="S194" s="21" t="e">
        <f aca="false">IFERROR(I194/L194,NA())</f>
        <v>#N/A</v>
      </c>
    </row>
    <row r="195" customFormat="false" ht="15" hidden="false" customHeight="false" outlineLevel="0" collapsed="false">
      <c r="A195" s="16" t="e">
        <f aca="false">IFERROR(IF(ISNUMBER('Real and nominal GDP'!A182),'Real and nominal GDP'!A182,NA()),NA())</f>
        <v>#N/A</v>
      </c>
      <c r="B195" s="17" t="e">
        <f aca="false">IFERROR(IF('Real and nominal GDP'!B182="",NA(),'Real and nominal GDP'!B182),NA())</f>
        <v>#N/A</v>
      </c>
      <c r="C195" s="18" t="n">
        <f aca="false">IFERROR(YEAR(A195),0)</f>
        <v>0</v>
      </c>
      <c r="D195" s="19" t="e">
        <f aca="false">IFERROR(IF('Real and nominal GDP'!C182="",NA(),IF(ISNUMBER('Real and nominal GDP'!C182),'Real and nominal GDP'!C182,NA())),NA())</f>
        <v>#N/A</v>
      </c>
      <c r="E195" s="19" t="e">
        <f aca="false">IFERROR(IF('Real and nominal GDP'!D182="",NA(),IF(ISNUMBER('Real and nominal GDP'!D182),'Real and nominal GDP'!D182,NA())),NA())</f>
        <v>#N/A</v>
      </c>
      <c r="F195" s="19" t="e">
        <f aca="false">IFERROR(IF('Real and nominal GDP'!E182="",NA(),IF(ISNUMBER('Real and nominal GDP'!E182),'Real and nominal GDP'!E182,NA())),NA())</f>
        <v>#N/A</v>
      </c>
      <c r="G195" s="19" t="e">
        <f aca="false">IFERROR(IF('Real and nominal GDP'!F182="",NA(),IF(ISNUMBER('Real and nominal GDP'!F182),'Real and nominal GDP'!F182,NA())),NA())</f>
        <v>#N/A</v>
      </c>
      <c r="H195" s="19" t="e">
        <f aca="false">IFERROR(IF('Real and nominal GDP'!G182="",NA(),IF(ISNUMBER('Real and nominal GDP'!G182),'Real and nominal GDP'!G182,NA())),NA())</f>
        <v>#N/A</v>
      </c>
      <c r="I195" s="19" t="e">
        <f aca="false">IFERROR(IF('Real and nominal GDP'!H182="",NA(),IF(ISNUMBER('Real and nominal GDP'!H182),'Real and nominal GDP'!H182,NA())),NA())</f>
        <v>#N/A</v>
      </c>
      <c r="J195" s="19" t="e">
        <f aca="false">IFERROR(IF('Real and nominal GDP'!I182="",NA(),IF(ISNUMBER('Real and nominal GDP'!I182),'Real and nominal GDP'!I182,NA())),NA())</f>
        <v>#N/A</v>
      </c>
      <c r="K195" s="19" t="e">
        <f aca="false">IFERROR(IF('Real and nominal GDP'!J182="",NA(),IF(ISNUMBER('Real and nominal GDP'!J182),'Real and nominal GDP'!J182,NA())),NA())</f>
        <v>#N/A</v>
      </c>
      <c r="L195" s="19" t="e">
        <f aca="false">IFERROR(IF('Real and nominal GDP'!K182="",NA(),IF(ISNUMBER('Real and nominal GDP'!K182),'Real and nominal GDP'!K182,NA())),NA())</f>
        <v>#N/A</v>
      </c>
      <c r="M195" s="20" t="e">
        <f aca="false">IFERROR(D195/D191-1,NA())</f>
        <v>#N/A</v>
      </c>
      <c r="N195" s="20" t="e">
        <f aca="false">IFERROR(D195/D194-1,NA())</f>
        <v>#N/A</v>
      </c>
      <c r="O195" s="20" t="e">
        <f aca="false">IFERROR(I195/I191-1,NA())</f>
        <v>#N/A</v>
      </c>
      <c r="P195" s="21" t="e">
        <f aca="false">IF(COUNT(D192:D195)=4,SUM(D192:D195),NA())</f>
        <v>#N/A</v>
      </c>
      <c r="Q195" s="21" t="e">
        <f aca="false">IF(COUNT(I192:I195)=4,SUM(I192:I195),NA())</f>
        <v>#N/A</v>
      </c>
      <c r="R195" s="21" t="e">
        <f aca="false">IFERROR(I195/K195,NA())</f>
        <v>#N/A</v>
      </c>
      <c r="S195" s="21" t="e">
        <f aca="false">IFERROR(I195/L195,NA())</f>
        <v>#N/A</v>
      </c>
    </row>
    <row r="196" customFormat="false" ht="15" hidden="false" customHeight="false" outlineLevel="0" collapsed="false">
      <c r="A196" s="16" t="e">
        <f aca="false">IFERROR(IF(ISNUMBER('Real and nominal GDP'!A183),'Real and nominal GDP'!A183,NA()),NA())</f>
        <v>#N/A</v>
      </c>
      <c r="B196" s="17" t="e">
        <f aca="false">IFERROR(IF('Real and nominal GDP'!B183="",NA(),'Real and nominal GDP'!B183),NA())</f>
        <v>#N/A</v>
      </c>
      <c r="C196" s="18" t="n">
        <f aca="false">IFERROR(YEAR(A196),0)</f>
        <v>0</v>
      </c>
      <c r="D196" s="19" t="e">
        <f aca="false">IFERROR(IF('Real and nominal GDP'!C183="",NA(),IF(ISNUMBER('Real and nominal GDP'!C183),'Real and nominal GDP'!C183,NA())),NA())</f>
        <v>#N/A</v>
      </c>
      <c r="E196" s="19" t="e">
        <f aca="false">IFERROR(IF('Real and nominal GDP'!D183="",NA(),IF(ISNUMBER('Real and nominal GDP'!D183),'Real and nominal GDP'!D183,NA())),NA())</f>
        <v>#N/A</v>
      </c>
      <c r="F196" s="19" t="e">
        <f aca="false">IFERROR(IF('Real and nominal GDP'!E183="",NA(),IF(ISNUMBER('Real and nominal GDP'!E183),'Real and nominal GDP'!E183,NA())),NA())</f>
        <v>#N/A</v>
      </c>
      <c r="G196" s="19" t="e">
        <f aca="false">IFERROR(IF('Real and nominal GDP'!F183="",NA(),IF(ISNUMBER('Real and nominal GDP'!F183),'Real and nominal GDP'!F183,NA())),NA())</f>
        <v>#N/A</v>
      </c>
      <c r="H196" s="19" t="e">
        <f aca="false">IFERROR(IF('Real and nominal GDP'!G183="",NA(),IF(ISNUMBER('Real and nominal GDP'!G183),'Real and nominal GDP'!G183,NA())),NA())</f>
        <v>#N/A</v>
      </c>
      <c r="I196" s="19" t="e">
        <f aca="false">IFERROR(IF('Real and nominal GDP'!H183="",NA(),IF(ISNUMBER('Real and nominal GDP'!H183),'Real and nominal GDP'!H183,NA())),NA())</f>
        <v>#N/A</v>
      </c>
      <c r="J196" s="19" t="e">
        <f aca="false">IFERROR(IF('Real and nominal GDP'!I183="",NA(),IF(ISNUMBER('Real and nominal GDP'!I183),'Real and nominal GDP'!I183,NA())),NA())</f>
        <v>#N/A</v>
      </c>
      <c r="K196" s="19" t="e">
        <f aca="false">IFERROR(IF('Real and nominal GDP'!J183="",NA(),IF(ISNUMBER('Real and nominal GDP'!J183),'Real and nominal GDP'!J183,NA())),NA())</f>
        <v>#N/A</v>
      </c>
      <c r="L196" s="19" t="e">
        <f aca="false">IFERROR(IF('Real and nominal GDP'!K183="",NA(),IF(ISNUMBER('Real and nominal GDP'!K183),'Real and nominal GDP'!K183,NA())),NA())</f>
        <v>#N/A</v>
      </c>
      <c r="M196" s="20" t="e">
        <f aca="false">IFERROR(D196/D192-1,NA())</f>
        <v>#N/A</v>
      </c>
      <c r="N196" s="20" t="e">
        <f aca="false">IFERROR(D196/D195-1,NA())</f>
        <v>#N/A</v>
      </c>
      <c r="O196" s="20" t="e">
        <f aca="false">IFERROR(I196/I192-1,NA())</f>
        <v>#N/A</v>
      </c>
      <c r="P196" s="21" t="e">
        <f aca="false">IF(COUNT(D193:D196)=4,SUM(D193:D196),NA())</f>
        <v>#N/A</v>
      </c>
      <c r="Q196" s="21" t="e">
        <f aca="false">IF(COUNT(I193:I196)=4,SUM(I193:I196),NA())</f>
        <v>#N/A</v>
      </c>
      <c r="R196" s="21" t="e">
        <f aca="false">IFERROR(I196/K196,NA())</f>
        <v>#N/A</v>
      </c>
      <c r="S196" s="21" t="e">
        <f aca="false">IFERROR(I196/L196,NA())</f>
        <v>#N/A</v>
      </c>
    </row>
    <row r="197" customFormat="false" ht="15" hidden="false" customHeight="false" outlineLevel="0" collapsed="false">
      <c r="A197" s="16" t="e">
        <f aca="false">IFERROR(IF(ISNUMBER('Real and nominal GDP'!A184),'Real and nominal GDP'!A184,NA()),NA())</f>
        <v>#N/A</v>
      </c>
      <c r="B197" s="17" t="e">
        <f aca="false">IFERROR(IF('Real and nominal GDP'!B184="",NA(),'Real and nominal GDP'!B184),NA())</f>
        <v>#N/A</v>
      </c>
      <c r="C197" s="18" t="n">
        <f aca="false">IFERROR(YEAR(A197),0)</f>
        <v>0</v>
      </c>
      <c r="D197" s="19" t="e">
        <f aca="false">IFERROR(IF('Real and nominal GDP'!C184="",NA(),IF(ISNUMBER('Real and nominal GDP'!C184),'Real and nominal GDP'!C184,NA())),NA())</f>
        <v>#N/A</v>
      </c>
      <c r="E197" s="19" t="e">
        <f aca="false">IFERROR(IF('Real and nominal GDP'!D184="",NA(),IF(ISNUMBER('Real and nominal GDP'!D184),'Real and nominal GDP'!D184,NA())),NA())</f>
        <v>#N/A</v>
      </c>
      <c r="F197" s="19" t="e">
        <f aca="false">IFERROR(IF('Real and nominal GDP'!E184="",NA(),IF(ISNUMBER('Real and nominal GDP'!E184),'Real and nominal GDP'!E184,NA())),NA())</f>
        <v>#N/A</v>
      </c>
      <c r="G197" s="19" t="e">
        <f aca="false">IFERROR(IF('Real and nominal GDP'!F184="",NA(),IF(ISNUMBER('Real and nominal GDP'!F184),'Real and nominal GDP'!F184,NA())),NA())</f>
        <v>#N/A</v>
      </c>
      <c r="H197" s="19" t="e">
        <f aca="false">IFERROR(IF('Real and nominal GDP'!G184="",NA(),IF(ISNUMBER('Real and nominal GDP'!G184),'Real and nominal GDP'!G184,NA())),NA())</f>
        <v>#N/A</v>
      </c>
      <c r="I197" s="19" t="e">
        <f aca="false">IFERROR(IF('Real and nominal GDP'!H184="",NA(),IF(ISNUMBER('Real and nominal GDP'!H184),'Real and nominal GDP'!H184,NA())),NA())</f>
        <v>#N/A</v>
      </c>
      <c r="J197" s="19" t="e">
        <f aca="false">IFERROR(IF('Real and nominal GDP'!I184="",NA(),IF(ISNUMBER('Real and nominal GDP'!I184),'Real and nominal GDP'!I184,NA())),NA())</f>
        <v>#N/A</v>
      </c>
      <c r="K197" s="19" t="e">
        <f aca="false">IFERROR(IF('Real and nominal GDP'!J184="",NA(),IF(ISNUMBER('Real and nominal GDP'!J184),'Real and nominal GDP'!J184,NA())),NA())</f>
        <v>#N/A</v>
      </c>
      <c r="L197" s="19" t="e">
        <f aca="false">IFERROR(IF('Real and nominal GDP'!K184="",NA(),IF(ISNUMBER('Real and nominal GDP'!K184),'Real and nominal GDP'!K184,NA())),NA())</f>
        <v>#N/A</v>
      </c>
      <c r="M197" s="20" t="e">
        <f aca="false">IFERROR(D197/D193-1,NA())</f>
        <v>#N/A</v>
      </c>
      <c r="N197" s="20" t="e">
        <f aca="false">IFERROR(D197/D196-1,NA())</f>
        <v>#N/A</v>
      </c>
      <c r="O197" s="20" t="e">
        <f aca="false">IFERROR(I197/I193-1,NA())</f>
        <v>#N/A</v>
      </c>
      <c r="P197" s="21" t="e">
        <f aca="false">IF(COUNT(D194:D197)=4,SUM(D194:D197),NA())</f>
        <v>#N/A</v>
      </c>
      <c r="Q197" s="21" t="e">
        <f aca="false">IF(COUNT(I194:I197)=4,SUM(I194:I197),NA())</f>
        <v>#N/A</v>
      </c>
      <c r="R197" s="21" t="e">
        <f aca="false">IFERROR(I197/K197,NA())</f>
        <v>#N/A</v>
      </c>
      <c r="S197" s="21" t="e">
        <f aca="false">IFERROR(I197/L197,NA())</f>
        <v>#N/A</v>
      </c>
    </row>
    <row r="198" customFormat="false" ht="15" hidden="false" customHeight="false" outlineLevel="0" collapsed="false">
      <c r="A198" s="16" t="e">
        <f aca="false">IFERROR(IF(ISNUMBER('Real and nominal GDP'!A185),'Real and nominal GDP'!A185,NA()),NA())</f>
        <v>#N/A</v>
      </c>
      <c r="B198" s="17" t="e">
        <f aca="false">IFERROR(IF('Real and nominal GDP'!B185="",NA(),'Real and nominal GDP'!B185),NA())</f>
        <v>#N/A</v>
      </c>
      <c r="C198" s="18" t="n">
        <f aca="false">IFERROR(YEAR(A198),0)</f>
        <v>0</v>
      </c>
      <c r="D198" s="19" t="e">
        <f aca="false">IFERROR(IF('Real and nominal GDP'!C185="",NA(),IF(ISNUMBER('Real and nominal GDP'!C185),'Real and nominal GDP'!C185,NA())),NA())</f>
        <v>#N/A</v>
      </c>
      <c r="E198" s="19" t="e">
        <f aca="false">IFERROR(IF('Real and nominal GDP'!D185="",NA(),IF(ISNUMBER('Real and nominal GDP'!D185),'Real and nominal GDP'!D185,NA())),NA())</f>
        <v>#N/A</v>
      </c>
      <c r="F198" s="19" t="e">
        <f aca="false">IFERROR(IF('Real and nominal GDP'!E185="",NA(),IF(ISNUMBER('Real and nominal GDP'!E185),'Real and nominal GDP'!E185,NA())),NA())</f>
        <v>#N/A</v>
      </c>
      <c r="G198" s="19" t="e">
        <f aca="false">IFERROR(IF('Real and nominal GDP'!F185="",NA(),IF(ISNUMBER('Real and nominal GDP'!F185),'Real and nominal GDP'!F185,NA())),NA())</f>
        <v>#N/A</v>
      </c>
      <c r="H198" s="19" t="e">
        <f aca="false">IFERROR(IF('Real and nominal GDP'!G185="",NA(),IF(ISNUMBER('Real and nominal GDP'!G185),'Real and nominal GDP'!G185,NA())),NA())</f>
        <v>#N/A</v>
      </c>
      <c r="I198" s="19" t="e">
        <f aca="false">IFERROR(IF('Real and nominal GDP'!H185="",NA(),IF(ISNUMBER('Real and nominal GDP'!H185),'Real and nominal GDP'!H185,NA())),NA())</f>
        <v>#N/A</v>
      </c>
      <c r="J198" s="19" t="e">
        <f aca="false">IFERROR(IF('Real and nominal GDP'!I185="",NA(),IF(ISNUMBER('Real and nominal GDP'!I185),'Real and nominal GDP'!I185,NA())),NA())</f>
        <v>#N/A</v>
      </c>
      <c r="K198" s="19" t="e">
        <f aca="false">IFERROR(IF('Real and nominal GDP'!J185="",NA(),IF(ISNUMBER('Real and nominal GDP'!J185),'Real and nominal GDP'!J185,NA())),NA())</f>
        <v>#N/A</v>
      </c>
      <c r="L198" s="19" t="e">
        <f aca="false">IFERROR(IF('Real and nominal GDP'!K185="",NA(),IF(ISNUMBER('Real and nominal GDP'!K185),'Real and nominal GDP'!K185,NA())),NA())</f>
        <v>#N/A</v>
      </c>
      <c r="M198" s="20" t="e">
        <f aca="false">IFERROR(D198/D194-1,NA())</f>
        <v>#N/A</v>
      </c>
      <c r="N198" s="20" t="e">
        <f aca="false">IFERROR(D198/D197-1,NA())</f>
        <v>#N/A</v>
      </c>
      <c r="O198" s="20" t="e">
        <f aca="false">IFERROR(I198/I194-1,NA())</f>
        <v>#N/A</v>
      </c>
      <c r="P198" s="21" t="e">
        <f aca="false">IF(COUNT(D195:D198)=4,SUM(D195:D198),NA())</f>
        <v>#N/A</v>
      </c>
      <c r="Q198" s="21" t="e">
        <f aca="false">IF(COUNT(I195:I198)=4,SUM(I195:I198),NA())</f>
        <v>#N/A</v>
      </c>
      <c r="R198" s="21" t="e">
        <f aca="false">IFERROR(I198/K198,NA())</f>
        <v>#N/A</v>
      </c>
      <c r="S198" s="21" t="e">
        <f aca="false">IFERROR(I198/L198,NA())</f>
        <v>#N/A</v>
      </c>
    </row>
    <row r="199" customFormat="false" ht="15" hidden="false" customHeight="false" outlineLevel="0" collapsed="false">
      <c r="A199" s="16" t="e">
        <f aca="false">IFERROR(IF(ISNUMBER('Real and nominal GDP'!A186),'Real and nominal GDP'!A186,NA()),NA())</f>
        <v>#N/A</v>
      </c>
      <c r="B199" s="17" t="e">
        <f aca="false">IFERROR(IF('Real and nominal GDP'!B186="",NA(),'Real and nominal GDP'!B186),NA())</f>
        <v>#N/A</v>
      </c>
      <c r="C199" s="18" t="n">
        <f aca="false">IFERROR(YEAR(A199),0)</f>
        <v>0</v>
      </c>
      <c r="D199" s="19" t="e">
        <f aca="false">IFERROR(IF('Real and nominal GDP'!C186="",NA(),IF(ISNUMBER('Real and nominal GDP'!C186),'Real and nominal GDP'!C186,NA())),NA())</f>
        <v>#N/A</v>
      </c>
      <c r="E199" s="19" t="e">
        <f aca="false">IFERROR(IF('Real and nominal GDP'!D186="",NA(),IF(ISNUMBER('Real and nominal GDP'!D186),'Real and nominal GDP'!D186,NA())),NA())</f>
        <v>#N/A</v>
      </c>
      <c r="F199" s="19" t="e">
        <f aca="false">IFERROR(IF('Real and nominal GDP'!E186="",NA(),IF(ISNUMBER('Real and nominal GDP'!E186),'Real and nominal GDP'!E186,NA())),NA())</f>
        <v>#N/A</v>
      </c>
      <c r="G199" s="19" t="e">
        <f aca="false">IFERROR(IF('Real and nominal GDP'!F186="",NA(),IF(ISNUMBER('Real and nominal GDP'!F186),'Real and nominal GDP'!F186,NA())),NA())</f>
        <v>#N/A</v>
      </c>
      <c r="H199" s="19" t="e">
        <f aca="false">IFERROR(IF('Real and nominal GDP'!G186="",NA(),IF(ISNUMBER('Real and nominal GDP'!G186),'Real and nominal GDP'!G186,NA())),NA())</f>
        <v>#N/A</v>
      </c>
      <c r="I199" s="19" t="e">
        <f aca="false">IFERROR(IF('Real and nominal GDP'!H186="",NA(),IF(ISNUMBER('Real and nominal GDP'!H186),'Real and nominal GDP'!H186,NA())),NA())</f>
        <v>#N/A</v>
      </c>
      <c r="J199" s="19" t="e">
        <f aca="false">IFERROR(IF('Real and nominal GDP'!I186="",NA(),IF(ISNUMBER('Real and nominal GDP'!I186),'Real and nominal GDP'!I186,NA())),NA())</f>
        <v>#N/A</v>
      </c>
      <c r="K199" s="19" t="e">
        <f aca="false">IFERROR(IF('Real and nominal GDP'!J186="",NA(),IF(ISNUMBER('Real and nominal GDP'!J186),'Real and nominal GDP'!J186,NA())),NA())</f>
        <v>#N/A</v>
      </c>
      <c r="L199" s="19" t="e">
        <f aca="false">IFERROR(IF('Real and nominal GDP'!K186="",NA(),IF(ISNUMBER('Real and nominal GDP'!K186),'Real and nominal GDP'!K186,NA())),NA())</f>
        <v>#N/A</v>
      </c>
      <c r="M199" s="20" t="e">
        <f aca="false">IFERROR(D199/D195-1,NA())</f>
        <v>#N/A</v>
      </c>
      <c r="N199" s="20" t="e">
        <f aca="false">IFERROR(D199/D198-1,NA())</f>
        <v>#N/A</v>
      </c>
      <c r="O199" s="20" t="e">
        <f aca="false">IFERROR(I199/I195-1,NA())</f>
        <v>#N/A</v>
      </c>
      <c r="P199" s="21" t="e">
        <f aca="false">IF(COUNT(D196:D199)=4,SUM(D196:D199),NA())</f>
        <v>#N/A</v>
      </c>
      <c r="Q199" s="21" t="e">
        <f aca="false">IF(COUNT(I196:I199)=4,SUM(I196:I199),NA())</f>
        <v>#N/A</v>
      </c>
      <c r="R199" s="21" t="e">
        <f aca="false">IFERROR(I199/K199,NA())</f>
        <v>#N/A</v>
      </c>
      <c r="S199" s="21" t="e">
        <f aca="false">IFERROR(I199/L199,NA())</f>
        <v>#N/A</v>
      </c>
    </row>
    <row r="200" customFormat="false" ht="15" hidden="false" customHeight="false" outlineLevel="0" collapsed="false">
      <c r="A200" s="16" t="e">
        <f aca="false">IFERROR(IF(ISNUMBER('Real and nominal GDP'!A187),'Real and nominal GDP'!A187,NA()),NA())</f>
        <v>#N/A</v>
      </c>
      <c r="B200" s="17" t="e">
        <f aca="false">IFERROR(IF('Real and nominal GDP'!B187="",NA(),'Real and nominal GDP'!B187),NA())</f>
        <v>#N/A</v>
      </c>
      <c r="C200" s="18" t="n">
        <f aca="false">IFERROR(YEAR(A200),0)</f>
        <v>0</v>
      </c>
      <c r="D200" s="19" t="e">
        <f aca="false">IFERROR(IF('Real and nominal GDP'!C187="",NA(),IF(ISNUMBER('Real and nominal GDP'!C187),'Real and nominal GDP'!C187,NA())),NA())</f>
        <v>#N/A</v>
      </c>
      <c r="E200" s="19" t="e">
        <f aca="false">IFERROR(IF('Real and nominal GDP'!D187="",NA(),IF(ISNUMBER('Real and nominal GDP'!D187),'Real and nominal GDP'!D187,NA())),NA())</f>
        <v>#N/A</v>
      </c>
      <c r="F200" s="19" t="e">
        <f aca="false">IFERROR(IF('Real and nominal GDP'!E187="",NA(),IF(ISNUMBER('Real and nominal GDP'!E187),'Real and nominal GDP'!E187,NA())),NA())</f>
        <v>#N/A</v>
      </c>
      <c r="G200" s="19" t="e">
        <f aca="false">IFERROR(IF('Real and nominal GDP'!F187="",NA(),IF(ISNUMBER('Real and nominal GDP'!F187),'Real and nominal GDP'!F187,NA())),NA())</f>
        <v>#N/A</v>
      </c>
      <c r="H200" s="19" t="e">
        <f aca="false">IFERROR(IF('Real and nominal GDP'!G187="",NA(),IF(ISNUMBER('Real and nominal GDP'!G187),'Real and nominal GDP'!G187,NA())),NA())</f>
        <v>#N/A</v>
      </c>
      <c r="I200" s="19" t="e">
        <f aca="false">IFERROR(IF('Real and nominal GDP'!H187="",NA(),IF(ISNUMBER('Real and nominal GDP'!H187),'Real and nominal GDP'!H187,NA())),NA())</f>
        <v>#N/A</v>
      </c>
      <c r="J200" s="19" t="e">
        <f aca="false">IFERROR(IF('Real and nominal GDP'!I187="",NA(),IF(ISNUMBER('Real and nominal GDP'!I187),'Real and nominal GDP'!I187,NA())),NA())</f>
        <v>#N/A</v>
      </c>
      <c r="K200" s="19" t="e">
        <f aca="false">IFERROR(IF('Real and nominal GDP'!J187="",NA(),IF(ISNUMBER('Real and nominal GDP'!J187),'Real and nominal GDP'!J187,NA())),NA())</f>
        <v>#N/A</v>
      </c>
      <c r="L200" s="19" t="e">
        <f aca="false">IFERROR(IF('Real and nominal GDP'!K187="",NA(),IF(ISNUMBER('Real and nominal GDP'!K187),'Real and nominal GDP'!K187,NA())),NA())</f>
        <v>#N/A</v>
      </c>
      <c r="M200" s="20" t="e">
        <f aca="false">IFERROR(D200/D196-1,NA())</f>
        <v>#N/A</v>
      </c>
      <c r="N200" s="20" t="e">
        <f aca="false">IFERROR(D200/D199-1,NA())</f>
        <v>#N/A</v>
      </c>
      <c r="O200" s="20" t="e">
        <f aca="false">IFERROR(I200/I196-1,NA())</f>
        <v>#N/A</v>
      </c>
      <c r="P200" s="21" t="e">
        <f aca="false">IF(COUNT(D197:D200)=4,SUM(D197:D200),NA())</f>
        <v>#N/A</v>
      </c>
      <c r="Q200" s="21" t="e">
        <f aca="false">IF(COUNT(I197:I200)=4,SUM(I197:I200),NA())</f>
        <v>#N/A</v>
      </c>
      <c r="R200" s="21" t="e">
        <f aca="false">IFERROR(I200/K200,NA())</f>
        <v>#N/A</v>
      </c>
      <c r="S200" s="21" t="e">
        <f aca="false">IFERROR(I200/L200,NA())</f>
        <v>#N/A</v>
      </c>
    </row>
    <row r="201" customFormat="false" ht="15" hidden="false" customHeight="false" outlineLevel="0" collapsed="false">
      <c r="A201" s="16" t="e">
        <f aca="false">IFERROR(IF(ISNUMBER('Real and nominal GDP'!A188),'Real and nominal GDP'!A188,NA()),NA())</f>
        <v>#N/A</v>
      </c>
      <c r="B201" s="17" t="e">
        <f aca="false">IFERROR(IF('Real and nominal GDP'!B188="",NA(),'Real and nominal GDP'!B188),NA())</f>
        <v>#N/A</v>
      </c>
      <c r="C201" s="18" t="n">
        <f aca="false">IFERROR(YEAR(A201),0)</f>
        <v>0</v>
      </c>
      <c r="D201" s="19" t="e">
        <f aca="false">IFERROR(IF('Real and nominal GDP'!C188="",NA(),IF(ISNUMBER('Real and nominal GDP'!C188),'Real and nominal GDP'!C188,NA())),NA())</f>
        <v>#N/A</v>
      </c>
      <c r="E201" s="19" t="e">
        <f aca="false">IFERROR(IF('Real and nominal GDP'!D188="",NA(),IF(ISNUMBER('Real and nominal GDP'!D188),'Real and nominal GDP'!D188,NA())),NA())</f>
        <v>#N/A</v>
      </c>
      <c r="F201" s="19" t="e">
        <f aca="false">IFERROR(IF('Real and nominal GDP'!E188="",NA(),IF(ISNUMBER('Real and nominal GDP'!E188),'Real and nominal GDP'!E188,NA())),NA())</f>
        <v>#N/A</v>
      </c>
      <c r="G201" s="19" t="e">
        <f aca="false">IFERROR(IF('Real and nominal GDP'!F188="",NA(),IF(ISNUMBER('Real and nominal GDP'!F188),'Real and nominal GDP'!F188,NA())),NA())</f>
        <v>#N/A</v>
      </c>
      <c r="H201" s="19" t="e">
        <f aca="false">IFERROR(IF('Real and nominal GDP'!G188="",NA(),IF(ISNUMBER('Real and nominal GDP'!G188),'Real and nominal GDP'!G188,NA())),NA())</f>
        <v>#N/A</v>
      </c>
      <c r="I201" s="19" t="e">
        <f aca="false">IFERROR(IF('Real and nominal GDP'!H188="",NA(),IF(ISNUMBER('Real and nominal GDP'!H188),'Real and nominal GDP'!H188,NA())),NA())</f>
        <v>#N/A</v>
      </c>
      <c r="J201" s="19" t="e">
        <f aca="false">IFERROR(IF('Real and nominal GDP'!I188="",NA(),IF(ISNUMBER('Real and nominal GDP'!I188),'Real and nominal GDP'!I188,NA())),NA())</f>
        <v>#N/A</v>
      </c>
      <c r="K201" s="19" t="e">
        <f aca="false">IFERROR(IF('Real and nominal GDP'!J188="",NA(),IF(ISNUMBER('Real and nominal GDP'!J188),'Real and nominal GDP'!J188,NA())),NA())</f>
        <v>#N/A</v>
      </c>
      <c r="L201" s="19" t="e">
        <f aca="false">IFERROR(IF('Real and nominal GDP'!K188="",NA(),IF(ISNUMBER('Real and nominal GDP'!K188),'Real and nominal GDP'!K188,NA())),NA())</f>
        <v>#N/A</v>
      </c>
      <c r="M201" s="20" t="e">
        <f aca="false">IFERROR(D201/D197-1,NA())</f>
        <v>#N/A</v>
      </c>
      <c r="N201" s="20" t="e">
        <f aca="false">IFERROR(D201/D200-1,NA())</f>
        <v>#N/A</v>
      </c>
      <c r="O201" s="20" t="e">
        <f aca="false">IFERROR(I201/I197-1,NA())</f>
        <v>#N/A</v>
      </c>
      <c r="P201" s="21" t="e">
        <f aca="false">IF(COUNT(D198:D201)=4,SUM(D198:D201),NA())</f>
        <v>#N/A</v>
      </c>
      <c r="Q201" s="21" t="e">
        <f aca="false">IF(COUNT(I198:I201)=4,SUM(I198:I201),NA())</f>
        <v>#N/A</v>
      </c>
      <c r="R201" s="21" t="e">
        <f aca="false">IFERROR(I201/K201,NA())</f>
        <v>#N/A</v>
      </c>
      <c r="S201" s="21" t="e">
        <f aca="false">IFERROR(I201/L201,NA())</f>
        <v>#N/A</v>
      </c>
    </row>
    <row r="202" customFormat="false" ht="15" hidden="false" customHeight="false" outlineLevel="0" collapsed="false">
      <c r="A202" s="16" t="e">
        <f aca="false">IFERROR(IF(ISNUMBER('Real and nominal GDP'!A189),'Real and nominal GDP'!A189,NA()),NA())</f>
        <v>#N/A</v>
      </c>
      <c r="B202" s="17" t="e">
        <f aca="false">IFERROR(IF('Real and nominal GDP'!B189="",NA(),'Real and nominal GDP'!B189),NA())</f>
        <v>#N/A</v>
      </c>
      <c r="C202" s="18" t="n">
        <f aca="false">IFERROR(YEAR(A202),0)</f>
        <v>0</v>
      </c>
      <c r="D202" s="19" t="e">
        <f aca="false">IFERROR(IF('Real and nominal GDP'!C189="",NA(),IF(ISNUMBER('Real and nominal GDP'!C189),'Real and nominal GDP'!C189,NA())),NA())</f>
        <v>#N/A</v>
      </c>
      <c r="E202" s="19" t="e">
        <f aca="false">IFERROR(IF('Real and nominal GDP'!D189="",NA(),IF(ISNUMBER('Real and nominal GDP'!D189),'Real and nominal GDP'!D189,NA())),NA())</f>
        <v>#N/A</v>
      </c>
      <c r="F202" s="19" t="e">
        <f aca="false">IFERROR(IF('Real and nominal GDP'!E189="",NA(),IF(ISNUMBER('Real and nominal GDP'!E189),'Real and nominal GDP'!E189,NA())),NA())</f>
        <v>#N/A</v>
      </c>
      <c r="G202" s="19" t="e">
        <f aca="false">IFERROR(IF('Real and nominal GDP'!F189="",NA(),IF(ISNUMBER('Real and nominal GDP'!F189),'Real and nominal GDP'!F189,NA())),NA())</f>
        <v>#N/A</v>
      </c>
      <c r="H202" s="19" t="e">
        <f aca="false">IFERROR(IF('Real and nominal GDP'!G189="",NA(),IF(ISNUMBER('Real and nominal GDP'!G189),'Real and nominal GDP'!G189,NA())),NA())</f>
        <v>#N/A</v>
      </c>
      <c r="I202" s="19" t="e">
        <f aca="false">IFERROR(IF('Real and nominal GDP'!H189="",NA(),IF(ISNUMBER('Real and nominal GDP'!H189),'Real and nominal GDP'!H189,NA())),NA())</f>
        <v>#N/A</v>
      </c>
      <c r="J202" s="19" t="e">
        <f aca="false">IFERROR(IF('Real and nominal GDP'!I189="",NA(),IF(ISNUMBER('Real and nominal GDP'!I189),'Real and nominal GDP'!I189,NA())),NA())</f>
        <v>#N/A</v>
      </c>
      <c r="K202" s="19" t="e">
        <f aca="false">IFERROR(IF('Real and nominal GDP'!J189="",NA(),IF(ISNUMBER('Real and nominal GDP'!J189),'Real and nominal GDP'!J189,NA())),NA())</f>
        <v>#N/A</v>
      </c>
      <c r="L202" s="19" t="e">
        <f aca="false">IFERROR(IF('Real and nominal GDP'!K189="",NA(),IF(ISNUMBER('Real and nominal GDP'!K189),'Real and nominal GDP'!K189,NA())),NA())</f>
        <v>#N/A</v>
      </c>
      <c r="M202" s="20" t="e">
        <f aca="false">IFERROR(D202/D198-1,NA())</f>
        <v>#N/A</v>
      </c>
      <c r="N202" s="20" t="e">
        <f aca="false">IFERROR(D202/D201-1,NA())</f>
        <v>#N/A</v>
      </c>
      <c r="O202" s="20" t="e">
        <f aca="false">IFERROR(I202/I198-1,NA())</f>
        <v>#N/A</v>
      </c>
      <c r="P202" s="21" t="e">
        <f aca="false">IF(COUNT(D199:D202)=4,SUM(D199:D202),NA())</f>
        <v>#N/A</v>
      </c>
      <c r="Q202" s="21" t="e">
        <f aca="false">IF(COUNT(I199:I202)=4,SUM(I199:I202),NA())</f>
        <v>#N/A</v>
      </c>
      <c r="R202" s="21" t="e">
        <f aca="false">IFERROR(I202/K202,NA())</f>
        <v>#N/A</v>
      </c>
      <c r="S202" s="21" t="e">
        <f aca="false">IFERROR(I202/L202,NA())</f>
        <v>#N/A</v>
      </c>
    </row>
    <row r="203" customFormat="false" ht="15" hidden="false" customHeight="false" outlineLevel="0" collapsed="false">
      <c r="A203" s="16" t="e">
        <f aca="false">IFERROR(IF(ISNUMBER('Real and nominal GDP'!A190),'Real and nominal GDP'!A190,NA()),NA())</f>
        <v>#N/A</v>
      </c>
      <c r="B203" s="17" t="e">
        <f aca="false">IFERROR(IF('Real and nominal GDP'!B190="",NA(),'Real and nominal GDP'!B190),NA())</f>
        <v>#N/A</v>
      </c>
      <c r="C203" s="18" t="n">
        <f aca="false">IFERROR(YEAR(A203),0)</f>
        <v>0</v>
      </c>
      <c r="D203" s="19" t="e">
        <f aca="false">IFERROR(IF('Real and nominal GDP'!C190="",NA(),IF(ISNUMBER('Real and nominal GDP'!C190),'Real and nominal GDP'!C190,NA())),NA())</f>
        <v>#N/A</v>
      </c>
      <c r="E203" s="19" t="e">
        <f aca="false">IFERROR(IF('Real and nominal GDP'!D190="",NA(),IF(ISNUMBER('Real and nominal GDP'!D190),'Real and nominal GDP'!D190,NA())),NA())</f>
        <v>#N/A</v>
      </c>
      <c r="F203" s="19" t="e">
        <f aca="false">IFERROR(IF('Real and nominal GDP'!E190="",NA(),IF(ISNUMBER('Real and nominal GDP'!E190),'Real and nominal GDP'!E190,NA())),NA())</f>
        <v>#N/A</v>
      </c>
      <c r="G203" s="19" t="e">
        <f aca="false">IFERROR(IF('Real and nominal GDP'!F190="",NA(),IF(ISNUMBER('Real and nominal GDP'!F190),'Real and nominal GDP'!F190,NA())),NA())</f>
        <v>#N/A</v>
      </c>
      <c r="H203" s="19" t="e">
        <f aca="false">IFERROR(IF('Real and nominal GDP'!G190="",NA(),IF(ISNUMBER('Real and nominal GDP'!G190),'Real and nominal GDP'!G190,NA())),NA())</f>
        <v>#N/A</v>
      </c>
      <c r="I203" s="19" t="e">
        <f aca="false">IFERROR(IF('Real and nominal GDP'!H190="",NA(),IF(ISNUMBER('Real and nominal GDP'!H190),'Real and nominal GDP'!H190,NA())),NA())</f>
        <v>#N/A</v>
      </c>
      <c r="J203" s="19" t="e">
        <f aca="false">IFERROR(IF('Real and nominal GDP'!I190="",NA(),IF(ISNUMBER('Real and nominal GDP'!I190),'Real and nominal GDP'!I190,NA())),NA())</f>
        <v>#N/A</v>
      </c>
      <c r="K203" s="19" t="e">
        <f aca="false">IFERROR(IF('Real and nominal GDP'!J190="",NA(),IF(ISNUMBER('Real and nominal GDP'!J190),'Real and nominal GDP'!J190,NA())),NA())</f>
        <v>#N/A</v>
      </c>
      <c r="L203" s="19" t="e">
        <f aca="false">IFERROR(IF('Real and nominal GDP'!K190="",NA(),IF(ISNUMBER('Real and nominal GDP'!K190),'Real and nominal GDP'!K190,NA())),NA())</f>
        <v>#N/A</v>
      </c>
      <c r="M203" s="20" t="e">
        <f aca="false">IFERROR(D203/D199-1,NA())</f>
        <v>#N/A</v>
      </c>
      <c r="N203" s="20" t="e">
        <f aca="false">IFERROR(D203/D202-1,NA())</f>
        <v>#N/A</v>
      </c>
      <c r="O203" s="20" t="e">
        <f aca="false">IFERROR(I203/I199-1,NA())</f>
        <v>#N/A</v>
      </c>
      <c r="P203" s="21" t="e">
        <f aca="false">IF(COUNT(D200:D203)=4,SUM(D200:D203),NA())</f>
        <v>#N/A</v>
      </c>
      <c r="Q203" s="21" t="e">
        <f aca="false">IF(COUNT(I200:I203)=4,SUM(I200:I203),NA())</f>
        <v>#N/A</v>
      </c>
      <c r="R203" s="21" t="e">
        <f aca="false">IFERROR(I203/K203,NA())</f>
        <v>#N/A</v>
      </c>
      <c r="S203" s="21" t="e">
        <f aca="false">IFERROR(I203/L203,NA())</f>
        <v>#N/A</v>
      </c>
    </row>
    <row r="204" customFormat="false" ht="15" hidden="false" customHeight="false" outlineLevel="0" collapsed="false">
      <c r="A204" s="16" t="e">
        <f aca="false">IFERROR(IF(ISNUMBER('Real and nominal GDP'!A191),'Real and nominal GDP'!A191,NA()),NA())</f>
        <v>#N/A</v>
      </c>
      <c r="B204" s="17" t="e">
        <f aca="false">IFERROR(IF('Real and nominal GDP'!B191="",NA(),'Real and nominal GDP'!B191),NA())</f>
        <v>#N/A</v>
      </c>
      <c r="C204" s="18" t="n">
        <f aca="false">IFERROR(YEAR(A204),0)</f>
        <v>0</v>
      </c>
      <c r="D204" s="19" t="e">
        <f aca="false">IFERROR(IF('Real and nominal GDP'!C191="",NA(),IF(ISNUMBER('Real and nominal GDP'!C191),'Real and nominal GDP'!C191,NA())),NA())</f>
        <v>#N/A</v>
      </c>
      <c r="E204" s="19" t="e">
        <f aca="false">IFERROR(IF('Real and nominal GDP'!D191="",NA(),IF(ISNUMBER('Real and nominal GDP'!D191),'Real and nominal GDP'!D191,NA())),NA())</f>
        <v>#N/A</v>
      </c>
      <c r="F204" s="19" t="e">
        <f aca="false">IFERROR(IF('Real and nominal GDP'!E191="",NA(),IF(ISNUMBER('Real and nominal GDP'!E191),'Real and nominal GDP'!E191,NA())),NA())</f>
        <v>#N/A</v>
      </c>
      <c r="G204" s="19" t="e">
        <f aca="false">IFERROR(IF('Real and nominal GDP'!F191="",NA(),IF(ISNUMBER('Real and nominal GDP'!F191),'Real and nominal GDP'!F191,NA())),NA())</f>
        <v>#N/A</v>
      </c>
      <c r="H204" s="19" t="e">
        <f aca="false">IFERROR(IF('Real and nominal GDP'!G191="",NA(),IF(ISNUMBER('Real and nominal GDP'!G191),'Real and nominal GDP'!G191,NA())),NA())</f>
        <v>#N/A</v>
      </c>
      <c r="I204" s="19" t="e">
        <f aca="false">IFERROR(IF('Real and nominal GDP'!H191="",NA(),IF(ISNUMBER('Real and nominal GDP'!H191),'Real and nominal GDP'!H191,NA())),NA())</f>
        <v>#N/A</v>
      </c>
      <c r="J204" s="19" t="e">
        <f aca="false">IFERROR(IF('Real and nominal GDP'!I191="",NA(),IF(ISNUMBER('Real and nominal GDP'!I191),'Real and nominal GDP'!I191,NA())),NA())</f>
        <v>#N/A</v>
      </c>
      <c r="K204" s="19" t="e">
        <f aca="false">IFERROR(IF('Real and nominal GDP'!J191="",NA(),IF(ISNUMBER('Real and nominal GDP'!J191),'Real and nominal GDP'!J191,NA())),NA())</f>
        <v>#N/A</v>
      </c>
      <c r="L204" s="19" t="e">
        <f aca="false">IFERROR(IF('Real and nominal GDP'!K191="",NA(),IF(ISNUMBER('Real and nominal GDP'!K191),'Real and nominal GDP'!K191,NA())),NA())</f>
        <v>#N/A</v>
      </c>
      <c r="M204" s="20" t="e">
        <f aca="false">IFERROR(D204/D200-1,NA())</f>
        <v>#N/A</v>
      </c>
      <c r="N204" s="20" t="e">
        <f aca="false">IFERROR(D204/D203-1,NA())</f>
        <v>#N/A</v>
      </c>
      <c r="O204" s="20" t="e">
        <f aca="false">IFERROR(I204/I200-1,NA())</f>
        <v>#N/A</v>
      </c>
      <c r="P204" s="21" t="e">
        <f aca="false">IF(COUNT(D201:D204)=4,SUM(D201:D204),NA())</f>
        <v>#N/A</v>
      </c>
      <c r="Q204" s="21" t="e">
        <f aca="false">IF(COUNT(I201:I204)=4,SUM(I201:I204),NA())</f>
        <v>#N/A</v>
      </c>
      <c r="R204" s="21" t="e">
        <f aca="false">IFERROR(I204/K204,NA())</f>
        <v>#N/A</v>
      </c>
      <c r="S204" s="21" t="e">
        <f aca="false">IFERROR(I204/L204,NA())</f>
        <v>#N/A</v>
      </c>
    </row>
    <row r="205" customFormat="false" ht="15" hidden="false" customHeight="false" outlineLevel="0" collapsed="false">
      <c r="A205" s="16" t="e">
        <f aca="false">IFERROR(IF(ISNUMBER('Real and nominal GDP'!A192),'Real and nominal GDP'!A192,NA()),NA())</f>
        <v>#N/A</v>
      </c>
      <c r="B205" s="17" t="e">
        <f aca="false">IFERROR(IF('Real and nominal GDP'!B192="",NA(),'Real and nominal GDP'!B192),NA())</f>
        <v>#N/A</v>
      </c>
      <c r="C205" s="18" t="n">
        <f aca="false">IFERROR(YEAR(A205),0)</f>
        <v>0</v>
      </c>
      <c r="D205" s="19" t="e">
        <f aca="false">IFERROR(IF('Real and nominal GDP'!C192="",NA(),IF(ISNUMBER('Real and nominal GDP'!C192),'Real and nominal GDP'!C192,NA())),NA())</f>
        <v>#N/A</v>
      </c>
      <c r="E205" s="19" t="e">
        <f aca="false">IFERROR(IF('Real and nominal GDP'!D192="",NA(),IF(ISNUMBER('Real and nominal GDP'!D192),'Real and nominal GDP'!D192,NA())),NA())</f>
        <v>#N/A</v>
      </c>
      <c r="F205" s="19" t="e">
        <f aca="false">IFERROR(IF('Real and nominal GDP'!E192="",NA(),IF(ISNUMBER('Real and nominal GDP'!E192),'Real and nominal GDP'!E192,NA())),NA())</f>
        <v>#N/A</v>
      </c>
      <c r="G205" s="19" t="e">
        <f aca="false">IFERROR(IF('Real and nominal GDP'!F192="",NA(),IF(ISNUMBER('Real and nominal GDP'!F192),'Real and nominal GDP'!F192,NA())),NA())</f>
        <v>#N/A</v>
      </c>
      <c r="H205" s="19" t="e">
        <f aca="false">IFERROR(IF('Real and nominal GDP'!G192="",NA(),IF(ISNUMBER('Real and nominal GDP'!G192),'Real and nominal GDP'!G192,NA())),NA())</f>
        <v>#N/A</v>
      </c>
      <c r="I205" s="19" t="e">
        <f aca="false">IFERROR(IF('Real and nominal GDP'!H192="",NA(),IF(ISNUMBER('Real and nominal GDP'!H192),'Real and nominal GDP'!H192,NA())),NA())</f>
        <v>#N/A</v>
      </c>
      <c r="J205" s="19" t="e">
        <f aca="false">IFERROR(IF('Real and nominal GDP'!I192="",NA(),IF(ISNUMBER('Real and nominal GDP'!I192),'Real and nominal GDP'!I192,NA())),NA())</f>
        <v>#N/A</v>
      </c>
      <c r="K205" s="19" t="e">
        <f aca="false">IFERROR(IF('Real and nominal GDP'!J192="",NA(),IF(ISNUMBER('Real and nominal GDP'!J192),'Real and nominal GDP'!J192,NA())),NA())</f>
        <v>#N/A</v>
      </c>
      <c r="L205" s="19" t="e">
        <f aca="false">IFERROR(IF('Real and nominal GDP'!K192="",NA(),IF(ISNUMBER('Real and nominal GDP'!K192),'Real and nominal GDP'!K192,NA())),NA())</f>
        <v>#N/A</v>
      </c>
      <c r="M205" s="20" t="e">
        <f aca="false">IFERROR(D205/D201-1,NA())</f>
        <v>#N/A</v>
      </c>
      <c r="N205" s="20" t="e">
        <f aca="false">IFERROR(D205/D204-1,NA())</f>
        <v>#N/A</v>
      </c>
      <c r="O205" s="20" t="e">
        <f aca="false">IFERROR(I205/I201-1,NA())</f>
        <v>#N/A</v>
      </c>
      <c r="P205" s="21" t="e">
        <f aca="false">IF(COUNT(D202:D205)=4,SUM(D202:D205),NA())</f>
        <v>#N/A</v>
      </c>
      <c r="Q205" s="21" t="e">
        <f aca="false">IF(COUNT(I202:I205)=4,SUM(I202:I205),NA())</f>
        <v>#N/A</v>
      </c>
      <c r="R205" s="21" t="e">
        <f aca="false">IFERROR(I205/K205,NA())</f>
        <v>#N/A</v>
      </c>
      <c r="S205" s="21" t="e">
        <f aca="false">IFERROR(I205/L205,NA())</f>
        <v>#N/A</v>
      </c>
    </row>
    <row r="206" customFormat="false" ht="15" hidden="false" customHeight="false" outlineLevel="0" collapsed="false">
      <c r="A206" s="16" t="e">
        <f aca="false">IFERROR(IF(ISNUMBER('Real and nominal GDP'!A193),'Real and nominal GDP'!A193,NA()),NA())</f>
        <v>#N/A</v>
      </c>
      <c r="B206" s="17" t="e">
        <f aca="false">IFERROR(IF('Real and nominal GDP'!B193="",NA(),'Real and nominal GDP'!B193),NA())</f>
        <v>#N/A</v>
      </c>
      <c r="C206" s="18" t="n">
        <f aca="false">IFERROR(YEAR(A206),0)</f>
        <v>0</v>
      </c>
      <c r="D206" s="19" t="e">
        <f aca="false">IFERROR(IF('Real and nominal GDP'!C193="",NA(),IF(ISNUMBER('Real and nominal GDP'!C193),'Real and nominal GDP'!C193,NA())),NA())</f>
        <v>#N/A</v>
      </c>
      <c r="E206" s="19" t="e">
        <f aca="false">IFERROR(IF('Real and nominal GDP'!D193="",NA(),IF(ISNUMBER('Real and nominal GDP'!D193),'Real and nominal GDP'!D193,NA())),NA())</f>
        <v>#N/A</v>
      </c>
      <c r="F206" s="19" t="e">
        <f aca="false">IFERROR(IF('Real and nominal GDP'!E193="",NA(),IF(ISNUMBER('Real and nominal GDP'!E193),'Real and nominal GDP'!E193,NA())),NA())</f>
        <v>#N/A</v>
      </c>
      <c r="G206" s="19" t="e">
        <f aca="false">IFERROR(IF('Real and nominal GDP'!F193="",NA(),IF(ISNUMBER('Real and nominal GDP'!F193),'Real and nominal GDP'!F193,NA())),NA())</f>
        <v>#N/A</v>
      </c>
      <c r="H206" s="19" t="e">
        <f aca="false">IFERROR(IF('Real and nominal GDP'!G193="",NA(),IF(ISNUMBER('Real and nominal GDP'!G193),'Real and nominal GDP'!G193,NA())),NA())</f>
        <v>#N/A</v>
      </c>
      <c r="I206" s="19" t="e">
        <f aca="false">IFERROR(IF('Real and nominal GDP'!H193="",NA(),IF(ISNUMBER('Real and nominal GDP'!H193),'Real and nominal GDP'!H193,NA())),NA())</f>
        <v>#N/A</v>
      </c>
      <c r="J206" s="19" t="e">
        <f aca="false">IFERROR(IF('Real and nominal GDP'!I193="",NA(),IF(ISNUMBER('Real and nominal GDP'!I193),'Real and nominal GDP'!I193,NA())),NA())</f>
        <v>#N/A</v>
      </c>
      <c r="K206" s="19" t="e">
        <f aca="false">IFERROR(IF('Real and nominal GDP'!J193="",NA(),IF(ISNUMBER('Real and nominal GDP'!J193),'Real and nominal GDP'!J193,NA())),NA())</f>
        <v>#N/A</v>
      </c>
      <c r="L206" s="19" t="e">
        <f aca="false">IFERROR(IF('Real and nominal GDP'!K193="",NA(),IF(ISNUMBER('Real and nominal GDP'!K193),'Real and nominal GDP'!K193,NA())),NA())</f>
        <v>#N/A</v>
      </c>
      <c r="M206" s="20" t="e">
        <f aca="false">IFERROR(D206/D202-1,NA())</f>
        <v>#N/A</v>
      </c>
      <c r="N206" s="20" t="e">
        <f aca="false">IFERROR(D206/D205-1,NA())</f>
        <v>#N/A</v>
      </c>
      <c r="O206" s="20" t="e">
        <f aca="false">IFERROR(I206/I202-1,NA())</f>
        <v>#N/A</v>
      </c>
      <c r="P206" s="21" t="e">
        <f aca="false">IF(COUNT(D203:D206)=4,SUM(D203:D206),NA())</f>
        <v>#N/A</v>
      </c>
      <c r="Q206" s="21" t="e">
        <f aca="false">IF(COUNT(I203:I206)=4,SUM(I203:I206),NA())</f>
        <v>#N/A</v>
      </c>
      <c r="R206" s="21" t="e">
        <f aca="false">IFERROR(I206/K206,NA())</f>
        <v>#N/A</v>
      </c>
      <c r="S206" s="21" t="e">
        <f aca="false">IFERROR(I206/L206,NA())</f>
        <v>#N/A</v>
      </c>
    </row>
    <row r="207" customFormat="false" ht="15" hidden="false" customHeight="false" outlineLevel="0" collapsed="false">
      <c r="A207" s="16" t="e">
        <f aca="false">IFERROR(IF(ISNUMBER('Real and nominal GDP'!A194),'Real and nominal GDP'!A194,NA()),NA())</f>
        <v>#N/A</v>
      </c>
      <c r="B207" s="17" t="e">
        <f aca="false">IFERROR(IF('Real and nominal GDP'!B194="",NA(),'Real and nominal GDP'!B194),NA())</f>
        <v>#N/A</v>
      </c>
      <c r="C207" s="18" t="n">
        <f aca="false">IFERROR(YEAR(A207),0)</f>
        <v>0</v>
      </c>
      <c r="D207" s="19" t="e">
        <f aca="false">IFERROR(IF('Real and nominal GDP'!C194="",NA(),IF(ISNUMBER('Real and nominal GDP'!C194),'Real and nominal GDP'!C194,NA())),NA())</f>
        <v>#N/A</v>
      </c>
      <c r="E207" s="19" t="e">
        <f aca="false">IFERROR(IF('Real and nominal GDP'!D194="",NA(),IF(ISNUMBER('Real and nominal GDP'!D194),'Real and nominal GDP'!D194,NA())),NA())</f>
        <v>#N/A</v>
      </c>
      <c r="F207" s="19" t="e">
        <f aca="false">IFERROR(IF('Real and nominal GDP'!E194="",NA(),IF(ISNUMBER('Real and nominal GDP'!E194),'Real and nominal GDP'!E194,NA())),NA())</f>
        <v>#N/A</v>
      </c>
      <c r="G207" s="19" t="e">
        <f aca="false">IFERROR(IF('Real and nominal GDP'!F194="",NA(),IF(ISNUMBER('Real and nominal GDP'!F194),'Real and nominal GDP'!F194,NA())),NA())</f>
        <v>#N/A</v>
      </c>
      <c r="H207" s="19" t="e">
        <f aca="false">IFERROR(IF('Real and nominal GDP'!G194="",NA(),IF(ISNUMBER('Real and nominal GDP'!G194),'Real and nominal GDP'!G194,NA())),NA())</f>
        <v>#N/A</v>
      </c>
      <c r="I207" s="19" t="e">
        <f aca="false">IFERROR(IF('Real and nominal GDP'!H194="",NA(),IF(ISNUMBER('Real and nominal GDP'!H194),'Real and nominal GDP'!H194,NA())),NA())</f>
        <v>#N/A</v>
      </c>
      <c r="J207" s="19" t="e">
        <f aca="false">IFERROR(IF('Real and nominal GDP'!I194="",NA(),IF(ISNUMBER('Real and nominal GDP'!I194),'Real and nominal GDP'!I194,NA())),NA())</f>
        <v>#N/A</v>
      </c>
      <c r="K207" s="19" t="e">
        <f aca="false">IFERROR(IF('Real and nominal GDP'!J194="",NA(),IF(ISNUMBER('Real and nominal GDP'!J194),'Real and nominal GDP'!J194,NA())),NA())</f>
        <v>#N/A</v>
      </c>
      <c r="L207" s="19" t="e">
        <f aca="false">IFERROR(IF('Real and nominal GDP'!K194="",NA(),IF(ISNUMBER('Real and nominal GDP'!K194),'Real and nominal GDP'!K194,NA())),NA())</f>
        <v>#N/A</v>
      </c>
      <c r="M207" s="20" t="e">
        <f aca="false">IFERROR(D207/D203-1,NA())</f>
        <v>#N/A</v>
      </c>
      <c r="N207" s="20" t="e">
        <f aca="false">IFERROR(D207/D206-1,NA())</f>
        <v>#N/A</v>
      </c>
      <c r="O207" s="20" t="e">
        <f aca="false">IFERROR(I207/I203-1,NA())</f>
        <v>#N/A</v>
      </c>
      <c r="P207" s="21" t="e">
        <f aca="false">IF(COUNT(D204:D207)=4,SUM(D204:D207),NA())</f>
        <v>#N/A</v>
      </c>
      <c r="Q207" s="21" t="e">
        <f aca="false">IF(COUNT(I204:I207)=4,SUM(I204:I207),NA())</f>
        <v>#N/A</v>
      </c>
      <c r="R207" s="21" t="e">
        <f aca="false">IFERROR(I207/K207,NA())</f>
        <v>#N/A</v>
      </c>
      <c r="S207" s="21" t="e">
        <f aca="false">IFERROR(I207/L207,NA())</f>
        <v>#N/A</v>
      </c>
    </row>
    <row r="208" customFormat="false" ht="15" hidden="false" customHeight="false" outlineLevel="0" collapsed="false">
      <c r="A208" s="16" t="e">
        <f aca="false">IFERROR(IF(ISNUMBER('Real and nominal GDP'!A195),'Real and nominal GDP'!A195,NA()),NA())</f>
        <v>#N/A</v>
      </c>
      <c r="B208" s="17" t="e">
        <f aca="false">IFERROR(IF('Real and nominal GDP'!B195="",NA(),'Real and nominal GDP'!B195),NA())</f>
        <v>#N/A</v>
      </c>
      <c r="C208" s="18" t="n">
        <f aca="false">IFERROR(YEAR(A208),0)</f>
        <v>0</v>
      </c>
      <c r="D208" s="19" t="e">
        <f aca="false">IFERROR(IF('Real and nominal GDP'!C195="",NA(),IF(ISNUMBER('Real and nominal GDP'!C195),'Real and nominal GDP'!C195,NA())),NA())</f>
        <v>#N/A</v>
      </c>
      <c r="E208" s="19" t="e">
        <f aca="false">IFERROR(IF('Real and nominal GDP'!D195="",NA(),IF(ISNUMBER('Real and nominal GDP'!D195),'Real and nominal GDP'!D195,NA())),NA())</f>
        <v>#N/A</v>
      </c>
      <c r="F208" s="19" t="e">
        <f aca="false">IFERROR(IF('Real and nominal GDP'!E195="",NA(),IF(ISNUMBER('Real and nominal GDP'!E195),'Real and nominal GDP'!E195,NA())),NA())</f>
        <v>#N/A</v>
      </c>
      <c r="G208" s="19" t="e">
        <f aca="false">IFERROR(IF('Real and nominal GDP'!F195="",NA(),IF(ISNUMBER('Real and nominal GDP'!F195),'Real and nominal GDP'!F195,NA())),NA())</f>
        <v>#N/A</v>
      </c>
      <c r="H208" s="19" t="e">
        <f aca="false">IFERROR(IF('Real and nominal GDP'!G195="",NA(),IF(ISNUMBER('Real and nominal GDP'!G195),'Real and nominal GDP'!G195,NA())),NA())</f>
        <v>#N/A</v>
      </c>
      <c r="I208" s="19" t="e">
        <f aca="false">IFERROR(IF('Real and nominal GDP'!H195="",NA(),IF(ISNUMBER('Real and nominal GDP'!H195),'Real and nominal GDP'!H195,NA())),NA())</f>
        <v>#N/A</v>
      </c>
      <c r="J208" s="19" t="e">
        <f aca="false">IFERROR(IF('Real and nominal GDP'!I195="",NA(),IF(ISNUMBER('Real and nominal GDP'!I195),'Real and nominal GDP'!I195,NA())),NA())</f>
        <v>#N/A</v>
      </c>
      <c r="K208" s="19" t="e">
        <f aca="false">IFERROR(IF('Real and nominal GDP'!J195="",NA(),IF(ISNUMBER('Real and nominal GDP'!J195),'Real and nominal GDP'!J195,NA())),NA())</f>
        <v>#N/A</v>
      </c>
      <c r="L208" s="19" t="e">
        <f aca="false">IFERROR(IF('Real and nominal GDP'!K195="",NA(),IF(ISNUMBER('Real and nominal GDP'!K195),'Real and nominal GDP'!K195,NA())),NA())</f>
        <v>#N/A</v>
      </c>
      <c r="M208" s="20" t="e">
        <f aca="false">IFERROR(D208/D204-1,NA())</f>
        <v>#N/A</v>
      </c>
      <c r="N208" s="20" t="e">
        <f aca="false">IFERROR(D208/D207-1,NA())</f>
        <v>#N/A</v>
      </c>
      <c r="O208" s="20" t="e">
        <f aca="false">IFERROR(I208/I204-1,NA())</f>
        <v>#N/A</v>
      </c>
      <c r="P208" s="21" t="e">
        <f aca="false">IF(COUNT(D205:D208)=4,SUM(D205:D208),NA())</f>
        <v>#N/A</v>
      </c>
      <c r="Q208" s="21" t="e">
        <f aca="false">IF(COUNT(I205:I208)=4,SUM(I205:I208),NA())</f>
        <v>#N/A</v>
      </c>
      <c r="R208" s="21" t="e">
        <f aca="false">IFERROR(I208/K208,NA())</f>
        <v>#N/A</v>
      </c>
      <c r="S208" s="21" t="e">
        <f aca="false">IFERROR(I208/L208,NA())</f>
        <v>#N/A</v>
      </c>
    </row>
    <row r="209" customFormat="false" ht="15" hidden="false" customHeight="false" outlineLevel="0" collapsed="false">
      <c r="A209" s="16" t="e">
        <f aca="false">IFERROR(IF(ISNUMBER('Real and nominal GDP'!A196),'Real and nominal GDP'!A196,NA()),NA())</f>
        <v>#N/A</v>
      </c>
      <c r="B209" s="17" t="e">
        <f aca="false">IFERROR(IF('Real and nominal GDP'!B196="",NA(),'Real and nominal GDP'!B196),NA())</f>
        <v>#N/A</v>
      </c>
      <c r="C209" s="18" t="n">
        <f aca="false">IFERROR(YEAR(A209),0)</f>
        <v>0</v>
      </c>
      <c r="D209" s="19" t="e">
        <f aca="false">IFERROR(IF('Real and nominal GDP'!C196="",NA(),IF(ISNUMBER('Real and nominal GDP'!C196),'Real and nominal GDP'!C196,NA())),NA())</f>
        <v>#N/A</v>
      </c>
      <c r="E209" s="19" t="e">
        <f aca="false">IFERROR(IF('Real and nominal GDP'!D196="",NA(),IF(ISNUMBER('Real and nominal GDP'!D196),'Real and nominal GDP'!D196,NA())),NA())</f>
        <v>#N/A</v>
      </c>
      <c r="F209" s="19" t="e">
        <f aca="false">IFERROR(IF('Real and nominal GDP'!E196="",NA(),IF(ISNUMBER('Real and nominal GDP'!E196),'Real and nominal GDP'!E196,NA())),NA())</f>
        <v>#N/A</v>
      </c>
      <c r="G209" s="19" t="e">
        <f aca="false">IFERROR(IF('Real and nominal GDP'!F196="",NA(),IF(ISNUMBER('Real and nominal GDP'!F196),'Real and nominal GDP'!F196,NA())),NA())</f>
        <v>#N/A</v>
      </c>
      <c r="H209" s="19" t="e">
        <f aca="false">IFERROR(IF('Real and nominal GDP'!G196="",NA(),IF(ISNUMBER('Real and nominal GDP'!G196),'Real and nominal GDP'!G196,NA())),NA())</f>
        <v>#N/A</v>
      </c>
      <c r="I209" s="19" t="e">
        <f aca="false">IFERROR(IF('Real and nominal GDP'!H196="",NA(),IF(ISNUMBER('Real and nominal GDP'!H196),'Real and nominal GDP'!H196,NA())),NA())</f>
        <v>#N/A</v>
      </c>
      <c r="J209" s="19" t="e">
        <f aca="false">IFERROR(IF('Real and nominal GDP'!I196="",NA(),IF(ISNUMBER('Real and nominal GDP'!I196),'Real and nominal GDP'!I196,NA())),NA())</f>
        <v>#N/A</v>
      </c>
      <c r="K209" s="19" t="e">
        <f aca="false">IFERROR(IF('Real and nominal GDP'!J196="",NA(),IF(ISNUMBER('Real and nominal GDP'!J196),'Real and nominal GDP'!J196,NA())),NA())</f>
        <v>#N/A</v>
      </c>
      <c r="L209" s="19" t="e">
        <f aca="false">IFERROR(IF('Real and nominal GDP'!K196="",NA(),IF(ISNUMBER('Real and nominal GDP'!K196),'Real and nominal GDP'!K196,NA())),NA())</f>
        <v>#N/A</v>
      </c>
      <c r="M209" s="20" t="e">
        <f aca="false">IFERROR(D209/D205-1,NA())</f>
        <v>#N/A</v>
      </c>
      <c r="N209" s="20" t="e">
        <f aca="false">IFERROR(D209/D208-1,NA())</f>
        <v>#N/A</v>
      </c>
      <c r="O209" s="20" t="e">
        <f aca="false">IFERROR(I209/I205-1,NA())</f>
        <v>#N/A</v>
      </c>
      <c r="P209" s="21" t="e">
        <f aca="false">IF(COUNT(D206:D209)=4,SUM(D206:D209),NA())</f>
        <v>#N/A</v>
      </c>
      <c r="Q209" s="21" t="e">
        <f aca="false">IF(COUNT(I206:I209)=4,SUM(I206:I209),NA())</f>
        <v>#N/A</v>
      </c>
      <c r="R209" s="21" t="e">
        <f aca="false">IFERROR(I209/K209,NA())</f>
        <v>#N/A</v>
      </c>
      <c r="S209" s="21" t="e">
        <f aca="false">IFERROR(I209/L209,NA())</f>
        <v>#N/A</v>
      </c>
    </row>
    <row r="210" customFormat="false" ht="15" hidden="false" customHeight="false" outlineLevel="0" collapsed="false">
      <c r="A210" s="16" t="e">
        <f aca="false">IFERROR(IF(ISNUMBER('Real and nominal GDP'!A197),'Real and nominal GDP'!A197,NA()),NA())</f>
        <v>#N/A</v>
      </c>
      <c r="B210" s="17" t="e">
        <f aca="false">IFERROR(IF('Real and nominal GDP'!B197="",NA(),'Real and nominal GDP'!B197),NA())</f>
        <v>#N/A</v>
      </c>
      <c r="C210" s="18" t="n">
        <f aca="false">IFERROR(YEAR(A210),0)</f>
        <v>0</v>
      </c>
      <c r="D210" s="19" t="e">
        <f aca="false">IFERROR(IF('Real and nominal GDP'!C197="",NA(),IF(ISNUMBER('Real and nominal GDP'!C197),'Real and nominal GDP'!C197,NA())),NA())</f>
        <v>#N/A</v>
      </c>
      <c r="E210" s="19" t="e">
        <f aca="false">IFERROR(IF('Real and nominal GDP'!D197="",NA(),IF(ISNUMBER('Real and nominal GDP'!D197),'Real and nominal GDP'!D197,NA())),NA())</f>
        <v>#N/A</v>
      </c>
      <c r="F210" s="19" t="e">
        <f aca="false">IFERROR(IF('Real and nominal GDP'!E197="",NA(),IF(ISNUMBER('Real and nominal GDP'!E197),'Real and nominal GDP'!E197,NA())),NA())</f>
        <v>#N/A</v>
      </c>
      <c r="G210" s="19" t="e">
        <f aca="false">IFERROR(IF('Real and nominal GDP'!F197="",NA(),IF(ISNUMBER('Real and nominal GDP'!F197),'Real and nominal GDP'!F197,NA())),NA())</f>
        <v>#N/A</v>
      </c>
      <c r="H210" s="19" t="e">
        <f aca="false">IFERROR(IF('Real and nominal GDP'!G197="",NA(),IF(ISNUMBER('Real and nominal GDP'!G197),'Real and nominal GDP'!G197,NA())),NA())</f>
        <v>#N/A</v>
      </c>
      <c r="I210" s="19" t="e">
        <f aca="false">IFERROR(IF('Real and nominal GDP'!H197="",NA(),IF(ISNUMBER('Real and nominal GDP'!H197),'Real and nominal GDP'!H197,NA())),NA())</f>
        <v>#N/A</v>
      </c>
      <c r="J210" s="19" t="e">
        <f aca="false">IFERROR(IF('Real and nominal GDP'!I197="",NA(),IF(ISNUMBER('Real and nominal GDP'!I197),'Real and nominal GDP'!I197,NA())),NA())</f>
        <v>#N/A</v>
      </c>
      <c r="K210" s="19" t="e">
        <f aca="false">IFERROR(IF('Real and nominal GDP'!J197="",NA(),IF(ISNUMBER('Real and nominal GDP'!J197),'Real and nominal GDP'!J197,NA())),NA())</f>
        <v>#N/A</v>
      </c>
      <c r="L210" s="19" t="e">
        <f aca="false">IFERROR(IF('Real and nominal GDP'!K197="",NA(),IF(ISNUMBER('Real and nominal GDP'!K197),'Real and nominal GDP'!K197,NA())),NA())</f>
        <v>#N/A</v>
      </c>
      <c r="M210" s="20" t="e">
        <f aca="false">IFERROR(D210/D206-1,NA())</f>
        <v>#N/A</v>
      </c>
      <c r="N210" s="20" t="e">
        <f aca="false">IFERROR(D210/D209-1,NA())</f>
        <v>#N/A</v>
      </c>
      <c r="O210" s="20" t="e">
        <f aca="false">IFERROR(I210/I206-1,NA())</f>
        <v>#N/A</v>
      </c>
      <c r="P210" s="21" t="e">
        <f aca="false">IF(COUNT(D207:D210)=4,SUM(D207:D210),NA())</f>
        <v>#N/A</v>
      </c>
      <c r="Q210" s="21" t="e">
        <f aca="false">IF(COUNT(I207:I210)=4,SUM(I207:I210),NA())</f>
        <v>#N/A</v>
      </c>
      <c r="R210" s="21" t="e">
        <f aca="false">IFERROR(I210/K210,NA())</f>
        <v>#N/A</v>
      </c>
      <c r="S210" s="21" t="e">
        <f aca="false">IFERROR(I210/L210,NA())</f>
        <v>#N/A</v>
      </c>
    </row>
    <row r="211" customFormat="false" ht="15" hidden="false" customHeight="false" outlineLevel="0" collapsed="false">
      <c r="A211" s="16" t="e">
        <f aca="false">IFERROR(IF(ISNUMBER('Real and nominal GDP'!A198),'Real and nominal GDP'!A198,NA()),NA())</f>
        <v>#N/A</v>
      </c>
      <c r="B211" s="17" t="e">
        <f aca="false">IFERROR(IF('Real and nominal GDP'!B198="",NA(),'Real and nominal GDP'!B198),NA())</f>
        <v>#N/A</v>
      </c>
      <c r="C211" s="18" t="n">
        <f aca="false">IFERROR(YEAR(A211),0)</f>
        <v>0</v>
      </c>
      <c r="D211" s="19" t="e">
        <f aca="false">IFERROR(IF('Real and nominal GDP'!C198="",NA(),IF(ISNUMBER('Real and nominal GDP'!C198),'Real and nominal GDP'!C198,NA())),NA())</f>
        <v>#N/A</v>
      </c>
      <c r="E211" s="19" t="e">
        <f aca="false">IFERROR(IF('Real and nominal GDP'!D198="",NA(),IF(ISNUMBER('Real and nominal GDP'!D198),'Real and nominal GDP'!D198,NA())),NA())</f>
        <v>#N/A</v>
      </c>
      <c r="F211" s="19" t="e">
        <f aca="false">IFERROR(IF('Real and nominal GDP'!E198="",NA(),IF(ISNUMBER('Real and nominal GDP'!E198),'Real and nominal GDP'!E198,NA())),NA())</f>
        <v>#N/A</v>
      </c>
      <c r="G211" s="19" t="e">
        <f aca="false">IFERROR(IF('Real and nominal GDP'!F198="",NA(),IF(ISNUMBER('Real and nominal GDP'!F198),'Real and nominal GDP'!F198,NA())),NA())</f>
        <v>#N/A</v>
      </c>
      <c r="H211" s="19" t="e">
        <f aca="false">IFERROR(IF('Real and nominal GDP'!G198="",NA(),IF(ISNUMBER('Real and nominal GDP'!G198),'Real and nominal GDP'!G198,NA())),NA())</f>
        <v>#N/A</v>
      </c>
      <c r="I211" s="19" t="e">
        <f aca="false">IFERROR(IF('Real and nominal GDP'!H198="",NA(),IF(ISNUMBER('Real and nominal GDP'!H198),'Real and nominal GDP'!H198,NA())),NA())</f>
        <v>#N/A</v>
      </c>
      <c r="J211" s="19" t="e">
        <f aca="false">IFERROR(IF('Real and nominal GDP'!I198="",NA(),IF(ISNUMBER('Real and nominal GDP'!I198),'Real and nominal GDP'!I198,NA())),NA())</f>
        <v>#N/A</v>
      </c>
      <c r="K211" s="19" t="e">
        <f aca="false">IFERROR(IF('Real and nominal GDP'!J198="",NA(),IF(ISNUMBER('Real and nominal GDP'!J198),'Real and nominal GDP'!J198,NA())),NA())</f>
        <v>#N/A</v>
      </c>
      <c r="L211" s="19" t="e">
        <f aca="false">IFERROR(IF('Real and nominal GDP'!K198="",NA(),IF(ISNUMBER('Real and nominal GDP'!K198),'Real and nominal GDP'!K198,NA())),NA())</f>
        <v>#N/A</v>
      </c>
      <c r="M211" s="20" t="e">
        <f aca="false">IFERROR(D211/D207-1,NA())</f>
        <v>#N/A</v>
      </c>
      <c r="N211" s="20" t="e">
        <f aca="false">IFERROR(D211/D210-1,NA())</f>
        <v>#N/A</v>
      </c>
      <c r="O211" s="20" t="e">
        <f aca="false">IFERROR(I211/I207-1,NA())</f>
        <v>#N/A</v>
      </c>
      <c r="P211" s="21" t="e">
        <f aca="false">IF(COUNT(D208:D211)=4,SUM(D208:D211),NA())</f>
        <v>#N/A</v>
      </c>
      <c r="Q211" s="21" t="e">
        <f aca="false">IF(COUNT(I208:I211)=4,SUM(I208:I211),NA())</f>
        <v>#N/A</v>
      </c>
      <c r="R211" s="21" t="e">
        <f aca="false">IFERROR(I211/K211,NA())</f>
        <v>#N/A</v>
      </c>
      <c r="S211" s="21" t="e">
        <f aca="false">IFERROR(I211/L211,NA())</f>
        <v>#N/A</v>
      </c>
    </row>
    <row r="212" customFormat="false" ht="15" hidden="false" customHeight="false" outlineLevel="0" collapsed="false">
      <c r="A212" s="16" t="e">
        <f aca="false">IFERROR(IF(ISNUMBER('Real and nominal GDP'!A199),'Real and nominal GDP'!A199,NA()),NA())</f>
        <v>#N/A</v>
      </c>
      <c r="B212" s="17" t="e">
        <f aca="false">IFERROR(IF('Real and nominal GDP'!B199="",NA(),'Real and nominal GDP'!B199),NA())</f>
        <v>#N/A</v>
      </c>
      <c r="C212" s="18" t="n">
        <f aca="false">IFERROR(YEAR(A212),0)</f>
        <v>0</v>
      </c>
      <c r="D212" s="19" t="e">
        <f aca="false">IFERROR(IF('Real and nominal GDP'!C199="",NA(),IF(ISNUMBER('Real and nominal GDP'!C199),'Real and nominal GDP'!C199,NA())),NA())</f>
        <v>#N/A</v>
      </c>
      <c r="E212" s="19" t="e">
        <f aca="false">IFERROR(IF('Real and nominal GDP'!D199="",NA(),IF(ISNUMBER('Real and nominal GDP'!D199),'Real and nominal GDP'!D199,NA())),NA())</f>
        <v>#N/A</v>
      </c>
      <c r="F212" s="19" t="e">
        <f aca="false">IFERROR(IF('Real and nominal GDP'!E199="",NA(),IF(ISNUMBER('Real and nominal GDP'!E199),'Real and nominal GDP'!E199,NA())),NA())</f>
        <v>#N/A</v>
      </c>
      <c r="G212" s="19" t="e">
        <f aca="false">IFERROR(IF('Real and nominal GDP'!F199="",NA(),IF(ISNUMBER('Real and nominal GDP'!F199),'Real and nominal GDP'!F199,NA())),NA())</f>
        <v>#N/A</v>
      </c>
      <c r="H212" s="19" t="e">
        <f aca="false">IFERROR(IF('Real and nominal GDP'!G199="",NA(),IF(ISNUMBER('Real and nominal GDP'!G199),'Real and nominal GDP'!G199,NA())),NA())</f>
        <v>#N/A</v>
      </c>
      <c r="I212" s="19" t="e">
        <f aca="false">IFERROR(IF('Real and nominal GDP'!H199="",NA(),IF(ISNUMBER('Real and nominal GDP'!H199),'Real and nominal GDP'!H199,NA())),NA())</f>
        <v>#N/A</v>
      </c>
      <c r="J212" s="19" t="e">
        <f aca="false">IFERROR(IF('Real and nominal GDP'!I199="",NA(),IF(ISNUMBER('Real and nominal GDP'!I199),'Real and nominal GDP'!I199,NA())),NA())</f>
        <v>#N/A</v>
      </c>
      <c r="K212" s="19" t="e">
        <f aca="false">IFERROR(IF('Real and nominal GDP'!J199="",NA(),IF(ISNUMBER('Real and nominal GDP'!J199),'Real and nominal GDP'!J199,NA())),NA())</f>
        <v>#N/A</v>
      </c>
      <c r="L212" s="19" t="e">
        <f aca="false">IFERROR(IF('Real and nominal GDP'!K199="",NA(),IF(ISNUMBER('Real and nominal GDP'!K199),'Real and nominal GDP'!K199,NA())),NA())</f>
        <v>#N/A</v>
      </c>
      <c r="M212" s="20" t="e">
        <f aca="false">IFERROR(D212/D208-1,NA())</f>
        <v>#N/A</v>
      </c>
      <c r="N212" s="20" t="e">
        <f aca="false">IFERROR(D212/D211-1,NA())</f>
        <v>#N/A</v>
      </c>
      <c r="O212" s="20" t="e">
        <f aca="false">IFERROR(I212/I208-1,NA())</f>
        <v>#N/A</v>
      </c>
      <c r="P212" s="21" t="e">
        <f aca="false">IF(COUNT(D209:D212)=4,SUM(D209:D212),NA())</f>
        <v>#N/A</v>
      </c>
      <c r="Q212" s="21" t="e">
        <f aca="false">IF(COUNT(I209:I212)=4,SUM(I209:I212),NA())</f>
        <v>#N/A</v>
      </c>
      <c r="R212" s="21" t="e">
        <f aca="false">IFERROR(I212/K212,NA())</f>
        <v>#N/A</v>
      </c>
      <c r="S212" s="21" t="e">
        <f aca="false">IFERROR(I212/L212,NA())</f>
        <v>#N/A</v>
      </c>
    </row>
    <row r="213" customFormat="false" ht="15" hidden="false" customHeight="false" outlineLevel="0" collapsed="false">
      <c r="A213" s="16" t="e">
        <f aca="false">IFERROR(IF(ISNUMBER('Real and nominal GDP'!A200),'Real and nominal GDP'!A200,NA()),NA())</f>
        <v>#N/A</v>
      </c>
      <c r="B213" s="17" t="e">
        <f aca="false">IFERROR(IF('Real and nominal GDP'!B200="",NA(),'Real and nominal GDP'!B200),NA())</f>
        <v>#N/A</v>
      </c>
      <c r="C213" s="18" t="n">
        <f aca="false">IFERROR(YEAR(A213),0)</f>
        <v>0</v>
      </c>
      <c r="D213" s="19" t="e">
        <f aca="false">IFERROR(IF('Real and nominal GDP'!C200="",NA(),IF(ISNUMBER('Real and nominal GDP'!C200),'Real and nominal GDP'!C200,NA())),NA())</f>
        <v>#N/A</v>
      </c>
      <c r="E213" s="19" t="e">
        <f aca="false">IFERROR(IF('Real and nominal GDP'!D200="",NA(),IF(ISNUMBER('Real and nominal GDP'!D200),'Real and nominal GDP'!D200,NA())),NA())</f>
        <v>#N/A</v>
      </c>
      <c r="F213" s="19" t="e">
        <f aca="false">IFERROR(IF('Real and nominal GDP'!E200="",NA(),IF(ISNUMBER('Real and nominal GDP'!E200),'Real and nominal GDP'!E200,NA())),NA())</f>
        <v>#N/A</v>
      </c>
      <c r="G213" s="19" t="e">
        <f aca="false">IFERROR(IF('Real and nominal GDP'!F200="",NA(),IF(ISNUMBER('Real and nominal GDP'!F200),'Real and nominal GDP'!F200,NA())),NA())</f>
        <v>#N/A</v>
      </c>
      <c r="H213" s="19" t="e">
        <f aca="false">IFERROR(IF('Real and nominal GDP'!G200="",NA(),IF(ISNUMBER('Real and nominal GDP'!G200),'Real and nominal GDP'!G200,NA())),NA())</f>
        <v>#N/A</v>
      </c>
      <c r="I213" s="19" t="e">
        <f aca="false">IFERROR(IF('Real and nominal GDP'!H200="",NA(),IF(ISNUMBER('Real and nominal GDP'!H200),'Real and nominal GDP'!H200,NA())),NA())</f>
        <v>#N/A</v>
      </c>
      <c r="J213" s="19" t="e">
        <f aca="false">IFERROR(IF('Real and nominal GDP'!I200="",NA(),IF(ISNUMBER('Real and nominal GDP'!I200),'Real and nominal GDP'!I200,NA())),NA())</f>
        <v>#N/A</v>
      </c>
      <c r="K213" s="19" t="e">
        <f aca="false">IFERROR(IF('Real and nominal GDP'!J200="",NA(),IF(ISNUMBER('Real and nominal GDP'!J200),'Real and nominal GDP'!J200,NA())),NA())</f>
        <v>#N/A</v>
      </c>
      <c r="L213" s="19" t="e">
        <f aca="false">IFERROR(IF('Real and nominal GDP'!K200="",NA(),IF(ISNUMBER('Real and nominal GDP'!K200),'Real and nominal GDP'!K200,NA())),NA())</f>
        <v>#N/A</v>
      </c>
      <c r="M213" s="20" t="e">
        <f aca="false">IFERROR(D213/D209-1,NA())</f>
        <v>#N/A</v>
      </c>
      <c r="N213" s="20" t="e">
        <f aca="false">IFERROR(D213/D212-1,NA())</f>
        <v>#N/A</v>
      </c>
      <c r="O213" s="20" t="e">
        <f aca="false">IFERROR(I213/I209-1,NA())</f>
        <v>#N/A</v>
      </c>
      <c r="P213" s="21" t="e">
        <f aca="false">IF(COUNT(D210:D213)=4,SUM(D210:D213),NA())</f>
        <v>#N/A</v>
      </c>
      <c r="Q213" s="21" t="e">
        <f aca="false">IF(COUNT(I210:I213)=4,SUM(I210:I213),NA())</f>
        <v>#N/A</v>
      </c>
      <c r="R213" s="21" t="e">
        <f aca="false">IFERROR(I213/K213,NA())</f>
        <v>#N/A</v>
      </c>
      <c r="S213" s="21" t="e">
        <f aca="false">IFERROR(I213/L213,NA())</f>
        <v>#N/A</v>
      </c>
    </row>
    <row r="214" customFormat="false" ht="15" hidden="false" customHeight="false" outlineLevel="0" collapsed="false">
      <c r="A214" s="16" t="e">
        <f aca="false">IFERROR(IF(ISNUMBER('Real and nominal GDP'!A201),'Real and nominal GDP'!A201,NA()),NA())</f>
        <v>#N/A</v>
      </c>
      <c r="B214" s="17" t="e">
        <f aca="false">IFERROR(IF('Real and nominal GDP'!B201="",NA(),'Real and nominal GDP'!B201),NA())</f>
        <v>#N/A</v>
      </c>
      <c r="C214" s="18" t="n">
        <f aca="false">IFERROR(YEAR(A214),0)</f>
        <v>0</v>
      </c>
      <c r="D214" s="19" t="e">
        <f aca="false">IFERROR(IF('Real and nominal GDP'!C201="",NA(),IF(ISNUMBER('Real and nominal GDP'!C201),'Real and nominal GDP'!C201,NA())),NA())</f>
        <v>#N/A</v>
      </c>
      <c r="E214" s="19" t="e">
        <f aca="false">IFERROR(IF('Real and nominal GDP'!D201="",NA(),IF(ISNUMBER('Real and nominal GDP'!D201),'Real and nominal GDP'!D201,NA())),NA())</f>
        <v>#N/A</v>
      </c>
      <c r="F214" s="19" t="e">
        <f aca="false">IFERROR(IF('Real and nominal GDP'!E201="",NA(),IF(ISNUMBER('Real and nominal GDP'!E201),'Real and nominal GDP'!E201,NA())),NA())</f>
        <v>#N/A</v>
      </c>
      <c r="G214" s="19" t="e">
        <f aca="false">IFERROR(IF('Real and nominal GDP'!F201="",NA(),IF(ISNUMBER('Real and nominal GDP'!F201),'Real and nominal GDP'!F201,NA())),NA())</f>
        <v>#N/A</v>
      </c>
      <c r="H214" s="19" t="e">
        <f aca="false">IFERROR(IF('Real and nominal GDP'!G201="",NA(),IF(ISNUMBER('Real and nominal GDP'!G201),'Real and nominal GDP'!G201,NA())),NA())</f>
        <v>#N/A</v>
      </c>
      <c r="I214" s="19" t="e">
        <f aca="false">IFERROR(IF('Real and nominal GDP'!H201="",NA(),IF(ISNUMBER('Real and nominal GDP'!H201),'Real and nominal GDP'!H201,NA())),NA())</f>
        <v>#N/A</v>
      </c>
      <c r="J214" s="19" t="e">
        <f aca="false">IFERROR(IF('Real and nominal GDP'!I201="",NA(),IF(ISNUMBER('Real and nominal GDP'!I201),'Real and nominal GDP'!I201,NA())),NA())</f>
        <v>#N/A</v>
      </c>
      <c r="K214" s="19" t="e">
        <f aca="false">IFERROR(IF('Real and nominal GDP'!J201="",NA(),IF(ISNUMBER('Real and nominal GDP'!J201),'Real and nominal GDP'!J201,NA())),NA())</f>
        <v>#N/A</v>
      </c>
      <c r="L214" s="19" t="e">
        <f aca="false">IFERROR(IF('Real and nominal GDP'!K201="",NA(),IF(ISNUMBER('Real and nominal GDP'!K201),'Real and nominal GDP'!K201,NA())),NA())</f>
        <v>#N/A</v>
      </c>
      <c r="M214" s="20" t="e">
        <f aca="false">IFERROR(D214/D210-1,NA())</f>
        <v>#N/A</v>
      </c>
      <c r="N214" s="20" t="e">
        <f aca="false">IFERROR(D214/D213-1,NA())</f>
        <v>#N/A</v>
      </c>
      <c r="O214" s="20" t="e">
        <f aca="false">IFERROR(I214/I210-1,NA())</f>
        <v>#N/A</v>
      </c>
      <c r="P214" s="21" t="e">
        <f aca="false">IF(COUNT(D211:D214)=4,SUM(D211:D214),NA())</f>
        <v>#N/A</v>
      </c>
      <c r="Q214" s="21" t="e">
        <f aca="false">IF(COUNT(I211:I214)=4,SUM(I211:I214),NA())</f>
        <v>#N/A</v>
      </c>
      <c r="R214" s="21" t="e">
        <f aca="false">IFERROR(I214/K214,NA())</f>
        <v>#N/A</v>
      </c>
      <c r="S214" s="21" t="e">
        <f aca="false">IFERROR(I214/L214,NA())</f>
        <v>#N/A</v>
      </c>
    </row>
    <row r="215" customFormat="false" ht="15" hidden="false" customHeight="false" outlineLevel="0" collapsed="false">
      <c r="A215" s="16" t="e">
        <f aca="false">IFERROR(IF(ISNUMBER('Real and nominal GDP'!A202),'Real and nominal GDP'!A202,NA()),NA())</f>
        <v>#N/A</v>
      </c>
      <c r="B215" s="17" t="e">
        <f aca="false">IFERROR(IF('Real and nominal GDP'!B202="",NA(),'Real and nominal GDP'!B202),NA())</f>
        <v>#N/A</v>
      </c>
      <c r="C215" s="18" t="n">
        <f aca="false">IFERROR(YEAR(A215),0)</f>
        <v>0</v>
      </c>
      <c r="D215" s="19" t="e">
        <f aca="false">IFERROR(IF('Real and nominal GDP'!C202="",NA(),IF(ISNUMBER('Real and nominal GDP'!C202),'Real and nominal GDP'!C202,NA())),NA())</f>
        <v>#N/A</v>
      </c>
      <c r="E215" s="19" t="e">
        <f aca="false">IFERROR(IF('Real and nominal GDP'!D202="",NA(),IF(ISNUMBER('Real and nominal GDP'!D202),'Real and nominal GDP'!D202,NA())),NA())</f>
        <v>#N/A</v>
      </c>
      <c r="F215" s="19" t="e">
        <f aca="false">IFERROR(IF('Real and nominal GDP'!E202="",NA(),IF(ISNUMBER('Real and nominal GDP'!E202),'Real and nominal GDP'!E202,NA())),NA())</f>
        <v>#N/A</v>
      </c>
      <c r="G215" s="19" t="e">
        <f aca="false">IFERROR(IF('Real and nominal GDP'!F202="",NA(),IF(ISNUMBER('Real and nominal GDP'!F202),'Real and nominal GDP'!F202,NA())),NA())</f>
        <v>#N/A</v>
      </c>
      <c r="H215" s="19" t="e">
        <f aca="false">IFERROR(IF('Real and nominal GDP'!G202="",NA(),IF(ISNUMBER('Real and nominal GDP'!G202),'Real and nominal GDP'!G202,NA())),NA())</f>
        <v>#N/A</v>
      </c>
      <c r="I215" s="19" t="e">
        <f aca="false">IFERROR(IF('Real and nominal GDP'!H202="",NA(),IF(ISNUMBER('Real and nominal GDP'!H202),'Real and nominal GDP'!H202,NA())),NA())</f>
        <v>#N/A</v>
      </c>
      <c r="J215" s="19" t="e">
        <f aca="false">IFERROR(IF('Real and nominal GDP'!I202="",NA(),IF(ISNUMBER('Real and nominal GDP'!I202),'Real and nominal GDP'!I202,NA())),NA())</f>
        <v>#N/A</v>
      </c>
      <c r="K215" s="19" t="e">
        <f aca="false">IFERROR(IF('Real and nominal GDP'!J202="",NA(),IF(ISNUMBER('Real and nominal GDP'!J202),'Real and nominal GDP'!J202,NA())),NA())</f>
        <v>#N/A</v>
      </c>
      <c r="L215" s="19" t="e">
        <f aca="false">IFERROR(IF('Real and nominal GDP'!K202="",NA(),IF(ISNUMBER('Real and nominal GDP'!K202),'Real and nominal GDP'!K202,NA())),NA())</f>
        <v>#N/A</v>
      </c>
      <c r="M215" s="20" t="e">
        <f aca="false">IFERROR(D215/D211-1,NA())</f>
        <v>#N/A</v>
      </c>
      <c r="N215" s="20" t="e">
        <f aca="false">IFERROR(D215/D214-1,NA())</f>
        <v>#N/A</v>
      </c>
      <c r="O215" s="20" t="e">
        <f aca="false">IFERROR(I215/I211-1,NA())</f>
        <v>#N/A</v>
      </c>
      <c r="P215" s="21" t="e">
        <f aca="false">IF(COUNT(D212:D215)=4,SUM(D212:D215),NA())</f>
        <v>#N/A</v>
      </c>
      <c r="Q215" s="21" t="e">
        <f aca="false">IF(COUNT(I212:I215)=4,SUM(I212:I215),NA())</f>
        <v>#N/A</v>
      </c>
      <c r="R215" s="21" t="e">
        <f aca="false">IFERROR(I215/K215,NA())</f>
        <v>#N/A</v>
      </c>
      <c r="S215" s="21" t="e">
        <f aca="false">IFERROR(I215/L215,NA())</f>
        <v>#N/A</v>
      </c>
    </row>
    <row r="216" customFormat="false" ht="15" hidden="false" customHeight="false" outlineLevel="0" collapsed="false">
      <c r="A216" s="16" t="e">
        <f aca="false">IFERROR(IF(ISNUMBER('Real and nominal GDP'!A203),'Real and nominal GDP'!A203,NA()),NA())</f>
        <v>#N/A</v>
      </c>
      <c r="B216" s="17" t="e">
        <f aca="false">IFERROR(IF('Real and nominal GDP'!B203="",NA(),'Real and nominal GDP'!B203),NA())</f>
        <v>#N/A</v>
      </c>
      <c r="C216" s="18" t="n">
        <f aca="false">IFERROR(YEAR(A216),0)</f>
        <v>0</v>
      </c>
      <c r="D216" s="19" t="e">
        <f aca="false">IFERROR(IF('Real and nominal GDP'!C203="",NA(),IF(ISNUMBER('Real and nominal GDP'!C203),'Real and nominal GDP'!C203,NA())),NA())</f>
        <v>#N/A</v>
      </c>
      <c r="E216" s="19" t="e">
        <f aca="false">IFERROR(IF('Real and nominal GDP'!D203="",NA(),IF(ISNUMBER('Real and nominal GDP'!D203),'Real and nominal GDP'!D203,NA())),NA())</f>
        <v>#N/A</v>
      </c>
      <c r="F216" s="19" t="e">
        <f aca="false">IFERROR(IF('Real and nominal GDP'!E203="",NA(),IF(ISNUMBER('Real and nominal GDP'!E203),'Real and nominal GDP'!E203,NA())),NA())</f>
        <v>#N/A</v>
      </c>
      <c r="G216" s="19" t="e">
        <f aca="false">IFERROR(IF('Real and nominal GDP'!F203="",NA(),IF(ISNUMBER('Real and nominal GDP'!F203),'Real and nominal GDP'!F203,NA())),NA())</f>
        <v>#N/A</v>
      </c>
      <c r="H216" s="19" t="e">
        <f aca="false">IFERROR(IF('Real and nominal GDP'!G203="",NA(),IF(ISNUMBER('Real and nominal GDP'!G203),'Real and nominal GDP'!G203,NA())),NA())</f>
        <v>#N/A</v>
      </c>
      <c r="I216" s="19" t="e">
        <f aca="false">IFERROR(IF('Real and nominal GDP'!H203="",NA(),IF(ISNUMBER('Real and nominal GDP'!H203),'Real and nominal GDP'!H203,NA())),NA())</f>
        <v>#N/A</v>
      </c>
      <c r="J216" s="19" t="e">
        <f aca="false">IFERROR(IF('Real and nominal GDP'!I203="",NA(),IF(ISNUMBER('Real and nominal GDP'!I203),'Real and nominal GDP'!I203,NA())),NA())</f>
        <v>#N/A</v>
      </c>
      <c r="K216" s="19" t="e">
        <f aca="false">IFERROR(IF('Real and nominal GDP'!J203="",NA(),IF(ISNUMBER('Real and nominal GDP'!J203),'Real and nominal GDP'!J203,NA())),NA())</f>
        <v>#N/A</v>
      </c>
      <c r="L216" s="19" t="e">
        <f aca="false">IFERROR(IF('Real and nominal GDP'!K203="",NA(),IF(ISNUMBER('Real and nominal GDP'!K203),'Real and nominal GDP'!K203,NA())),NA())</f>
        <v>#N/A</v>
      </c>
      <c r="M216" s="20" t="e">
        <f aca="false">IFERROR(D216/D212-1,NA())</f>
        <v>#N/A</v>
      </c>
      <c r="N216" s="20" t="e">
        <f aca="false">IFERROR(D216/D215-1,NA())</f>
        <v>#N/A</v>
      </c>
      <c r="O216" s="20" t="e">
        <f aca="false">IFERROR(I216/I212-1,NA())</f>
        <v>#N/A</v>
      </c>
      <c r="P216" s="21" t="e">
        <f aca="false">IF(COUNT(D213:D216)=4,SUM(D213:D216),NA())</f>
        <v>#N/A</v>
      </c>
      <c r="Q216" s="21" t="e">
        <f aca="false">IF(COUNT(I213:I216)=4,SUM(I213:I216),NA())</f>
        <v>#N/A</v>
      </c>
      <c r="R216" s="21" t="e">
        <f aca="false">IFERROR(I216/K216,NA())</f>
        <v>#N/A</v>
      </c>
      <c r="S216" s="21" t="e">
        <f aca="false">IFERROR(I216/L216,NA())</f>
        <v>#N/A</v>
      </c>
    </row>
    <row r="217" customFormat="false" ht="15" hidden="false" customHeight="false" outlineLevel="0" collapsed="false">
      <c r="A217" s="16" t="e">
        <f aca="false">IFERROR(IF(ISNUMBER('Real and nominal GDP'!A204),'Real and nominal GDP'!A204,NA()),NA())</f>
        <v>#N/A</v>
      </c>
      <c r="B217" s="17" t="e">
        <f aca="false">IFERROR(IF('Real and nominal GDP'!B204="",NA(),'Real and nominal GDP'!B204),NA())</f>
        <v>#N/A</v>
      </c>
      <c r="C217" s="18" t="n">
        <f aca="false">IFERROR(YEAR(A217),0)</f>
        <v>0</v>
      </c>
      <c r="D217" s="19" t="e">
        <f aca="false">IFERROR(IF('Real and nominal GDP'!C204="",NA(),IF(ISNUMBER('Real and nominal GDP'!C204),'Real and nominal GDP'!C204,NA())),NA())</f>
        <v>#N/A</v>
      </c>
      <c r="E217" s="19" t="e">
        <f aca="false">IFERROR(IF('Real and nominal GDP'!D204="",NA(),IF(ISNUMBER('Real and nominal GDP'!D204),'Real and nominal GDP'!D204,NA())),NA())</f>
        <v>#N/A</v>
      </c>
      <c r="F217" s="19" t="e">
        <f aca="false">IFERROR(IF('Real and nominal GDP'!E204="",NA(),IF(ISNUMBER('Real and nominal GDP'!E204),'Real and nominal GDP'!E204,NA())),NA())</f>
        <v>#N/A</v>
      </c>
      <c r="G217" s="19" t="e">
        <f aca="false">IFERROR(IF('Real and nominal GDP'!F204="",NA(),IF(ISNUMBER('Real and nominal GDP'!F204),'Real and nominal GDP'!F204,NA())),NA())</f>
        <v>#N/A</v>
      </c>
      <c r="H217" s="19" t="e">
        <f aca="false">IFERROR(IF('Real and nominal GDP'!G204="",NA(),IF(ISNUMBER('Real and nominal GDP'!G204),'Real and nominal GDP'!G204,NA())),NA())</f>
        <v>#N/A</v>
      </c>
      <c r="I217" s="19" t="e">
        <f aca="false">IFERROR(IF('Real and nominal GDP'!H204="",NA(),IF(ISNUMBER('Real and nominal GDP'!H204),'Real and nominal GDP'!H204,NA())),NA())</f>
        <v>#N/A</v>
      </c>
      <c r="J217" s="19" t="e">
        <f aca="false">IFERROR(IF('Real and nominal GDP'!I204="",NA(),IF(ISNUMBER('Real and nominal GDP'!I204),'Real and nominal GDP'!I204,NA())),NA())</f>
        <v>#N/A</v>
      </c>
      <c r="K217" s="19" t="e">
        <f aca="false">IFERROR(IF('Real and nominal GDP'!J204="",NA(),IF(ISNUMBER('Real and nominal GDP'!J204),'Real and nominal GDP'!J204,NA())),NA())</f>
        <v>#N/A</v>
      </c>
      <c r="L217" s="19" t="e">
        <f aca="false">IFERROR(IF('Real and nominal GDP'!K204="",NA(),IF(ISNUMBER('Real and nominal GDP'!K204),'Real and nominal GDP'!K204,NA())),NA())</f>
        <v>#N/A</v>
      </c>
      <c r="M217" s="20" t="e">
        <f aca="false">IFERROR(D217/D213-1,NA())</f>
        <v>#N/A</v>
      </c>
      <c r="N217" s="20" t="e">
        <f aca="false">IFERROR(D217/D216-1,NA())</f>
        <v>#N/A</v>
      </c>
      <c r="O217" s="20" t="e">
        <f aca="false">IFERROR(I217/I213-1,NA())</f>
        <v>#N/A</v>
      </c>
      <c r="P217" s="21" t="e">
        <f aca="false">IF(COUNT(D214:D217)=4,SUM(D214:D217),NA())</f>
        <v>#N/A</v>
      </c>
      <c r="Q217" s="21" t="e">
        <f aca="false">IF(COUNT(I214:I217)=4,SUM(I214:I217),NA())</f>
        <v>#N/A</v>
      </c>
      <c r="R217" s="21" t="e">
        <f aca="false">IFERROR(I217/K217,NA())</f>
        <v>#N/A</v>
      </c>
      <c r="S217" s="21" t="e">
        <f aca="false">IFERROR(I217/L217,NA())</f>
        <v>#N/A</v>
      </c>
    </row>
    <row r="218" customFormat="false" ht="15" hidden="false" customHeight="false" outlineLevel="0" collapsed="false">
      <c r="A218" s="16" t="e">
        <f aca="false">IFERROR(IF(ISNUMBER('Real and nominal GDP'!A205),'Real and nominal GDP'!A205,NA()),NA())</f>
        <v>#N/A</v>
      </c>
      <c r="B218" s="17" t="e">
        <f aca="false">IFERROR(IF('Real and nominal GDP'!B205="",NA(),'Real and nominal GDP'!B205),NA())</f>
        <v>#N/A</v>
      </c>
      <c r="C218" s="18" t="n">
        <f aca="false">IFERROR(YEAR(A218),0)</f>
        <v>0</v>
      </c>
      <c r="D218" s="19" t="e">
        <f aca="false">IFERROR(IF('Real and nominal GDP'!C205="",NA(),IF(ISNUMBER('Real and nominal GDP'!C205),'Real and nominal GDP'!C205,NA())),NA())</f>
        <v>#N/A</v>
      </c>
      <c r="E218" s="19" t="e">
        <f aca="false">IFERROR(IF('Real and nominal GDP'!D205="",NA(),IF(ISNUMBER('Real and nominal GDP'!D205),'Real and nominal GDP'!D205,NA())),NA())</f>
        <v>#N/A</v>
      </c>
      <c r="F218" s="19" t="e">
        <f aca="false">IFERROR(IF('Real and nominal GDP'!E205="",NA(),IF(ISNUMBER('Real and nominal GDP'!E205),'Real and nominal GDP'!E205,NA())),NA())</f>
        <v>#N/A</v>
      </c>
      <c r="G218" s="19" t="e">
        <f aca="false">IFERROR(IF('Real and nominal GDP'!F205="",NA(),IF(ISNUMBER('Real and nominal GDP'!F205),'Real and nominal GDP'!F205,NA())),NA())</f>
        <v>#N/A</v>
      </c>
      <c r="H218" s="19" t="e">
        <f aca="false">IFERROR(IF('Real and nominal GDP'!G205="",NA(),IF(ISNUMBER('Real and nominal GDP'!G205),'Real and nominal GDP'!G205,NA())),NA())</f>
        <v>#N/A</v>
      </c>
      <c r="I218" s="19" t="e">
        <f aca="false">IFERROR(IF('Real and nominal GDP'!H205="",NA(),IF(ISNUMBER('Real and nominal GDP'!H205),'Real and nominal GDP'!H205,NA())),NA())</f>
        <v>#N/A</v>
      </c>
      <c r="J218" s="19" t="e">
        <f aca="false">IFERROR(IF('Real and nominal GDP'!I205="",NA(),IF(ISNUMBER('Real and nominal GDP'!I205),'Real and nominal GDP'!I205,NA())),NA())</f>
        <v>#N/A</v>
      </c>
      <c r="K218" s="19" t="e">
        <f aca="false">IFERROR(IF('Real and nominal GDP'!J205="",NA(),IF(ISNUMBER('Real and nominal GDP'!J205),'Real and nominal GDP'!J205,NA())),NA())</f>
        <v>#N/A</v>
      </c>
      <c r="L218" s="19" t="e">
        <f aca="false">IFERROR(IF('Real and nominal GDP'!K205="",NA(),IF(ISNUMBER('Real and nominal GDP'!K205),'Real and nominal GDP'!K205,NA())),NA())</f>
        <v>#N/A</v>
      </c>
      <c r="M218" s="20" t="e">
        <f aca="false">IFERROR(D218/D214-1,NA())</f>
        <v>#N/A</v>
      </c>
      <c r="N218" s="20" t="e">
        <f aca="false">IFERROR(D218/D217-1,NA())</f>
        <v>#N/A</v>
      </c>
      <c r="O218" s="20" t="e">
        <f aca="false">IFERROR(I218/I214-1,NA())</f>
        <v>#N/A</v>
      </c>
      <c r="P218" s="21" t="e">
        <f aca="false">IF(COUNT(D215:D218)=4,SUM(D215:D218),NA())</f>
        <v>#N/A</v>
      </c>
      <c r="Q218" s="21" t="e">
        <f aca="false">IF(COUNT(I215:I218)=4,SUM(I215:I218),NA())</f>
        <v>#N/A</v>
      </c>
      <c r="R218" s="21" t="e">
        <f aca="false">IFERROR(I218/K218,NA())</f>
        <v>#N/A</v>
      </c>
      <c r="S218" s="21" t="e">
        <f aca="false">IFERROR(I218/L218,NA())</f>
        <v>#N/A</v>
      </c>
    </row>
    <row r="219" customFormat="false" ht="15" hidden="false" customHeight="false" outlineLevel="0" collapsed="false">
      <c r="A219" s="16" t="e">
        <f aca="false">IFERROR(IF(ISNUMBER('Real and nominal GDP'!A206),'Real and nominal GDP'!A206,NA()),NA())</f>
        <v>#N/A</v>
      </c>
      <c r="B219" s="17" t="e">
        <f aca="false">IFERROR(IF('Real and nominal GDP'!B206="",NA(),'Real and nominal GDP'!B206),NA())</f>
        <v>#N/A</v>
      </c>
      <c r="C219" s="18" t="n">
        <f aca="false">IFERROR(YEAR(A219),0)</f>
        <v>0</v>
      </c>
      <c r="D219" s="19" t="e">
        <f aca="false">IFERROR(IF('Real and nominal GDP'!C206="",NA(),IF(ISNUMBER('Real and nominal GDP'!C206),'Real and nominal GDP'!C206,NA())),NA())</f>
        <v>#N/A</v>
      </c>
      <c r="E219" s="19" t="e">
        <f aca="false">IFERROR(IF('Real and nominal GDP'!D206="",NA(),IF(ISNUMBER('Real and nominal GDP'!D206),'Real and nominal GDP'!D206,NA())),NA())</f>
        <v>#N/A</v>
      </c>
      <c r="F219" s="19" t="e">
        <f aca="false">IFERROR(IF('Real and nominal GDP'!E206="",NA(),IF(ISNUMBER('Real and nominal GDP'!E206),'Real and nominal GDP'!E206,NA())),NA())</f>
        <v>#N/A</v>
      </c>
      <c r="G219" s="19" t="e">
        <f aca="false">IFERROR(IF('Real and nominal GDP'!F206="",NA(),IF(ISNUMBER('Real and nominal GDP'!F206),'Real and nominal GDP'!F206,NA())),NA())</f>
        <v>#N/A</v>
      </c>
      <c r="H219" s="19" t="e">
        <f aca="false">IFERROR(IF('Real and nominal GDP'!G206="",NA(),IF(ISNUMBER('Real and nominal GDP'!G206),'Real and nominal GDP'!G206,NA())),NA())</f>
        <v>#N/A</v>
      </c>
      <c r="I219" s="19" t="e">
        <f aca="false">IFERROR(IF('Real and nominal GDP'!H206="",NA(),IF(ISNUMBER('Real and nominal GDP'!H206),'Real and nominal GDP'!H206,NA())),NA())</f>
        <v>#N/A</v>
      </c>
      <c r="J219" s="19" t="e">
        <f aca="false">IFERROR(IF('Real and nominal GDP'!I206="",NA(),IF(ISNUMBER('Real and nominal GDP'!I206),'Real and nominal GDP'!I206,NA())),NA())</f>
        <v>#N/A</v>
      </c>
      <c r="K219" s="19" t="e">
        <f aca="false">IFERROR(IF('Real and nominal GDP'!J206="",NA(),IF(ISNUMBER('Real and nominal GDP'!J206),'Real and nominal GDP'!J206,NA())),NA())</f>
        <v>#N/A</v>
      </c>
      <c r="L219" s="19" t="e">
        <f aca="false">IFERROR(IF('Real and nominal GDP'!K206="",NA(),IF(ISNUMBER('Real and nominal GDP'!K206),'Real and nominal GDP'!K206,NA())),NA())</f>
        <v>#N/A</v>
      </c>
      <c r="M219" s="20" t="e">
        <f aca="false">IFERROR(D219/D215-1,NA())</f>
        <v>#N/A</v>
      </c>
      <c r="N219" s="20" t="e">
        <f aca="false">IFERROR(D219/D218-1,NA())</f>
        <v>#N/A</v>
      </c>
      <c r="O219" s="20" t="e">
        <f aca="false">IFERROR(I219/I215-1,NA())</f>
        <v>#N/A</v>
      </c>
      <c r="P219" s="21" t="e">
        <f aca="false">IF(COUNT(D216:D219)=4,SUM(D216:D219),NA())</f>
        <v>#N/A</v>
      </c>
      <c r="Q219" s="21" t="e">
        <f aca="false">IF(COUNT(I216:I219)=4,SUM(I216:I219),NA())</f>
        <v>#N/A</v>
      </c>
      <c r="R219" s="21" t="e">
        <f aca="false">IFERROR(I219/K219,NA())</f>
        <v>#N/A</v>
      </c>
      <c r="S219" s="21" t="e">
        <f aca="false">IFERROR(I219/L219,NA())</f>
        <v>#N/A</v>
      </c>
    </row>
    <row r="220" customFormat="false" ht="15" hidden="false" customHeight="false" outlineLevel="0" collapsed="false">
      <c r="A220" s="16" t="e">
        <f aca="false">IFERROR(IF(ISNUMBER('Real and nominal GDP'!A207),'Real and nominal GDP'!A207,NA()),NA())</f>
        <v>#N/A</v>
      </c>
      <c r="B220" s="17" t="e">
        <f aca="false">IFERROR(IF('Real and nominal GDP'!B207="",NA(),'Real and nominal GDP'!B207),NA())</f>
        <v>#N/A</v>
      </c>
      <c r="C220" s="18" t="n">
        <f aca="false">IFERROR(YEAR(A220),0)</f>
        <v>0</v>
      </c>
      <c r="D220" s="19" t="e">
        <f aca="false">IFERROR(IF('Real and nominal GDP'!C207="",NA(),IF(ISNUMBER('Real and nominal GDP'!C207),'Real and nominal GDP'!C207,NA())),NA())</f>
        <v>#N/A</v>
      </c>
      <c r="E220" s="19" t="e">
        <f aca="false">IFERROR(IF('Real and nominal GDP'!D207="",NA(),IF(ISNUMBER('Real and nominal GDP'!D207),'Real and nominal GDP'!D207,NA())),NA())</f>
        <v>#N/A</v>
      </c>
      <c r="F220" s="19" t="e">
        <f aca="false">IFERROR(IF('Real and nominal GDP'!E207="",NA(),IF(ISNUMBER('Real and nominal GDP'!E207),'Real and nominal GDP'!E207,NA())),NA())</f>
        <v>#N/A</v>
      </c>
      <c r="G220" s="19" t="e">
        <f aca="false">IFERROR(IF('Real and nominal GDP'!F207="",NA(),IF(ISNUMBER('Real and nominal GDP'!F207),'Real and nominal GDP'!F207,NA())),NA())</f>
        <v>#N/A</v>
      </c>
      <c r="H220" s="19" t="e">
        <f aca="false">IFERROR(IF('Real and nominal GDP'!G207="",NA(),IF(ISNUMBER('Real and nominal GDP'!G207),'Real and nominal GDP'!G207,NA())),NA())</f>
        <v>#N/A</v>
      </c>
      <c r="I220" s="19" t="e">
        <f aca="false">IFERROR(IF('Real and nominal GDP'!H207="",NA(),IF(ISNUMBER('Real and nominal GDP'!H207),'Real and nominal GDP'!H207,NA())),NA())</f>
        <v>#N/A</v>
      </c>
      <c r="J220" s="19" t="e">
        <f aca="false">IFERROR(IF('Real and nominal GDP'!I207="",NA(),IF(ISNUMBER('Real and nominal GDP'!I207),'Real and nominal GDP'!I207,NA())),NA())</f>
        <v>#N/A</v>
      </c>
      <c r="K220" s="19" t="e">
        <f aca="false">IFERROR(IF('Real and nominal GDP'!J207="",NA(),IF(ISNUMBER('Real and nominal GDP'!J207),'Real and nominal GDP'!J207,NA())),NA())</f>
        <v>#N/A</v>
      </c>
      <c r="L220" s="19" t="e">
        <f aca="false">IFERROR(IF('Real and nominal GDP'!K207="",NA(),IF(ISNUMBER('Real and nominal GDP'!K207),'Real and nominal GDP'!K207,NA())),NA())</f>
        <v>#N/A</v>
      </c>
      <c r="M220" s="20" t="e">
        <f aca="false">IFERROR(D220/D216-1,NA())</f>
        <v>#N/A</v>
      </c>
      <c r="N220" s="20" t="e">
        <f aca="false">IFERROR(D220/D219-1,NA())</f>
        <v>#N/A</v>
      </c>
      <c r="O220" s="20" t="e">
        <f aca="false">IFERROR(I220/I216-1,NA())</f>
        <v>#N/A</v>
      </c>
      <c r="P220" s="21" t="e">
        <f aca="false">IF(COUNT(D217:D220)=4,SUM(D217:D220),NA())</f>
        <v>#N/A</v>
      </c>
      <c r="Q220" s="21" t="e">
        <f aca="false">IF(COUNT(I217:I220)=4,SUM(I217:I220),NA())</f>
        <v>#N/A</v>
      </c>
      <c r="R220" s="21" t="e">
        <f aca="false">IFERROR(I220/K220,NA())</f>
        <v>#N/A</v>
      </c>
      <c r="S220" s="21" t="e">
        <f aca="false">IFERROR(I220/L220,NA())</f>
        <v>#N/A</v>
      </c>
    </row>
    <row r="221" customFormat="false" ht="15" hidden="false" customHeight="false" outlineLevel="0" collapsed="false">
      <c r="A221" s="16" t="e">
        <f aca="false">IFERROR(IF(ISNUMBER('Real and nominal GDP'!A208),'Real and nominal GDP'!A208,NA()),NA())</f>
        <v>#N/A</v>
      </c>
      <c r="B221" s="17" t="e">
        <f aca="false">IFERROR(IF('Real and nominal GDP'!B208="",NA(),'Real and nominal GDP'!B208),NA())</f>
        <v>#N/A</v>
      </c>
      <c r="C221" s="18" t="n">
        <f aca="false">IFERROR(YEAR(A221),0)</f>
        <v>0</v>
      </c>
      <c r="D221" s="19" t="e">
        <f aca="false">IFERROR(IF('Real and nominal GDP'!C208="",NA(),IF(ISNUMBER('Real and nominal GDP'!C208),'Real and nominal GDP'!C208,NA())),NA())</f>
        <v>#N/A</v>
      </c>
      <c r="E221" s="19" t="e">
        <f aca="false">IFERROR(IF('Real and nominal GDP'!D208="",NA(),IF(ISNUMBER('Real and nominal GDP'!D208),'Real and nominal GDP'!D208,NA())),NA())</f>
        <v>#N/A</v>
      </c>
      <c r="F221" s="19" t="e">
        <f aca="false">IFERROR(IF('Real and nominal GDP'!E208="",NA(),IF(ISNUMBER('Real and nominal GDP'!E208),'Real and nominal GDP'!E208,NA())),NA())</f>
        <v>#N/A</v>
      </c>
      <c r="G221" s="19" t="e">
        <f aca="false">IFERROR(IF('Real and nominal GDP'!F208="",NA(),IF(ISNUMBER('Real and nominal GDP'!F208),'Real and nominal GDP'!F208,NA())),NA())</f>
        <v>#N/A</v>
      </c>
      <c r="H221" s="19" t="e">
        <f aca="false">IFERROR(IF('Real and nominal GDP'!G208="",NA(),IF(ISNUMBER('Real and nominal GDP'!G208),'Real and nominal GDP'!G208,NA())),NA())</f>
        <v>#N/A</v>
      </c>
      <c r="I221" s="19" t="e">
        <f aca="false">IFERROR(IF('Real and nominal GDP'!H208="",NA(),IF(ISNUMBER('Real and nominal GDP'!H208),'Real and nominal GDP'!H208,NA())),NA())</f>
        <v>#N/A</v>
      </c>
      <c r="J221" s="19" t="e">
        <f aca="false">IFERROR(IF('Real and nominal GDP'!I208="",NA(),IF(ISNUMBER('Real and nominal GDP'!I208),'Real and nominal GDP'!I208,NA())),NA())</f>
        <v>#N/A</v>
      </c>
      <c r="K221" s="19" t="e">
        <f aca="false">IFERROR(IF('Real and nominal GDP'!J208="",NA(),IF(ISNUMBER('Real and nominal GDP'!J208),'Real and nominal GDP'!J208,NA())),NA())</f>
        <v>#N/A</v>
      </c>
      <c r="L221" s="19" t="e">
        <f aca="false">IFERROR(IF('Real and nominal GDP'!K208="",NA(),IF(ISNUMBER('Real and nominal GDP'!K208),'Real and nominal GDP'!K208,NA())),NA())</f>
        <v>#N/A</v>
      </c>
      <c r="M221" s="20" t="e">
        <f aca="false">IFERROR(D221/D217-1,NA())</f>
        <v>#N/A</v>
      </c>
      <c r="N221" s="20" t="e">
        <f aca="false">IFERROR(D221/D220-1,NA())</f>
        <v>#N/A</v>
      </c>
      <c r="O221" s="20" t="e">
        <f aca="false">IFERROR(I221/I217-1,NA())</f>
        <v>#N/A</v>
      </c>
      <c r="P221" s="21" t="e">
        <f aca="false">IF(COUNT(D218:D221)=4,SUM(D218:D221),NA())</f>
        <v>#N/A</v>
      </c>
      <c r="Q221" s="21" t="e">
        <f aca="false">IF(COUNT(I218:I221)=4,SUM(I218:I221),NA())</f>
        <v>#N/A</v>
      </c>
      <c r="R221" s="21" t="e">
        <f aca="false">IFERROR(I221/K221,NA())</f>
        <v>#N/A</v>
      </c>
      <c r="S221" s="21" t="e">
        <f aca="false">IFERROR(I221/L221,NA())</f>
        <v>#N/A</v>
      </c>
    </row>
    <row r="222" customFormat="false" ht="15" hidden="false" customHeight="false" outlineLevel="0" collapsed="false">
      <c r="A222" s="16" t="e">
        <f aca="false">IFERROR(IF(ISNUMBER('Real and nominal GDP'!A209),'Real and nominal GDP'!A209,NA()),NA())</f>
        <v>#N/A</v>
      </c>
      <c r="B222" s="17" t="e">
        <f aca="false">IFERROR(IF('Real and nominal GDP'!B209="",NA(),'Real and nominal GDP'!B209),NA())</f>
        <v>#N/A</v>
      </c>
      <c r="C222" s="18" t="n">
        <f aca="false">IFERROR(YEAR(A222),0)</f>
        <v>0</v>
      </c>
      <c r="D222" s="19" t="e">
        <f aca="false">IFERROR(IF('Real and nominal GDP'!C209="",NA(),IF(ISNUMBER('Real and nominal GDP'!C209),'Real and nominal GDP'!C209,NA())),NA())</f>
        <v>#N/A</v>
      </c>
      <c r="E222" s="19" t="e">
        <f aca="false">IFERROR(IF('Real and nominal GDP'!D209="",NA(),IF(ISNUMBER('Real and nominal GDP'!D209),'Real and nominal GDP'!D209,NA())),NA())</f>
        <v>#N/A</v>
      </c>
      <c r="F222" s="19" t="e">
        <f aca="false">IFERROR(IF('Real and nominal GDP'!E209="",NA(),IF(ISNUMBER('Real and nominal GDP'!E209),'Real and nominal GDP'!E209,NA())),NA())</f>
        <v>#N/A</v>
      </c>
      <c r="G222" s="19" t="e">
        <f aca="false">IFERROR(IF('Real and nominal GDP'!F209="",NA(),IF(ISNUMBER('Real and nominal GDP'!F209),'Real and nominal GDP'!F209,NA())),NA())</f>
        <v>#N/A</v>
      </c>
      <c r="H222" s="19" t="e">
        <f aca="false">IFERROR(IF('Real and nominal GDP'!G209="",NA(),IF(ISNUMBER('Real and nominal GDP'!G209),'Real and nominal GDP'!G209,NA())),NA())</f>
        <v>#N/A</v>
      </c>
      <c r="I222" s="19" t="e">
        <f aca="false">IFERROR(IF('Real and nominal GDP'!H209="",NA(),IF(ISNUMBER('Real and nominal GDP'!H209),'Real and nominal GDP'!H209,NA())),NA())</f>
        <v>#N/A</v>
      </c>
      <c r="J222" s="19" t="e">
        <f aca="false">IFERROR(IF('Real and nominal GDP'!I209="",NA(),IF(ISNUMBER('Real and nominal GDP'!I209),'Real and nominal GDP'!I209,NA())),NA())</f>
        <v>#N/A</v>
      </c>
      <c r="K222" s="19" t="e">
        <f aca="false">IFERROR(IF('Real and nominal GDP'!J209="",NA(),IF(ISNUMBER('Real and nominal GDP'!J209),'Real and nominal GDP'!J209,NA())),NA())</f>
        <v>#N/A</v>
      </c>
      <c r="L222" s="19" t="e">
        <f aca="false">IFERROR(IF('Real and nominal GDP'!K209="",NA(),IF(ISNUMBER('Real and nominal GDP'!K209),'Real and nominal GDP'!K209,NA())),NA())</f>
        <v>#N/A</v>
      </c>
      <c r="M222" s="20" t="e">
        <f aca="false">IFERROR(D222/D218-1,NA())</f>
        <v>#N/A</v>
      </c>
      <c r="N222" s="20" t="e">
        <f aca="false">IFERROR(D222/D221-1,NA())</f>
        <v>#N/A</v>
      </c>
      <c r="O222" s="20" t="e">
        <f aca="false">IFERROR(I222/I218-1,NA())</f>
        <v>#N/A</v>
      </c>
      <c r="P222" s="21" t="e">
        <f aca="false">IF(COUNT(D219:D222)=4,SUM(D219:D222),NA())</f>
        <v>#N/A</v>
      </c>
      <c r="Q222" s="21" t="e">
        <f aca="false">IF(COUNT(I219:I222)=4,SUM(I219:I222),NA())</f>
        <v>#N/A</v>
      </c>
      <c r="R222" s="21" t="e">
        <f aca="false">IFERROR(I222/K222,NA())</f>
        <v>#N/A</v>
      </c>
      <c r="S222" s="21" t="e">
        <f aca="false">IFERROR(I222/L222,NA())</f>
        <v>#N/A</v>
      </c>
    </row>
    <row r="223" customFormat="false" ht="15" hidden="false" customHeight="false" outlineLevel="0" collapsed="false">
      <c r="A223" s="16" t="e">
        <f aca="false">IFERROR(IF(ISNUMBER('Real and nominal GDP'!A210),'Real and nominal GDP'!A210,NA()),NA())</f>
        <v>#N/A</v>
      </c>
      <c r="B223" s="17" t="e">
        <f aca="false">IFERROR(IF('Real and nominal GDP'!B210="",NA(),'Real and nominal GDP'!B210),NA())</f>
        <v>#N/A</v>
      </c>
      <c r="C223" s="18" t="n">
        <f aca="false">IFERROR(YEAR(A223),0)</f>
        <v>0</v>
      </c>
      <c r="D223" s="19" t="e">
        <f aca="false">IFERROR(IF('Real and nominal GDP'!C210="",NA(),IF(ISNUMBER('Real and nominal GDP'!C210),'Real and nominal GDP'!C210,NA())),NA())</f>
        <v>#N/A</v>
      </c>
      <c r="E223" s="19" t="e">
        <f aca="false">IFERROR(IF('Real and nominal GDP'!D210="",NA(),IF(ISNUMBER('Real and nominal GDP'!D210),'Real and nominal GDP'!D210,NA())),NA())</f>
        <v>#N/A</v>
      </c>
      <c r="F223" s="19" t="e">
        <f aca="false">IFERROR(IF('Real and nominal GDP'!E210="",NA(),IF(ISNUMBER('Real and nominal GDP'!E210),'Real and nominal GDP'!E210,NA())),NA())</f>
        <v>#N/A</v>
      </c>
      <c r="G223" s="19" t="e">
        <f aca="false">IFERROR(IF('Real and nominal GDP'!F210="",NA(),IF(ISNUMBER('Real and nominal GDP'!F210),'Real and nominal GDP'!F210,NA())),NA())</f>
        <v>#N/A</v>
      </c>
      <c r="H223" s="19" t="e">
        <f aca="false">IFERROR(IF('Real and nominal GDP'!G210="",NA(),IF(ISNUMBER('Real and nominal GDP'!G210),'Real and nominal GDP'!G210,NA())),NA())</f>
        <v>#N/A</v>
      </c>
      <c r="I223" s="19" t="e">
        <f aca="false">IFERROR(IF('Real and nominal GDP'!H210="",NA(),IF(ISNUMBER('Real and nominal GDP'!H210),'Real and nominal GDP'!H210,NA())),NA())</f>
        <v>#N/A</v>
      </c>
      <c r="J223" s="19" t="e">
        <f aca="false">IFERROR(IF('Real and nominal GDP'!I210="",NA(),IF(ISNUMBER('Real and nominal GDP'!I210),'Real and nominal GDP'!I210,NA())),NA())</f>
        <v>#N/A</v>
      </c>
      <c r="K223" s="19" t="e">
        <f aca="false">IFERROR(IF('Real and nominal GDP'!J210="",NA(),IF(ISNUMBER('Real and nominal GDP'!J210),'Real and nominal GDP'!J210,NA())),NA())</f>
        <v>#N/A</v>
      </c>
      <c r="L223" s="19" t="e">
        <f aca="false">IFERROR(IF('Real and nominal GDP'!K210="",NA(),IF(ISNUMBER('Real and nominal GDP'!K210),'Real and nominal GDP'!K210,NA())),NA())</f>
        <v>#N/A</v>
      </c>
      <c r="M223" s="20" t="e">
        <f aca="false">IFERROR(D223/D219-1,NA())</f>
        <v>#N/A</v>
      </c>
      <c r="N223" s="20" t="e">
        <f aca="false">IFERROR(D223/D222-1,NA())</f>
        <v>#N/A</v>
      </c>
      <c r="O223" s="20" t="e">
        <f aca="false">IFERROR(I223/I219-1,NA())</f>
        <v>#N/A</v>
      </c>
      <c r="P223" s="21" t="e">
        <f aca="false">IF(COUNT(D220:D223)=4,SUM(D220:D223),NA())</f>
        <v>#N/A</v>
      </c>
      <c r="Q223" s="21" t="e">
        <f aca="false">IF(COUNT(I220:I223)=4,SUM(I220:I223),NA())</f>
        <v>#N/A</v>
      </c>
      <c r="R223" s="21" t="e">
        <f aca="false">IFERROR(I223/K223,NA())</f>
        <v>#N/A</v>
      </c>
      <c r="S223" s="21" t="e">
        <f aca="false">IFERROR(I223/L223,NA())</f>
        <v>#N/A</v>
      </c>
    </row>
    <row r="224" customFormat="false" ht="15" hidden="false" customHeight="false" outlineLevel="0" collapsed="false">
      <c r="A224" s="16" t="e">
        <f aca="false">IFERROR(IF(ISNUMBER('Real and nominal GDP'!A211),'Real and nominal GDP'!A211,NA()),NA())</f>
        <v>#N/A</v>
      </c>
      <c r="B224" s="17" t="e">
        <f aca="false">IFERROR(IF('Real and nominal GDP'!B211="",NA(),'Real and nominal GDP'!B211),NA())</f>
        <v>#N/A</v>
      </c>
      <c r="C224" s="18" t="n">
        <f aca="false">IFERROR(YEAR(A224),0)</f>
        <v>0</v>
      </c>
      <c r="D224" s="19" t="e">
        <f aca="false">IFERROR(IF('Real and nominal GDP'!C211="",NA(),IF(ISNUMBER('Real and nominal GDP'!C211),'Real and nominal GDP'!C211,NA())),NA())</f>
        <v>#N/A</v>
      </c>
      <c r="E224" s="19" t="e">
        <f aca="false">IFERROR(IF('Real and nominal GDP'!D211="",NA(),IF(ISNUMBER('Real and nominal GDP'!D211),'Real and nominal GDP'!D211,NA())),NA())</f>
        <v>#N/A</v>
      </c>
      <c r="F224" s="19" t="e">
        <f aca="false">IFERROR(IF('Real and nominal GDP'!E211="",NA(),IF(ISNUMBER('Real and nominal GDP'!E211),'Real and nominal GDP'!E211,NA())),NA())</f>
        <v>#N/A</v>
      </c>
      <c r="G224" s="19" t="e">
        <f aca="false">IFERROR(IF('Real and nominal GDP'!F211="",NA(),IF(ISNUMBER('Real and nominal GDP'!F211),'Real and nominal GDP'!F211,NA())),NA())</f>
        <v>#N/A</v>
      </c>
      <c r="H224" s="19" t="e">
        <f aca="false">IFERROR(IF('Real and nominal GDP'!G211="",NA(),IF(ISNUMBER('Real and nominal GDP'!G211),'Real and nominal GDP'!G211,NA())),NA())</f>
        <v>#N/A</v>
      </c>
      <c r="I224" s="19" t="e">
        <f aca="false">IFERROR(IF('Real and nominal GDP'!H211="",NA(),IF(ISNUMBER('Real and nominal GDP'!H211),'Real and nominal GDP'!H211,NA())),NA())</f>
        <v>#N/A</v>
      </c>
      <c r="J224" s="19" t="e">
        <f aca="false">IFERROR(IF('Real and nominal GDP'!I211="",NA(),IF(ISNUMBER('Real and nominal GDP'!I211),'Real and nominal GDP'!I211,NA())),NA())</f>
        <v>#N/A</v>
      </c>
      <c r="K224" s="19" t="e">
        <f aca="false">IFERROR(IF('Real and nominal GDP'!J211="",NA(),IF(ISNUMBER('Real and nominal GDP'!J211),'Real and nominal GDP'!J211,NA())),NA())</f>
        <v>#N/A</v>
      </c>
      <c r="L224" s="19" t="e">
        <f aca="false">IFERROR(IF('Real and nominal GDP'!K211="",NA(),IF(ISNUMBER('Real and nominal GDP'!K211),'Real and nominal GDP'!K211,NA())),NA())</f>
        <v>#N/A</v>
      </c>
      <c r="M224" s="20" t="e">
        <f aca="false">IFERROR(D224/D220-1,NA())</f>
        <v>#N/A</v>
      </c>
      <c r="N224" s="20" t="e">
        <f aca="false">IFERROR(D224/D223-1,NA())</f>
        <v>#N/A</v>
      </c>
      <c r="O224" s="20" t="e">
        <f aca="false">IFERROR(I224/I220-1,NA())</f>
        <v>#N/A</v>
      </c>
      <c r="P224" s="21" t="e">
        <f aca="false">IF(COUNT(D221:D224)=4,SUM(D221:D224),NA())</f>
        <v>#N/A</v>
      </c>
      <c r="Q224" s="21" t="e">
        <f aca="false">IF(COUNT(I221:I224)=4,SUM(I221:I224),NA())</f>
        <v>#N/A</v>
      </c>
      <c r="R224" s="21" t="e">
        <f aca="false">IFERROR(I224/K224,NA())</f>
        <v>#N/A</v>
      </c>
      <c r="S224" s="21" t="e">
        <f aca="false">IFERROR(I224/L224,NA())</f>
        <v>#N/A</v>
      </c>
    </row>
    <row r="225" customFormat="false" ht="15" hidden="false" customHeight="false" outlineLevel="0" collapsed="false">
      <c r="A225" s="16" t="e">
        <f aca="false">IFERROR(IF(ISNUMBER('Real and nominal GDP'!A212),'Real and nominal GDP'!A212,NA()),NA())</f>
        <v>#N/A</v>
      </c>
      <c r="B225" s="17" t="e">
        <f aca="false">IFERROR(IF('Real and nominal GDP'!B212="",NA(),'Real and nominal GDP'!B212),NA())</f>
        <v>#N/A</v>
      </c>
      <c r="C225" s="18" t="n">
        <f aca="false">IFERROR(YEAR(A225),0)</f>
        <v>0</v>
      </c>
      <c r="D225" s="19" t="e">
        <f aca="false">IFERROR(IF('Real and nominal GDP'!C212="",NA(),IF(ISNUMBER('Real and nominal GDP'!C212),'Real and nominal GDP'!C212,NA())),NA())</f>
        <v>#N/A</v>
      </c>
      <c r="E225" s="19" t="e">
        <f aca="false">IFERROR(IF('Real and nominal GDP'!D212="",NA(),IF(ISNUMBER('Real and nominal GDP'!D212),'Real and nominal GDP'!D212,NA())),NA())</f>
        <v>#N/A</v>
      </c>
      <c r="F225" s="19" t="e">
        <f aca="false">IFERROR(IF('Real and nominal GDP'!E212="",NA(),IF(ISNUMBER('Real and nominal GDP'!E212),'Real and nominal GDP'!E212,NA())),NA())</f>
        <v>#N/A</v>
      </c>
      <c r="G225" s="19" t="e">
        <f aca="false">IFERROR(IF('Real and nominal GDP'!F212="",NA(),IF(ISNUMBER('Real and nominal GDP'!F212),'Real and nominal GDP'!F212,NA())),NA())</f>
        <v>#N/A</v>
      </c>
      <c r="H225" s="19" t="e">
        <f aca="false">IFERROR(IF('Real and nominal GDP'!G212="",NA(),IF(ISNUMBER('Real and nominal GDP'!G212),'Real and nominal GDP'!G212,NA())),NA())</f>
        <v>#N/A</v>
      </c>
      <c r="I225" s="19" t="e">
        <f aca="false">IFERROR(IF('Real and nominal GDP'!H212="",NA(),IF(ISNUMBER('Real and nominal GDP'!H212),'Real and nominal GDP'!H212,NA())),NA())</f>
        <v>#N/A</v>
      </c>
      <c r="J225" s="19" t="e">
        <f aca="false">IFERROR(IF('Real and nominal GDP'!I212="",NA(),IF(ISNUMBER('Real and nominal GDP'!I212),'Real and nominal GDP'!I212,NA())),NA())</f>
        <v>#N/A</v>
      </c>
      <c r="K225" s="19" t="e">
        <f aca="false">IFERROR(IF('Real and nominal GDP'!J212="",NA(),IF(ISNUMBER('Real and nominal GDP'!J212),'Real and nominal GDP'!J212,NA())),NA())</f>
        <v>#N/A</v>
      </c>
      <c r="L225" s="19" t="e">
        <f aca="false">IFERROR(IF('Real and nominal GDP'!K212="",NA(),IF(ISNUMBER('Real and nominal GDP'!K212),'Real and nominal GDP'!K212,NA())),NA())</f>
        <v>#N/A</v>
      </c>
      <c r="M225" s="20" t="e">
        <f aca="false">IFERROR(D225/D221-1,NA())</f>
        <v>#N/A</v>
      </c>
      <c r="N225" s="20" t="e">
        <f aca="false">IFERROR(D225/D224-1,NA())</f>
        <v>#N/A</v>
      </c>
      <c r="O225" s="20" t="e">
        <f aca="false">IFERROR(I225/I221-1,NA())</f>
        <v>#N/A</v>
      </c>
      <c r="P225" s="21" t="e">
        <f aca="false">IF(COUNT(D222:D225)=4,SUM(D222:D225),NA())</f>
        <v>#N/A</v>
      </c>
      <c r="Q225" s="21" t="e">
        <f aca="false">IF(COUNT(I222:I225)=4,SUM(I222:I225),NA())</f>
        <v>#N/A</v>
      </c>
      <c r="R225" s="21" t="e">
        <f aca="false">IFERROR(I225/K225,NA())</f>
        <v>#N/A</v>
      </c>
      <c r="S225" s="21" t="e">
        <f aca="false">IFERROR(I225/L225,NA())</f>
        <v>#N/A</v>
      </c>
    </row>
    <row r="226" customFormat="false" ht="15" hidden="false" customHeight="false" outlineLevel="0" collapsed="false">
      <c r="A226" s="16" t="e">
        <f aca="false">IFERROR(IF(ISNUMBER('Real and nominal GDP'!A213),'Real and nominal GDP'!A213,NA()),NA())</f>
        <v>#N/A</v>
      </c>
      <c r="B226" s="17" t="e">
        <f aca="false">IFERROR(IF('Real and nominal GDP'!B213="",NA(),'Real and nominal GDP'!B213),NA())</f>
        <v>#N/A</v>
      </c>
      <c r="C226" s="18" t="n">
        <f aca="false">IFERROR(YEAR(A226),0)</f>
        <v>0</v>
      </c>
      <c r="D226" s="19" t="e">
        <f aca="false">IFERROR(IF('Real and nominal GDP'!C213="",NA(),IF(ISNUMBER('Real and nominal GDP'!C213),'Real and nominal GDP'!C213,NA())),NA())</f>
        <v>#N/A</v>
      </c>
      <c r="E226" s="19" t="e">
        <f aca="false">IFERROR(IF('Real and nominal GDP'!D213="",NA(),IF(ISNUMBER('Real and nominal GDP'!D213),'Real and nominal GDP'!D213,NA())),NA())</f>
        <v>#N/A</v>
      </c>
      <c r="F226" s="19" t="e">
        <f aca="false">IFERROR(IF('Real and nominal GDP'!E213="",NA(),IF(ISNUMBER('Real and nominal GDP'!E213),'Real and nominal GDP'!E213,NA())),NA())</f>
        <v>#N/A</v>
      </c>
      <c r="G226" s="19" t="e">
        <f aca="false">IFERROR(IF('Real and nominal GDP'!F213="",NA(),IF(ISNUMBER('Real and nominal GDP'!F213),'Real and nominal GDP'!F213,NA())),NA())</f>
        <v>#N/A</v>
      </c>
      <c r="H226" s="19" t="e">
        <f aca="false">IFERROR(IF('Real and nominal GDP'!G213="",NA(),IF(ISNUMBER('Real and nominal GDP'!G213),'Real and nominal GDP'!G213,NA())),NA())</f>
        <v>#N/A</v>
      </c>
      <c r="I226" s="19" t="e">
        <f aca="false">IFERROR(IF('Real and nominal GDP'!H213="",NA(),IF(ISNUMBER('Real and nominal GDP'!H213),'Real and nominal GDP'!H213,NA())),NA())</f>
        <v>#N/A</v>
      </c>
      <c r="J226" s="19" t="e">
        <f aca="false">IFERROR(IF('Real and nominal GDP'!I213="",NA(),IF(ISNUMBER('Real and nominal GDP'!I213),'Real and nominal GDP'!I213,NA())),NA())</f>
        <v>#N/A</v>
      </c>
      <c r="K226" s="19" t="e">
        <f aca="false">IFERROR(IF('Real and nominal GDP'!J213="",NA(),IF(ISNUMBER('Real and nominal GDP'!J213),'Real and nominal GDP'!J213,NA())),NA())</f>
        <v>#N/A</v>
      </c>
      <c r="L226" s="19" t="e">
        <f aca="false">IFERROR(IF('Real and nominal GDP'!K213="",NA(),IF(ISNUMBER('Real and nominal GDP'!K213),'Real and nominal GDP'!K213,NA())),NA())</f>
        <v>#N/A</v>
      </c>
      <c r="M226" s="20" t="e">
        <f aca="false">IFERROR(D226/D222-1,NA())</f>
        <v>#N/A</v>
      </c>
      <c r="N226" s="20" t="e">
        <f aca="false">IFERROR(D226/D225-1,NA())</f>
        <v>#N/A</v>
      </c>
      <c r="O226" s="20" t="e">
        <f aca="false">IFERROR(I226/I222-1,NA())</f>
        <v>#N/A</v>
      </c>
      <c r="P226" s="21" t="e">
        <f aca="false">IF(COUNT(D223:D226)=4,SUM(D223:D226),NA())</f>
        <v>#N/A</v>
      </c>
      <c r="Q226" s="21" t="e">
        <f aca="false">IF(COUNT(I223:I226)=4,SUM(I223:I226),NA())</f>
        <v>#N/A</v>
      </c>
      <c r="R226" s="21" t="e">
        <f aca="false">IFERROR(I226/K226,NA())</f>
        <v>#N/A</v>
      </c>
      <c r="S226" s="21" t="e">
        <f aca="false">IFERROR(I226/L226,NA())</f>
        <v>#N/A</v>
      </c>
    </row>
    <row r="227" customFormat="false" ht="15" hidden="false" customHeight="false" outlineLevel="0" collapsed="false">
      <c r="A227" s="16" t="e">
        <f aca="false">IFERROR(IF(ISNUMBER('Real and nominal GDP'!A214),'Real and nominal GDP'!A214,NA()),NA())</f>
        <v>#N/A</v>
      </c>
      <c r="B227" s="17" t="e">
        <f aca="false">IFERROR(IF('Real and nominal GDP'!B214="",NA(),'Real and nominal GDP'!B214),NA())</f>
        <v>#N/A</v>
      </c>
      <c r="C227" s="18" t="n">
        <f aca="false">IFERROR(YEAR(A227),0)</f>
        <v>0</v>
      </c>
      <c r="D227" s="19" t="e">
        <f aca="false">IFERROR(IF('Real and nominal GDP'!C214="",NA(),IF(ISNUMBER('Real and nominal GDP'!C214),'Real and nominal GDP'!C214,NA())),NA())</f>
        <v>#N/A</v>
      </c>
      <c r="E227" s="19" t="e">
        <f aca="false">IFERROR(IF('Real and nominal GDP'!D214="",NA(),IF(ISNUMBER('Real and nominal GDP'!D214),'Real and nominal GDP'!D214,NA())),NA())</f>
        <v>#N/A</v>
      </c>
      <c r="F227" s="19" t="e">
        <f aca="false">IFERROR(IF('Real and nominal GDP'!E214="",NA(),IF(ISNUMBER('Real and nominal GDP'!E214),'Real and nominal GDP'!E214,NA())),NA())</f>
        <v>#N/A</v>
      </c>
      <c r="G227" s="19" t="e">
        <f aca="false">IFERROR(IF('Real and nominal GDP'!F214="",NA(),IF(ISNUMBER('Real and nominal GDP'!F214),'Real and nominal GDP'!F214,NA())),NA())</f>
        <v>#N/A</v>
      </c>
      <c r="H227" s="19" t="e">
        <f aca="false">IFERROR(IF('Real and nominal GDP'!G214="",NA(),IF(ISNUMBER('Real and nominal GDP'!G214),'Real and nominal GDP'!G214,NA())),NA())</f>
        <v>#N/A</v>
      </c>
      <c r="I227" s="19" t="e">
        <f aca="false">IFERROR(IF('Real and nominal GDP'!H214="",NA(),IF(ISNUMBER('Real and nominal GDP'!H214),'Real and nominal GDP'!H214,NA())),NA())</f>
        <v>#N/A</v>
      </c>
      <c r="J227" s="19" t="e">
        <f aca="false">IFERROR(IF('Real and nominal GDP'!I214="",NA(),IF(ISNUMBER('Real and nominal GDP'!I214),'Real and nominal GDP'!I214,NA())),NA())</f>
        <v>#N/A</v>
      </c>
      <c r="K227" s="19" t="e">
        <f aca="false">IFERROR(IF('Real and nominal GDP'!J214="",NA(),IF(ISNUMBER('Real and nominal GDP'!J214),'Real and nominal GDP'!J214,NA())),NA())</f>
        <v>#N/A</v>
      </c>
      <c r="L227" s="19" t="e">
        <f aca="false">IFERROR(IF('Real and nominal GDP'!K214="",NA(),IF(ISNUMBER('Real and nominal GDP'!K214),'Real and nominal GDP'!K214,NA())),NA())</f>
        <v>#N/A</v>
      </c>
      <c r="M227" s="20" t="e">
        <f aca="false">IFERROR(D227/D223-1,NA())</f>
        <v>#N/A</v>
      </c>
      <c r="N227" s="20" t="e">
        <f aca="false">IFERROR(D227/D226-1,NA())</f>
        <v>#N/A</v>
      </c>
      <c r="O227" s="20" t="e">
        <f aca="false">IFERROR(I227/I223-1,NA())</f>
        <v>#N/A</v>
      </c>
      <c r="P227" s="21" t="e">
        <f aca="false">IF(COUNT(D224:D227)=4,SUM(D224:D227),NA())</f>
        <v>#N/A</v>
      </c>
      <c r="Q227" s="21" t="e">
        <f aca="false">IF(COUNT(I224:I227)=4,SUM(I224:I227),NA())</f>
        <v>#N/A</v>
      </c>
      <c r="R227" s="21" t="e">
        <f aca="false">IFERROR(I227/K227,NA())</f>
        <v>#N/A</v>
      </c>
      <c r="S227" s="21" t="e">
        <f aca="false">IFERROR(I227/L227,NA())</f>
        <v>#N/A</v>
      </c>
    </row>
    <row r="228" customFormat="false" ht="15" hidden="false" customHeight="false" outlineLevel="0" collapsed="false">
      <c r="A228" s="16" t="e">
        <f aca="false">IFERROR(IF(ISNUMBER('Real and nominal GDP'!A215),'Real and nominal GDP'!A215,NA()),NA())</f>
        <v>#N/A</v>
      </c>
      <c r="B228" s="17" t="e">
        <f aca="false">IFERROR(IF('Real and nominal GDP'!B215="",NA(),'Real and nominal GDP'!B215),NA())</f>
        <v>#N/A</v>
      </c>
      <c r="C228" s="18" t="n">
        <f aca="false">IFERROR(YEAR(A228),0)</f>
        <v>0</v>
      </c>
      <c r="D228" s="19" t="e">
        <f aca="false">IFERROR(IF('Real and nominal GDP'!C215="",NA(),IF(ISNUMBER('Real and nominal GDP'!C215),'Real and nominal GDP'!C215,NA())),NA())</f>
        <v>#N/A</v>
      </c>
      <c r="E228" s="19" t="e">
        <f aca="false">IFERROR(IF('Real and nominal GDP'!D215="",NA(),IF(ISNUMBER('Real and nominal GDP'!D215),'Real and nominal GDP'!D215,NA())),NA())</f>
        <v>#N/A</v>
      </c>
      <c r="F228" s="19" t="e">
        <f aca="false">IFERROR(IF('Real and nominal GDP'!E215="",NA(),IF(ISNUMBER('Real and nominal GDP'!E215),'Real and nominal GDP'!E215,NA())),NA())</f>
        <v>#N/A</v>
      </c>
      <c r="G228" s="19" t="e">
        <f aca="false">IFERROR(IF('Real and nominal GDP'!F215="",NA(),IF(ISNUMBER('Real and nominal GDP'!F215),'Real and nominal GDP'!F215,NA())),NA())</f>
        <v>#N/A</v>
      </c>
      <c r="H228" s="19" t="e">
        <f aca="false">IFERROR(IF('Real and nominal GDP'!G215="",NA(),IF(ISNUMBER('Real and nominal GDP'!G215),'Real and nominal GDP'!G215,NA())),NA())</f>
        <v>#N/A</v>
      </c>
      <c r="I228" s="19" t="e">
        <f aca="false">IFERROR(IF('Real and nominal GDP'!H215="",NA(),IF(ISNUMBER('Real and nominal GDP'!H215),'Real and nominal GDP'!H215,NA())),NA())</f>
        <v>#N/A</v>
      </c>
      <c r="J228" s="19" t="e">
        <f aca="false">IFERROR(IF('Real and nominal GDP'!I215="",NA(),IF(ISNUMBER('Real and nominal GDP'!I215),'Real and nominal GDP'!I215,NA())),NA())</f>
        <v>#N/A</v>
      </c>
      <c r="K228" s="19" t="e">
        <f aca="false">IFERROR(IF('Real and nominal GDP'!J215="",NA(),IF(ISNUMBER('Real and nominal GDP'!J215),'Real and nominal GDP'!J215,NA())),NA())</f>
        <v>#N/A</v>
      </c>
      <c r="L228" s="19" t="e">
        <f aca="false">IFERROR(IF('Real and nominal GDP'!K215="",NA(),IF(ISNUMBER('Real and nominal GDP'!K215),'Real and nominal GDP'!K215,NA())),NA())</f>
        <v>#N/A</v>
      </c>
      <c r="M228" s="20" t="e">
        <f aca="false">IFERROR(D228/D224-1,NA())</f>
        <v>#N/A</v>
      </c>
      <c r="N228" s="20" t="e">
        <f aca="false">IFERROR(D228/D227-1,NA())</f>
        <v>#N/A</v>
      </c>
      <c r="O228" s="20" t="e">
        <f aca="false">IFERROR(I228/I224-1,NA())</f>
        <v>#N/A</v>
      </c>
      <c r="P228" s="21" t="e">
        <f aca="false">IF(COUNT(D225:D228)=4,SUM(D225:D228),NA())</f>
        <v>#N/A</v>
      </c>
      <c r="Q228" s="21" t="e">
        <f aca="false">IF(COUNT(I225:I228)=4,SUM(I225:I228),NA())</f>
        <v>#N/A</v>
      </c>
      <c r="R228" s="21" t="e">
        <f aca="false">IFERROR(I228/K228,NA())</f>
        <v>#N/A</v>
      </c>
      <c r="S228" s="21" t="e">
        <f aca="false">IFERROR(I228/L228,NA())</f>
        <v>#N/A</v>
      </c>
    </row>
    <row r="229" customFormat="false" ht="15" hidden="false" customHeight="false" outlineLevel="0" collapsed="false">
      <c r="A229" s="16" t="e">
        <f aca="false">IFERROR(IF(ISNUMBER('Real and nominal GDP'!A216),'Real and nominal GDP'!A216,NA()),NA())</f>
        <v>#N/A</v>
      </c>
      <c r="B229" s="17" t="e">
        <f aca="false">IFERROR(IF('Real and nominal GDP'!B216="",NA(),'Real and nominal GDP'!B216),NA())</f>
        <v>#N/A</v>
      </c>
      <c r="C229" s="18" t="n">
        <f aca="false">IFERROR(YEAR(A229),0)</f>
        <v>0</v>
      </c>
      <c r="D229" s="19" t="e">
        <f aca="false">IFERROR(IF('Real and nominal GDP'!C216="",NA(),IF(ISNUMBER('Real and nominal GDP'!C216),'Real and nominal GDP'!C216,NA())),NA())</f>
        <v>#N/A</v>
      </c>
      <c r="E229" s="19" t="e">
        <f aca="false">IFERROR(IF('Real and nominal GDP'!D216="",NA(),IF(ISNUMBER('Real and nominal GDP'!D216),'Real and nominal GDP'!D216,NA())),NA())</f>
        <v>#N/A</v>
      </c>
      <c r="F229" s="19" t="e">
        <f aca="false">IFERROR(IF('Real and nominal GDP'!E216="",NA(),IF(ISNUMBER('Real and nominal GDP'!E216),'Real and nominal GDP'!E216,NA())),NA())</f>
        <v>#N/A</v>
      </c>
      <c r="G229" s="19" t="e">
        <f aca="false">IFERROR(IF('Real and nominal GDP'!F216="",NA(),IF(ISNUMBER('Real and nominal GDP'!F216),'Real and nominal GDP'!F216,NA())),NA())</f>
        <v>#N/A</v>
      </c>
      <c r="H229" s="19" t="e">
        <f aca="false">IFERROR(IF('Real and nominal GDP'!G216="",NA(),IF(ISNUMBER('Real and nominal GDP'!G216),'Real and nominal GDP'!G216,NA())),NA())</f>
        <v>#N/A</v>
      </c>
      <c r="I229" s="19" t="e">
        <f aca="false">IFERROR(IF('Real and nominal GDP'!H216="",NA(),IF(ISNUMBER('Real and nominal GDP'!H216),'Real and nominal GDP'!H216,NA())),NA())</f>
        <v>#N/A</v>
      </c>
      <c r="J229" s="19" t="e">
        <f aca="false">IFERROR(IF('Real and nominal GDP'!I216="",NA(),IF(ISNUMBER('Real and nominal GDP'!I216),'Real and nominal GDP'!I216,NA())),NA())</f>
        <v>#N/A</v>
      </c>
      <c r="K229" s="19" t="e">
        <f aca="false">IFERROR(IF('Real and nominal GDP'!J216="",NA(),IF(ISNUMBER('Real and nominal GDP'!J216),'Real and nominal GDP'!J216,NA())),NA())</f>
        <v>#N/A</v>
      </c>
      <c r="L229" s="19" t="e">
        <f aca="false">IFERROR(IF('Real and nominal GDP'!K216="",NA(),IF(ISNUMBER('Real and nominal GDP'!K216),'Real and nominal GDP'!K216,NA())),NA())</f>
        <v>#N/A</v>
      </c>
      <c r="M229" s="20" t="e">
        <f aca="false">IFERROR(D229/D225-1,NA())</f>
        <v>#N/A</v>
      </c>
      <c r="N229" s="20" t="e">
        <f aca="false">IFERROR(D229/D228-1,NA())</f>
        <v>#N/A</v>
      </c>
      <c r="O229" s="20" t="e">
        <f aca="false">IFERROR(I229/I225-1,NA())</f>
        <v>#N/A</v>
      </c>
      <c r="P229" s="21" t="e">
        <f aca="false">IF(COUNT(D226:D229)=4,SUM(D226:D229),NA())</f>
        <v>#N/A</v>
      </c>
      <c r="Q229" s="21" t="e">
        <f aca="false">IF(COUNT(I226:I229)=4,SUM(I226:I229),NA())</f>
        <v>#N/A</v>
      </c>
      <c r="R229" s="21" t="e">
        <f aca="false">IFERROR(I229/K229,NA())</f>
        <v>#N/A</v>
      </c>
      <c r="S229" s="21" t="e">
        <f aca="false">IFERROR(I229/L229,NA())</f>
        <v>#N/A</v>
      </c>
    </row>
    <row r="230" customFormat="false" ht="15" hidden="false" customHeight="false" outlineLevel="0" collapsed="false">
      <c r="A230" s="16" t="e">
        <f aca="false">IFERROR(IF(ISNUMBER('Real and nominal GDP'!A217),'Real and nominal GDP'!A217,NA()),NA())</f>
        <v>#N/A</v>
      </c>
      <c r="B230" s="17" t="e">
        <f aca="false">IFERROR(IF('Real and nominal GDP'!B217="",NA(),'Real and nominal GDP'!B217),NA())</f>
        <v>#N/A</v>
      </c>
      <c r="C230" s="18" t="n">
        <f aca="false">IFERROR(YEAR(A230),0)</f>
        <v>0</v>
      </c>
      <c r="D230" s="19" t="e">
        <f aca="false">IFERROR(IF('Real and nominal GDP'!C217="",NA(),IF(ISNUMBER('Real and nominal GDP'!C217),'Real and nominal GDP'!C217,NA())),NA())</f>
        <v>#N/A</v>
      </c>
      <c r="E230" s="19" t="e">
        <f aca="false">IFERROR(IF('Real and nominal GDP'!D217="",NA(),IF(ISNUMBER('Real and nominal GDP'!D217),'Real and nominal GDP'!D217,NA())),NA())</f>
        <v>#N/A</v>
      </c>
      <c r="F230" s="19" t="e">
        <f aca="false">IFERROR(IF('Real and nominal GDP'!E217="",NA(),IF(ISNUMBER('Real and nominal GDP'!E217),'Real and nominal GDP'!E217,NA())),NA())</f>
        <v>#N/A</v>
      </c>
      <c r="G230" s="19" t="e">
        <f aca="false">IFERROR(IF('Real and nominal GDP'!F217="",NA(),IF(ISNUMBER('Real and nominal GDP'!F217),'Real and nominal GDP'!F217,NA())),NA())</f>
        <v>#N/A</v>
      </c>
      <c r="H230" s="19" t="e">
        <f aca="false">IFERROR(IF('Real and nominal GDP'!G217="",NA(),IF(ISNUMBER('Real and nominal GDP'!G217),'Real and nominal GDP'!G217,NA())),NA())</f>
        <v>#N/A</v>
      </c>
      <c r="I230" s="19" t="e">
        <f aca="false">IFERROR(IF('Real and nominal GDP'!H217="",NA(),IF(ISNUMBER('Real and nominal GDP'!H217),'Real and nominal GDP'!H217,NA())),NA())</f>
        <v>#N/A</v>
      </c>
      <c r="J230" s="19" t="e">
        <f aca="false">IFERROR(IF('Real and nominal GDP'!I217="",NA(),IF(ISNUMBER('Real and nominal GDP'!I217),'Real and nominal GDP'!I217,NA())),NA())</f>
        <v>#N/A</v>
      </c>
      <c r="K230" s="19" t="e">
        <f aca="false">IFERROR(IF('Real and nominal GDP'!J217="",NA(),IF(ISNUMBER('Real and nominal GDP'!J217),'Real and nominal GDP'!J217,NA())),NA())</f>
        <v>#N/A</v>
      </c>
      <c r="L230" s="19" t="e">
        <f aca="false">IFERROR(IF('Real and nominal GDP'!K217="",NA(),IF(ISNUMBER('Real and nominal GDP'!K217),'Real and nominal GDP'!K217,NA())),NA())</f>
        <v>#N/A</v>
      </c>
      <c r="M230" s="20" t="e">
        <f aca="false">IFERROR(D230/D226-1,NA())</f>
        <v>#N/A</v>
      </c>
      <c r="N230" s="20" t="e">
        <f aca="false">IFERROR(D230/D229-1,NA())</f>
        <v>#N/A</v>
      </c>
      <c r="O230" s="20" t="e">
        <f aca="false">IFERROR(I230/I226-1,NA())</f>
        <v>#N/A</v>
      </c>
      <c r="P230" s="21" t="e">
        <f aca="false">IF(COUNT(D227:D230)=4,SUM(D227:D230),NA())</f>
        <v>#N/A</v>
      </c>
      <c r="Q230" s="21" t="e">
        <f aca="false">IF(COUNT(I227:I230)=4,SUM(I227:I230),NA())</f>
        <v>#N/A</v>
      </c>
      <c r="R230" s="21" t="e">
        <f aca="false">IFERROR(I230/K230,NA())</f>
        <v>#N/A</v>
      </c>
      <c r="S230" s="21" t="e">
        <f aca="false">IFERROR(I230/L230,NA())</f>
        <v>#N/A</v>
      </c>
    </row>
    <row r="231" customFormat="false" ht="15" hidden="false" customHeight="false" outlineLevel="0" collapsed="false">
      <c r="A231" s="16" t="e">
        <f aca="false">IFERROR(IF(ISNUMBER('Real and nominal GDP'!A218),'Real and nominal GDP'!A218,NA()),NA())</f>
        <v>#N/A</v>
      </c>
      <c r="B231" s="17" t="e">
        <f aca="false">IFERROR(IF('Real and nominal GDP'!B218="",NA(),'Real and nominal GDP'!B218),NA())</f>
        <v>#N/A</v>
      </c>
      <c r="C231" s="18" t="n">
        <f aca="false">IFERROR(YEAR(A231),0)</f>
        <v>0</v>
      </c>
      <c r="D231" s="19" t="e">
        <f aca="false">IFERROR(IF('Real and nominal GDP'!C218="",NA(),IF(ISNUMBER('Real and nominal GDP'!C218),'Real and nominal GDP'!C218,NA())),NA())</f>
        <v>#N/A</v>
      </c>
      <c r="E231" s="19" t="e">
        <f aca="false">IFERROR(IF('Real and nominal GDP'!D218="",NA(),IF(ISNUMBER('Real and nominal GDP'!D218),'Real and nominal GDP'!D218,NA())),NA())</f>
        <v>#N/A</v>
      </c>
      <c r="F231" s="19" t="e">
        <f aca="false">IFERROR(IF('Real and nominal GDP'!E218="",NA(),IF(ISNUMBER('Real and nominal GDP'!E218),'Real and nominal GDP'!E218,NA())),NA())</f>
        <v>#N/A</v>
      </c>
      <c r="G231" s="19" t="e">
        <f aca="false">IFERROR(IF('Real and nominal GDP'!F218="",NA(),IF(ISNUMBER('Real and nominal GDP'!F218),'Real and nominal GDP'!F218,NA())),NA())</f>
        <v>#N/A</v>
      </c>
      <c r="H231" s="19" t="e">
        <f aca="false">IFERROR(IF('Real and nominal GDP'!G218="",NA(),IF(ISNUMBER('Real and nominal GDP'!G218),'Real and nominal GDP'!G218,NA())),NA())</f>
        <v>#N/A</v>
      </c>
      <c r="I231" s="19" t="e">
        <f aca="false">IFERROR(IF('Real and nominal GDP'!H218="",NA(),IF(ISNUMBER('Real and nominal GDP'!H218),'Real and nominal GDP'!H218,NA())),NA())</f>
        <v>#N/A</v>
      </c>
      <c r="J231" s="19" t="e">
        <f aca="false">IFERROR(IF('Real and nominal GDP'!I218="",NA(),IF(ISNUMBER('Real and nominal GDP'!I218),'Real and nominal GDP'!I218,NA())),NA())</f>
        <v>#N/A</v>
      </c>
      <c r="K231" s="19" t="e">
        <f aca="false">IFERROR(IF('Real and nominal GDP'!J218="",NA(),IF(ISNUMBER('Real and nominal GDP'!J218),'Real and nominal GDP'!J218,NA())),NA())</f>
        <v>#N/A</v>
      </c>
      <c r="L231" s="19" t="e">
        <f aca="false">IFERROR(IF('Real and nominal GDP'!K218="",NA(),IF(ISNUMBER('Real and nominal GDP'!K218),'Real and nominal GDP'!K218,NA())),NA())</f>
        <v>#N/A</v>
      </c>
      <c r="M231" s="20" t="e">
        <f aca="false">IFERROR(D231/D227-1,NA())</f>
        <v>#N/A</v>
      </c>
      <c r="N231" s="20" t="e">
        <f aca="false">IFERROR(D231/D230-1,NA())</f>
        <v>#N/A</v>
      </c>
      <c r="O231" s="20" t="e">
        <f aca="false">IFERROR(I231/I227-1,NA())</f>
        <v>#N/A</v>
      </c>
      <c r="P231" s="21" t="e">
        <f aca="false">IF(COUNT(D228:D231)=4,SUM(D228:D231),NA())</f>
        <v>#N/A</v>
      </c>
      <c r="Q231" s="21" t="e">
        <f aca="false">IF(COUNT(I228:I231)=4,SUM(I228:I231),NA())</f>
        <v>#N/A</v>
      </c>
      <c r="R231" s="21" t="e">
        <f aca="false">IFERROR(I231/K231,NA())</f>
        <v>#N/A</v>
      </c>
      <c r="S231" s="21" t="e">
        <f aca="false">IFERROR(I231/L231,NA())</f>
        <v>#N/A</v>
      </c>
    </row>
    <row r="232" customFormat="false" ht="15" hidden="false" customHeight="false" outlineLevel="0" collapsed="false">
      <c r="A232" s="16" t="e">
        <f aca="false">IFERROR(IF(ISNUMBER('Real and nominal GDP'!A219),'Real and nominal GDP'!A219,NA()),NA())</f>
        <v>#N/A</v>
      </c>
      <c r="B232" s="17" t="e">
        <f aca="false">IFERROR(IF('Real and nominal GDP'!B219="",NA(),'Real and nominal GDP'!B219),NA())</f>
        <v>#N/A</v>
      </c>
      <c r="C232" s="18" t="n">
        <f aca="false">IFERROR(YEAR(A232),0)</f>
        <v>0</v>
      </c>
      <c r="D232" s="19" t="e">
        <f aca="false">IFERROR(IF('Real and nominal GDP'!C219="",NA(),IF(ISNUMBER('Real and nominal GDP'!C219),'Real and nominal GDP'!C219,NA())),NA())</f>
        <v>#N/A</v>
      </c>
      <c r="E232" s="19" t="e">
        <f aca="false">IFERROR(IF('Real and nominal GDP'!D219="",NA(),IF(ISNUMBER('Real and nominal GDP'!D219),'Real and nominal GDP'!D219,NA())),NA())</f>
        <v>#N/A</v>
      </c>
      <c r="F232" s="19" t="e">
        <f aca="false">IFERROR(IF('Real and nominal GDP'!E219="",NA(),IF(ISNUMBER('Real and nominal GDP'!E219),'Real and nominal GDP'!E219,NA())),NA())</f>
        <v>#N/A</v>
      </c>
      <c r="G232" s="19" t="e">
        <f aca="false">IFERROR(IF('Real and nominal GDP'!F219="",NA(),IF(ISNUMBER('Real and nominal GDP'!F219),'Real and nominal GDP'!F219,NA())),NA())</f>
        <v>#N/A</v>
      </c>
      <c r="H232" s="19" t="e">
        <f aca="false">IFERROR(IF('Real and nominal GDP'!G219="",NA(),IF(ISNUMBER('Real and nominal GDP'!G219),'Real and nominal GDP'!G219,NA())),NA())</f>
        <v>#N/A</v>
      </c>
      <c r="I232" s="19" t="e">
        <f aca="false">IFERROR(IF('Real and nominal GDP'!H219="",NA(),IF(ISNUMBER('Real and nominal GDP'!H219),'Real and nominal GDP'!H219,NA())),NA())</f>
        <v>#N/A</v>
      </c>
      <c r="J232" s="19" t="e">
        <f aca="false">IFERROR(IF('Real and nominal GDP'!I219="",NA(),IF(ISNUMBER('Real and nominal GDP'!I219),'Real and nominal GDP'!I219,NA())),NA())</f>
        <v>#N/A</v>
      </c>
      <c r="K232" s="19" t="e">
        <f aca="false">IFERROR(IF('Real and nominal GDP'!J219="",NA(),IF(ISNUMBER('Real and nominal GDP'!J219),'Real and nominal GDP'!J219,NA())),NA())</f>
        <v>#N/A</v>
      </c>
      <c r="L232" s="19" t="e">
        <f aca="false">IFERROR(IF('Real and nominal GDP'!K219="",NA(),IF(ISNUMBER('Real and nominal GDP'!K219),'Real and nominal GDP'!K219,NA())),NA())</f>
        <v>#N/A</v>
      </c>
      <c r="M232" s="20" t="e">
        <f aca="false">IFERROR(D232/D228-1,NA())</f>
        <v>#N/A</v>
      </c>
      <c r="N232" s="20" t="e">
        <f aca="false">IFERROR(D232/D231-1,NA())</f>
        <v>#N/A</v>
      </c>
      <c r="O232" s="20" t="e">
        <f aca="false">IFERROR(I232/I228-1,NA())</f>
        <v>#N/A</v>
      </c>
      <c r="P232" s="21" t="e">
        <f aca="false">IF(COUNT(D229:D232)=4,SUM(D229:D232),NA())</f>
        <v>#N/A</v>
      </c>
      <c r="Q232" s="21" t="e">
        <f aca="false">IF(COUNT(I229:I232)=4,SUM(I229:I232),NA())</f>
        <v>#N/A</v>
      </c>
      <c r="R232" s="21" t="e">
        <f aca="false">IFERROR(I232/K232,NA())</f>
        <v>#N/A</v>
      </c>
      <c r="S232" s="21" t="e">
        <f aca="false">IFERROR(I232/L232,NA())</f>
        <v>#N/A</v>
      </c>
    </row>
    <row r="233" customFormat="false" ht="15" hidden="false" customHeight="false" outlineLevel="0" collapsed="false">
      <c r="A233" s="16" t="e">
        <f aca="false">IFERROR(IF(ISNUMBER('Real and nominal GDP'!A220),'Real and nominal GDP'!A220,NA()),NA())</f>
        <v>#N/A</v>
      </c>
      <c r="B233" s="17" t="e">
        <f aca="false">IFERROR(IF('Real and nominal GDP'!B220="",NA(),'Real and nominal GDP'!B220),NA())</f>
        <v>#N/A</v>
      </c>
      <c r="C233" s="18" t="n">
        <f aca="false">IFERROR(YEAR(A233),0)</f>
        <v>0</v>
      </c>
      <c r="D233" s="19" t="e">
        <f aca="false">IFERROR(IF('Real and nominal GDP'!C220="",NA(),IF(ISNUMBER('Real and nominal GDP'!C220),'Real and nominal GDP'!C220,NA())),NA())</f>
        <v>#N/A</v>
      </c>
      <c r="E233" s="19" t="e">
        <f aca="false">IFERROR(IF('Real and nominal GDP'!D220="",NA(),IF(ISNUMBER('Real and nominal GDP'!D220),'Real and nominal GDP'!D220,NA())),NA())</f>
        <v>#N/A</v>
      </c>
      <c r="F233" s="19" t="e">
        <f aca="false">IFERROR(IF('Real and nominal GDP'!E220="",NA(),IF(ISNUMBER('Real and nominal GDP'!E220),'Real and nominal GDP'!E220,NA())),NA())</f>
        <v>#N/A</v>
      </c>
      <c r="G233" s="19" t="e">
        <f aca="false">IFERROR(IF('Real and nominal GDP'!F220="",NA(),IF(ISNUMBER('Real and nominal GDP'!F220),'Real and nominal GDP'!F220,NA())),NA())</f>
        <v>#N/A</v>
      </c>
      <c r="H233" s="19" t="e">
        <f aca="false">IFERROR(IF('Real and nominal GDP'!G220="",NA(),IF(ISNUMBER('Real and nominal GDP'!G220),'Real and nominal GDP'!G220,NA())),NA())</f>
        <v>#N/A</v>
      </c>
      <c r="I233" s="19" t="e">
        <f aca="false">IFERROR(IF('Real and nominal GDP'!H220="",NA(),IF(ISNUMBER('Real and nominal GDP'!H220),'Real and nominal GDP'!H220,NA())),NA())</f>
        <v>#N/A</v>
      </c>
      <c r="J233" s="19" t="e">
        <f aca="false">IFERROR(IF('Real and nominal GDP'!I220="",NA(),IF(ISNUMBER('Real and nominal GDP'!I220),'Real and nominal GDP'!I220,NA())),NA())</f>
        <v>#N/A</v>
      </c>
      <c r="K233" s="19" t="e">
        <f aca="false">IFERROR(IF('Real and nominal GDP'!J220="",NA(),IF(ISNUMBER('Real and nominal GDP'!J220),'Real and nominal GDP'!J220,NA())),NA())</f>
        <v>#N/A</v>
      </c>
      <c r="L233" s="19" t="e">
        <f aca="false">IFERROR(IF('Real and nominal GDP'!K220="",NA(),IF(ISNUMBER('Real and nominal GDP'!K220),'Real and nominal GDP'!K220,NA())),NA())</f>
        <v>#N/A</v>
      </c>
      <c r="M233" s="20" t="e">
        <f aca="false">IFERROR(D233/D229-1,NA())</f>
        <v>#N/A</v>
      </c>
      <c r="N233" s="20" t="e">
        <f aca="false">IFERROR(D233/D232-1,NA())</f>
        <v>#N/A</v>
      </c>
      <c r="O233" s="20" t="e">
        <f aca="false">IFERROR(I233/I229-1,NA())</f>
        <v>#N/A</v>
      </c>
      <c r="P233" s="21" t="e">
        <f aca="false">IF(COUNT(D230:D233)=4,SUM(D230:D233),NA())</f>
        <v>#N/A</v>
      </c>
      <c r="Q233" s="21" t="e">
        <f aca="false">IF(COUNT(I230:I233)=4,SUM(I230:I233),NA())</f>
        <v>#N/A</v>
      </c>
      <c r="R233" s="21" t="e">
        <f aca="false">IFERROR(I233/K233,NA())</f>
        <v>#N/A</v>
      </c>
      <c r="S233" s="21" t="e">
        <f aca="false">IFERROR(I233/L233,NA())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9" min="4" style="0" width="13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348</v>
      </c>
    </row>
    <row r="4" customFormat="false" ht="15" hidden="false" customHeight="false" outlineLevel="0" collapsed="false">
      <c r="A4" s="4" t="s">
        <v>312</v>
      </c>
    </row>
    <row r="5" customFormat="false" ht="15" hidden="false" customHeight="false" outlineLevel="0" collapsed="false">
      <c r="A5" s="0" t="s">
        <v>349</v>
      </c>
      <c r="B5" s="25" t="s">
        <v>350</v>
      </c>
      <c r="D5" s="2" t="s">
        <v>351</v>
      </c>
    </row>
    <row r="7" customFormat="false" ht="15" hidden="false" customHeight="false" outlineLevel="0" collapsed="false">
      <c r="A7" s="4" t="s">
        <v>315</v>
      </c>
    </row>
    <row r="8" customFormat="false" ht="15" hidden="false" customHeight="false" outlineLevel="0" collapsed="false">
      <c r="A8" s="12" t="s">
        <v>316</v>
      </c>
      <c r="B8" s="13" t="s">
        <v>317</v>
      </c>
      <c r="C8" s="13" t="s">
        <v>318</v>
      </c>
    </row>
    <row r="9" customFormat="false" ht="15" hidden="false" customHeight="false" outlineLevel="0" collapsed="false">
      <c r="A9" s="3" t="s">
        <v>352</v>
      </c>
      <c r="B9" s="14" t="n">
        <v>0.4</v>
      </c>
      <c r="C9" s="14" t="n">
        <v>0.25</v>
      </c>
    </row>
    <row r="10" customFormat="false" ht="15" hidden="false" customHeight="false" outlineLevel="0" collapsed="false">
      <c r="A10" s="3" t="s">
        <v>353</v>
      </c>
      <c r="B10" s="14" t="n">
        <v>0.38</v>
      </c>
      <c r="C10" s="14" t="n">
        <v>0.24</v>
      </c>
    </row>
    <row r="12" customFormat="false" ht="15" hidden="false" customHeight="false" outlineLevel="0" collapsed="false">
      <c r="A12" s="4" t="s">
        <v>325</v>
      </c>
      <c r="L12" s="4" t="s">
        <v>326</v>
      </c>
      <c r="R12" s="4" t="s">
        <v>327</v>
      </c>
    </row>
    <row r="13" customFormat="false" ht="31.5" hidden="false" customHeight="true" outlineLevel="0" collapsed="false">
      <c r="A13" s="15" t="s">
        <v>40</v>
      </c>
      <c r="B13" s="15" t="s">
        <v>328</v>
      </c>
      <c r="C13" s="15" t="s">
        <v>329</v>
      </c>
      <c r="D13" s="15" t="s">
        <v>352</v>
      </c>
      <c r="E13" s="15" t="s">
        <v>353</v>
      </c>
      <c r="F13" s="15" t="s">
        <v>354</v>
      </c>
      <c r="G13" s="15" t="s">
        <v>355</v>
      </c>
      <c r="H13" s="15" t="s">
        <v>356</v>
      </c>
      <c r="I13" s="15" t="s">
        <v>357</v>
      </c>
      <c r="L13" s="15" t="s">
        <v>329</v>
      </c>
      <c r="M13" s="15" t="s">
        <v>352</v>
      </c>
      <c r="N13" s="15" t="s">
        <v>353</v>
      </c>
      <c r="O13" s="15" t="s">
        <v>354</v>
      </c>
      <c r="R13" s="15" t="s">
        <v>329</v>
      </c>
      <c r="S13" s="15" t="s">
        <v>358</v>
      </c>
      <c r="T13" s="15" t="s">
        <v>359</v>
      </c>
    </row>
    <row r="14" customFormat="false" ht="15" hidden="false" customHeight="false" outlineLevel="0" collapsed="false">
      <c r="A14" s="16" t="n">
        <f aca="false">IFERROR(IF(LEN(TRIM(TEXT(CPI!B8,"@")))&lt;3,NA(),DATE(2000+VALUE(LEFT(CPI!B8,LEN(CPI!B8)-2)),VALUE(RIGHT(CPI!B8,2)),1)),NA())</f>
        <v>42005</v>
      </c>
      <c r="B14" s="17" t="str">
        <f aca="false">IFERROR(IF(CPI!B8="",NA(),CPI!B8),NA())</f>
        <v>1501</v>
      </c>
      <c r="C14" s="18" t="n">
        <f aca="false">IFERROR(YEAR(A14),0)</f>
        <v>2015</v>
      </c>
      <c r="D14" s="19" t="n">
        <f aca="false">IFERROR(IF(CPI!C8="",NA(),IF(ISNUMBER(CPI!C8),CPI!C8,NA())),NA())</f>
        <v>56.9509</v>
      </c>
      <c r="E14" s="19" t="e">
        <f aca="false">IFERROR(IF(CPI!D8="",NA(),IF(ISNUMBER(CPI!D8),CPI!D8,NA())),NA())</f>
        <v>#N/A</v>
      </c>
      <c r="F14" s="20" t="e">
        <f aca="false">NA()</f>
        <v>#N/A</v>
      </c>
      <c r="G14" s="20" t="e">
        <f aca="false">NA()</f>
        <v>#N/A</v>
      </c>
      <c r="H14" s="21" t="e">
        <f aca="false">NA()</f>
        <v>#N/A</v>
      </c>
      <c r="I14" s="20" t="e">
        <f aca="false">NA()</f>
        <v>#N/A</v>
      </c>
      <c r="L14" s="22" t="n">
        <v>2004</v>
      </c>
      <c r="M14" s="23" t="e">
        <f aca="false">IF(SUMPRODUCT(($C$14:$C$266=$L$14)*ISNUMBER($D$14:$D$266))=0,NA(),SUMPRODUCT(($C$14:$C$266=$L$14)*IFERROR($D$14:$D$266,0))/SUMPRODUCT(($C$14:$C$266=$L$14)*ISNUMBER($D$14:$D$266)))</f>
        <v>#N/A</v>
      </c>
      <c r="N14" s="23" t="e">
        <f aca="false">IF(SUMPRODUCT(($C$14:$C$266=$L$14)*ISNUMBER($E$14:$E$266))=0,NA(),SUMPRODUCT(($C$14:$C$266=$L$14)*IFERROR($E$14:$E$266,0))/SUMPRODUCT(($C$14:$C$266=$L$14)*ISNUMBER($E$14:$E$266)))</f>
        <v>#N/A</v>
      </c>
      <c r="O14" s="20" t="e">
        <f aca="false">NA()</f>
        <v>#N/A</v>
      </c>
      <c r="R14" s="24" t="n">
        <f aca="false">IFERROR(IFERROR(LOOKUP(2,1/ISNUMBER(M14:M43),L14:L43),NA())+1,NA())</f>
        <v>2027</v>
      </c>
      <c r="S14" s="23" t="n">
        <f aca="false">IFERROR((IFERROR(INDEX(M14:M43,MATCH(R14-1,L14:L43,0)),NA()))*(1+$B9),NA())</f>
        <v>15028.8680266667</v>
      </c>
      <c r="T14" s="23" t="n">
        <f aca="false">IFERROR((IFERROR(INDEX(N14:N43,MATCH(R14-1,L14:L43,0)),NA()))*(1+$B10),NA())</f>
        <v>15181.921788</v>
      </c>
    </row>
    <row r="15" customFormat="false" ht="15" hidden="false" customHeight="false" outlineLevel="0" collapsed="false">
      <c r="A15" s="16" t="n">
        <f aca="false">IFERROR(IF(LEN(TRIM(TEXT(CPI!B9,"@")))&lt;3,NA(),DATE(2000+VALUE(LEFT(CPI!B9,LEN(CPI!B9)-2)),VALUE(RIGHT(CPI!B9,2)),1)),NA())</f>
        <v>42036</v>
      </c>
      <c r="B15" s="17" t="str">
        <f aca="false">IFERROR(IF(CPI!B9="",NA(),CPI!B9),NA())</f>
        <v>1502</v>
      </c>
      <c r="C15" s="18" t="n">
        <f aca="false">IFERROR(YEAR(A15),0)</f>
        <v>2015</v>
      </c>
      <c r="D15" s="19" t="n">
        <f aca="false">IFERROR(IF(CPI!C9="",NA(),IF(ISNUMBER(CPI!C9),CPI!C9,NA())),NA())</f>
        <v>57.7781</v>
      </c>
      <c r="E15" s="19" t="e">
        <f aca="false">IFERROR(IF(CPI!D9="",NA(),IF(ISNUMBER(CPI!D9),CPI!D9,NA())),NA())</f>
        <v>#N/A</v>
      </c>
      <c r="F15" s="20" t="e">
        <f aca="false">NA()</f>
        <v>#N/A</v>
      </c>
      <c r="G15" s="20" t="n">
        <f aca="false">IFERROR(D15/D14-1,NA())</f>
        <v>0.0145247924088996</v>
      </c>
      <c r="H15" s="21" t="e">
        <f aca="false">NA()</f>
        <v>#N/A</v>
      </c>
      <c r="I15" s="20" t="e">
        <f aca="false">NA()</f>
        <v>#N/A</v>
      </c>
      <c r="L15" s="22" t="n">
        <v>2005</v>
      </c>
      <c r="M15" s="23" t="e">
        <f aca="false">IF(SUMPRODUCT(($C$14:$C$266=$L$15)*ISNUMBER($D$14:$D$266))=0,NA(),SUMPRODUCT(($C$14:$C$266=$L$15)*IFERROR($D$14:$D$266,0))/SUMPRODUCT(($C$14:$C$266=$L$15)*ISNUMBER($D$14:$D$266)))</f>
        <v>#N/A</v>
      </c>
      <c r="N15" s="23" t="e">
        <f aca="false">IF(SUMPRODUCT(($C$14:$C$266=$L$15)*ISNUMBER($E$14:$E$266))=0,NA(),SUMPRODUCT(($C$14:$C$266=$L$15)*IFERROR($E$14:$E$266,0))/SUMPRODUCT(($C$14:$C$266=$L$15)*ISNUMBER($E$14:$E$266)))</f>
        <v>#N/A</v>
      </c>
      <c r="O15" s="20" t="e">
        <f aca="false">IFERROR(M15/M14-1,NA())</f>
        <v>#N/A</v>
      </c>
      <c r="R15" s="24" t="n">
        <f aca="false">R14+1</f>
        <v>2028</v>
      </c>
      <c r="S15" s="23" t="n">
        <f aca="false">IFERROR(S14*(1+$C9),NA())</f>
        <v>18786.0850333333</v>
      </c>
      <c r="T15" s="23" t="n">
        <f aca="false">IFERROR(T14*(1+$C10),NA())</f>
        <v>18825.58301712</v>
      </c>
    </row>
    <row r="16" customFormat="false" ht="15" hidden="false" customHeight="false" outlineLevel="0" collapsed="false">
      <c r="A16" s="16" t="n">
        <f aca="false">IFERROR(IF(LEN(TRIM(TEXT(CPI!B10,"@")))&lt;3,NA(),DATE(2000+VALUE(LEFT(CPI!B10,LEN(CPI!B10)-2)),VALUE(RIGHT(CPI!B10,2)),1)),NA())</f>
        <v>42064</v>
      </c>
      <c r="B16" s="17" t="str">
        <f aca="false">IFERROR(IF(CPI!B10="",NA(),CPI!B10),NA())</f>
        <v>1503</v>
      </c>
      <c r="C16" s="18" t="n">
        <f aca="false">IFERROR(YEAR(A16),0)</f>
        <v>2015</v>
      </c>
      <c r="D16" s="19" t="n">
        <f aca="false">IFERROR(IF(CPI!C10="",NA(),IF(ISNUMBER(CPI!C10),CPI!C10,NA())),NA())</f>
        <v>58.7385</v>
      </c>
      <c r="E16" s="19" t="e">
        <f aca="false">IFERROR(IF(CPI!D10="",NA(),IF(ISNUMBER(CPI!D10),CPI!D10,NA())),NA())</f>
        <v>#N/A</v>
      </c>
      <c r="F16" s="20" t="e">
        <f aca="false">NA()</f>
        <v>#N/A</v>
      </c>
      <c r="G16" s="20" t="n">
        <f aca="false">IFERROR(D16/D15-1,NA())</f>
        <v>0.0166222149914934</v>
      </c>
      <c r="H16" s="21" t="n">
        <f aca="false">IF(COUNT(D14:D16)=3,AVERAGE(D14:D16),NA())</f>
        <v>57.8225</v>
      </c>
      <c r="I16" s="20" t="e">
        <f aca="false">NA()</f>
        <v>#N/A</v>
      </c>
      <c r="L16" s="22" t="n">
        <v>2006</v>
      </c>
      <c r="M16" s="23" t="e">
        <f aca="false">IF(SUMPRODUCT(($C$14:$C$266=$L$16)*ISNUMBER($D$14:$D$266))=0,NA(),SUMPRODUCT(($C$14:$C$266=$L$16)*IFERROR($D$14:$D$266,0))/SUMPRODUCT(($C$14:$C$266=$L$16)*ISNUMBER($D$14:$D$266)))</f>
        <v>#N/A</v>
      </c>
      <c r="N16" s="23" t="e">
        <f aca="false">IF(SUMPRODUCT(($C$14:$C$266=$L$16)*ISNUMBER($E$14:$E$266))=0,NA(),SUMPRODUCT(($C$14:$C$266=$L$16)*IFERROR($E$14:$E$266,0))/SUMPRODUCT(($C$14:$C$266=$L$16)*ISNUMBER($E$14:$E$266)))</f>
        <v>#N/A</v>
      </c>
      <c r="O16" s="20" t="e">
        <f aca="false">IFERROR(M16/M15-1,NA())</f>
        <v>#N/A</v>
      </c>
    </row>
    <row r="17" customFormat="false" ht="15" hidden="false" customHeight="false" outlineLevel="0" collapsed="false">
      <c r="A17" s="16" t="n">
        <f aca="false">IFERROR(IF(LEN(TRIM(TEXT(CPI!B11,"@")))&lt;3,NA(),DATE(2000+VALUE(LEFT(CPI!B11,LEN(CPI!B11)-2)),VALUE(RIGHT(CPI!B11,2)),1)),NA())</f>
        <v>42095</v>
      </c>
      <c r="B17" s="17" t="str">
        <f aca="false">IFERROR(IF(CPI!B11="",NA(),CPI!B11),NA())</f>
        <v>1504</v>
      </c>
      <c r="C17" s="18" t="n">
        <f aca="false">IFERROR(YEAR(A17),0)</f>
        <v>2015</v>
      </c>
      <c r="D17" s="19" t="n">
        <f aca="false">IFERROR(IF(CPI!C11="",NA(),IF(ISNUMBER(CPI!C11),CPI!C11,NA())),NA())</f>
        <v>60.1294</v>
      </c>
      <c r="E17" s="19" t="e">
        <f aca="false">IFERROR(IF(CPI!D11="",NA(),IF(ISNUMBER(CPI!D11),CPI!D11,NA())),NA())</f>
        <v>#N/A</v>
      </c>
      <c r="F17" s="20" t="e">
        <f aca="false">NA()</f>
        <v>#N/A</v>
      </c>
      <c r="G17" s="20" t="n">
        <f aca="false">IFERROR(D17/D16-1,NA())</f>
        <v>0.0236795287588207</v>
      </c>
      <c r="H17" s="21" t="n">
        <f aca="false">IF(COUNT(D15:D17)=3,AVERAGE(D15:D17),NA())</f>
        <v>58.882</v>
      </c>
      <c r="I17" s="20" t="e">
        <f aca="false">NA()</f>
        <v>#N/A</v>
      </c>
      <c r="L17" s="22" t="n">
        <v>2007</v>
      </c>
      <c r="M17" s="23" t="e">
        <f aca="false">IF(SUMPRODUCT(($C$14:$C$266=$L$17)*ISNUMBER($D$14:$D$266))=0,NA(),SUMPRODUCT(($C$14:$C$266=$L$17)*IFERROR($D$14:$D$266,0))/SUMPRODUCT(($C$14:$C$266=$L$17)*ISNUMBER($D$14:$D$266)))</f>
        <v>#N/A</v>
      </c>
      <c r="N17" s="23" t="e">
        <f aca="false">IF(SUMPRODUCT(($C$14:$C$266=$L$17)*ISNUMBER($E$14:$E$266))=0,NA(),SUMPRODUCT(($C$14:$C$266=$L$17)*IFERROR($E$14:$E$266,0))/SUMPRODUCT(($C$14:$C$266=$L$17)*ISNUMBER($E$14:$E$266)))</f>
        <v>#N/A</v>
      </c>
      <c r="O17" s="20" t="e">
        <f aca="false">IFERROR(M17/M16-1,NA())</f>
        <v>#N/A</v>
      </c>
    </row>
    <row r="18" customFormat="false" ht="15" hidden="false" customHeight="false" outlineLevel="0" collapsed="false">
      <c r="A18" s="16" t="n">
        <f aca="false">IFERROR(IF(LEN(TRIM(TEXT(CPI!B12,"@")))&lt;3,NA(),DATE(2000+VALUE(LEFT(CPI!B12,LEN(CPI!B12)-2)),VALUE(RIGHT(CPI!B12,2)),1)),NA())</f>
        <v>42125</v>
      </c>
      <c r="B18" s="17" t="str">
        <f aca="false">IFERROR(IF(CPI!B12="",NA(),CPI!B12),NA())</f>
        <v>1505</v>
      </c>
      <c r="C18" s="18" t="n">
        <f aca="false">IFERROR(YEAR(A18),0)</f>
        <v>2015</v>
      </c>
      <c r="D18" s="19" t="n">
        <f aca="false">IFERROR(IF(CPI!C12="",NA(),IF(ISNUMBER(CPI!C12),CPI!C12,NA())),NA())</f>
        <v>61.4604</v>
      </c>
      <c r="E18" s="19" t="e">
        <f aca="false">IFERROR(IF(CPI!D12="",NA(),IF(ISNUMBER(CPI!D12),CPI!D12,NA())),NA())</f>
        <v>#N/A</v>
      </c>
      <c r="F18" s="20" t="e">
        <f aca="false">NA()</f>
        <v>#N/A</v>
      </c>
      <c r="G18" s="20" t="n">
        <f aca="false">IFERROR(D18/D17-1,NA())</f>
        <v>0.0221355942350996</v>
      </c>
      <c r="H18" s="21" t="n">
        <f aca="false">IF(COUNT(D16:D18)=3,AVERAGE(D16:D18),NA())</f>
        <v>60.1094333333333</v>
      </c>
      <c r="I18" s="20" t="e">
        <f aca="false">NA()</f>
        <v>#N/A</v>
      </c>
      <c r="L18" s="22" t="n">
        <v>2008</v>
      </c>
      <c r="M18" s="23" t="e">
        <f aca="false">IF(SUMPRODUCT(($C$14:$C$266=$L$18)*ISNUMBER($D$14:$D$266))=0,NA(),SUMPRODUCT(($C$14:$C$266=$L$18)*IFERROR($D$14:$D$266,0))/SUMPRODUCT(($C$14:$C$266=$L$18)*ISNUMBER($D$14:$D$266)))</f>
        <v>#N/A</v>
      </c>
      <c r="N18" s="23" t="e">
        <f aca="false">IF(SUMPRODUCT(($C$14:$C$266=$L$18)*ISNUMBER($E$14:$E$266))=0,NA(),SUMPRODUCT(($C$14:$C$266=$L$18)*IFERROR($E$14:$E$266,0))/SUMPRODUCT(($C$14:$C$266=$L$18)*ISNUMBER($E$14:$E$266)))</f>
        <v>#N/A</v>
      </c>
      <c r="O18" s="20" t="e">
        <f aca="false">IFERROR(M18/M17-1,NA())</f>
        <v>#N/A</v>
      </c>
    </row>
    <row r="19" customFormat="false" ht="15" hidden="false" customHeight="false" outlineLevel="0" collapsed="false">
      <c r="A19" s="16" t="n">
        <f aca="false">IFERROR(IF(LEN(TRIM(TEXT(CPI!B13,"@")))&lt;3,NA(),DATE(2000+VALUE(LEFT(CPI!B13,LEN(CPI!B13)-2)),VALUE(RIGHT(CPI!B13,2)),1)),NA())</f>
        <v>42156</v>
      </c>
      <c r="B19" s="17" t="str">
        <f aca="false">IFERROR(IF(CPI!B13="",NA(),CPI!B13),NA())</f>
        <v>1506</v>
      </c>
      <c r="C19" s="18" t="n">
        <f aca="false">IFERROR(YEAR(A19),0)</f>
        <v>2015</v>
      </c>
      <c r="D19" s="19" t="n">
        <f aca="false">IFERROR(IF(CPI!C13="",NA(),IF(ISNUMBER(CPI!C13),CPI!C13,NA())),NA())</f>
        <v>62.2902</v>
      </c>
      <c r="E19" s="19" t="e">
        <f aca="false">IFERROR(IF(CPI!D13="",NA(),IF(ISNUMBER(CPI!D13),CPI!D13,NA())),NA())</f>
        <v>#N/A</v>
      </c>
      <c r="F19" s="20" t="e">
        <f aca="false">NA()</f>
        <v>#N/A</v>
      </c>
      <c r="G19" s="20" t="n">
        <f aca="false">IFERROR(D19/D18-1,NA())</f>
        <v>0.0135013764960852</v>
      </c>
      <c r="H19" s="21" t="n">
        <f aca="false">IF(COUNT(D17:D19)=3,AVERAGE(D17:D19),NA())</f>
        <v>61.2933333333333</v>
      </c>
      <c r="I19" s="20" t="e">
        <f aca="false">NA()</f>
        <v>#N/A</v>
      </c>
      <c r="L19" s="22" t="n">
        <v>2009</v>
      </c>
      <c r="M19" s="23" t="e">
        <f aca="false">IF(SUMPRODUCT(($C$14:$C$266=$L$19)*ISNUMBER($D$14:$D$266))=0,NA(),SUMPRODUCT(($C$14:$C$266=$L$19)*IFERROR($D$14:$D$266,0))/SUMPRODUCT(($C$14:$C$266=$L$19)*ISNUMBER($D$14:$D$266)))</f>
        <v>#N/A</v>
      </c>
      <c r="N19" s="23" t="e">
        <f aca="false">IF(SUMPRODUCT(($C$14:$C$266=$L$19)*ISNUMBER($E$14:$E$266))=0,NA(),SUMPRODUCT(($C$14:$C$266=$L$19)*IFERROR($E$14:$E$266,0))/SUMPRODUCT(($C$14:$C$266=$L$19)*ISNUMBER($E$14:$E$266)))</f>
        <v>#N/A</v>
      </c>
      <c r="O19" s="20" t="e">
        <f aca="false">IFERROR(M19/M18-1,NA())</f>
        <v>#N/A</v>
      </c>
    </row>
    <row r="20" customFormat="false" ht="15" hidden="false" customHeight="false" outlineLevel="0" collapsed="false">
      <c r="A20" s="16" t="n">
        <f aca="false">IFERROR(IF(LEN(TRIM(TEXT(CPI!B14,"@")))&lt;3,NA(),DATE(2000+VALUE(LEFT(CPI!B14,LEN(CPI!B14)-2)),VALUE(RIGHT(CPI!B14,2)),1)),NA())</f>
        <v>42186</v>
      </c>
      <c r="B20" s="17" t="str">
        <f aca="false">IFERROR(IF(CPI!B14="",NA(),CPI!B14),NA())</f>
        <v>1507</v>
      </c>
      <c r="C20" s="18" t="n">
        <f aca="false">IFERROR(YEAR(A20),0)</f>
        <v>2015</v>
      </c>
      <c r="D20" s="19" t="n">
        <f aca="false">IFERROR(IF(CPI!C14="",NA(),IF(ISNUMBER(CPI!C14),CPI!C14,NA())),NA())</f>
        <v>63.5612</v>
      </c>
      <c r="E20" s="19" t="e">
        <f aca="false">IFERROR(IF(CPI!D14="",NA(),IF(ISNUMBER(CPI!D14),CPI!D14,NA())),NA())</f>
        <v>#N/A</v>
      </c>
      <c r="F20" s="20" t="e">
        <f aca="false">NA()</f>
        <v>#N/A</v>
      </c>
      <c r="G20" s="20" t="n">
        <f aca="false">IFERROR(D20/D19-1,NA())</f>
        <v>0.020404493804804</v>
      </c>
      <c r="H20" s="21" t="n">
        <f aca="false">IF(COUNT(D18:D20)=3,AVERAGE(D18:D20),NA())</f>
        <v>62.4372666666667</v>
      </c>
      <c r="I20" s="20" t="e">
        <f aca="false">NA()</f>
        <v>#N/A</v>
      </c>
      <c r="L20" s="22" t="n">
        <v>2010</v>
      </c>
      <c r="M20" s="23" t="e">
        <f aca="false">IF(SUMPRODUCT(($C$14:$C$266=$L$20)*ISNUMBER($D$14:$D$266))=0,NA(),SUMPRODUCT(($C$14:$C$266=$L$20)*IFERROR($D$14:$D$266,0))/SUMPRODUCT(($C$14:$C$266=$L$20)*ISNUMBER($D$14:$D$266)))</f>
        <v>#N/A</v>
      </c>
      <c r="N20" s="23" t="e">
        <f aca="false">IF(SUMPRODUCT(($C$14:$C$266=$L$20)*ISNUMBER($E$14:$E$266))=0,NA(),SUMPRODUCT(($C$14:$C$266=$L$20)*IFERROR($E$14:$E$266,0))/SUMPRODUCT(($C$14:$C$266=$L$20)*ISNUMBER($E$14:$E$266)))</f>
        <v>#N/A</v>
      </c>
      <c r="O20" s="20" t="e">
        <f aca="false">IFERROR(M20/M19-1,NA())</f>
        <v>#N/A</v>
      </c>
    </row>
    <row r="21" customFormat="false" ht="15" hidden="false" customHeight="false" outlineLevel="0" collapsed="false">
      <c r="A21" s="16" t="n">
        <f aca="false">IFERROR(IF(LEN(TRIM(TEXT(CPI!B15,"@")))&lt;3,NA(),DATE(2000+VALUE(LEFT(CPI!B15,LEN(CPI!B15)-2)),VALUE(RIGHT(CPI!B15,2)),1)),NA())</f>
        <v>42217</v>
      </c>
      <c r="B21" s="17" t="str">
        <f aca="false">IFERROR(IF(CPI!B15="",NA(),CPI!B15),NA())</f>
        <v>1508</v>
      </c>
      <c r="C21" s="18" t="n">
        <f aca="false">IFERROR(YEAR(A21),0)</f>
        <v>2015</v>
      </c>
      <c r="D21" s="19" t="n">
        <f aca="false">IFERROR(IF(CPI!C15="",NA(),IF(ISNUMBER(CPI!C15),CPI!C15,NA())),NA())</f>
        <v>64.7251</v>
      </c>
      <c r="E21" s="19" t="e">
        <f aca="false">IFERROR(IF(CPI!D15="",NA(),IF(ISNUMBER(CPI!D15),CPI!D15,NA())),NA())</f>
        <v>#N/A</v>
      </c>
      <c r="F21" s="20" t="e">
        <f aca="false">NA()</f>
        <v>#N/A</v>
      </c>
      <c r="G21" s="20" t="n">
        <f aca="false">IFERROR(D21/D20-1,NA())</f>
        <v>0.0183114856233046</v>
      </c>
      <c r="H21" s="21" t="n">
        <f aca="false">IF(COUNT(D19:D21)=3,AVERAGE(D19:D21),NA())</f>
        <v>63.5255</v>
      </c>
      <c r="I21" s="20" t="e">
        <f aca="false">NA()</f>
        <v>#N/A</v>
      </c>
      <c r="L21" s="22" t="n">
        <v>2011</v>
      </c>
      <c r="M21" s="23" t="e">
        <f aca="false">IF(SUMPRODUCT(($C$14:$C$266=$L$21)*ISNUMBER($D$14:$D$266))=0,NA(),SUMPRODUCT(($C$14:$C$266=$L$21)*IFERROR($D$14:$D$266,0))/SUMPRODUCT(($C$14:$C$266=$L$21)*ISNUMBER($D$14:$D$266)))</f>
        <v>#N/A</v>
      </c>
      <c r="N21" s="23" t="e">
        <f aca="false">IF(SUMPRODUCT(($C$14:$C$266=$L$21)*ISNUMBER($E$14:$E$266))=0,NA(),SUMPRODUCT(($C$14:$C$266=$L$21)*IFERROR($E$14:$E$266,0))/SUMPRODUCT(($C$14:$C$266=$L$21)*ISNUMBER($E$14:$E$266)))</f>
        <v>#N/A</v>
      </c>
      <c r="O21" s="20" t="e">
        <f aca="false">IFERROR(M21/M20-1,NA())</f>
        <v>#N/A</v>
      </c>
    </row>
    <row r="22" customFormat="false" ht="15" hidden="false" customHeight="false" outlineLevel="0" collapsed="false">
      <c r="A22" s="16" t="n">
        <f aca="false">IFERROR(IF(LEN(TRIM(TEXT(CPI!B16,"@")))&lt;3,NA(),DATE(2000+VALUE(LEFT(CPI!B16,LEN(CPI!B16)-2)),VALUE(RIGHT(CPI!B16,2)),1)),NA())</f>
        <v>42248</v>
      </c>
      <c r="B22" s="17" t="str">
        <f aca="false">IFERROR(IF(CPI!B16="",NA(),CPI!B16),NA())</f>
        <v>1509</v>
      </c>
      <c r="C22" s="18" t="n">
        <f aca="false">IFERROR(YEAR(A22),0)</f>
        <v>2015</v>
      </c>
      <c r="D22" s="19" t="n">
        <f aca="false">IFERROR(IF(CPI!C16="",NA(),IF(ISNUMBER(CPI!C16),CPI!C16,NA())),NA())</f>
        <v>65.7976</v>
      </c>
      <c r="E22" s="19" t="e">
        <f aca="false">IFERROR(IF(CPI!D16="",NA(),IF(ISNUMBER(CPI!D16),CPI!D16,NA())),NA())</f>
        <v>#N/A</v>
      </c>
      <c r="F22" s="20" t="e">
        <f aca="false">NA()</f>
        <v>#N/A</v>
      </c>
      <c r="G22" s="20" t="n">
        <f aca="false">IFERROR(D22/D21-1,NA())</f>
        <v>0.0165700786866301</v>
      </c>
      <c r="H22" s="21" t="n">
        <f aca="false">IF(COUNT(D20:D22)=3,AVERAGE(D20:D22),NA())</f>
        <v>64.6946333333333</v>
      </c>
      <c r="I22" s="20" t="e">
        <f aca="false">NA()</f>
        <v>#N/A</v>
      </c>
      <c r="L22" s="22" t="n">
        <v>2012</v>
      </c>
      <c r="M22" s="23" t="e">
        <f aca="false">IF(SUMPRODUCT(($C$14:$C$266=$L$22)*ISNUMBER($D$14:$D$266))=0,NA(),SUMPRODUCT(($C$14:$C$266=$L$22)*IFERROR($D$14:$D$266,0))/SUMPRODUCT(($C$14:$C$266=$L$22)*ISNUMBER($D$14:$D$266)))</f>
        <v>#N/A</v>
      </c>
      <c r="N22" s="23" t="e">
        <f aca="false">IF(SUMPRODUCT(($C$14:$C$266=$L$22)*ISNUMBER($E$14:$E$266))=0,NA(),SUMPRODUCT(($C$14:$C$266=$L$22)*IFERROR($E$14:$E$266,0))/SUMPRODUCT(($C$14:$C$266=$L$22)*ISNUMBER($E$14:$E$266)))</f>
        <v>#N/A</v>
      </c>
      <c r="O22" s="20" t="e">
        <f aca="false">IFERROR(M22/M21-1,NA())</f>
        <v>#N/A</v>
      </c>
    </row>
    <row r="23" customFormat="false" ht="15" hidden="false" customHeight="false" outlineLevel="0" collapsed="false">
      <c r="A23" s="16" t="n">
        <f aca="false">IFERROR(IF(LEN(TRIM(TEXT(CPI!B17,"@")))&lt;3,NA(),DATE(2000+VALUE(LEFT(CPI!B17,LEN(CPI!B17)-2)),VALUE(RIGHT(CPI!B17,2)),1)),NA())</f>
        <v>42278</v>
      </c>
      <c r="B23" s="17" t="str">
        <f aca="false">IFERROR(IF(CPI!B17="",NA(),CPI!B17),NA())</f>
        <v>1510</v>
      </c>
      <c r="C23" s="18" t="n">
        <f aca="false">IFERROR(YEAR(A23),0)</f>
        <v>2015</v>
      </c>
      <c r="D23" s="19" t="n">
        <f aca="false">IFERROR(IF(CPI!C17="",NA(),IF(ISNUMBER(CPI!C17),CPI!C17,NA())),NA())</f>
        <v>66.9172</v>
      </c>
      <c r="E23" s="19" t="e">
        <f aca="false">IFERROR(IF(CPI!D17="",NA(),IF(ISNUMBER(CPI!D17),CPI!D17,NA())),NA())</f>
        <v>#N/A</v>
      </c>
      <c r="F23" s="20" t="e">
        <f aca="false">NA()</f>
        <v>#N/A</v>
      </c>
      <c r="G23" s="20" t="n">
        <f aca="false">IFERROR(D23/D22-1,NA())</f>
        <v>0.0170158182061351</v>
      </c>
      <c r="H23" s="21" t="n">
        <f aca="false">IF(COUNT(D21:D23)=3,AVERAGE(D21:D23),NA())</f>
        <v>65.8133</v>
      </c>
      <c r="I23" s="20" t="e">
        <f aca="false">NA()</f>
        <v>#N/A</v>
      </c>
      <c r="L23" s="22" t="n">
        <v>2013</v>
      </c>
      <c r="M23" s="23" t="e">
        <f aca="false">IF(SUMPRODUCT(($C$14:$C$266=$L$23)*ISNUMBER($D$14:$D$266))=0,NA(),SUMPRODUCT(($C$14:$C$266=$L$23)*IFERROR($D$14:$D$266,0))/SUMPRODUCT(($C$14:$C$266=$L$23)*ISNUMBER($D$14:$D$266)))</f>
        <v>#N/A</v>
      </c>
      <c r="N23" s="23" t="e">
        <f aca="false">IF(SUMPRODUCT(($C$14:$C$266=$L$23)*ISNUMBER($E$14:$E$266))=0,NA(),SUMPRODUCT(($C$14:$C$266=$L$23)*IFERROR($E$14:$E$266,0))/SUMPRODUCT(($C$14:$C$266=$L$23)*ISNUMBER($E$14:$E$266)))</f>
        <v>#N/A</v>
      </c>
      <c r="O23" s="20" t="e">
        <f aca="false">IFERROR(M23/M22-1,NA())</f>
        <v>#N/A</v>
      </c>
    </row>
    <row r="24" customFormat="false" ht="15" hidden="false" customHeight="false" outlineLevel="0" collapsed="false">
      <c r="A24" s="16" t="n">
        <f aca="false">IFERROR(IF(LEN(TRIM(TEXT(CPI!B18,"@")))&lt;3,NA(),DATE(2000+VALUE(LEFT(CPI!B18,LEN(CPI!B18)-2)),VALUE(RIGHT(CPI!B18,2)),1)),NA())</f>
        <v>42309</v>
      </c>
      <c r="B24" s="17" t="str">
        <f aca="false">IFERROR(IF(CPI!B18="",NA(),CPI!B18),NA())</f>
        <v>1511</v>
      </c>
      <c r="C24" s="18" t="n">
        <f aca="false">IFERROR(YEAR(A24),0)</f>
        <v>2015</v>
      </c>
      <c r="D24" s="19" t="n">
        <f aca="false">IFERROR(IF(CPI!C18="",NA(),IF(ISNUMBER(CPI!C18),CPI!C18,NA())),NA())</f>
        <v>68.2246</v>
      </c>
      <c r="E24" s="19" t="e">
        <f aca="false">IFERROR(IF(CPI!D18="",NA(),IF(ISNUMBER(CPI!D18),CPI!D18,NA())),NA())</f>
        <v>#N/A</v>
      </c>
      <c r="F24" s="20" t="e">
        <f aca="false">NA()</f>
        <v>#N/A</v>
      </c>
      <c r="G24" s="20" t="n">
        <f aca="false">IFERROR(D24/D23-1,NA())</f>
        <v>0.0195375777826927</v>
      </c>
      <c r="H24" s="21" t="n">
        <f aca="false">IF(COUNT(D22:D24)=3,AVERAGE(D22:D24),NA())</f>
        <v>66.9798</v>
      </c>
      <c r="I24" s="20" t="e">
        <f aca="false">NA()</f>
        <v>#N/A</v>
      </c>
      <c r="L24" s="22" t="n">
        <v>2014</v>
      </c>
      <c r="M24" s="23" t="e">
        <f aca="false">IF(SUMPRODUCT(($C$14:$C$266=$L$24)*ISNUMBER($D$14:$D$266))=0,NA(),SUMPRODUCT(($C$14:$C$266=$L$24)*IFERROR($D$14:$D$266,0))/SUMPRODUCT(($C$14:$C$266=$L$24)*ISNUMBER($D$14:$D$266)))</f>
        <v>#N/A</v>
      </c>
      <c r="N24" s="23" t="e">
        <f aca="false">IF(SUMPRODUCT(($C$14:$C$266=$L$24)*ISNUMBER($E$14:$E$266))=0,NA(),SUMPRODUCT(($C$14:$C$266=$L$24)*IFERROR($E$14:$E$266,0))/SUMPRODUCT(($C$14:$C$266=$L$24)*ISNUMBER($E$14:$E$266)))</f>
        <v>#N/A</v>
      </c>
      <c r="O24" s="20" t="e">
        <f aca="false">IFERROR(M24/M23-1,NA())</f>
        <v>#N/A</v>
      </c>
    </row>
    <row r="25" customFormat="false" ht="15" hidden="false" customHeight="false" outlineLevel="0" collapsed="false">
      <c r="A25" s="16" t="n">
        <f aca="false">IFERROR(IF(LEN(TRIM(TEXT(CPI!B19,"@")))&lt;3,NA(),DATE(2000+VALUE(LEFT(CPI!B19,LEN(CPI!B19)-2)),VALUE(RIGHT(CPI!B19,2)),1)),NA())</f>
        <v>42339</v>
      </c>
      <c r="B25" s="17" t="str">
        <f aca="false">IFERROR(IF(CPI!B19="",NA(),CPI!B19),NA())</f>
        <v>1512</v>
      </c>
      <c r="C25" s="18" t="n">
        <f aca="false">IFERROR(YEAR(A25),0)</f>
        <v>2015</v>
      </c>
      <c r="D25" s="19" t="n">
        <f aca="false">IFERROR(IF(CPI!C19="",NA(),IF(ISNUMBER(CPI!C19),CPI!C19,NA())),NA())</f>
        <v>70.8969</v>
      </c>
      <c r="E25" s="19" t="e">
        <f aca="false">IFERROR(IF(CPI!D19="",NA(),IF(ISNUMBER(CPI!D19),CPI!D19,NA())),NA())</f>
        <v>#N/A</v>
      </c>
      <c r="F25" s="20" t="e">
        <f aca="false">NA()</f>
        <v>#N/A</v>
      </c>
      <c r="G25" s="20" t="n">
        <f aca="false">IFERROR(D25/D24-1,NA())</f>
        <v>0.0391691559935861</v>
      </c>
      <c r="H25" s="21" t="n">
        <f aca="false">IF(COUNT(D23:D25)=3,AVERAGE(D23:D25),NA())</f>
        <v>68.6795666666667</v>
      </c>
      <c r="I25" s="20" t="e">
        <f aca="false">NA()</f>
        <v>#N/A</v>
      </c>
      <c r="L25" s="22" t="n">
        <v>2015</v>
      </c>
      <c r="M25" s="23" t="n">
        <f aca="false">IF(SUMPRODUCT(($C$14:$C$266=$L$25)*ISNUMBER($D$14:$D$266))=0,NA(),SUMPRODUCT(($C$14:$C$266=$L$25)*IFERROR($D$14:$D$266,0))/SUMPRODUCT(($C$14:$C$266=$L$25)*ISNUMBER($D$14:$D$266)))</f>
        <v>63.1225083333333</v>
      </c>
      <c r="N25" s="23" t="e">
        <f aca="false">IF(SUMPRODUCT(($C$14:$C$266=$L$25)*ISNUMBER($E$14:$E$266))=0,NA(),SUMPRODUCT(($C$14:$C$266=$L$25)*IFERROR($E$14:$E$266,0))/SUMPRODUCT(($C$14:$C$266=$L$25)*ISNUMBER($E$14:$E$266)))</f>
        <v>#N/A</v>
      </c>
      <c r="O25" s="20" t="e">
        <f aca="false">IFERROR(M25/M24-1,NA())</f>
        <v>#N/A</v>
      </c>
    </row>
    <row r="26" customFormat="false" ht="15" hidden="false" customHeight="false" outlineLevel="0" collapsed="false">
      <c r="A26" s="16" t="n">
        <f aca="false">IFERROR(IF(LEN(TRIM(TEXT(CPI!B20,"@")))&lt;3,NA(),DATE(2000+VALUE(LEFT(CPI!B20,LEN(CPI!B20)-2)),VALUE(RIGHT(CPI!B20,2)),1)),NA())</f>
        <v>42370</v>
      </c>
      <c r="B26" s="17" t="str">
        <f aca="false">IFERROR(IF(CPI!B20="",NA(),CPI!B20),NA())</f>
        <v>1601</v>
      </c>
      <c r="C26" s="18" t="n">
        <f aca="false">IFERROR(YEAR(A26),0)</f>
        <v>2016</v>
      </c>
      <c r="D26" s="19" t="n">
        <f aca="false">IFERROR(IF(CPI!C20="",NA(),IF(ISNUMBER(CPI!C20),CPI!C20,NA())),NA())</f>
        <v>73.8302</v>
      </c>
      <c r="E26" s="19" t="e">
        <f aca="false">IFERROR(IF(CPI!D20="",NA(),IF(ISNUMBER(CPI!D20),CPI!D20,NA())),NA())</f>
        <v>#N/A</v>
      </c>
      <c r="F26" s="20" t="n">
        <f aca="false">IFERROR(D26/D14-1,NA())</f>
        <v>0.296383375855342</v>
      </c>
      <c r="G26" s="20" t="n">
        <f aca="false">IFERROR(D26/D25-1,NA())</f>
        <v>0.0413741644557097</v>
      </c>
      <c r="H26" s="21" t="n">
        <f aca="false">IF(COUNT(D24:D26)=3,AVERAGE(D24:D26),NA())</f>
        <v>70.9839</v>
      </c>
      <c r="I26" s="20" t="e">
        <f aca="false">NA()</f>
        <v>#N/A</v>
      </c>
      <c r="L26" s="22" t="n">
        <v>2016</v>
      </c>
      <c r="M26" s="23" t="n">
        <f aca="false">IF(SUMPRODUCT(($C$14:$C$266=$L$26)*ISNUMBER($D$14:$D$266))=0,NA(),SUMPRODUCT(($C$14:$C$266=$L$26)*IFERROR($D$14:$D$266,0))/SUMPRODUCT(($C$14:$C$266=$L$26)*ISNUMBER($D$14:$D$266)))</f>
        <v>89.2485833333333</v>
      </c>
      <c r="N26" s="23" t="n">
        <f aca="false">IF(SUMPRODUCT(($C$14:$C$266=$L$26)*ISNUMBER($E$14:$E$266))=0,NA(),SUMPRODUCT(($C$14:$C$266=$L$26)*IFERROR($E$14:$E$266,0))/SUMPRODUCT(($C$14:$C$266=$L$26)*ISNUMBER($E$14:$E$266)))</f>
        <v>100</v>
      </c>
      <c r="O26" s="20" t="n">
        <f aca="false">IFERROR(M26/M25-1,NA())</f>
        <v>0.413894753073422</v>
      </c>
    </row>
    <row r="27" customFormat="false" ht="15" hidden="false" customHeight="false" outlineLevel="0" collapsed="false">
      <c r="A27" s="16" t="n">
        <f aca="false">IFERROR(IF(LEN(TRIM(TEXT(CPI!B21,"@")))&lt;3,NA(),DATE(2000+VALUE(LEFT(CPI!B21,LEN(CPI!B21)-2)),VALUE(RIGHT(CPI!B21,2)),1)),NA())</f>
        <v>42401</v>
      </c>
      <c r="B27" s="17" t="str">
        <f aca="false">IFERROR(IF(CPI!B21="",NA(),CPI!B21),NA())</f>
        <v>1602</v>
      </c>
      <c r="C27" s="18" t="n">
        <f aca="false">IFERROR(YEAR(A27),0)</f>
        <v>2016</v>
      </c>
      <c r="D27" s="19" t="n">
        <f aca="false">IFERROR(IF(CPI!C21="",NA(),IF(ISNUMBER(CPI!C21),CPI!C21,NA())),NA())</f>
        <v>76.7609</v>
      </c>
      <c r="E27" s="19" t="e">
        <f aca="false">IFERROR(IF(CPI!D21="",NA(),IF(ISNUMBER(CPI!D21),CPI!D21,NA())),NA())</f>
        <v>#N/A</v>
      </c>
      <c r="F27" s="20" t="n">
        <f aca="false">IFERROR(D27/D15-1,NA())</f>
        <v>0.328546629259183</v>
      </c>
      <c r="G27" s="20" t="n">
        <f aca="false">IFERROR(D27/D26-1,NA())</f>
        <v>0.0396951383038378</v>
      </c>
      <c r="H27" s="21" t="n">
        <f aca="false">IF(COUNT(D25:D27)=3,AVERAGE(D25:D27),NA())</f>
        <v>73.8293333333333</v>
      </c>
      <c r="I27" s="20" t="e">
        <f aca="false">NA()</f>
        <v>#N/A</v>
      </c>
      <c r="L27" s="22" t="n">
        <v>2017</v>
      </c>
      <c r="M27" s="23" t="n">
        <f aca="false">IF(SUMPRODUCT(($C$14:$C$266=$L$27)*ISNUMBER($D$14:$D$266))=0,NA(),SUMPRODUCT(($C$14:$C$266=$L$27)*IFERROR($D$14:$D$266,0))/SUMPRODUCT(($C$14:$C$266=$L$27)*ISNUMBER($D$14:$D$266)))</f>
        <v>112.887108333333</v>
      </c>
      <c r="N27" s="23" t="n">
        <f aca="false">IF(SUMPRODUCT(($C$14:$C$266=$L$27)*ISNUMBER($E$14:$E$266))=0,NA(),SUMPRODUCT(($C$14:$C$266=$L$27)*IFERROR($E$14:$E$266,0))/SUMPRODUCT(($C$14:$C$266=$L$27)*ISNUMBER($E$14:$E$266)))</f>
        <v>111.504416666667</v>
      </c>
      <c r="O27" s="20" t="n">
        <f aca="false">IFERROR(M27/M26-1,NA())</f>
        <v>0.264861627121999</v>
      </c>
    </row>
    <row r="28" customFormat="false" ht="15" hidden="false" customHeight="false" outlineLevel="0" collapsed="false">
      <c r="A28" s="16" t="n">
        <f aca="false">IFERROR(IF(LEN(TRIM(TEXT(CPI!B22,"@")))&lt;3,NA(),DATE(2000+VALUE(LEFT(CPI!B22,LEN(CPI!B22)-2)),VALUE(RIGHT(CPI!B22,2)),1)),NA())</f>
        <v>42430</v>
      </c>
      <c r="B28" s="17" t="str">
        <f aca="false">IFERROR(IF(CPI!B22="",NA(),CPI!B22),NA())</f>
        <v>1603</v>
      </c>
      <c r="C28" s="18" t="n">
        <f aca="false">IFERROR(YEAR(A28),0)</f>
        <v>2016</v>
      </c>
      <c r="D28" s="19" t="n">
        <f aca="false">IFERROR(IF(CPI!C22="",NA(),IF(ISNUMBER(CPI!C22),CPI!C22,NA())),NA())</f>
        <v>79.3079</v>
      </c>
      <c r="E28" s="19" t="e">
        <f aca="false">IFERROR(IF(CPI!D22="",NA(),IF(ISNUMBER(CPI!D22),CPI!D22,NA())),NA())</f>
        <v>#N/A</v>
      </c>
      <c r="F28" s="20" t="n">
        <f aca="false">IFERROR(D28/D16-1,NA())</f>
        <v>0.350185993854116</v>
      </c>
      <c r="G28" s="20" t="n">
        <f aca="false">IFERROR(D28/D27-1,NA())</f>
        <v>0.0331809554082874</v>
      </c>
      <c r="H28" s="21" t="n">
        <f aca="false">IF(COUNT(D26:D28)=3,AVERAGE(D26:D28),NA())</f>
        <v>76.633</v>
      </c>
      <c r="I28" s="20" t="n">
        <f aca="false">IFERROR(IF(AND(COUNT(D26:D28)=3,COUNT(D14:D16)=3),AVERAGE(D26:D28)/AVERAGE(D14:D16)-1,NA()),NA())</f>
        <v>0.325314540187643</v>
      </c>
      <c r="L28" s="22" t="n">
        <v>2018</v>
      </c>
      <c r="M28" s="23" t="n">
        <f aca="false">IF(SUMPRODUCT(($C$14:$C$266=$L$28)*ISNUMBER($D$14:$D$266))=0,NA(),SUMPRODUCT(($C$14:$C$266=$L$28)*IFERROR($D$14:$D$266,0))/SUMPRODUCT(($C$14:$C$266=$L$28)*ISNUMBER($D$14:$D$266)))</f>
        <v>151.581675</v>
      </c>
      <c r="N28" s="23" t="n">
        <f aca="false">IF(SUMPRODUCT(($C$14:$C$266=$L$28)*ISNUMBER($E$14:$E$266))=0,NA(),SUMPRODUCT(($C$14:$C$266=$L$28)*IFERROR($E$14:$E$266,0))/SUMPRODUCT(($C$14:$C$266=$L$28)*ISNUMBER($E$14:$E$266)))</f>
        <v>146.823866666667</v>
      </c>
      <c r="O28" s="20" t="n">
        <f aca="false">IFERROR(M28/M27-1,NA())</f>
        <v>0.342772237131004</v>
      </c>
    </row>
    <row r="29" customFormat="false" ht="15" hidden="false" customHeight="false" outlineLevel="0" collapsed="false">
      <c r="A29" s="16" t="n">
        <f aca="false">IFERROR(IF(LEN(TRIM(TEXT(CPI!B23,"@")))&lt;3,NA(),DATE(2000+VALUE(LEFT(CPI!B23,LEN(CPI!B23)-2)),VALUE(RIGHT(CPI!B23,2)),1)),NA())</f>
        <v>42461</v>
      </c>
      <c r="B29" s="17" t="str">
        <f aca="false">IFERROR(IF(CPI!B23="",NA(),CPI!B23),NA())</f>
        <v>1604</v>
      </c>
      <c r="C29" s="18" t="n">
        <f aca="false">IFERROR(YEAR(A29),0)</f>
        <v>2016</v>
      </c>
      <c r="D29" s="19" t="n">
        <f aca="false">IFERROR(IF(CPI!C23="",NA(),IF(ISNUMBER(CPI!C23),CPI!C23,NA())),NA())</f>
        <v>84.4986</v>
      </c>
      <c r="E29" s="19" t="e">
        <f aca="false">IFERROR(IF(CPI!D23="",NA(),IF(ISNUMBER(CPI!D23),CPI!D23,NA())),NA())</f>
        <v>#N/A</v>
      </c>
      <c r="F29" s="20" t="n">
        <f aca="false">IFERROR(D29/D17-1,NA())</f>
        <v>0.405279281017273</v>
      </c>
      <c r="G29" s="20" t="n">
        <f aca="false">IFERROR(D29/D28-1,NA())</f>
        <v>0.0654499740883316</v>
      </c>
      <c r="H29" s="21" t="n">
        <f aca="false">IF(COUNT(D27:D29)=3,AVERAGE(D27:D29),NA())</f>
        <v>80.1891333333333</v>
      </c>
      <c r="I29" s="20" t="n">
        <f aca="false">IFERROR(IF(AND(COUNT(D27:D29)=3,COUNT(D15:D17)=3),AVERAGE(D27:D29)/AVERAGE(D15:D17)-1,NA()),NA())</f>
        <v>0.361861576259865</v>
      </c>
      <c r="L29" s="22" t="n">
        <v>2019</v>
      </c>
      <c r="M29" s="23" t="n">
        <f aca="false">IF(SUMPRODUCT(($C$14:$C$266=$L$29)*ISNUMBER($D$14:$D$266))=0,NA(),SUMPRODUCT(($C$14:$C$266=$L$29)*IFERROR($D$14:$D$266,0))/SUMPRODUCT(($C$14:$C$266=$L$29)*ISNUMBER($D$14:$D$266)))</f>
        <v>232.751091666667</v>
      </c>
      <c r="N29" s="23" t="n">
        <f aca="false">IF(SUMPRODUCT(($C$14:$C$266=$L$29)*ISNUMBER($E$14:$E$266))=0,NA(),SUMPRODUCT(($C$14:$C$266=$L$29)*IFERROR($E$14:$E$266,0))/SUMPRODUCT(($C$14:$C$266=$L$29)*ISNUMBER($E$14:$E$266)))</f>
        <v>228.291275</v>
      </c>
      <c r="O29" s="20" t="n">
        <f aca="false">IFERROR(M29/M28-1,NA())</f>
        <v>0.53548304349234</v>
      </c>
    </row>
    <row r="30" customFormat="false" ht="15" hidden="false" customHeight="false" outlineLevel="0" collapsed="false">
      <c r="A30" s="16" t="n">
        <f aca="false">IFERROR(IF(LEN(TRIM(TEXT(CPI!B24,"@")))&lt;3,NA(),DATE(2000+VALUE(LEFT(CPI!B24,LEN(CPI!B24)-2)),VALUE(RIGHT(CPI!B24,2)),1)),NA())</f>
        <v>42491</v>
      </c>
      <c r="B30" s="17" t="str">
        <f aca="false">IFERROR(IF(CPI!B24="",NA(),CPI!B24),NA())</f>
        <v>1605</v>
      </c>
      <c r="C30" s="18" t="n">
        <f aca="false">IFERROR(YEAR(A30),0)</f>
        <v>2016</v>
      </c>
      <c r="D30" s="19" t="n">
        <f aca="false">IFERROR(IF(CPI!C24="",NA(),IF(ISNUMBER(CPI!C24),CPI!C24,NA())),NA())</f>
        <v>88.7523</v>
      </c>
      <c r="E30" s="19" t="e">
        <f aca="false">IFERROR(IF(CPI!D24="",NA(),IF(ISNUMBER(CPI!D24),CPI!D24,NA())),NA())</f>
        <v>#N/A</v>
      </c>
      <c r="F30" s="20" t="n">
        <f aca="false">IFERROR(D30/D18-1,NA())</f>
        <v>0.444056660874319</v>
      </c>
      <c r="G30" s="20" t="n">
        <f aca="false">IFERROR(D30/D29-1,NA())</f>
        <v>0.0503404790138535</v>
      </c>
      <c r="H30" s="21" t="n">
        <f aca="false">IF(COUNT(D28:D30)=3,AVERAGE(D28:D30),NA())</f>
        <v>84.1862666666667</v>
      </c>
      <c r="I30" s="20" t="n">
        <f aca="false">IFERROR(IF(AND(COUNT(D28:D30)=3,COUNT(D16:D18)=3),AVERAGE(D28:D30)/AVERAGE(D16:D18)-1,NA()),NA())</f>
        <v>0.400549996866826</v>
      </c>
      <c r="L30" s="22" t="n">
        <v>2020</v>
      </c>
      <c r="M30" s="23" t="n">
        <f aca="false">IF(SUMPRODUCT(($C$14:$C$266=$L$30)*ISNUMBER($D$14:$D$266))=0,NA(),SUMPRODUCT(($C$14:$C$266=$L$30)*IFERROR($D$14:$D$266,0))/SUMPRODUCT(($C$14:$C$266=$L$30)*ISNUMBER($D$14:$D$266)))</f>
        <v>330.541683333333</v>
      </c>
      <c r="N30" s="23" t="n">
        <f aca="false">IF(SUMPRODUCT(($C$14:$C$266=$L$30)*ISNUMBER($E$14:$E$266))=0,NA(),SUMPRODUCT(($C$14:$C$266=$L$30)*IFERROR($E$14:$E$266,0))/SUMPRODUCT(($C$14:$C$266=$L$30)*ISNUMBER($E$14:$E$266)))</f>
        <v>330.193508333333</v>
      </c>
      <c r="O30" s="20" t="n">
        <f aca="false">IFERROR(M30/M29-1,NA())</f>
        <v>0.420150947376509</v>
      </c>
    </row>
    <row r="31" customFormat="false" ht="15" hidden="false" customHeight="false" outlineLevel="0" collapsed="false">
      <c r="A31" s="16" t="n">
        <f aca="false">IFERROR(IF(LEN(TRIM(TEXT(CPI!B25,"@")))&lt;3,NA(),DATE(2000+VALUE(LEFT(CPI!B25,LEN(CPI!B25)-2)),VALUE(RIGHT(CPI!B25,2)),1)),NA())</f>
        <v>42522</v>
      </c>
      <c r="B31" s="17" t="str">
        <f aca="false">IFERROR(IF(CPI!B25="",NA(),CPI!B25),NA())</f>
        <v>1606</v>
      </c>
      <c r="C31" s="18" t="n">
        <f aca="false">IFERROR(YEAR(A31),0)</f>
        <v>2016</v>
      </c>
      <c r="D31" s="19" t="n">
        <f aca="false">IFERROR(IF(CPI!C25="",NA(),IF(ISNUMBER(CPI!C25),CPI!C25,NA())),NA())</f>
        <v>91.6125</v>
      </c>
      <c r="E31" s="19" t="e">
        <f aca="false">IFERROR(IF(CPI!D25="",NA(),IF(ISNUMBER(CPI!D25),CPI!D25,NA())),NA())</f>
        <v>#N/A</v>
      </c>
      <c r="F31" s="20" t="n">
        <f aca="false">IFERROR(D31/D19-1,NA())</f>
        <v>0.470736969860428</v>
      </c>
      <c r="G31" s="20" t="n">
        <f aca="false">IFERROR(D31/D30-1,NA())</f>
        <v>0.0322267704611599</v>
      </c>
      <c r="H31" s="21" t="n">
        <f aca="false">IF(COUNT(D29:D31)=3,AVERAGE(D29:D31),NA())</f>
        <v>88.2878</v>
      </c>
      <c r="I31" s="20" t="n">
        <f aca="false">IFERROR(IF(AND(COUNT(D29:D31)=3,COUNT(D17:D19)=3),AVERAGE(D29:D31)/AVERAGE(D17:D19)-1,NA()),NA())</f>
        <v>0.440414400696106</v>
      </c>
      <c r="L31" s="22" t="n">
        <v>2021</v>
      </c>
      <c r="M31" s="23" t="n">
        <f aca="false">IF(SUMPRODUCT(($C$14:$C$266=$L$31)*ISNUMBER($D$14:$D$266))=0,NA(),SUMPRODUCT(($C$14:$C$266=$L$31)*IFERROR($D$14:$D$266,0))/SUMPRODUCT(($C$14:$C$266=$L$31)*ISNUMBER($D$14:$D$266)))</f>
        <v>490.554858333333</v>
      </c>
      <c r="N31" s="23" t="n">
        <f aca="false">IF(SUMPRODUCT(($C$14:$C$266=$L$31)*ISNUMBER($E$14:$E$266))=0,NA(),SUMPRODUCT(($C$14:$C$266=$L$31)*IFERROR($E$14:$E$266,0))/SUMPRODUCT(($C$14:$C$266=$L$31)*ISNUMBER($E$14:$E$266)))</f>
        <v>502.717983333333</v>
      </c>
      <c r="O31" s="20" t="n">
        <f aca="false">IFERROR(M31/M30-1,NA())</f>
        <v>0.484093786255198</v>
      </c>
    </row>
    <row r="32" customFormat="false" ht="15" hidden="false" customHeight="false" outlineLevel="0" collapsed="false">
      <c r="A32" s="16" t="n">
        <f aca="false">IFERROR(IF(LEN(TRIM(TEXT(CPI!B26,"@")))&lt;3,NA(),DATE(2000+VALUE(LEFT(CPI!B26,LEN(CPI!B26)-2)),VALUE(RIGHT(CPI!B26,2)),1)),NA())</f>
        <v>42552</v>
      </c>
      <c r="B32" s="17" t="str">
        <f aca="false">IFERROR(IF(CPI!B26="",NA(),CPI!B26),NA())</f>
        <v>1607</v>
      </c>
      <c r="C32" s="18" t="n">
        <f aca="false">IFERROR(YEAR(A32),0)</f>
        <v>2016</v>
      </c>
      <c r="D32" s="19" t="n">
        <f aca="false">IFERROR(IF(CPI!C26="",NA(),IF(ISNUMBER(CPI!C26),CPI!C26,NA())),NA())</f>
        <v>93.588</v>
      </c>
      <c r="E32" s="19" t="e">
        <f aca="false">IFERROR(IF(CPI!D26="",NA(),IF(ISNUMBER(CPI!D26),CPI!D26,NA())),NA())</f>
        <v>#N/A</v>
      </c>
      <c r="F32" s="20" t="n">
        <f aca="false">IFERROR(D32/D20-1,NA())</f>
        <v>0.472407695260631</v>
      </c>
      <c r="G32" s="20" t="n">
        <f aca="false">IFERROR(D32/D31-1,NA())</f>
        <v>0.0215636512484649</v>
      </c>
      <c r="H32" s="21" t="n">
        <f aca="false">IF(COUNT(D30:D32)=3,AVERAGE(D30:D32),NA())</f>
        <v>91.3176</v>
      </c>
      <c r="I32" s="20" t="n">
        <f aca="false">IFERROR(IF(AND(COUNT(D30:D32)=3,COUNT(D18:D20)=3),AVERAGE(D30:D32)/AVERAGE(D18:D20)-1,NA()),NA())</f>
        <v>0.462549609795005</v>
      </c>
      <c r="L32" s="22" t="n">
        <v>2022</v>
      </c>
      <c r="M32" s="23" t="n">
        <f aca="false">IF(SUMPRODUCT(($C$14:$C$266=$L$32)*ISNUMBER($D$14:$D$266))=0,NA(),SUMPRODUCT(($C$14:$C$266=$L$32)*IFERROR($D$14:$D$266,0))/SUMPRODUCT(($C$14:$C$266=$L$32)*ISNUMBER($D$14:$D$266)))</f>
        <v>845.867458333333</v>
      </c>
      <c r="N32" s="23" t="n">
        <f aca="false">IF(SUMPRODUCT(($C$14:$C$266=$L$32)*ISNUMBER($E$14:$E$266))=0,NA(),SUMPRODUCT(($C$14:$C$266=$L$32)*IFERROR($E$14:$E$266,0))/SUMPRODUCT(($C$14:$C$266=$L$32)*ISNUMBER($E$14:$E$266)))</f>
        <v>868.3323</v>
      </c>
      <c r="O32" s="20" t="n">
        <f aca="false">IFERROR(M32/M31-1,NA())</f>
        <v>0.724307575318241</v>
      </c>
    </row>
    <row r="33" customFormat="false" ht="15" hidden="false" customHeight="false" outlineLevel="0" collapsed="false">
      <c r="A33" s="16" t="n">
        <f aca="false">IFERROR(IF(LEN(TRIM(TEXT(CPI!B27,"@")))&lt;3,NA(),DATE(2000+VALUE(LEFT(CPI!B27,LEN(CPI!B27)-2)),VALUE(RIGHT(CPI!B27,2)),1)),NA())</f>
        <v>42583</v>
      </c>
      <c r="B33" s="17" t="str">
        <f aca="false">IFERROR(IF(CPI!B27="",NA(),CPI!B27),NA())</f>
        <v>1608</v>
      </c>
      <c r="C33" s="18" t="n">
        <f aca="false">IFERROR(YEAR(A33),0)</f>
        <v>2016</v>
      </c>
      <c r="D33" s="19" t="n">
        <f aca="false">IFERROR(IF(CPI!C27="",NA(),IF(ISNUMBER(CPI!C27),CPI!C27,NA())),NA())</f>
        <v>92.8782</v>
      </c>
      <c r="E33" s="19" t="e">
        <f aca="false">IFERROR(IF(CPI!D27="",NA(),IF(ISNUMBER(CPI!D27),CPI!D27,NA())),NA())</f>
        <v>#N/A</v>
      </c>
      <c r="F33" s="20" t="n">
        <f aca="false">IFERROR(D33/D21-1,NA())</f>
        <v>0.434964179275119</v>
      </c>
      <c r="G33" s="20" t="n">
        <f aca="false">IFERROR(D33/D32-1,NA())</f>
        <v>-0.00758430568021529</v>
      </c>
      <c r="H33" s="21" t="n">
        <f aca="false">IF(COUNT(D31:D33)=3,AVERAGE(D31:D33),NA())</f>
        <v>92.6929</v>
      </c>
      <c r="I33" s="20" t="n">
        <f aca="false">IFERROR(IF(AND(COUNT(D31:D33)=3,COUNT(D19:D21)=3),AVERAGE(D31:D33)/AVERAGE(D19:D21)-1,NA()),NA())</f>
        <v>0.459144752894507</v>
      </c>
      <c r="L33" s="22" t="n">
        <v>2023</v>
      </c>
      <c r="M33" s="23" t="n">
        <f aca="false">IF(SUMPRODUCT(($C$14:$C$266=$L$33)*ISNUMBER($D$14:$D$266))=0,NA(),SUMPRODUCT(($C$14:$C$266=$L$33)*IFERROR($D$14:$D$266,0))/SUMPRODUCT(($C$14:$C$266=$L$33)*ISNUMBER($D$14:$D$266)))</f>
        <v>1975.006925</v>
      </c>
      <c r="N33" s="23" t="n">
        <f aca="false">IF(SUMPRODUCT(($C$14:$C$266=$L$33)*ISNUMBER($E$14:$E$266))=0,NA(),SUMPRODUCT(($C$14:$C$266=$L$33)*IFERROR($E$14:$E$266,0))/SUMPRODUCT(($C$14:$C$266=$L$33)*ISNUMBER($E$14:$E$266)))</f>
        <v>2049.04738333333</v>
      </c>
      <c r="O33" s="20" t="n">
        <f aca="false">IFERROR(M33/M32-1,NA())</f>
        <v>1.33488935594175</v>
      </c>
    </row>
    <row r="34" customFormat="false" ht="15" hidden="false" customHeight="false" outlineLevel="0" collapsed="false">
      <c r="A34" s="16" t="n">
        <f aca="false">IFERROR(IF(LEN(TRIM(TEXT(CPI!B28,"@")))&lt;3,NA(),DATE(2000+VALUE(LEFT(CPI!B28,LEN(CPI!B28)-2)),VALUE(RIGHT(CPI!B28,2)),1)),NA())</f>
        <v>42614</v>
      </c>
      <c r="B34" s="17" t="str">
        <f aca="false">IFERROR(IF(CPI!B28="",NA(),CPI!B28),NA())</f>
        <v>1609</v>
      </c>
      <c r="C34" s="18" t="n">
        <f aca="false">IFERROR(YEAR(A34),0)</f>
        <v>2016</v>
      </c>
      <c r="D34" s="19" t="n">
        <f aca="false">IFERROR(IF(CPI!C28="",NA(),IF(ISNUMBER(CPI!C28),CPI!C28,NA())),NA())</f>
        <v>94.1256</v>
      </c>
      <c r="E34" s="19" t="e">
        <f aca="false">IFERROR(IF(CPI!D28="",NA(),IF(ISNUMBER(CPI!D28),CPI!D28,NA())),NA())</f>
        <v>#N/A</v>
      </c>
      <c r="F34" s="20" t="n">
        <f aca="false">IFERROR(D34/D22-1,NA())</f>
        <v>0.430532420635403</v>
      </c>
      <c r="G34" s="20" t="n">
        <f aca="false">IFERROR(D34/D33-1,NA())</f>
        <v>0.0134304928390085</v>
      </c>
      <c r="H34" s="21" t="n">
        <f aca="false">IF(COUNT(D32:D34)=3,AVERAGE(D32:D34),NA())</f>
        <v>93.5306</v>
      </c>
      <c r="I34" s="20" t="n">
        <f aca="false">IFERROR(IF(AND(COUNT(D32:D34)=3,COUNT(D20:D22)=3),AVERAGE(D32:D34)/AVERAGE(D20:D22)-1,NA()),NA())</f>
        <v>0.445724246060596</v>
      </c>
      <c r="L34" s="22" t="n">
        <v>2024</v>
      </c>
      <c r="M34" s="23" t="n">
        <f aca="false">IF(SUMPRODUCT(($C$14:$C$266=$L$34)*ISNUMBER($D$14:$D$266))=0,NA(),SUMPRODUCT(($C$14:$C$266=$L$34)*IFERROR($D$14:$D$266,0))/SUMPRODUCT(($C$14:$C$266=$L$34)*ISNUMBER($D$14:$D$266)))</f>
        <v>6317.74131666667</v>
      </c>
      <c r="N34" s="23" t="n">
        <f aca="false">IF(SUMPRODUCT(($C$14:$C$266=$L$34)*ISNUMBER($E$14:$E$266))=0,NA(),SUMPRODUCT(($C$14:$C$266=$L$34)*IFERROR($E$14:$E$266,0))/SUMPRODUCT(($C$14:$C$266=$L$34)*ISNUMBER($E$14:$E$266)))</f>
        <v>6447.40584166667</v>
      </c>
      <c r="O34" s="20" t="n">
        <f aca="false">IFERROR(M34/M33-1,NA())</f>
        <v>2.19884514666533</v>
      </c>
    </row>
    <row r="35" customFormat="false" ht="15" hidden="false" customHeight="false" outlineLevel="0" collapsed="false">
      <c r="A35" s="16" t="n">
        <f aca="false">IFERROR(IF(LEN(TRIM(TEXT(CPI!B29,"@")))&lt;3,NA(),DATE(2000+VALUE(LEFT(CPI!B29,LEN(CPI!B29)-2)),VALUE(RIGHT(CPI!B29,2)),1)),NA())</f>
        <v>42644</v>
      </c>
      <c r="B35" s="17" t="str">
        <f aca="false">IFERROR(IF(CPI!B29="",NA(),CPI!B29),NA())</f>
        <v>1610</v>
      </c>
      <c r="C35" s="18" t="n">
        <f aca="false">IFERROR(YEAR(A35),0)</f>
        <v>2016</v>
      </c>
      <c r="D35" s="19" t="n">
        <f aca="false">IFERROR(IF(CPI!C29="",NA(),IF(ISNUMBER(CPI!C29),CPI!C29,NA())),NA())</f>
        <v>96.8553</v>
      </c>
      <c r="E35" s="19" t="e">
        <f aca="false">IFERROR(IF(CPI!D29="",NA(),IF(ISNUMBER(CPI!D29),CPI!D29,NA())),NA())</f>
        <v>#N/A</v>
      </c>
      <c r="F35" s="20" t="n">
        <f aca="false">IFERROR(D35/D23-1,NA())</f>
        <v>0.44739020759984</v>
      </c>
      <c r="G35" s="20" t="n">
        <f aca="false">IFERROR(D35/D34-1,NA())</f>
        <v>0.0290006119482904</v>
      </c>
      <c r="H35" s="21" t="n">
        <f aca="false">IF(COUNT(D33:D35)=3,AVERAGE(D33:D35),NA())</f>
        <v>94.6197</v>
      </c>
      <c r="I35" s="20" t="n">
        <f aca="false">IFERROR(IF(AND(COUNT(D33:D35)=3,COUNT(D21:D23)=3),AVERAGE(D33:D35)/AVERAGE(D21:D23)-1,NA()),NA())</f>
        <v>0.437698763015986</v>
      </c>
      <c r="L35" s="22" t="n">
        <v>2025</v>
      </c>
      <c r="M35" s="23" t="n">
        <f aca="false">IF(SUMPRODUCT(($C$14:$C$266=$L$35)*ISNUMBER($D$14:$D$266))=0,NA(),SUMPRODUCT(($C$14:$C$266=$L$35)*IFERROR($D$14:$D$266,0))/SUMPRODUCT(($C$14:$C$266=$L$35)*ISNUMBER($D$14:$D$266)))</f>
        <v>8966.16653333333</v>
      </c>
      <c r="N35" s="23" t="n">
        <f aca="false">IF(SUMPRODUCT(($C$14:$C$266=$L$35)*ISNUMBER($E$14:$E$266))=0,NA(),SUMPRODUCT(($C$14:$C$266=$L$35)*IFERROR($E$14:$E$266,0))/SUMPRODUCT(($C$14:$C$266=$L$35)*ISNUMBER($E$14:$E$266)))</f>
        <v>9179.43605</v>
      </c>
      <c r="O35" s="20" t="n">
        <f aca="false">IFERROR(M35/M34-1,NA())</f>
        <v>0.419204440941563</v>
      </c>
    </row>
    <row r="36" customFormat="false" ht="15" hidden="false" customHeight="false" outlineLevel="0" collapsed="false">
      <c r="A36" s="16" t="n">
        <f aca="false">IFERROR(IF(LEN(TRIM(TEXT(CPI!B30,"@")))&lt;3,NA(),DATE(2000+VALUE(LEFT(CPI!B30,LEN(CPI!B30)-2)),VALUE(RIGHT(CPI!B30,2)),1)),NA())</f>
        <v>42675</v>
      </c>
      <c r="B36" s="17" t="str">
        <f aca="false">IFERROR(IF(CPI!B30="",NA(),CPI!B30),NA())</f>
        <v>1611</v>
      </c>
      <c r="C36" s="18" t="n">
        <f aca="false">IFERROR(YEAR(A36),0)</f>
        <v>2016</v>
      </c>
      <c r="D36" s="19" t="n">
        <f aca="false">IFERROR(IF(CPI!C30="",NA(),IF(ISNUMBER(CPI!C30),CPI!C30,NA())),NA())</f>
        <v>98.7735</v>
      </c>
      <c r="E36" s="19" t="e">
        <f aca="false">IFERROR(IF(CPI!D30="",NA(),IF(ISNUMBER(CPI!D30),CPI!D30,NA())),NA())</f>
        <v>#N/A</v>
      </c>
      <c r="F36" s="20" t="n">
        <f aca="false">IFERROR(D36/D24-1,NA())</f>
        <v>0.447769572852021</v>
      </c>
      <c r="G36" s="20" t="n">
        <f aca="false">IFERROR(D36/D35-1,NA())</f>
        <v>0.0198048015957826</v>
      </c>
      <c r="H36" s="21" t="n">
        <f aca="false">IF(COUNT(D34:D36)=3,AVERAGE(D34:D36),NA())</f>
        <v>96.5848</v>
      </c>
      <c r="I36" s="20" t="n">
        <f aca="false">IFERROR(IF(AND(COUNT(D34:D36)=3,COUNT(D22:D24)=3),AVERAGE(D34:D36)/AVERAGE(D22:D24)-1,NA()),NA())</f>
        <v>0.441998931020995</v>
      </c>
      <c r="L36" s="22" t="n">
        <v>2026</v>
      </c>
      <c r="M36" s="23" t="n">
        <f aca="false">IF(SUMPRODUCT(($C$14:$C$266=$L$36)*ISNUMBER($D$14:$D$266))=0,NA(),SUMPRODUCT(($C$14:$C$266=$L$36)*IFERROR($D$14:$D$266,0))/SUMPRODUCT(($C$14:$C$266=$L$36)*ISNUMBER($D$14:$D$266)))</f>
        <v>10734.9057333333</v>
      </c>
      <c r="N36" s="23" t="n">
        <f aca="false">IF(SUMPRODUCT(($C$14:$C$266=$L$36)*ISNUMBER($E$14:$E$266))=0,NA(),SUMPRODUCT(($C$14:$C$266=$L$36)*IFERROR($E$14:$E$266,0))/SUMPRODUCT(($C$14:$C$266=$L$36)*ISNUMBER($E$14:$E$266)))</f>
        <v>11001.3926</v>
      </c>
      <c r="O36" s="20" t="n">
        <f aca="false">IFERROR(M36/M35-1,NA())</f>
        <v>0.197268162868088</v>
      </c>
    </row>
    <row r="37" customFormat="false" ht="15" hidden="false" customHeight="false" outlineLevel="0" collapsed="false">
      <c r="A37" s="16" t="n">
        <f aca="false">IFERROR(IF(LEN(TRIM(TEXT(CPI!B31,"@")))&lt;3,NA(),DATE(2000+VALUE(LEFT(CPI!B31,LEN(CPI!B31)-2)),VALUE(RIGHT(CPI!B31,2)),1)),NA())</f>
        <v>42705</v>
      </c>
      <c r="B37" s="17" t="str">
        <f aca="false">IFERROR(IF(CPI!B31="",NA(),CPI!B31),NA())</f>
        <v>1612</v>
      </c>
      <c r="C37" s="18" t="n">
        <f aca="false">IFERROR(YEAR(A37),0)</f>
        <v>2016</v>
      </c>
      <c r="D37" s="19" t="n">
        <f aca="false">IFERROR(IF(CPI!C31="",NA(),IF(ISNUMBER(CPI!C31),CPI!C31,NA())),NA())</f>
        <v>100</v>
      </c>
      <c r="E37" s="19" t="n">
        <f aca="false">IFERROR(IF(CPI!D31="",NA(),IF(ISNUMBER(CPI!D31),CPI!D31,NA())),NA())</f>
        <v>100</v>
      </c>
      <c r="F37" s="20" t="n">
        <f aca="false">IFERROR(D37/D25-1,NA())</f>
        <v>0.410498907568596</v>
      </c>
      <c r="G37" s="20" t="n">
        <f aca="false">IFERROR(D37/D36-1,NA())</f>
        <v>0.0124172981619564</v>
      </c>
      <c r="H37" s="21" t="n">
        <f aca="false">IF(COUNT(D35:D37)=3,AVERAGE(D35:D37),NA())</f>
        <v>98.5429333333333</v>
      </c>
      <c r="I37" s="20" t="n">
        <f aca="false">IFERROR(IF(AND(COUNT(D35:D37)=3,COUNT(D23:D25)=3),AVERAGE(D35:D37)/AVERAGE(D23:D25)-1,NA()),NA())</f>
        <v>0.434821710678625</v>
      </c>
      <c r="L37" s="22" t="n">
        <v>2027</v>
      </c>
      <c r="M37" s="23" t="e">
        <f aca="false">IF(SUMPRODUCT(($C$14:$C$266=$L$37)*ISNUMBER($D$14:$D$266))=0,NA(),SUMPRODUCT(($C$14:$C$266=$L$37)*IFERROR($D$14:$D$266,0))/SUMPRODUCT(($C$14:$C$266=$L$37)*ISNUMBER($D$14:$D$266)))</f>
        <v>#N/A</v>
      </c>
      <c r="N37" s="23" t="e">
        <f aca="false">IF(SUMPRODUCT(($C$14:$C$266=$L$37)*ISNUMBER($E$14:$E$266))=0,NA(),SUMPRODUCT(($C$14:$C$266=$L$37)*IFERROR($E$14:$E$266,0))/SUMPRODUCT(($C$14:$C$266=$L$37)*ISNUMBER($E$14:$E$266)))</f>
        <v>#N/A</v>
      </c>
      <c r="O37" s="20" t="e">
        <f aca="false">IFERROR(M37/M36-1,NA())</f>
        <v>#N/A</v>
      </c>
    </row>
    <row r="38" customFormat="false" ht="15" hidden="false" customHeight="false" outlineLevel="0" collapsed="false">
      <c r="A38" s="16" t="n">
        <f aca="false">IFERROR(IF(LEN(TRIM(TEXT(CPI!B32,"@")))&lt;3,NA(),DATE(2000+VALUE(LEFT(CPI!B32,LEN(CPI!B32)-2)),VALUE(RIGHT(CPI!B32,2)),1)),NA())</f>
        <v>42736</v>
      </c>
      <c r="B38" s="17" t="str">
        <f aca="false">IFERROR(IF(CPI!B32="",NA(),CPI!B32),NA())</f>
        <v>1701</v>
      </c>
      <c r="C38" s="18" t="n">
        <f aca="false">IFERROR(YEAR(A38),0)</f>
        <v>2017</v>
      </c>
      <c r="D38" s="19" t="n">
        <f aca="false">IFERROR(IF(CPI!C32="",NA(),IF(ISNUMBER(CPI!C32),CPI!C32,NA())),NA())</f>
        <v>101.5859</v>
      </c>
      <c r="E38" s="19" t="n">
        <f aca="false">IFERROR(IF(CPI!D32="",NA(),IF(ISNUMBER(CPI!D32),CPI!D32,NA())),NA())</f>
        <v>101.5039</v>
      </c>
      <c r="F38" s="20" t="n">
        <f aca="false">IFERROR(D38/D26-1,NA())</f>
        <v>0.375939656129876</v>
      </c>
      <c r="G38" s="20" t="n">
        <f aca="false">IFERROR(D38/D37-1,NA())</f>
        <v>0.0158589999999998</v>
      </c>
      <c r="H38" s="21" t="n">
        <f aca="false">IF(COUNT(D36:D38)=3,AVERAGE(D36:D38),NA())</f>
        <v>100.1198</v>
      </c>
      <c r="I38" s="20" t="n">
        <f aca="false">IFERROR(IF(AND(COUNT(D36:D38)=3,COUNT(D24:D26)=3),AVERAGE(D36:D38)/AVERAGE(D24:D26)-1,NA()),NA())</f>
        <v>0.410457864388967</v>
      </c>
      <c r="L38" s="22" t="n">
        <v>2028</v>
      </c>
      <c r="M38" s="23" t="e">
        <f aca="false">IF(SUMPRODUCT(($C$14:$C$266=$L$38)*ISNUMBER($D$14:$D$266))=0,NA(),SUMPRODUCT(($C$14:$C$266=$L$38)*IFERROR($D$14:$D$266,0))/SUMPRODUCT(($C$14:$C$266=$L$38)*ISNUMBER($D$14:$D$266)))</f>
        <v>#N/A</v>
      </c>
      <c r="N38" s="23" t="e">
        <f aca="false">IF(SUMPRODUCT(($C$14:$C$266=$L$38)*ISNUMBER($E$14:$E$266))=0,NA(),SUMPRODUCT(($C$14:$C$266=$L$38)*IFERROR($E$14:$E$266,0))/SUMPRODUCT(($C$14:$C$266=$L$38)*ISNUMBER($E$14:$E$266)))</f>
        <v>#N/A</v>
      </c>
      <c r="O38" s="20" t="e">
        <f aca="false">IFERROR(M38/M37-1,NA())</f>
        <v>#N/A</v>
      </c>
    </row>
    <row r="39" customFormat="false" ht="15" hidden="false" customHeight="false" outlineLevel="0" collapsed="false">
      <c r="A39" s="16" t="n">
        <f aca="false">IFERROR(IF(LEN(TRIM(TEXT(CPI!B33,"@")))&lt;3,NA(),DATE(2000+VALUE(LEFT(CPI!B33,LEN(CPI!B33)-2)),VALUE(RIGHT(CPI!B33,2)),1)),NA())</f>
        <v>42767</v>
      </c>
      <c r="B39" s="17" t="str">
        <f aca="false">IFERROR(IF(CPI!B33="",NA(),CPI!B33),NA())</f>
        <v>1702</v>
      </c>
      <c r="C39" s="18" t="n">
        <f aca="false">IFERROR(YEAR(A39),0)</f>
        <v>2017</v>
      </c>
      <c r="D39" s="19" t="n">
        <f aca="false">IFERROR(IF(CPI!C33="",NA(),IF(ISNUMBER(CPI!C33),CPI!C33,NA())),NA())</f>
        <v>103.6859</v>
      </c>
      <c r="E39" s="19" t="n">
        <f aca="false">IFERROR(IF(CPI!D33="",NA(),IF(ISNUMBER(CPI!D33),CPI!D33,NA())),NA())</f>
        <v>103.2105</v>
      </c>
      <c r="F39" s="20" t="n">
        <f aca="false">IFERROR(D39/D27-1,NA())</f>
        <v>0.350764516830834</v>
      </c>
      <c r="G39" s="20" t="n">
        <f aca="false">IFERROR(D39/D38-1,NA())</f>
        <v>0.0206721602112105</v>
      </c>
      <c r="H39" s="21" t="n">
        <f aca="false">IF(COUNT(D37:D39)=3,AVERAGE(D37:D39),NA())</f>
        <v>101.757266666667</v>
      </c>
      <c r="I39" s="20" t="n">
        <f aca="false">IFERROR(IF(AND(COUNT(D37:D39)=3,COUNT(D25:D27)=3),AVERAGE(D37:D39)/AVERAGE(D25:D27)-1,NA()),NA())</f>
        <v>0.378276926966698</v>
      </c>
      <c r="L39" s="22" t="n">
        <v>2029</v>
      </c>
      <c r="M39" s="23" t="e">
        <f aca="false">IF(SUMPRODUCT(($C$14:$C$266=$L$39)*ISNUMBER($D$14:$D$266))=0,NA(),SUMPRODUCT(($C$14:$C$266=$L$39)*IFERROR($D$14:$D$266,0))/SUMPRODUCT(($C$14:$C$266=$L$39)*ISNUMBER($D$14:$D$266)))</f>
        <v>#N/A</v>
      </c>
      <c r="N39" s="23" t="e">
        <f aca="false">IF(SUMPRODUCT(($C$14:$C$266=$L$39)*ISNUMBER($E$14:$E$266))=0,NA(),SUMPRODUCT(($C$14:$C$266=$L$39)*IFERROR($E$14:$E$266,0))/SUMPRODUCT(($C$14:$C$266=$L$39)*ISNUMBER($E$14:$E$266)))</f>
        <v>#N/A</v>
      </c>
      <c r="O39" s="20" t="e">
        <f aca="false">IFERROR(M39/M38-1,NA())</f>
        <v>#N/A</v>
      </c>
    </row>
    <row r="40" customFormat="false" ht="15" hidden="false" customHeight="false" outlineLevel="0" collapsed="false">
      <c r="A40" s="16" t="n">
        <f aca="false">IFERROR(IF(LEN(TRIM(TEXT(CPI!B34,"@")))&lt;3,NA(),DATE(2000+VALUE(LEFT(CPI!B34,LEN(CPI!B34)-2)),VALUE(RIGHT(CPI!B34,2)),1)),NA())</f>
        <v>42795</v>
      </c>
      <c r="B40" s="17" t="str">
        <f aca="false">IFERROR(IF(CPI!B34="",NA(),CPI!B34),NA())</f>
        <v>1703</v>
      </c>
      <c r="C40" s="18" t="n">
        <f aca="false">IFERROR(YEAR(A40),0)</f>
        <v>2017</v>
      </c>
      <c r="D40" s="19" t="n">
        <f aca="false">IFERROR(IF(CPI!C34="",NA(),IF(ISNUMBER(CPI!C34),CPI!C34,NA())),NA())</f>
        <v>106.1476</v>
      </c>
      <c r="E40" s="19" t="n">
        <f aca="false">IFERROR(IF(CPI!D34="",NA(),IF(ISNUMBER(CPI!D34),CPI!D34,NA())),NA())</f>
        <v>105.2057</v>
      </c>
      <c r="F40" s="20" t="n">
        <f aca="false">IFERROR(D40/D28-1,NA())</f>
        <v>0.338424040984568</v>
      </c>
      <c r="G40" s="20" t="n">
        <f aca="false">IFERROR(D40/D39-1,NA())</f>
        <v>0.0237418974036006</v>
      </c>
      <c r="H40" s="21" t="n">
        <f aca="false">IF(COUNT(D38:D40)=3,AVERAGE(D38:D40),NA())</f>
        <v>103.806466666667</v>
      </c>
      <c r="I40" s="20" t="n">
        <f aca="false">IFERROR(IF(AND(COUNT(D38:D40)=3,COUNT(D26:D28)=3),AVERAGE(D38:D40)/AVERAGE(D26:D28)-1,NA()),NA())</f>
        <v>0.354592233981009</v>
      </c>
      <c r="L40" s="22" t="n">
        <v>2030</v>
      </c>
      <c r="M40" s="23" t="e">
        <f aca="false">IF(SUMPRODUCT(($C$14:$C$266=$L$40)*ISNUMBER($D$14:$D$266))=0,NA(),SUMPRODUCT(($C$14:$C$266=$L$40)*IFERROR($D$14:$D$266,0))/SUMPRODUCT(($C$14:$C$266=$L$40)*ISNUMBER($D$14:$D$266)))</f>
        <v>#N/A</v>
      </c>
      <c r="N40" s="23" t="e">
        <f aca="false">IF(SUMPRODUCT(($C$14:$C$266=$L$40)*ISNUMBER($E$14:$E$266))=0,NA(),SUMPRODUCT(($C$14:$C$266=$L$40)*IFERROR($E$14:$E$266,0))/SUMPRODUCT(($C$14:$C$266=$L$40)*ISNUMBER($E$14:$E$266)))</f>
        <v>#N/A</v>
      </c>
      <c r="O40" s="20" t="e">
        <f aca="false">IFERROR(M40/M39-1,NA())</f>
        <v>#N/A</v>
      </c>
    </row>
    <row r="41" customFormat="false" ht="15" hidden="false" customHeight="false" outlineLevel="0" collapsed="false">
      <c r="A41" s="16" t="n">
        <f aca="false">IFERROR(IF(LEN(TRIM(TEXT(CPI!B35,"@")))&lt;3,NA(),DATE(2000+VALUE(LEFT(CPI!B35,LEN(CPI!B35)-2)),VALUE(RIGHT(CPI!B35,2)),1)),NA())</f>
        <v>42826</v>
      </c>
      <c r="B41" s="17" t="str">
        <f aca="false">IFERROR(IF(CPI!B35="",NA(),CPI!B35),NA())</f>
        <v>1704</v>
      </c>
      <c r="C41" s="18" t="n">
        <f aca="false">IFERROR(YEAR(A41),0)</f>
        <v>2017</v>
      </c>
      <c r="D41" s="19" t="n">
        <f aca="false">IFERROR(IF(CPI!C35="",NA(),IF(ISNUMBER(CPI!C35),CPI!C35,NA())),NA())</f>
        <v>108.9667</v>
      </c>
      <c r="E41" s="19" t="n">
        <f aca="false">IFERROR(IF(CPI!D35="",NA(),IF(ISNUMBER(CPI!D35),CPI!D35,NA())),NA())</f>
        <v>107.427</v>
      </c>
      <c r="F41" s="20" t="n">
        <f aca="false">IFERROR(D41/D29-1,NA())</f>
        <v>0.289568111187641</v>
      </c>
      <c r="G41" s="20" t="n">
        <f aca="false">IFERROR(D41/D40-1,NA())</f>
        <v>0.0265583018363109</v>
      </c>
      <c r="H41" s="21" t="n">
        <f aca="false">IF(COUNT(D39:D41)=3,AVERAGE(D39:D41),NA())</f>
        <v>106.266733333333</v>
      </c>
      <c r="I41" s="20" t="n">
        <f aca="false">IFERROR(IF(AND(COUNT(D39:D41)=3,COUNT(D27:D29)=3),AVERAGE(D39:D41)/AVERAGE(D27:D29)-1,NA()),NA())</f>
        <v>0.325201170233373</v>
      </c>
      <c r="L41" s="22" t="n">
        <v>2031</v>
      </c>
      <c r="M41" s="23" t="e">
        <f aca="false">IF(SUMPRODUCT(($C$14:$C$266=$L$41)*ISNUMBER($D$14:$D$266))=0,NA(),SUMPRODUCT(($C$14:$C$266=$L$41)*IFERROR($D$14:$D$266,0))/SUMPRODUCT(($C$14:$C$266=$L$41)*ISNUMBER($D$14:$D$266)))</f>
        <v>#N/A</v>
      </c>
      <c r="N41" s="23" t="e">
        <f aca="false">IF(SUMPRODUCT(($C$14:$C$266=$L$41)*ISNUMBER($E$14:$E$266))=0,NA(),SUMPRODUCT(($C$14:$C$266=$L$41)*IFERROR($E$14:$E$266,0))/SUMPRODUCT(($C$14:$C$266=$L$41)*ISNUMBER($E$14:$E$266)))</f>
        <v>#N/A</v>
      </c>
      <c r="O41" s="20" t="e">
        <f aca="false">IFERROR(M41/M40-1,NA())</f>
        <v>#N/A</v>
      </c>
    </row>
    <row r="42" customFormat="false" ht="15" hidden="false" customHeight="false" outlineLevel="0" collapsed="false">
      <c r="A42" s="16" t="n">
        <f aca="false">IFERROR(IF(LEN(TRIM(TEXT(CPI!B36,"@")))&lt;3,NA(),DATE(2000+VALUE(LEFT(CPI!B36,LEN(CPI!B36)-2)),VALUE(RIGHT(CPI!B36,2)),1)),NA())</f>
        <v>42856</v>
      </c>
      <c r="B42" s="17" t="str">
        <f aca="false">IFERROR(IF(CPI!B36="",NA(),CPI!B36),NA())</f>
        <v>1705</v>
      </c>
      <c r="C42" s="18" t="n">
        <f aca="false">IFERROR(YEAR(A42),0)</f>
        <v>2017</v>
      </c>
      <c r="D42" s="19" t="n">
        <f aca="false">IFERROR(IF(CPI!C36="",NA(),IF(ISNUMBER(CPI!C36),CPI!C36,NA())),NA())</f>
        <v>110.5301</v>
      </c>
      <c r="E42" s="19" t="n">
        <f aca="false">IFERROR(IF(CPI!D36="",NA(),IF(ISNUMBER(CPI!D36),CPI!D36,NA())),NA())</f>
        <v>109.2069</v>
      </c>
      <c r="F42" s="20" t="n">
        <f aca="false">IFERROR(D42/D30-1,NA())</f>
        <v>0.245377302898066</v>
      </c>
      <c r="G42" s="20" t="n">
        <f aca="false">IFERROR(D42/D41-1,NA())</f>
        <v>0.0143475024938813</v>
      </c>
      <c r="H42" s="21" t="n">
        <f aca="false">IF(COUNT(D40:D42)=3,AVERAGE(D40:D42),NA())</f>
        <v>108.548133333333</v>
      </c>
      <c r="I42" s="20" t="n">
        <f aca="false">IFERROR(IF(AND(COUNT(D40:D42)=3,COUNT(D28:D30)=3),AVERAGE(D40:D42)/AVERAGE(D28:D30)-1,NA()),NA())</f>
        <v>0.289380532375035</v>
      </c>
      <c r="L42" s="22" t="n">
        <v>2032</v>
      </c>
      <c r="M42" s="23" t="e">
        <f aca="false">IF(SUMPRODUCT(($C$14:$C$266=$L$42)*ISNUMBER($D$14:$D$266))=0,NA(),SUMPRODUCT(($C$14:$C$266=$L$42)*IFERROR($D$14:$D$266,0))/SUMPRODUCT(($C$14:$C$266=$L$42)*ISNUMBER($D$14:$D$266)))</f>
        <v>#N/A</v>
      </c>
      <c r="N42" s="23" t="e">
        <f aca="false">IF(SUMPRODUCT(($C$14:$C$266=$L$42)*ISNUMBER($E$14:$E$266))=0,NA(),SUMPRODUCT(($C$14:$C$266=$L$42)*IFERROR($E$14:$E$266,0))/SUMPRODUCT(($C$14:$C$266=$L$42)*ISNUMBER($E$14:$E$266)))</f>
        <v>#N/A</v>
      </c>
      <c r="O42" s="20" t="e">
        <f aca="false">IFERROR(M42/M41-1,NA())</f>
        <v>#N/A</v>
      </c>
    </row>
    <row r="43" customFormat="false" ht="15" hidden="false" customHeight="false" outlineLevel="0" collapsed="false">
      <c r="A43" s="16" t="n">
        <f aca="false">IFERROR(IF(LEN(TRIM(TEXT(CPI!B37,"@")))&lt;3,NA(),DATE(2000+VALUE(LEFT(CPI!B37,LEN(CPI!B37)-2)),VALUE(RIGHT(CPI!B37,2)),1)),NA())</f>
        <v>42887</v>
      </c>
      <c r="B43" s="17" t="str">
        <f aca="false">IFERROR(IF(CPI!B37="",NA(),CPI!B37),NA())</f>
        <v>1706</v>
      </c>
      <c r="C43" s="18" t="n">
        <f aca="false">IFERROR(YEAR(A43),0)</f>
        <v>2017</v>
      </c>
      <c r="D43" s="19" t="n">
        <f aca="false">IFERROR(IF(CPI!C37="",NA(),IF(ISNUMBER(CPI!C37),CPI!C37,NA())),NA())</f>
        <v>111.8477</v>
      </c>
      <c r="E43" s="19" t="n">
        <f aca="false">IFERROR(IF(CPI!D37="",NA(),IF(ISNUMBER(CPI!D37),CPI!D37,NA())),NA())</f>
        <v>110.6653</v>
      </c>
      <c r="F43" s="20" t="n">
        <f aca="false">IFERROR(D43/D31-1,NA())</f>
        <v>0.220878155273571</v>
      </c>
      <c r="G43" s="20" t="n">
        <f aca="false">IFERROR(D43/D42-1,NA())</f>
        <v>0.0119207347138923</v>
      </c>
      <c r="H43" s="21" t="n">
        <f aca="false">IF(COUNT(D41:D43)=3,AVERAGE(D41:D43),NA())</f>
        <v>110.448166666667</v>
      </c>
      <c r="I43" s="20" t="n">
        <f aca="false">IFERROR(IF(AND(COUNT(D41:D43)=3,COUNT(D29:D31)=3),AVERAGE(D41:D43)/AVERAGE(D29:D31)-1,NA()),NA())</f>
        <v>0.251001459620318</v>
      </c>
      <c r="L43" s="22" t="n">
        <v>2033</v>
      </c>
      <c r="M43" s="23" t="e">
        <f aca="false">IF(SUMPRODUCT(($C$14:$C$266=$L$43)*ISNUMBER($D$14:$D$266))=0,NA(),SUMPRODUCT(($C$14:$C$266=$L$43)*IFERROR($D$14:$D$266,0))/SUMPRODUCT(($C$14:$C$266=$L$43)*ISNUMBER($D$14:$D$266)))</f>
        <v>#N/A</v>
      </c>
      <c r="N43" s="23" t="e">
        <f aca="false">IF(SUMPRODUCT(($C$14:$C$266=$L$43)*ISNUMBER($E$14:$E$266))=0,NA(),SUMPRODUCT(($C$14:$C$266=$L$43)*IFERROR($E$14:$E$266,0))/SUMPRODUCT(($C$14:$C$266=$L$43)*ISNUMBER($E$14:$E$266)))</f>
        <v>#N/A</v>
      </c>
      <c r="O43" s="20" t="e">
        <f aca="false">IFERROR(M43/M42-1,NA())</f>
        <v>#N/A</v>
      </c>
    </row>
    <row r="44" customFormat="false" ht="15" hidden="false" customHeight="false" outlineLevel="0" collapsed="false">
      <c r="A44" s="16" t="n">
        <f aca="false">IFERROR(IF(LEN(TRIM(TEXT(CPI!B38,"@")))&lt;3,NA(),DATE(2000+VALUE(LEFT(CPI!B38,LEN(CPI!B38)-2)),VALUE(RIGHT(CPI!B38,2)),1)),NA())</f>
        <v>42917</v>
      </c>
      <c r="B44" s="17" t="str">
        <f aca="false">IFERROR(IF(CPI!B38="",NA(),CPI!B38),NA())</f>
        <v>1707</v>
      </c>
      <c r="C44" s="18" t="n">
        <f aca="false">IFERROR(YEAR(A44),0)</f>
        <v>2017</v>
      </c>
      <c r="D44" s="19" t="n">
        <f aca="false">IFERROR(IF(CPI!C38="",NA(),IF(ISNUMBER(CPI!C38),CPI!C38,NA())),NA())</f>
        <v>113.7852</v>
      </c>
      <c r="E44" s="19" t="n">
        <f aca="false">IFERROR(IF(CPI!D38="",NA(),IF(ISNUMBER(CPI!D38),CPI!D38,NA())),NA())</f>
        <v>112.6183</v>
      </c>
      <c r="F44" s="20" t="n">
        <f aca="false">IFERROR(D44/D32-1,NA())</f>
        <v>0.215809719194769</v>
      </c>
      <c r="G44" s="20" t="n">
        <f aca="false">IFERROR(D44/D43-1,NA())</f>
        <v>0.017322662871029</v>
      </c>
      <c r="H44" s="21" t="n">
        <f aca="false">IF(COUNT(D42:D44)=3,AVERAGE(D42:D44),NA())</f>
        <v>112.054333333333</v>
      </c>
      <c r="I44" s="20" t="n">
        <f aca="false">IFERROR(IF(AND(COUNT(D42:D44)=3,COUNT(D30:D32)=3),AVERAGE(D42:D44)/AVERAGE(D30:D32)-1,NA()),NA())</f>
        <v>0.22708364360576</v>
      </c>
    </row>
    <row r="45" customFormat="false" ht="15" hidden="false" customHeight="false" outlineLevel="0" collapsed="false">
      <c r="A45" s="16" t="n">
        <f aca="false">IFERROR(IF(LEN(TRIM(TEXT(CPI!B39,"@")))&lt;3,NA(),DATE(2000+VALUE(LEFT(CPI!B39,LEN(CPI!B39)-2)),VALUE(RIGHT(CPI!B39,2)),1)),NA())</f>
        <v>42948</v>
      </c>
      <c r="B45" s="17" t="str">
        <f aca="false">IFERROR(IF(CPI!B39="",NA(),CPI!B39),NA())</f>
        <v>1708</v>
      </c>
      <c r="C45" s="18" t="n">
        <f aca="false">IFERROR(YEAR(A45),0)</f>
        <v>2017</v>
      </c>
      <c r="D45" s="19" t="n">
        <f aca="false">IFERROR(IF(CPI!C39="",NA(),IF(ISNUMBER(CPI!C39),CPI!C39,NA())),NA())</f>
        <v>115.3819</v>
      </c>
      <c r="E45" s="19" t="n">
        <f aca="false">IFERROR(IF(CPI!D39="",NA(),IF(ISNUMBER(CPI!D39),CPI!D39,NA())),NA())</f>
        <v>114.231</v>
      </c>
      <c r="F45" s="20" t="n">
        <f aca="false">IFERROR(D45/D33-1,NA())</f>
        <v>0.242292593956386</v>
      </c>
      <c r="G45" s="20" t="n">
        <f aca="false">IFERROR(D45/D44-1,NA())</f>
        <v>0.0140325806871193</v>
      </c>
      <c r="H45" s="21" t="n">
        <f aca="false">IF(COUNT(D43:D45)=3,AVERAGE(D43:D45),NA())</f>
        <v>113.6716</v>
      </c>
      <c r="I45" s="20" t="n">
        <f aca="false">IFERROR(IF(AND(COUNT(D43:D45)=3,COUNT(D31:D33)=3),AVERAGE(D43:D45)/AVERAGE(D31:D33)-1,NA()),NA())</f>
        <v>0.226324777841669</v>
      </c>
    </row>
    <row r="46" customFormat="false" ht="15" hidden="false" customHeight="false" outlineLevel="0" collapsed="false">
      <c r="A46" s="16" t="n">
        <f aca="false">IFERROR(IF(LEN(TRIM(TEXT(CPI!B40,"@")))&lt;3,NA(),DATE(2000+VALUE(LEFT(CPI!B40,LEN(CPI!B40)-2)),VALUE(RIGHT(CPI!B40,2)),1)),NA())</f>
        <v>42979</v>
      </c>
      <c r="B46" s="17" t="str">
        <f aca="false">IFERROR(IF(CPI!B40="",NA(),CPI!B40),NA())</f>
        <v>1709</v>
      </c>
      <c r="C46" s="18" t="n">
        <f aca="false">IFERROR(YEAR(A46),0)</f>
        <v>2017</v>
      </c>
      <c r="D46" s="19" t="n">
        <f aca="false">IFERROR(IF(CPI!C40="",NA(),IF(ISNUMBER(CPI!C40),CPI!C40,NA())),NA())</f>
        <v>117.5719</v>
      </c>
      <c r="E46" s="19" t="n">
        <f aca="false">IFERROR(IF(CPI!D40="",NA(),IF(ISNUMBER(CPI!D40),CPI!D40,NA())),NA())</f>
        <v>116.0978</v>
      </c>
      <c r="F46" s="20" t="n">
        <f aca="false">IFERROR(D46/D34-1,NA())</f>
        <v>0.249095888897388</v>
      </c>
      <c r="G46" s="20" t="n">
        <f aca="false">IFERROR(D46/D45-1,NA())</f>
        <v>0.0189804466731784</v>
      </c>
      <c r="H46" s="21" t="n">
        <f aca="false">IF(COUNT(D44:D46)=3,AVERAGE(D44:D46),NA())</f>
        <v>115.579666666667</v>
      </c>
      <c r="I46" s="20" t="n">
        <f aca="false">IFERROR(IF(AND(COUNT(D44:D46)=3,COUNT(D32:D34)=3),AVERAGE(D44:D46)/AVERAGE(D32:D34)-1,NA()),NA())</f>
        <v>0.2357417429875</v>
      </c>
    </row>
    <row r="47" customFormat="false" ht="15" hidden="false" customHeight="false" outlineLevel="0" collapsed="false">
      <c r="A47" s="16" t="n">
        <f aca="false">IFERROR(IF(LEN(TRIM(TEXT(CPI!B41,"@")))&lt;3,NA(),DATE(2000+VALUE(LEFT(CPI!B41,LEN(CPI!B41)-2)),VALUE(RIGHT(CPI!B41,2)),1)),NA())</f>
        <v>43009</v>
      </c>
      <c r="B47" s="17" t="str">
        <f aca="false">IFERROR(IF(CPI!B41="",NA(),CPI!B41),NA())</f>
        <v>1710</v>
      </c>
      <c r="C47" s="18" t="n">
        <f aca="false">IFERROR(YEAR(A47),0)</f>
        <v>2017</v>
      </c>
      <c r="D47" s="19" t="n">
        <f aca="false">IFERROR(IF(CPI!C41="",NA(),IF(ISNUMBER(CPI!C41),CPI!C41,NA())),NA())</f>
        <v>119.3528</v>
      </c>
      <c r="E47" s="19" t="n">
        <f aca="false">IFERROR(IF(CPI!D41="",NA(),IF(ISNUMBER(CPI!D41),CPI!D41,NA())),NA())</f>
        <v>117.6245</v>
      </c>
      <c r="F47" s="20" t="n">
        <f aca="false">IFERROR(D47/D35-1,NA())</f>
        <v>0.232279493223396</v>
      </c>
      <c r="G47" s="20" t="n">
        <f aca="false">IFERROR(D47/D46-1,NA())</f>
        <v>0.0151473268697708</v>
      </c>
      <c r="H47" s="21" t="n">
        <f aca="false">IF(COUNT(D45:D47)=3,AVERAGE(D45:D47),NA())</f>
        <v>117.435533333333</v>
      </c>
      <c r="I47" s="20" t="n">
        <f aca="false">IFERROR(IF(AND(COUNT(D45:D47)=3,COUNT(D33:D35)=3),AVERAGE(D45:D47)/AVERAGE(D33:D35)-1,NA()),NA())</f>
        <v>0.241131955959841</v>
      </c>
    </row>
    <row r="48" customFormat="false" ht="15" hidden="false" customHeight="false" outlineLevel="0" collapsed="false">
      <c r="A48" s="16" t="n">
        <f aca="false">IFERROR(IF(LEN(TRIM(TEXT(CPI!B42,"@")))&lt;3,NA(),DATE(2000+VALUE(LEFT(CPI!B42,LEN(CPI!B42)-2)),VALUE(RIGHT(CPI!B42,2)),1)),NA())</f>
        <v>43040</v>
      </c>
      <c r="B48" s="17" t="str">
        <f aca="false">IFERROR(IF(CPI!B42="",NA(),CPI!B42),NA())</f>
        <v>1711</v>
      </c>
      <c r="C48" s="18" t="n">
        <f aca="false">IFERROR(YEAR(A48),0)</f>
        <v>2017</v>
      </c>
      <c r="D48" s="19" t="n">
        <f aca="false">IFERROR(IF(CPI!C42="",NA(),IF(ISNUMBER(CPI!C42),CPI!C42,NA())),NA())</f>
        <v>120.994</v>
      </c>
      <c r="E48" s="19" t="n">
        <f aca="false">IFERROR(IF(CPI!D42="",NA(),IF(ISNUMBER(CPI!D42),CPI!D42,NA())),NA())</f>
        <v>119.1358</v>
      </c>
      <c r="F48" s="20" t="n">
        <f aca="false">IFERROR(D48/D36-1,NA())</f>
        <v>0.224964185738078</v>
      </c>
      <c r="G48" s="20" t="n">
        <f aca="false">IFERROR(D48/D47-1,NA())</f>
        <v>0.0137508294736277</v>
      </c>
      <c r="H48" s="21" t="n">
        <f aca="false">IF(COUNT(D46:D48)=3,AVERAGE(D46:D48),NA())</f>
        <v>119.306233333333</v>
      </c>
      <c r="I48" s="20" t="n">
        <f aca="false">IFERROR(IF(AND(COUNT(D46:D48)=3,COUNT(D34:D36)=3),AVERAGE(D46:D48)/AVERAGE(D34:D36)-1,NA()),NA())</f>
        <v>0.235248541523442</v>
      </c>
    </row>
    <row r="49" customFormat="false" ht="15" hidden="false" customHeight="false" outlineLevel="0" collapsed="false">
      <c r="A49" s="16" t="n">
        <f aca="false">IFERROR(IF(LEN(TRIM(TEXT(CPI!B43,"@")))&lt;3,NA(),DATE(2000+VALUE(LEFT(CPI!B43,LEN(CPI!B43)-2)),VALUE(RIGHT(CPI!B43,2)),1)),NA())</f>
        <v>43070</v>
      </c>
      <c r="B49" s="17" t="str">
        <f aca="false">IFERROR(IF(CPI!B43="",NA(),CPI!B43),NA())</f>
        <v>1712</v>
      </c>
      <c r="C49" s="18" t="n">
        <f aca="false">IFERROR(YEAR(A49),0)</f>
        <v>2017</v>
      </c>
      <c r="D49" s="19" t="n">
        <f aca="false">IFERROR(IF(CPI!C43="",NA(),IF(ISNUMBER(CPI!C43),CPI!C43,NA())),NA())</f>
        <v>124.7956</v>
      </c>
      <c r="E49" s="19" t="n">
        <f aca="false">IFERROR(IF(CPI!D43="",NA(),IF(ISNUMBER(CPI!D43),CPI!D43,NA())),NA())</f>
        <v>121.1263</v>
      </c>
      <c r="F49" s="20" t="n">
        <f aca="false">IFERROR(D49/D37-1,NA())</f>
        <v>0.247956</v>
      </c>
      <c r="G49" s="20" t="n">
        <f aca="false">IFERROR(D49/D48-1,NA())</f>
        <v>0.0314197398218092</v>
      </c>
      <c r="H49" s="21" t="n">
        <f aca="false">IF(COUNT(D47:D49)=3,AVERAGE(D47:D49),NA())</f>
        <v>121.714133333333</v>
      </c>
      <c r="I49" s="20" t="n">
        <f aca="false">IFERROR(IF(AND(COUNT(D47:D49)=3,COUNT(D35:D37)=3),AVERAGE(D47:D49)/AVERAGE(D35:D37)-1,NA()),NA())</f>
        <v>0.235138119154832</v>
      </c>
    </row>
    <row r="50" customFormat="false" ht="15" hidden="false" customHeight="false" outlineLevel="0" collapsed="false">
      <c r="A50" s="16" t="n">
        <f aca="false">IFERROR(IF(LEN(TRIM(TEXT(CPI!B44,"@")))&lt;3,NA(),DATE(2000+VALUE(LEFT(CPI!B44,LEN(CPI!B44)-2)),VALUE(RIGHT(CPI!B44,2)),1)),NA())</f>
        <v>43101</v>
      </c>
      <c r="B50" s="17" t="str">
        <f aca="false">IFERROR(IF(CPI!B44="",NA(),CPI!B44),NA())</f>
        <v>1801</v>
      </c>
      <c r="C50" s="18" t="n">
        <f aca="false">IFERROR(YEAR(A50),0)</f>
        <v>2018</v>
      </c>
      <c r="D50" s="19" t="n">
        <f aca="false">IFERROR(IF(CPI!C44="",NA(),IF(ISNUMBER(CPI!C44),CPI!C44,NA())),NA())</f>
        <v>126.9887</v>
      </c>
      <c r="E50" s="19" t="n">
        <f aca="false">IFERROR(IF(CPI!D44="",NA(),IF(ISNUMBER(CPI!D44),CPI!D44,NA())),NA())</f>
        <v>122.9418</v>
      </c>
      <c r="F50" s="20" t="n">
        <f aca="false">IFERROR(D50/D38-1,NA())</f>
        <v>0.250062262577779</v>
      </c>
      <c r="G50" s="20" t="n">
        <f aca="false">IFERROR(D50/D49-1,NA())</f>
        <v>0.0175735362464702</v>
      </c>
      <c r="H50" s="21" t="n">
        <f aca="false">IF(COUNT(D48:D50)=3,AVERAGE(D48:D50),NA())</f>
        <v>124.259433333333</v>
      </c>
      <c r="I50" s="20" t="n">
        <f aca="false">IFERROR(IF(AND(COUNT(D48:D50)=3,COUNT(D36:D38)=3),AVERAGE(D48:D50)/AVERAGE(D36:D38)-1,NA()),NA())</f>
        <v>0.241107486564429</v>
      </c>
    </row>
    <row r="51" customFormat="false" ht="15" hidden="false" customHeight="false" outlineLevel="0" collapsed="false">
      <c r="A51" s="16" t="n">
        <f aca="false">IFERROR(IF(LEN(TRIM(TEXT(CPI!B45,"@")))&lt;3,NA(),DATE(2000+VALUE(LEFT(CPI!B45,LEN(CPI!B45)-2)),VALUE(RIGHT(CPI!B45,2)),1)),NA())</f>
        <v>43132</v>
      </c>
      <c r="B51" s="17" t="str">
        <f aca="false">IFERROR(IF(CPI!B45="",NA(),CPI!B45),NA())</f>
        <v>1802</v>
      </c>
      <c r="C51" s="18" t="n">
        <f aca="false">IFERROR(YEAR(A51),0)</f>
        <v>2018</v>
      </c>
      <c r="D51" s="19" t="n">
        <f aca="false">IFERROR(IF(CPI!C45="",NA(),IF(ISNUMBER(CPI!C45),CPI!C45,NA())),NA())</f>
        <v>130.0606</v>
      </c>
      <c r="E51" s="19" t="n">
        <f aca="false">IFERROR(IF(CPI!D45="",NA(),IF(ISNUMBER(CPI!D45),CPI!D45,NA())),NA())</f>
        <v>125.5123</v>
      </c>
      <c r="F51" s="20" t="n">
        <f aca="false">IFERROR(D51/D39-1,NA())</f>
        <v>0.254371134358674</v>
      </c>
      <c r="G51" s="20" t="n">
        <f aca="false">IFERROR(D51/D50-1,NA())</f>
        <v>0.0241903413453324</v>
      </c>
      <c r="H51" s="21" t="n">
        <f aca="false">IF(COUNT(D49:D51)=3,AVERAGE(D49:D51),NA())</f>
        <v>127.281633333333</v>
      </c>
      <c r="I51" s="20" t="n">
        <f aca="false">IFERROR(IF(AND(COUNT(D49:D51)=3,COUNT(D37:D39)=3),AVERAGE(D49:D51)/AVERAGE(D37:D39)-1,NA()),NA())</f>
        <v>0.250835812544755</v>
      </c>
    </row>
    <row r="52" customFormat="false" ht="15" hidden="false" customHeight="false" outlineLevel="0" collapsed="false">
      <c r="A52" s="16" t="n">
        <f aca="false">IFERROR(IF(LEN(TRIM(TEXT(CPI!B46,"@")))&lt;3,NA(),DATE(2000+VALUE(LEFT(CPI!B46,LEN(CPI!B46)-2)),VALUE(RIGHT(CPI!B46,2)),1)),NA())</f>
        <v>43160</v>
      </c>
      <c r="B52" s="17" t="str">
        <f aca="false">IFERROR(IF(CPI!B46="",NA(),CPI!B46),NA())</f>
        <v>1803</v>
      </c>
      <c r="C52" s="18" t="n">
        <f aca="false">IFERROR(YEAR(A52),0)</f>
        <v>2018</v>
      </c>
      <c r="D52" s="19" t="n">
        <f aca="false">IFERROR(IF(CPI!C46="",NA(),IF(ISNUMBER(CPI!C46),CPI!C46,NA())),NA())</f>
        <v>133.1054</v>
      </c>
      <c r="E52" s="19" t="n">
        <f aca="false">IFERROR(IF(CPI!D46="",NA(),IF(ISNUMBER(CPI!D46),CPI!D46,NA())),NA())</f>
        <v>128.746</v>
      </c>
      <c r="F52" s="20" t="n">
        <f aca="false">IFERROR(D52/D40-1,NA())</f>
        <v>0.253965233316627</v>
      </c>
      <c r="G52" s="20" t="n">
        <f aca="false">IFERROR(D52/D51-1,NA())</f>
        <v>0.023410625508417</v>
      </c>
      <c r="H52" s="21" t="n">
        <f aca="false">IF(COUNT(D50:D52)=3,AVERAGE(D50:D52),NA())</f>
        <v>130.051566666667</v>
      </c>
      <c r="I52" s="20" t="n">
        <f aca="false">IFERROR(IF(AND(COUNT(D50:D52)=3,COUNT(D38:D40)=3),AVERAGE(D50:D52)/AVERAGE(D38:D40)-1,NA()),NA())</f>
        <v>0.252827216287746</v>
      </c>
    </row>
    <row r="53" customFormat="false" ht="15" hidden="false" customHeight="false" outlineLevel="0" collapsed="false">
      <c r="A53" s="16" t="n">
        <f aca="false">IFERROR(IF(LEN(TRIM(TEXT(CPI!B47,"@")))&lt;3,NA(),DATE(2000+VALUE(LEFT(CPI!B47,LEN(CPI!B47)-2)),VALUE(RIGHT(CPI!B47,2)),1)),NA())</f>
        <v>43191</v>
      </c>
      <c r="B53" s="17" t="str">
        <f aca="false">IFERROR(IF(CPI!B47="",NA(),CPI!B47),NA())</f>
        <v>1804</v>
      </c>
      <c r="C53" s="18" t="n">
        <f aca="false">IFERROR(YEAR(A53),0)</f>
        <v>2018</v>
      </c>
      <c r="D53" s="19" t="n">
        <f aca="false">IFERROR(IF(CPI!C47="",NA(),IF(ISNUMBER(CPI!C47),CPI!C47,NA())),NA())</f>
        <v>136.7512</v>
      </c>
      <c r="E53" s="19" t="n">
        <f aca="false">IFERROR(IF(CPI!D47="",NA(),IF(ISNUMBER(CPI!D47),CPI!D47,NA())),NA())</f>
        <v>131.4884</v>
      </c>
      <c r="F53" s="20" t="n">
        <f aca="false">IFERROR(D53/D41-1,NA())</f>
        <v>0.254981567763363</v>
      </c>
      <c r="G53" s="20" t="n">
        <f aca="false">IFERROR(D53/D52-1,NA())</f>
        <v>0.0273903237584652</v>
      </c>
      <c r="H53" s="21" t="n">
        <f aca="false">IF(COUNT(D51:D53)=3,AVERAGE(D51:D53),NA())</f>
        <v>133.305733333333</v>
      </c>
      <c r="I53" s="20" t="n">
        <f aca="false">IFERROR(IF(AND(COUNT(D51:D53)=3,COUNT(D39:D41)=3),AVERAGE(D51:D53)/AVERAGE(D39:D41)-1,NA()),NA())</f>
        <v>0.254444633347156</v>
      </c>
    </row>
    <row r="54" customFormat="false" ht="15" hidden="false" customHeight="false" outlineLevel="0" collapsed="false">
      <c r="A54" s="16" t="n">
        <f aca="false">IFERROR(IF(LEN(TRIM(TEXT(CPI!B48,"@")))&lt;3,NA(),DATE(2000+VALUE(LEFT(CPI!B48,LEN(CPI!B48)-2)),VALUE(RIGHT(CPI!B48,2)),1)),NA())</f>
        <v>43221</v>
      </c>
      <c r="B54" s="17" t="str">
        <f aca="false">IFERROR(IF(CPI!B48="",NA(),CPI!B48),NA())</f>
        <v>1805</v>
      </c>
      <c r="C54" s="18" t="n">
        <f aca="false">IFERROR(YEAR(A54),0)</f>
        <v>2018</v>
      </c>
      <c r="D54" s="19" t="n">
        <f aca="false">IFERROR(IF(CPI!C48="",NA(),IF(ISNUMBER(CPI!C48),CPI!C48,NA())),NA())</f>
        <v>139.5893</v>
      </c>
      <c r="E54" s="19" t="n">
        <f aca="false">IFERROR(IF(CPI!D48="",NA(),IF(ISNUMBER(CPI!D48),CPI!D48,NA())),NA())</f>
        <v>134.9794</v>
      </c>
      <c r="F54" s="20" t="n">
        <f aca="false">IFERROR(D54/D42-1,NA())</f>
        <v>0.262907569974152</v>
      </c>
      <c r="G54" s="20" t="n">
        <f aca="false">IFERROR(D54/D53-1,NA())</f>
        <v>0.0207537484131766</v>
      </c>
      <c r="H54" s="21" t="n">
        <f aca="false">IF(COUNT(D52:D54)=3,AVERAGE(D52:D54),NA())</f>
        <v>136.481966666667</v>
      </c>
      <c r="I54" s="20" t="n">
        <f aca="false">IFERROR(IF(AND(COUNT(D52:D54)=3,COUNT(D40:D42)=3),AVERAGE(D52:D54)/AVERAGE(D40:D42)-1,NA()),NA())</f>
        <v>0.257340522361202</v>
      </c>
    </row>
    <row r="55" customFormat="false" ht="15" hidden="false" customHeight="false" outlineLevel="0" collapsed="false">
      <c r="A55" s="16" t="n">
        <f aca="false">IFERROR(IF(LEN(TRIM(TEXT(CPI!B49,"@")))&lt;3,NA(),DATE(2000+VALUE(LEFT(CPI!B49,LEN(CPI!B49)-2)),VALUE(RIGHT(CPI!B49,2)),1)),NA())</f>
        <v>43252</v>
      </c>
      <c r="B55" s="17" t="str">
        <f aca="false">IFERROR(IF(CPI!B49="",NA(),CPI!B49),NA())</f>
        <v>1806</v>
      </c>
      <c r="C55" s="18" t="n">
        <f aca="false">IFERROR(YEAR(A55),0)</f>
        <v>2018</v>
      </c>
      <c r="D55" s="19" t="n">
        <f aca="false">IFERROR(IF(CPI!C49="",NA(),IF(ISNUMBER(CPI!C49),CPI!C49,NA())),NA())</f>
        <v>144.8053</v>
      </c>
      <c r="E55" s="19" t="n">
        <f aca="false">IFERROR(IF(CPI!D49="",NA(),IF(ISNUMBER(CPI!D49),CPI!D49,NA())),NA())</f>
        <v>140.4784</v>
      </c>
      <c r="F55" s="20" t="n">
        <f aca="false">IFERROR(D55/D43-1,NA())</f>
        <v>0.294664977464892</v>
      </c>
      <c r="G55" s="20" t="n">
        <f aca="false">IFERROR(D55/D54-1,NA())</f>
        <v>0.037366760919354</v>
      </c>
      <c r="H55" s="21" t="n">
        <f aca="false">IF(COUNT(D53:D55)=3,AVERAGE(D53:D55),NA())</f>
        <v>140.381933333333</v>
      </c>
      <c r="I55" s="20" t="n">
        <f aca="false">IFERROR(IF(AND(COUNT(D53:D55)=3,COUNT(D41:D43)=3),AVERAGE(D53:D55)/AVERAGE(D41:D43)-1,NA()),NA())</f>
        <v>0.271020946477156</v>
      </c>
    </row>
    <row r="56" customFormat="false" ht="15" hidden="false" customHeight="false" outlineLevel="0" collapsed="false">
      <c r="A56" s="16" t="n">
        <f aca="false">IFERROR(IF(LEN(TRIM(TEXT(CPI!B50,"@")))&lt;3,NA(),DATE(2000+VALUE(LEFT(CPI!B50,LEN(CPI!B50)-2)),VALUE(RIGHT(CPI!B50,2)),1)),NA())</f>
        <v>43282</v>
      </c>
      <c r="B56" s="17" t="str">
        <f aca="false">IFERROR(IF(CPI!B50="",NA(),CPI!B50),NA())</f>
        <v>1807</v>
      </c>
      <c r="C56" s="18" t="n">
        <f aca="false">IFERROR(YEAR(A56),0)</f>
        <v>2018</v>
      </c>
      <c r="D56" s="19" t="n">
        <f aca="false">IFERROR(IF(CPI!C50="",NA(),IF(ISNUMBER(CPI!C50),CPI!C50,NA())),NA())</f>
        <v>149.2966</v>
      </c>
      <c r="E56" s="19" t="n">
        <f aca="false">IFERROR(IF(CPI!D50="",NA(),IF(ISNUMBER(CPI!D50),CPI!D50,NA())),NA())</f>
        <v>144.964</v>
      </c>
      <c r="F56" s="20" t="n">
        <f aca="false">IFERROR(D56/D44-1,NA())</f>
        <v>0.312091554964969</v>
      </c>
      <c r="G56" s="20" t="n">
        <f aca="false">IFERROR(D56/D55-1,NA())</f>
        <v>0.0310161299344709</v>
      </c>
      <c r="H56" s="21" t="n">
        <f aca="false">IF(COUNT(D54:D56)=3,AVERAGE(D54:D56),NA())</f>
        <v>144.563733333333</v>
      </c>
      <c r="I56" s="20" t="n">
        <f aca="false">IFERROR(IF(AND(COUNT(D54:D56)=3,COUNT(D42:D44)=3),AVERAGE(D54:D56)/AVERAGE(D42:D44)-1,NA()),NA())</f>
        <v>0.290121756409837</v>
      </c>
    </row>
    <row r="57" customFormat="false" ht="15" hidden="false" customHeight="false" outlineLevel="0" collapsed="false">
      <c r="A57" s="16" t="n">
        <f aca="false">IFERROR(IF(LEN(TRIM(TEXT(CPI!B51,"@")))&lt;3,NA(),DATE(2000+VALUE(LEFT(CPI!B51,LEN(CPI!B51)-2)),VALUE(RIGHT(CPI!B51,2)),1)),NA())</f>
        <v>43313</v>
      </c>
      <c r="B57" s="17" t="str">
        <f aca="false">IFERROR(IF(CPI!B51="",NA(),CPI!B51),NA())</f>
        <v>1808</v>
      </c>
      <c r="C57" s="18" t="n">
        <f aca="false">IFERROR(YEAR(A57),0)</f>
        <v>2018</v>
      </c>
      <c r="D57" s="19" t="n">
        <f aca="false">IFERROR(IF(CPI!C51="",NA(),IF(ISNUMBER(CPI!C51),CPI!C51,NA())),NA())</f>
        <v>155.1034</v>
      </c>
      <c r="E57" s="19" t="n">
        <f aca="false">IFERROR(IF(CPI!D51="",NA(),IF(ISNUMBER(CPI!D51),CPI!D51,NA())),NA())</f>
        <v>149.8236</v>
      </c>
      <c r="F57" s="20" t="n">
        <f aca="false">IFERROR(D57/D45-1,NA())</f>
        <v>0.344261101611258</v>
      </c>
      <c r="G57" s="20" t="n">
        <f aca="false">IFERROR(D57/D56-1,NA())</f>
        <v>0.0388943887536621</v>
      </c>
      <c r="H57" s="21" t="n">
        <f aca="false">IF(COUNT(D55:D57)=3,AVERAGE(D55:D57),NA())</f>
        <v>149.7351</v>
      </c>
      <c r="I57" s="20" t="n">
        <f aca="false">IFERROR(IF(AND(COUNT(D55:D57)=3,COUNT(D43:D45)=3),AVERAGE(D55:D57)/AVERAGE(D43:D45)-1,NA()),NA())</f>
        <v>0.317260423887761</v>
      </c>
    </row>
    <row r="58" customFormat="false" ht="15" hidden="false" customHeight="false" outlineLevel="0" collapsed="false">
      <c r="A58" s="16" t="n">
        <f aca="false">IFERROR(IF(LEN(TRIM(TEXT(CPI!B52,"@")))&lt;3,NA(),DATE(2000+VALUE(LEFT(CPI!B52,LEN(CPI!B52)-2)),VALUE(RIGHT(CPI!B52,2)),1)),NA())</f>
        <v>43344</v>
      </c>
      <c r="B58" s="17" t="str">
        <f aca="false">IFERROR(IF(CPI!B52="",NA(),CPI!B52),NA())</f>
        <v>1809</v>
      </c>
      <c r="C58" s="18" t="n">
        <f aca="false">IFERROR(YEAR(A58),0)</f>
        <v>2018</v>
      </c>
      <c r="D58" s="19" t="n">
        <f aca="false">IFERROR(IF(CPI!C52="",NA(),IF(ISNUMBER(CPI!C52),CPI!C52,NA())),NA())</f>
        <v>165.2383</v>
      </c>
      <c r="E58" s="19" t="n">
        <f aca="false">IFERROR(IF(CPI!D52="",NA(),IF(ISNUMBER(CPI!D52),CPI!D52,NA())),NA())</f>
        <v>161.272</v>
      </c>
      <c r="F58" s="20" t="n">
        <f aca="false">IFERROR(D58/D46-1,NA())</f>
        <v>0.40542340474212</v>
      </c>
      <c r="G58" s="20" t="n">
        <f aca="false">IFERROR(D58/D57-1,NA())</f>
        <v>0.065342861600713</v>
      </c>
      <c r="H58" s="21" t="n">
        <f aca="false">IF(COUNT(D56:D58)=3,AVERAGE(D56:D58),NA())</f>
        <v>156.5461</v>
      </c>
      <c r="I58" s="20" t="n">
        <f aca="false">IFERROR(IF(AND(COUNT(D56:D58)=3,COUNT(D44:D46)=3),AVERAGE(D56:D58)/AVERAGE(D44:D46)-1,NA()),NA())</f>
        <v>0.354443255589939</v>
      </c>
    </row>
    <row r="59" customFormat="false" ht="15" hidden="false" customHeight="false" outlineLevel="0" collapsed="false">
      <c r="A59" s="16" t="n">
        <f aca="false">IFERROR(IF(LEN(TRIM(TEXT(CPI!B53,"@")))&lt;3,NA(),DATE(2000+VALUE(LEFT(CPI!B53,LEN(CPI!B53)-2)),VALUE(RIGHT(CPI!B53,2)),1)),NA())</f>
        <v>43374</v>
      </c>
      <c r="B59" s="17" t="str">
        <f aca="false">IFERROR(IF(CPI!B53="",NA(),CPI!B53),NA())</f>
        <v>1810</v>
      </c>
      <c r="C59" s="18" t="n">
        <f aca="false">IFERROR(YEAR(A59),0)</f>
        <v>2018</v>
      </c>
      <c r="D59" s="19" t="n">
        <f aca="false">IFERROR(IF(CPI!C53="",NA(),IF(ISNUMBER(CPI!C53),CPI!C53,NA())),NA())</f>
        <v>174.1473</v>
      </c>
      <c r="E59" s="19" t="n">
        <f aca="false">IFERROR(IF(CPI!D53="",NA(),IF(ISNUMBER(CPI!D53),CPI!D53,NA())),NA())</f>
        <v>168.5933</v>
      </c>
      <c r="F59" s="20" t="n">
        <f aca="false">IFERROR(D59/D47-1,NA())</f>
        <v>0.459096895925357</v>
      </c>
      <c r="G59" s="20" t="n">
        <f aca="false">IFERROR(D59/D58-1,NA())</f>
        <v>0.0539160715161073</v>
      </c>
      <c r="H59" s="21" t="n">
        <f aca="false">IF(COUNT(D57:D59)=3,AVERAGE(D57:D59),NA())</f>
        <v>164.829666666667</v>
      </c>
      <c r="I59" s="20" t="n">
        <f aca="false">IFERROR(IF(AND(COUNT(D57:D59)=3,COUNT(D45:D47)=3),AVERAGE(D57:D59)/AVERAGE(D45:D47)-1,NA()),NA())</f>
        <v>0.40357574907765</v>
      </c>
    </row>
    <row r="60" customFormat="false" ht="15" hidden="false" customHeight="false" outlineLevel="0" collapsed="false">
      <c r="A60" s="16" t="n">
        <f aca="false">IFERROR(IF(LEN(TRIM(TEXT(CPI!B54,"@")))&lt;3,NA(),DATE(2000+VALUE(LEFT(CPI!B54,LEN(CPI!B54)-2)),VALUE(RIGHT(CPI!B54,2)),1)),NA())</f>
        <v>43405</v>
      </c>
      <c r="B60" s="17" t="str">
        <f aca="false">IFERROR(IF(CPI!B54="",NA(),CPI!B54),NA())</f>
        <v>1811</v>
      </c>
      <c r="C60" s="18" t="n">
        <f aca="false">IFERROR(YEAR(A60),0)</f>
        <v>2018</v>
      </c>
      <c r="D60" s="19" t="n">
        <f aca="false">IFERROR(IF(CPI!C54="",NA(),IF(ISNUMBER(CPI!C54),CPI!C54,NA())),NA())</f>
        <v>179.6388</v>
      </c>
      <c r="E60" s="19" t="n">
        <f aca="false">IFERROR(IF(CPI!D54="",NA(),IF(ISNUMBER(CPI!D54),CPI!D54,NA())),NA())</f>
        <v>174.1546</v>
      </c>
      <c r="F60" s="20" t="n">
        <f aca="false">IFERROR(D60/D48-1,NA())</f>
        <v>0.484691802899317</v>
      </c>
      <c r="G60" s="20" t="n">
        <f aca="false">IFERROR(D60/D59-1,NA())</f>
        <v>0.0315336499618426</v>
      </c>
      <c r="H60" s="21" t="n">
        <f aca="false">IF(COUNT(D58:D60)=3,AVERAGE(D58:D60),NA())</f>
        <v>173.008133333333</v>
      </c>
      <c r="I60" s="20" t="n">
        <f aca="false">IFERROR(IF(AND(COUNT(D58:D60)=3,COUNT(D46:D48)=3),AVERAGE(D58:D60)/AVERAGE(D46:D48)-1,NA()),NA())</f>
        <v>0.450118141354447</v>
      </c>
    </row>
    <row r="61" customFormat="false" ht="15" hidden="false" customHeight="false" outlineLevel="0" collapsed="false">
      <c r="A61" s="16" t="n">
        <f aca="false">IFERROR(IF(LEN(TRIM(TEXT(CPI!B55,"@")))&lt;3,NA(),DATE(2000+VALUE(LEFT(CPI!B55,LEN(CPI!B55)-2)),VALUE(RIGHT(CPI!B55,2)),1)),NA())</f>
        <v>43435</v>
      </c>
      <c r="B61" s="17" t="str">
        <f aca="false">IFERROR(IF(CPI!B55="",NA(),CPI!B55),NA())</f>
        <v>1812</v>
      </c>
      <c r="C61" s="18" t="n">
        <f aca="false">IFERROR(YEAR(A61),0)</f>
        <v>2018</v>
      </c>
      <c r="D61" s="19" t="n">
        <f aca="false">IFERROR(IF(CPI!C55="",NA(),IF(ISNUMBER(CPI!C55),CPI!C55,NA())),NA())</f>
        <v>184.2552</v>
      </c>
      <c r="E61" s="19" t="n">
        <f aca="false">IFERROR(IF(CPI!D55="",NA(),IF(ISNUMBER(CPI!D55),CPI!D55,NA())),NA())</f>
        <v>178.9326</v>
      </c>
      <c r="F61" s="20" t="n">
        <f aca="false">IFERROR(D61/D49-1,NA())</f>
        <v>0.476455900688807</v>
      </c>
      <c r="G61" s="20" t="n">
        <f aca="false">IFERROR(D61/D60-1,NA())</f>
        <v>0.0256982344571439</v>
      </c>
      <c r="H61" s="21" t="n">
        <f aca="false">IF(COUNT(D59:D61)=3,AVERAGE(D59:D61),NA())</f>
        <v>179.3471</v>
      </c>
      <c r="I61" s="20" t="n">
        <f aca="false">IFERROR(IF(AND(COUNT(D59:D61)=3,COUNT(D47:D49)=3),AVERAGE(D59:D61)/AVERAGE(D47:D49)-1,NA()),NA())</f>
        <v>0.473510882329743</v>
      </c>
    </row>
    <row r="62" customFormat="false" ht="15" hidden="false" customHeight="false" outlineLevel="0" collapsed="false">
      <c r="A62" s="16" t="n">
        <f aca="false">IFERROR(IF(LEN(TRIM(TEXT(CPI!B56,"@")))&lt;3,NA(),DATE(2000+VALUE(LEFT(CPI!B56,LEN(CPI!B56)-2)),VALUE(RIGHT(CPI!B56,2)),1)),NA())</f>
        <v>43466</v>
      </c>
      <c r="B62" s="17" t="str">
        <f aca="false">IFERROR(IF(CPI!B56="",NA(),CPI!B56),NA())</f>
        <v>1901</v>
      </c>
      <c r="C62" s="18" t="n">
        <f aca="false">IFERROR(YEAR(A62),0)</f>
        <v>2019</v>
      </c>
      <c r="D62" s="19" t="n">
        <f aca="false">IFERROR(IF(CPI!C56="",NA(),IF(ISNUMBER(CPI!C56),CPI!C56,NA())),NA())</f>
        <v>189.6101</v>
      </c>
      <c r="E62" s="19" t="n">
        <f aca="false">IFERROR(IF(CPI!D56="",NA(),IF(ISNUMBER(CPI!D56),CPI!D56,NA())),NA())</f>
        <v>184.3056</v>
      </c>
      <c r="F62" s="20" t="n">
        <f aca="false">IFERROR(D62/D50-1,NA())</f>
        <v>0.493125766308341</v>
      </c>
      <c r="G62" s="20" t="n">
        <f aca="false">IFERROR(D62/D61-1,NA())</f>
        <v>0.0290624090934746</v>
      </c>
      <c r="H62" s="21" t="n">
        <f aca="false">IF(COUNT(D60:D62)=3,AVERAGE(D60:D62),NA())</f>
        <v>184.501366666667</v>
      </c>
      <c r="I62" s="20" t="n">
        <f aca="false">IFERROR(IF(AND(COUNT(D60:D62)=3,COUNT(D48:D50)=3),AVERAGE(D60:D62)/AVERAGE(D48:D50)-1,NA()),NA())</f>
        <v>0.484807726200801</v>
      </c>
    </row>
    <row r="63" customFormat="false" ht="15" hidden="false" customHeight="false" outlineLevel="0" collapsed="false">
      <c r="A63" s="16" t="n">
        <f aca="false">IFERROR(IF(LEN(TRIM(TEXT(CPI!B57,"@")))&lt;3,NA(),DATE(2000+VALUE(LEFT(CPI!B57,LEN(CPI!B57)-2)),VALUE(RIGHT(CPI!B57,2)),1)),NA())</f>
        <v>43497</v>
      </c>
      <c r="B63" s="17" t="str">
        <f aca="false">IFERROR(IF(CPI!B57="",NA(),CPI!B57),NA())</f>
        <v>1902</v>
      </c>
      <c r="C63" s="18" t="n">
        <f aca="false">IFERROR(YEAR(A63),0)</f>
        <v>2019</v>
      </c>
      <c r="D63" s="19" t="n">
        <f aca="false">IFERROR(IF(CPI!C57="",NA(),IF(ISNUMBER(CPI!C57),CPI!C57,NA())),NA())</f>
        <v>196.7501</v>
      </c>
      <c r="E63" s="19" t="n">
        <f aca="false">IFERROR(IF(CPI!D57="",NA(),IF(ISNUMBER(CPI!D57),CPI!D57,NA())),NA())</f>
        <v>191.4115</v>
      </c>
      <c r="F63" s="20" t="n">
        <f aca="false">IFERROR(D63/D51-1,NA())</f>
        <v>0.512757130137797</v>
      </c>
      <c r="G63" s="20" t="n">
        <f aca="false">IFERROR(D63/D62-1,NA())</f>
        <v>0.037656221899572</v>
      </c>
      <c r="H63" s="21" t="n">
        <f aca="false">IF(COUNT(D61:D63)=3,AVERAGE(D61:D63),NA())</f>
        <v>190.205133333333</v>
      </c>
      <c r="I63" s="20" t="n">
        <f aca="false">IFERROR(IF(AND(COUNT(D61:D63)=3,COUNT(D49:D51)=3),AVERAGE(D61:D63)/AVERAGE(D49:D51)-1,NA()),NA())</f>
        <v>0.494364334838569</v>
      </c>
    </row>
    <row r="64" customFormat="false" ht="15" hidden="false" customHeight="false" outlineLevel="0" collapsed="false">
      <c r="A64" s="16" t="n">
        <f aca="false">IFERROR(IF(LEN(TRIM(TEXT(CPI!B58,"@")))&lt;3,NA(),DATE(2000+VALUE(LEFT(CPI!B58,LEN(CPI!B58)-2)),VALUE(RIGHT(CPI!B58,2)),1)),NA())</f>
        <v>43525</v>
      </c>
      <c r="B64" s="17" t="str">
        <f aca="false">IFERROR(IF(CPI!B58="",NA(),CPI!B58),NA())</f>
        <v>1903</v>
      </c>
      <c r="C64" s="18" t="n">
        <f aca="false">IFERROR(YEAR(A64),0)</f>
        <v>2019</v>
      </c>
      <c r="D64" s="19" t="n">
        <f aca="false">IFERROR(IF(CPI!C58="",NA(),IF(ISNUMBER(CPI!C58),CPI!C58,NA())),NA())</f>
        <v>205.9571</v>
      </c>
      <c r="E64" s="19" t="n">
        <f aca="false">IFERROR(IF(CPI!D58="",NA(),IF(ISNUMBER(CPI!D58),CPI!D58,NA())),NA())</f>
        <v>200.1771</v>
      </c>
      <c r="F64" s="20" t="n">
        <f aca="false">IFERROR(D64/D52-1,NA())</f>
        <v>0.547323399351191</v>
      </c>
      <c r="G64" s="20" t="n">
        <f aca="false">IFERROR(D64/D63-1,NA())</f>
        <v>0.046795401882896</v>
      </c>
      <c r="H64" s="21" t="n">
        <f aca="false">IF(COUNT(D62:D64)=3,AVERAGE(D62:D64),NA())</f>
        <v>197.4391</v>
      </c>
      <c r="I64" s="20" t="n">
        <f aca="false">IFERROR(IF(AND(COUNT(D62:D64)=3,COUNT(D50:D52)=3),AVERAGE(D62:D64)/AVERAGE(D50:D52)-1,NA()),NA())</f>
        <v>0.518160104184314</v>
      </c>
    </row>
    <row r="65" customFormat="false" ht="15" hidden="false" customHeight="false" outlineLevel="0" collapsed="false">
      <c r="A65" s="16" t="n">
        <f aca="false">IFERROR(IF(LEN(TRIM(TEXT(CPI!B59,"@")))&lt;3,NA(),DATE(2000+VALUE(LEFT(CPI!B59,LEN(CPI!B59)-2)),VALUE(RIGHT(CPI!B59,2)),1)),NA())</f>
        <v>43556</v>
      </c>
      <c r="B65" s="17" t="str">
        <f aca="false">IFERROR(IF(CPI!B59="",NA(),CPI!B59),NA())</f>
        <v>1904</v>
      </c>
      <c r="C65" s="18" t="n">
        <f aca="false">IFERROR(YEAR(A65),0)</f>
        <v>2019</v>
      </c>
      <c r="D65" s="19" t="n">
        <f aca="false">IFERROR(IF(CPI!C59="",NA(),IF(ISNUMBER(CPI!C59),CPI!C59,NA())),NA())</f>
        <v>213.0517</v>
      </c>
      <c r="E65" s="19" t="n">
        <f aca="false">IFERROR(IF(CPI!D59="",NA(),IF(ISNUMBER(CPI!D59),CPI!D59,NA())),NA())</f>
        <v>207.7179</v>
      </c>
      <c r="F65" s="20" t="n">
        <f aca="false">IFERROR(D65/D53-1,NA())</f>
        <v>0.557951228215913</v>
      </c>
      <c r="G65" s="20" t="n">
        <f aca="false">IFERROR(D65/D64-1,NA())</f>
        <v>0.0344469794923312</v>
      </c>
      <c r="H65" s="21" t="n">
        <f aca="false">IF(COUNT(D63:D65)=3,AVERAGE(D63:D65),NA())</f>
        <v>205.252966666667</v>
      </c>
      <c r="I65" s="20" t="n">
        <f aca="false">IFERROR(IF(AND(COUNT(D63:D65)=3,COUNT(D51:D53)=3),AVERAGE(D63:D65)/AVERAGE(D51:D53)-1,NA()),NA())</f>
        <v>0.53971597120604</v>
      </c>
    </row>
    <row r="66" customFormat="false" ht="15" hidden="false" customHeight="false" outlineLevel="0" collapsed="false">
      <c r="A66" s="16" t="n">
        <f aca="false">IFERROR(IF(LEN(TRIM(TEXT(CPI!B60,"@")))&lt;3,NA(),DATE(2000+VALUE(LEFT(CPI!B60,LEN(CPI!B60)-2)),VALUE(RIGHT(CPI!B60,2)),1)),NA())</f>
        <v>43586</v>
      </c>
      <c r="B66" s="17" t="str">
        <f aca="false">IFERROR(IF(CPI!B60="",NA(),CPI!B60),NA())</f>
        <v>1905</v>
      </c>
      <c r="C66" s="18" t="n">
        <f aca="false">IFERROR(YEAR(A66),0)</f>
        <v>2019</v>
      </c>
      <c r="D66" s="19" t="n">
        <f aca="false">IFERROR(IF(CPI!C60="",NA(),IF(ISNUMBER(CPI!C60),CPI!C60,NA())),NA())</f>
        <v>219.5691</v>
      </c>
      <c r="E66" s="19" t="n">
        <f aca="false">IFERROR(IF(CPI!D60="",NA(),IF(ISNUMBER(CPI!D60),CPI!D60,NA())),NA())</f>
        <v>214.3182</v>
      </c>
      <c r="F66" s="20" t="n">
        <f aca="false">IFERROR(D66/D54-1,NA())</f>
        <v>0.572965119819356</v>
      </c>
      <c r="G66" s="20" t="n">
        <f aca="false">IFERROR(D66/D65-1,NA())</f>
        <v>0.0305906969998362</v>
      </c>
      <c r="H66" s="21" t="n">
        <f aca="false">IF(COUNT(D64:D66)=3,AVERAGE(D64:D66),NA())</f>
        <v>212.8593</v>
      </c>
      <c r="I66" s="20" t="n">
        <f aca="false">IFERROR(IF(AND(COUNT(D64:D66)=3,COUNT(D52:D54)=3),AVERAGE(D64:D66)/AVERAGE(D52:D54)-1,NA()),NA())</f>
        <v>0.559614835561914</v>
      </c>
    </row>
    <row r="67" customFormat="false" ht="15" hidden="false" customHeight="false" outlineLevel="0" collapsed="false">
      <c r="A67" s="16" t="n">
        <f aca="false">IFERROR(IF(LEN(TRIM(TEXT(CPI!B61,"@")))&lt;3,NA(),DATE(2000+VALUE(LEFT(CPI!B61,LEN(CPI!B61)-2)),VALUE(RIGHT(CPI!B61,2)),1)),NA())</f>
        <v>43617</v>
      </c>
      <c r="B67" s="17" t="str">
        <f aca="false">IFERROR(IF(CPI!B61="",NA(),CPI!B61),NA())</f>
        <v>1906</v>
      </c>
      <c r="C67" s="18" t="n">
        <f aca="false">IFERROR(YEAR(A67),0)</f>
        <v>2019</v>
      </c>
      <c r="D67" s="19" t="n">
        <f aca="false">IFERROR(IF(CPI!C61="",NA(),IF(ISNUMBER(CPI!C61),CPI!C61,NA())),NA())</f>
        <v>225.537</v>
      </c>
      <c r="E67" s="19" t="n">
        <f aca="false">IFERROR(IF(CPI!D61="",NA(),IF(ISNUMBER(CPI!D61),CPI!D61,NA())),NA())</f>
        <v>220.1725</v>
      </c>
      <c r="F67" s="20" t="n">
        <f aca="false">IFERROR(D67/D55-1,NA())</f>
        <v>0.557518958214927</v>
      </c>
      <c r="G67" s="20" t="n">
        <f aca="false">IFERROR(D67/D66-1,NA())</f>
        <v>0.0271800540239953</v>
      </c>
      <c r="H67" s="21" t="n">
        <f aca="false">IF(COUNT(D65:D67)=3,AVERAGE(D65:D67),NA())</f>
        <v>219.385933333333</v>
      </c>
      <c r="I67" s="20" t="n">
        <f aca="false">IFERROR(IF(AND(COUNT(D65:D67)=3,COUNT(D53:D55)=3),AVERAGE(D65:D67)/AVERAGE(D53:D55)-1,NA()),NA())</f>
        <v>0.562778971083173</v>
      </c>
    </row>
    <row r="68" customFormat="false" ht="15" hidden="false" customHeight="false" outlineLevel="0" collapsed="false">
      <c r="A68" s="16" t="n">
        <f aca="false">IFERROR(IF(LEN(TRIM(TEXT(CPI!B62,"@")))&lt;3,NA(),DATE(2000+VALUE(LEFT(CPI!B62,LEN(CPI!B62)-2)),VALUE(RIGHT(CPI!B62,2)),1)),NA())</f>
        <v>43647</v>
      </c>
      <c r="B68" s="17" t="str">
        <f aca="false">IFERROR(IF(CPI!B62="",NA(),CPI!B62),NA())</f>
        <v>1907</v>
      </c>
      <c r="C68" s="18" t="n">
        <f aca="false">IFERROR(YEAR(A68),0)</f>
        <v>2019</v>
      </c>
      <c r="D68" s="19" t="n">
        <f aca="false">IFERROR(IF(CPI!C62="",NA(),IF(ISNUMBER(CPI!C62),CPI!C62,NA())),NA())</f>
        <v>230.494</v>
      </c>
      <c r="E68" s="19" t="n">
        <f aca="false">IFERROR(IF(CPI!D62="",NA(),IF(ISNUMBER(CPI!D62),CPI!D62,NA())),NA())</f>
        <v>224.9011</v>
      </c>
      <c r="F68" s="20" t="n">
        <f aca="false">IFERROR(D68/D56-1,NA())</f>
        <v>0.543866370701007</v>
      </c>
      <c r="G68" s="20" t="n">
        <f aca="false">IFERROR(D68/D67-1,NA())</f>
        <v>0.021978655386921</v>
      </c>
      <c r="H68" s="21" t="n">
        <f aca="false">IF(COUNT(D66:D68)=3,AVERAGE(D66:D68),NA())</f>
        <v>225.200033333333</v>
      </c>
      <c r="I68" s="20" t="n">
        <f aca="false">IFERROR(IF(AND(COUNT(D66:D68)=3,COUNT(D54:D56)=3),AVERAGE(D66:D68)/AVERAGE(D54:D56)-1,NA()),NA())</f>
        <v>0.557790658422398</v>
      </c>
    </row>
    <row r="69" customFormat="false" ht="15" hidden="false" customHeight="false" outlineLevel="0" collapsed="false">
      <c r="A69" s="16" t="n">
        <f aca="false">IFERROR(IF(LEN(TRIM(TEXT(CPI!B63,"@")))&lt;3,NA(),DATE(2000+VALUE(LEFT(CPI!B63,LEN(CPI!B63)-2)),VALUE(RIGHT(CPI!B63,2)),1)),NA())</f>
        <v>43678</v>
      </c>
      <c r="B69" s="17" t="str">
        <f aca="false">IFERROR(IF(CPI!B63="",NA(),CPI!B63),NA())</f>
        <v>1908</v>
      </c>
      <c r="C69" s="18" t="n">
        <f aca="false">IFERROR(YEAR(A69),0)</f>
        <v>2019</v>
      </c>
      <c r="D69" s="19" t="n">
        <f aca="false">IFERROR(IF(CPI!C63="",NA(),IF(ISNUMBER(CPI!C63),CPI!C63,NA())),NA())</f>
        <v>239.6077</v>
      </c>
      <c r="E69" s="19" t="n">
        <f aca="false">IFERROR(IF(CPI!D63="",NA(),IF(ISNUMBER(CPI!D63),CPI!D63,NA())),NA())</f>
        <v>235.3317</v>
      </c>
      <c r="F69" s="20" t="n">
        <f aca="false">IFERROR(D69/D57-1,NA())</f>
        <v>0.544825580870568</v>
      </c>
      <c r="G69" s="20" t="n">
        <f aca="false">IFERROR(D69/D68-1,NA())</f>
        <v>0.0395398578704869</v>
      </c>
      <c r="H69" s="21" t="n">
        <f aca="false">IF(COUNT(D67:D69)=3,AVERAGE(D67:D69),NA())</f>
        <v>231.879566666667</v>
      </c>
      <c r="I69" s="20" t="n">
        <f aca="false">IFERROR(IF(AND(COUNT(D67:D69)=3,COUNT(D55:D57)=3),AVERAGE(D67:D69)/AVERAGE(D55:D57)-1,NA()),NA())</f>
        <v>0.548598602910518</v>
      </c>
    </row>
    <row r="70" customFormat="false" ht="15" hidden="false" customHeight="false" outlineLevel="0" collapsed="false">
      <c r="A70" s="16" t="n">
        <f aca="false">IFERROR(IF(LEN(TRIM(TEXT(CPI!B64,"@")))&lt;3,NA(),DATE(2000+VALUE(LEFT(CPI!B64,LEN(CPI!B64)-2)),VALUE(RIGHT(CPI!B64,2)),1)),NA())</f>
        <v>43709</v>
      </c>
      <c r="B70" s="17" t="str">
        <f aca="false">IFERROR(IF(CPI!B64="",NA(),CPI!B64),NA())</f>
        <v>1909</v>
      </c>
      <c r="C70" s="18" t="n">
        <f aca="false">IFERROR(YEAR(A70),0)</f>
        <v>2019</v>
      </c>
      <c r="D70" s="19" t="n">
        <f aca="false">IFERROR(IF(CPI!C64="",NA(),IF(ISNUMBER(CPI!C64),CPI!C64,NA())),NA())</f>
        <v>253.7102</v>
      </c>
      <c r="E70" s="19" t="n">
        <f aca="false">IFERROR(IF(CPI!D64="",NA(),IF(ISNUMBER(CPI!D64),CPI!D64,NA())),NA())</f>
        <v>250.4818</v>
      </c>
      <c r="F70" s="20" t="n">
        <f aca="false">IFERROR(D70/D58-1,NA())</f>
        <v>0.535420056972264</v>
      </c>
      <c r="G70" s="20" t="n">
        <f aca="false">IFERROR(D70/D69-1,NA())</f>
        <v>0.0588566227212231</v>
      </c>
      <c r="H70" s="21" t="n">
        <f aca="false">IF(COUNT(D68:D70)=3,AVERAGE(D68:D70),NA())</f>
        <v>241.270633333333</v>
      </c>
      <c r="I70" s="20" t="n">
        <f aca="false">IFERROR(IF(AND(COUNT(D68:D70)=3,COUNT(D56:D58)=3),AVERAGE(D68:D70)/AVERAGE(D56:D58)-1,NA()),NA())</f>
        <v>0.541211396089288</v>
      </c>
    </row>
    <row r="71" customFormat="false" ht="15" hidden="false" customHeight="false" outlineLevel="0" collapsed="false">
      <c r="A71" s="16" t="n">
        <f aca="false">IFERROR(IF(LEN(TRIM(TEXT(CPI!B65,"@")))&lt;3,NA(),DATE(2000+VALUE(LEFT(CPI!B65,LEN(CPI!B65)-2)),VALUE(RIGHT(CPI!B65,2)),1)),NA())</f>
        <v>43739</v>
      </c>
      <c r="B71" s="17" t="str">
        <f aca="false">IFERROR(IF(CPI!B65="",NA(),CPI!B65),NA())</f>
        <v>1910</v>
      </c>
      <c r="C71" s="18" t="n">
        <f aca="false">IFERROR(YEAR(A71),0)</f>
        <v>2019</v>
      </c>
      <c r="D71" s="19" t="n">
        <f aca="false">IFERROR(IF(CPI!C65="",NA(),IF(ISNUMBER(CPI!C65),CPI!C65,NA())),NA())</f>
        <v>262.0661</v>
      </c>
      <c r="E71" s="19" t="n">
        <f aca="false">IFERROR(IF(CPI!D65="",NA(),IF(ISNUMBER(CPI!D65),CPI!D65,NA())),NA())</f>
        <v>260.0118</v>
      </c>
      <c r="F71" s="20" t="n">
        <f aca="false">IFERROR(D71/D59-1,NA())</f>
        <v>0.50485307552859</v>
      </c>
      <c r="G71" s="20" t="n">
        <f aca="false">IFERROR(D71/D70-1,NA())</f>
        <v>0.0329348209098412</v>
      </c>
      <c r="H71" s="21" t="n">
        <f aca="false">IF(COUNT(D69:D71)=3,AVERAGE(D69:D71),NA())</f>
        <v>251.794666666667</v>
      </c>
      <c r="I71" s="20" t="n">
        <f aca="false">IFERROR(IF(AND(COUNT(D69:D71)=3,COUNT(D57:D59)=3),AVERAGE(D69:D71)/AVERAGE(D57:D59)-1,NA()),NA())</f>
        <v>0.527605265233403</v>
      </c>
    </row>
    <row r="72" customFormat="false" ht="15" hidden="false" customHeight="false" outlineLevel="0" collapsed="false">
      <c r="A72" s="16" t="n">
        <f aca="false">IFERROR(IF(LEN(TRIM(TEXT(CPI!B66,"@")))&lt;3,NA(),DATE(2000+VALUE(LEFT(CPI!B66,LEN(CPI!B66)-2)),VALUE(RIGHT(CPI!B66,2)),1)),NA())</f>
        <v>43770</v>
      </c>
      <c r="B72" s="17" t="str">
        <f aca="false">IFERROR(IF(CPI!B66="",NA(),CPI!B66),NA())</f>
        <v>1911</v>
      </c>
      <c r="C72" s="18" t="n">
        <f aca="false">IFERROR(YEAR(A72),0)</f>
        <v>2019</v>
      </c>
      <c r="D72" s="19" t="n">
        <f aca="false">IFERROR(IF(CPI!C66="",NA(),IF(ISNUMBER(CPI!C66),CPI!C66,NA())),NA())</f>
        <v>273.2158</v>
      </c>
      <c r="E72" s="19" t="n">
        <f aca="false">IFERROR(IF(CPI!D66="",NA(),IF(ISNUMBER(CPI!D66),CPI!D66,NA())),NA())</f>
        <v>270.3554</v>
      </c>
      <c r="F72" s="20" t="n">
        <f aca="false">IFERROR(D72/D60-1,NA())</f>
        <v>0.520917530065888</v>
      </c>
      <c r="G72" s="20" t="n">
        <f aca="false">IFERROR(D72/D71-1,NA())</f>
        <v>0.0425453730948031</v>
      </c>
      <c r="H72" s="21" t="n">
        <f aca="false">IF(COUNT(D70:D72)=3,AVERAGE(D70:D72),NA())</f>
        <v>262.997366666667</v>
      </c>
      <c r="I72" s="20" t="n">
        <f aca="false">IFERROR(IF(AND(COUNT(D70:D72)=3,COUNT(D58:D60)=3),AVERAGE(D70:D72)/AVERAGE(D58:D60)-1,NA()),NA())</f>
        <v>0.520144524997283</v>
      </c>
    </row>
    <row r="73" customFormat="false" ht="15" hidden="false" customHeight="false" outlineLevel="0" collapsed="false">
      <c r="A73" s="16" t="n">
        <f aca="false">IFERROR(IF(LEN(TRIM(TEXT(CPI!B67,"@")))&lt;3,NA(),DATE(2000+VALUE(LEFT(CPI!B67,LEN(CPI!B67)-2)),VALUE(RIGHT(CPI!B67,2)),1)),NA())</f>
        <v>43800</v>
      </c>
      <c r="B73" s="17" t="str">
        <f aca="false">IFERROR(IF(CPI!B67="",NA(),CPI!B67),NA())</f>
        <v>1912</v>
      </c>
      <c r="C73" s="18" t="n">
        <f aca="false">IFERROR(YEAR(A73),0)</f>
        <v>2019</v>
      </c>
      <c r="D73" s="19" t="n">
        <f aca="false">IFERROR(IF(CPI!C67="",NA(),IF(ISNUMBER(CPI!C67),CPI!C67,NA())),NA())</f>
        <v>283.4442</v>
      </c>
      <c r="E73" s="19" t="n">
        <f aca="false">IFERROR(IF(CPI!D67="",NA(),IF(ISNUMBER(CPI!D67),CPI!D67,NA())),NA())</f>
        <v>280.3107</v>
      </c>
      <c r="F73" s="20" t="n">
        <f aca="false">IFERROR(D73/D61-1,NA())</f>
        <v>0.538324020163339</v>
      </c>
      <c r="G73" s="20" t="n">
        <f aca="false">IFERROR(D73/D72-1,NA())</f>
        <v>0.0374370735513834</v>
      </c>
      <c r="H73" s="21" t="n">
        <f aca="false">IF(COUNT(D71:D73)=3,AVERAGE(D71:D73),NA())</f>
        <v>272.9087</v>
      </c>
      <c r="I73" s="20" t="n">
        <f aca="false">IFERROR(IF(AND(COUNT(D71:D73)=3,COUNT(D59:D61)=3),AVERAGE(D71:D73)/AVERAGE(D59:D61)-1,NA()),NA())</f>
        <v>0.521678912009171</v>
      </c>
    </row>
    <row r="74" customFormat="false" ht="15" hidden="false" customHeight="false" outlineLevel="0" collapsed="false">
      <c r="A74" s="16" t="n">
        <f aca="false">IFERROR(IF(LEN(TRIM(TEXT(CPI!B68,"@")))&lt;3,NA(),DATE(2000+VALUE(LEFT(CPI!B68,LEN(CPI!B68)-2)),VALUE(RIGHT(CPI!B68,2)),1)),NA())</f>
        <v>43831</v>
      </c>
      <c r="B74" s="17" t="str">
        <f aca="false">IFERROR(IF(CPI!B68="",NA(),CPI!B68),NA())</f>
        <v>2001</v>
      </c>
      <c r="C74" s="18" t="n">
        <f aca="false">IFERROR(YEAR(A74),0)</f>
        <v>2020</v>
      </c>
      <c r="D74" s="19" t="n">
        <f aca="false">IFERROR(IF(CPI!C68="",NA(),IF(ISNUMBER(CPI!C68),CPI!C68,NA())),NA())</f>
        <v>289.8299</v>
      </c>
      <c r="E74" s="19" t="n">
        <f aca="false">IFERROR(IF(CPI!D68="",NA(),IF(ISNUMBER(CPI!D68),CPI!D68,NA())),NA())</f>
        <v>287.1529</v>
      </c>
      <c r="F74" s="20" t="n">
        <f aca="false">IFERROR(D74/D62-1,NA())</f>
        <v>0.528557286769007</v>
      </c>
      <c r="G74" s="20" t="n">
        <f aca="false">IFERROR(D74/D73-1,NA())</f>
        <v>0.0225289492605598</v>
      </c>
      <c r="H74" s="21" t="n">
        <f aca="false">IF(COUNT(D72:D74)=3,AVERAGE(D72:D74),NA())</f>
        <v>282.1633</v>
      </c>
      <c r="I74" s="20" t="n">
        <f aca="false">IFERROR(IF(AND(COUNT(D72:D74)=3,COUNT(D60:D62)=3),AVERAGE(D72:D74)/AVERAGE(D60:D62)-1,NA()),NA())</f>
        <v>0.529329051040453</v>
      </c>
    </row>
    <row r="75" customFormat="false" ht="15" hidden="false" customHeight="false" outlineLevel="0" collapsed="false">
      <c r="A75" s="16" t="n">
        <f aca="false">IFERROR(IF(LEN(TRIM(TEXT(CPI!B69,"@")))&lt;3,NA(),DATE(2000+VALUE(LEFT(CPI!B69,LEN(CPI!B69)-2)),VALUE(RIGHT(CPI!B69,2)),1)),NA())</f>
        <v>43862</v>
      </c>
      <c r="B75" s="17" t="str">
        <f aca="false">IFERROR(IF(CPI!B69="",NA(),CPI!B69),NA())</f>
        <v>2002</v>
      </c>
      <c r="C75" s="18" t="n">
        <f aca="false">IFERROR(YEAR(A75),0)</f>
        <v>2020</v>
      </c>
      <c r="D75" s="19" t="n">
        <f aca="false">IFERROR(IF(CPI!C69="",NA(),IF(ISNUMBER(CPI!C69),CPI!C69,NA())),NA())</f>
        <v>295.666</v>
      </c>
      <c r="E75" s="19" t="n">
        <f aca="false">IFERROR(IF(CPI!D69="",NA(),IF(ISNUMBER(CPI!D69),CPI!D69,NA())),NA())</f>
        <v>293.9922</v>
      </c>
      <c r="F75" s="20" t="n">
        <f aca="false">IFERROR(D75/D63-1,NA())</f>
        <v>0.502748918552011</v>
      </c>
      <c r="G75" s="20" t="n">
        <f aca="false">IFERROR(D75/D74-1,NA())</f>
        <v>0.0201362937364296</v>
      </c>
      <c r="H75" s="21" t="n">
        <f aca="false">IF(COUNT(D73:D75)=3,AVERAGE(D73:D75),NA())</f>
        <v>289.6467</v>
      </c>
      <c r="I75" s="20" t="n">
        <f aca="false">IFERROR(IF(AND(COUNT(D73:D75)=3,COUNT(D61:D63)=3),AVERAGE(D73:D75)/AVERAGE(D61:D63)-1,NA()),NA())</f>
        <v>0.522812212919595</v>
      </c>
    </row>
    <row r="76" customFormat="false" ht="15" hidden="false" customHeight="false" outlineLevel="0" collapsed="false">
      <c r="A76" s="16" t="n">
        <f aca="false">IFERROR(IF(LEN(TRIM(TEXT(CPI!B70,"@")))&lt;3,NA(),DATE(2000+VALUE(LEFT(CPI!B70,LEN(CPI!B70)-2)),VALUE(RIGHT(CPI!B70,2)),1)),NA())</f>
        <v>43891</v>
      </c>
      <c r="B76" s="17" t="str">
        <f aca="false">IFERROR(IF(CPI!B70="",NA(),CPI!B70),NA())</f>
        <v>2003</v>
      </c>
      <c r="C76" s="18" t="n">
        <f aca="false">IFERROR(YEAR(A76),0)</f>
        <v>2020</v>
      </c>
      <c r="D76" s="19" t="n">
        <f aca="false">IFERROR(IF(CPI!C70="",NA(),IF(ISNUMBER(CPI!C70),CPI!C70,NA())),NA())</f>
        <v>305.5515</v>
      </c>
      <c r="E76" s="19" t="n">
        <f aca="false">IFERROR(IF(CPI!D70="",NA(),IF(ISNUMBER(CPI!D70),CPI!D70,NA())),NA())</f>
        <v>303.1665</v>
      </c>
      <c r="F76" s="20" t="n">
        <f aca="false">IFERROR(D76/D64-1,NA())</f>
        <v>0.483568665513352</v>
      </c>
      <c r="G76" s="20" t="n">
        <f aca="false">IFERROR(D76/D75-1,NA())</f>
        <v>0.0334346864367225</v>
      </c>
      <c r="H76" s="21" t="n">
        <f aca="false">IF(COUNT(D74:D76)=3,AVERAGE(D74:D76),NA())</f>
        <v>297.0158</v>
      </c>
      <c r="I76" s="20" t="n">
        <f aca="false">IFERROR(IF(AND(COUNT(D74:D76)=3,COUNT(D62:D64)=3),AVERAGE(D74:D76)/AVERAGE(D62:D64)-1,NA()),NA())</f>
        <v>0.504341338671013</v>
      </c>
    </row>
    <row r="77" customFormat="false" ht="15" hidden="false" customHeight="false" outlineLevel="0" collapsed="false">
      <c r="A77" s="16" t="n">
        <f aca="false">IFERROR(IF(LEN(TRIM(TEXT(CPI!B71,"@")))&lt;3,NA(),DATE(2000+VALUE(LEFT(CPI!B71,LEN(CPI!B71)-2)),VALUE(RIGHT(CPI!B71,2)),1)),NA())</f>
        <v>43922</v>
      </c>
      <c r="B77" s="17" t="str">
        <f aca="false">IFERROR(IF(CPI!B71="",NA(),CPI!B71),NA())</f>
        <v>2004</v>
      </c>
      <c r="C77" s="18" t="n">
        <f aca="false">IFERROR(YEAR(A77),0)</f>
        <v>2020</v>
      </c>
      <c r="D77" s="19" t="n">
        <f aca="false">IFERROR(IF(CPI!C71="",NA(),IF(ISNUMBER(CPI!C71),CPI!C71,NA())),NA())</f>
        <v>310.1243</v>
      </c>
      <c r="E77" s="19" t="n">
        <f aca="false">IFERROR(IF(CPI!D71="",NA(),IF(ISNUMBER(CPI!D71),CPI!D71,NA())),NA())</f>
        <v>308.3681</v>
      </c>
      <c r="F77" s="20" t="n">
        <f aca="false">IFERROR(D77/D65-1,NA())</f>
        <v>0.455629314387071</v>
      </c>
      <c r="G77" s="20" t="n">
        <f aca="false">IFERROR(D77/D76-1,NA())</f>
        <v>0.0149657259087257</v>
      </c>
      <c r="H77" s="21" t="n">
        <f aca="false">IF(COUNT(D75:D77)=3,AVERAGE(D75:D77),NA())</f>
        <v>303.7806</v>
      </c>
      <c r="I77" s="20" t="n">
        <f aca="false">IFERROR(IF(AND(COUNT(D75:D77)=3,COUNT(D63:D65)=3),AVERAGE(D75:D77)/AVERAGE(D63:D65)-1,NA()),NA())</f>
        <v>0.480030252100294</v>
      </c>
    </row>
    <row r="78" customFormat="false" ht="15" hidden="false" customHeight="false" outlineLevel="0" collapsed="false">
      <c r="A78" s="16" t="n">
        <f aca="false">IFERROR(IF(LEN(TRIM(TEXT(CPI!B72,"@")))&lt;3,NA(),DATE(2000+VALUE(LEFT(CPI!B72,LEN(CPI!B72)-2)),VALUE(RIGHT(CPI!B72,2)),1)),NA())</f>
        <v>43952</v>
      </c>
      <c r="B78" s="17" t="str">
        <f aca="false">IFERROR(IF(CPI!B72="",NA(),CPI!B72),NA())</f>
        <v>2005</v>
      </c>
      <c r="C78" s="18" t="n">
        <f aca="false">IFERROR(YEAR(A78),0)</f>
        <v>2020</v>
      </c>
      <c r="D78" s="19" t="n">
        <f aca="false">IFERROR(IF(CPI!C72="",NA(),IF(ISNUMBER(CPI!C72),CPI!C72,NA())),NA())</f>
        <v>314.9087</v>
      </c>
      <c r="E78" s="19" t="n">
        <f aca="false">IFERROR(IF(CPI!D72="",NA(),IF(ISNUMBER(CPI!D72),CPI!D72,NA())),NA())</f>
        <v>313.3195</v>
      </c>
      <c r="F78" s="20" t="n">
        <f aca="false">IFERROR(D78/D66-1,NA())</f>
        <v>0.434212282147169</v>
      </c>
      <c r="G78" s="20" t="n">
        <f aca="false">IFERROR(D78/D77-1,NA())</f>
        <v>0.0154273625123862</v>
      </c>
      <c r="H78" s="21" t="n">
        <f aca="false">IF(COUNT(D76:D78)=3,AVERAGE(D76:D78),NA())</f>
        <v>310.194833333333</v>
      </c>
      <c r="I78" s="20" t="n">
        <f aca="false">IFERROR(IF(AND(COUNT(D76:D78)=3,COUNT(D64:D66)=3),AVERAGE(D76:D78)/AVERAGE(D64:D66)-1,NA()),NA())</f>
        <v>0.457276394939443</v>
      </c>
    </row>
    <row r="79" customFormat="false" ht="15" hidden="false" customHeight="false" outlineLevel="0" collapsed="false">
      <c r="A79" s="16" t="n">
        <f aca="false">IFERROR(IF(LEN(TRIM(TEXT(CPI!B73,"@")))&lt;3,NA(),DATE(2000+VALUE(LEFT(CPI!B73,LEN(CPI!B73)-2)),VALUE(RIGHT(CPI!B73,2)),1)),NA())</f>
        <v>43983</v>
      </c>
      <c r="B79" s="17" t="str">
        <f aca="false">IFERROR(IF(CPI!B73="",NA(),CPI!B73),NA())</f>
        <v>2006</v>
      </c>
      <c r="C79" s="18" t="n">
        <f aca="false">IFERROR(YEAR(A79),0)</f>
        <v>2020</v>
      </c>
      <c r="D79" s="19" t="n">
        <f aca="false">IFERROR(IF(CPI!C73="",NA(),IF(ISNUMBER(CPI!C73),CPI!C73,NA())),NA())</f>
        <v>321.9738</v>
      </c>
      <c r="E79" s="19" t="n">
        <f aca="false">IFERROR(IF(CPI!D73="",NA(),IF(ISNUMBER(CPI!D73),CPI!D73,NA())),NA())</f>
        <v>320.5733</v>
      </c>
      <c r="F79" s="20" t="n">
        <f aca="false">IFERROR(D79/D67-1,NA())</f>
        <v>0.427587491187699</v>
      </c>
      <c r="G79" s="20" t="n">
        <f aca="false">IFERROR(D79/D78-1,NA())</f>
        <v>0.0224353915912769</v>
      </c>
      <c r="H79" s="21" t="n">
        <f aca="false">IF(COUNT(D77:D79)=3,AVERAGE(D77:D79),NA())</f>
        <v>315.668933333333</v>
      </c>
      <c r="I79" s="20" t="n">
        <f aca="false">IFERROR(IF(AND(COUNT(D77:D79)=3,COUNT(D65:D67)=3),AVERAGE(D77:D79)/AVERAGE(D65:D67)-1,NA()),NA())</f>
        <v>0.438874993200719</v>
      </c>
    </row>
    <row r="80" customFormat="false" ht="15" hidden="false" customHeight="false" outlineLevel="0" collapsed="false">
      <c r="A80" s="16" t="n">
        <f aca="false">IFERROR(IF(LEN(TRIM(TEXT(CPI!B74,"@")))&lt;3,NA(),DATE(2000+VALUE(LEFT(CPI!B74,LEN(CPI!B74)-2)),VALUE(RIGHT(CPI!B74,2)),1)),NA())</f>
        <v>44013</v>
      </c>
      <c r="B80" s="17" t="str">
        <f aca="false">IFERROR(IF(CPI!B74="",NA(),CPI!B74),NA())</f>
        <v>2007</v>
      </c>
      <c r="C80" s="18" t="n">
        <f aca="false">IFERROR(YEAR(A80),0)</f>
        <v>2020</v>
      </c>
      <c r="D80" s="19" t="n">
        <f aca="false">IFERROR(IF(CPI!C74="",NA(),IF(ISNUMBER(CPI!C74),CPI!C74,NA())),NA())</f>
        <v>328.2014</v>
      </c>
      <c r="E80" s="19" t="n">
        <f aca="false">IFERROR(IF(CPI!D74="",NA(),IF(ISNUMBER(CPI!D74),CPI!D74,NA())),NA())</f>
        <v>328.6943</v>
      </c>
      <c r="F80" s="20" t="n">
        <f aca="false">IFERROR(D80/D68-1,NA())</f>
        <v>0.423904309873576</v>
      </c>
      <c r="G80" s="20" t="n">
        <f aca="false">IFERROR(D80/D79-1,NA())</f>
        <v>0.019341946456513</v>
      </c>
      <c r="H80" s="21" t="n">
        <f aca="false">IF(COUNT(D78:D80)=3,AVERAGE(D78:D80),NA())</f>
        <v>321.694633333333</v>
      </c>
      <c r="I80" s="20" t="n">
        <f aca="false">IFERROR(IF(AND(COUNT(D78:D80)=3,COUNT(D66:D68)=3),AVERAGE(D78:D80)/AVERAGE(D66:D68)-1,NA()),NA())</f>
        <v>0.428483950786863</v>
      </c>
    </row>
    <row r="81" customFormat="false" ht="15" hidden="false" customHeight="false" outlineLevel="0" collapsed="false">
      <c r="A81" s="16" t="n">
        <f aca="false">IFERROR(IF(LEN(TRIM(TEXT(CPI!B75,"@")))&lt;3,NA(),DATE(2000+VALUE(LEFT(CPI!B75,LEN(CPI!B75)-2)),VALUE(RIGHT(CPI!B75,2)),1)),NA())</f>
        <v>44044</v>
      </c>
      <c r="B81" s="17" t="str">
        <f aca="false">IFERROR(IF(CPI!B75="",NA(),CPI!B75),NA())</f>
        <v>2008</v>
      </c>
      <c r="C81" s="18" t="n">
        <f aca="false">IFERROR(YEAR(A81),0)</f>
        <v>2020</v>
      </c>
      <c r="D81" s="19" t="n">
        <f aca="false">IFERROR(IF(CPI!C75="",NA(),IF(ISNUMBER(CPI!C75),CPI!C75,NA())),NA())</f>
        <v>337.0632</v>
      </c>
      <c r="E81" s="19" t="n">
        <f aca="false">IFERROR(IF(CPI!D75="",NA(),IF(ISNUMBER(CPI!D75),CPI!D75,NA())),NA())</f>
        <v>338.6645</v>
      </c>
      <c r="F81" s="20" t="n">
        <f aca="false">IFERROR(D81/D69-1,NA())</f>
        <v>0.406729416458653</v>
      </c>
      <c r="G81" s="20" t="n">
        <f aca="false">IFERROR(D81/D80-1,NA())</f>
        <v>0.0270011035906612</v>
      </c>
      <c r="H81" s="21" t="n">
        <f aca="false">IF(COUNT(D79:D81)=3,AVERAGE(D79:D81),NA())</f>
        <v>329.079466666667</v>
      </c>
      <c r="I81" s="20" t="n">
        <f aca="false">IFERROR(IF(AND(COUNT(D79:D81)=3,COUNT(D67:D69)=3),AVERAGE(D79:D81)/AVERAGE(D67:D69)-1,NA()),NA())</f>
        <v>0.419182687794684</v>
      </c>
    </row>
    <row r="82" customFormat="false" ht="15" hidden="false" customHeight="false" outlineLevel="0" collapsed="false">
      <c r="A82" s="16" t="n">
        <f aca="false">IFERROR(IF(LEN(TRIM(TEXT(CPI!B76,"@")))&lt;3,NA(),DATE(2000+VALUE(LEFT(CPI!B76,LEN(CPI!B76)-2)),VALUE(RIGHT(CPI!B76,2)),1)),NA())</f>
        <v>44075</v>
      </c>
      <c r="B82" s="17" t="str">
        <f aca="false">IFERROR(IF(CPI!B76="",NA(),CPI!B76),NA())</f>
        <v>2009</v>
      </c>
      <c r="C82" s="18" t="n">
        <f aca="false">IFERROR(YEAR(A82),0)</f>
        <v>2020</v>
      </c>
      <c r="D82" s="19" t="n">
        <f aca="false">IFERROR(IF(CPI!C76="",NA(),IF(ISNUMBER(CPI!C76),CPI!C76,NA())),NA())</f>
        <v>346.6207</v>
      </c>
      <c r="E82" s="19" t="n">
        <f aca="false">IFERROR(IF(CPI!D76="",NA(),IF(ISNUMBER(CPI!D76),CPI!D76,NA())),NA())</f>
        <v>346.511</v>
      </c>
      <c r="F82" s="20" t="n">
        <f aca="false">IFERROR(D82/D70-1,NA())</f>
        <v>0.366207192300507</v>
      </c>
      <c r="G82" s="20" t="n">
        <f aca="false">IFERROR(D82/D81-1,NA())</f>
        <v>0.0283552164697896</v>
      </c>
      <c r="H82" s="21" t="n">
        <f aca="false">IF(COUNT(D80:D82)=3,AVERAGE(D80:D82),NA())</f>
        <v>337.2951</v>
      </c>
      <c r="I82" s="20" t="n">
        <f aca="false">IFERROR(IF(AND(COUNT(D80:D82)=3,COUNT(D68:D70)=3),AVERAGE(D80:D82)/AVERAGE(D68:D70)-1,NA()),NA())</f>
        <v>0.397994838161683</v>
      </c>
    </row>
    <row r="83" customFormat="false" ht="15" hidden="false" customHeight="false" outlineLevel="0" collapsed="false">
      <c r="A83" s="16" t="n">
        <f aca="false">IFERROR(IF(LEN(TRIM(TEXT(CPI!B77,"@")))&lt;3,NA(),DATE(2000+VALUE(LEFT(CPI!B77,LEN(CPI!B77)-2)),VALUE(RIGHT(CPI!B77,2)),1)),NA())</f>
        <v>44105</v>
      </c>
      <c r="B83" s="17" t="str">
        <f aca="false">IFERROR(IF(CPI!B77="",NA(),CPI!B77),NA())</f>
        <v>2010</v>
      </c>
      <c r="C83" s="18" t="n">
        <f aca="false">IFERROR(YEAR(A83),0)</f>
        <v>2020</v>
      </c>
      <c r="D83" s="19" t="n">
        <f aca="false">IFERROR(IF(CPI!C77="",NA(),IF(ISNUMBER(CPI!C77),CPI!C77,NA())),NA())</f>
        <v>359.657</v>
      </c>
      <c r="E83" s="19" t="n">
        <f aca="false">IFERROR(IF(CPI!D77="",NA(),IF(ISNUMBER(CPI!D77),CPI!D77,NA())),NA())</f>
        <v>358.4989</v>
      </c>
      <c r="F83" s="20" t="n">
        <f aca="false">IFERROR(D83/D71-1,NA())</f>
        <v>0.372390400742408</v>
      </c>
      <c r="G83" s="20" t="n">
        <f aca="false">IFERROR(D83/D82-1,NA())</f>
        <v>0.037609698439822</v>
      </c>
      <c r="H83" s="21" t="n">
        <f aca="false">IF(COUNT(D81:D83)=3,AVERAGE(D81:D83),NA())</f>
        <v>347.7803</v>
      </c>
      <c r="I83" s="20" t="n">
        <f aca="false">IFERROR(IF(AND(COUNT(D81:D83)=3,COUNT(D69:D71)=3),AVERAGE(D81:D83)/AVERAGE(D69:D71)-1,NA()),NA())</f>
        <v>0.381205982652532</v>
      </c>
    </row>
    <row r="84" customFormat="false" ht="15" hidden="false" customHeight="false" outlineLevel="0" collapsed="false">
      <c r="A84" s="16" t="n">
        <f aca="false">IFERROR(IF(LEN(TRIM(TEXT(CPI!B78,"@")))&lt;3,NA(),DATE(2000+VALUE(LEFT(CPI!B78,LEN(CPI!B78)-2)),VALUE(RIGHT(CPI!B78,2)),1)),NA())</f>
        <v>44136</v>
      </c>
      <c r="B84" s="17" t="str">
        <f aca="false">IFERROR(IF(CPI!B78="",NA(),CPI!B78),NA())</f>
        <v>2011</v>
      </c>
      <c r="C84" s="18" t="n">
        <f aca="false">IFERROR(YEAR(A84),0)</f>
        <v>2020</v>
      </c>
      <c r="D84" s="19" t="n">
        <f aca="false">IFERROR(IF(CPI!C78="",NA(),IF(ISNUMBER(CPI!C78),CPI!C78,NA())),NA())</f>
        <v>371.0211</v>
      </c>
      <c r="E84" s="19" t="n">
        <f aca="false">IFERROR(IF(CPI!D78="",NA(),IF(ISNUMBER(CPI!D78),CPI!D78,NA())),NA())</f>
        <v>372.6154</v>
      </c>
      <c r="F84" s="20" t="n">
        <f aca="false">IFERROR(D84/D72-1,NA())</f>
        <v>0.357978198918218</v>
      </c>
      <c r="G84" s="20" t="n">
        <f aca="false">IFERROR(D84/D83-1,NA())</f>
        <v>0.0315970494109665</v>
      </c>
      <c r="H84" s="21" t="n">
        <f aca="false">IF(COUNT(D82:D84)=3,AVERAGE(D82:D84),NA())</f>
        <v>359.0996</v>
      </c>
      <c r="I84" s="20" t="n">
        <f aca="false">IFERROR(IF(AND(COUNT(D82:D84)=3,COUNT(D70:D72)=3),AVERAGE(D82:D84)/AVERAGE(D70:D72)-1,NA()),NA())</f>
        <v>0.365411390050673</v>
      </c>
    </row>
    <row r="85" customFormat="false" ht="15" hidden="false" customHeight="false" outlineLevel="0" collapsed="false">
      <c r="A85" s="16" t="n">
        <f aca="false">IFERROR(IF(LEN(TRIM(TEXT(CPI!B79,"@")))&lt;3,NA(),DATE(2000+VALUE(LEFT(CPI!B79,LEN(CPI!B79)-2)),VALUE(RIGHT(CPI!B79,2)),1)),NA())</f>
        <v>44166</v>
      </c>
      <c r="B85" s="17" t="str">
        <f aca="false">IFERROR(IF(CPI!B79="",NA(),CPI!B79),NA())</f>
        <v>2012</v>
      </c>
      <c r="C85" s="18" t="n">
        <f aca="false">IFERROR(YEAR(A85),0)</f>
        <v>2020</v>
      </c>
      <c r="D85" s="19" t="n">
        <f aca="false">IFERROR(IF(CPI!C79="",NA(),IF(ISNUMBER(CPI!C79),CPI!C79,NA())),NA())</f>
        <v>385.8826</v>
      </c>
      <c r="E85" s="19" t="n">
        <f aca="false">IFERROR(IF(CPI!D79="",NA(),IF(ISNUMBER(CPI!D79),CPI!D79,NA())),NA())</f>
        <v>390.7655</v>
      </c>
      <c r="F85" s="20" t="n">
        <f aca="false">IFERROR(D85/D73-1,NA())</f>
        <v>0.361405878123454</v>
      </c>
      <c r="G85" s="20" t="n">
        <f aca="false">IFERROR(D85/D84-1,NA())</f>
        <v>0.0400556733835353</v>
      </c>
      <c r="H85" s="21" t="n">
        <f aca="false">IF(COUNT(D83:D85)=3,AVERAGE(D83:D85),NA())</f>
        <v>372.1869</v>
      </c>
      <c r="I85" s="20" t="n">
        <f aca="false">IFERROR(IF(AND(COUNT(D83:D85)=3,COUNT(D71:D73)=3),AVERAGE(D83:D85)/AVERAGE(D71:D73)-1,NA()),NA())</f>
        <v>0.363778069368987</v>
      </c>
    </row>
    <row r="86" customFormat="false" ht="15" hidden="false" customHeight="false" outlineLevel="0" collapsed="false">
      <c r="A86" s="16" t="n">
        <f aca="false">IFERROR(IF(LEN(TRIM(TEXT(CPI!B80,"@")))&lt;3,NA(),DATE(2000+VALUE(LEFT(CPI!B80,LEN(CPI!B80)-2)),VALUE(RIGHT(CPI!B80,2)),1)),NA())</f>
        <v>44197</v>
      </c>
      <c r="B86" s="17" t="str">
        <f aca="false">IFERROR(IF(CPI!B80="",NA(),CPI!B80),NA())</f>
        <v>2101</v>
      </c>
      <c r="C86" s="18" t="n">
        <f aca="false">IFERROR(YEAR(A86),0)</f>
        <v>2021</v>
      </c>
      <c r="D86" s="19" t="n">
        <f aca="false">IFERROR(IF(CPI!C80="",NA(),IF(ISNUMBER(CPI!C80),CPI!C80,NA())),NA())</f>
        <v>401.5071</v>
      </c>
      <c r="E86" s="19" t="n">
        <f aca="false">IFERROR(IF(CPI!D80="",NA(),IF(ISNUMBER(CPI!D80),CPI!D80,NA())),NA())</f>
        <v>406.0674</v>
      </c>
      <c r="F86" s="20" t="n">
        <f aca="false">IFERROR(D86/D74-1,NA())</f>
        <v>0.3853198030983</v>
      </c>
      <c r="G86" s="20" t="n">
        <f aca="false">IFERROR(D86/D85-1,NA())</f>
        <v>0.0404902941982872</v>
      </c>
      <c r="H86" s="21" t="n">
        <f aca="false">IF(COUNT(D84:D86)=3,AVERAGE(D84:D86),NA())</f>
        <v>386.136933333333</v>
      </c>
      <c r="I86" s="20" t="n">
        <f aca="false">IFERROR(IF(AND(COUNT(D84:D86)=3,COUNT(D72:D74)=3),AVERAGE(D84:D86)/AVERAGE(D72:D74)-1,NA()),NA())</f>
        <v>0.368487444445587</v>
      </c>
    </row>
    <row r="87" customFormat="false" ht="15" hidden="false" customHeight="false" outlineLevel="0" collapsed="false">
      <c r="A87" s="16" t="n">
        <f aca="false">IFERROR(IF(LEN(TRIM(TEXT(CPI!B81,"@")))&lt;3,NA(),DATE(2000+VALUE(LEFT(CPI!B81,LEN(CPI!B81)-2)),VALUE(RIGHT(CPI!B81,2)),1)),NA())</f>
        <v>44228</v>
      </c>
      <c r="B87" s="17" t="str">
        <f aca="false">IFERROR(IF(CPI!B81="",NA(),CPI!B81),NA())</f>
        <v>2102</v>
      </c>
      <c r="C87" s="18" t="n">
        <f aca="false">IFERROR(YEAR(A87),0)</f>
        <v>2021</v>
      </c>
      <c r="D87" s="19" t="n">
        <f aca="false">IFERROR(IF(CPI!C81="",NA(),IF(ISNUMBER(CPI!C81),CPI!C81,NA())),NA())</f>
        <v>415.8595</v>
      </c>
      <c r="E87" s="19" t="n">
        <f aca="false">IFERROR(IF(CPI!D81="",NA(),IF(ISNUMBER(CPI!D81),CPI!D81,NA())),NA())</f>
        <v>422.5932</v>
      </c>
      <c r="F87" s="20" t="n">
        <f aca="false">IFERROR(D87/D75-1,NA())</f>
        <v>0.406517827548653</v>
      </c>
      <c r="G87" s="20" t="n">
        <f aca="false">IFERROR(D87/D86-1,NA())</f>
        <v>0.0357463168148211</v>
      </c>
      <c r="H87" s="21" t="n">
        <f aca="false">IF(COUNT(D85:D87)=3,AVERAGE(D85:D87),NA())</f>
        <v>401.083066666667</v>
      </c>
      <c r="I87" s="20" t="n">
        <f aca="false">IFERROR(IF(AND(COUNT(D85:D87)=3,COUNT(D73:D75)=3),AVERAGE(D85:D87)/AVERAGE(D73:D75)-1,NA()),NA())</f>
        <v>0.3847320430948</v>
      </c>
    </row>
    <row r="88" customFormat="false" ht="15" hidden="false" customHeight="false" outlineLevel="0" collapsed="false">
      <c r="A88" s="16" t="n">
        <f aca="false">IFERROR(IF(LEN(TRIM(TEXT(CPI!B82,"@")))&lt;3,NA(),DATE(2000+VALUE(LEFT(CPI!B82,LEN(CPI!B82)-2)),VALUE(RIGHT(CPI!B82,2)),1)),NA())</f>
        <v>44256</v>
      </c>
      <c r="B88" s="17" t="str">
        <f aca="false">IFERROR(IF(CPI!B82="",NA(),CPI!B82),NA())</f>
        <v>2103</v>
      </c>
      <c r="C88" s="18" t="n">
        <f aca="false">IFERROR(YEAR(A88),0)</f>
        <v>2021</v>
      </c>
      <c r="D88" s="19" t="n">
        <f aca="false">IFERROR(IF(CPI!C82="",NA(),IF(ISNUMBER(CPI!C82),CPI!C82,NA())),NA())</f>
        <v>435.8657</v>
      </c>
      <c r="E88" s="19" t="n">
        <f aca="false">IFERROR(IF(CPI!D82="",NA(),IF(ISNUMBER(CPI!D82),CPI!D82,NA())),NA())</f>
        <v>441.72</v>
      </c>
      <c r="F88" s="20" t="n">
        <f aca="false">IFERROR(D88/D76-1,NA())</f>
        <v>0.426488497029143</v>
      </c>
      <c r="G88" s="20" t="n">
        <f aca="false">IFERROR(D88/D87-1,NA())</f>
        <v>0.048108074962818</v>
      </c>
      <c r="H88" s="21" t="n">
        <f aca="false">IF(COUNT(D86:D88)=3,AVERAGE(D86:D88),NA())</f>
        <v>417.7441</v>
      </c>
      <c r="I88" s="20" t="n">
        <f aca="false">IFERROR(IF(AND(COUNT(D86:D88)=3,COUNT(D74:D76)=3),AVERAGE(D86:D88)/AVERAGE(D74:D76)-1,NA()),NA())</f>
        <v>0.406470968884484</v>
      </c>
    </row>
    <row r="89" customFormat="false" ht="15" hidden="false" customHeight="false" outlineLevel="0" collapsed="false">
      <c r="A89" s="16" t="n">
        <f aca="false">IFERROR(IF(LEN(TRIM(TEXT(CPI!B83,"@")))&lt;3,NA(),DATE(2000+VALUE(LEFT(CPI!B83,LEN(CPI!B83)-2)),VALUE(RIGHT(CPI!B83,2)),1)),NA())</f>
        <v>44287</v>
      </c>
      <c r="B89" s="17" t="str">
        <f aca="false">IFERROR(IF(CPI!B83="",NA(),CPI!B83),NA())</f>
        <v>2104</v>
      </c>
      <c r="C89" s="18" t="n">
        <f aca="false">IFERROR(YEAR(A89),0)</f>
        <v>2021</v>
      </c>
      <c r="D89" s="19" t="n">
        <f aca="false">IFERROR(IF(CPI!C83="",NA(),IF(ISNUMBER(CPI!C83),CPI!C83,NA())),NA())</f>
        <v>453.6503</v>
      </c>
      <c r="E89" s="19" t="n">
        <f aca="false">IFERROR(IF(CPI!D83="",NA(),IF(ISNUMBER(CPI!D83),CPI!D83,NA())),NA())</f>
        <v>461.8578</v>
      </c>
      <c r="F89" s="20" t="n">
        <f aca="false">IFERROR(D89/D77-1,NA())</f>
        <v>0.462801528290431</v>
      </c>
      <c r="G89" s="20" t="n">
        <f aca="false">IFERROR(D89/D88-1,NA())</f>
        <v>0.0408029353995967</v>
      </c>
      <c r="H89" s="21" t="n">
        <f aca="false">IF(COUNT(D87:D89)=3,AVERAGE(D87:D89),NA())</f>
        <v>435.125166666667</v>
      </c>
      <c r="I89" s="20" t="n">
        <f aca="false">IFERROR(IF(AND(COUNT(D87:D89)=3,COUNT(D75:D77)=3),AVERAGE(D87:D89)/AVERAGE(D75:D77)-1,NA()),NA())</f>
        <v>0.432366539096528</v>
      </c>
    </row>
    <row r="90" customFormat="false" ht="15" hidden="false" customHeight="false" outlineLevel="0" collapsed="false">
      <c r="A90" s="16" t="n">
        <f aca="false">IFERROR(IF(LEN(TRIM(TEXT(CPI!B84,"@")))&lt;3,NA(),DATE(2000+VALUE(LEFT(CPI!B84,LEN(CPI!B84)-2)),VALUE(RIGHT(CPI!B84,2)),1)),NA())</f>
        <v>44317</v>
      </c>
      <c r="B90" s="17" t="str">
        <f aca="false">IFERROR(IF(CPI!B84="",NA(),CPI!B84),NA())</f>
        <v>2105</v>
      </c>
      <c r="C90" s="18" t="n">
        <f aca="false">IFERROR(YEAR(A90),0)</f>
        <v>2021</v>
      </c>
      <c r="D90" s="19" t="n">
        <f aca="false">IFERROR(IF(CPI!C84="",NA(),IF(ISNUMBER(CPI!C84),CPI!C84,NA())),NA())</f>
        <v>468.725</v>
      </c>
      <c r="E90" s="19" t="n">
        <f aca="false">IFERROR(IF(CPI!D84="",NA(),IF(ISNUMBER(CPI!D84),CPI!D84,NA())),NA())</f>
        <v>477.9293</v>
      </c>
      <c r="F90" s="20" t="n">
        <f aca="false">IFERROR(D90/D78-1,NA())</f>
        <v>0.488447286467475</v>
      </c>
      <c r="G90" s="20" t="n">
        <f aca="false">IFERROR(D90/D89-1,NA())</f>
        <v>0.0332297807363955</v>
      </c>
      <c r="H90" s="21" t="n">
        <f aca="false">IF(COUNT(D88:D90)=3,AVERAGE(D88:D90),NA())</f>
        <v>452.747</v>
      </c>
      <c r="I90" s="20" t="n">
        <f aca="false">IFERROR(IF(AND(COUNT(D88:D90)=3,COUNT(D76:D78)=3),AVERAGE(D88:D90)/AVERAGE(D76:D78)-1,NA()),NA())</f>
        <v>0.459556869902734</v>
      </c>
    </row>
    <row r="91" customFormat="false" ht="15" hidden="false" customHeight="false" outlineLevel="0" collapsed="false">
      <c r="A91" s="16" t="n">
        <f aca="false">IFERROR(IF(LEN(TRIM(TEXT(CPI!B85,"@")))&lt;3,NA(),DATE(2000+VALUE(LEFT(CPI!B85,LEN(CPI!B85)-2)),VALUE(RIGHT(CPI!B85,2)),1)),NA())</f>
        <v>44348</v>
      </c>
      <c r="B91" s="17" t="str">
        <f aca="false">IFERROR(IF(CPI!B85="",NA(),CPI!B85),NA())</f>
        <v>2106</v>
      </c>
      <c r="C91" s="18" t="n">
        <f aca="false">IFERROR(YEAR(A91),0)</f>
        <v>2021</v>
      </c>
      <c r="D91" s="19" t="n">
        <f aca="false">IFERROR(IF(CPI!C85="",NA(),IF(ISNUMBER(CPI!C85),CPI!C85,NA())),NA())</f>
        <v>483.6049</v>
      </c>
      <c r="E91" s="19" t="n">
        <f aca="false">IFERROR(IF(CPI!D85="",NA(),IF(ISNUMBER(CPI!D85),CPI!D85,NA())),NA())</f>
        <v>495.1809</v>
      </c>
      <c r="F91" s="20" t="n">
        <f aca="false">IFERROR(D91/D79-1,NA())</f>
        <v>0.502000783914716</v>
      </c>
      <c r="G91" s="20" t="n">
        <f aca="false">IFERROR(D91/D90-1,NA())</f>
        <v>0.0317454797589205</v>
      </c>
      <c r="H91" s="21" t="n">
        <f aca="false">IF(COUNT(D89:D91)=3,AVERAGE(D89:D91),NA())</f>
        <v>468.660066666667</v>
      </c>
      <c r="I91" s="20" t="n">
        <f aca="false">IFERROR(IF(AND(COUNT(D89:D91)=3,COUNT(D77:D79)=3),AVERAGE(D89:D91)/AVERAGE(D77:D79)-1,NA()),NA())</f>
        <v>0.484656921154104</v>
      </c>
    </row>
    <row r="92" customFormat="false" ht="15" hidden="false" customHeight="false" outlineLevel="0" collapsed="false">
      <c r="A92" s="16" t="n">
        <f aca="false">IFERROR(IF(LEN(TRIM(TEXT(CPI!B86,"@")))&lt;3,NA(),DATE(2000+VALUE(LEFT(CPI!B86,LEN(CPI!B86)-2)),VALUE(RIGHT(CPI!B86,2)),1)),NA())</f>
        <v>44378</v>
      </c>
      <c r="B92" s="17" t="str">
        <f aca="false">IFERROR(IF(CPI!B86="",NA(),CPI!B86),NA())</f>
        <v>2107</v>
      </c>
      <c r="C92" s="18" t="n">
        <f aca="false">IFERROR(YEAR(A92),0)</f>
        <v>2021</v>
      </c>
      <c r="D92" s="19" t="n">
        <f aca="false">IFERROR(IF(CPI!C86="",NA(),IF(ISNUMBER(CPI!C86),CPI!C86,NA())),NA())</f>
        <v>498.0987</v>
      </c>
      <c r="E92" s="19" t="n">
        <f aca="false">IFERROR(IF(CPI!D86="",NA(),IF(ISNUMBER(CPI!D86),CPI!D86,NA())),NA())</f>
        <v>510.6974</v>
      </c>
      <c r="F92" s="20" t="n">
        <f aca="false">IFERROR(D92/D80-1,NA())</f>
        <v>0.517661716251058</v>
      </c>
      <c r="G92" s="20" t="n">
        <f aca="false">IFERROR(D92/D91-1,NA())</f>
        <v>0.0299703332203625</v>
      </c>
      <c r="H92" s="21" t="n">
        <f aca="false">IF(COUNT(D90:D92)=3,AVERAGE(D90:D92),NA())</f>
        <v>483.4762</v>
      </c>
      <c r="I92" s="20" t="n">
        <f aca="false">IFERROR(IF(AND(COUNT(D90:D92)=3,COUNT(D78:D80)=3),AVERAGE(D90:D92)/AVERAGE(D78:D80)-1,NA()),NA())</f>
        <v>0.502904151649406</v>
      </c>
    </row>
    <row r="93" customFormat="false" ht="15" hidden="false" customHeight="false" outlineLevel="0" collapsed="false">
      <c r="A93" s="16" t="n">
        <f aca="false">IFERROR(IF(LEN(TRIM(TEXT(CPI!B87,"@")))&lt;3,NA(),DATE(2000+VALUE(LEFT(CPI!B87,LEN(CPI!B87)-2)),VALUE(RIGHT(CPI!B87,2)),1)),NA())</f>
        <v>44409</v>
      </c>
      <c r="B93" s="17" t="str">
        <f aca="false">IFERROR(IF(CPI!B87="",NA(),CPI!B87),NA())</f>
        <v>2108</v>
      </c>
      <c r="C93" s="18" t="n">
        <f aca="false">IFERROR(YEAR(A93),0)</f>
        <v>2021</v>
      </c>
      <c r="D93" s="19" t="n">
        <f aca="false">IFERROR(IF(CPI!C87="",NA(),IF(ISNUMBER(CPI!C87),CPI!C87,NA())),NA())</f>
        <v>510.3942</v>
      </c>
      <c r="E93" s="19" t="n">
        <f aca="false">IFERROR(IF(CPI!D87="",NA(),IF(ISNUMBER(CPI!D87),CPI!D87,NA())),NA())</f>
        <v>526.6934</v>
      </c>
      <c r="F93" s="20" t="n">
        <f aca="false">IFERROR(D93/D81-1,NA())</f>
        <v>0.514238872709925</v>
      </c>
      <c r="G93" s="20" t="n">
        <f aca="false">IFERROR(D93/D92-1,NA())</f>
        <v>0.0246848666740147</v>
      </c>
      <c r="H93" s="21" t="n">
        <f aca="false">IF(COUNT(D91:D93)=3,AVERAGE(D91:D93),NA())</f>
        <v>497.365933333333</v>
      </c>
      <c r="I93" s="20" t="n">
        <f aca="false">IFERROR(IF(AND(COUNT(D91:D93)=3,COUNT(D79:D81)=3),AVERAGE(D91:D93)/AVERAGE(D79:D81)-1,NA()),NA())</f>
        <v>0.511385497160564</v>
      </c>
    </row>
    <row r="94" customFormat="false" ht="15" hidden="false" customHeight="false" outlineLevel="0" collapsed="false">
      <c r="A94" s="16" t="n">
        <f aca="false">IFERROR(IF(LEN(TRIM(TEXT(CPI!B88,"@")))&lt;3,NA(),DATE(2000+VALUE(LEFT(CPI!B88,LEN(CPI!B88)-2)),VALUE(RIGHT(CPI!B88,2)),1)),NA())</f>
        <v>44440</v>
      </c>
      <c r="B94" s="17" t="str">
        <f aca="false">IFERROR(IF(CPI!B88="",NA(),CPI!B88),NA())</f>
        <v>2109</v>
      </c>
      <c r="C94" s="18" t="n">
        <f aca="false">IFERROR(YEAR(A94),0)</f>
        <v>2021</v>
      </c>
      <c r="D94" s="19" t="n">
        <f aca="false">IFERROR(IF(CPI!C88="",NA(),IF(ISNUMBER(CPI!C88),CPI!C88,NA())),NA())</f>
        <v>528.4968</v>
      </c>
      <c r="E94" s="19" t="n">
        <f aca="false">IFERROR(IF(CPI!D88="",NA(),IF(ISNUMBER(CPI!D88),CPI!D88,NA())),NA())</f>
        <v>543.8748</v>
      </c>
      <c r="F94" s="20" t="n">
        <f aca="false">IFERROR(D94/D82-1,NA())</f>
        <v>0.524712170969593</v>
      </c>
      <c r="G94" s="20" t="n">
        <f aca="false">IFERROR(D94/D93-1,NA())</f>
        <v>0.0354678795331138</v>
      </c>
      <c r="H94" s="21" t="n">
        <f aca="false">IF(COUNT(D92:D94)=3,AVERAGE(D92:D94),NA())</f>
        <v>512.3299</v>
      </c>
      <c r="I94" s="20" t="n">
        <f aca="false">IFERROR(IF(AND(COUNT(D92:D94)=3,COUNT(D80:D82)=3),AVERAGE(D92:D94)/AVERAGE(D80:D82)-1,NA()),NA())</f>
        <v>0.518936681855147</v>
      </c>
    </row>
    <row r="95" customFormat="false" ht="15" hidden="false" customHeight="false" outlineLevel="0" collapsed="false">
      <c r="A95" s="16" t="n">
        <f aca="false">IFERROR(IF(LEN(TRIM(TEXT(CPI!B89,"@")))&lt;3,NA(),DATE(2000+VALUE(LEFT(CPI!B89,LEN(CPI!B89)-2)),VALUE(RIGHT(CPI!B89,2)),1)),NA())</f>
        <v>44470</v>
      </c>
      <c r="B95" s="17" t="str">
        <f aca="false">IFERROR(IF(CPI!B89="",NA(),CPI!B89),NA())</f>
        <v>2110</v>
      </c>
      <c r="C95" s="18" t="n">
        <f aca="false">IFERROR(YEAR(A95),0)</f>
        <v>2021</v>
      </c>
      <c r="D95" s="19" t="n">
        <f aca="false">IFERROR(IF(CPI!C89="",NA(),IF(ISNUMBER(CPI!C89),CPI!C89,NA())),NA())</f>
        <v>547.0802</v>
      </c>
      <c r="E95" s="19" t="n">
        <f aca="false">IFERROR(IF(CPI!D89="",NA(),IF(ISNUMBER(CPI!D89),CPI!D89,NA())),NA())</f>
        <v>561.2843</v>
      </c>
      <c r="F95" s="20" t="n">
        <f aca="false">IFERROR(D95/D83-1,NA())</f>
        <v>0.521116508228674</v>
      </c>
      <c r="G95" s="20" t="n">
        <f aca="false">IFERROR(D95/D94-1,NA())</f>
        <v>0.0351627483837178</v>
      </c>
      <c r="H95" s="21" t="n">
        <f aca="false">IF(COUNT(D93:D95)=3,AVERAGE(D93:D95),NA())</f>
        <v>528.657066666667</v>
      </c>
      <c r="I95" s="20" t="n">
        <f aca="false">IFERROR(IF(AND(COUNT(D93:D95)=3,COUNT(D81:D83)=3),AVERAGE(D93:D95)/AVERAGE(D81:D83)-1,NA()),NA())</f>
        <v>0.520089167404441</v>
      </c>
    </row>
    <row r="96" customFormat="false" ht="15" hidden="false" customHeight="false" outlineLevel="0" collapsed="false">
      <c r="A96" s="16" t="n">
        <f aca="false">IFERROR(IF(LEN(TRIM(TEXT(CPI!B90,"@")))&lt;3,NA(),DATE(2000+VALUE(LEFT(CPI!B90,LEN(CPI!B90)-2)),VALUE(RIGHT(CPI!B90,2)),1)),NA())</f>
        <v>44501</v>
      </c>
      <c r="B96" s="17" t="str">
        <f aca="false">IFERROR(IF(CPI!B90="",NA(),CPI!B90),NA())</f>
        <v>2111</v>
      </c>
      <c r="C96" s="18" t="n">
        <f aca="false">IFERROR(YEAR(A96),0)</f>
        <v>2021</v>
      </c>
      <c r="D96" s="19" t="n">
        <f aca="false">IFERROR(IF(CPI!C90="",NA(),IF(ISNUMBER(CPI!C90),CPI!C90,NA())),NA())</f>
        <v>560.9184</v>
      </c>
      <c r="E96" s="19" t="n">
        <f aca="false">IFERROR(IF(CPI!D90="",NA(),IF(ISNUMBER(CPI!D90),CPI!D90,NA())),NA())</f>
        <v>579.5414</v>
      </c>
      <c r="F96" s="20" t="n">
        <f aca="false">IFERROR(D96/D84-1,NA())</f>
        <v>0.51182345155033</v>
      </c>
      <c r="G96" s="20" t="n">
        <f aca="false">IFERROR(D96/D95-1,NA())</f>
        <v>0.0252946460135095</v>
      </c>
      <c r="H96" s="21" t="n">
        <f aca="false">IF(COUNT(D94:D96)=3,AVERAGE(D94:D96),NA())</f>
        <v>545.498466666667</v>
      </c>
      <c r="I96" s="20" t="n">
        <f aca="false">IFERROR(IF(AND(COUNT(D94:D96)=3,COUNT(D82:D84)=3),AVERAGE(D94:D96)/AVERAGE(D82:D84)-1,NA()),NA())</f>
        <v>0.519072888598781</v>
      </c>
    </row>
    <row r="97" customFormat="false" ht="15" hidden="false" customHeight="false" outlineLevel="0" collapsed="false">
      <c r="A97" s="16" t="n">
        <f aca="false">IFERROR(IF(LEN(TRIM(TEXT(CPI!B91,"@")))&lt;3,NA(),DATE(2000+VALUE(LEFT(CPI!B91,LEN(CPI!B91)-2)),VALUE(RIGHT(CPI!B91,2)),1)),NA())</f>
        <v>44531</v>
      </c>
      <c r="B97" s="17" t="str">
        <f aca="false">IFERROR(IF(CPI!B91="",NA(),CPI!B91),NA())</f>
        <v>2112</v>
      </c>
      <c r="C97" s="18" t="n">
        <f aca="false">IFERROR(YEAR(A97),0)</f>
        <v>2021</v>
      </c>
      <c r="D97" s="19" t="n">
        <f aca="false">IFERROR(IF(CPI!C91="",NA(),IF(ISNUMBER(CPI!C91),CPI!C91,NA())),NA())</f>
        <v>582.4575</v>
      </c>
      <c r="E97" s="19" t="n">
        <f aca="false">IFERROR(IF(CPI!D91="",NA(),IF(ISNUMBER(CPI!D91),CPI!D91,NA())),NA())</f>
        <v>605.1759</v>
      </c>
      <c r="F97" s="20" t="n">
        <f aca="false">IFERROR(D97/D85-1,NA())</f>
        <v>0.509416335434663</v>
      </c>
      <c r="G97" s="20" t="n">
        <f aca="false">IFERROR(D97/D96-1,NA())</f>
        <v>0.0383997030584127</v>
      </c>
      <c r="H97" s="21" t="n">
        <f aca="false">IF(COUNT(D95:D97)=3,AVERAGE(D95:D97),NA())</f>
        <v>563.485366666667</v>
      </c>
      <c r="I97" s="20" t="n">
        <f aca="false">IFERROR(IF(AND(COUNT(D95:D97)=3,COUNT(D83:D85)=3),AVERAGE(D95:D97)/AVERAGE(D83:D85)-1,NA()),NA())</f>
        <v>0.513984953975185</v>
      </c>
    </row>
    <row r="98" customFormat="false" ht="15" hidden="false" customHeight="false" outlineLevel="0" collapsed="false">
      <c r="A98" s="16" t="n">
        <f aca="false">IFERROR(IF(LEN(TRIM(TEXT(CPI!B92,"@")))&lt;3,NA(),DATE(2000+VALUE(LEFT(CPI!B92,LEN(CPI!B92)-2)),VALUE(RIGHT(CPI!B92,2)),1)),NA())</f>
        <v>44562</v>
      </c>
      <c r="B98" s="17" t="str">
        <f aca="false">IFERROR(IF(CPI!B92="",NA(),CPI!B92),NA())</f>
        <v>2201</v>
      </c>
      <c r="C98" s="18" t="n">
        <f aca="false">IFERROR(YEAR(A98),0)</f>
        <v>2022</v>
      </c>
      <c r="D98" s="19" t="n">
        <f aca="false">IFERROR(IF(CPI!C92="",NA(),IF(ISNUMBER(CPI!C92),CPI!C92,NA())),NA())</f>
        <v>605.0317</v>
      </c>
      <c r="E98" s="19" t="n">
        <f aca="false">IFERROR(IF(CPI!D92="",NA(),IF(ISNUMBER(CPI!D92),CPI!D92,NA())),NA())</f>
        <v>625.1594</v>
      </c>
      <c r="F98" s="20" t="n">
        <f aca="false">IFERROR(D98/D86-1,NA())</f>
        <v>0.50690162141591</v>
      </c>
      <c r="G98" s="20" t="n">
        <f aca="false">IFERROR(D98/D97-1,NA())</f>
        <v>0.0387568191670638</v>
      </c>
      <c r="H98" s="21" t="n">
        <f aca="false">IF(COUNT(D96:D98)=3,AVERAGE(D96:D98),NA())</f>
        <v>582.802533333333</v>
      </c>
      <c r="I98" s="20" t="n">
        <f aca="false">IFERROR(IF(AND(COUNT(D96:D98)=3,COUNT(D84:D86)=3),AVERAGE(D96:D98)/AVERAGE(D84:D86)-1,NA()),NA())</f>
        <v>0.509315693534625</v>
      </c>
    </row>
    <row r="99" customFormat="false" ht="15" hidden="false" customHeight="false" outlineLevel="0" collapsed="false">
      <c r="A99" s="16" t="n">
        <f aca="false">IFERROR(IF(LEN(TRIM(TEXT(CPI!B93,"@")))&lt;3,NA(),DATE(2000+VALUE(LEFT(CPI!B93,LEN(CPI!B93)-2)),VALUE(RIGHT(CPI!B93,2)),1)),NA())</f>
        <v>44593</v>
      </c>
      <c r="B99" s="17" t="str">
        <f aca="false">IFERROR(IF(CPI!B93="",NA(),CPI!B93),NA())</f>
        <v>2202</v>
      </c>
      <c r="C99" s="18" t="n">
        <f aca="false">IFERROR(YEAR(A99),0)</f>
        <v>2022</v>
      </c>
      <c r="D99" s="19" t="n">
        <f aca="false">IFERROR(IF(CPI!C93="",NA(),IF(ISNUMBER(CPI!C93),CPI!C93,NA())),NA())</f>
        <v>633.4341</v>
      </c>
      <c r="E99" s="19" t="n">
        <f aca="false">IFERROR(IF(CPI!D93="",NA(),IF(ISNUMBER(CPI!D93),CPI!D93,NA())),NA())</f>
        <v>652.9838</v>
      </c>
      <c r="F99" s="20" t="n">
        <f aca="false">IFERROR(D99/D87-1,NA())</f>
        <v>0.523192568643977</v>
      </c>
      <c r="G99" s="20" t="n">
        <f aca="false">IFERROR(D99/D98-1,NA())</f>
        <v>0.04694365601009</v>
      </c>
      <c r="H99" s="21" t="n">
        <f aca="false">IF(COUNT(D97:D99)=3,AVERAGE(D97:D99),NA())</f>
        <v>606.974433333333</v>
      </c>
      <c r="I99" s="20" t="n">
        <f aca="false">IFERROR(IF(AND(COUNT(D97:D99)=3,COUNT(D85:D87)=3),AVERAGE(D97:D99)/AVERAGE(D85:D87)-1,NA()),NA())</f>
        <v>0.513338467210284</v>
      </c>
    </row>
    <row r="100" customFormat="false" ht="15" hidden="false" customHeight="false" outlineLevel="0" collapsed="false">
      <c r="A100" s="16" t="n">
        <f aca="false">IFERROR(IF(LEN(TRIM(TEXT(CPI!B94,"@")))&lt;3,NA(),DATE(2000+VALUE(LEFT(CPI!B94,LEN(CPI!B94)-2)),VALUE(RIGHT(CPI!B94,2)),1)),NA())</f>
        <v>44621</v>
      </c>
      <c r="B100" s="17" t="str">
        <f aca="false">IFERROR(IF(CPI!B94="",NA(),CPI!B94),NA())</f>
        <v>2203</v>
      </c>
      <c r="C100" s="18" t="n">
        <f aca="false">IFERROR(YEAR(A100),0)</f>
        <v>2022</v>
      </c>
      <c r="D100" s="19" t="n">
        <f aca="false">IFERROR(IF(CPI!C94="",NA(),IF(ISNUMBER(CPI!C94),CPI!C94,NA())),NA())</f>
        <v>676.0566</v>
      </c>
      <c r="E100" s="19" t="n">
        <f aca="false">IFERROR(IF(CPI!D94="",NA(),IF(ISNUMBER(CPI!D94),CPI!D94,NA())),NA())</f>
        <v>694.7515</v>
      </c>
      <c r="F100" s="20" t="n">
        <f aca="false">IFERROR(D100/D88-1,NA())</f>
        <v>0.551066303221382</v>
      </c>
      <c r="G100" s="20" t="n">
        <f aca="false">IFERROR(D100/D99-1,NA())</f>
        <v>0.0672879783390254</v>
      </c>
      <c r="H100" s="21" t="n">
        <f aca="false">IF(COUNT(D98:D100)=3,AVERAGE(D98:D100),NA())</f>
        <v>638.174133333333</v>
      </c>
      <c r="I100" s="20" t="n">
        <f aca="false">IFERROR(IF(AND(COUNT(D98:D100)=3,COUNT(D86:D88)=3),AVERAGE(D98:D100)/AVERAGE(D86:D88)-1,NA()),NA())</f>
        <v>0.527667615971915</v>
      </c>
    </row>
    <row r="101" customFormat="false" ht="15" hidden="false" customHeight="false" outlineLevel="0" collapsed="false">
      <c r="A101" s="16" t="n">
        <f aca="false">IFERROR(IF(LEN(TRIM(TEXT(CPI!B95,"@")))&lt;3,NA(),DATE(2000+VALUE(LEFT(CPI!B95,LEN(CPI!B95)-2)),VALUE(RIGHT(CPI!B95,2)),1)),NA())</f>
        <v>44652</v>
      </c>
      <c r="B101" s="17" t="str">
        <f aca="false">IFERROR(IF(CPI!B95="",NA(),CPI!B95),NA())</f>
        <v>2204</v>
      </c>
      <c r="C101" s="18" t="n">
        <f aca="false">IFERROR(YEAR(A101),0)</f>
        <v>2022</v>
      </c>
      <c r="D101" s="19" t="n">
        <f aca="false">IFERROR(IF(CPI!C95="",NA(),IF(ISNUMBER(CPI!C95),CPI!C95,NA())),NA())</f>
        <v>716.9399</v>
      </c>
      <c r="E101" s="19" t="n">
        <f aca="false">IFERROR(IF(CPI!D95="",NA(),IF(ISNUMBER(CPI!D95),CPI!D95,NA())),NA())</f>
        <v>741.3622</v>
      </c>
      <c r="F101" s="20" t="n">
        <f aca="false">IFERROR(D101/D89-1,NA())</f>
        <v>0.580380085718008</v>
      </c>
      <c r="G101" s="20" t="n">
        <f aca="false">IFERROR(D101/D100-1,NA())</f>
        <v>0.0604731911499716</v>
      </c>
      <c r="H101" s="21" t="n">
        <f aca="false">IF(COUNT(D99:D101)=3,AVERAGE(D99:D101),NA())</f>
        <v>675.476866666667</v>
      </c>
      <c r="I101" s="20" t="n">
        <f aca="false">IFERROR(IF(AND(COUNT(D99:D101)=3,COUNT(D87:D89)=3),AVERAGE(D99:D101)/AVERAGE(D87:D89)-1,NA()),NA())</f>
        <v>0.552373703964874</v>
      </c>
    </row>
    <row r="102" customFormat="false" ht="15" hidden="false" customHeight="false" outlineLevel="0" collapsed="false">
      <c r="A102" s="16" t="n">
        <f aca="false">IFERROR(IF(LEN(TRIM(TEXT(CPI!B96,"@")))&lt;3,NA(),DATE(2000+VALUE(LEFT(CPI!B96,LEN(CPI!B96)-2)),VALUE(RIGHT(CPI!B96,2)),1)),NA())</f>
        <v>44682</v>
      </c>
      <c r="B102" s="17" t="str">
        <f aca="false">IFERROR(IF(CPI!B96="",NA(),CPI!B96),NA())</f>
        <v>2205</v>
      </c>
      <c r="C102" s="18" t="n">
        <f aca="false">IFERROR(YEAR(A102),0)</f>
        <v>2022</v>
      </c>
      <c r="D102" s="19" t="n">
        <f aca="false">IFERROR(IF(CPI!C96="",NA(),IF(ISNUMBER(CPI!C96),CPI!C96,NA())),NA())</f>
        <v>753.147</v>
      </c>
      <c r="E102" s="19" t="n">
        <f aca="false">IFERROR(IF(CPI!D96="",NA(),IF(ISNUMBER(CPI!D96),CPI!D96,NA())),NA())</f>
        <v>779.9267</v>
      </c>
      <c r="F102" s="20" t="n">
        <f aca="false">IFERROR(D102/D90-1,NA())</f>
        <v>0.606799295962451</v>
      </c>
      <c r="G102" s="20" t="n">
        <f aca="false">IFERROR(D102/D101-1,NA())</f>
        <v>0.0505022805956261</v>
      </c>
      <c r="H102" s="21" t="n">
        <f aca="false">IF(COUNT(D100:D102)=3,AVERAGE(D100:D102),NA())</f>
        <v>715.381166666667</v>
      </c>
      <c r="I102" s="20" t="n">
        <f aca="false">IFERROR(IF(AND(COUNT(D100:D102)=3,COUNT(D88:D90)=3),AVERAGE(D100:D102)/AVERAGE(D88:D90)-1,NA()),NA())</f>
        <v>0.580090352153999</v>
      </c>
    </row>
    <row r="103" customFormat="false" ht="15" hidden="false" customHeight="false" outlineLevel="0" collapsed="false">
      <c r="A103" s="16" t="n">
        <f aca="false">IFERROR(IF(LEN(TRIM(TEXT(CPI!B97,"@")))&lt;3,NA(),DATE(2000+VALUE(LEFT(CPI!B97,LEN(CPI!B97)-2)),VALUE(RIGHT(CPI!B97,2)),1)),NA())</f>
        <v>44713</v>
      </c>
      <c r="B103" s="17" t="str">
        <f aca="false">IFERROR(IF(CPI!B97="",NA(),CPI!B97),NA())</f>
        <v>2206</v>
      </c>
      <c r="C103" s="18" t="n">
        <f aca="false">IFERROR(YEAR(A103),0)</f>
        <v>2022</v>
      </c>
      <c r="D103" s="19" t="n">
        <f aca="false">IFERROR(IF(CPI!C97="",NA(),IF(ISNUMBER(CPI!C97),CPI!C97,NA())),NA())</f>
        <v>793.0278</v>
      </c>
      <c r="E103" s="19" t="n">
        <f aca="false">IFERROR(IF(CPI!D97="",NA(),IF(ISNUMBER(CPI!D97),CPI!D97,NA())),NA())</f>
        <v>819.5734</v>
      </c>
      <c r="F103" s="20" t="n">
        <f aca="false">IFERROR(D103/D91-1,NA())</f>
        <v>0.639825816487798</v>
      </c>
      <c r="G103" s="20" t="n">
        <f aca="false">IFERROR(D103/D102-1,NA())</f>
        <v>0.0529522125162816</v>
      </c>
      <c r="H103" s="21" t="n">
        <f aca="false">IF(COUNT(D101:D103)=3,AVERAGE(D101:D103),NA())</f>
        <v>754.371566666667</v>
      </c>
      <c r="I103" s="20" t="n">
        <f aca="false">IFERROR(IF(AND(COUNT(D101:D103)=3,COUNT(D89:D91)=3),AVERAGE(D101:D103)/AVERAGE(D89:D91)-1,NA()),NA())</f>
        <v>0.609634829850378</v>
      </c>
    </row>
    <row r="104" customFormat="false" ht="15" hidden="false" customHeight="false" outlineLevel="0" collapsed="false">
      <c r="A104" s="16" t="n">
        <f aca="false">IFERROR(IF(LEN(TRIM(TEXT(CPI!B98,"@")))&lt;3,NA(),DATE(2000+VALUE(LEFT(CPI!B98,LEN(CPI!B98)-2)),VALUE(RIGHT(CPI!B98,2)),1)),NA())</f>
        <v>44743</v>
      </c>
      <c r="B104" s="17" t="str">
        <f aca="false">IFERROR(IF(CPI!B98="",NA(),CPI!B98),NA())</f>
        <v>2207</v>
      </c>
      <c r="C104" s="18" t="n">
        <f aca="false">IFERROR(YEAR(A104),0)</f>
        <v>2022</v>
      </c>
      <c r="D104" s="19" t="n">
        <f aca="false">IFERROR(IF(CPI!C98="",NA(),IF(ISNUMBER(CPI!C98),CPI!C98,NA())),NA())</f>
        <v>851.761</v>
      </c>
      <c r="E104" s="19" t="n">
        <f aca="false">IFERROR(IF(CPI!D98="",NA(),IF(ISNUMBER(CPI!D98),CPI!D98,NA())),NA())</f>
        <v>879.6383</v>
      </c>
      <c r="F104" s="20" t="n">
        <f aca="false">IFERROR(D104/D92-1,NA())</f>
        <v>0.710024539313192</v>
      </c>
      <c r="G104" s="20" t="n">
        <f aca="false">IFERROR(D104/D103-1,NA())</f>
        <v>0.0740619685715935</v>
      </c>
      <c r="H104" s="21" t="n">
        <f aca="false">IF(COUNT(D102:D104)=3,AVERAGE(D102:D104),NA())</f>
        <v>799.311933333333</v>
      </c>
      <c r="I104" s="20" t="n">
        <f aca="false">IFERROR(IF(AND(COUNT(D102:D104)=3,COUNT(D90:D92)=3),AVERAGE(D102:D104)/AVERAGE(D90:D92)-1,NA()),NA())</f>
        <v>0.653260146690434</v>
      </c>
    </row>
    <row r="105" customFormat="false" ht="15" hidden="false" customHeight="false" outlineLevel="0" collapsed="false">
      <c r="A105" s="16" t="n">
        <f aca="false">IFERROR(IF(LEN(TRIM(TEXT(CPI!B99,"@")))&lt;3,NA(),DATE(2000+VALUE(LEFT(CPI!B99,LEN(CPI!B99)-2)),VALUE(RIGHT(CPI!B99,2)),1)),NA())</f>
        <v>44774</v>
      </c>
      <c r="B105" s="17" t="str">
        <f aca="false">IFERROR(IF(CPI!B99="",NA(),CPI!B99),NA())</f>
        <v>2208</v>
      </c>
      <c r="C105" s="18" t="n">
        <f aca="false">IFERROR(YEAR(A105),0)</f>
        <v>2022</v>
      </c>
      <c r="D105" s="19" t="n">
        <f aca="false">IFERROR(IF(CPI!C99="",NA(),IF(ISNUMBER(CPI!C99),CPI!C99,NA())),NA())</f>
        <v>911.1316</v>
      </c>
      <c r="E105" s="19" t="n">
        <f aca="false">IFERROR(IF(CPI!D99="",NA(),IF(ISNUMBER(CPI!D99),CPI!D99,NA())),NA())</f>
        <v>939.4677</v>
      </c>
      <c r="F105" s="20" t="n">
        <f aca="false">IFERROR(D105/D93-1,NA())</f>
        <v>0.785152730967554</v>
      </c>
      <c r="G105" s="20" t="n">
        <f aca="false">IFERROR(D105/D104-1,NA())</f>
        <v>0.0697033557535507</v>
      </c>
      <c r="H105" s="21" t="n">
        <f aca="false">IF(COUNT(D103:D105)=3,AVERAGE(D103:D105),NA())</f>
        <v>851.973466666667</v>
      </c>
      <c r="I105" s="20" t="n">
        <f aca="false">IFERROR(IF(AND(COUNT(D103:D105)=3,COUNT(D91:D93)=3),AVERAGE(D103:D105)/AVERAGE(D91:D93)-1,NA()),NA())</f>
        <v>0.712971093449773</v>
      </c>
    </row>
    <row r="106" customFormat="false" ht="15" hidden="false" customHeight="false" outlineLevel="0" collapsed="false">
      <c r="A106" s="16" t="n">
        <f aca="false">IFERROR(IF(LEN(TRIM(TEXT(CPI!B100,"@")))&lt;3,NA(),DATE(2000+VALUE(LEFT(CPI!B100,LEN(CPI!B100)-2)),VALUE(RIGHT(CPI!B100,2)),1)),NA())</f>
        <v>44805</v>
      </c>
      <c r="B106" s="17" t="str">
        <f aca="false">IFERROR(IF(CPI!B100="",NA(),CPI!B100),NA())</f>
        <v>2209</v>
      </c>
      <c r="C106" s="18" t="n">
        <f aca="false">IFERROR(YEAR(A106),0)</f>
        <v>2022</v>
      </c>
      <c r="D106" s="19" t="n">
        <f aca="false">IFERROR(IF(CPI!C100="",NA(),IF(ISNUMBER(CPI!C100),CPI!C100,NA())),NA())</f>
        <v>967.3076</v>
      </c>
      <c r="E106" s="19" t="n">
        <f aca="false">IFERROR(IF(CPI!D100="",NA(),IF(ISNUMBER(CPI!D100),CPI!D100,NA())),NA())</f>
        <v>991.2585</v>
      </c>
      <c r="F106" s="20" t="n">
        <f aca="false">IFERROR(D106/D94-1,NA())</f>
        <v>0.830299823953522</v>
      </c>
      <c r="G106" s="20" t="n">
        <f aca="false">IFERROR(D106/D105-1,NA())</f>
        <v>0.0616551988757716</v>
      </c>
      <c r="H106" s="21" t="n">
        <f aca="false">IF(COUNT(D104:D106)=3,AVERAGE(D104:D106),NA())</f>
        <v>910.066733333333</v>
      </c>
      <c r="I106" s="20" t="n">
        <f aca="false">IFERROR(IF(AND(COUNT(D104:D106)=3,COUNT(D92:D94)=3),AVERAGE(D104:D106)/AVERAGE(D92:D94)-1,NA()),NA())</f>
        <v>0.776329535585047</v>
      </c>
    </row>
    <row r="107" customFormat="false" ht="15" hidden="false" customHeight="false" outlineLevel="0" collapsed="false">
      <c r="A107" s="16" t="n">
        <f aca="false">IFERROR(IF(LEN(TRIM(TEXT(CPI!B101,"@")))&lt;3,NA(),DATE(2000+VALUE(LEFT(CPI!B101,LEN(CPI!B101)-2)),VALUE(RIGHT(CPI!B101,2)),1)),NA())</f>
        <v>44835</v>
      </c>
      <c r="B107" s="17" t="str">
        <f aca="false">IFERROR(IF(CPI!B101="",NA(),CPI!B101),NA())</f>
        <v>2210</v>
      </c>
      <c r="C107" s="18" t="n">
        <f aca="false">IFERROR(YEAR(A107),0)</f>
        <v>2022</v>
      </c>
      <c r="D107" s="19" t="n">
        <f aca="false">IFERROR(IF(CPI!C101="",NA(),IF(ISNUMBER(CPI!C101),CPI!C101,NA())),NA())</f>
        <v>1028.706</v>
      </c>
      <c r="E107" s="19" t="n">
        <f aca="false">IFERROR(IF(CPI!D101="",NA(),IF(ISNUMBER(CPI!D101),CPI!D101,NA())),NA())</f>
        <v>1046.265</v>
      </c>
      <c r="F107" s="20" t="n">
        <f aca="false">IFERROR(D107/D95-1,NA())</f>
        <v>0.880356847131371</v>
      </c>
      <c r="G107" s="20" t="n">
        <f aca="false">IFERROR(D107/D106-1,NA())</f>
        <v>0.0634735010869345</v>
      </c>
      <c r="H107" s="21" t="n">
        <f aca="false">IF(COUNT(D105:D107)=3,AVERAGE(D105:D107),NA())</f>
        <v>969.0484</v>
      </c>
      <c r="I107" s="20" t="n">
        <f aca="false">IFERROR(IF(AND(COUNT(D105:D107)=3,COUNT(D93:D95)=3),AVERAGE(D105:D107)/AVERAGE(D93:D95)-1,NA()),NA())</f>
        <v>0.833037825655346</v>
      </c>
    </row>
    <row r="108" customFormat="false" ht="15" hidden="false" customHeight="false" outlineLevel="0" collapsed="false">
      <c r="A108" s="16" t="n">
        <f aca="false">IFERROR(IF(LEN(TRIM(TEXT(CPI!B102,"@")))&lt;3,NA(),DATE(2000+VALUE(LEFT(CPI!B102,LEN(CPI!B102)-2)),VALUE(RIGHT(CPI!B102,2)),1)),NA())</f>
        <v>44866</v>
      </c>
      <c r="B108" s="17" t="str">
        <f aca="false">IFERROR(IF(CPI!B102="",NA(),CPI!B102),NA())</f>
        <v>2211</v>
      </c>
      <c r="C108" s="18" t="n">
        <f aca="false">IFERROR(YEAR(A108),0)</f>
        <v>2022</v>
      </c>
      <c r="D108" s="19" t="n">
        <f aca="false">IFERROR(IF(CPI!C102="",NA(),IF(ISNUMBER(CPI!C102),CPI!C102,NA())),NA())</f>
        <v>1079.2787</v>
      </c>
      <c r="E108" s="19" t="n">
        <f aca="false">IFERROR(IF(CPI!D102="",NA(),IF(ISNUMBER(CPI!D102),CPI!D102,NA())),NA())</f>
        <v>1096.024</v>
      </c>
      <c r="F108" s="20" t="n">
        <f aca="false">IFERROR(D108/D96-1,NA())</f>
        <v>0.92412782322705</v>
      </c>
      <c r="G108" s="20" t="n">
        <f aca="false">IFERROR(D108/D107-1,NA())</f>
        <v>0.0491614708186792</v>
      </c>
      <c r="H108" s="21" t="n">
        <f aca="false">IF(COUNT(D106:D108)=3,AVERAGE(D106:D108),NA())</f>
        <v>1025.09743333333</v>
      </c>
      <c r="I108" s="20" t="n">
        <f aca="false">IFERROR(IF(AND(COUNT(D106:D108)=3,COUNT(D94:D96)=3),AVERAGE(D106:D108)/AVERAGE(D94:D96)-1,NA()),NA())</f>
        <v>0.879193977569384</v>
      </c>
    </row>
    <row r="109" customFormat="false" ht="15" hidden="false" customHeight="false" outlineLevel="0" collapsed="false">
      <c r="A109" s="16" t="n">
        <f aca="false">IFERROR(IF(LEN(TRIM(TEXT(CPI!B103,"@")))&lt;3,NA(),DATE(2000+VALUE(LEFT(CPI!B103,LEN(CPI!B103)-2)),VALUE(RIGHT(CPI!B103,2)),1)),NA())</f>
        <v>44896</v>
      </c>
      <c r="B109" s="17" t="str">
        <f aca="false">IFERROR(IF(CPI!B103="",NA(),CPI!B103),NA())</f>
        <v>2212</v>
      </c>
      <c r="C109" s="18" t="n">
        <f aca="false">IFERROR(YEAR(A109),0)</f>
        <v>2022</v>
      </c>
      <c r="D109" s="19" t="n">
        <f aca="false">IFERROR(IF(CPI!C103="",NA(),IF(ISNUMBER(CPI!C103),CPI!C103,NA())),NA())</f>
        <v>1134.5875</v>
      </c>
      <c r="E109" s="19" t="n">
        <f aca="false">IFERROR(IF(CPI!D103="",NA(),IF(ISNUMBER(CPI!D103),CPI!D103,NA())),NA())</f>
        <v>1153.5771</v>
      </c>
      <c r="F109" s="20" t="n">
        <f aca="false">IFERROR(D109/D97-1,NA())</f>
        <v>0.947931823351919</v>
      </c>
      <c r="G109" s="20" t="n">
        <f aca="false">IFERROR(D109/D108-1,NA())</f>
        <v>0.0512460775886709</v>
      </c>
      <c r="H109" s="21" t="n">
        <f aca="false">IF(COUNT(D107:D109)=3,AVERAGE(D107:D109),NA())</f>
        <v>1080.8574</v>
      </c>
      <c r="I109" s="20" t="n">
        <f aca="false">IFERROR(IF(AND(COUNT(D107:D109)=3,COUNT(D95:D97)=3),AVERAGE(D107:D109)/AVERAGE(D95:D97)-1,NA()),NA())</f>
        <v>0.91816409784318</v>
      </c>
    </row>
    <row r="110" customFormat="false" ht="15" hidden="false" customHeight="false" outlineLevel="0" collapsed="false">
      <c r="A110" s="16" t="n">
        <f aca="false">IFERROR(IF(LEN(TRIM(TEXT(CPI!B104,"@")))&lt;3,NA(),DATE(2000+VALUE(LEFT(CPI!B104,LEN(CPI!B104)-2)),VALUE(RIGHT(CPI!B104,2)),1)),NA())</f>
        <v>44927</v>
      </c>
      <c r="B110" s="17" t="str">
        <f aca="false">IFERROR(IF(CPI!B104="",NA(),CPI!B104),NA())</f>
        <v>2301</v>
      </c>
      <c r="C110" s="18" t="n">
        <f aca="false">IFERROR(YEAR(A110),0)</f>
        <v>2023</v>
      </c>
      <c r="D110" s="19" t="n">
        <f aca="false">IFERROR(IF(CPI!C104="",NA(),IF(ISNUMBER(CPI!C104),CPI!C104,NA())),NA())</f>
        <v>1202.979</v>
      </c>
      <c r="E110" s="19" t="n">
        <f aca="false">IFERROR(IF(CPI!D104="",NA(),IF(ISNUMBER(CPI!D104),CPI!D104,NA())),NA())</f>
        <v>1215.3182</v>
      </c>
      <c r="F110" s="20" t="n">
        <f aca="false">IFERROR(D110/D98-1,NA())</f>
        <v>0.988290861454036</v>
      </c>
      <c r="G110" s="20" t="n">
        <f aca="false">IFERROR(D110/D109-1,NA())</f>
        <v>0.0602787356638426</v>
      </c>
      <c r="H110" s="21" t="n">
        <f aca="false">IF(COUNT(D108:D110)=3,AVERAGE(D108:D110),NA())</f>
        <v>1138.9484</v>
      </c>
      <c r="I110" s="20" t="n">
        <f aca="false">IFERROR(IF(AND(COUNT(D108:D110)=3,COUNT(D96:D98)=3),AVERAGE(D108:D110)/AVERAGE(D96:D98)-1,NA()),NA())</f>
        <v>0.95426123748261</v>
      </c>
    </row>
    <row r="111" customFormat="false" ht="15" hidden="false" customHeight="false" outlineLevel="0" collapsed="false">
      <c r="A111" s="16" t="n">
        <f aca="false">IFERROR(IF(LEN(TRIM(TEXT(CPI!B105,"@")))&lt;3,NA(),DATE(2000+VALUE(LEFT(CPI!B105,LEN(CPI!B105)-2)),VALUE(RIGHT(CPI!B105,2)),1)),NA())</f>
        <v>44958</v>
      </c>
      <c r="B111" s="17" t="str">
        <f aca="false">IFERROR(IF(CPI!B105="",NA(),CPI!B105),NA())</f>
        <v>2302</v>
      </c>
      <c r="C111" s="18" t="n">
        <f aca="false">IFERROR(YEAR(A111),0)</f>
        <v>2023</v>
      </c>
      <c r="D111" s="19" t="n">
        <f aca="false">IFERROR(IF(CPI!C105="",NA(),IF(ISNUMBER(CPI!C105),CPI!C105,NA())),NA())</f>
        <v>1282.7091</v>
      </c>
      <c r="E111" s="19" t="n">
        <f aca="false">IFERROR(IF(CPI!D105="",NA(),IF(ISNUMBER(CPI!D105),CPI!D105,NA())),NA())</f>
        <v>1308.7788</v>
      </c>
      <c r="F111" s="20" t="n">
        <f aca="false">IFERROR(D111/D99-1,NA())</f>
        <v>1.02500796846902</v>
      </c>
      <c r="G111" s="20" t="n">
        <f aca="false">IFERROR(D111/D110-1,NA())</f>
        <v>0.0662772168092709</v>
      </c>
      <c r="H111" s="21" t="n">
        <f aca="false">IF(COUNT(D109:D111)=3,AVERAGE(D109:D111),NA())</f>
        <v>1206.75853333333</v>
      </c>
      <c r="I111" s="20" t="n">
        <f aca="false">IFERROR(IF(AND(COUNT(D109:D111)=3,COUNT(D97:D99)=3),AVERAGE(D109:D111)/AVERAGE(D97:D99)-1,NA()),NA())</f>
        <v>0.98815381186017</v>
      </c>
    </row>
    <row r="112" customFormat="false" ht="15" hidden="false" customHeight="false" outlineLevel="0" collapsed="false">
      <c r="A112" s="16" t="n">
        <f aca="false">IFERROR(IF(LEN(TRIM(TEXT(CPI!B106,"@")))&lt;3,NA(),DATE(2000+VALUE(LEFT(CPI!B106,LEN(CPI!B106)-2)),VALUE(RIGHT(CPI!B106,2)),1)),NA())</f>
        <v>44986</v>
      </c>
      <c r="B112" s="17" t="str">
        <f aca="false">IFERROR(IF(CPI!B106="",NA(),CPI!B106),NA())</f>
        <v>2303</v>
      </c>
      <c r="C112" s="18" t="n">
        <f aca="false">IFERROR(YEAR(A112),0)</f>
        <v>2023</v>
      </c>
      <c r="D112" s="19" t="n">
        <f aca="false">IFERROR(IF(CPI!C106="",NA(),IF(ISNUMBER(CPI!C106),CPI!C106,NA())),NA())</f>
        <v>1381.1601</v>
      </c>
      <c r="E112" s="19" t="n">
        <f aca="false">IFERROR(IF(CPI!D106="",NA(),IF(ISNUMBER(CPI!D106),CPI!D106,NA())),NA())</f>
        <v>1403.1434</v>
      </c>
      <c r="F112" s="20" t="n">
        <f aca="false">IFERROR(D112/D100-1,NA())</f>
        <v>1.04296518960099</v>
      </c>
      <c r="G112" s="20" t="n">
        <f aca="false">IFERROR(D112/D111-1,NA())</f>
        <v>0.0767523984978356</v>
      </c>
      <c r="H112" s="21" t="n">
        <f aca="false">IF(COUNT(D110:D112)=3,AVERAGE(D110:D112),NA())</f>
        <v>1288.9494</v>
      </c>
      <c r="I112" s="20" t="n">
        <f aca="false">IFERROR(IF(AND(COUNT(D110:D112)=3,COUNT(D98:D100)=3),AVERAGE(D110:D112)/AVERAGE(D98:D100)-1,NA()),NA())</f>
        <v>1.01974560339435</v>
      </c>
    </row>
    <row r="113" customFormat="false" ht="15" hidden="false" customHeight="false" outlineLevel="0" collapsed="false">
      <c r="A113" s="16" t="n">
        <f aca="false">IFERROR(IF(LEN(TRIM(TEXT(CPI!B107,"@")))&lt;3,NA(),DATE(2000+VALUE(LEFT(CPI!B107,LEN(CPI!B107)-2)),VALUE(RIGHT(CPI!B107,2)),1)),NA())</f>
        <v>45017</v>
      </c>
      <c r="B113" s="17" t="str">
        <f aca="false">IFERROR(IF(CPI!B107="",NA(),CPI!B107),NA())</f>
        <v>2304</v>
      </c>
      <c r="C113" s="18" t="n">
        <f aca="false">IFERROR(YEAR(A113),0)</f>
        <v>2023</v>
      </c>
      <c r="D113" s="19" t="n">
        <f aca="false">IFERROR(IF(CPI!C107="",NA(),IF(ISNUMBER(CPI!C107),CPI!C107,NA())),NA())</f>
        <v>1497.2147</v>
      </c>
      <c r="E113" s="19" t="n">
        <f aca="false">IFERROR(IF(CPI!D107="",NA(),IF(ISNUMBER(CPI!D107),CPI!D107,NA())),NA())</f>
        <v>1521.0163</v>
      </c>
      <c r="F113" s="20" t="n">
        <f aca="false">IFERROR(D113/D101-1,NA())</f>
        <v>1.0883405987029</v>
      </c>
      <c r="G113" s="20" t="n">
        <f aca="false">IFERROR(D113/D112-1,NA())</f>
        <v>0.0840268988367097</v>
      </c>
      <c r="H113" s="21" t="n">
        <f aca="false">IF(COUNT(D111:D113)=3,AVERAGE(D111:D113),NA())</f>
        <v>1387.02796666667</v>
      </c>
      <c r="I113" s="20" t="n">
        <f aca="false">IFERROR(IF(AND(COUNT(D111:D113)=3,COUNT(D99:D101)=3),AVERAGE(D111:D113)/AVERAGE(D99:D101)-1,NA()),NA())</f>
        <v>1.05340557924856</v>
      </c>
    </row>
    <row r="114" customFormat="false" ht="15" hidden="false" customHeight="false" outlineLevel="0" collapsed="false">
      <c r="A114" s="16" t="n">
        <f aca="false">IFERROR(IF(LEN(TRIM(TEXT(CPI!B108,"@")))&lt;3,NA(),DATE(2000+VALUE(LEFT(CPI!B108,LEN(CPI!B108)-2)),VALUE(RIGHT(CPI!B108,2)),1)),NA())</f>
        <v>45047</v>
      </c>
      <c r="B114" s="17" t="str">
        <f aca="false">IFERROR(IF(CPI!B108="",NA(),CPI!B108),NA())</f>
        <v>2305</v>
      </c>
      <c r="C114" s="18" t="n">
        <f aca="false">IFERROR(YEAR(A114),0)</f>
        <v>2023</v>
      </c>
      <c r="D114" s="19" t="n">
        <f aca="false">IFERROR(IF(CPI!C108="",NA(),IF(ISNUMBER(CPI!C108),CPI!C108,NA())),NA())</f>
        <v>1613.5895</v>
      </c>
      <c r="E114" s="19" t="n">
        <f aca="false">IFERROR(IF(CPI!D108="",NA(),IF(ISNUMBER(CPI!D108),CPI!D108,NA())),NA())</f>
        <v>1640.2912</v>
      </c>
      <c r="F114" s="20" t="n">
        <f aca="false">IFERROR(D114/D102-1,NA())</f>
        <v>1.14246289237028</v>
      </c>
      <c r="G114" s="20" t="n">
        <f aca="false">IFERROR(D114/D113-1,NA())</f>
        <v>0.077727529658906</v>
      </c>
      <c r="H114" s="21" t="n">
        <f aca="false">IF(COUNT(D112:D114)=3,AVERAGE(D112:D114),NA())</f>
        <v>1497.32143333333</v>
      </c>
      <c r="I114" s="20" t="n">
        <f aca="false">IFERROR(IF(AND(COUNT(D112:D114)=3,COUNT(D100:D102)=3),AVERAGE(D112:D114)/AVERAGE(D100:D102)-1,NA()),NA())</f>
        <v>1.09304005067695</v>
      </c>
    </row>
    <row r="115" customFormat="false" ht="15" hidden="false" customHeight="false" outlineLevel="0" collapsed="false">
      <c r="A115" s="16" t="n">
        <f aca="false">IFERROR(IF(LEN(TRIM(TEXT(CPI!B109,"@")))&lt;3,NA(),DATE(2000+VALUE(LEFT(CPI!B109,LEN(CPI!B109)-2)),VALUE(RIGHT(CPI!B109,2)),1)),NA())</f>
        <v>45078</v>
      </c>
      <c r="B115" s="17" t="str">
        <f aca="false">IFERROR(IF(CPI!B109="",NA(),CPI!B109),NA())</f>
        <v>2306</v>
      </c>
      <c r="C115" s="18" t="n">
        <f aca="false">IFERROR(YEAR(A115),0)</f>
        <v>2023</v>
      </c>
      <c r="D115" s="19" t="n">
        <f aca="false">IFERROR(IF(CPI!C109="",NA(),IF(ISNUMBER(CPI!C109),CPI!C109,NA())),NA())</f>
        <v>1709.6115</v>
      </c>
      <c r="E115" s="19" t="n">
        <f aca="false">IFERROR(IF(CPI!D109="",NA(),IF(ISNUMBER(CPI!D109),CPI!D109,NA())),NA())</f>
        <v>1746.7824</v>
      </c>
      <c r="F115" s="20" t="n">
        <f aca="false">IFERROR(D115/D103-1,NA())</f>
        <v>1.15580273478433</v>
      </c>
      <c r="G115" s="20" t="n">
        <f aca="false">IFERROR(D115/D114-1,NA())</f>
        <v>0.0595083198050062</v>
      </c>
      <c r="H115" s="21" t="n">
        <f aca="false">IF(COUNT(D113:D115)=3,AVERAGE(D113:D115),NA())</f>
        <v>1606.80523333333</v>
      </c>
      <c r="I115" s="20" t="n">
        <f aca="false">IFERROR(IF(AND(COUNT(D113:D115)=3,COUNT(D101:D103)=3),AVERAGE(D113:D115)/AVERAGE(D101:D103)-1,NA()),NA())</f>
        <v>1.12999177637793</v>
      </c>
    </row>
    <row r="116" customFormat="false" ht="15" hidden="false" customHeight="false" outlineLevel="0" collapsed="false">
      <c r="A116" s="16" t="n">
        <f aca="false">IFERROR(IF(LEN(TRIM(TEXT(CPI!B110,"@")))&lt;3,NA(),DATE(2000+VALUE(LEFT(CPI!B110,LEN(CPI!B110)-2)),VALUE(RIGHT(CPI!B110,2)),1)),NA())</f>
        <v>45108</v>
      </c>
      <c r="B116" s="17" t="str">
        <f aca="false">IFERROR(IF(CPI!B110="",NA(),CPI!B110),NA())</f>
        <v>2307</v>
      </c>
      <c r="C116" s="18" t="n">
        <f aca="false">IFERROR(YEAR(A116),0)</f>
        <v>2023</v>
      </c>
      <c r="D116" s="19" t="n">
        <f aca="false">IFERROR(IF(CPI!C110="",NA(),IF(ISNUMBER(CPI!C110),CPI!C110,NA())),NA())</f>
        <v>1818.0838</v>
      </c>
      <c r="E116" s="19" t="n">
        <f aca="false">IFERROR(IF(CPI!D110="",NA(),IF(ISNUMBER(CPI!D110),CPI!D110,NA())),NA())</f>
        <v>1860.2801</v>
      </c>
      <c r="F116" s="20" t="n">
        <f aca="false">IFERROR(D116/D104-1,NA())</f>
        <v>1.13449993601492</v>
      </c>
      <c r="G116" s="20" t="n">
        <f aca="false">IFERROR(D116/D115-1,NA())</f>
        <v>0.063448508623158</v>
      </c>
      <c r="H116" s="21" t="n">
        <f aca="false">IF(COUNT(D114:D116)=3,AVERAGE(D114:D116),NA())</f>
        <v>1713.7616</v>
      </c>
      <c r="I116" s="20" t="n">
        <f aca="false">IFERROR(IF(AND(COUNT(D114:D116)=3,COUNT(D102:D104)=3),AVERAGE(D114:D116)/AVERAGE(D102:D104)-1,NA()),NA())</f>
        <v>1.14404605828063</v>
      </c>
    </row>
    <row r="117" customFormat="false" ht="15" hidden="false" customHeight="false" outlineLevel="0" collapsed="false">
      <c r="A117" s="16" t="n">
        <f aca="false">IFERROR(IF(LEN(TRIM(TEXT(CPI!B111,"@")))&lt;3,NA(),DATE(2000+VALUE(LEFT(CPI!B111,LEN(CPI!B111)-2)),VALUE(RIGHT(CPI!B111,2)),1)),NA())</f>
        <v>45139</v>
      </c>
      <c r="B117" s="17" t="str">
        <f aca="false">IFERROR(IF(CPI!B111="",NA(),CPI!B111),NA())</f>
        <v>2308</v>
      </c>
      <c r="C117" s="18" t="n">
        <f aca="false">IFERROR(YEAR(A117),0)</f>
        <v>2023</v>
      </c>
      <c r="D117" s="19" t="n">
        <f aca="false">IFERROR(IF(CPI!C111="",NA(),IF(ISNUMBER(CPI!C111),CPI!C111,NA())),NA())</f>
        <v>2044.2832</v>
      </c>
      <c r="E117" s="19" t="n">
        <f aca="false">IFERROR(IF(CPI!D111="",NA(),IF(ISNUMBER(CPI!D111),CPI!D111,NA())),NA())</f>
        <v>2116.751</v>
      </c>
      <c r="F117" s="20" t="n">
        <f aca="false">IFERROR(D117/D105-1,NA())</f>
        <v>1.24367500808884</v>
      </c>
      <c r="G117" s="20" t="n">
        <f aca="false">IFERROR(D117/D116-1,NA())</f>
        <v>0.1244163772869</v>
      </c>
      <c r="H117" s="21" t="n">
        <f aca="false">IF(COUNT(D115:D117)=3,AVERAGE(D115:D117),NA())</f>
        <v>1857.32616666667</v>
      </c>
      <c r="I117" s="20" t="n">
        <f aca="false">IFERROR(IF(AND(COUNT(D115:D117)=3,COUNT(D103:D105)=3),AVERAGE(D115:D117)/AVERAGE(D103:D105)-1,NA()),NA())</f>
        <v>1.18002818084632</v>
      </c>
    </row>
    <row r="118" customFormat="false" ht="15" hidden="false" customHeight="false" outlineLevel="0" collapsed="false">
      <c r="A118" s="16" t="n">
        <f aca="false">IFERROR(IF(LEN(TRIM(TEXT(CPI!B112,"@")))&lt;3,NA(),DATE(2000+VALUE(LEFT(CPI!B112,LEN(CPI!B112)-2)),VALUE(RIGHT(CPI!B112,2)),1)),NA())</f>
        <v>45170</v>
      </c>
      <c r="B118" s="17" t="str">
        <f aca="false">IFERROR(IF(CPI!B112="",NA(),CPI!B112),NA())</f>
        <v>2309</v>
      </c>
      <c r="C118" s="18" t="n">
        <f aca="false">IFERROR(YEAR(A118),0)</f>
        <v>2023</v>
      </c>
      <c r="D118" s="19" t="n">
        <f aca="false">IFERROR(IF(CPI!C112="",NA(),IF(ISNUMBER(CPI!C112),CPI!C112,NA())),NA())</f>
        <v>2304.9242</v>
      </c>
      <c r="E118" s="19" t="n">
        <f aca="false">IFERROR(IF(CPI!D112="",NA(),IF(ISNUMBER(CPI!D112),CPI!D112,NA())),NA())</f>
        <v>2400.9928</v>
      </c>
      <c r="F118" s="20" t="n">
        <f aca="false">IFERROR(D118/D106-1,NA())</f>
        <v>1.38282445005084</v>
      </c>
      <c r="G118" s="20" t="n">
        <f aca="false">IFERROR(D118/D117-1,NA())</f>
        <v>0.12749750132467</v>
      </c>
      <c r="H118" s="21" t="n">
        <f aca="false">IF(COUNT(D116:D118)=3,AVERAGE(D116:D118),NA())</f>
        <v>2055.76373333333</v>
      </c>
      <c r="I118" s="20" t="n">
        <f aca="false">IFERROR(IF(AND(COUNT(D116:D118)=3,COUNT(D104:D106)=3),AVERAGE(D116:D118)/AVERAGE(D104:D106)-1,NA()),NA())</f>
        <v>1.25891537184709</v>
      </c>
    </row>
    <row r="119" customFormat="false" ht="15" hidden="false" customHeight="false" outlineLevel="0" collapsed="false">
      <c r="A119" s="16" t="n">
        <f aca="false">IFERROR(IF(LEN(TRIM(TEXT(CPI!B113,"@")))&lt;3,NA(),DATE(2000+VALUE(LEFT(CPI!B113,LEN(CPI!B113)-2)),VALUE(RIGHT(CPI!B113,2)),1)),NA())</f>
        <v>45200</v>
      </c>
      <c r="B119" s="17" t="str">
        <f aca="false">IFERROR(IF(CPI!B113="",NA(),CPI!B113),NA())</f>
        <v>2310</v>
      </c>
      <c r="C119" s="18" t="n">
        <f aca="false">IFERROR(YEAR(A119),0)</f>
        <v>2023</v>
      </c>
      <c r="D119" s="19" t="n">
        <f aca="false">IFERROR(IF(CPI!C113="",NA(),IF(ISNUMBER(CPI!C113),CPI!C113,NA())),NA())</f>
        <v>2496.273</v>
      </c>
      <c r="E119" s="19" t="n">
        <f aca="false">IFERROR(IF(CPI!D113="",NA(),IF(ISNUMBER(CPI!D113),CPI!D113,NA())),NA())</f>
        <v>2612.5451</v>
      </c>
      <c r="F119" s="20" t="n">
        <f aca="false">IFERROR(D119/D107-1,NA())</f>
        <v>1.42661460125634</v>
      </c>
      <c r="G119" s="20" t="n">
        <f aca="false">IFERROR(D119/D118-1,NA())</f>
        <v>0.0830173938041001</v>
      </c>
      <c r="H119" s="21" t="n">
        <f aca="false">IF(COUNT(D117:D119)=3,AVERAGE(D117:D119),NA())</f>
        <v>2281.8268</v>
      </c>
      <c r="I119" s="20" t="n">
        <f aca="false">IFERROR(IF(AND(COUNT(D117:D119)=3,COUNT(D105:D107)=3),AVERAGE(D117:D119)/AVERAGE(D105:D107)-1,NA()),NA())</f>
        <v>1.3547088050504</v>
      </c>
    </row>
    <row r="120" customFormat="false" ht="15" hidden="false" customHeight="false" outlineLevel="0" collapsed="false">
      <c r="A120" s="16" t="n">
        <f aca="false">IFERROR(IF(LEN(TRIM(TEXT(CPI!B114,"@")))&lt;3,NA(),DATE(2000+VALUE(LEFT(CPI!B114,LEN(CPI!B114)-2)),VALUE(RIGHT(CPI!B114,2)),1)),NA())</f>
        <v>45231</v>
      </c>
      <c r="B120" s="17" t="str">
        <f aca="false">IFERROR(IF(CPI!B114="",NA(),CPI!B114),NA())</f>
        <v>2311</v>
      </c>
      <c r="C120" s="18" t="n">
        <f aca="false">IFERROR(YEAR(A120),0)</f>
        <v>2023</v>
      </c>
      <c r="D120" s="19" t="n">
        <f aca="false">IFERROR(IF(CPI!C114="",NA(),IF(ISNUMBER(CPI!C114),CPI!C114,NA())),NA())</f>
        <v>2816.0628</v>
      </c>
      <c r="E120" s="19" t="n">
        <f aca="false">IFERROR(IF(CPI!D114="",NA(),IF(ISNUMBER(CPI!D114),CPI!D114,NA())),NA())</f>
        <v>2962.7206</v>
      </c>
      <c r="F120" s="20" t="n">
        <f aca="false">IFERROR(D120/D108-1,NA())</f>
        <v>1.60920816838135</v>
      </c>
      <c r="G120" s="20" t="n">
        <f aca="false">IFERROR(D120/D119-1,NA())</f>
        <v>0.128106901769157</v>
      </c>
      <c r="H120" s="21" t="n">
        <f aca="false">IF(COUNT(D118:D120)=3,AVERAGE(D118:D120),NA())</f>
        <v>2539.08666666667</v>
      </c>
      <c r="I120" s="20" t="n">
        <f aca="false">IFERROR(IF(AND(COUNT(D118:D120)=3,COUNT(D106:D108)=3),AVERAGE(D118:D120)/AVERAGE(D106:D108)-1,NA()),NA())</f>
        <v>1.47692227499805</v>
      </c>
    </row>
    <row r="121" customFormat="false" ht="15" hidden="false" customHeight="false" outlineLevel="0" collapsed="false">
      <c r="A121" s="16" t="n">
        <f aca="false">IFERROR(IF(LEN(TRIM(TEXT(CPI!B115,"@")))&lt;3,NA(),DATE(2000+VALUE(LEFT(CPI!B115,LEN(CPI!B115)-2)),VALUE(RIGHT(CPI!B115,2)),1)),NA())</f>
        <v>45261</v>
      </c>
      <c r="B121" s="17" t="str">
        <f aca="false">IFERROR(IF(CPI!B115="",NA(),CPI!B115),NA())</f>
        <v>2312</v>
      </c>
      <c r="C121" s="18" t="n">
        <f aca="false">IFERROR(YEAR(A121),0)</f>
        <v>2023</v>
      </c>
      <c r="D121" s="19" t="n">
        <f aca="false">IFERROR(IF(CPI!C115="",NA(),IF(ISNUMBER(CPI!C115),CPI!C115,NA())),NA())</f>
        <v>3533.1922</v>
      </c>
      <c r="E121" s="19" t="n">
        <f aca="false">IFERROR(IF(CPI!D115="",NA(),IF(ISNUMBER(CPI!D115),CPI!D115,NA())),NA())</f>
        <v>3799.9487</v>
      </c>
      <c r="F121" s="20" t="n">
        <f aca="false">IFERROR(D121/D109-1,NA())</f>
        <v>2.11407643747177</v>
      </c>
      <c r="G121" s="20" t="n">
        <f aca="false">IFERROR(D121/D120-1,NA())</f>
        <v>0.254656749842368</v>
      </c>
      <c r="H121" s="21" t="n">
        <f aca="false">IF(COUNT(D119:D121)=3,AVERAGE(D119:D121),NA())</f>
        <v>2948.50933333333</v>
      </c>
      <c r="I121" s="20" t="n">
        <f aca="false">IFERROR(IF(AND(COUNT(D119:D121)=3,COUNT(D107:D109)=3),AVERAGE(D119:D121)/AVERAGE(D107:D109)-1,NA()),NA())</f>
        <v>1.72793555683972</v>
      </c>
    </row>
    <row r="122" customFormat="false" ht="15" hidden="false" customHeight="false" outlineLevel="0" collapsed="false">
      <c r="A122" s="16" t="n">
        <f aca="false">IFERROR(IF(LEN(TRIM(TEXT(CPI!B116,"@")))&lt;3,NA(),DATE(2000+VALUE(LEFT(CPI!B116,LEN(CPI!B116)-2)),VALUE(RIGHT(CPI!B116,2)),1)),NA())</f>
        <v>45292</v>
      </c>
      <c r="B122" s="17" t="str">
        <f aca="false">IFERROR(IF(CPI!B116="",NA(),CPI!B116),NA())</f>
        <v>2401</v>
      </c>
      <c r="C122" s="18" t="n">
        <f aca="false">IFERROR(YEAR(A122),0)</f>
        <v>2024</v>
      </c>
      <c r="D122" s="19" t="n">
        <f aca="false">IFERROR(IF(CPI!C116="",NA(),IF(ISNUMBER(CPI!C116),CPI!C116,NA())),NA())</f>
        <v>4261.5324</v>
      </c>
      <c r="E122" s="19" t="n">
        <f aca="false">IFERROR(IF(CPI!D116="",NA(),IF(ISNUMBER(CPI!D116),CPI!D116,NA())),NA())</f>
        <v>4568.1649</v>
      </c>
      <c r="F122" s="20" t="n">
        <f aca="false">IFERROR(D122/D110-1,NA())</f>
        <v>2.54248278648256</v>
      </c>
      <c r="G122" s="20" t="n">
        <f aca="false">IFERROR(D122/D121-1,NA())</f>
        <v>0.206142252889611</v>
      </c>
      <c r="H122" s="21" t="n">
        <f aca="false">IF(COUNT(D120:D122)=3,AVERAGE(D120:D122),NA())</f>
        <v>3536.92913333333</v>
      </c>
      <c r="I122" s="20" t="n">
        <f aca="false">IFERROR(IF(AND(COUNT(D120:D122)=3,COUNT(D108:D110)=3),AVERAGE(D120:D122)/AVERAGE(D108:D110)-1,NA()),NA())</f>
        <v>2.10543404190509</v>
      </c>
    </row>
    <row r="123" customFormat="false" ht="15" hidden="false" customHeight="false" outlineLevel="0" collapsed="false">
      <c r="A123" s="16" t="n">
        <f aca="false">IFERROR(IF(LEN(TRIM(TEXT(CPI!B117,"@")))&lt;3,NA(),DATE(2000+VALUE(LEFT(CPI!B117,LEN(CPI!B117)-2)),VALUE(RIGHT(CPI!B117,2)),1)),NA())</f>
        <v>45323</v>
      </c>
      <c r="B123" s="17" t="str">
        <f aca="false">IFERROR(IF(CPI!B117="",NA(),CPI!B117),NA())</f>
        <v>2402</v>
      </c>
      <c r="C123" s="18" t="n">
        <f aca="false">IFERROR(YEAR(A123),0)</f>
        <v>2024</v>
      </c>
      <c r="D123" s="19" t="n">
        <f aca="false">IFERROR(IF(CPI!C117="",NA(),IF(ISNUMBER(CPI!C117),CPI!C117,NA())),NA())</f>
        <v>4825.7881</v>
      </c>
      <c r="E123" s="19" t="n">
        <f aca="false">IFERROR(IF(CPI!D117="",NA(),IF(ISNUMBER(CPI!D117),CPI!D117,NA())),NA())</f>
        <v>5129.5988</v>
      </c>
      <c r="F123" s="20" t="n">
        <f aca="false">IFERROR(D123/D111-1,NA())</f>
        <v>2.76218434873503</v>
      </c>
      <c r="G123" s="20" t="n">
        <f aca="false">IFERROR(D123/D122-1,NA())</f>
        <v>0.132406760535248</v>
      </c>
      <c r="H123" s="21" t="n">
        <f aca="false">IF(COUNT(D121:D123)=3,AVERAGE(D121:D123),NA())</f>
        <v>4206.83756666667</v>
      </c>
      <c r="I123" s="20" t="n">
        <f aca="false">IFERROR(IF(AND(COUNT(D121:D123)=3,COUNT(D109:D111)=3),AVERAGE(D121:D123)/AVERAGE(D109:D111)-1,NA()),NA())</f>
        <v>2.48606407202811</v>
      </c>
    </row>
    <row r="124" customFormat="false" ht="15" hidden="false" customHeight="false" outlineLevel="0" collapsed="false">
      <c r="A124" s="16" t="n">
        <f aca="false">IFERROR(IF(LEN(TRIM(TEXT(CPI!B118,"@")))&lt;3,NA(),DATE(2000+VALUE(LEFT(CPI!B118,LEN(CPI!B118)-2)),VALUE(RIGHT(CPI!B118,2)),1)),NA())</f>
        <v>45352</v>
      </c>
      <c r="B124" s="17" t="str">
        <f aca="false">IFERROR(IF(CPI!B118="",NA(),CPI!B118),NA())</f>
        <v>2403</v>
      </c>
      <c r="C124" s="18" t="n">
        <f aca="false">IFERROR(YEAR(A124),0)</f>
        <v>2024</v>
      </c>
      <c r="D124" s="19" t="n">
        <f aca="false">IFERROR(IF(CPI!C118="",NA(),IF(ISNUMBER(CPI!C118),CPI!C118,NA())),NA())</f>
        <v>5357.0929</v>
      </c>
      <c r="E124" s="19" t="n">
        <f aca="false">IFERROR(IF(CPI!D118="",NA(),IF(ISNUMBER(CPI!D118),CPI!D118,NA())),NA())</f>
        <v>5612.3991</v>
      </c>
      <c r="F124" s="20" t="n">
        <f aca="false">IFERROR(D124/D112-1,NA())</f>
        <v>2.87869074700319</v>
      </c>
      <c r="G124" s="20" t="n">
        <f aca="false">IFERROR(D124/D123-1,NA())</f>
        <v>0.110097001565402</v>
      </c>
      <c r="H124" s="21" t="n">
        <f aca="false">IF(COUNT(D122:D124)=3,AVERAGE(D122:D124),NA())</f>
        <v>4814.80446666667</v>
      </c>
      <c r="I124" s="20" t="n">
        <f aca="false">IFERROR(IF(AND(COUNT(D122:D124)=3,COUNT(D110:D112)=3),AVERAGE(D122:D124)/AVERAGE(D110:D112)-1,NA()),NA())</f>
        <v>2.73544878229251</v>
      </c>
    </row>
    <row r="125" customFormat="false" ht="15" hidden="false" customHeight="false" outlineLevel="0" collapsed="false">
      <c r="A125" s="16" t="n">
        <f aca="false">IFERROR(IF(LEN(TRIM(TEXT(CPI!B119,"@")))&lt;3,NA(),DATE(2000+VALUE(LEFT(CPI!B119,LEN(CPI!B119)-2)),VALUE(RIGHT(CPI!B119,2)),1)),NA())</f>
        <v>45383</v>
      </c>
      <c r="B125" s="17" t="str">
        <f aca="false">IFERROR(IF(CPI!B119="",NA(),CPI!B119),NA())</f>
        <v>2404</v>
      </c>
      <c r="C125" s="18" t="n">
        <f aca="false">IFERROR(YEAR(A125),0)</f>
        <v>2024</v>
      </c>
      <c r="D125" s="19" t="n">
        <f aca="false">IFERROR(IF(CPI!C119="",NA(),IF(ISNUMBER(CPI!C119),CPI!C119,NA())),NA())</f>
        <v>5830.2271</v>
      </c>
      <c r="E125" s="19" t="n">
        <f aca="false">IFERROR(IF(CPI!D119="",NA(),IF(ISNUMBER(CPI!D119),CPI!D119,NA())),NA())</f>
        <v>5965.8926</v>
      </c>
      <c r="F125" s="20" t="n">
        <f aca="false">IFERROR(D125/D113-1,NA())</f>
        <v>2.89404879607447</v>
      </c>
      <c r="G125" s="20" t="n">
        <f aca="false">IFERROR(D125/D124-1,NA())</f>
        <v>0.0883192076060508</v>
      </c>
      <c r="H125" s="21" t="n">
        <f aca="false">IF(COUNT(D123:D125)=3,AVERAGE(D123:D125),NA())</f>
        <v>5337.7027</v>
      </c>
      <c r="I125" s="20" t="n">
        <f aca="false">IFERROR(IF(AND(COUNT(D123:D125)=3,COUNT(D111:D113)=3),AVERAGE(D123:D125)/AVERAGE(D111:D113)-1,NA()),NA())</f>
        <v>2.84830214550589</v>
      </c>
    </row>
    <row r="126" customFormat="false" ht="15" hidden="false" customHeight="false" outlineLevel="0" collapsed="false">
      <c r="A126" s="16" t="n">
        <f aca="false">IFERROR(IF(LEN(TRIM(TEXT(CPI!B120,"@")))&lt;3,NA(),DATE(2000+VALUE(LEFT(CPI!B120,LEN(CPI!B120)-2)),VALUE(RIGHT(CPI!B120,2)),1)),NA())</f>
        <v>45413</v>
      </c>
      <c r="B126" s="17" t="str">
        <f aca="false">IFERROR(IF(CPI!B120="",NA(),CPI!B120),NA())</f>
        <v>2405</v>
      </c>
      <c r="C126" s="18" t="n">
        <f aca="false">IFERROR(YEAR(A126),0)</f>
        <v>2024</v>
      </c>
      <c r="D126" s="19" t="n">
        <f aca="false">IFERROR(IF(CPI!C120="",NA(),IF(ISNUMBER(CPI!C120),CPI!C120,NA())),NA())</f>
        <v>6073.7165</v>
      </c>
      <c r="E126" s="19" t="n">
        <f aca="false">IFERROR(IF(CPI!D120="",NA(),IF(ISNUMBER(CPI!D120),CPI!D120,NA())),NA())</f>
        <v>6188.6726</v>
      </c>
      <c r="F126" s="20" t="n">
        <f aca="false">IFERROR(D126/D114-1,NA())</f>
        <v>2.76410264196687</v>
      </c>
      <c r="G126" s="20" t="n">
        <f aca="false">IFERROR(D126/D125-1,NA())</f>
        <v>0.0417632788266515</v>
      </c>
      <c r="H126" s="21" t="n">
        <f aca="false">IF(COUNT(D124:D126)=3,AVERAGE(D124:D126),NA())</f>
        <v>5753.67883333333</v>
      </c>
      <c r="I126" s="20" t="n">
        <f aca="false">IFERROR(IF(AND(COUNT(D124:D126)=3,COUNT(D112:D114)=3),AVERAGE(D124:D126)/AVERAGE(D112:D114)-1,NA()),NA())</f>
        <v>2.84264774766799</v>
      </c>
    </row>
    <row r="127" customFormat="false" ht="15" hidden="false" customHeight="false" outlineLevel="0" collapsed="false">
      <c r="A127" s="16" t="n">
        <f aca="false">IFERROR(IF(LEN(TRIM(TEXT(CPI!B121,"@")))&lt;3,NA(),DATE(2000+VALUE(LEFT(CPI!B121,LEN(CPI!B121)-2)),VALUE(RIGHT(CPI!B121,2)),1)),NA())</f>
        <v>45444</v>
      </c>
      <c r="B127" s="17" t="str">
        <f aca="false">IFERROR(IF(CPI!B121="",NA(),CPI!B121),NA())</f>
        <v>2406</v>
      </c>
      <c r="C127" s="18" t="n">
        <f aca="false">IFERROR(YEAR(A127),0)</f>
        <v>2024</v>
      </c>
      <c r="D127" s="19" t="n">
        <f aca="false">IFERROR(IF(CPI!C121="",NA(),IF(ISNUMBER(CPI!C121),CPI!C121,NA())),NA())</f>
        <v>6351.7145</v>
      </c>
      <c r="E127" s="19" t="n">
        <f aca="false">IFERROR(IF(CPI!D121="",NA(),IF(ISNUMBER(CPI!D121),CPI!D121,NA())),NA())</f>
        <v>6414.6575</v>
      </c>
      <c r="F127" s="20" t="n">
        <f aca="false">IFERROR(D127/D115-1,NA())</f>
        <v>2.71529701338579</v>
      </c>
      <c r="G127" s="20" t="n">
        <f aca="false">IFERROR(D127/D126-1,NA())</f>
        <v>0.0457706578830275</v>
      </c>
      <c r="H127" s="21" t="n">
        <f aca="false">IF(COUNT(D125:D127)=3,AVERAGE(D125:D127),NA())</f>
        <v>6085.21936666667</v>
      </c>
      <c r="I127" s="20" t="n">
        <f aca="false">IFERROR(IF(AND(COUNT(D125:D127)=3,COUNT(D113:D115)=3),AVERAGE(D125:D127)/AVERAGE(D113:D115)-1,NA()),NA())</f>
        <v>2.78715431119354</v>
      </c>
    </row>
    <row r="128" customFormat="false" ht="15" hidden="false" customHeight="false" outlineLevel="0" collapsed="false">
      <c r="A128" s="16" t="n">
        <f aca="false">IFERROR(IF(LEN(TRIM(TEXT(CPI!B122,"@")))&lt;3,NA(),DATE(2000+VALUE(LEFT(CPI!B122,LEN(CPI!B122)-2)),VALUE(RIGHT(CPI!B122,2)),1)),NA())</f>
        <v>45474</v>
      </c>
      <c r="B128" s="17" t="str">
        <f aca="false">IFERROR(IF(CPI!B122="",NA(),CPI!B122),NA())</f>
        <v>2407</v>
      </c>
      <c r="C128" s="18" t="n">
        <f aca="false">IFERROR(YEAR(A128),0)</f>
        <v>2024</v>
      </c>
      <c r="D128" s="19" t="n">
        <f aca="false">IFERROR(IF(CPI!C122="",NA(),IF(ISNUMBER(CPI!C122),CPI!C122,NA())),NA())</f>
        <v>6607.7479</v>
      </c>
      <c r="E128" s="19" t="n">
        <f aca="false">IFERROR(IF(CPI!D122="",NA(),IF(ISNUMBER(CPI!D122),CPI!D122,NA())),NA())</f>
        <v>6657.49</v>
      </c>
      <c r="F128" s="20" t="n">
        <f aca="false">IFERROR(D128/D116-1,NA())</f>
        <v>2.63445727859189</v>
      </c>
      <c r="G128" s="20" t="n">
        <f aca="false">IFERROR(D128/D127-1,NA())</f>
        <v>0.040309336951464</v>
      </c>
      <c r="H128" s="21" t="n">
        <f aca="false">IF(COUNT(D126:D128)=3,AVERAGE(D126:D128),NA())</f>
        <v>6344.39296666667</v>
      </c>
      <c r="I128" s="20" t="n">
        <f aca="false">IFERROR(IF(AND(COUNT(D126:D128)=3,COUNT(D114:D116)=3),AVERAGE(D126:D128)/AVERAGE(D114:D116)-1,NA()),NA())</f>
        <v>2.70202773050036</v>
      </c>
    </row>
    <row r="129" customFormat="false" ht="15" hidden="false" customHeight="false" outlineLevel="0" collapsed="false">
      <c r="A129" s="16" t="n">
        <f aca="false">IFERROR(IF(LEN(TRIM(TEXT(CPI!B123,"@")))&lt;3,NA(),DATE(2000+VALUE(LEFT(CPI!B123,LEN(CPI!B123)-2)),VALUE(RIGHT(CPI!B123,2)),1)),NA())</f>
        <v>45505</v>
      </c>
      <c r="B129" s="17" t="str">
        <f aca="false">IFERROR(IF(CPI!B123="",NA(),CPI!B123),NA())</f>
        <v>2408</v>
      </c>
      <c r="C129" s="18" t="n">
        <f aca="false">IFERROR(YEAR(A129),0)</f>
        <v>2024</v>
      </c>
      <c r="D129" s="19" t="n">
        <f aca="false">IFERROR(IF(CPI!C123="",NA(),IF(ISNUMBER(CPI!C123),CPI!C123,NA())),NA())</f>
        <v>6883.4412</v>
      </c>
      <c r="E129" s="19" t="n">
        <f aca="false">IFERROR(IF(CPI!D123="",NA(),IF(ISNUMBER(CPI!D123),CPI!D123,NA())),NA())</f>
        <v>6931.7976</v>
      </c>
      <c r="F129" s="20" t="n">
        <f aca="false">IFERROR(D129/D117-1,NA())</f>
        <v>2.36716615388709</v>
      </c>
      <c r="G129" s="20" t="n">
        <f aca="false">IFERROR(D129/D128-1,NA())</f>
        <v>0.0417227327937253</v>
      </c>
      <c r="H129" s="21" t="n">
        <f aca="false">IF(COUNT(D127:D129)=3,AVERAGE(D127:D129),NA())</f>
        <v>6614.3012</v>
      </c>
      <c r="I129" s="20" t="n">
        <f aca="false">IFERROR(IF(AND(COUNT(D127:D129)=3,COUNT(D115:D117)=3),AVERAGE(D127:D129)/AVERAGE(D115:D117)-1,NA()),NA())</f>
        <v>2.56119529176216</v>
      </c>
    </row>
    <row r="130" customFormat="false" ht="15" hidden="false" customHeight="false" outlineLevel="0" collapsed="false">
      <c r="A130" s="16" t="n">
        <f aca="false">IFERROR(IF(LEN(TRIM(TEXT(CPI!B124,"@")))&lt;3,NA(),DATE(2000+VALUE(LEFT(CPI!B124,LEN(CPI!B124)-2)),VALUE(RIGHT(CPI!B124,2)),1)),NA())</f>
        <v>45536</v>
      </c>
      <c r="B130" s="17" t="str">
        <f aca="false">IFERROR(IF(CPI!B124="",NA(),CPI!B124),NA())</f>
        <v>2409</v>
      </c>
      <c r="C130" s="18" t="n">
        <f aca="false">IFERROR(YEAR(A130),0)</f>
        <v>2024</v>
      </c>
      <c r="D130" s="19" t="n">
        <f aca="false">IFERROR(IF(CPI!C124="",NA(),IF(ISNUMBER(CPI!C124),CPI!C124,NA())),NA())</f>
        <v>7122.2421</v>
      </c>
      <c r="E130" s="19" t="n">
        <f aca="false">IFERROR(IF(CPI!D124="",NA(),IF(ISNUMBER(CPI!D124),CPI!D124,NA())),NA())</f>
        <v>7157.9271</v>
      </c>
      <c r="F130" s="20" t="n">
        <f aca="false">IFERROR(D130/D118-1,NA())</f>
        <v>2.09001141989832</v>
      </c>
      <c r="G130" s="20" t="n">
        <f aca="false">IFERROR(D130/D129-1,NA())</f>
        <v>0.0346920810480664</v>
      </c>
      <c r="H130" s="21" t="n">
        <f aca="false">IF(COUNT(D128:D130)=3,AVERAGE(D128:D130),NA())</f>
        <v>6871.14373333333</v>
      </c>
      <c r="I130" s="20" t="n">
        <f aca="false">IFERROR(IF(AND(COUNT(D128:D130)=3,COUNT(D116:D118)=3),AVERAGE(D128:D130)/AVERAGE(D116:D118)-1,NA()),NA())</f>
        <v>2.3423800711729</v>
      </c>
    </row>
    <row r="131" customFormat="false" ht="15" hidden="false" customHeight="false" outlineLevel="0" collapsed="false">
      <c r="A131" s="16" t="n">
        <f aca="false">IFERROR(IF(LEN(TRIM(TEXT(CPI!B125,"@")))&lt;3,NA(),DATE(2000+VALUE(LEFT(CPI!B125,LEN(CPI!B125)-2)),VALUE(RIGHT(CPI!B125,2)),1)),NA())</f>
        <v>45566</v>
      </c>
      <c r="B131" s="17" t="str">
        <f aca="false">IFERROR(IF(CPI!B125="",NA(),CPI!B125),NA())</f>
        <v>2410</v>
      </c>
      <c r="C131" s="18" t="n">
        <f aca="false">IFERROR(YEAR(A131),0)</f>
        <v>2024</v>
      </c>
      <c r="D131" s="19" t="n">
        <f aca="false">IFERROR(IF(CPI!C125="",NA(),IF(ISNUMBER(CPI!C125),CPI!C125,NA())),NA())</f>
        <v>7313.9542</v>
      </c>
      <c r="E131" s="19" t="n">
        <f aca="false">IFERROR(IF(CPI!D125="",NA(),IF(ISNUMBER(CPI!D125),CPI!D125,NA())),NA())</f>
        <v>7366.7823</v>
      </c>
      <c r="F131" s="20" t="n">
        <f aca="false">IFERROR(D131/D119-1,NA())</f>
        <v>1.92994964893663</v>
      </c>
      <c r="G131" s="20" t="n">
        <f aca="false">IFERROR(D131/D130-1,NA())</f>
        <v>0.0269173804131146</v>
      </c>
      <c r="H131" s="21" t="n">
        <f aca="false">IF(COUNT(D129:D131)=3,AVERAGE(D129:D131),NA())</f>
        <v>7106.54583333333</v>
      </c>
      <c r="I131" s="20" t="n">
        <f aca="false">IFERROR(IF(AND(COUNT(D129:D131)=3,COUNT(D117:D119)=3),AVERAGE(D129:D131)/AVERAGE(D117:D119)-1,NA()),NA())</f>
        <v>2.11441071396538</v>
      </c>
    </row>
    <row r="132" customFormat="false" ht="15" hidden="false" customHeight="false" outlineLevel="0" collapsed="false">
      <c r="A132" s="16" t="n">
        <f aca="false">IFERROR(IF(LEN(TRIM(TEXT(CPI!B126,"@")))&lt;3,NA(),DATE(2000+VALUE(LEFT(CPI!B126,LEN(CPI!B126)-2)),VALUE(RIGHT(CPI!B126,2)),1)),NA())</f>
        <v>45597</v>
      </c>
      <c r="B132" s="17" t="str">
        <f aca="false">IFERROR(IF(CPI!B126="",NA(),CPI!B126),NA())</f>
        <v>2411</v>
      </c>
      <c r="C132" s="18" t="n">
        <f aca="false">IFERROR(YEAR(A132),0)</f>
        <v>2024</v>
      </c>
      <c r="D132" s="19" t="n">
        <f aca="false">IFERROR(IF(CPI!C126="",NA(),IF(ISNUMBER(CPI!C126),CPI!C126,NA())),NA())</f>
        <v>7491.4314</v>
      </c>
      <c r="E132" s="19" t="n">
        <f aca="false">IFERROR(IF(CPI!D126="",NA(),IF(ISNUMBER(CPI!D126),CPI!D126,NA())),NA())</f>
        <v>7566.7782</v>
      </c>
      <c r="F132" s="20" t="n">
        <f aca="false">IFERROR(D132/D120-1,NA())</f>
        <v>1.66025011942205</v>
      </c>
      <c r="G132" s="20" t="n">
        <f aca="false">IFERROR(D132/D131-1,NA())</f>
        <v>0.0242655607550837</v>
      </c>
      <c r="H132" s="21" t="n">
        <f aca="false">IF(COUNT(D130:D132)=3,AVERAGE(D130:D132),NA())</f>
        <v>7309.20923333333</v>
      </c>
      <c r="I132" s="20" t="n">
        <f aca="false">IFERROR(IF(AND(COUNT(D130:D132)=3,COUNT(D118:D120)=3),AVERAGE(D130:D132)/AVERAGE(D118:D120)-1,NA()),NA())</f>
        <v>1.8786765451094</v>
      </c>
    </row>
    <row r="133" customFormat="false" ht="15" hidden="false" customHeight="false" outlineLevel="0" collapsed="false">
      <c r="A133" s="16" t="n">
        <f aca="false">IFERROR(IF(LEN(TRIM(TEXT(CPI!B127,"@")))&lt;3,NA(),DATE(2000+VALUE(LEFT(CPI!B127,LEN(CPI!B127)-2)),VALUE(RIGHT(CPI!B127,2)),1)),NA())</f>
        <v>45627</v>
      </c>
      <c r="B133" s="17" t="str">
        <f aca="false">IFERROR(IF(CPI!B127="",NA(),CPI!B127),NA())</f>
        <v>2412</v>
      </c>
      <c r="C133" s="18" t="n">
        <f aca="false">IFERROR(YEAR(A133),0)</f>
        <v>2024</v>
      </c>
      <c r="D133" s="19" t="n">
        <f aca="false">IFERROR(IF(CPI!C127="",NA(),IF(ISNUMBER(CPI!C127),CPI!C127,NA())),NA())</f>
        <v>7694.0075</v>
      </c>
      <c r="E133" s="19" t="n">
        <f aca="false">IFERROR(IF(CPI!D127="",NA(),IF(ISNUMBER(CPI!D127),CPI!D127,NA())),NA())</f>
        <v>7808.7094</v>
      </c>
      <c r="F133" s="20" t="n">
        <f aca="false">IFERROR(D133/D121-1,NA())</f>
        <v>1.17763627464139</v>
      </c>
      <c r="G133" s="20" t="n">
        <f aca="false">IFERROR(D133/D132-1,NA())</f>
        <v>0.0270410405146337</v>
      </c>
      <c r="H133" s="21" t="n">
        <f aca="false">IF(COUNT(D131:D133)=3,AVERAGE(D131:D133),NA())</f>
        <v>7499.7977</v>
      </c>
      <c r="I133" s="20" t="n">
        <f aca="false">IFERROR(IF(AND(COUNT(D131:D133)=3,COUNT(D119:D121)=3),AVERAGE(D131:D133)/AVERAGE(D119:D121)-1,NA()),NA())</f>
        <v>1.54358960821785</v>
      </c>
    </row>
    <row r="134" customFormat="false" ht="15" hidden="false" customHeight="false" outlineLevel="0" collapsed="false">
      <c r="A134" s="16" t="n">
        <f aca="false">IFERROR(IF(LEN(TRIM(TEXT(CPI!B128,"@")))&lt;3,NA(),DATE(2000+VALUE(LEFT(CPI!B128,LEN(CPI!B128)-2)),VALUE(RIGHT(CPI!B128,2)),1)),NA())</f>
        <v>45658</v>
      </c>
      <c r="B134" s="17" t="str">
        <f aca="false">IFERROR(IF(CPI!B128="",NA(),CPI!B128),NA())</f>
        <v>2501</v>
      </c>
      <c r="C134" s="18" t="n">
        <f aca="false">IFERROR(YEAR(A134),0)</f>
        <v>2025</v>
      </c>
      <c r="D134" s="19" t="n">
        <f aca="false">IFERROR(IF(CPI!C128="",NA(),IF(ISNUMBER(CPI!C128),CPI!C128,NA())),NA())</f>
        <v>7864.1257</v>
      </c>
      <c r="E134" s="19" t="n">
        <f aca="false">IFERROR(IF(CPI!D128="",NA(),IF(ISNUMBER(CPI!D128),CPI!D128,NA())),NA())</f>
        <v>7995.938</v>
      </c>
      <c r="F134" s="20" t="n">
        <f aca="false">IFERROR(D134/D122-1,NA())</f>
        <v>0.845375081508239</v>
      </c>
      <c r="G134" s="20" t="n">
        <f aca="false">IFERROR(D134/D133-1,NA())</f>
        <v>0.0221104801366518</v>
      </c>
      <c r="H134" s="21" t="n">
        <f aca="false">IF(COUNT(D132:D134)=3,AVERAGE(D132:D134),NA())</f>
        <v>7683.1882</v>
      </c>
      <c r="I134" s="20" t="n">
        <f aca="false">IFERROR(IF(AND(COUNT(D132:D134)=3,COUNT(D120:D122)=3),AVERAGE(D132:D134)/AVERAGE(D120:D122)-1,NA()),NA())</f>
        <v>1.17227654565956</v>
      </c>
    </row>
    <row r="135" customFormat="false" ht="15" hidden="false" customHeight="false" outlineLevel="0" collapsed="false">
      <c r="A135" s="16" t="n">
        <f aca="false">IFERROR(IF(LEN(TRIM(TEXT(CPI!B129,"@")))&lt;3,NA(),DATE(2000+VALUE(LEFT(CPI!B129,LEN(CPI!B129)-2)),VALUE(RIGHT(CPI!B129,2)),1)),NA())</f>
        <v>45689</v>
      </c>
      <c r="B135" s="17" t="str">
        <f aca="false">IFERROR(IF(CPI!B129="",NA(),CPI!B129),NA())</f>
        <v>2502</v>
      </c>
      <c r="C135" s="18" t="n">
        <f aca="false">IFERROR(YEAR(A135),0)</f>
        <v>2025</v>
      </c>
      <c r="D135" s="19" t="n">
        <f aca="false">IFERROR(IF(CPI!C129="",NA(),IF(ISNUMBER(CPI!C129),CPI!C129,NA())),NA())</f>
        <v>8052.9927</v>
      </c>
      <c r="E135" s="19" t="n">
        <f aca="false">IFERROR(IF(CPI!D129="",NA(),IF(ISNUMBER(CPI!D129),CPI!D129,NA())),NA())</f>
        <v>8229.4476</v>
      </c>
      <c r="F135" s="20" t="n">
        <f aca="false">IFERROR(D135/D123-1,NA())</f>
        <v>0.668741464218041</v>
      </c>
      <c r="G135" s="20" t="n">
        <f aca="false">IFERROR(D135/D134-1,NA())</f>
        <v>0.0240162743075179</v>
      </c>
      <c r="H135" s="21" t="n">
        <f aca="false">IF(COUNT(D133:D135)=3,AVERAGE(D133:D135),NA())</f>
        <v>7870.3753</v>
      </c>
      <c r="I135" s="20" t="n">
        <f aca="false">IFERROR(IF(AND(COUNT(D133:D135)=3,COUNT(D121:D123)=3),AVERAGE(D133:D135)/AVERAGE(D121:D123)-1,NA()),NA())</f>
        <v>0.870853146877306</v>
      </c>
    </row>
    <row r="136" customFormat="false" ht="15" hidden="false" customHeight="false" outlineLevel="0" collapsed="false">
      <c r="A136" s="16" t="n">
        <f aca="false">IFERROR(IF(LEN(TRIM(TEXT(CPI!B130,"@")))&lt;3,NA(),DATE(2000+VALUE(LEFT(CPI!B130,LEN(CPI!B130)-2)),VALUE(RIGHT(CPI!B130,2)),1)),NA())</f>
        <v>45717</v>
      </c>
      <c r="B136" s="17" t="str">
        <f aca="false">IFERROR(IF(CPI!B130="",NA(),CPI!B130),NA())</f>
        <v>2503</v>
      </c>
      <c r="C136" s="18" t="n">
        <f aca="false">IFERROR(YEAR(A136),0)</f>
        <v>2025</v>
      </c>
      <c r="D136" s="19" t="n">
        <f aca="false">IFERROR(IF(CPI!C130="",NA(),IF(ISNUMBER(CPI!C130),CPI!C130,NA())),NA())</f>
        <v>8353.3158</v>
      </c>
      <c r="E136" s="19" t="n">
        <f aca="false">IFERROR(IF(CPI!D130="",NA(),IF(ISNUMBER(CPI!D130),CPI!D130,NA())),NA())</f>
        <v>8492.1966</v>
      </c>
      <c r="F136" s="20" t="n">
        <f aca="false">IFERROR(D136/D124-1,NA())</f>
        <v>0.559300156993731</v>
      </c>
      <c r="G136" s="20" t="n">
        <f aca="false">IFERROR(D136/D135-1,NA())</f>
        <v>0.0372933530661217</v>
      </c>
      <c r="H136" s="21" t="n">
        <f aca="false">IF(COUNT(D134:D136)=3,AVERAGE(D134:D136),NA())</f>
        <v>8090.14473333333</v>
      </c>
      <c r="I136" s="20" t="n">
        <f aca="false">IFERROR(IF(AND(COUNT(D134:D136)=3,COUNT(D122:D124)=3),AVERAGE(D134:D136)/AVERAGE(D122:D124)-1,NA()),NA())</f>
        <v>0.680264440506805</v>
      </c>
    </row>
    <row r="137" customFormat="false" ht="15" hidden="false" customHeight="false" outlineLevel="0" collapsed="false">
      <c r="A137" s="16" t="n">
        <f aca="false">IFERROR(IF(LEN(TRIM(TEXT(CPI!B131,"@")))&lt;3,NA(),DATE(2000+VALUE(LEFT(CPI!B131,LEN(CPI!B131)-2)),VALUE(RIGHT(CPI!B131,2)),1)),NA())</f>
        <v>45748</v>
      </c>
      <c r="B137" s="17" t="str">
        <f aca="false">IFERROR(IF(CPI!B131="",NA(),CPI!B131),NA())</f>
        <v>2504</v>
      </c>
      <c r="C137" s="18" t="n">
        <f aca="false">IFERROR(YEAR(A137),0)</f>
        <v>2025</v>
      </c>
      <c r="D137" s="19" t="n">
        <f aca="false">IFERROR(IF(CPI!C131="",NA(),IF(ISNUMBER(CPI!C131),CPI!C131,NA())),NA())</f>
        <v>8585.6078</v>
      </c>
      <c r="E137" s="19" t="n">
        <f aca="false">IFERROR(IF(CPI!D131="",NA(),IF(ISNUMBER(CPI!D131),CPI!D131,NA())),NA())</f>
        <v>8765.1966</v>
      </c>
      <c r="F137" s="20" t="n">
        <f aca="false">IFERROR(D137/D125-1,NA())</f>
        <v>0.472602636696605</v>
      </c>
      <c r="G137" s="20" t="n">
        <f aca="false">IFERROR(D137/D136-1,NA())</f>
        <v>0.0278083584485096</v>
      </c>
      <c r="H137" s="21" t="n">
        <f aca="false">IF(COUNT(D135:D137)=3,AVERAGE(D135:D137),NA())</f>
        <v>8330.63876666667</v>
      </c>
      <c r="I137" s="20" t="n">
        <f aca="false">IFERROR(IF(AND(COUNT(D135:D137)=3,COUNT(D123:D125)=3),AVERAGE(D135:D137)/AVERAGE(D123:D125)-1,NA()),NA())</f>
        <v>0.560716142295948</v>
      </c>
    </row>
    <row r="138" customFormat="false" ht="15" hidden="false" customHeight="false" outlineLevel="0" collapsed="false">
      <c r="A138" s="16" t="n">
        <f aca="false">IFERROR(IF(LEN(TRIM(TEXT(CPI!B132,"@")))&lt;3,NA(),DATE(2000+VALUE(LEFT(CPI!B132,LEN(CPI!B132)-2)),VALUE(RIGHT(CPI!B132,2)),1)),NA())</f>
        <v>45778</v>
      </c>
      <c r="B138" s="17" t="str">
        <f aca="false">IFERROR(IF(CPI!B132="",NA(),CPI!B132),NA())</f>
        <v>2505</v>
      </c>
      <c r="C138" s="18" t="n">
        <f aca="false">IFERROR(YEAR(A138),0)</f>
        <v>2025</v>
      </c>
      <c r="D138" s="19" t="n">
        <f aca="false">IFERROR(IF(CPI!C132="",NA(),IF(ISNUMBER(CPI!C132),CPI!C132,NA())),NA())</f>
        <v>8714.4871</v>
      </c>
      <c r="E138" s="19" t="n">
        <f aca="false">IFERROR(IF(CPI!D132="",NA(),IF(ISNUMBER(CPI!D132),CPI!D132,NA())),NA())</f>
        <v>8957.7912</v>
      </c>
      <c r="F138" s="20" t="n">
        <f aca="false">IFERROR(D138/D126-1,NA())</f>
        <v>0.434786608825091</v>
      </c>
      <c r="G138" s="20" t="n">
        <f aca="false">IFERROR(D138/D137-1,NA())</f>
        <v>0.0150110863438231</v>
      </c>
      <c r="H138" s="21" t="n">
        <f aca="false">IF(COUNT(D136:D138)=3,AVERAGE(D136:D138),NA())</f>
        <v>8551.1369</v>
      </c>
      <c r="I138" s="20" t="n">
        <f aca="false">IFERROR(IF(AND(COUNT(D136:D138)=3,COUNT(D124:D126)=3),AVERAGE(D136:D138)/AVERAGE(D124:D126)-1,NA()),NA())</f>
        <v>0.486203374866857</v>
      </c>
    </row>
    <row r="139" customFormat="false" ht="15" hidden="false" customHeight="false" outlineLevel="0" collapsed="false">
      <c r="A139" s="16" t="n">
        <f aca="false">IFERROR(IF(LEN(TRIM(TEXT(CPI!B133,"@")))&lt;3,NA(),DATE(2000+VALUE(LEFT(CPI!B133,LEN(CPI!B133)-2)),VALUE(RIGHT(CPI!B133,2)),1)),NA())</f>
        <v>45809</v>
      </c>
      <c r="B139" s="17" t="str">
        <f aca="false">IFERROR(IF(CPI!B133="",NA(),CPI!B133),NA())</f>
        <v>2506</v>
      </c>
      <c r="C139" s="18" t="n">
        <f aca="false">IFERROR(YEAR(A139),0)</f>
        <v>2025</v>
      </c>
      <c r="D139" s="19" t="n">
        <f aca="false">IFERROR(IF(CPI!C133="",NA(),IF(ISNUMBER(CPI!C133),CPI!C133,NA())),NA())</f>
        <v>8855.5681</v>
      </c>
      <c r="E139" s="19" t="n">
        <f aca="false">IFERROR(IF(CPI!D133="",NA(),IF(ISNUMBER(CPI!D133),CPI!D133,NA())),NA())</f>
        <v>9111.304</v>
      </c>
      <c r="F139" s="20" t="n">
        <f aca="false">IFERROR(D139/D127-1,NA())</f>
        <v>0.394201219214119</v>
      </c>
      <c r="G139" s="20" t="n">
        <f aca="false">IFERROR(D139/D138-1,NA())</f>
        <v>0.0161892488199333</v>
      </c>
      <c r="H139" s="21" t="n">
        <f aca="false">IF(COUNT(D137:D139)=3,AVERAGE(D137:D139),NA())</f>
        <v>8718.55433333333</v>
      </c>
      <c r="I139" s="20" t="n">
        <f aca="false">IFERROR(IF(AND(COUNT(D137:D139)=3,COUNT(D125:D127)=3),AVERAGE(D137:D139)/AVERAGE(D125:D127)-1,NA()),NA())</f>
        <v>0.432742816321697</v>
      </c>
    </row>
    <row r="140" customFormat="false" ht="15" hidden="false" customHeight="false" outlineLevel="0" collapsed="false">
      <c r="A140" s="16" t="n">
        <f aca="false">IFERROR(IF(LEN(TRIM(TEXT(CPI!B134,"@")))&lt;3,NA(),DATE(2000+VALUE(LEFT(CPI!B134,LEN(CPI!B134)-2)),VALUE(RIGHT(CPI!B134,2)),1)),NA())</f>
        <v>45839</v>
      </c>
      <c r="B140" s="17" t="str">
        <f aca="false">IFERROR(IF(CPI!B134="",NA(),CPI!B134),NA())</f>
        <v>2507</v>
      </c>
      <c r="C140" s="18" t="n">
        <f aca="false">IFERROR(YEAR(A140),0)</f>
        <v>2025</v>
      </c>
      <c r="D140" s="19" t="n">
        <f aca="false">IFERROR(IF(CPI!C134="",NA(),IF(ISNUMBER(CPI!C134),CPI!C134,NA())),NA())</f>
        <v>9023.973</v>
      </c>
      <c r="E140" s="19" t="n">
        <f aca="false">IFERROR(IF(CPI!D134="",NA(),IF(ISNUMBER(CPI!D134),CPI!D134,NA())),NA())</f>
        <v>9246.0737</v>
      </c>
      <c r="F140" s="20" t="n">
        <f aca="false">IFERROR(D140/D128-1,NA())</f>
        <v>0.365665448586499</v>
      </c>
      <c r="G140" s="20" t="n">
        <f aca="false">IFERROR(D140/D139-1,NA())</f>
        <v>0.0190168375533129</v>
      </c>
      <c r="H140" s="21" t="n">
        <f aca="false">IF(COUNT(D138:D140)=3,AVERAGE(D138:D140),NA())</f>
        <v>8864.67606666667</v>
      </c>
      <c r="I140" s="20" t="n">
        <f aca="false">IFERROR(IF(AND(COUNT(D138:D140)=3,COUNT(D126:D128)=3),AVERAGE(D138:D140)/AVERAGE(D126:D128)-1,NA()),NA())</f>
        <v>0.397245743326671</v>
      </c>
    </row>
    <row r="141" customFormat="false" ht="15" hidden="false" customHeight="false" outlineLevel="0" collapsed="false">
      <c r="A141" s="16" t="n">
        <f aca="false">IFERROR(IF(LEN(TRIM(TEXT(CPI!B135,"@")))&lt;3,NA(),DATE(2000+VALUE(LEFT(CPI!B135,LEN(CPI!B135)-2)),VALUE(RIGHT(CPI!B135,2)),1)),NA())</f>
        <v>45870</v>
      </c>
      <c r="B141" s="17" t="str">
        <f aca="false">IFERROR(IF(CPI!B135="",NA(),CPI!B135),NA())</f>
        <v>2508</v>
      </c>
      <c r="C141" s="18" t="n">
        <f aca="false">IFERROR(YEAR(A141),0)</f>
        <v>2025</v>
      </c>
      <c r="D141" s="19" t="n">
        <f aca="false">IFERROR(IF(CPI!C135="",NA(),IF(ISNUMBER(CPI!C135),CPI!C135,NA())),NA())</f>
        <v>9193.2441</v>
      </c>
      <c r="E141" s="19" t="n">
        <f aca="false">IFERROR(IF(CPI!D135="",NA(),IF(ISNUMBER(CPI!D135),CPI!D135,NA())),NA())</f>
        <v>9435.1467</v>
      </c>
      <c r="F141" s="20" t="n">
        <f aca="false">IFERROR(D141/D129-1,NA())</f>
        <v>0.335559327506132</v>
      </c>
      <c r="G141" s="20" t="n">
        <f aca="false">IFERROR(D141/D140-1,NA())</f>
        <v>0.0187579351135028</v>
      </c>
      <c r="H141" s="21" t="n">
        <f aca="false">IF(COUNT(D139:D141)=3,AVERAGE(D139:D141),NA())</f>
        <v>9024.26173333333</v>
      </c>
      <c r="I141" s="20" t="n">
        <f aca="false">IFERROR(IF(AND(COUNT(D139:D141)=3,COUNT(D127:D129)=3),AVERAGE(D139:D141)/AVERAGE(D127:D129)-1,NA()),NA())</f>
        <v>0.364356031039731</v>
      </c>
    </row>
    <row r="142" customFormat="false" ht="15" hidden="false" customHeight="false" outlineLevel="0" collapsed="false">
      <c r="A142" s="16" t="n">
        <f aca="false">IFERROR(IF(LEN(TRIM(TEXT(CPI!B136,"@")))&lt;3,NA(),DATE(2000+VALUE(LEFT(CPI!B136,LEN(CPI!B136)-2)),VALUE(RIGHT(CPI!B136,2)),1)),NA())</f>
        <v>45901</v>
      </c>
      <c r="B142" s="17" t="str">
        <f aca="false">IFERROR(IF(CPI!B136="",NA(),CPI!B136),NA())</f>
        <v>2509</v>
      </c>
      <c r="C142" s="18" t="n">
        <f aca="false">IFERROR(YEAR(A142),0)</f>
        <v>2025</v>
      </c>
      <c r="D142" s="19" t="n">
        <f aca="false">IFERROR(IF(CPI!C136="",NA(),IF(ISNUMBER(CPI!C136),CPI!C136,NA())),NA())</f>
        <v>9384.0922</v>
      </c>
      <c r="E142" s="19" t="n">
        <f aca="false">IFERROR(IF(CPI!D136="",NA(),IF(ISNUMBER(CPI!D136),CPI!D136,NA())),NA())</f>
        <v>9614.0254</v>
      </c>
      <c r="F142" s="20" t="n">
        <f aca="false">IFERROR(D142/D130-1,NA())</f>
        <v>0.317575570760224</v>
      </c>
      <c r="G142" s="20" t="n">
        <f aca="false">IFERROR(D142/D141-1,NA())</f>
        <v>0.0207596032395136</v>
      </c>
      <c r="H142" s="21" t="n">
        <f aca="false">IF(COUNT(D140:D142)=3,AVERAGE(D140:D142),NA())</f>
        <v>9200.43643333333</v>
      </c>
      <c r="I142" s="20" t="n">
        <f aca="false">IFERROR(IF(AND(COUNT(D140:D142)=3,COUNT(D128:D130)=3),AVERAGE(D140:D142)/AVERAGE(D128:D130)-1,NA()),NA())</f>
        <v>0.338996357869815</v>
      </c>
    </row>
    <row r="143" customFormat="false" ht="15" hidden="false" customHeight="false" outlineLevel="0" collapsed="false">
      <c r="A143" s="16" t="n">
        <f aca="false">IFERROR(IF(LEN(TRIM(TEXT(CPI!B137,"@")))&lt;3,NA(),DATE(2000+VALUE(LEFT(CPI!B137,LEN(CPI!B137)-2)),VALUE(RIGHT(CPI!B137,2)),1)),NA())</f>
        <v>45931</v>
      </c>
      <c r="B143" s="17" t="str">
        <f aca="false">IFERROR(IF(CPI!B137="",NA(),CPI!B137),NA())</f>
        <v>2510</v>
      </c>
      <c r="C143" s="18" t="n">
        <f aca="false">IFERROR(YEAR(A143),0)</f>
        <v>2025</v>
      </c>
      <c r="D143" s="19" t="n">
        <f aca="false">IFERROR(IF(CPI!C137="",NA(),IF(ISNUMBER(CPI!C137),CPI!C137,NA())),NA())</f>
        <v>9603.8623</v>
      </c>
      <c r="E143" s="19" t="n">
        <f aca="false">IFERROR(IF(CPI!D137="",NA(),IF(ISNUMBER(CPI!D137),CPI!D137,NA())),NA())</f>
        <v>9827.1413</v>
      </c>
      <c r="F143" s="20" t="n">
        <f aca="false">IFERROR(D143/D131-1,NA())</f>
        <v>0.313087563496091</v>
      </c>
      <c r="G143" s="20" t="n">
        <f aca="false">IFERROR(D143/D142-1,NA())</f>
        <v>0.0234194310239195</v>
      </c>
      <c r="H143" s="21" t="n">
        <f aca="false">IF(COUNT(D141:D143)=3,AVERAGE(D141:D143),NA())</f>
        <v>9393.73286666667</v>
      </c>
      <c r="I143" s="20" t="n">
        <f aca="false">IFERROR(IF(AND(COUNT(D141:D143)=3,COUNT(D129:D131)=3),AVERAGE(D141:D143)/AVERAGE(D129:D131)-1,NA()),NA())</f>
        <v>0.321842296802654</v>
      </c>
    </row>
    <row r="144" customFormat="false" ht="15" hidden="false" customHeight="false" outlineLevel="0" collapsed="false">
      <c r="A144" s="16" t="n">
        <f aca="false">IFERROR(IF(LEN(TRIM(TEXT(CPI!B138,"@")))&lt;3,NA(),DATE(2000+VALUE(LEFT(CPI!B138,LEN(CPI!B138)-2)),VALUE(RIGHT(CPI!B138,2)),1)),NA())</f>
        <v>45962</v>
      </c>
      <c r="B144" s="17" t="str">
        <f aca="false">IFERROR(IF(CPI!B138="",NA(),CPI!B138),NA())</f>
        <v>2511</v>
      </c>
      <c r="C144" s="18" t="n">
        <f aca="false">IFERROR(YEAR(A144),0)</f>
        <v>2025</v>
      </c>
      <c r="D144" s="19" t="n">
        <f aca="false">IFERROR(IF(CPI!C138="",NA(),IF(ISNUMBER(CPI!C138),CPI!C138,NA())),NA())</f>
        <v>9841.3581</v>
      </c>
      <c r="E144" s="19" t="n">
        <f aca="false">IFERROR(IF(CPI!D138="",NA(),IF(ISNUMBER(CPI!D138),CPI!D138,NA())),NA())</f>
        <v>10086.4793</v>
      </c>
      <c r="F144" s="20" t="n">
        <f aca="false">IFERROR(D144/D132-1,NA())</f>
        <v>0.313681935337484</v>
      </c>
      <c r="G144" s="20" t="n">
        <f aca="false">IFERROR(D144/D143-1,NA())</f>
        <v>0.0247291967107857</v>
      </c>
      <c r="H144" s="21" t="n">
        <f aca="false">IF(COUNT(D142:D144)=3,AVERAGE(D142:D144),NA())</f>
        <v>9609.77086666667</v>
      </c>
      <c r="I144" s="20" t="n">
        <f aca="false">IFERROR(IF(AND(COUNT(D142:D144)=3,COUNT(D130:D132)=3),AVERAGE(D142:D144)/AVERAGE(D130:D132)-1,NA()),NA())</f>
        <v>0.314748361948885</v>
      </c>
    </row>
    <row r="145" customFormat="false" ht="15" hidden="false" customHeight="false" outlineLevel="0" collapsed="false">
      <c r="A145" s="16" t="n">
        <f aca="false">IFERROR(IF(LEN(TRIM(TEXT(CPI!B139,"@")))&lt;3,NA(),DATE(2000+VALUE(LEFT(CPI!B139,LEN(CPI!B139)-2)),VALUE(RIGHT(CPI!B139,2)),1)),NA())</f>
        <v>45992</v>
      </c>
      <c r="B145" s="17" t="str">
        <f aca="false">IFERROR(IF(CPI!B139="",NA(),CPI!B139),NA())</f>
        <v>2512</v>
      </c>
      <c r="C145" s="18" t="n">
        <f aca="false">IFERROR(YEAR(A145),0)</f>
        <v>2025</v>
      </c>
      <c r="D145" s="19" t="n">
        <f aca="false">IFERROR(IF(CPI!C139="",NA(),IF(ISNUMBER(CPI!C139),CPI!C139,NA())),NA())</f>
        <v>10121.3715</v>
      </c>
      <c r="E145" s="19" t="n">
        <f aca="false">IFERROR(IF(CPI!D139="",NA(),IF(ISNUMBER(CPI!D139),CPI!D139,NA())),NA())</f>
        <v>10392.4922</v>
      </c>
      <c r="F145" s="20" t="n">
        <f aca="false">IFERROR(D145/D133-1,NA())</f>
        <v>0.315487605126457</v>
      </c>
      <c r="G145" s="20" t="n">
        <f aca="false">IFERROR(D145/D144-1,NA())</f>
        <v>0.0284527193457171</v>
      </c>
      <c r="H145" s="21" t="n">
        <f aca="false">IF(COUNT(D143:D145)=3,AVERAGE(D143:D145),NA())</f>
        <v>9855.53063333333</v>
      </c>
      <c r="I145" s="20" t="n">
        <f aca="false">IFERROR(IF(AND(COUNT(D143:D145)=3,COUNT(D131:D133)=3),AVERAGE(D143:D145)/AVERAGE(D131:D133)-1,NA()),NA())</f>
        <v>0.314106196935597</v>
      </c>
    </row>
    <row r="146" customFormat="false" ht="15" hidden="false" customHeight="false" outlineLevel="0" collapsed="false">
      <c r="A146" s="16" t="n">
        <f aca="false">IFERROR(IF(LEN(TRIM(TEXT(CPI!B140,"@")))&lt;3,NA(),DATE(2000+VALUE(LEFT(CPI!B140,LEN(CPI!B140)-2)),VALUE(RIGHT(CPI!B140,2)),1)),NA())</f>
        <v>46023</v>
      </c>
      <c r="B146" s="17" t="str">
        <f aca="false">IFERROR(IF(CPI!B140="",NA(),CPI!B140),NA())</f>
        <v>2601</v>
      </c>
      <c r="C146" s="18" t="n">
        <f aca="false">IFERROR(YEAR(A146),0)</f>
        <v>2026</v>
      </c>
      <c r="D146" s="19" t="n">
        <f aca="false">IFERROR(IF(CPI!C140="",NA(),IF(ISNUMBER(CPI!C140),CPI!C140,NA())),NA())</f>
        <v>10413.0309</v>
      </c>
      <c r="E146" s="19" t="n">
        <f aca="false">IFERROR(IF(CPI!D140="",NA(),IF(ISNUMBER(CPI!D140),CPI!D140,NA())),NA())</f>
        <v>10665.8531</v>
      </c>
      <c r="F146" s="20" t="n">
        <f aca="false">IFERROR(D146/D134-1,NA())</f>
        <v>0.324118064389535</v>
      </c>
      <c r="G146" s="20" t="n">
        <f aca="false">IFERROR(D146/D145-1,NA())</f>
        <v>0.0288161935366171</v>
      </c>
      <c r="H146" s="21" t="n">
        <f aca="false">IF(COUNT(D144:D146)=3,AVERAGE(D144:D146),NA())</f>
        <v>10125.2535</v>
      </c>
      <c r="I146" s="20" t="n">
        <f aca="false">IFERROR(IF(AND(COUNT(D144:D146)=3,COUNT(D132:D134)=3),AVERAGE(D144:D146)/AVERAGE(D132:D134)-1,NA()),NA())</f>
        <v>0.317845305416311</v>
      </c>
    </row>
    <row r="147" customFormat="false" ht="15" hidden="false" customHeight="false" outlineLevel="0" collapsed="false">
      <c r="A147" s="16" t="n">
        <f aca="false">IFERROR(IF(LEN(TRIM(TEXT(CPI!B141,"@")))&lt;3,NA(),DATE(2000+VALUE(LEFT(CPI!B141,LEN(CPI!B141)-2)),VALUE(RIGHT(CPI!B141,2)),1)),NA())</f>
        <v>46054</v>
      </c>
      <c r="B147" s="17" t="str">
        <f aca="false">IFERROR(IF(CPI!B141="",NA(),CPI!B141),NA())</f>
        <v>2602</v>
      </c>
      <c r="C147" s="18" t="n">
        <f aca="false">IFERROR(YEAR(A147),0)</f>
        <v>2026</v>
      </c>
      <c r="D147" s="19" t="n">
        <f aca="false">IFERROR(IF(CPI!C141="",NA(),IF(ISNUMBER(CPI!C141),CPI!C141,NA())),NA())</f>
        <v>10714.6255</v>
      </c>
      <c r="E147" s="19" t="n">
        <f aca="false">IFERROR(IF(CPI!D141="",NA(),IF(ISNUMBER(CPI!D141),CPI!D141,NA())),NA())</f>
        <v>10993.8681</v>
      </c>
      <c r="F147" s="20" t="n">
        <f aca="false">IFERROR(D147/D135-1,NA())</f>
        <v>0.33051474143271</v>
      </c>
      <c r="G147" s="20" t="n">
        <f aca="false">IFERROR(D147/D146-1,NA())</f>
        <v>0.0289631907267269</v>
      </c>
      <c r="H147" s="21" t="n">
        <f aca="false">IF(COUNT(D145:D147)=3,AVERAGE(D145:D147),NA())</f>
        <v>10416.3426333333</v>
      </c>
      <c r="I147" s="20" t="n">
        <f aca="false">IFERROR(IF(AND(COUNT(D145:D147)=3,COUNT(D133:D135)=3),AVERAGE(D145:D147)/AVERAGE(D133:D135)-1,NA()),NA())</f>
        <v>0.323487411500355</v>
      </c>
    </row>
    <row r="148" customFormat="false" ht="15" hidden="false" customHeight="false" outlineLevel="0" collapsed="false">
      <c r="A148" s="16" t="n">
        <f aca="false">IFERROR(IF(LEN(TRIM(TEXT(CPI!B142,"@")))&lt;3,NA(),DATE(2000+VALUE(LEFT(CPI!B142,LEN(CPI!B142)-2)),VALUE(RIGHT(CPI!B142,2)),1)),NA())</f>
        <v>46082</v>
      </c>
      <c r="B148" s="17" t="str">
        <f aca="false">IFERROR(IF(CPI!B142="",NA(),CPI!B142),NA())</f>
        <v>2603</v>
      </c>
      <c r="C148" s="18" t="n">
        <f aca="false">IFERROR(YEAR(A148),0)</f>
        <v>2026</v>
      </c>
      <c r="D148" s="19" t="n">
        <f aca="false">IFERROR(IF(CPI!C142="",NA(),IF(ISNUMBER(CPI!C142),CPI!C142,NA())),NA())</f>
        <v>11077.0608</v>
      </c>
      <c r="E148" s="19" t="n">
        <f aca="false">IFERROR(IF(CPI!D142="",NA(),IF(ISNUMBER(CPI!D142),CPI!D142,NA())),NA())</f>
        <v>11344.4566</v>
      </c>
      <c r="F148" s="20" t="n">
        <f aca="false">IFERROR(D148/D136-1,NA())</f>
        <v>0.326067523988498</v>
      </c>
      <c r="G148" s="20" t="n">
        <f aca="false">IFERROR(D148/D147-1,NA())</f>
        <v>0.0338262219244152</v>
      </c>
      <c r="H148" s="21" t="n">
        <f aca="false">IF(COUNT(D146:D148)=3,AVERAGE(D146:D148),NA())</f>
        <v>10734.9057333333</v>
      </c>
      <c r="I148" s="20" t="n">
        <f aca="false">IFERROR(IF(AND(COUNT(D146:D148)=3,COUNT(D134:D136)=3),AVERAGE(D146:D148)/AVERAGE(D134:D136)-1,NA()),NA())</f>
        <v>0.326911456738586</v>
      </c>
    </row>
    <row r="149" customFormat="false" ht="15" hidden="false" customHeight="false" outlineLevel="0" collapsed="false">
      <c r="A149" s="16" t="e">
        <f aca="false">IFERROR(IF(LEN(TRIM(TEXT(CPI!B143,"@")))&lt;3,NA(),DATE(2000+VALUE(LEFT(CPI!B143,LEN(CPI!B143)-2)),VALUE(RIGHT(CPI!B143,2)),1)),NA())</f>
        <v>#N/A</v>
      </c>
      <c r="B149" s="17" t="e">
        <f aca="false">IFERROR(IF(CPI!B143="",NA(),CPI!B143),NA())</f>
        <v>#N/A</v>
      </c>
      <c r="C149" s="18" t="n">
        <f aca="false">IFERROR(YEAR(A149),0)</f>
        <v>0</v>
      </c>
      <c r="D149" s="19" t="e">
        <f aca="false">IFERROR(IF(CPI!C143="",NA(),IF(ISNUMBER(CPI!C143),CPI!C143,NA())),NA())</f>
        <v>#N/A</v>
      </c>
      <c r="E149" s="19" t="e">
        <f aca="false">IFERROR(IF(CPI!D143="",NA(),IF(ISNUMBER(CPI!D143),CPI!D143,NA())),NA())</f>
        <v>#N/A</v>
      </c>
      <c r="F149" s="20" t="e">
        <f aca="false">IFERROR(D149/D137-1,NA())</f>
        <v>#N/A</v>
      </c>
      <c r="G149" s="20" t="e">
        <f aca="false">IFERROR(D149/D148-1,NA())</f>
        <v>#N/A</v>
      </c>
      <c r="H149" s="21" t="e">
        <f aca="false">IF(COUNT(D147:D149)=3,AVERAGE(D147:D149),NA())</f>
        <v>#N/A</v>
      </c>
      <c r="I149" s="20" t="e">
        <f aca="false">IFERROR(IF(AND(COUNT(D147:D149)=3,COUNT(D135:D137)=3),AVERAGE(D147:D149)/AVERAGE(D135:D137)-1,NA()),NA())</f>
        <v>#N/A</v>
      </c>
    </row>
    <row r="150" customFormat="false" ht="15" hidden="false" customHeight="false" outlineLevel="0" collapsed="false">
      <c r="A150" s="16" t="e">
        <f aca="false">IFERROR(IF(LEN(TRIM(TEXT(CPI!B144,"@")))&lt;3,NA(),DATE(2000+VALUE(LEFT(CPI!B144,LEN(CPI!B144)-2)),VALUE(RIGHT(CPI!B144,2)),1)),NA())</f>
        <v>#N/A</v>
      </c>
      <c r="B150" s="17" t="e">
        <f aca="false">IFERROR(IF(CPI!B144="",NA(),CPI!B144),NA())</f>
        <v>#N/A</v>
      </c>
      <c r="C150" s="18" t="n">
        <f aca="false">IFERROR(YEAR(A150),0)</f>
        <v>0</v>
      </c>
      <c r="D150" s="19" t="e">
        <f aca="false">IFERROR(IF(CPI!C144="",NA(),IF(ISNUMBER(CPI!C144),CPI!C144,NA())),NA())</f>
        <v>#N/A</v>
      </c>
      <c r="E150" s="19" t="e">
        <f aca="false">IFERROR(IF(CPI!D144="",NA(),IF(ISNUMBER(CPI!D144),CPI!D144,NA())),NA())</f>
        <v>#N/A</v>
      </c>
      <c r="F150" s="20" t="e">
        <f aca="false">IFERROR(D150/D138-1,NA())</f>
        <v>#N/A</v>
      </c>
      <c r="G150" s="20" t="e">
        <f aca="false">IFERROR(D150/D149-1,NA())</f>
        <v>#N/A</v>
      </c>
      <c r="H150" s="21" t="e">
        <f aca="false">IF(COUNT(D148:D150)=3,AVERAGE(D148:D150),NA())</f>
        <v>#N/A</v>
      </c>
      <c r="I150" s="20" t="e">
        <f aca="false">IFERROR(IF(AND(COUNT(D148:D150)=3,COUNT(D136:D138)=3),AVERAGE(D148:D150)/AVERAGE(D136:D138)-1,NA()),NA())</f>
        <v>#N/A</v>
      </c>
    </row>
    <row r="151" customFormat="false" ht="15" hidden="false" customHeight="false" outlineLevel="0" collapsed="false">
      <c r="A151" s="16" t="e">
        <f aca="false">IFERROR(IF(LEN(TRIM(TEXT(CPI!B145,"@")))&lt;3,NA(),DATE(2000+VALUE(LEFT(CPI!B145,LEN(CPI!B145)-2)),VALUE(RIGHT(CPI!B145,2)),1)),NA())</f>
        <v>#N/A</v>
      </c>
      <c r="B151" s="17" t="e">
        <f aca="false">IFERROR(IF(CPI!B145="",NA(),CPI!B145),NA())</f>
        <v>#N/A</v>
      </c>
      <c r="C151" s="18" t="n">
        <f aca="false">IFERROR(YEAR(A151),0)</f>
        <v>0</v>
      </c>
      <c r="D151" s="19" t="e">
        <f aca="false">IFERROR(IF(CPI!C145="",NA(),IF(ISNUMBER(CPI!C145),CPI!C145,NA())),NA())</f>
        <v>#N/A</v>
      </c>
      <c r="E151" s="19" t="e">
        <f aca="false">IFERROR(IF(CPI!D145="",NA(),IF(ISNUMBER(CPI!D145),CPI!D145,NA())),NA())</f>
        <v>#N/A</v>
      </c>
      <c r="F151" s="20" t="e">
        <f aca="false">IFERROR(D151/D139-1,NA())</f>
        <v>#N/A</v>
      </c>
      <c r="G151" s="20" t="e">
        <f aca="false">IFERROR(D151/D150-1,NA())</f>
        <v>#N/A</v>
      </c>
      <c r="H151" s="21" t="e">
        <f aca="false">IF(COUNT(D149:D151)=3,AVERAGE(D149:D151),NA())</f>
        <v>#N/A</v>
      </c>
      <c r="I151" s="20" t="e">
        <f aca="false">IFERROR(IF(AND(COUNT(D149:D151)=3,COUNT(D137:D139)=3),AVERAGE(D149:D151)/AVERAGE(D137:D139)-1,NA()),NA())</f>
        <v>#N/A</v>
      </c>
    </row>
    <row r="152" customFormat="false" ht="15" hidden="false" customHeight="false" outlineLevel="0" collapsed="false">
      <c r="A152" s="16" t="e">
        <f aca="false">IFERROR(IF(LEN(TRIM(TEXT(CPI!B146,"@")))&lt;3,NA(),DATE(2000+VALUE(LEFT(CPI!B146,LEN(CPI!B146)-2)),VALUE(RIGHT(CPI!B146,2)),1)),NA())</f>
        <v>#N/A</v>
      </c>
      <c r="B152" s="17" t="e">
        <f aca="false">IFERROR(IF(CPI!B146="",NA(),CPI!B146),NA())</f>
        <v>#N/A</v>
      </c>
      <c r="C152" s="18" t="n">
        <f aca="false">IFERROR(YEAR(A152),0)</f>
        <v>0</v>
      </c>
      <c r="D152" s="19" t="e">
        <f aca="false">IFERROR(IF(CPI!C146="",NA(),IF(ISNUMBER(CPI!C146),CPI!C146,NA())),NA())</f>
        <v>#N/A</v>
      </c>
      <c r="E152" s="19" t="e">
        <f aca="false">IFERROR(IF(CPI!D146="",NA(),IF(ISNUMBER(CPI!D146),CPI!D146,NA())),NA())</f>
        <v>#N/A</v>
      </c>
      <c r="F152" s="20" t="e">
        <f aca="false">IFERROR(D152/D140-1,NA())</f>
        <v>#N/A</v>
      </c>
      <c r="G152" s="20" t="e">
        <f aca="false">IFERROR(D152/D151-1,NA())</f>
        <v>#N/A</v>
      </c>
      <c r="H152" s="21" t="e">
        <f aca="false">IF(COUNT(D150:D152)=3,AVERAGE(D150:D152),NA())</f>
        <v>#N/A</v>
      </c>
      <c r="I152" s="20" t="e">
        <f aca="false">IFERROR(IF(AND(COUNT(D150:D152)=3,COUNT(D138:D140)=3),AVERAGE(D150:D152)/AVERAGE(D138:D140)-1,NA()),NA())</f>
        <v>#N/A</v>
      </c>
    </row>
    <row r="153" customFormat="false" ht="15" hidden="false" customHeight="false" outlineLevel="0" collapsed="false">
      <c r="A153" s="16" t="e">
        <f aca="false">IFERROR(IF(LEN(TRIM(TEXT(CPI!B147,"@")))&lt;3,NA(),DATE(2000+VALUE(LEFT(CPI!B147,LEN(CPI!B147)-2)),VALUE(RIGHT(CPI!B147,2)),1)),NA())</f>
        <v>#N/A</v>
      </c>
      <c r="B153" s="17" t="e">
        <f aca="false">IFERROR(IF(CPI!B147="",NA(),CPI!B147),NA())</f>
        <v>#N/A</v>
      </c>
      <c r="C153" s="18" t="n">
        <f aca="false">IFERROR(YEAR(A153),0)</f>
        <v>0</v>
      </c>
      <c r="D153" s="19" t="e">
        <f aca="false">IFERROR(IF(CPI!C147="",NA(),IF(ISNUMBER(CPI!C147),CPI!C147,NA())),NA())</f>
        <v>#N/A</v>
      </c>
      <c r="E153" s="19" t="e">
        <f aca="false">IFERROR(IF(CPI!D147="",NA(),IF(ISNUMBER(CPI!D147),CPI!D147,NA())),NA())</f>
        <v>#N/A</v>
      </c>
      <c r="F153" s="20" t="e">
        <f aca="false">IFERROR(D153/D141-1,NA())</f>
        <v>#N/A</v>
      </c>
      <c r="G153" s="20" t="e">
        <f aca="false">IFERROR(D153/D152-1,NA())</f>
        <v>#N/A</v>
      </c>
      <c r="H153" s="21" t="e">
        <f aca="false">IF(COUNT(D151:D153)=3,AVERAGE(D151:D153),NA())</f>
        <v>#N/A</v>
      </c>
      <c r="I153" s="20" t="e">
        <f aca="false">IFERROR(IF(AND(COUNT(D151:D153)=3,COUNT(D139:D141)=3),AVERAGE(D151:D153)/AVERAGE(D139:D141)-1,NA()),NA())</f>
        <v>#N/A</v>
      </c>
    </row>
    <row r="154" customFormat="false" ht="15" hidden="false" customHeight="false" outlineLevel="0" collapsed="false">
      <c r="A154" s="16" t="e">
        <f aca="false">IFERROR(IF(LEN(TRIM(TEXT(CPI!B148,"@")))&lt;3,NA(),DATE(2000+VALUE(LEFT(CPI!B148,LEN(CPI!B148)-2)),VALUE(RIGHT(CPI!B148,2)),1)),NA())</f>
        <v>#N/A</v>
      </c>
      <c r="B154" s="17" t="e">
        <f aca="false">IFERROR(IF(CPI!B148="",NA(),CPI!B148),NA())</f>
        <v>#N/A</v>
      </c>
      <c r="C154" s="18" t="n">
        <f aca="false">IFERROR(YEAR(A154),0)</f>
        <v>0</v>
      </c>
      <c r="D154" s="19" t="e">
        <f aca="false">IFERROR(IF(CPI!C148="",NA(),IF(ISNUMBER(CPI!C148),CPI!C148,NA())),NA())</f>
        <v>#N/A</v>
      </c>
      <c r="E154" s="19" t="e">
        <f aca="false">IFERROR(IF(CPI!D148="",NA(),IF(ISNUMBER(CPI!D148),CPI!D148,NA())),NA())</f>
        <v>#N/A</v>
      </c>
      <c r="F154" s="20" t="e">
        <f aca="false">IFERROR(D154/D142-1,NA())</f>
        <v>#N/A</v>
      </c>
      <c r="G154" s="20" t="e">
        <f aca="false">IFERROR(D154/D153-1,NA())</f>
        <v>#N/A</v>
      </c>
      <c r="H154" s="21" t="e">
        <f aca="false">IF(COUNT(D152:D154)=3,AVERAGE(D152:D154),NA())</f>
        <v>#N/A</v>
      </c>
      <c r="I154" s="20" t="e">
        <f aca="false">IFERROR(IF(AND(COUNT(D152:D154)=3,COUNT(D140:D142)=3),AVERAGE(D152:D154)/AVERAGE(D140:D142)-1,NA()),NA())</f>
        <v>#N/A</v>
      </c>
    </row>
    <row r="155" customFormat="false" ht="15" hidden="false" customHeight="false" outlineLevel="0" collapsed="false">
      <c r="A155" s="16" t="e">
        <f aca="false">IFERROR(IF(LEN(TRIM(TEXT(CPI!B149,"@")))&lt;3,NA(),DATE(2000+VALUE(LEFT(CPI!B149,LEN(CPI!B149)-2)),VALUE(RIGHT(CPI!B149,2)),1)),NA())</f>
        <v>#N/A</v>
      </c>
      <c r="B155" s="17" t="e">
        <f aca="false">IFERROR(IF(CPI!B149="",NA(),CPI!B149),NA())</f>
        <v>#N/A</v>
      </c>
      <c r="C155" s="18" t="n">
        <f aca="false">IFERROR(YEAR(A155),0)</f>
        <v>0</v>
      </c>
      <c r="D155" s="19" t="e">
        <f aca="false">IFERROR(IF(CPI!C149="",NA(),IF(ISNUMBER(CPI!C149),CPI!C149,NA())),NA())</f>
        <v>#N/A</v>
      </c>
      <c r="E155" s="19" t="e">
        <f aca="false">IFERROR(IF(CPI!D149="",NA(),IF(ISNUMBER(CPI!D149),CPI!D149,NA())),NA())</f>
        <v>#N/A</v>
      </c>
      <c r="F155" s="20" t="e">
        <f aca="false">IFERROR(D155/D143-1,NA())</f>
        <v>#N/A</v>
      </c>
      <c r="G155" s="20" t="e">
        <f aca="false">IFERROR(D155/D154-1,NA())</f>
        <v>#N/A</v>
      </c>
      <c r="H155" s="21" t="e">
        <f aca="false">IF(COUNT(D153:D155)=3,AVERAGE(D153:D155),NA())</f>
        <v>#N/A</v>
      </c>
      <c r="I155" s="20" t="e">
        <f aca="false">IFERROR(IF(AND(COUNT(D153:D155)=3,COUNT(D141:D143)=3),AVERAGE(D153:D155)/AVERAGE(D141:D143)-1,NA()),NA())</f>
        <v>#N/A</v>
      </c>
    </row>
    <row r="156" customFormat="false" ht="15" hidden="false" customHeight="false" outlineLevel="0" collapsed="false">
      <c r="A156" s="16" t="e">
        <f aca="false">IFERROR(IF(LEN(TRIM(TEXT(CPI!B150,"@")))&lt;3,NA(),DATE(2000+VALUE(LEFT(CPI!B150,LEN(CPI!B150)-2)),VALUE(RIGHT(CPI!B150,2)),1)),NA())</f>
        <v>#N/A</v>
      </c>
      <c r="B156" s="17" t="e">
        <f aca="false">IFERROR(IF(CPI!B150="",NA(),CPI!B150),NA())</f>
        <v>#N/A</v>
      </c>
      <c r="C156" s="18" t="n">
        <f aca="false">IFERROR(YEAR(A156),0)</f>
        <v>0</v>
      </c>
      <c r="D156" s="19" t="e">
        <f aca="false">IFERROR(IF(CPI!C150="",NA(),IF(ISNUMBER(CPI!C150),CPI!C150,NA())),NA())</f>
        <v>#N/A</v>
      </c>
      <c r="E156" s="19" t="e">
        <f aca="false">IFERROR(IF(CPI!D150="",NA(),IF(ISNUMBER(CPI!D150),CPI!D150,NA())),NA())</f>
        <v>#N/A</v>
      </c>
      <c r="F156" s="20" t="e">
        <f aca="false">IFERROR(D156/D144-1,NA())</f>
        <v>#N/A</v>
      </c>
      <c r="G156" s="20" t="e">
        <f aca="false">IFERROR(D156/D155-1,NA())</f>
        <v>#N/A</v>
      </c>
      <c r="H156" s="21" t="e">
        <f aca="false">IF(COUNT(D154:D156)=3,AVERAGE(D154:D156),NA())</f>
        <v>#N/A</v>
      </c>
      <c r="I156" s="20" t="e">
        <f aca="false">IFERROR(IF(AND(COUNT(D154:D156)=3,COUNT(D142:D144)=3),AVERAGE(D154:D156)/AVERAGE(D142:D144)-1,NA()),NA())</f>
        <v>#N/A</v>
      </c>
    </row>
    <row r="157" customFormat="false" ht="15" hidden="false" customHeight="false" outlineLevel="0" collapsed="false">
      <c r="A157" s="16" t="e">
        <f aca="false">IFERROR(IF(LEN(TRIM(TEXT(CPI!B151,"@")))&lt;3,NA(),DATE(2000+VALUE(LEFT(CPI!B151,LEN(CPI!B151)-2)),VALUE(RIGHT(CPI!B151,2)),1)),NA())</f>
        <v>#N/A</v>
      </c>
      <c r="B157" s="17" t="e">
        <f aca="false">IFERROR(IF(CPI!B151="",NA(),CPI!B151),NA())</f>
        <v>#N/A</v>
      </c>
      <c r="C157" s="18" t="n">
        <f aca="false">IFERROR(YEAR(A157),0)</f>
        <v>0</v>
      </c>
      <c r="D157" s="19" t="e">
        <f aca="false">IFERROR(IF(CPI!C151="",NA(),IF(ISNUMBER(CPI!C151),CPI!C151,NA())),NA())</f>
        <v>#N/A</v>
      </c>
      <c r="E157" s="19" t="e">
        <f aca="false">IFERROR(IF(CPI!D151="",NA(),IF(ISNUMBER(CPI!D151),CPI!D151,NA())),NA())</f>
        <v>#N/A</v>
      </c>
      <c r="F157" s="20" t="e">
        <f aca="false">IFERROR(D157/D145-1,NA())</f>
        <v>#N/A</v>
      </c>
      <c r="G157" s="20" t="e">
        <f aca="false">IFERROR(D157/D156-1,NA())</f>
        <v>#N/A</v>
      </c>
      <c r="H157" s="21" t="e">
        <f aca="false">IF(COUNT(D155:D157)=3,AVERAGE(D155:D157),NA())</f>
        <v>#N/A</v>
      </c>
      <c r="I157" s="20" t="e">
        <f aca="false">IFERROR(IF(AND(COUNT(D155:D157)=3,COUNT(D143:D145)=3),AVERAGE(D155:D157)/AVERAGE(D143:D145)-1,NA()),NA())</f>
        <v>#N/A</v>
      </c>
    </row>
    <row r="158" customFormat="false" ht="15" hidden="false" customHeight="false" outlineLevel="0" collapsed="false">
      <c r="A158" s="16" t="e">
        <f aca="false">IFERROR(IF(LEN(TRIM(TEXT(CPI!B152,"@")))&lt;3,NA(),DATE(2000+VALUE(LEFT(CPI!B152,LEN(CPI!B152)-2)),VALUE(RIGHT(CPI!B152,2)),1)),NA())</f>
        <v>#N/A</v>
      </c>
      <c r="B158" s="17" t="e">
        <f aca="false">IFERROR(IF(CPI!B152="",NA(),CPI!B152),NA())</f>
        <v>#N/A</v>
      </c>
      <c r="C158" s="18" t="n">
        <f aca="false">IFERROR(YEAR(A158),0)</f>
        <v>0</v>
      </c>
      <c r="D158" s="19" t="e">
        <f aca="false">IFERROR(IF(CPI!C152="",NA(),IF(ISNUMBER(CPI!C152),CPI!C152,NA())),NA())</f>
        <v>#N/A</v>
      </c>
      <c r="E158" s="19" t="e">
        <f aca="false">IFERROR(IF(CPI!D152="",NA(),IF(ISNUMBER(CPI!D152),CPI!D152,NA())),NA())</f>
        <v>#N/A</v>
      </c>
      <c r="F158" s="20" t="e">
        <f aca="false">IFERROR(D158/D146-1,NA())</f>
        <v>#N/A</v>
      </c>
      <c r="G158" s="20" t="e">
        <f aca="false">IFERROR(D158/D157-1,NA())</f>
        <v>#N/A</v>
      </c>
      <c r="H158" s="21" t="e">
        <f aca="false">IF(COUNT(D156:D158)=3,AVERAGE(D156:D158),NA())</f>
        <v>#N/A</v>
      </c>
      <c r="I158" s="20" t="e">
        <f aca="false">IFERROR(IF(AND(COUNT(D156:D158)=3,COUNT(D144:D146)=3),AVERAGE(D156:D158)/AVERAGE(D144:D146)-1,NA()),NA())</f>
        <v>#N/A</v>
      </c>
    </row>
    <row r="159" customFormat="false" ht="15" hidden="false" customHeight="false" outlineLevel="0" collapsed="false">
      <c r="A159" s="16" t="e">
        <f aca="false">IFERROR(IF(LEN(TRIM(TEXT(CPI!B153,"@")))&lt;3,NA(),DATE(2000+VALUE(LEFT(CPI!B153,LEN(CPI!B153)-2)),VALUE(RIGHT(CPI!B153,2)),1)),NA())</f>
        <v>#N/A</v>
      </c>
      <c r="B159" s="17" t="e">
        <f aca="false">IFERROR(IF(CPI!B153="",NA(),CPI!B153),NA())</f>
        <v>#N/A</v>
      </c>
      <c r="C159" s="18" t="n">
        <f aca="false">IFERROR(YEAR(A159),0)</f>
        <v>0</v>
      </c>
      <c r="D159" s="19" t="e">
        <f aca="false">IFERROR(IF(CPI!C153="",NA(),IF(ISNUMBER(CPI!C153),CPI!C153,NA())),NA())</f>
        <v>#N/A</v>
      </c>
      <c r="E159" s="19" t="e">
        <f aca="false">IFERROR(IF(CPI!D153="",NA(),IF(ISNUMBER(CPI!D153),CPI!D153,NA())),NA())</f>
        <v>#N/A</v>
      </c>
      <c r="F159" s="20" t="e">
        <f aca="false">IFERROR(D159/D147-1,NA())</f>
        <v>#N/A</v>
      </c>
      <c r="G159" s="20" t="e">
        <f aca="false">IFERROR(D159/D158-1,NA())</f>
        <v>#N/A</v>
      </c>
      <c r="H159" s="21" t="e">
        <f aca="false">IF(COUNT(D157:D159)=3,AVERAGE(D157:D159),NA())</f>
        <v>#N/A</v>
      </c>
      <c r="I159" s="20" t="e">
        <f aca="false">IFERROR(IF(AND(COUNT(D157:D159)=3,COUNT(D145:D147)=3),AVERAGE(D157:D159)/AVERAGE(D145:D147)-1,NA()),NA())</f>
        <v>#N/A</v>
      </c>
    </row>
    <row r="160" customFormat="false" ht="15" hidden="false" customHeight="false" outlineLevel="0" collapsed="false">
      <c r="A160" s="16" t="e">
        <f aca="false">IFERROR(IF(LEN(TRIM(TEXT(CPI!B154,"@")))&lt;3,NA(),DATE(2000+VALUE(LEFT(CPI!B154,LEN(CPI!B154)-2)),VALUE(RIGHT(CPI!B154,2)),1)),NA())</f>
        <v>#N/A</v>
      </c>
      <c r="B160" s="17" t="e">
        <f aca="false">IFERROR(IF(CPI!B154="",NA(),CPI!B154),NA())</f>
        <v>#N/A</v>
      </c>
      <c r="C160" s="18" t="n">
        <f aca="false">IFERROR(YEAR(A160),0)</f>
        <v>0</v>
      </c>
      <c r="D160" s="19" t="e">
        <f aca="false">IFERROR(IF(CPI!C154="",NA(),IF(ISNUMBER(CPI!C154),CPI!C154,NA())),NA())</f>
        <v>#N/A</v>
      </c>
      <c r="E160" s="19" t="e">
        <f aca="false">IFERROR(IF(CPI!D154="",NA(),IF(ISNUMBER(CPI!D154),CPI!D154,NA())),NA())</f>
        <v>#N/A</v>
      </c>
      <c r="F160" s="20" t="e">
        <f aca="false">IFERROR(D160/D148-1,NA())</f>
        <v>#N/A</v>
      </c>
      <c r="G160" s="20" t="e">
        <f aca="false">IFERROR(D160/D159-1,NA())</f>
        <v>#N/A</v>
      </c>
      <c r="H160" s="21" t="e">
        <f aca="false">IF(COUNT(D158:D160)=3,AVERAGE(D158:D160),NA())</f>
        <v>#N/A</v>
      </c>
      <c r="I160" s="20" t="e">
        <f aca="false">IFERROR(IF(AND(COUNT(D158:D160)=3,COUNT(D146:D148)=3),AVERAGE(D158:D160)/AVERAGE(D146:D148)-1,NA()),NA())</f>
        <v>#N/A</v>
      </c>
    </row>
    <row r="161" customFormat="false" ht="15" hidden="false" customHeight="false" outlineLevel="0" collapsed="false">
      <c r="A161" s="16" t="e">
        <f aca="false">IFERROR(IF(LEN(TRIM(TEXT(CPI!B155,"@")))&lt;3,NA(),DATE(2000+VALUE(LEFT(CPI!B155,LEN(CPI!B155)-2)),VALUE(RIGHT(CPI!B155,2)),1)),NA())</f>
        <v>#N/A</v>
      </c>
      <c r="B161" s="17" t="e">
        <f aca="false">IFERROR(IF(CPI!B155="",NA(),CPI!B155),NA())</f>
        <v>#N/A</v>
      </c>
      <c r="C161" s="18" t="n">
        <f aca="false">IFERROR(YEAR(A161),0)</f>
        <v>0</v>
      </c>
      <c r="D161" s="19" t="e">
        <f aca="false">IFERROR(IF(CPI!C155="",NA(),IF(ISNUMBER(CPI!C155),CPI!C155,NA())),NA())</f>
        <v>#N/A</v>
      </c>
      <c r="E161" s="19" t="e">
        <f aca="false">IFERROR(IF(CPI!D155="",NA(),IF(ISNUMBER(CPI!D155),CPI!D155,NA())),NA())</f>
        <v>#N/A</v>
      </c>
      <c r="F161" s="20" t="e">
        <f aca="false">IFERROR(D161/D149-1,NA())</f>
        <v>#N/A</v>
      </c>
      <c r="G161" s="20" t="e">
        <f aca="false">IFERROR(D161/D160-1,NA())</f>
        <v>#N/A</v>
      </c>
      <c r="H161" s="21" t="e">
        <f aca="false">IF(COUNT(D159:D161)=3,AVERAGE(D159:D161),NA())</f>
        <v>#N/A</v>
      </c>
      <c r="I161" s="20" t="e">
        <f aca="false">IFERROR(IF(AND(COUNT(D159:D161)=3,COUNT(D147:D149)=3),AVERAGE(D159:D161)/AVERAGE(D147:D149)-1,NA()),NA())</f>
        <v>#N/A</v>
      </c>
    </row>
    <row r="162" customFormat="false" ht="15" hidden="false" customHeight="false" outlineLevel="0" collapsed="false">
      <c r="A162" s="16" t="e">
        <f aca="false">IFERROR(IF(LEN(TRIM(TEXT(CPI!B156,"@")))&lt;3,NA(),DATE(2000+VALUE(LEFT(CPI!B156,LEN(CPI!B156)-2)),VALUE(RIGHT(CPI!B156,2)),1)),NA())</f>
        <v>#N/A</v>
      </c>
      <c r="B162" s="17" t="e">
        <f aca="false">IFERROR(IF(CPI!B156="",NA(),CPI!B156),NA())</f>
        <v>#N/A</v>
      </c>
      <c r="C162" s="18" t="n">
        <f aca="false">IFERROR(YEAR(A162),0)</f>
        <v>0</v>
      </c>
      <c r="D162" s="19" t="e">
        <f aca="false">IFERROR(IF(CPI!C156="",NA(),IF(ISNUMBER(CPI!C156),CPI!C156,NA())),NA())</f>
        <v>#N/A</v>
      </c>
      <c r="E162" s="19" t="e">
        <f aca="false">IFERROR(IF(CPI!D156="",NA(),IF(ISNUMBER(CPI!D156),CPI!D156,NA())),NA())</f>
        <v>#N/A</v>
      </c>
      <c r="F162" s="20" t="e">
        <f aca="false">IFERROR(D162/D150-1,NA())</f>
        <v>#N/A</v>
      </c>
      <c r="G162" s="20" t="e">
        <f aca="false">IFERROR(D162/D161-1,NA())</f>
        <v>#N/A</v>
      </c>
      <c r="H162" s="21" t="e">
        <f aca="false">IF(COUNT(D160:D162)=3,AVERAGE(D160:D162),NA())</f>
        <v>#N/A</v>
      </c>
      <c r="I162" s="20" t="e">
        <f aca="false">IFERROR(IF(AND(COUNT(D160:D162)=3,COUNT(D148:D150)=3),AVERAGE(D160:D162)/AVERAGE(D148:D150)-1,NA()),NA())</f>
        <v>#N/A</v>
      </c>
    </row>
    <row r="163" customFormat="false" ht="15" hidden="false" customHeight="false" outlineLevel="0" collapsed="false">
      <c r="A163" s="16" t="e">
        <f aca="false">IFERROR(IF(LEN(TRIM(TEXT(CPI!B157,"@")))&lt;3,NA(),DATE(2000+VALUE(LEFT(CPI!B157,LEN(CPI!B157)-2)),VALUE(RIGHT(CPI!B157,2)),1)),NA())</f>
        <v>#N/A</v>
      </c>
      <c r="B163" s="17" t="e">
        <f aca="false">IFERROR(IF(CPI!B157="",NA(),CPI!B157),NA())</f>
        <v>#N/A</v>
      </c>
      <c r="C163" s="18" t="n">
        <f aca="false">IFERROR(YEAR(A163),0)</f>
        <v>0</v>
      </c>
      <c r="D163" s="19" t="e">
        <f aca="false">IFERROR(IF(CPI!C157="",NA(),IF(ISNUMBER(CPI!C157),CPI!C157,NA())),NA())</f>
        <v>#N/A</v>
      </c>
      <c r="E163" s="19" t="e">
        <f aca="false">IFERROR(IF(CPI!D157="",NA(),IF(ISNUMBER(CPI!D157),CPI!D157,NA())),NA())</f>
        <v>#N/A</v>
      </c>
      <c r="F163" s="20" t="e">
        <f aca="false">IFERROR(D163/D151-1,NA())</f>
        <v>#N/A</v>
      </c>
      <c r="G163" s="20" t="e">
        <f aca="false">IFERROR(D163/D162-1,NA())</f>
        <v>#N/A</v>
      </c>
      <c r="H163" s="21" t="e">
        <f aca="false">IF(COUNT(D161:D163)=3,AVERAGE(D161:D163),NA())</f>
        <v>#N/A</v>
      </c>
      <c r="I163" s="20" t="e">
        <f aca="false">IFERROR(IF(AND(COUNT(D161:D163)=3,COUNT(D149:D151)=3),AVERAGE(D161:D163)/AVERAGE(D149:D151)-1,NA()),NA())</f>
        <v>#N/A</v>
      </c>
    </row>
    <row r="164" customFormat="false" ht="15" hidden="false" customHeight="false" outlineLevel="0" collapsed="false">
      <c r="A164" s="16" t="e">
        <f aca="false">IFERROR(IF(LEN(TRIM(TEXT(CPI!B158,"@")))&lt;3,NA(),DATE(2000+VALUE(LEFT(CPI!B158,LEN(CPI!B158)-2)),VALUE(RIGHT(CPI!B158,2)),1)),NA())</f>
        <v>#N/A</v>
      </c>
      <c r="B164" s="17" t="e">
        <f aca="false">IFERROR(IF(CPI!B158="",NA(),CPI!B158),NA())</f>
        <v>#N/A</v>
      </c>
      <c r="C164" s="18" t="n">
        <f aca="false">IFERROR(YEAR(A164),0)</f>
        <v>0</v>
      </c>
      <c r="D164" s="19" t="e">
        <f aca="false">IFERROR(IF(CPI!C158="",NA(),IF(ISNUMBER(CPI!C158),CPI!C158,NA())),NA())</f>
        <v>#N/A</v>
      </c>
      <c r="E164" s="19" t="e">
        <f aca="false">IFERROR(IF(CPI!D158="",NA(),IF(ISNUMBER(CPI!D158),CPI!D158,NA())),NA())</f>
        <v>#N/A</v>
      </c>
      <c r="F164" s="20" t="e">
        <f aca="false">IFERROR(D164/D152-1,NA())</f>
        <v>#N/A</v>
      </c>
      <c r="G164" s="20" t="e">
        <f aca="false">IFERROR(D164/D163-1,NA())</f>
        <v>#N/A</v>
      </c>
      <c r="H164" s="21" t="e">
        <f aca="false">IF(COUNT(D162:D164)=3,AVERAGE(D162:D164),NA())</f>
        <v>#N/A</v>
      </c>
      <c r="I164" s="20" t="e">
        <f aca="false">IFERROR(IF(AND(COUNT(D162:D164)=3,COUNT(D150:D152)=3),AVERAGE(D162:D164)/AVERAGE(D150:D152)-1,NA()),NA())</f>
        <v>#N/A</v>
      </c>
    </row>
    <row r="165" customFormat="false" ht="15" hidden="false" customHeight="false" outlineLevel="0" collapsed="false">
      <c r="A165" s="16" t="e">
        <f aca="false">IFERROR(IF(LEN(TRIM(TEXT(CPI!B159,"@")))&lt;3,NA(),DATE(2000+VALUE(LEFT(CPI!B159,LEN(CPI!B159)-2)),VALUE(RIGHT(CPI!B159,2)),1)),NA())</f>
        <v>#N/A</v>
      </c>
      <c r="B165" s="17" t="e">
        <f aca="false">IFERROR(IF(CPI!B159="",NA(),CPI!B159),NA())</f>
        <v>#N/A</v>
      </c>
      <c r="C165" s="18" t="n">
        <f aca="false">IFERROR(YEAR(A165),0)</f>
        <v>0</v>
      </c>
      <c r="D165" s="19" t="e">
        <f aca="false">IFERROR(IF(CPI!C159="",NA(),IF(ISNUMBER(CPI!C159),CPI!C159,NA())),NA())</f>
        <v>#N/A</v>
      </c>
      <c r="E165" s="19" t="e">
        <f aca="false">IFERROR(IF(CPI!D159="",NA(),IF(ISNUMBER(CPI!D159),CPI!D159,NA())),NA())</f>
        <v>#N/A</v>
      </c>
      <c r="F165" s="20" t="e">
        <f aca="false">IFERROR(D165/D153-1,NA())</f>
        <v>#N/A</v>
      </c>
      <c r="G165" s="20" t="e">
        <f aca="false">IFERROR(D165/D164-1,NA())</f>
        <v>#N/A</v>
      </c>
      <c r="H165" s="21" t="e">
        <f aca="false">IF(COUNT(D163:D165)=3,AVERAGE(D163:D165),NA())</f>
        <v>#N/A</v>
      </c>
      <c r="I165" s="20" t="e">
        <f aca="false">IFERROR(IF(AND(COUNT(D163:D165)=3,COUNT(D151:D153)=3),AVERAGE(D163:D165)/AVERAGE(D151:D153)-1,NA()),NA())</f>
        <v>#N/A</v>
      </c>
    </row>
    <row r="166" customFormat="false" ht="15" hidden="false" customHeight="false" outlineLevel="0" collapsed="false">
      <c r="A166" s="16" t="e">
        <f aca="false">IFERROR(IF(LEN(TRIM(TEXT(CPI!B160,"@")))&lt;3,NA(),DATE(2000+VALUE(LEFT(CPI!B160,LEN(CPI!B160)-2)),VALUE(RIGHT(CPI!B160,2)),1)),NA())</f>
        <v>#N/A</v>
      </c>
      <c r="B166" s="17" t="e">
        <f aca="false">IFERROR(IF(CPI!B160="",NA(),CPI!B160),NA())</f>
        <v>#N/A</v>
      </c>
      <c r="C166" s="18" t="n">
        <f aca="false">IFERROR(YEAR(A166),0)</f>
        <v>0</v>
      </c>
      <c r="D166" s="19" t="e">
        <f aca="false">IFERROR(IF(CPI!C160="",NA(),IF(ISNUMBER(CPI!C160),CPI!C160,NA())),NA())</f>
        <v>#N/A</v>
      </c>
      <c r="E166" s="19" t="e">
        <f aca="false">IFERROR(IF(CPI!D160="",NA(),IF(ISNUMBER(CPI!D160),CPI!D160,NA())),NA())</f>
        <v>#N/A</v>
      </c>
      <c r="F166" s="20" t="e">
        <f aca="false">IFERROR(D166/D154-1,NA())</f>
        <v>#N/A</v>
      </c>
      <c r="G166" s="20" t="e">
        <f aca="false">IFERROR(D166/D165-1,NA())</f>
        <v>#N/A</v>
      </c>
      <c r="H166" s="21" t="e">
        <f aca="false">IF(COUNT(D164:D166)=3,AVERAGE(D164:D166),NA())</f>
        <v>#N/A</v>
      </c>
      <c r="I166" s="20" t="e">
        <f aca="false">IFERROR(IF(AND(COUNT(D164:D166)=3,COUNT(D152:D154)=3),AVERAGE(D164:D166)/AVERAGE(D152:D154)-1,NA()),NA())</f>
        <v>#N/A</v>
      </c>
    </row>
    <row r="167" customFormat="false" ht="15" hidden="false" customHeight="false" outlineLevel="0" collapsed="false">
      <c r="A167" s="16" t="e">
        <f aca="false">IFERROR(IF(LEN(TRIM(TEXT(CPI!B161,"@")))&lt;3,NA(),DATE(2000+VALUE(LEFT(CPI!B161,LEN(CPI!B161)-2)),VALUE(RIGHT(CPI!B161,2)),1)),NA())</f>
        <v>#N/A</v>
      </c>
      <c r="B167" s="17" t="e">
        <f aca="false">IFERROR(IF(CPI!B161="",NA(),CPI!B161),NA())</f>
        <v>#N/A</v>
      </c>
      <c r="C167" s="18" t="n">
        <f aca="false">IFERROR(YEAR(A167),0)</f>
        <v>0</v>
      </c>
      <c r="D167" s="19" t="e">
        <f aca="false">IFERROR(IF(CPI!C161="",NA(),IF(ISNUMBER(CPI!C161),CPI!C161,NA())),NA())</f>
        <v>#N/A</v>
      </c>
      <c r="E167" s="19" t="e">
        <f aca="false">IFERROR(IF(CPI!D161="",NA(),IF(ISNUMBER(CPI!D161),CPI!D161,NA())),NA())</f>
        <v>#N/A</v>
      </c>
      <c r="F167" s="20" t="e">
        <f aca="false">IFERROR(D167/D155-1,NA())</f>
        <v>#N/A</v>
      </c>
      <c r="G167" s="20" t="e">
        <f aca="false">IFERROR(D167/D166-1,NA())</f>
        <v>#N/A</v>
      </c>
      <c r="H167" s="21" t="e">
        <f aca="false">IF(COUNT(D165:D167)=3,AVERAGE(D165:D167),NA())</f>
        <v>#N/A</v>
      </c>
      <c r="I167" s="20" t="e">
        <f aca="false">IFERROR(IF(AND(COUNT(D165:D167)=3,COUNT(D153:D155)=3),AVERAGE(D165:D167)/AVERAGE(D153:D155)-1,NA()),NA())</f>
        <v>#N/A</v>
      </c>
    </row>
    <row r="168" customFormat="false" ht="15" hidden="false" customHeight="false" outlineLevel="0" collapsed="false">
      <c r="A168" s="16" t="e">
        <f aca="false">IFERROR(IF(LEN(TRIM(TEXT(CPI!B162,"@")))&lt;3,NA(),DATE(2000+VALUE(LEFT(CPI!B162,LEN(CPI!B162)-2)),VALUE(RIGHT(CPI!B162,2)),1)),NA())</f>
        <v>#N/A</v>
      </c>
      <c r="B168" s="17" t="e">
        <f aca="false">IFERROR(IF(CPI!B162="",NA(),CPI!B162),NA())</f>
        <v>#N/A</v>
      </c>
      <c r="C168" s="18" t="n">
        <f aca="false">IFERROR(YEAR(A168),0)</f>
        <v>0</v>
      </c>
      <c r="D168" s="19" t="e">
        <f aca="false">IFERROR(IF(CPI!C162="",NA(),IF(ISNUMBER(CPI!C162),CPI!C162,NA())),NA())</f>
        <v>#N/A</v>
      </c>
      <c r="E168" s="19" t="e">
        <f aca="false">IFERROR(IF(CPI!D162="",NA(),IF(ISNUMBER(CPI!D162),CPI!D162,NA())),NA())</f>
        <v>#N/A</v>
      </c>
      <c r="F168" s="20" t="e">
        <f aca="false">IFERROR(D168/D156-1,NA())</f>
        <v>#N/A</v>
      </c>
      <c r="G168" s="20" t="e">
        <f aca="false">IFERROR(D168/D167-1,NA())</f>
        <v>#N/A</v>
      </c>
      <c r="H168" s="21" t="e">
        <f aca="false">IF(COUNT(D166:D168)=3,AVERAGE(D166:D168),NA())</f>
        <v>#N/A</v>
      </c>
      <c r="I168" s="20" t="e">
        <f aca="false">IFERROR(IF(AND(COUNT(D166:D168)=3,COUNT(D154:D156)=3),AVERAGE(D166:D168)/AVERAGE(D154:D156)-1,NA()),NA())</f>
        <v>#N/A</v>
      </c>
    </row>
    <row r="169" customFormat="false" ht="15" hidden="false" customHeight="false" outlineLevel="0" collapsed="false">
      <c r="A169" s="16" t="e">
        <f aca="false">IFERROR(IF(LEN(TRIM(TEXT(CPI!B163,"@")))&lt;3,NA(),DATE(2000+VALUE(LEFT(CPI!B163,LEN(CPI!B163)-2)),VALUE(RIGHT(CPI!B163,2)),1)),NA())</f>
        <v>#N/A</v>
      </c>
      <c r="B169" s="17" t="e">
        <f aca="false">IFERROR(IF(CPI!B163="",NA(),CPI!B163),NA())</f>
        <v>#N/A</v>
      </c>
      <c r="C169" s="18" t="n">
        <f aca="false">IFERROR(YEAR(A169),0)</f>
        <v>0</v>
      </c>
      <c r="D169" s="19" t="e">
        <f aca="false">IFERROR(IF(CPI!C163="",NA(),IF(ISNUMBER(CPI!C163),CPI!C163,NA())),NA())</f>
        <v>#N/A</v>
      </c>
      <c r="E169" s="19" t="e">
        <f aca="false">IFERROR(IF(CPI!D163="",NA(),IF(ISNUMBER(CPI!D163),CPI!D163,NA())),NA())</f>
        <v>#N/A</v>
      </c>
      <c r="F169" s="20" t="e">
        <f aca="false">IFERROR(D169/D157-1,NA())</f>
        <v>#N/A</v>
      </c>
      <c r="G169" s="20" t="e">
        <f aca="false">IFERROR(D169/D168-1,NA())</f>
        <v>#N/A</v>
      </c>
      <c r="H169" s="21" t="e">
        <f aca="false">IF(COUNT(D167:D169)=3,AVERAGE(D167:D169),NA())</f>
        <v>#N/A</v>
      </c>
      <c r="I169" s="20" t="e">
        <f aca="false">IFERROR(IF(AND(COUNT(D167:D169)=3,COUNT(D155:D157)=3),AVERAGE(D167:D169)/AVERAGE(D155:D157)-1,NA()),NA())</f>
        <v>#N/A</v>
      </c>
    </row>
    <row r="170" customFormat="false" ht="15" hidden="false" customHeight="false" outlineLevel="0" collapsed="false">
      <c r="A170" s="16" t="e">
        <f aca="false">IFERROR(IF(LEN(TRIM(TEXT(CPI!B164,"@")))&lt;3,NA(),DATE(2000+VALUE(LEFT(CPI!B164,LEN(CPI!B164)-2)),VALUE(RIGHT(CPI!B164,2)),1)),NA())</f>
        <v>#N/A</v>
      </c>
      <c r="B170" s="17" t="e">
        <f aca="false">IFERROR(IF(CPI!B164="",NA(),CPI!B164),NA())</f>
        <v>#N/A</v>
      </c>
      <c r="C170" s="18" t="n">
        <f aca="false">IFERROR(YEAR(A170),0)</f>
        <v>0</v>
      </c>
      <c r="D170" s="19" t="e">
        <f aca="false">IFERROR(IF(CPI!C164="",NA(),IF(ISNUMBER(CPI!C164),CPI!C164,NA())),NA())</f>
        <v>#N/A</v>
      </c>
      <c r="E170" s="19" t="e">
        <f aca="false">IFERROR(IF(CPI!D164="",NA(),IF(ISNUMBER(CPI!D164),CPI!D164,NA())),NA())</f>
        <v>#N/A</v>
      </c>
      <c r="F170" s="20" t="e">
        <f aca="false">IFERROR(D170/D158-1,NA())</f>
        <v>#N/A</v>
      </c>
      <c r="G170" s="20" t="e">
        <f aca="false">IFERROR(D170/D169-1,NA())</f>
        <v>#N/A</v>
      </c>
      <c r="H170" s="21" t="e">
        <f aca="false">IF(COUNT(D168:D170)=3,AVERAGE(D168:D170),NA())</f>
        <v>#N/A</v>
      </c>
      <c r="I170" s="20" t="e">
        <f aca="false">IFERROR(IF(AND(COUNT(D168:D170)=3,COUNT(D156:D158)=3),AVERAGE(D168:D170)/AVERAGE(D156:D158)-1,NA()),NA())</f>
        <v>#N/A</v>
      </c>
    </row>
    <row r="171" customFormat="false" ht="15" hidden="false" customHeight="false" outlineLevel="0" collapsed="false">
      <c r="A171" s="16" t="e">
        <f aca="false">IFERROR(IF(LEN(TRIM(TEXT(CPI!B165,"@")))&lt;3,NA(),DATE(2000+VALUE(LEFT(CPI!B165,LEN(CPI!B165)-2)),VALUE(RIGHT(CPI!B165,2)),1)),NA())</f>
        <v>#N/A</v>
      </c>
      <c r="B171" s="17" t="e">
        <f aca="false">IFERROR(IF(CPI!B165="",NA(),CPI!B165),NA())</f>
        <v>#N/A</v>
      </c>
      <c r="C171" s="18" t="n">
        <f aca="false">IFERROR(YEAR(A171),0)</f>
        <v>0</v>
      </c>
      <c r="D171" s="19" t="e">
        <f aca="false">IFERROR(IF(CPI!C165="",NA(),IF(ISNUMBER(CPI!C165),CPI!C165,NA())),NA())</f>
        <v>#N/A</v>
      </c>
      <c r="E171" s="19" t="e">
        <f aca="false">IFERROR(IF(CPI!D165="",NA(),IF(ISNUMBER(CPI!D165),CPI!D165,NA())),NA())</f>
        <v>#N/A</v>
      </c>
      <c r="F171" s="20" t="e">
        <f aca="false">IFERROR(D171/D159-1,NA())</f>
        <v>#N/A</v>
      </c>
      <c r="G171" s="20" t="e">
        <f aca="false">IFERROR(D171/D170-1,NA())</f>
        <v>#N/A</v>
      </c>
      <c r="H171" s="21" t="e">
        <f aca="false">IF(COUNT(D169:D171)=3,AVERAGE(D169:D171),NA())</f>
        <v>#N/A</v>
      </c>
      <c r="I171" s="20" t="e">
        <f aca="false">IFERROR(IF(AND(COUNT(D169:D171)=3,COUNT(D157:D159)=3),AVERAGE(D169:D171)/AVERAGE(D157:D159)-1,NA()),NA())</f>
        <v>#N/A</v>
      </c>
    </row>
    <row r="172" customFormat="false" ht="15" hidden="false" customHeight="false" outlineLevel="0" collapsed="false">
      <c r="A172" s="16" t="e">
        <f aca="false">IFERROR(IF(LEN(TRIM(TEXT(CPI!B166,"@")))&lt;3,NA(),DATE(2000+VALUE(LEFT(CPI!B166,LEN(CPI!B166)-2)),VALUE(RIGHT(CPI!B166,2)),1)),NA())</f>
        <v>#N/A</v>
      </c>
      <c r="B172" s="17" t="e">
        <f aca="false">IFERROR(IF(CPI!B166="",NA(),CPI!B166),NA())</f>
        <v>#N/A</v>
      </c>
      <c r="C172" s="18" t="n">
        <f aca="false">IFERROR(YEAR(A172),0)</f>
        <v>0</v>
      </c>
      <c r="D172" s="19" t="e">
        <f aca="false">IFERROR(IF(CPI!C166="",NA(),IF(ISNUMBER(CPI!C166),CPI!C166,NA())),NA())</f>
        <v>#N/A</v>
      </c>
      <c r="E172" s="19" t="e">
        <f aca="false">IFERROR(IF(CPI!D166="",NA(),IF(ISNUMBER(CPI!D166),CPI!D166,NA())),NA())</f>
        <v>#N/A</v>
      </c>
      <c r="F172" s="20" t="e">
        <f aca="false">IFERROR(D172/D160-1,NA())</f>
        <v>#N/A</v>
      </c>
      <c r="G172" s="20" t="e">
        <f aca="false">IFERROR(D172/D171-1,NA())</f>
        <v>#N/A</v>
      </c>
      <c r="H172" s="21" t="e">
        <f aca="false">IF(COUNT(D170:D172)=3,AVERAGE(D170:D172),NA())</f>
        <v>#N/A</v>
      </c>
      <c r="I172" s="20" t="e">
        <f aca="false">IFERROR(IF(AND(COUNT(D170:D172)=3,COUNT(D158:D160)=3),AVERAGE(D170:D172)/AVERAGE(D158:D160)-1,NA()),NA())</f>
        <v>#N/A</v>
      </c>
    </row>
    <row r="173" customFormat="false" ht="15" hidden="false" customHeight="false" outlineLevel="0" collapsed="false">
      <c r="A173" s="16" t="e">
        <f aca="false">IFERROR(IF(LEN(TRIM(TEXT(CPI!B167,"@")))&lt;3,NA(),DATE(2000+VALUE(LEFT(CPI!B167,LEN(CPI!B167)-2)),VALUE(RIGHT(CPI!B167,2)),1)),NA())</f>
        <v>#N/A</v>
      </c>
      <c r="B173" s="17" t="e">
        <f aca="false">IFERROR(IF(CPI!B167="",NA(),CPI!B167),NA())</f>
        <v>#N/A</v>
      </c>
      <c r="C173" s="18" t="n">
        <f aca="false">IFERROR(YEAR(A173),0)</f>
        <v>0</v>
      </c>
      <c r="D173" s="19" t="e">
        <f aca="false">IFERROR(IF(CPI!C167="",NA(),IF(ISNUMBER(CPI!C167),CPI!C167,NA())),NA())</f>
        <v>#N/A</v>
      </c>
      <c r="E173" s="19" t="e">
        <f aca="false">IFERROR(IF(CPI!D167="",NA(),IF(ISNUMBER(CPI!D167),CPI!D167,NA())),NA())</f>
        <v>#N/A</v>
      </c>
      <c r="F173" s="20" t="e">
        <f aca="false">IFERROR(D173/D161-1,NA())</f>
        <v>#N/A</v>
      </c>
      <c r="G173" s="20" t="e">
        <f aca="false">IFERROR(D173/D172-1,NA())</f>
        <v>#N/A</v>
      </c>
      <c r="H173" s="21" t="e">
        <f aca="false">IF(COUNT(D171:D173)=3,AVERAGE(D171:D173),NA())</f>
        <v>#N/A</v>
      </c>
      <c r="I173" s="20" t="e">
        <f aca="false">IFERROR(IF(AND(COUNT(D171:D173)=3,COUNT(D159:D161)=3),AVERAGE(D171:D173)/AVERAGE(D159:D161)-1,NA()),NA())</f>
        <v>#N/A</v>
      </c>
    </row>
    <row r="174" customFormat="false" ht="15" hidden="false" customHeight="false" outlineLevel="0" collapsed="false">
      <c r="A174" s="16" t="e">
        <f aca="false">IFERROR(IF(LEN(TRIM(TEXT(CPI!B168,"@")))&lt;3,NA(),DATE(2000+VALUE(LEFT(CPI!B168,LEN(CPI!B168)-2)),VALUE(RIGHT(CPI!B168,2)),1)),NA())</f>
        <v>#N/A</v>
      </c>
      <c r="B174" s="17" t="e">
        <f aca="false">IFERROR(IF(CPI!B168="",NA(),CPI!B168),NA())</f>
        <v>#N/A</v>
      </c>
      <c r="C174" s="18" t="n">
        <f aca="false">IFERROR(YEAR(A174),0)</f>
        <v>0</v>
      </c>
      <c r="D174" s="19" t="e">
        <f aca="false">IFERROR(IF(CPI!C168="",NA(),IF(ISNUMBER(CPI!C168),CPI!C168,NA())),NA())</f>
        <v>#N/A</v>
      </c>
      <c r="E174" s="19" t="e">
        <f aca="false">IFERROR(IF(CPI!D168="",NA(),IF(ISNUMBER(CPI!D168),CPI!D168,NA())),NA())</f>
        <v>#N/A</v>
      </c>
      <c r="F174" s="20" t="e">
        <f aca="false">IFERROR(D174/D162-1,NA())</f>
        <v>#N/A</v>
      </c>
      <c r="G174" s="20" t="e">
        <f aca="false">IFERROR(D174/D173-1,NA())</f>
        <v>#N/A</v>
      </c>
      <c r="H174" s="21" t="e">
        <f aca="false">IF(COUNT(D172:D174)=3,AVERAGE(D172:D174),NA())</f>
        <v>#N/A</v>
      </c>
      <c r="I174" s="20" t="e">
        <f aca="false">IFERROR(IF(AND(COUNT(D172:D174)=3,COUNT(D160:D162)=3),AVERAGE(D172:D174)/AVERAGE(D160:D162)-1,NA()),NA())</f>
        <v>#N/A</v>
      </c>
    </row>
    <row r="175" customFormat="false" ht="15" hidden="false" customHeight="false" outlineLevel="0" collapsed="false">
      <c r="A175" s="16" t="e">
        <f aca="false">IFERROR(IF(LEN(TRIM(TEXT(CPI!B169,"@")))&lt;3,NA(),DATE(2000+VALUE(LEFT(CPI!B169,LEN(CPI!B169)-2)),VALUE(RIGHT(CPI!B169,2)),1)),NA())</f>
        <v>#N/A</v>
      </c>
      <c r="B175" s="17" t="e">
        <f aca="false">IFERROR(IF(CPI!B169="",NA(),CPI!B169),NA())</f>
        <v>#N/A</v>
      </c>
      <c r="C175" s="18" t="n">
        <f aca="false">IFERROR(YEAR(A175),0)</f>
        <v>0</v>
      </c>
      <c r="D175" s="19" t="e">
        <f aca="false">IFERROR(IF(CPI!C169="",NA(),IF(ISNUMBER(CPI!C169),CPI!C169,NA())),NA())</f>
        <v>#N/A</v>
      </c>
      <c r="E175" s="19" t="e">
        <f aca="false">IFERROR(IF(CPI!D169="",NA(),IF(ISNUMBER(CPI!D169),CPI!D169,NA())),NA())</f>
        <v>#N/A</v>
      </c>
      <c r="F175" s="20" t="e">
        <f aca="false">IFERROR(D175/D163-1,NA())</f>
        <v>#N/A</v>
      </c>
      <c r="G175" s="20" t="e">
        <f aca="false">IFERROR(D175/D174-1,NA())</f>
        <v>#N/A</v>
      </c>
      <c r="H175" s="21" t="e">
        <f aca="false">IF(COUNT(D173:D175)=3,AVERAGE(D173:D175),NA())</f>
        <v>#N/A</v>
      </c>
      <c r="I175" s="20" t="e">
        <f aca="false">IFERROR(IF(AND(COUNT(D173:D175)=3,COUNT(D161:D163)=3),AVERAGE(D173:D175)/AVERAGE(D161:D163)-1,NA()),NA())</f>
        <v>#N/A</v>
      </c>
    </row>
    <row r="176" customFormat="false" ht="15" hidden="false" customHeight="false" outlineLevel="0" collapsed="false">
      <c r="A176" s="16" t="e">
        <f aca="false">IFERROR(IF(LEN(TRIM(TEXT(CPI!B170,"@")))&lt;3,NA(),DATE(2000+VALUE(LEFT(CPI!B170,LEN(CPI!B170)-2)),VALUE(RIGHT(CPI!B170,2)),1)),NA())</f>
        <v>#N/A</v>
      </c>
      <c r="B176" s="17" t="e">
        <f aca="false">IFERROR(IF(CPI!B170="",NA(),CPI!B170),NA())</f>
        <v>#N/A</v>
      </c>
      <c r="C176" s="18" t="n">
        <f aca="false">IFERROR(YEAR(A176),0)</f>
        <v>0</v>
      </c>
      <c r="D176" s="19" t="e">
        <f aca="false">IFERROR(IF(CPI!C170="",NA(),IF(ISNUMBER(CPI!C170),CPI!C170,NA())),NA())</f>
        <v>#N/A</v>
      </c>
      <c r="E176" s="19" t="e">
        <f aca="false">IFERROR(IF(CPI!D170="",NA(),IF(ISNUMBER(CPI!D170),CPI!D170,NA())),NA())</f>
        <v>#N/A</v>
      </c>
      <c r="F176" s="20" t="e">
        <f aca="false">IFERROR(D176/D164-1,NA())</f>
        <v>#N/A</v>
      </c>
      <c r="G176" s="20" t="e">
        <f aca="false">IFERROR(D176/D175-1,NA())</f>
        <v>#N/A</v>
      </c>
      <c r="H176" s="21" t="e">
        <f aca="false">IF(COUNT(D174:D176)=3,AVERAGE(D174:D176),NA())</f>
        <v>#N/A</v>
      </c>
      <c r="I176" s="20" t="e">
        <f aca="false">IFERROR(IF(AND(COUNT(D174:D176)=3,COUNT(D162:D164)=3),AVERAGE(D174:D176)/AVERAGE(D162:D164)-1,NA()),NA())</f>
        <v>#N/A</v>
      </c>
    </row>
    <row r="177" customFormat="false" ht="15" hidden="false" customHeight="false" outlineLevel="0" collapsed="false">
      <c r="A177" s="16" t="e">
        <f aca="false">IFERROR(IF(LEN(TRIM(TEXT(CPI!B171,"@")))&lt;3,NA(),DATE(2000+VALUE(LEFT(CPI!B171,LEN(CPI!B171)-2)),VALUE(RIGHT(CPI!B171,2)),1)),NA())</f>
        <v>#N/A</v>
      </c>
      <c r="B177" s="17" t="e">
        <f aca="false">IFERROR(IF(CPI!B171="",NA(),CPI!B171),NA())</f>
        <v>#N/A</v>
      </c>
      <c r="C177" s="18" t="n">
        <f aca="false">IFERROR(YEAR(A177),0)</f>
        <v>0</v>
      </c>
      <c r="D177" s="19" t="e">
        <f aca="false">IFERROR(IF(CPI!C171="",NA(),IF(ISNUMBER(CPI!C171),CPI!C171,NA())),NA())</f>
        <v>#N/A</v>
      </c>
      <c r="E177" s="19" t="e">
        <f aca="false">IFERROR(IF(CPI!D171="",NA(),IF(ISNUMBER(CPI!D171),CPI!D171,NA())),NA())</f>
        <v>#N/A</v>
      </c>
      <c r="F177" s="20" t="e">
        <f aca="false">IFERROR(D177/D165-1,NA())</f>
        <v>#N/A</v>
      </c>
      <c r="G177" s="20" t="e">
        <f aca="false">IFERROR(D177/D176-1,NA())</f>
        <v>#N/A</v>
      </c>
      <c r="H177" s="21" t="e">
        <f aca="false">IF(COUNT(D175:D177)=3,AVERAGE(D175:D177),NA())</f>
        <v>#N/A</v>
      </c>
      <c r="I177" s="20" t="e">
        <f aca="false">IFERROR(IF(AND(COUNT(D175:D177)=3,COUNT(D163:D165)=3),AVERAGE(D175:D177)/AVERAGE(D163:D165)-1,NA()),NA())</f>
        <v>#N/A</v>
      </c>
    </row>
    <row r="178" customFormat="false" ht="15" hidden="false" customHeight="false" outlineLevel="0" collapsed="false">
      <c r="A178" s="16" t="e">
        <f aca="false">IFERROR(IF(LEN(TRIM(TEXT(CPI!B172,"@")))&lt;3,NA(),DATE(2000+VALUE(LEFT(CPI!B172,LEN(CPI!B172)-2)),VALUE(RIGHT(CPI!B172,2)),1)),NA())</f>
        <v>#N/A</v>
      </c>
      <c r="B178" s="17" t="e">
        <f aca="false">IFERROR(IF(CPI!B172="",NA(),CPI!B172),NA())</f>
        <v>#N/A</v>
      </c>
      <c r="C178" s="18" t="n">
        <f aca="false">IFERROR(YEAR(A178),0)</f>
        <v>0</v>
      </c>
      <c r="D178" s="19" t="e">
        <f aca="false">IFERROR(IF(CPI!C172="",NA(),IF(ISNUMBER(CPI!C172),CPI!C172,NA())),NA())</f>
        <v>#N/A</v>
      </c>
      <c r="E178" s="19" t="e">
        <f aca="false">IFERROR(IF(CPI!D172="",NA(),IF(ISNUMBER(CPI!D172),CPI!D172,NA())),NA())</f>
        <v>#N/A</v>
      </c>
      <c r="F178" s="20" t="e">
        <f aca="false">IFERROR(D178/D166-1,NA())</f>
        <v>#N/A</v>
      </c>
      <c r="G178" s="20" t="e">
        <f aca="false">IFERROR(D178/D177-1,NA())</f>
        <v>#N/A</v>
      </c>
      <c r="H178" s="21" t="e">
        <f aca="false">IF(COUNT(D176:D178)=3,AVERAGE(D176:D178),NA())</f>
        <v>#N/A</v>
      </c>
      <c r="I178" s="20" t="e">
        <f aca="false">IFERROR(IF(AND(COUNT(D176:D178)=3,COUNT(D164:D166)=3),AVERAGE(D176:D178)/AVERAGE(D164:D166)-1,NA()),NA())</f>
        <v>#N/A</v>
      </c>
    </row>
    <row r="179" customFormat="false" ht="15" hidden="false" customHeight="false" outlineLevel="0" collapsed="false">
      <c r="A179" s="16" t="e">
        <f aca="false">IFERROR(IF(LEN(TRIM(TEXT(CPI!B173,"@")))&lt;3,NA(),DATE(2000+VALUE(LEFT(CPI!B173,LEN(CPI!B173)-2)),VALUE(RIGHT(CPI!B173,2)),1)),NA())</f>
        <v>#N/A</v>
      </c>
      <c r="B179" s="17" t="e">
        <f aca="false">IFERROR(IF(CPI!B173="",NA(),CPI!B173),NA())</f>
        <v>#N/A</v>
      </c>
      <c r="C179" s="18" t="n">
        <f aca="false">IFERROR(YEAR(A179),0)</f>
        <v>0</v>
      </c>
      <c r="D179" s="19" t="e">
        <f aca="false">IFERROR(IF(CPI!C173="",NA(),IF(ISNUMBER(CPI!C173),CPI!C173,NA())),NA())</f>
        <v>#N/A</v>
      </c>
      <c r="E179" s="19" t="e">
        <f aca="false">IFERROR(IF(CPI!D173="",NA(),IF(ISNUMBER(CPI!D173),CPI!D173,NA())),NA())</f>
        <v>#N/A</v>
      </c>
      <c r="F179" s="20" t="e">
        <f aca="false">IFERROR(D179/D167-1,NA())</f>
        <v>#N/A</v>
      </c>
      <c r="G179" s="20" t="e">
        <f aca="false">IFERROR(D179/D178-1,NA())</f>
        <v>#N/A</v>
      </c>
      <c r="H179" s="21" t="e">
        <f aca="false">IF(COUNT(D177:D179)=3,AVERAGE(D177:D179),NA())</f>
        <v>#N/A</v>
      </c>
      <c r="I179" s="20" t="e">
        <f aca="false">IFERROR(IF(AND(COUNT(D177:D179)=3,COUNT(D165:D167)=3),AVERAGE(D177:D179)/AVERAGE(D165:D167)-1,NA()),NA())</f>
        <v>#N/A</v>
      </c>
    </row>
    <row r="180" customFormat="false" ht="15" hidden="false" customHeight="false" outlineLevel="0" collapsed="false">
      <c r="A180" s="16" t="e">
        <f aca="false">IFERROR(IF(LEN(TRIM(TEXT(CPI!B174,"@")))&lt;3,NA(),DATE(2000+VALUE(LEFT(CPI!B174,LEN(CPI!B174)-2)),VALUE(RIGHT(CPI!B174,2)),1)),NA())</f>
        <v>#N/A</v>
      </c>
      <c r="B180" s="17" t="e">
        <f aca="false">IFERROR(IF(CPI!B174="",NA(),CPI!B174),NA())</f>
        <v>#N/A</v>
      </c>
      <c r="C180" s="18" t="n">
        <f aca="false">IFERROR(YEAR(A180),0)</f>
        <v>0</v>
      </c>
      <c r="D180" s="19" t="e">
        <f aca="false">IFERROR(IF(CPI!C174="",NA(),IF(ISNUMBER(CPI!C174),CPI!C174,NA())),NA())</f>
        <v>#N/A</v>
      </c>
      <c r="E180" s="19" t="e">
        <f aca="false">IFERROR(IF(CPI!D174="",NA(),IF(ISNUMBER(CPI!D174),CPI!D174,NA())),NA())</f>
        <v>#N/A</v>
      </c>
      <c r="F180" s="20" t="e">
        <f aca="false">IFERROR(D180/D168-1,NA())</f>
        <v>#N/A</v>
      </c>
      <c r="G180" s="20" t="e">
        <f aca="false">IFERROR(D180/D179-1,NA())</f>
        <v>#N/A</v>
      </c>
      <c r="H180" s="21" t="e">
        <f aca="false">IF(COUNT(D178:D180)=3,AVERAGE(D178:D180),NA())</f>
        <v>#N/A</v>
      </c>
      <c r="I180" s="20" t="e">
        <f aca="false">IFERROR(IF(AND(COUNT(D178:D180)=3,COUNT(D166:D168)=3),AVERAGE(D178:D180)/AVERAGE(D166:D168)-1,NA()),NA())</f>
        <v>#N/A</v>
      </c>
    </row>
    <row r="181" customFormat="false" ht="15" hidden="false" customHeight="false" outlineLevel="0" collapsed="false">
      <c r="A181" s="16" t="e">
        <f aca="false">IFERROR(IF(LEN(TRIM(TEXT(CPI!B175,"@")))&lt;3,NA(),DATE(2000+VALUE(LEFT(CPI!B175,LEN(CPI!B175)-2)),VALUE(RIGHT(CPI!B175,2)),1)),NA())</f>
        <v>#N/A</v>
      </c>
      <c r="B181" s="17" t="e">
        <f aca="false">IFERROR(IF(CPI!B175="",NA(),CPI!B175),NA())</f>
        <v>#N/A</v>
      </c>
      <c r="C181" s="18" t="n">
        <f aca="false">IFERROR(YEAR(A181),0)</f>
        <v>0</v>
      </c>
      <c r="D181" s="19" t="e">
        <f aca="false">IFERROR(IF(CPI!C175="",NA(),IF(ISNUMBER(CPI!C175),CPI!C175,NA())),NA())</f>
        <v>#N/A</v>
      </c>
      <c r="E181" s="19" t="e">
        <f aca="false">IFERROR(IF(CPI!D175="",NA(),IF(ISNUMBER(CPI!D175),CPI!D175,NA())),NA())</f>
        <v>#N/A</v>
      </c>
      <c r="F181" s="20" t="e">
        <f aca="false">IFERROR(D181/D169-1,NA())</f>
        <v>#N/A</v>
      </c>
      <c r="G181" s="20" t="e">
        <f aca="false">IFERROR(D181/D180-1,NA())</f>
        <v>#N/A</v>
      </c>
      <c r="H181" s="21" t="e">
        <f aca="false">IF(COUNT(D179:D181)=3,AVERAGE(D179:D181),NA())</f>
        <v>#N/A</v>
      </c>
      <c r="I181" s="20" t="e">
        <f aca="false">IFERROR(IF(AND(COUNT(D179:D181)=3,COUNT(D167:D169)=3),AVERAGE(D179:D181)/AVERAGE(D167:D169)-1,NA()),NA())</f>
        <v>#N/A</v>
      </c>
    </row>
    <row r="182" customFormat="false" ht="15" hidden="false" customHeight="false" outlineLevel="0" collapsed="false">
      <c r="A182" s="16" t="e">
        <f aca="false">IFERROR(IF(LEN(TRIM(TEXT(CPI!B176,"@")))&lt;3,NA(),DATE(2000+VALUE(LEFT(CPI!B176,LEN(CPI!B176)-2)),VALUE(RIGHT(CPI!B176,2)),1)),NA())</f>
        <v>#N/A</v>
      </c>
      <c r="B182" s="17" t="e">
        <f aca="false">IFERROR(IF(CPI!B176="",NA(),CPI!B176),NA())</f>
        <v>#N/A</v>
      </c>
      <c r="C182" s="18" t="n">
        <f aca="false">IFERROR(YEAR(A182),0)</f>
        <v>0</v>
      </c>
      <c r="D182" s="19" t="e">
        <f aca="false">IFERROR(IF(CPI!C176="",NA(),IF(ISNUMBER(CPI!C176),CPI!C176,NA())),NA())</f>
        <v>#N/A</v>
      </c>
      <c r="E182" s="19" t="e">
        <f aca="false">IFERROR(IF(CPI!D176="",NA(),IF(ISNUMBER(CPI!D176),CPI!D176,NA())),NA())</f>
        <v>#N/A</v>
      </c>
      <c r="F182" s="20" t="e">
        <f aca="false">IFERROR(D182/D170-1,NA())</f>
        <v>#N/A</v>
      </c>
      <c r="G182" s="20" t="e">
        <f aca="false">IFERROR(D182/D181-1,NA())</f>
        <v>#N/A</v>
      </c>
      <c r="H182" s="21" t="e">
        <f aca="false">IF(COUNT(D180:D182)=3,AVERAGE(D180:D182),NA())</f>
        <v>#N/A</v>
      </c>
      <c r="I182" s="20" t="e">
        <f aca="false">IFERROR(IF(AND(COUNT(D180:D182)=3,COUNT(D168:D170)=3),AVERAGE(D180:D182)/AVERAGE(D168:D170)-1,NA()),NA())</f>
        <v>#N/A</v>
      </c>
    </row>
    <row r="183" customFormat="false" ht="15" hidden="false" customHeight="false" outlineLevel="0" collapsed="false">
      <c r="A183" s="16" t="e">
        <f aca="false">IFERROR(IF(LEN(TRIM(TEXT(CPI!B177,"@")))&lt;3,NA(),DATE(2000+VALUE(LEFT(CPI!B177,LEN(CPI!B177)-2)),VALUE(RIGHT(CPI!B177,2)),1)),NA())</f>
        <v>#N/A</v>
      </c>
      <c r="B183" s="17" t="e">
        <f aca="false">IFERROR(IF(CPI!B177="",NA(),CPI!B177),NA())</f>
        <v>#N/A</v>
      </c>
      <c r="C183" s="18" t="n">
        <f aca="false">IFERROR(YEAR(A183),0)</f>
        <v>0</v>
      </c>
      <c r="D183" s="19" t="e">
        <f aca="false">IFERROR(IF(CPI!C177="",NA(),IF(ISNUMBER(CPI!C177),CPI!C177,NA())),NA())</f>
        <v>#N/A</v>
      </c>
      <c r="E183" s="19" t="e">
        <f aca="false">IFERROR(IF(CPI!D177="",NA(),IF(ISNUMBER(CPI!D177),CPI!D177,NA())),NA())</f>
        <v>#N/A</v>
      </c>
      <c r="F183" s="20" t="e">
        <f aca="false">IFERROR(D183/D171-1,NA())</f>
        <v>#N/A</v>
      </c>
      <c r="G183" s="20" t="e">
        <f aca="false">IFERROR(D183/D182-1,NA())</f>
        <v>#N/A</v>
      </c>
      <c r="H183" s="21" t="e">
        <f aca="false">IF(COUNT(D181:D183)=3,AVERAGE(D181:D183),NA())</f>
        <v>#N/A</v>
      </c>
      <c r="I183" s="20" t="e">
        <f aca="false">IFERROR(IF(AND(COUNT(D181:D183)=3,COUNT(D169:D171)=3),AVERAGE(D181:D183)/AVERAGE(D169:D171)-1,NA()),NA())</f>
        <v>#N/A</v>
      </c>
    </row>
    <row r="184" customFormat="false" ht="15" hidden="false" customHeight="false" outlineLevel="0" collapsed="false">
      <c r="A184" s="16" t="e">
        <f aca="false">IFERROR(IF(LEN(TRIM(TEXT(CPI!B178,"@")))&lt;3,NA(),DATE(2000+VALUE(LEFT(CPI!B178,LEN(CPI!B178)-2)),VALUE(RIGHT(CPI!B178,2)),1)),NA())</f>
        <v>#N/A</v>
      </c>
      <c r="B184" s="17" t="e">
        <f aca="false">IFERROR(IF(CPI!B178="",NA(),CPI!B178),NA())</f>
        <v>#N/A</v>
      </c>
      <c r="C184" s="18" t="n">
        <f aca="false">IFERROR(YEAR(A184),0)</f>
        <v>0</v>
      </c>
      <c r="D184" s="19" t="e">
        <f aca="false">IFERROR(IF(CPI!C178="",NA(),IF(ISNUMBER(CPI!C178),CPI!C178,NA())),NA())</f>
        <v>#N/A</v>
      </c>
      <c r="E184" s="19" t="e">
        <f aca="false">IFERROR(IF(CPI!D178="",NA(),IF(ISNUMBER(CPI!D178),CPI!D178,NA())),NA())</f>
        <v>#N/A</v>
      </c>
      <c r="F184" s="20" t="e">
        <f aca="false">IFERROR(D184/D172-1,NA())</f>
        <v>#N/A</v>
      </c>
      <c r="G184" s="20" t="e">
        <f aca="false">IFERROR(D184/D183-1,NA())</f>
        <v>#N/A</v>
      </c>
      <c r="H184" s="21" t="e">
        <f aca="false">IF(COUNT(D182:D184)=3,AVERAGE(D182:D184),NA())</f>
        <v>#N/A</v>
      </c>
      <c r="I184" s="20" t="e">
        <f aca="false">IFERROR(IF(AND(COUNT(D182:D184)=3,COUNT(D170:D172)=3),AVERAGE(D182:D184)/AVERAGE(D170:D172)-1,NA()),NA())</f>
        <v>#N/A</v>
      </c>
    </row>
    <row r="185" customFormat="false" ht="15" hidden="false" customHeight="false" outlineLevel="0" collapsed="false">
      <c r="A185" s="16" t="e">
        <f aca="false">IFERROR(IF(LEN(TRIM(TEXT(CPI!B179,"@")))&lt;3,NA(),DATE(2000+VALUE(LEFT(CPI!B179,LEN(CPI!B179)-2)),VALUE(RIGHT(CPI!B179,2)),1)),NA())</f>
        <v>#N/A</v>
      </c>
      <c r="B185" s="17" t="e">
        <f aca="false">IFERROR(IF(CPI!B179="",NA(),CPI!B179),NA())</f>
        <v>#N/A</v>
      </c>
      <c r="C185" s="18" t="n">
        <f aca="false">IFERROR(YEAR(A185),0)</f>
        <v>0</v>
      </c>
      <c r="D185" s="19" t="e">
        <f aca="false">IFERROR(IF(CPI!C179="",NA(),IF(ISNUMBER(CPI!C179),CPI!C179,NA())),NA())</f>
        <v>#N/A</v>
      </c>
      <c r="E185" s="19" t="e">
        <f aca="false">IFERROR(IF(CPI!D179="",NA(),IF(ISNUMBER(CPI!D179),CPI!D179,NA())),NA())</f>
        <v>#N/A</v>
      </c>
      <c r="F185" s="20" t="e">
        <f aca="false">IFERROR(D185/D173-1,NA())</f>
        <v>#N/A</v>
      </c>
      <c r="G185" s="20" t="e">
        <f aca="false">IFERROR(D185/D184-1,NA())</f>
        <v>#N/A</v>
      </c>
      <c r="H185" s="21" t="e">
        <f aca="false">IF(COUNT(D183:D185)=3,AVERAGE(D183:D185),NA())</f>
        <v>#N/A</v>
      </c>
      <c r="I185" s="20" t="e">
        <f aca="false">IFERROR(IF(AND(COUNT(D183:D185)=3,COUNT(D171:D173)=3),AVERAGE(D183:D185)/AVERAGE(D171:D173)-1,NA()),NA())</f>
        <v>#N/A</v>
      </c>
    </row>
    <row r="186" customFormat="false" ht="15" hidden="false" customHeight="false" outlineLevel="0" collapsed="false">
      <c r="A186" s="16" t="e">
        <f aca="false">IFERROR(IF(LEN(TRIM(TEXT(CPI!B180,"@")))&lt;3,NA(),DATE(2000+VALUE(LEFT(CPI!B180,LEN(CPI!B180)-2)),VALUE(RIGHT(CPI!B180,2)),1)),NA())</f>
        <v>#N/A</v>
      </c>
      <c r="B186" s="17" t="e">
        <f aca="false">IFERROR(IF(CPI!B180="",NA(),CPI!B180),NA())</f>
        <v>#N/A</v>
      </c>
      <c r="C186" s="18" t="n">
        <f aca="false">IFERROR(YEAR(A186),0)</f>
        <v>0</v>
      </c>
      <c r="D186" s="19" t="e">
        <f aca="false">IFERROR(IF(CPI!C180="",NA(),IF(ISNUMBER(CPI!C180),CPI!C180,NA())),NA())</f>
        <v>#N/A</v>
      </c>
      <c r="E186" s="19" t="e">
        <f aca="false">IFERROR(IF(CPI!D180="",NA(),IF(ISNUMBER(CPI!D180),CPI!D180,NA())),NA())</f>
        <v>#N/A</v>
      </c>
      <c r="F186" s="20" t="e">
        <f aca="false">IFERROR(D186/D174-1,NA())</f>
        <v>#N/A</v>
      </c>
      <c r="G186" s="20" t="e">
        <f aca="false">IFERROR(D186/D185-1,NA())</f>
        <v>#N/A</v>
      </c>
      <c r="H186" s="21" t="e">
        <f aca="false">IF(COUNT(D184:D186)=3,AVERAGE(D184:D186),NA())</f>
        <v>#N/A</v>
      </c>
      <c r="I186" s="20" t="e">
        <f aca="false">IFERROR(IF(AND(COUNT(D184:D186)=3,COUNT(D172:D174)=3),AVERAGE(D184:D186)/AVERAGE(D172:D174)-1,NA()),NA())</f>
        <v>#N/A</v>
      </c>
    </row>
    <row r="187" customFormat="false" ht="15" hidden="false" customHeight="false" outlineLevel="0" collapsed="false">
      <c r="A187" s="16" t="e">
        <f aca="false">IFERROR(IF(LEN(TRIM(TEXT(CPI!B181,"@")))&lt;3,NA(),DATE(2000+VALUE(LEFT(CPI!B181,LEN(CPI!B181)-2)),VALUE(RIGHT(CPI!B181,2)),1)),NA())</f>
        <v>#N/A</v>
      </c>
      <c r="B187" s="17" t="e">
        <f aca="false">IFERROR(IF(CPI!B181="",NA(),CPI!B181),NA())</f>
        <v>#N/A</v>
      </c>
      <c r="C187" s="18" t="n">
        <f aca="false">IFERROR(YEAR(A187),0)</f>
        <v>0</v>
      </c>
      <c r="D187" s="19" t="e">
        <f aca="false">IFERROR(IF(CPI!C181="",NA(),IF(ISNUMBER(CPI!C181),CPI!C181,NA())),NA())</f>
        <v>#N/A</v>
      </c>
      <c r="E187" s="19" t="e">
        <f aca="false">IFERROR(IF(CPI!D181="",NA(),IF(ISNUMBER(CPI!D181),CPI!D181,NA())),NA())</f>
        <v>#N/A</v>
      </c>
      <c r="F187" s="20" t="e">
        <f aca="false">IFERROR(D187/D175-1,NA())</f>
        <v>#N/A</v>
      </c>
      <c r="G187" s="20" t="e">
        <f aca="false">IFERROR(D187/D186-1,NA())</f>
        <v>#N/A</v>
      </c>
      <c r="H187" s="21" t="e">
        <f aca="false">IF(COUNT(D185:D187)=3,AVERAGE(D185:D187),NA())</f>
        <v>#N/A</v>
      </c>
      <c r="I187" s="20" t="e">
        <f aca="false">IFERROR(IF(AND(COUNT(D185:D187)=3,COUNT(D173:D175)=3),AVERAGE(D185:D187)/AVERAGE(D173:D175)-1,NA()),NA())</f>
        <v>#N/A</v>
      </c>
    </row>
    <row r="188" customFormat="false" ht="15" hidden="false" customHeight="false" outlineLevel="0" collapsed="false">
      <c r="A188" s="16" t="e">
        <f aca="false">IFERROR(IF(LEN(TRIM(TEXT(CPI!B182,"@")))&lt;3,NA(),DATE(2000+VALUE(LEFT(CPI!B182,LEN(CPI!B182)-2)),VALUE(RIGHT(CPI!B182,2)),1)),NA())</f>
        <v>#N/A</v>
      </c>
      <c r="B188" s="17" t="e">
        <f aca="false">IFERROR(IF(CPI!B182="",NA(),CPI!B182),NA())</f>
        <v>#N/A</v>
      </c>
      <c r="C188" s="18" t="n">
        <f aca="false">IFERROR(YEAR(A188),0)</f>
        <v>0</v>
      </c>
      <c r="D188" s="19" t="e">
        <f aca="false">IFERROR(IF(CPI!C182="",NA(),IF(ISNUMBER(CPI!C182),CPI!C182,NA())),NA())</f>
        <v>#N/A</v>
      </c>
      <c r="E188" s="19" t="e">
        <f aca="false">IFERROR(IF(CPI!D182="",NA(),IF(ISNUMBER(CPI!D182),CPI!D182,NA())),NA())</f>
        <v>#N/A</v>
      </c>
      <c r="F188" s="20" t="e">
        <f aca="false">IFERROR(D188/D176-1,NA())</f>
        <v>#N/A</v>
      </c>
      <c r="G188" s="20" t="e">
        <f aca="false">IFERROR(D188/D187-1,NA())</f>
        <v>#N/A</v>
      </c>
      <c r="H188" s="21" t="e">
        <f aca="false">IF(COUNT(D186:D188)=3,AVERAGE(D186:D188),NA())</f>
        <v>#N/A</v>
      </c>
      <c r="I188" s="20" t="e">
        <f aca="false">IFERROR(IF(AND(COUNT(D186:D188)=3,COUNT(D174:D176)=3),AVERAGE(D186:D188)/AVERAGE(D174:D176)-1,NA()),NA())</f>
        <v>#N/A</v>
      </c>
    </row>
    <row r="189" customFormat="false" ht="15" hidden="false" customHeight="false" outlineLevel="0" collapsed="false">
      <c r="A189" s="16" t="e">
        <f aca="false">IFERROR(IF(LEN(TRIM(TEXT(CPI!B183,"@")))&lt;3,NA(),DATE(2000+VALUE(LEFT(CPI!B183,LEN(CPI!B183)-2)),VALUE(RIGHT(CPI!B183,2)),1)),NA())</f>
        <v>#N/A</v>
      </c>
      <c r="B189" s="17" t="e">
        <f aca="false">IFERROR(IF(CPI!B183="",NA(),CPI!B183),NA())</f>
        <v>#N/A</v>
      </c>
      <c r="C189" s="18" t="n">
        <f aca="false">IFERROR(YEAR(A189),0)</f>
        <v>0</v>
      </c>
      <c r="D189" s="19" t="e">
        <f aca="false">IFERROR(IF(CPI!C183="",NA(),IF(ISNUMBER(CPI!C183),CPI!C183,NA())),NA())</f>
        <v>#N/A</v>
      </c>
      <c r="E189" s="19" t="e">
        <f aca="false">IFERROR(IF(CPI!D183="",NA(),IF(ISNUMBER(CPI!D183),CPI!D183,NA())),NA())</f>
        <v>#N/A</v>
      </c>
      <c r="F189" s="20" t="e">
        <f aca="false">IFERROR(D189/D177-1,NA())</f>
        <v>#N/A</v>
      </c>
      <c r="G189" s="20" t="e">
        <f aca="false">IFERROR(D189/D188-1,NA())</f>
        <v>#N/A</v>
      </c>
      <c r="H189" s="21" t="e">
        <f aca="false">IF(COUNT(D187:D189)=3,AVERAGE(D187:D189),NA())</f>
        <v>#N/A</v>
      </c>
      <c r="I189" s="20" t="e">
        <f aca="false">IFERROR(IF(AND(COUNT(D187:D189)=3,COUNT(D175:D177)=3),AVERAGE(D187:D189)/AVERAGE(D175:D177)-1,NA()),NA())</f>
        <v>#N/A</v>
      </c>
    </row>
    <row r="190" customFormat="false" ht="15" hidden="false" customHeight="false" outlineLevel="0" collapsed="false">
      <c r="A190" s="16" t="e">
        <f aca="false">IFERROR(IF(LEN(TRIM(TEXT(CPI!B184,"@")))&lt;3,NA(),DATE(2000+VALUE(LEFT(CPI!B184,LEN(CPI!B184)-2)),VALUE(RIGHT(CPI!B184,2)),1)),NA())</f>
        <v>#N/A</v>
      </c>
      <c r="B190" s="17" t="e">
        <f aca="false">IFERROR(IF(CPI!B184="",NA(),CPI!B184),NA())</f>
        <v>#N/A</v>
      </c>
      <c r="C190" s="18" t="n">
        <f aca="false">IFERROR(YEAR(A190),0)</f>
        <v>0</v>
      </c>
      <c r="D190" s="19" t="e">
        <f aca="false">IFERROR(IF(CPI!C184="",NA(),IF(ISNUMBER(CPI!C184),CPI!C184,NA())),NA())</f>
        <v>#N/A</v>
      </c>
      <c r="E190" s="19" t="e">
        <f aca="false">IFERROR(IF(CPI!D184="",NA(),IF(ISNUMBER(CPI!D184),CPI!D184,NA())),NA())</f>
        <v>#N/A</v>
      </c>
      <c r="F190" s="20" t="e">
        <f aca="false">IFERROR(D190/D178-1,NA())</f>
        <v>#N/A</v>
      </c>
      <c r="G190" s="20" t="e">
        <f aca="false">IFERROR(D190/D189-1,NA())</f>
        <v>#N/A</v>
      </c>
      <c r="H190" s="21" t="e">
        <f aca="false">IF(COUNT(D188:D190)=3,AVERAGE(D188:D190),NA())</f>
        <v>#N/A</v>
      </c>
      <c r="I190" s="20" t="e">
        <f aca="false">IFERROR(IF(AND(COUNT(D188:D190)=3,COUNT(D176:D178)=3),AVERAGE(D188:D190)/AVERAGE(D176:D178)-1,NA()),NA())</f>
        <v>#N/A</v>
      </c>
    </row>
    <row r="191" customFormat="false" ht="15" hidden="false" customHeight="false" outlineLevel="0" collapsed="false">
      <c r="A191" s="16" t="e">
        <f aca="false">IFERROR(IF(LEN(TRIM(TEXT(CPI!B185,"@")))&lt;3,NA(),DATE(2000+VALUE(LEFT(CPI!B185,LEN(CPI!B185)-2)),VALUE(RIGHT(CPI!B185,2)),1)),NA())</f>
        <v>#N/A</v>
      </c>
      <c r="B191" s="17" t="e">
        <f aca="false">IFERROR(IF(CPI!B185="",NA(),CPI!B185),NA())</f>
        <v>#N/A</v>
      </c>
      <c r="C191" s="18" t="n">
        <f aca="false">IFERROR(YEAR(A191),0)</f>
        <v>0</v>
      </c>
      <c r="D191" s="19" t="e">
        <f aca="false">IFERROR(IF(CPI!C185="",NA(),IF(ISNUMBER(CPI!C185),CPI!C185,NA())),NA())</f>
        <v>#N/A</v>
      </c>
      <c r="E191" s="19" t="e">
        <f aca="false">IFERROR(IF(CPI!D185="",NA(),IF(ISNUMBER(CPI!D185),CPI!D185,NA())),NA())</f>
        <v>#N/A</v>
      </c>
      <c r="F191" s="20" t="e">
        <f aca="false">IFERROR(D191/D179-1,NA())</f>
        <v>#N/A</v>
      </c>
      <c r="G191" s="20" t="e">
        <f aca="false">IFERROR(D191/D190-1,NA())</f>
        <v>#N/A</v>
      </c>
      <c r="H191" s="21" t="e">
        <f aca="false">IF(COUNT(D189:D191)=3,AVERAGE(D189:D191),NA())</f>
        <v>#N/A</v>
      </c>
      <c r="I191" s="20" t="e">
        <f aca="false">IFERROR(IF(AND(COUNT(D189:D191)=3,COUNT(D177:D179)=3),AVERAGE(D189:D191)/AVERAGE(D177:D179)-1,NA()),NA())</f>
        <v>#N/A</v>
      </c>
    </row>
    <row r="192" customFormat="false" ht="15" hidden="false" customHeight="false" outlineLevel="0" collapsed="false">
      <c r="A192" s="16" t="e">
        <f aca="false">IFERROR(IF(LEN(TRIM(TEXT(CPI!B186,"@")))&lt;3,NA(),DATE(2000+VALUE(LEFT(CPI!B186,LEN(CPI!B186)-2)),VALUE(RIGHT(CPI!B186,2)),1)),NA())</f>
        <v>#N/A</v>
      </c>
      <c r="B192" s="17" t="e">
        <f aca="false">IFERROR(IF(CPI!B186="",NA(),CPI!B186),NA())</f>
        <v>#N/A</v>
      </c>
      <c r="C192" s="18" t="n">
        <f aca="false">IFERROR(YEAR(A192),0)</f>
        <v>0</v>
      </c>
      <c r="D192" s="19" t="e">
        <f aca="false">IFERROR(IF(CPI!C186="",NA(),IF(ISNUMBER(CPI!C186),CPI!C186,NA())),NA())</f>
        <v>#N/A</v>
      </c>
      <c r="E192" s="19" t="e">
        <f aca="false">IFERROR(IF(CPI!D186="",NA(),IF(ISNUMBER(CPI!D186),CPI!D186,NA())),NA())</f>
        <v>#N/A</v>
      </c>
      <c r="F192" s="20" t="e">
        <f aca="false">IFERROR(D192/D180-1,NA())</f>
        <v>#N/A</v>
      </c>
      <c r="G192" s="20" t="e">
        <f aca="false">IFERROR(D192/D191-1,NA())</f>
        <v>#N/A</v>
      </c>
      <c r="H192" s="21" t="e">
        <f aca="false">IF(COUNT(D190:D192)=3,AVERAGE(D190:D192),NA())</f>
        <v>#N/A</v>
      </c>
      <c r="I192" s="20" t="e">
        <f aca="false">IFERROR(IF(AND(COUNT(D190:D192)=3,COUNT(D178:D180)=3),AVERAGE(D190:D192)/AVERAGE(D178:D180)-1,NA()),NA())</f>
        <v>#N/A</v>
      </c>
    </row>
    <row r="193" customFormat="false" ht="15" hidden="false" customHeight="false" outlineLevel="0" collapsed="false">
      <c r="A193" s="16" t="e">
        <f aca="false">IFERROR(IF(LEN(TRIM(TEXT(CPI!B187,"@")))&lt;3,NA(),DATE(2000+VALUE(LEFT(CPI!B187,LEN(CPI!B187)-2)),VALUE(RIGHT(CPI!B187,2)),1)),NA())</f>
        <v>#N/A</v>
      </c>
      <c r="B193" s="17" t="e">
        <f aca="false">IFERROR(IF(CPI!B187="",NA(),CPI!B187),NA())</f>
        <v>#N/A</v>
      </c>
      <c r="C193" s="18" t="n">
        <f aca="false">IFERROR(YEAR(A193),0)</f>
        <v>0</v>
      </c>
      <c r="D193" s="19" t="e">
        <f aca="false">IFERROR(IF(CPI!C187="",NA(),IF(ISNUMBER(CPI!C187),CPI!C187,NA())),NA())</f>
        <v>#N/A</v>
      </c>
      <c r="E193" s="19" t="e">
        <f aca="false">IFERROR(IF(CPI!D187="",NA(),IF(ISNUMBER(CPI!D187),CPI!D187,NA())),NA())</f>
        <v>#N/A</v>
      </c>
      <c r="F193" s="20" t="e">
        <f aca="false">IFERROR(D193/D181-1,NA())</f>
        <v>#N/A</v>
      </c>
      <c r="G193" s="20" t="e">
        <f aca="false">IFERROR(D193/D192-1,NA())</f>
        <v>#N/A</v>
      </c>
      <c r="H193" s="21" t="e">
        <f aca="false">IF(COUNT(D191:D193)=3,AVERAGE(D191:D193),NA())</f>
        <v>#N/A</v>
      </c>
      <c r="I193" s="20" t="e">
        <f aca="false">IFERROR(IF(AND(COUNT(D191:D193)=3,COUNT(D179:D181)=3),AVERAGE(D191:D193)/AVERAGE(D179:D181)-1,NA()),NA())</f>
        <v>#N/A</v>
      </c>
    </row>
    <row r="194" customFormat="false" ht="15" hidden="false" customHeight="false" outlineLevel="0" collapsed="false">
      <c r="A194" s="16" t="e">
        <f aca="false">IFERROR(IF(LEN(TRIM(TEXT(CPI!B188,"@")))&lt;3,NA(),DATE(2000+VALUE(LEFT(CPI!B188,LEN(CPI!B188)-2)),VALUE(RIGHT(CPI!B188,2)),1)),NA())</f>
        <v>#N/A</v>
      </c>
      <c r="B194" s="17" t="e">
        <f aca="false">IFERROR(IF(CPI!B188="",NA(),CPI!B188),NA())</f>
        <v>#N/A</v>
      </c>
      <c r="C194" s="18" t="n">
        <f aca="false">IFERROR(YEAR(A194),0)</f>
        <v>0</v>
      </c>
      <c r="D194" s="19" t="e">
        <f aca="false">IFERROR(IF(CPI!C188="",NA(),IF(ISNUMBER(CPI!C188),CPI!C188,NA())),NA())</f>
        <v>#N/A</v>
      </c>
      <c r="E194" s="19" t="e">
        <f aca="false">IFERROR(IF(CPI!D188="",NA(),IF(ISNUMBER(CPI!D188),CPI!D188,NA())),NA())</f>
        <v>#N/A</v>
      </c>
      <c r="F194" s="20" t="e">
        <f aca="false">IFERROR(D194/D182-1,NA())</f>
        <v>#N/A</v>
      </c>
      <c r="G194" s="20" t="e">
        <f aca="false">IFERROR(D194/D193-1,NA())</f>
        <v>#N/A</v>
      </c>
      <c r="H194" s="21" t="e">
        <f aca="false">IF(COUNT(D192:D194)=3,AVERAGE(D192:D194),NA())</f>
        <v>#N/A</v>
      </c>
      <c r="I194" s="20" t="e">
        <f aca="false">IFERROR(IF(AND(COUNT(D192:D194)=3,COUNT(D180:D182)=3),AVERAGE(D192:D194)/AVERAGE(D180:D182)-1,NA()),NA())</f>
        <v>#N/A</v>
      </c>
    </row>
    <row r="195" customFormat="false" ht="15" hidden="false" customHeight="false" outlineLevel="0" collapsed="false">
      <c r="A195" s="16" t="e">
        <f aca="false">IFERROR(IF(LEN(TRIM(TEXT(CPI!B189,"@")))&lt;3,NA(),DATE(2000+VALUE(LEFT(CPI!B189,LEN(CPI!B189)-2)),VALUE(RIGHT(CPI!B189,2)),1)),NA())</f>
        <v>#N/A</v>
      </c>
      <c r="B195" s="17" t="e">
        <f aca="false">IFERROR(IF(CPI!B189="",NA(),CPI!B189),NA())</f>
        <v>#N/A</v>
      </c>
      <c r="C195" s="18" t="n">
        <f aca="false">IFERROR(YEAR(A195),0)</f>
        <v>0</v>
      </c>
      <c r="D195" s="19" t="e">
        <f aca="false">IFERROR(IF(CPI!C189="",NA(),IF(ISNUMBER(CPI!C189),CPI!C189,NA())),NA())</f>
        <v>#N/A</v>
      </c>
      <c r="E195" s="19" t="e">
        <f aca="false">IFERROR(IF(CPI!D189="",NA(),IF(ISNUMBER(CPI!D189),CPI!D189,NA())),NA())</f>
        <v>#N/A</v>
      </c>
      <c r="F195" s="20" t="e">
        <f aca="false">IFERROR(D195/D183-1,NA())</f>
        <v>#N/A</v>
      </c>
      <c r="G195" s="20" t="e">
        <f aca="false">IFERROR(D195/D194-1,NA())</f>
        <v>#N/A</v>
      </c>
      <c r="H195" s="21" t="e">
        <f aca="false">IF(COUNT(D193:D195)=3,AVERAGE(D193:D195),NA())</f>
        <v>#N/A</v>
      </c>
      <c r="I195" s="20" t="e">
        <f aca="false">IFERROR(IF(AND(COUNT(D193:D195)=3,COUNT(D181:D183)=3),AVERAGE(D193:D195)/AVERAGE(D181:D183)-1,NA()),NA())</f>
        <v>#N/A</v>
      </c>
    </row>
    <row r="196" customFormat="false" ht="15" hidden="false" customHeight="false" outlineLevel="0" collapsed="false">
      <c r="A196" s="16" t="e">
        <f aca="false">IFERROR(IF(LEN(TRIM(TEXT(CPI!B190,"@")))&lt;3,NA(),DATE(2000+VALUE(LEFT(CPI!B190,LEN(CPI!B190)-2)),VALUE(RIGHT(CPI!B190,2)),1)),NA())</f>
        <v>#N/A</v>
      </c>
      <c r="B196" s="17" t="e">
        <f aca="false">IFERROR(IF(CPI!B190="",NA(),CPI!B190),NA())</f>
        <v>#N/A</v>
      </c>
      <c r="C196" s="18" t="n">
        <f aca="false">IFERROR(YEAR(A196),0)</f>
        <v>0</v>
      </c>
      <c r="D196" s="19" t="e">
        <f aca="false">IFERROR(IF(CPI!C190="",NA(),IF(ISNUMBER(CPI!C190),CPI!C190,NA())),NA())</f>
        <v>#N/A</v>
      </c>
      <c r="E196" s="19" t="e">
        <f aca="false">IFERROR(IF(CPI!D190="",NA(),IF(ISNUMBER(CPI!D190),CPI!D190,NA())),NA())</f>
        <v>#N/A</v>
      </c>
      <c r="F196" s="20" t="e">
        <f aca="false">IFERROR(D196/D184-1,NA())</f>
        <v>#N/A</v>
      </c>
      <c r="G196" s="20" t="e">
        <f aca="false">IFERROR(D196/D195-1,NA())</f>
        <v>#N/A</v>
      </c>
      <c r="H196" s="21" t="e">
        <f aca="false">IF(COUNT(D194:D196)=3,AVERAGE(D194:D196),NA())</f>
        <v>#N/A</v>
      </c>
      <c r="I196" s="20" t="e">
        <f aca="false">IFERROR(IF(AND(COUNT(D194:D196)=3,COUNT(D182:D184)=3),AVERAGE(D194:D196)/AVERAGE(D182:D184)-1,NA()),NA())</f>
        <v>#N/A</v>
      </c>
    </row>
    <row r="197" customFormat="false" ht="15" hidden="false" customHeight="false" outlineLevel="0" collapsed="false">
      <c r="A197" s="16" t="e">
        <f aca="false">IFERROR(IF(LEN(TRIM(TEXT(CPI!B191,"@")))&lt;3,NA(),DATE(2000+VALUE(LEFT(CPI!B191,LEN(CPI!B191)-2)),VALUE(RIGHT(CPI!B191,2)),1)),NA())</f>
        <v>#N/A</v>
      </c>
      <c r="B197" s="17" t="e">
        <f aca="false">IFERROR(IF(CPI!B191="",NA(),CPI!B191),NA())</f>
        <v>#N/A</v>
      </c>
      <c r="C197" s="18" t="n">
        <f aca="false">IFERROR(YEAR(A197),0)</f>
        <v>0</v>
      </c>
      <c r="D197" s="19" t="e">
        <f aca="false">IFERROR(IF(CPI!C191="",NA(),IF(ISNUMBER(CPI!C191),CPI!C191,NA())),NA())</f>
        <v>#N/A</v>
      </c>
      <c r="E197" s="19" t="e">
        <f aca="false">IFERROR(IF(CPI!D191="",NA(),IF(ISNUMBER(CPI!D191),CPI!D191,NA())),NA())</f>
        <v>#N/A</v>
      </c>
      <c r="F197" s="20" t="e">
        <f aca="false">IFERROR(D197/D185-1,NA())</f>
        <v>#N/A</v>
      </c>
      <c r="G197" s="20" t="e">
        <f aca="false">IFERROR(D197/D196-1,NA())</f>
        <v>#N/A</v>
      </c>
      <c r="H197" s="21" t="e">
        <f aca="false">IF(COUNT(D195:D197)=3,AVERAGE(D195:D197),NA())</f>
        <v>#N/A</v>
      </c>
      <c r="I197" s="20" t="e">
        <f aca="false">IFERROR(IF(AND(COUNT(D195:D197)=3,COUNT(D183:D185)=3),AVERAGE(D195:D197)/AVERAGE(D183:D185)-1,NA()),NA())</f>
        <v>#N/A</v>
      </c>
    </row>
    <row r="198" customFormat="false" ht="15" hidden="false" customHeight="false" outlineLevel="0" collapsed="false">
      <c r="A198" s="16" t="e">
        <f aca="false">IFERROR(IF(LEN(TRIM(TEXT(CPI!B192,"@")))&lt;3,NA(),DATE(2000+VALUE(LEFT(CPI!B192,LEN(CPI!B192)-2)),VALUE(RIGHT(CPI!B192,2)),1)),NA())</f>
        <v>#N/A</v>
      </c>
      <c r="B198" s="17" t="e">
        <f aca="false">IFERROR(IF(CPI!B192="",NA(),CPI!B192),NA())</f>
        <v>#N/A</v>
      </c>
      <c r="C198" s="18" t="n">
        <f aca="false">IFERROR(YEAR(A198),0)</f>
        <v>0</v>
      </c>
      <c r="D198" s="19" t="e">
        <f aca="false">IFERROR(IF(CPI!C192="",NA(),IF(ISNUMBER(CPI!C192),CPI!C192,NA())),NA())</f>
        <v>#N/A</v>
      </c>
      <c r="E198" s="19" t="e">
        <f aca="false">IFERROR(IF(CPI!D192="",NA(),IF(ISNUMBER(CPI!D192),CPI!D192,NA())),NA())</f>
        <v>#N/A</v>
      </c>
      <c r="F198" s="20" t="e">
        <f aca="false">IFERROR(D198/D186-1,NA())</f>
        <v>#N/A</v>
      </c>
      <c r="G198" s="20" t="e">
        <f aca="false">IFERROR(D198/D197-1,NA())</f>
        <v>#N/A</v>
      </c>
      <c r="H198" s="21" t="e">
        <f aca="false">IF(COUNT(D196:D198)=3,AVERAGE(D196:D198),NA())</f>
        <v>#N/A</v>
      </c>
      <c r="I198" s="20" t="e">
        <f aca="false">IFERROR(IF(AND(COUNT(D196:D198)=3,COUNT(D184:D186)=3),AVERAGE(D196:D198)/AVERAGE(D184:D186)-1,NA()),NA())</f>
        <v>#N/A</v>
      </c>
    </row>
    <row r="199" customFormat="false" ht="15" hidden="false" customHeight="false" outlineLevel="0" collapsed="false">
      <c r="A199" s="16" t="e">
        <f aca="false">IFERROR(IF(LEN(TRIM(TEXT(CPI!B193,"@")))&lt;3,NA(),DATE(2000+VALUE(LEFT(CPI!B193,LEN(CPI!B193)-2)),VALUE(RIGHT(CPI!B193,2)),1)),NA())</f>
        <v>#N/A</v>
      </c>
      <c r="B199" s="17" t="e">
        <f aca="false">IFERROR(IF(CPI!B193="",NA(),CPI!B193),NA())</f>
        <v>#N/A</v>
      </c>
      <c r="C199" s="18" t="n">
        <f aca="false">IFERROR(YEAR(A199),0)</f>
        <v>0</v>
      </c>
      <c r="D199" s="19" t="e">
        <f aca="false">IFERROR(IF(CPI!C193="",NA(),IF(ISNUMBER(CPI!C193),CPI!C193,NA())),NA())</f>
        <v>#N/A</v>
      </c>
      <c r="E199" s="19" t="e">
        <f aca="false">IFERROR(IF(CPI!D193="",NA(),IF(ISNUMBER(CPI!D193),CPI!D193,NA())),NA())</f>
        <v>#N/A</v>
      </c>
      <c r="F199" s="20" t="e">
        <f aca="false">IFERROR(D199/D187-1,NA())</f>
        <v>#N/A</v>
      </c>
      <c r="G199" s="20" t="e">
        <f aca="false">IFERROR(D199/D198-1,NA())</f>
        <v>#N/A</v>
      </c>
      <c r="H199" s="21" t="e">
        <f aca="false">IF(COUNT(D197:D199)=3,AVERAGE(D197:D199),NA())</f>
        <v>#N/A</v>
      </c>
      <c r="I199" s="20" t="e">
        <f aca="false">IFERROR(IF(AND(COUNT(D197:D199)=3,COUNT(D185:D187)=3),AVERAGE(D197:D199)/AVERAGE(D185:D187)-1,NA()),NA())</f>
        <v>#N/A</v>
      </c>
    </row>
    <row r="200" customFormat="false" ht="15" hidden="false" customHeight="false" outlineLevel="0" collapsed="false">
      <c r="A200" s="16" t="e">
        <f aca="false">IFERROR(IF(LEN(TRIM(TEXT(CPI!B194,"@")))&lt;3,NA(),DATE(2000+VALUE(LEFT(CPI!B194,LEN(CPI!B194)-2)),VALUE(RIGHT(CPI!B194,2)),1)),NA())</f>
        <v>#N/A</v>
      </c>
      <c r="B200" s="17" t="e">
        <f aca="false">IFERROR(IF(CPI!B194="",NA(),CPI!B194),NA())</f>
        <v>#N/A</v>
      </c>
      <c r="C200" s="18" t="n">
        <f aca="false">IFERROR(YEAR(A200),0)</f>
        <v>0</v>
      </c>
      <c r="D200" s="19" t="e">
        <f aca="false">IFERROR(IF(CPI!C194="",NA(),IF(ISNUMBER(CPI!C194),CPI!C194,NA())),NA())</f>
        <v>#N/A</v>
      </c>
      <c r="E200" s="19" t="e">
        <f aca="false">IFERROR(IF(CPI!D194="",NA(),IF(ISNUMBER(CPI!D194),CPI!D194,NA())),NA())</f>
        <v>#N/A</v>
      </c>
      <c r="F200" s="20" t="e">
        <f aca="false">IFERROR(D200/D188-1,NA())</f>
        <v>#N/A</v>
      </c>
      <c r="G200" s="20" t="e">
        <f aca="false">IFERROR(D200/D199-1,NA())</f>
        <v>#N/A</v>
      </c>
      <c r="H200" s="21" t="e">
        <f aca="false">IF(COUNT(D198:D200)=3,AVERAGE(D198:D200),NA())</f>
        <v>#N/A</v>
      </c>
      <c r="I200" s="20" t="e">
        <f aca="false">IFERROR(IF(AND(COUNT(D198:D200)=3,COUNT(D186:D188)=3),AVERAGE(D198:D200)/AVERAGE(D186:D188)-1,NA()),NA())</f>
        <v>#N/A</v>
      </c>
    </row>
    <row r="201" customFormat="false" ht="15" hidden="false" customHeight="false" outlineLevel="0" collapsed="false">
      <c r="A201" s="16" t="e">
        <f aca="false">IFERROR(IF(LEN(TRIM(TEXT(CPI!B195,"@")))&lt;3,NA(),DATE(2000+VALUE(LEFT(CPI!B195,LEN(CPI!B195)-2)),VALUE(RIGHT(CPI!B195,2)),1)),NA())</f>
        <v>#N/A</v>
      </c>
      <c r="B201" s="17" t="e">
        <f aca="false">IFERROR(IF(CPI!B195="",NA(),CPI!B195),NA())</f>
        <v>#N/A</v>
      </c>
      <c r="C201" s="18" t="n">
        <f aca="false">IFERROR(YEAR(A201),0)</f>
        <v>0</v>
      </c>
      <c r="D201" s="19" t="e">
        <f aca="false">IFERROR(IF(CPI!C195="",NA(),IF(ISNUMBER(CPI!C195),CPI!C195,NA())),NA())</f>
        <v>#N/A</v>
      </c>
      <c r="E201" s="19" t="e">
        <f aca="false">IFERROR(IF(CPI!D195="",NA(),IF(ISNUMBER(CPI!D195),CPI!D195,NA())),NA())</f>
        <v>#N/A</v>
      </c>
      <c r="F201" s="20" t="e">
        <f aca="false">IFERROR(D201/D189-1,NA())</f>
        <v>#N/A</v>
      </c>
      <c r="G201" s="20" t="e">
        <f aca="false">IFERROR(D201/D200-1,NA())</f>
        <v>#N/A</v>
      </c>
      <c r="H201" s="21" t="e">
        <f aca="false">IF(COUNT(D199:D201)=3,AVERAGE(D199:D201),NA())</f>
        <v>#N/A</v>
      </c>
      <c r="I201" s="20" t="e">
        <f aca="false">IFERROR(IF(AND(COUNT(D199:D201)=3,COUNT(D187:D189)=3),AVERAGE(D199:D201)/AVERAGE(D187:D189)-1,NA()),NA())</f>
        <v>#N/A</v>
      </c>
    </row>
    <row r="202" customFormat="false" ht="15" hidden="false" customHeight="false" outlineLevel="0" collapsed="false">
      <c r="A202" s="16" t="e">
        <f aca="false">IFERROR(IF(LEN(TRIM(TEXT(CPI!B196,"@")))&lt;3,NA(),DATE(2000+VALUE(LEFT(CPI!B196,LEN(CPI!B196)-2)),VALUE(RIGHT(CPI!B196,2)),1)),NA())</f>
        <v>#N/A</v>
      </c>
      <c r="B202" s="17" t="e">
        <f aca="false">IFERROR(IF(CPI!B196="",NA(),CPI!B196),NA())</f>
        <v>#N/A</v>
      </c>
      <c r="C202" s="18" t="n">
        <f aca="false">IFERROR(YEAR(A202),0)</f>
        <v>0</v>
      </c>
      <c r="D202" s="19" t="e">
        <f aca="false">IFERROR(IF(CPI!C196="",NA(),IF(ISNUMBER(CPI!C196),CPI!C196,NA())),NA())</f>
        <v>#N/A</v>
      </c>
      <c r="E202" s="19" t="e">
        <f aca="false">IFERROR(IF(CPI!D196="",NA(),IF(ISNUMBER(CPI!D196),CPI!D196,NA())),NA())</f>
        <v>#N/A</v>
      </c>
      <c r="F202" s="20" t="e">
        <f aca="false">IFERROR(D202/D190-1,NA())</f>
        <v>#N/A</v>
      </c>
      <c r="G202" s="20" t="e">
        <f aca="false">IFERROR(D202/D201-1,NA())</f>
        <v>#N/A</v>
      </c>
      <c r="H202" s="21" t="e">
        <f aca="false">IF(COUNT(D200:D202)=3,AVERAGE(D200:D202),NA())</f>
        <v>#N/A</v>
      </c>
      <c r="I202" s="20" t="e">
        <f aca="false">IFERROR(IF(AND(COUNT(D200:D202)=3,COUNT(D188:D190)=3),AVERAGE(D200:D202)/AVERAGE(D188:D190)-1,NA()),NA())</f>
        <v>#N/A</v>
      </c>
    </row>
    <row r="203" customFormat="false" ht="15" hidden="false" customHeight="false" outlineLevel="0" collapsed="false">
      <c r="A203" s="16" t="e">
        <f aca="false">IFERROR(IF(LEN(TRIM(TEXT(CPI!B197,"@")))&lt;3,NA(),DATE(2000+VALUE(LEFT(CPI!B197,LEN(CPI!B197)-2)),VALUE(RIGHT(CPI!B197,2)),1)),NA())</f>
        <v>#N/A</v>
      </c>
      <c r="B203" s="17" t="e">
        <f aca="false">IFERROR(IF(CPI!B197="",NA(),CPI!B197),NA())</f>
        <v>#N/A</v>
      </c>
      <c r="C203" s="18" t="n">
        <f aca="false">IFERROR(YEAR(A203),0)</f>
        <v>0</v>
      </c>
      <c r="D203" s="19" t="e">
        <f aca="false">IFERROR(IF(CPI!C197="",NA(),IF(ISNUMBER(CPI!C197),CPI!C197,NA())),NA())</f>
        <v>#N/A</v>
      </c>
      <c r="E203" s="19" t="e">
        <f aca="false">IFERROR(IF(CPI!D197="",NA(),IF(ISNUMBER(CPI!D197),CPI!D197,NA())),NA())</f>
        <v>#N/A</v>
      </c>
      <c r="F203" s="20" t="e">
        <f aca="false">IFERROR(D203/D191-1,NA())</f>
        <v>#N/A</v>
      </c>
      <c r="G203" s="20" t="e">
        <f aca="false">IFERROR(D203/D202-1,NA())</f>
        <v>#N/A</v>
      </c>
      <c r="H203" s="21" t="e">
        <f aca="false">IF(COUNT(D201:D203)=3,AVERAGE(D201:D203),NA())</f>
        <v>#N/A</v>
      </c>
      <c r="I203" s="20" t="e">
        <f aca="false">IFERROR(IF(AND(COUNT(D201:D203)=3,COUNT(D189:D191)=3),AVERAGE(D201:D203)/AVERAGE(D189:D191)-1,NA()),NA())</f>
        <v>#N/A</v>
      </c>
    </row>
    <row r="204" customFormat="false" ht="15" hidden="false" customHeight="false" outlineLevel="0" collapsed="false">
      <c r="A204" s="16" t="e">
        <f aca="false">IFERROR(IF(LEN(TRIM(TEXT(CPI!B198,"@")))&lt;3,NA(),DATE(2000+VALUE(LEFT(CPI!B198,LEN(CPI!B198)-2)),VALUE(RIGHT(CPI!B198,2)),1)),NA())</f>
        <v>#N/A</v>
      </c>
      <c r="B204" s="17" t="e">
        <f aca="false">IFERROR(IF(CPI!B198="",NA(),CPI!B198),NA())</f>
        <v>#N/A</v>
      </c>
      <c r="C204" s="18" t="n">
        <f aca="false">IFERROR(YEAR(A204),0)</f>
        <v>0</v>
      </c>
      <c r="D204" s="19" t="e">
        <f aca="false">IFERROR(IF(CPI!C198="",NA(),IF(ISNUMBER(CPI!C198),CPI!C198,NA())),NA())</f>
        <v>#N/A</v>
      </c>
      <c r="E204" s="19" t="e">
        <f aca="false">IFERROR(IF(CPI!D198="",NA(),IF(ISNUMBER(CPI!D198),CPI!D198,NA())),NA())</f>
        <v>#N/A</v>
      </c>
      <c r="F204" s="20" t="e">
        <f aca="false">IFERROR(D204/D192-1,NA())</f>
        <v>#N/A</v>
      </c>
      <c r="G204" s="20" t="e">
        <f aca="false">IFERROR(D204/D203-1,NA())</f>
        <v>#N/A</v>
      </c>
      <c r="H204" s="21" t="e">
        <f aca="false">IF(COUNT(D202:D204)=3,AVERAGE(D202:D204),NA())</f>
        <v>#N/A</v>
      </c>
      <c r="I204" s="20" t="e">
        <f aca="false">IFERROR(IF(AND(COUNT(D202:D204)=3,COUNT(D190:D192)=3),AVERAGE(D202:D204)/AVERAGE(D190:D192)-1,NA()),NA())</f>
        <v>#N/A</v>
      </c>
    </row>
    <row r="205" customFormat="false" ht="15" hidden="false" customHeight="false" outlineLevel="0" collapsed="false">
      <c r="A205" s="16" t="e">
        <f aca="false">IFERROR(IF(LEN(TRIM(TEXT(CPI!B199,"@")))&lt;3,NA(),DATE(2000+VALUE(LEFT(CPI!B199,LEN(CPI!B199)-2)),VALUE(RIGHT(CPI!B199,2)),1)),NA())</f>
        <v>#N/A</v>
      </c>
      <c r="B205" s="17" t="e">
        <f aca="false">IFERROR(IF(CPI!B199="",NA(),CPI!B199),NA())</f>
        <v>#N/A</v>
      </c>
      <c r="C205" s="18" t="n">
        <f aca="false">IFERROR(YEAR(A205),0)</f>
        <v>0</v>
      </c>
      <c r="D205" s="19" t="e">
        <f aca="false">IFERROR(IF(CPI!C199="",NA(),IF(ISNUMBER(CPI!C199),CPI!C199,NA())),NA())</f>
        <v>#N/A</v>
      </c>
      <c r="E205" s="19" t="e">
        <f aca="false">IFERROR(IF(CPI!D199="",NA(),IF(ISNUMBER(CPI!D199),CPI!D199,NA())),NA())</f>
        <v>#N/A</v>
      </c>
      <c r="F205" s="20" t="e">
        <f aca="false">IFERROR(D205/D193-1,NA())</f>
        <v>#N/A</v>
      </c>
      <c r="G205" s="20" t="e">
        <f aca="false">IFERROR(D205/D204-1,NA())</f>
        <v>#N/A</v>
      </c>
      <c r="H205" s="21" t="e">
        <f aca="false">IF(COUNT(D203:D205)=3,AVERAGE(D203:D205),NA())</f>
        <v>#N/A</v>
      </c>
      <c r="I205" s="20" t="e">
        <f aca="false">IFERROR(IF(AND(COUNT(D203:D205)=3,COUNT(D191:D193)=3),AVERAGE(D203:D205)/AVERAGE(D191:D193)-1,NA()),NA())</f>
        <v>#N/A</v>
      </c>
    </row>
    <row r="206" customFormat="false" ht="15" hidden="false" customHeight="false" outlineLevel="0" collapsed="false">
      <c r="A206" s="16" t="e">
        <f aca="false">IFERROR(IF(LEN(TRIM(TEXT(CPI!B200,"@")))&lt;3,NA(),DATE(2000+VALUE(LEFT(CPI!B200,LEN(CPI!B200)-2)),VALUE(RIGHT(CPI!B200,2)),1)),NA())</f>
        <v>#N/A</v>
      </c>
      <c r="B206" s="17" t="e">
        <f aca="false">IFERROR(IF(CPI!B200="",NA(),CPI!B200),NA())</f>
        <v>#N/A</v>
      </c>
      <c r="C206" s="18" t="n">
        <f aca="false">IFERROR(YEAR(A206),0)</f>
        <v>0</v>
      </c>
      <c r="D206" s="19" t="e">
        <f aca="false">IFERROR(IF(CPI!C200="",NA(),IF(ISNUMBER(CPI!C200),CPI!C200,NA())),NA())</f>
        <v>#N/A</v>
      </c>
      <c r="E206" s="19" t="e">
        <f aca="false">IFERROR(IF(CPI!D200="",NA(),IF(ISNUMBER(CPI!D200),CPI!D200,NA())),NA())</f>
        <v>#N/A</v>
      </c>
      <c r="F206" s="20" t="e">
        <f aca="false">IFERROR(D206/D194-1,NA())</f>
        <v>#N/A</v>
      </c>
      <c r="G206" s="20" t="e">
        <f aca="false">IFERROR(D206/D205-1,NA())</f>
        <v>#N/A</v>
      </c>
      <c r="H206" s="21" t="e">
        <f aca="false">IF(COUNT(D204:D206)=3,AVERAGE(D204:D206),NA())</f>
        <v>#N/A</v>
      </c>
      <c r="I206" s="20" t="e">
        <f aca="false">IFERROR(IF(AND(COUNT(D204:D206)=3,COUNT(D192:D194)=3),AVERAGE(D204:D206)/AVERAGE(D192:D194)-1,NA()),NA())</f>
        <v>#N/A</v>
      </c>
    </row>
    <row r="207" customFormat="false" ht="15" hidden="false" customHeight="false" outlineLevel="0" collapsed="false">
      <c r="A207" s="16" t="e">
        <f aca="false">IFERROR(IF(LEN(TRIM(TEXT(CPI!B201,"@")))&lt;3,NA(),DATE(2000+VALUE(LEFT(CPI!B201,LEN(CPI!B201)-2)),VALUE(RIGHT(CPI!B201,2)),1)),NA())</f>
        <v>#N/A</v>
      </c>
      <c r="B207" s="17" t="e">
        <f aca="false">IFERROR(IF(CPI!B201="",NA(),CPI!B201),NA())</f>
        <v>#N/A</v>
      </c>
      <c r="C207" s="18" t="n">
        <f aca="false">IFERROR(YEAR(A207),0)</f>
        <v>0</v>
      </c>
      <c r="D207" s="19" t="e">
        <f aca="false">IFERROR(IF(CPI!C201="",NA(),IF(ISNUMBER(CPI!C201),CPI!C201,NA())),NA())</f>
        <v>#N/A</v>
      </c>
      <c r="E207" s="19" t="e">
        <f aca="false">IFERROR(IF(CPI!D201="",NA(),IF(ISNUMBER(CPI!D201),CPI!D201,NA())),NA())</f>
        <v>#N/A</v>
      </c>
      <c r="F207" s="20" t="e">
        <f aca="false">IFERROR(D207/D195-1,NA())</f>
        <v>#N/A</v>
      </c>
      <c r="G207" s="20" t="e">
        <f aca="false">IFERROR(D207/D206-1,NA())</f>
        <v>#N/A</v>
      </c>
      <c r="H207" s="21" t="e">
        <f aca="false">IF(COUNT(D205:D207)=3,AVERAGE(D205:D207),NA())</f>
        <v>#N/A</v>
      </c>
      <c r="I207" s="20" t="e">
        <f aca="false">IFERROR(IF(AND(COUNT(D205:D207)=3,COUNT(D193:D195)=3),AVERAGE(D205:D207)/AVERAGE(D193:D195)-1,NA()),NA())</f>
        <v>#N/A</v>
      </c>
    </row>
    <row r="208" customFormat="false" ht="15" hidden="false" customHeight="false" outlineLevel="0" collapsed="false">
      <c r="A208" s="16" t="e">
        <f aca="false">IFERROR(IF(LEN(TRIM(TEXT(CPI!B202,"@")))&lt;3,NA(),DATE(2000+VALUE(LEFT(CPI!B202,LEN(CPI!B202)-2)),VALUE(RIGHT(CPI!B202,2)),1)),NA())</f>
        <v>#N/A</v>
      </c>
      <c r="B208" s="17" t="e">
        <f aca="false">IFERROR(IF(CPI!B202="",NA(),CPI!B202),NA())</f>
        <v>#N/A</v>
      </c>
      <c r="C208" s="18" t="n">
        <f aca="false">IFERROR(YEAR(A208),0)</f>
        <v>0</v>
      </c>
      <c r="D208" s="19" t="e">
        <f aca="false">IFERROR(IF(CPI!C202="",NA(),IF(ISNUMBER(CPI!C202),CPI!C202,NA())),NA())</f>
        <v>#N/A</v>
      </c>
      <c r="E208" s="19" t="e">
        <f aca="false">IFERROR(IF(CPI!D202="",NA(),IF(ISNUMBER(CPI!D202),CPI!D202,NA())),NA())</f>
        <v>#N/A</v>
      </c>
      <c r="F208" s="20" t="e">
        <f aca="false">IFERROR(D208/D196-1,NA())</f>
        <v>#N/A</v>
      </c>
      <c r="G208" s="20" t="e">
        <f aca="false">IFERROR(D208/D207-1,NA())</f>
        <v>#N/A</v>
      </c>
      <c r="H208" s="21" t="e">
        <f aca="false">IF(COUNT(D206:D208)=3,AVERAGE(D206:D208),NA())</f>
        <v>#N/A</v>
      </c>
      <c r="I208" s="20" t="e">
        <f aca="false">IFERROR(IF(AND(COUNT(D206:D208)=3,COUNT(D194:D196)=3),AVERAGE(D206:D208)/AVERAGE(D194:D196)-1,NA()),NA())</f>
        <v>#N/A</v>
      </c>
    </row>
    <row r="209" customFormat="false" ht="15" hidden="false" customHeight="false" outlineLevel="0" collapsed="false">
      <c r="A209" s="16" t="e">
        <f aca="false">IFERROR(IF(LEN(TRIM(TEXT(CPI!B203,"@")))&lt;3,NA(),DATE(2000+VALUE(LEFT(CPI!B203,LEN(CPI!B203)-2)),VALUE(RIGHT(CPI!B203,2)),1)),NA())</f>
        <v>#N/A</v>
      </c>
      <c r="B209" s="17" t="e">
        <f aca="false">IFERROR(IF(CPI!B203="",NA(),CPI!B203),NA())</f>
        <v>#N/A</v>
      </c>
      <c r="C209" s="18" t="n">
        <f aca="false">IFERROR(YEAR(A209),0)</f>
        <v>0</v>
      </c>
      <c r="D209" s="19" t="e">
        <f aca="false">IFERROR(IF(CPI!C203="",NA(),IF(ISNUMBER(CPI!C203),CPI!C203,NA())),NA())</f>
        <v>#N/A</v>
      </c>
      <c r="E209" s="19" t="e">
        <f aca="false">IFERROR(IF(CPI!D203="",NA(),IF(ISNUMBER(CPI!D203),CPI!D203,NA())),NA())</f>
        <v>#N/A</v>
      </c>
      <c r="F209" s="20" t="e">
        <f aca="false">IFERROR(D209/D197-1,NA())</f>
        <v>#N/A</v>
      </c>
      <c r="G209" s="20" t="e">
        <f aca="false">IFERROR(D209/D208-1,NA())</f>
        <v>#N/A</v>
      </c>
      <c r="H209" s="21" t="e">
        <f aca="false">IF(COUNT(D207:D209)=3,AVERAGE(D207:D209),NA())</f>
        <v>#N/A</v>
      </c>
      <c r="I209" s="20" t="e">
        <f aca="false">IFERROR(IF(AND(COUNT(D207:D209)=3,COUNT(D195:D197)=3),AVERAGE(D207:D209)/AVERAGE(D195:D197)-1,NA()),NA())</f>
        <v>#N/A</v>
      </c>
    </row>
    <row r="210" customFormat="false" ht="15" hidden="false" customHeight="false" outlineLevel="0" collapsed="false">
      <c r="A210" s="16" t="e">
        <f aca="false">IFERROR(IF(LEN(TRIM(TEXT(CPI!B204,"@")))&lt;3,NA(),DATE(2000+VALUE(LEFT(CPI!B204,LEN(CPI!B204)-2)),VALUE(RIGHT(CPI!B204,2)),1)),NA())</f>
        <v>#N/A</v>
      </c>
      <c r="B210" s="17" t="e">
        <f aca="false">IFERROR(IF(CPI!B204="",NA(),CPI!B204),NA())</f>
        <v>#N/A</v>
      </c>
      <c r="C210" s="18" t="n">
        <f aca="false">IFERROR(YEAR(A210),0)</f>
        <v>0</v>
      </c>
      <c r="D210" s="19" t="e">
        <f aca="false">IFERROR(IF(CPI!C204="",NA(),IF(ISNUMBER(CPI!C204),CPI!C204,NA())),NA())</f>
        <v>#N/A</v>
      </c>
      <c r="E210" s="19" t="e">
        <f aca="false">IFERROR(IF(CPI!D204="",NA(),IF(ISNUMBER(CPI!D204),CPI!D204,NA())),NA())</f>
        <v>#N/A</v>
      </c>
      <c r="F210" s="20" t="e">
        <f aca="false">IFERROR(D210/D198-1,NA())</f>
        <v>#N/A</v>
      </c>
      <c r="G210" s="20" t="e">
        <f aca="false">IFERROR(D210/D209-1,NA())</f>
        <v>#N/A</v>
      </c>
      <c r="H210" s="21" t="e">
        <f aca="false">IF(COUNT(D208:D210)=3,AVERAGE(D208:D210),NA())</f>
        <v>#N/A</v>
      </c>
      <c r="I210" s="20" t="e">
        <f aca="false">IFERROR(IF(AND(COUNT(D208:D210)=3,COUNT(D196:D198)=3),AVERAGE(D208:D210)/AVERAGE(D196:D198)-1,NA()),NA())</f>
        <v>#N/A</v>
      </c>
    </row>
    <row r="211" customFormat="false" ht="15" hidden="false" customHeight="false" outlineLevel="0" collapsed="false">
      <c r="A211" s="16" t="e">
        <f aca="false">IFERROR(IF(LEN(TRIM(TEXT(CPI!B205,"@")))&lt;3,NA(),DATE(2000+VALUE(LEFT(CPI!B205,LEN(CPI!B205)-2)),VALUE(RIGHT(CPI!B205,2)),1)),NA())</f>
        <v>#N/A</v>
      </c>
      <c r="B211" s="17" t="e">
        <f aca="false">IFERROR(IF(CPI!B205="",NA(),CPI!B205),NA())</f>
        <v>#N/A</v>
      </c>
      <c r="C211" s="18" t="n">
        <f aca="false">IFERROR(YEAR(A211),0)</f>
        <v>0</v>
      </c>
      <c r="D211" s="19" t="e">
        <f aca="false">IFERROR(IF(CPI!C205="",NA(),IF(ISNUMBER(CPI!C205),CPI!C205,NA())),NA())</f>
        <v>#N/A</v>
      </c>
      <c r="E211" s="19" t="e">
        <f aca="false">IFERROR(IF(CPI!D205="",NA(),IF(ISNUMBER(CPI!D205),CPI!D205,NA())),NA())</f>
        <v>#N/A</v>
      </c>
      <c r="F211" s="20" t="e">
        <f aca="false">IFERROR(D211/D199-1,NA())</f>
        <v>#N/A</v>
      </c>
      <c r="G211" s="20" t="e">
        <f aca="false">IFERROR(D211/D210-1,NA())</f>
        <v>#N/A</v>
      </c>
      <c r="H211" s="21" t="e">
        <f aca="false">IF(COUNT(D209:D211)=3,AVERAGE(D209:D211),NA())</f>
        <v>#N/A</v>
      </c>
      <c r="I211" s="20" t="e">
        <f aca="false">IFERROR(IF(AND(COUNT(D209:D211)=3,COUNT(D197:D199)=3),AVERAGE(D209:D211)/AVERAGE(D197:D199)-1,NA()),NA())</f>
        <v>#N/A</v>
      </c>
    </row>
    <row r="212" customFormat="false" ht="15" hidden="false" customHeight="false" outlineLevel="0" collapsed="false">
      <c r="A212" s="16" t="e">
        <f aca="false">IFERROR(IF(LEN(TRIM(TEXT(CPI!B206,"@")))&lt;3,NA(),DATE(2000+VALUE(LEFT(CPI!B206,LEN(CPI!B206)-2)),VALUE(RIGHT(CPI!B206,2)),1)),NA())</f>
        <v>#N/A</v>
      </c>
      <c r="B212" s="17" t="e">
        <f aca="false">IFERROR(IF(CPI!B206="",NA(),CPI!B206),NA())</f>
        <v>#N/A</v>
      </c>
      <c r="C212" s="18" t="n">
        <f aca="false">IFERROR(YEAR(A212),0)</f>
        <v>0</v>
      </c>
      <c r="D212" s="19" t="e">
        <f aca="false">IFERROR(IF(CPI!C206="",NA(),IF(ISNUMBER(CPI!C206),CPI!C206,NA())),NA())</f>
        <v>#N/A</v>
      </c>
      <c r="E212" s="19" t="e">
        <f aca="false">IFERROR(IF(CPI!D206="",NA(),IF(ISNUMBER(CPI!D206),CPI!D206,NA())),NA())</f>
        <v>#N/A</v>
      </c>
      <c r="F212" s="20" t="e">
        <f aca="false">IFERROR(D212/D200-1,NA())</f>
        <v>#N/A</v>
      </c>
      <c r="G212" s="20" t="e">
        <f aca="false">IFERROR(D212/D211-1,NA())</f>
        <v>#N/A</v>
      </c>
      <c r="H212" s="21" t="e">
        <f aca="false">IF(COUNT(D210:D212)=3,AVERAGE(D210:D212),NA())</f>
        <v>#N/A</v>
      </c>
      <c r="I212" s="20" t="e">
        <f aca="false">IFERROR(IF(AND(COUNT(D210:D212)=3,COUNT(D198:D200)=3),AVERAGE(D210:D212)/AVERAGE(D198:D200)-1,NA()),NA())</f>
        <v>#N/A</v>
      </c>
    </row>
    <row r="213" customFormat="false" ht="15" hidden="false" customHeight="false" outlineLevel="0" collapsed="false">
      <c r="A213" s="16" t="e">
        <f aca="false">IFERROR(IF(LEN(TRIM(TEXT(CPI!B207,"@")))&lt;3,NA(),DATE(2000+VALUE(LEFT(CPI!B207,LEN(CPI!B207)-2)),VALUE(RIGHT(CPI!B207,2)),1)),NA())</f>
        <v>#N/A</v>
      </c>
      <c r="B213" s="17" t="e">
        <f aca="false">IFERROR(IF(CPI!B207="",NA(),CPI!B207),NA())</f>
        <v>#N/A</v>
      </c>
      <c r="C213" s="18" t="n">
        <f aca="false">IFERROR(YEAR(A213),0)</f>
        <v>0</v>
      </c>
      <c r="D213" s="19" t="e">
        <f aca="false">IFERROR(IF(CPI!C207="",NA(),IF(ISNUMBER(CPI!C207),CPI!C207,NA())),NA())</f>
        <v>#N/A</v>
      </c>
      <c r="E213" s="19" t="e">
        <f aca="false">IFERROR(IF(CPI!D207="",NA(),IF(ISNUMBER(CPI!D207),CPI!D207,NA())),NA())</f>
        <v>#N/A</v>
      </c>
      <c r="F213" s="20" t="e">
        <f aca="false">IFERROR(D213/D201-1,NA())</f>
        <v>#N/A</v>
      </c>
      <c r="G213" s="20" t="e">
        <f aca="false">IFERROR(D213/D212-1,NA())</f>
        <v>#N/A</v>
      </c>
      <c r="H213" s="21" t="e">
        <f aca="false">IF(COUNT(D211:D213)=3,AVERAGE(D211:D213),NA())</f>
        <v>#N/A</v>
      </c>
      <c r="I213" s="20" t="e">
        <f aca="false">IFERROR(IF(AND(COUNT(D211:D213)=3,COUNT(D199:D201)=3),AVERAGE(D211:D213)/AVERAGE(D199:D201)-1,NA()),NA())</f>
        <v>#N/A</v>
      </c>
    </row>
    <row r="214" customFormat="false" ht="15" hidden="false" customHeight="false" outlineLevel="0" collapsed="false">
      <c r="A214" s="16" t="e">
        <f aca="false">IFERROR(IF(LEN(TRIM(TEXT(CPI!B208,"@")))&lt;3,NA(),DATE(2000+VALUE(LEFT(CPI!B208,LEN(CPI!B208)-2)),VALUE(RIGHT(CPI!B208,2)),1)),NA())</f>
        <v>#N/A</v>
      </c>
      <c r="B214" s="17" t="e">
        <f aca="false">IFERROR(IF(CPI!B208="",NA(),CPI!B208),NA())</f>
        <v>#N/A</v>
      </c>
      <c r="C214" s="18" t="n">
        <f aca="false">IFERROR(YEAR(A214),0)</f>
        <v>0</v>
      </c>
      <c r="D214" s="19" t="e">
        <f aca="false">IFERROR(IF(CPI!C208="",NA(),IF(ISNUMBER(CPI!C208),CPI!C208,NA())),NA())</f>
        <v>#N/A</v>
      </c>
      <c r="E214" s="19" t="e">
        <f aca="false">IFERROR(IF(CPI!D208="",NA(),IF(ISNUMBER(CPI!D208),CPI!D208,NA())),NA())</f>
        <v>#N/A</v>
      </c>
      <c r="F214" s="20" t="e">
        <f aca="false">IFERROR(D214/D202-1,NA())</f>
        <v>#N/A</v>
      </c>
      <c r="G214" s="20" t="e">
        <f aca="false">IFERROR(D214/D213-1,NA())</f>
        <v>#N/A</v>
      </c>
      <c r="H214" s="21" t="e">
        <f aca="false">IF(COUNT(D212:D214)=3,AVERAGE(D212:D214),NA())</f>
        <v>#N/A</v>
      </c>
      <c r="I214" s="20" t="e">
        <f aca="false">IFERROR(IF(AND(COUNT(D212:D214)=3,COUNT(D200:D202)=3),AVERAGE(D212:D214)/AVERAGE(D200:D202)-1,NA()),NA())</f>
        <v>#N/A</v>
      </c>
    </row>
    <row r="215" customFormat="false" ht="15" hidden="false" customHeight="false" outlineLevel="0" collapsed="false">
      <c r="A215" s="16" t="e">
        <f aca="false">IFERROR(IF(LEN(TRIM(TEXT(CPI!B209,"@")))&lt;3,NA(),DATE(2000+VALUE(LEFT(CPI!B209,LEN(CPI!B209)-2)),VALUE(RIGHT(CPI!B209,2)),1)),NA())</f>
        <v>#N/A</v>
      </c>
      <c r="B215" s="17" t="e">
        <f aca="false">IFERROR(IF(CPI!B209="",NA(),CPI!B209),NA())</f>
        <v>#N/A</v>
      </c>
      <c r="C215" s="18" t="n">
        <f aca="false">IFERROR(YEAR(A215),0)</f>
        <v>0</v>
      </c>
      <c r="D215" s="19" t="e">
        <f aca="false">IFERROR(IF(CPI!C209="",NA(),IF(ISNUMBER(CPI!C209),CPI!C209,NA())),NA())</f>
        <v>#N/A</v>
      </c>
      <c r="E215" s="19" t="e">
        <f aca="false">IFERROR(IF(CPI!D209="",NA(),IF(ISNUMBER(CPI!D209),CPI!D209,NA())),NA())</f>
        <v>#N/A</v>
      </c>
      <c r="F215" s="20" t="e">
        <f aca="false">IFERROR(D215/D203-1,NA())</f>
        <v>#N/A</v>
      </c>
      <c r="G215" s="20" t="e">
        <f aca="false">IFERROR(D215/D214-1,NA())</f>
        <v>#N/A</v>
      </c>
      <c r="H215" s="21" t="e">
        <f aca="false">IF(COUNT(D213:D215)=3,AVERAGE(D213:D215),NA())</f>
        <v>#N/A</v>
      </c>
      <c r="I215" s="20" t="e">
        <f aca="false">IFERROR(IF(AND(COUNT(D213:D215)=3,COUNT(D201:D203)=3),AVERAGE(D213:D215)/AVERAGE(D201:D203)-1,NA()),NA())</f>
        <v>#N/A</v>
      </c>
    </row>
    <row r="216" customFormat="false" ht="15" hidden="false" customHeight="false" outlineLevel="0" collapsed="false">
      <c r="A216" s="16" t="e">
        <f aca="false">IFERROR(IF(LEN(TRIM(TEXT(CPI!B210,"@")))&lt;3,NA(),DATE(2000+VALUE(LEFT(CPI!B210,LEN(CPI!B210)-2)),VALUE(RIGHT(CPI!B210,2)),1)),NA())</f>
        <v>#N/A</v>
      </c>
      <c r="B216" s="17" t="e">
        <f aca="false">IFERROR(IF(CPI!B210="",NA(),CPI!B210),NA())</f>
        <v>#N/A</v>
      </c>
      <c r="C216" s="18" t="n">
        <f aca="false">IFERROR(YEAR(A216),0)</f>
        <v>0</v>
      </c>
      <c r="D216" s="19" t="e">
        <f aca="false">IFERROR(IF(CPI!C210="",NA(),IF(ISNUMBER(CPI!C210),CPI!C210,NA())),NA())</f>
        <v>#N/A</v>
      </c>
      <c r="E216" s="19" t="e">
        <f aca="false">IFERROR(IF(CPI!D210="",NA(),IF(ISNUMBER(CPI!D210),CPI!D210,NA())),NA())</f>
        <v>#N/A</v>
      </c>
      <c r="F216" s="20" t="e">
        <f aca="false">IFERROR(D216/D204-1,NA())</f>
        <v>#N/A</v>
      </c>
      <c r="G216" s="20" t="e">
        <f aca="false">IFERROR(D216/D215-1,NA())</f>
        <v>#N/A</v>
      </c>
      <c r="H216" s="21" t="e">
        <f aca="false">IF(COUNT(D214:D216)=3,AVERAGE(D214:D216),NA())</f>
        <v>#N/A</v>
      </c>
      <c r="I216" s="20" t="e">
        <f aca="false">IFERROR(IF(AND(COUNT(D214:D216)=3,COUNT(D202:D204)=3),AVERAGE(D214:D216)/AVERAGE(D202:D204)-1,NA()),NA())</f>
        <v>#N/A</v>
      </c>
    </row>
    <row r="217" customFormat="false" ht="15" hidden="false" customHeight="false" outlineLevel="0" collapsed="false">
      <c r="A217" s="16" t="e">
        <f aca="false">IFERROR(IF(LEN(TRIM(TEXT(CPI!B211,"@")))&lt;3,NA(),DATE(2000+VALUE(LEFT(CPI!B211,LEN(CPI!B211)-2)),VALUE(RIGHT(CPI!B211,2)),1)),NA())</f>
        <v>#N/A</v>
      </c>
      <c r="B217" s="17" t="e">
        <f aca="false">IFERROR(IF(CPI!B211="",NA(),CPI!B211),NA())</f>
        <v>#N/A</v>
      </c>
      <c r="C217" s="18" t="n">
        <f aca="false">IFERROR(YEAR(A217),0)</f>
        <v>0</v>
      </c>
      <c r="D217" s="19" t="e">
        <f aca="false">IFERROR(IF(CPI!C211="",NA(),IF(ISNUMBER(CPI!C211),CPI!C211,NA())),NA())</f>
        <v>#N/A</v>
      </c>
      <c r="E217" s="19" t="e">
        <f aca="false">IFERROR(IF(CPI!D211="",NA(),IF(ISNUMBER(CPI!D211),CPI!D211,NA())),NA())</f>
        <v>#N/A</v>
      </c>
      <c r="F217" s="20" t="e">
        <f aca="false">IFERROR(D217/D205-1,NA())</f>
        <v>#N/A</v>
      </c>
      <c r="G217" s="20" t="e">
        <f aca="false">IFERROR(D217/D216-1,NA())</f>
        <v>#N/A</v>
      </c>
      <c r="H217" s="21" t="e">
        <f aca="false">IF(COUNT(D215:D217)=3,AVERAGE(D215:D217),NA())</f>
        <v>#N/A</v>
      </c>
      <c r="I217" s="20" t="e">
        <f aca="false">IFERROR(IF(AND(COUNT(D215:D217)=3,COUNT(D203:D205)=3),AVERAGE(D215:D217)/AVERAGE(D203:D205)-1,NA()),NA())</f>
        <v>#N/A</v>
      </c>
    </row>
    <row r="218" customFormat="false" ht="15" hidden="false" customHeight="false" outlineLevel="0" collapsed="false">
      <c r="A218" s="16" t="e">
        <f aca="false">IFERROR(IF(LEN(TRIM(TEXT(CPI!B212,"@")))&lt;3,NA(),DATE(2000+VALUE(LEFT(CPI!B212,LEN(CPI!B212)-2)),VALUE(RIGHT(CPI!B212,2)),1)),NA())</f>
        <v>#N/A</v>
      </c>
      <c r="B218" s="17" t="e">
        <f aca="false">IFERROR(IF(CPI!B212="",NA(),CPI!B212),NA())</f>
        <v>#N/A</v>
      </c>
      <c r="C218" s="18" t="n">
        <f aca="false">IFERROR(YEAR(A218),0)</f>
        <v>0</v>
      </c>
      <c r="D218" s="19" t="e">
        <f aca="false">IFERROR(IF(CPI!C212="",NA(),IF(ISNUMBER(CPI!C212),CPI!C212,NA())),NA())</f>
        <v>#N/A</v>
      </c>
      <c r="E218" s="19" t="e">
        <f aca="false">IFERROR(IF(CPI!D212="",NA(),IF(ISNUMBER(CPI!D212),CPI!D212,NA())),NA())</f>
        <v>#N/A</v>
      </c>
      <c r="F218" s="20" t="e">
        <f aca="false">IFERROR(D218/D206-1,NA())</f>
        <v>#N/A</v>
      </c>
      <c r="G218" s="20" t="e">
        <f aca="false">IFERROR(D218/D217-1,NA())</f>
        <v>#N/A</v>
      </c>
      <c r="H218" s="21" t="e">
        <f aca="false">IF(COUNT(D216:D218)=3,AVERAGE(D216:D218),NA())</f>
        <v>#N/A</v>
      </c>
      <c r="I218" s="20" t="e">
        <f aca="false">IFERROR(IF(AND(COUNT(D216:D218)=3,COUNT(D204:D206)=3),AVERAGE(D216:D218)/AVERAGE(D204:D206)-1,NA()),NA())</f>
        <v>#N/A</v>
      </c>
    </row>
    <row r="219" customFormat="false" ht="15" hidden="false" customHeight="false" outlineLevel="0" collapsed="false">
      <c r="A219" s="16" t="e">
        <f aca="false">IFERROR(IF(LEN(TRIM(TEXT(CPI!B213,"@")))&lt;3,NA(),DATE(2000+VALUE(LEFT(CPI!B213,LEN(CPI!B213)-2)),VALUE(RIGHT(CPI!B213,2)),1)),NA())</f>
        <v>#N/A</v>
      </c>
      <c r="B219" s="17" t="e">
        <f aca="false">IFERROR(IF(CPI!B213="",NA(),CPI!B213),NA())</f>
        <v>#N/A</v>
      </c>
      <c r="C219" s="18" t="n">
        <f aca="false">IFERROR(YEAR(A219),0)</f>
        <v>0</v>
      </c>
      <c r="D219" s="19" t="e">
        <f aca="false">IFERROR(IF(CPI!C213="",NA(),IF(ISNUMBER(CPI!C213),CPI!C213,NA())),NA())</f>
        <v>#N/A</v>
      </c>
      <c r="E219" s="19" t="e">
        <f aca="false">IFERROR(IF(CPI!D213="",NA(),IF(ISNUMBER(CPI!D213),CPI!D213,NA())),NA())</f>
        <v>#N/A</v>
      </c>
      <c r="F219" s="20" t="e">
        <f aca="false">IFERROR(D219/D207-1,NA())</f>
        <v>#N/A</v>
      </c>
      <c r="G219" s="20" t="e">
        <f aca="false">IFERROR(D219/D218-1,NA())</f>
        <v>#N/A</v>
      </c>
      <c r="H219" s="21" t="e">
        <f aca="false">IF(COUNT(D217:D219)=3,AVERAGE(D217:D219),NA())</f>
        <v>#N/A</v>
      </c>
      <c r="I219" s="20" t="e">
        <f aca="false">IFERROR(IF(AND(COUNT(D217:D219)=3,COUNT(D205:D207)=3),AVERAGE(D217:D219)/AVERAGE(D205:D207)-1,NA()),NA())</f>
        <v>#N/A</v>
      </c>
    </row>
    <row r="220" customFormat="false" ht="15" hidden="false" customHeight="false" outlineLevel="0" collapsed="false">
      <c r="A220" s="16" t="e">
        <f aca="false">IFERROR(IF(LEN(TRIM(TEXT(CPI!B214,"@")))&lt;3,NA(),DATE(2000+VALUE(LEFT(CPI!B214,LEN(CPI!B214)-2)),VALUE(RIGHT(CPI!B214,2)),1)),NA())</f>
        <v>#N/A</v>
      </c>
      <c r="B220" s="17" t="e">
        <f aca="false">IFERROR(IF(CPI!B214="",NA(),CPI!B214),NA())</f>
        <v>#N/A</v>
      </c>
      <c r="C220" s="18" t="n">
        <f aca="false">IFERROR(YEAR(A220),0)</f>
        <v>0</v>
      </c>
      <c r="D220" s="19" t="e">
        <f aca="false">IFERROR(IF(CPI!C214="",NA(),IF(ISNUMBER(CPI!C214),CPI!C214,NA())),NA())</f>
        <v>#N/A</v>
      </c>
      <c r="E220" s="19" t="e">
        <f aca="false">IFERROR(IF(CPI!D214="",NA(),IF(ISNUMBER(CPI!D214),CPI!D214,NA())),NA())</f>
        <v>#N/A</v>
      </c>
      <c r="F220" s="20" t="e">
        <f aca="false">IFERROR(D220/D208-1,NA())</f>
        <v>#N/A</v>
      </c>
      <c r="G220" s="20" t="e">
        <f aca="false">IFERROR(D220/D219-1,NA())</f>
        <v>#N/A</v>
      </c>
      <c r="H220" s="21" t="e">
        <f aca="false">IF(COUNT(D218:D220)=3,AVERAGE(D218:D220),NA())</f>
        <v>#N/A</v>
      </c>
      <c r="I220" s="20" t="e">
        <f aca="false">IFERROR(IF(AND(COUNT(D218:D220)=3,COUNT(D206:D208)=3),AVERAGE(D218:D220)/AVERAGE(D206:D208)-1,NA()),NA())</f>
        <v>#N/A</v>
      </c>
    </row>
    <row r="221" customFormat="false" ht="15" hidden="false" customHeight="false" outlineLevel="0" collapsed="false">
      <c r="A221" s="16" t="e">
        <f aca="false">IFERROR(IF(LEN(TRIM(TEXT(CPI!B215,"@")))&lt;3,NA(),DATE(2000+VALUE(LEFT(CPI!B215,LEN(CPI!B215)-2)),VALUE(RIGHT(CPI!B215,2)),1)),NA())</f>
        <v>#N/A</v>
      </c>
      <c r="B221" s="17" t="e">
        <f aca="false">IFERROR(IF(CPI!B215="",NA(),CPI!B215),NA())</f>
        <v>#N/A</v>
      </c>
      <c r="C221" s="18" t="n">
        <f aca="false">IFERROR(YEAR(A221),0)</f>
        <v>0</v>
      </c>
      <c r="D221" s="19" t="e">
        <f aca="false">IFERROR(IF(CPI!C215="",NA(),IF(ISNUMBER(CPI!C215),CPI!C215,NA())),NA())</f>
        <v>#N/A</v>
      </c>
      <c r="E221" s="19" t="e">
        <f aca="false">IFERROR(IF(CPI!D215="",NA(),IF(ISNUMBER(CPI!D215),CPI!D215,NA())),NA())</f>
        <v>#N/A</v>
      </c>
      <c r="F221" s="20" t="e">
        <f aca="false">IFERROR(D221/D209-1,NA())</f>
        <v>#N/A</v>
      </c>
      <c r="G221" s="20" t="e">
        <f aca="false">IFERROR(D221/D220-1,NA())</f>
        <v>#N/A</v>
      </c>
      <c r="H221" s="21" t="e">
        <f aca="false">IF(COUNT(D219:D221)=3,AVERAGE(D219:D221),NA())</f>
        <v>#N/A</v>
      </c>
      <c r="I221" s="20" t="e">
        <f aca="false">IFERROR(IF(AND(COUNT(D219:D221)=3,COUNT(D207:D209)=3),AVERAGE(D219:D221)/AVERAGE(D207:D209)-1,NA()),NA())</f>
        <v>#N/A</v>
      </c>
    </row>
    <row r="222" customFormat="false" ht="15" hidden="false" customHeight="false" outlineLevel="0" collapsed="false">
      <c r="A222" s="16" t="e">
        <f aca="false">IFERROR(IF(LEN(TRIM(TEXT(CPI!B216,"@")))&lt;3,NA(),DATE(2000+VALUE(LEFT(CPI!B216,LEN(CPI!B216)-2)),VALUE(RIGHT(CPI!B216,2)),1)),NA())</f>
        <v>#N/A</v>
      </c>
      <c r="B222" s="17" t="e">
        <f aca="false">IFERROR(IF(CPI!B216="",NA(),CPI!B216),NA())</f>
        <v>#N/A</v>
      </c>
      <c r="C222" s="18" t="n">
        <f aca="false">IFERROR(YEAR(A222),0)</f>
        <v>0</v>
      </c>
      <c r="D222" s="19" t="e">
        <f aca="false">IFERROR(IF(CPI!C216="",NA(),IF(ISNUMBER(CPI!C216),CPI!C216,NA())),NA())</f>
        <v>#N/A</v>
      </c>
      <c r="E222" s="19" t="e">
        <f aca="false">IFERROR(IF(CPI!D216="",NA(),IF(ISNUMBER(CPI!D216),CPI!D216,NA())),NA())</f>
        <v>#N/A</v>
      </c>
      <c r="F222" s="20" t="e">
        <f aca="false">IFERROR(D222/D210-1,NA())</f>
        <v>#N/A</v>
      </c>
      <c r="G222" s="20" t="e">
        <f aca="false">IFERROR(D222/D221-1,NA())</f>
        <v>#N/A</v>
      </c>
      <c r="H222" s="21" t="e">
        <f aca="false">IF(COUNT(D220:D222)=3,AVERAGE(D220:D222),NA())</f>
        <v>#N/A</v>
      </c>
      <c r="I222" s="20" t="e">
        <f aca="false">IFERROR(IF(AND(COUNT(D220:D222)=3,COUNT(D208:D210)=3),AVERAGE(D220:D222)/AVERAGE(D208:D210)-1,NA()),NA())</f>
        <v>#N/A</v>
      </c>
    </row>
    <row r="223" customFormat="false" ht="15" hidden="false" customHeight="false" outlineLevel="0" collapsed="false">
      <c r="A223" s="16" t="e">
        <f aca="false">IFERROR(IF(LEN(TRIM(TEXT(CPI!B217,"@")))&lt;3,NA(),DATE(2000+VALUE(LEFT(CPI!B217,LEN(CPI!B217)-2)),VALUE(RIGHT(CPI!B217,2)),1)),NA())</f>
        <v>#N/A</v>
      </c>
      <c r="B223" s="17" t="e">
        <f aca="false">IFERROR(IF(CPI!B217="",NA(),CPI!B217),NA())</f>
        <v>#N/A</v>
      </c>
      <c r="C223" s="18" t="n">
        <f aca="false">IFERROR(YEAR(A223),0)</f>
        <v>0</v>
      </c>
      <c r="D223" s="19" t="e">
        <f aca="false">IFERROR(IF(CPI!C217="",NA(),IF(ISNUMBER(CPI!C217),CPI!C217,NA())),NA())</f>
        <v>#N/A</v>
      </c>
      <c r="E223" s="19" t="e">
        <f aca="false">IFERROR(IF(CPI!D217="",NA(),IF(ISNUMBER(CPI!D217),CPI!D217,NA())),NA())</f>
        <v>#N/A</v>
      </c>
      <c r="F223" s="20" t="e">
        <f aca="false">IFERROR(D223/D211-1,NA())</f>
        <v>#N/A</v>
      </c>
      <c r="G223" s="20" t="e">
        <f aca="false">IFERROR(D223/D222-1,NA())</f>
        <v>#N/A</v>
      </c>
      <c r="H223" s="21" t="e">
        <f aca="false">IF(COUNT(D221:D223)=3,AVERAGE(D221:D223),NA())</f>
        <v>#N/A</v>
      </c>
      <c r="I223" s="20" t="e">
        <f aca="false">IFERROR(IF(AND(COUNT(D221:D223)=3,COUNT(D209:D211)=3),AVERAGE(D221:D223)/AVERAGE(D209:D211)-1,NA()),NA())</f>
        <v>#N/A</v>
      </c>
    </row>
    <row r="224" customFormat="false" ht="15" hidden="false" customHeight="false" outlineLevel="0" collapsed="false">
      <c r="A224" s="16" t="e">
        <f aca="false">IFERROR(IF(LEN(TRIM(TEXT(CPI!B218,"@")))&lt;3,NA(),DATE(2000+VALUE(LEFT(CPI!B218,LEN(CPI!B218)-2)),VALUE(RIGHT(CPI!B218,2)),1)),NA())</f>
        <v>#N/A</v>
      </c>
      <c r="B224" s="17" t="e">
        <f aca="false">IFERROR(IF(CPI!B218="",NA(),CPI!B218),NA())</f>
        <v>#N/A</v>
      </c>
      <c r="C224" s="18" t="n">
        <f aca="false">IFERROR(YEAR(A224),0)</f>
        <v>0</v>
      </c>
      <c r="D224" s="19" t="e">
        <f aca="false">IFERROR(IF(CPI!C218="",NA(),IF(ISNUMBER(CPI!C218),CPI!C218,NA())),NA())</f>
        <v>#N/A</v>
      </c>
      <c r="E224" s="19" t="e">
        <f aca="false">IFERROR(IF(CPI!D218="",NA(),IF(ISNUMBER(CPI!D218),CPI!D218,NA())),NA())</f>
        <v>#N/A</v>
      </c>
      <c r="F224" s="20" t="e">
        <f aca="false">IFERROR(D224/D212-1,NA())</f>
        <v>#N/A</v>
      </c>
      <c r="G224" s="20" t="e">
        <f aca="false">IFERROR(D224/D223-1,NA())</f>
        <v>#N/A</v>
      </c>
      <c r="H224" s="21" t="e">
        <f aca="false">IF(COUNT(D222:D224)=3,AVERAGE(D222:D224),NA())</f>
        <v>#N/A</v>
      </c>
      <c r="I224" s="20" t="e">
        <f aca="false">IFERROR(IF(AND(COUNT(D222:D224)=3,COUNT(D210:D212)=3),AVERAGE(D222:D224)/AVERAGE(D210:D212)-1,NA()),NA())</f>
        <v>#N/A</v>
      </c>
    </row>
    <row r="225" customFormat="false" ht="15" hidden="false" customHeight="false" outlineLevel="0" collapsed="false">
      <c r="A225" s="16" t="e">
        <f aca="false">IFERROR(IF(LEN(TRIM(TEXT(CPI!B219,"@")))&lt;3,NA(),DATE(2000+VALUE(LEFT(CPI!B219,LEN(CPI!B219)-2)),VALUE(RIGHT(CPI!B219,2)),1)),NA())</f>
        <v>#N/A</v>
      </c>
      <c r="B225" s="17" t="e">
        <f aca="false">IFERROR(IF(CPI!B219="",NA(),CPI!B219),NA())</f>
        <v>#N/A</v>
      </c>
      <c r="C225" s="18" t="n">
        <f aca="false">IFERROR(YEAR(A225),0)</f>
        <v>0</v>
      </c>
      <c r="D225" s="19" t="e">
        <f aca="false">IFERROR(IF(CPI!C219="",NA(),IF(ISNUMBER(CPI!C219),CPI!C219,NA())),NA())</f>
        <v>#N/A</v>
      </c>
      <c r="E225" s="19" t="e">
        <f aca="false">IFERROR(IF(CPI!D219="",NA(),IF(ISNUMBER(CPI!D219),CPI!D219,NA())),NA())</f>
        <v>#N/A</v>
      </c>
      <c r="F225" s="20" t="e">
        <f aca="false">IFERROR(D225/D213-1,NA())</f>
        <v>#N/A</v>
      </c>
      <c r="G225" s="20" t="e">
        <f aca="false">IFERROR(D225/D224-1,NA())</f>
        <v>#N/A</v>
      </c>
      <c r="H225" s="21" t="e">
        <f aca="false">IF(COUNT(D223:D225)=3,AVERAGE(D223:D225),NA())</f>
        <v>#N/A</v>
      </c>
      <c r="I225" s="20" t="e">
        <f aca="false">IFERROR(IF(AND(COUNT(D223:D225)=3,COUNT(D211:D213)=3),AVERAGE(D223:D225)/AVERAGE(D211:D213)-1,NA()),NA())</f>
        <v>#N/A</v>
      </c>
    </row>
    <row r="226" customFormat="false" ht="15" hidden="false" customHeight="false" outlineLevel="0" collapsed="false">
      <c r="A226" s="16" t="e">
        <f aca="false">IFERROR(IF(LEN(TRIM(TEXT(CPI!B220,"@")))&lt;3,NA(),DATE(2000+VALUE(LEFT(CPI!B220,LEN(CPI!B220)-2)),VALUE(RIGHT(CPI!B220,2)),1)),NA())</f>
        <v>#N/A</v>
      </c>
      <c r="B226" s="17" t="e">
        <f aca="false">IFERROR(IF(CPI!B220="",NA(),CPI!B220),NA())</f>
        <v>#N/A</v>
      </c>
      <c r="C226" s="18" t="n">
        <f aca="false">IFERROR(YEAR(A226),0)</f>
        <v>0</v>
      </c>
      <c r="D226" s="19" t="e">
        <f aca="false">IFERROR(IF(CPI!C220="",NA(),IF(ISNUMBER(CPI!C220),CPI!C220,NA())),NA())</f>
        <v>#N/A</v>
      </c>
      <c r="E226" s="19" t="e">
        <f aca="false">IFERROR(IF(CPI!D220="",NA(),IF(ISNUMBER(CPI!D220),CPI!D220,NA())),NA())</f>
        <v>#N/A</v>
      </c>
      <c r="F226" s="20" t="e">
        <f aca="false">IFERROR(D226/D214-1,NA())</f>
        <v>#N/A</v>
      </c>
      <c r="G226" s="20" t="e">
        <f aca="false">IFERROR(D226/D225-1,NA())</f>
        <v>#N/A</v>
      </c>
      <c r="H226" s="21" t="e">
        <f aca="false">IF(COUNT(D224:D226)=3,AVERAGE(D224:D226),NA())</f>
        <v>#N/A</v>
      </c>
      <c r="I226" s="20" t="e">
        <f aca="false">IFERROR(IF(AND(COUNT(D224:D226)=3,COUNT(D212:D214)=3),AVERAGE(D224:D226)/AVERAGE(D212:D214)-1,NA()),NA())</f>
        <v>#N/A</v>
      </c>
    </row>
    <row r="227" customFormat="false" ht="15" hidden="false" customHeight="false" outlineLevel="0" collapsed="false">
      <c r="A227" s="16" t="e">
        <f aca="false">IFERROR(IF(LEN(TRIM(TEXT(CPI!B221,"@")))&lt;3,NA(),DATE(2000+VALUE(LEFT(CPI!B221,LEN(CPI!B221)-2)),VALUE(RIGHT(CPI!B221,2)),1)),NA())</f>
        <v>#N/A</v>
      </c>
      <c r="B227" s="17" t="e">
        <f aca="false">IFERROR(IF(CPI!B221="",NA(),CPI!B221),NA())</f>
        <v>#N/A</v>
      </c>
      <c r="C227" s="18" t="n">
        <f aca="false">IFERROR(YEAR(A227),0)</f>
        <v>0</v>
      </c>
      <c r="D227" s="19" t="e">
        <f aca="false">IFERROR(IF(CPI!C221="",NA(),IF(ISNUMBER(CPI!C221),CPI!C221,NA())),NA())</f>
        <v>#N/A</v>
      </c>
      <c r="E227" s="19" t="e">
        <f aca="false">IFERROR(IF(CPI!D221="",NA(),IF(ISNUMBER(CPI!D221),CPI!D221,NA())),NA())</f>
        <v>#N/A</v>
      </c>
      <c r="F227" s="20" t="e">
        <f aca="false">IFERROR(D227/D215-1,NA())</f>
        <v>#N/A</v>
      </c>
      <c r="G227" s="20" t="e">
        <f aca="false">IFERROR(D227/D226-1,NA())</f>
        <v>#N/A</v>
      </c>
      <c r="H227" s="21" t="e">
        <f aca="false">IF(COUNT(D225:D227)=3,AVERAGE(D225:D227),NA())</f>
        <v>#N/A</v>
      </c>
      <c r="I227" s="20" t="e">
        <f aca="false">IFERROR(IF(AND(COUNT(D225:D227)=3,COUNT(D213:D215)=3),AVERAGE(D225:D227)/AVERAGE(D213:D215)-1,NA()),NA())</f>
        <v>#N/A</v>
      </c>
    </row>
    <row r="228" customFormat="false" ht="15" hidden="false" customHeight="false" outlineLevel="0" collapsed="false">
      <c r="A228" s="16" t="e">
        <f aca="false">IFERROR(IF(LEN(TRIM(TEXT(CPI!B222,"@")))&lt;3,NA(),DATE(2000+VALUE(LEFT(CPI!B222,LEN(CPI!B222)-2)),VALUE(RIGHT(CPI!B222,2)),1)),NA())</f>
        <v>#N/A</v>
      </c>
      <c r="B228" s="17" t="e">
        <f aca="false">IFERROR(IF(CPI!B222="",NA(),CPI!B222),NA())</f>
        <v>#N/A</v>
      </c>
      <c r="C228" s="18" t="n">
        <f aca="false">IFERROR(YEAR(A228),0)</f>
        <v>0</v>
      </c>
      <c r="D228" s="19" t="e">
        <f aca="false">IFERROR(IF(CPI!C222="",NA(),IF(ISNUMBER(CPI!C222),CPI!C222,NA())),NA())</f>
        <v>#N/A</v>
      </c>
      <c r="E228" s="19" t="e">
        <f aca="false">IFERROR(IF(CPI!D222="",NA(),IF(ISNUMBER(CPI!D222),CPI!D222,NA())),NA())</f>
        <v>#N/A</v>
      </c>
      <c r="F228" s="20" t="e">
        <f aca="false">IFERROR(D228/D216-1,NA())</f>
        <v>#N/A</v>
      </c>
      <c r="G228" s="20" t="e">
        <f aca="false">IFERROR(D228/D227-1,NA())</f>
        <v>#N/A</v>
      </c>
      <c r="H228" s="21" t="e">
        <f aca="false">IF(COUNT(D226:D228)=3,AVERAGE(D226:D228),NA())</f>
        <v>#N/A</v>
      </c>
      <c r="I228" s="20" t="e">
        <f aca="false">IFERROR(IF(AND(COUNT(D226:D228)=3,COUNT(D214:D216)=3),AVERAGE(D226:D228)/AVERAGE(D214:D216)-1,NA()),NA())</f>
        <v>#N/A</v>
      </c>
    </row>
    <row r="229" customFormat="false" ht="15" hidden="false" customHeight="false" outlineLevel="0" collapsed="false">
      <c r="A229" s="16" t="e">
        <f aca="false">IFERROR(IF(LEN(TRIM(TEXT(CPI!B223,"@")))&lt;3,NA(),DATE(2000+VALUE(LEFT(CPI!B223,LEN(CPI!B223)-2)),VALUE(RIGHT(CPI!B223,2)),1)),NA())</f>
        <v>#N/A</v>
      </c>
      <c r="B229" s="17" t="e">
        <f aca="false">IFERROR(IF(CPI!B223="",NA(),CPI!B223),NA())</f>
        <v>#N/A</v>
      </c>
      <c r="C229" s="18" t="n">
        <f aca="false">IFERROR(YEAR(A229),0)</f>
        <v>0</v>
      </c>
      <c r="D229" s="19" t="e">
        <f aca="false">IFERROR(IF(CPI!C223="",NA(),IF(ISNUMBER(CPI!C223),CPI!C223,NA())),NA())</f>
        <v>#N/A</v>
      </c>
      <c r="E229" s="19" t="e">
        <f aca="false">IFERROR(IF(CPI!D223="",NA(),IF(ISNUMBER(CPI!D223),CPI!D223,NA())),NA())</f>
        <v>#N/A</v>
      </c>
      <c r="F229" s="20" t="e">
        <f aca="false">IFERROR(D229/D217-1,NA())</f>
        <v>#N/A</v>
      </c>
      <c r="G229" s="20" t="e">
        <f aca="false">IFERROR(D229/D228-1,NA())</f>
        <v>#N/A</v>
      </c>
      <c r="H229" s="21" t="e">
        <f aca="false">IF(COUNT(D227:D229)=3,AVERAGE(D227:D229),NA())</f>
        <v>#N/A</v>
      </c>
      <c r="I229" s="20" t="e">
        <f aca="false">IFERROR(IF(AND(COUNT(D227:D229)=3,COUNT(D215:D217)=3),AVERAGE(D227:D229)/AVERAGE(D215:D217)-1,NA()),NA())</f>
        <v>#N/A</v>
      </c>
    </row>
    <row r="230" customFormat="false" ht="15" hidden="false" customHeight="false" outlineLevel="0" collapsed="false">
      <c r="A230" s="16" t="e">
        <f aca="false">IFERROR(IF(LEN(TRIM(TEXT(CPI!B224,"@")))&lt;3,NA(),DATE(2000+VALUE(LEFT(CPI!B224,LEN(CPI!B224)-2)),VALUE(RIGHT(CPI!B224,2)),1)),NA())</f>
        <v>#N/A</v>
      </c>
      <c r="B230" s="17" t="e">
        <f aca="false">IFERROR(IF(CPI!B224="",NA(),CPI!B224),NA())</f>
        <v>#N/A</v>
      </c>
      <c r="C230" s="18" t="n">
        <f aca="false">IFERROR(YEAR(A230),0)</f>
        <v>0</v>
      </c>
      <c r="D230" s="19" t="e">
        <f aca="false">IFERROR(IF(CPI!C224="",NA(),IF(ISNUMBER(CPI!C224),CPI!C224,NA())),NA())</f>
        <v>#N/A</v>
      </c>
      <c r="E230" s="19" t="e">
        <f aca="false">IFERROR(IF(CPI!D224="",NA(),IF(ISNUMBER(CPI!D224),CPI!D224,NA())),NA())</f>
        <v>#N/A</v>
      </c>
      <c r="F230" s="20" t="e">
        <f aca="false">IFERROR(D230/D218-1,NA())</f>
        <v>#N/A</v>
      </c>
      <c r="G230" s="20" t="e">
        <f aca="false">IFERROR(D230/D229-1,NA())</f>
        <v>#N/A</v>
      </c>
      <c r="H230" s="21" t="e">
        <f aca="false">IF(COUNT(D228:D230)=3,AVERAGE(D228:D230),NA())</f>
        <v>#N/A</v>
      </c>
      <c r="I230" s="20" t="e">
        <f aca="false">IFERROR(IF(AND(COUNT(D228:D230)=3,COUNT(D216:D218)=3),AVERAGE(D228:D230)/AVERAGE(D216:D218)-1,NA()),NA())</f>
        <v>#N/A</v>
      </c>
    </row>
    <row r="231" customFormat="false" ht="15" hidden="false" customHeight="false" outlineLevel="0" collapsed="false">
      <c r="A231" s="16" t="e">
        <f aca="false">IFERROR(IF(LEN(TRIM(TEXT(CPI!B225,"@")))&lt;3,NA(),DATE(2000+VALUE(LEFT(CPI!B225,LEN(CPI!B225)-2)),VALUE(RIGHT(CPI!B225,2)),1)),NA())</f>
        <v>#N/A</v>
      </c>
      <c r="B231" s="17" t="e">
        <f aca="false">IFERROR(IF(CPI!B225="",NA(),CPI!B225),NA())</f>
        <v>#N/A</v>
      </c>
      <c r="C231" s="18" t="n">
        <f aca="false">IFERROR(YEAR(A231),0)</f>
        <v>0</v>
      </c>
      <c r="D231" s="19" t="e">
        <f aca="false">IFERROR(IF(CPI!C225="",NA(),IF(ISNUMBER(CPI!C225),CPI!C225,NA())),NA())</f>
        <v>#N/A</v>
      </c>
      <c r="E231" s="19" t="e">
        <f aca="false">IFERROR(IF(CPI!D225="",NA(),IF(ISNUMBER(CPI!D225),CPI!D225,NA())),NA())</f>
        <v>#N/A</v>
      </c>
      <c r="F231" s="20" t="e">
        <f aca="false">IFERROR(D231/D219-1,NA())</f>
        <v>#N/A</v>
      </c>
      <c r="G231" s="20" t="e">
        <f aca="false">IFERROR(D231/D230-1,NA())</f>
        <v>#N/A</v>
      </c>
      <c r="H231" s="21" t="e">
        <f aca="false">IF(COUNT(D229:D231)=3,AVERAGE(D229:D231),NA())</f>
        <v>#N/A</v>
      </c>
      <c r="I231" s="20" t="e">
        <f aca="false">IFERROR(IF(AND(COUNT(D229:D231)=3,COUNT(D217:D219)=3),AVERAGE(D229:D231)/AVERAGE(D217:D219)-1,NA()),NA())</f>
        <v>#N/A</v>
      </c>
    </row>
    <row r="232" customFormat="false" ht="15" hidden="false" customHeight="false" outlineLevel="0" collapsed="false">
      <c r="A232" s="16" t="e">
        <f aca="false">IFERROR(IF(LEN(TRIM(TEXT(CPI!B226,"@")))&lt;3,NA(),DATE(2000+VALUE(LEFT(CPI!B226,LEN(CPI!B226)-2)),VALUE(RIGHT(CPI!B226,2)),1)),NA())</f>
        <v>#N/A</v>
      </c>
      <c r="B232" s="17" t="e">
        <f aca="false">IFERROR(IF(CPI!B226="",NA(),CPI!B226),NA())</f>
        <v>#N/A</v>
      </c>
      <c r="C232" s="18" t="n">
        <f aca="false">IFERROR(YEAR(A232),0)</f>
        <v>0</v>
      </c>
      <c r="D232" s="19" t="e">
        <f aca="false">IFERROR(IF(CPI!C226="",NA(),IF(ISNUMBER(CPI!C226),CPI!C226,NA())),NA())</f>
        <v>#N/A</v>
      </c>
      <c r="E232" s="19" t="e">
        <f aca="false">IFERROR(IF(CPI!D226="",NA(),IF(ISNUMBER(CPI!D226),CPI!D226,NA())),NA())</f>
        <v>#N/A</v>
      </c>
      <c r="F232" s="20" t="e">
        <f aca="false">IFERROR(D232/D220-1,NA())</f>
        <v>#N/A</v>
      </c>
      <c r="G232" s="20" t="e">
        <f aca="false">IFERROR(D232/D231-1,NA())</f>
        <v>#N/A</v>
      </c>
      <c r="H232" s="21" t="e">
        <f aca="false">IF(COUNT(D230:D232)=3,AVERAGE(D230:D232),NA())</f>
        <v>#N/A</v>
      </c>
      <c r="I232" s="20" t="e">
        <f aca="false">IFERROR(IF(AND(COUNT(D230:D232)=3,COUNT(D218:D220)=3),AVERAGE(D230:D232)/AVERAGE(D218:D220)-1,NA()),NA())</f>
        <v>#N/A</v>
      </c>
    </row>
    <row r="233" customFormat="false" ht="15" hidden="false" customHeight="false" outlineLevel="0" collapsed="false">
      <c r="A233" s="16" t="e">
        <f aca="false">IFERROR(IF(LEN(TRIM(TEXT(CPI!B227,"@")))&lt;3,NA(),DATE(2000+VALUE(LEFT(CPI!B227,LEN(CPI!B227)-2)),VALUE(RIGHT(CPI!B227,2)),1)),NA())</f>
        <v>#N/A</v>
      </c>
      <c r="B233" s="17" t="e">
        <f aca="false">IFERROR(IF(CPI!B227="",NA(),CPI!B227),NA())</f>
        <v>#N/A</v>
      </c>
      <c r="C233" s="18" t="n">
        <f aca="false">IFERROR(YEAR(A233),0)</f>
        <v>0</v>
      </c>
      <c r="D233" s="19" t="e">
        <f aca="false">IFERROR(IF(CPI!C227="",NA(),IF(ISNUMBER(CPI!C227),CPI!C227,NA())),NA())</f>
        <v>#N/A</v>
      </c>
      <c r="E233" s="19" t="e">
        <f aca="false">IFERROR(IF(CPI!D227="",NA(),IF(ISNUMBER(CPI!D227),CPI!D227,NA())),NA())</f>
        <v>#N/A</v>
      </c>
      <c r="F233" s="20" t="e">
        <f aca="false">IFERROR(D233/D221-1,NA())</f>
        <v>#N/A</v>
      </c>
      <c r="G233" s="20" t="e">
        <f aca="false">IFERROR(D233/D232-1,NA())</f>
        <v>#N/A</v>
      </c>
      <c r="H233" s="21" t="e">
        <f aca="false">IF(COUNT(D231:D233)=3,AVERAGE(D231:D233),NA())</f>
        <v>#N/A</v>
      </c>
      <c r="I233" s="20" t="e">
        <f aca="false">IFERROR(IF(AND(COUNT(D231:D233)=3,COUNT(D219:D221)=3),AVERAGE(D231:D233)/AVERAGE(D219:D221)-1,NA()),NA())</f>
        <v>#N/A</v>
      </c>
    </row>
    <row r="234" customFormat="false" ht="15" hidden="false" customHeight="false" outlineLevel="0" collapsed="false">
      <c r="A234" s="16" t="e">
        <f aca="false">IFERROR(IF(LEN(TRIM(TEXT(CPI!B228,"@")))&lt;3,NA(),DATE(2000+VALUE(LEFT(CPI!B228,LEN(CPI!B228)-2)),VALUE(RIGHT(CPI!B228,2)),1)),NA())</f>
        <v>#N/A</v>
      </c>
      <c r="B234" s="17" t="e">
        <f aca="false">IFERROR(IF(CPI!B228="",NA(),CPI!B228),NA())</f>
        <v>#N/A</v>
      </c>
      <c r="C234" s="18" t="n">
        <f aca="false">IFERROR(YEAR(A234),0)</f>
        <v>0</v>
      </c>
      <c r="D234" s="19" t="e">
        <f aca="false">IFERROR(IF(CPI!C228="",NA(),IF(ISNUMBER(CPI!C228),CPI!C228,NA())),NA())</f>
        <v>#N/A</v>
      </c>
      <c r="E234" s="19" t="e">
        <f aca="false">IFERROR(IF(CPI!D228="",NA(),IF(ISNUMBER(CPI!D228),CPI!D228,NA())),NA())</f>
        <v>#N/A</v>
      </c>
      <c r="F234" s="20" t="e">
        <f aca="false">IFERROR(D234/D222-1,NA())</f>
        <v>#N/A</v>
      </c>
      <c r="G234" s="20" t="e">
        <f aca="false">IFERROR(D234/D233-1,NA())</f>
        <v>#N/A</v>
      </c>
      <c r="H234" s="21" t="e">
        <f aca="false">IF(COUNT(D232:D234)=3,AVERAGE(D232:D234),NA())</f>
        <v>#N/A</v>
      </c>
      <c r="I234" s="20" t="e">
        <f aca="false">IFERROR(IF(AND(COUNT(D232:D234)=3,COUNT(D220:D222)=3),AVERAGE(D232:D234)/AVERAGE(D220:D222)-1,NA()),NA())</f>
        <v>#N/A</v>
      </c>
    </row>
    <row r="235" customFormat="false" ht="15" hidden="false" customHeight="false" outlineLevel="0" collapsed="false">
      <c r="A235" s="16" t="e">
        <f aca="false">IFERROR(IF(LEN(TRIM(TEXT(CPI!B229,"@")))&lt;3,NA(),DATE(2000+VALUE(LEFT(CPI!B229,LEN(CPI!B229)-2)),VALUE(RIGHT(CPI!B229,2)),1)),NA())</f>
        <v>#N/A</v>
      </c>
      <c r="B235" s="17" t="e">
        <f aca="false">IFERROR(IF(CPI!B229="",NA(),CPI!B229),NA())</f>
        <v>#N/A</v>
      </c>
      <c r="C235" s="18" t="n">
        <f aca="false">IFERROR(YEAR(A235),0)</f>
        <v>0</v>
      </c>
      <c r="D235" s="19" t="e">
        <f aca="false">IFERROR(IF(CPI!C229="",NA(),IF(ISNUMBER(CPI!C229),CPI!C229,NA())),NA())</f>
        <v>#N/A</v>
      </c>
      <c r="E235" s="19" t="e">
        <f aca="false">IFERROR(IF(CPI!D229="",NA(),IF(ISNUMBER(CPI!D229),CPI!D229,NA())),NA())</f>
        <v>#N/A</v>
      </c>
      <c r="F235" s="20" t="e">
        <f aca="false">IFERROR(D235/D223-1,NA())</f>
        <v>#N/A</v>
      </c>
      <c r="G235" s="20" t="e">
        <f aca="false">IFERROR(D235/D234-1,NA())</f>
        <v>#N/A</v>
      </c>
      <c r="H235" s="21" t="e">
        <f aca="false">IF(COUNT(D233:D235)=3,AVERAGE(D233:D235),NA())</f>
        <v>#N/A</v>
      </c>
      <c r="I235" s="20" t="e">
        <f aca="false">IFERROR(IF(AND(COUNT(D233:D235)=3,COUNT(D221:D223)=3),AVERAGE(D233:D235)/AVERAGE(D221:D223)-1,NA()),NA())</f>
        <v>#N/A</v>
      </c>
    </row>
    <row r="236" customFormat="false" ht="15" hidden="false" customHeight="false" outlineLevel="0" collapsed="false">
      <c r="A236" s="16" t="e">
        <f aca="false">IFERROR(IF(LEN(TRIM(TEXT(CPI!B230,"@")))&lt;3,NA(),DATE(2000+VALUE(LEFT(CPI!B230,LEN(CPI!B230)-2)),VALUE(RIGHT(CPI!B230,2)),1)),NA())</f>
        <v>#N/A</v>
      </c>
      <c r="B236" s="17" t="e">
        <f aca="false">IFERROR(IF(CPI!B230="",NA(),CPI!B230),NA())</f>
        <v>#N/A</v>
      </c>
      <c r="C236" s="18" t="n">
        <f aca="false">IFERROR(YEAR(A236),0)</f>
        <v>0</v>
      </c>
      <c r="D236" s="19" t="e">
        <f aca="false">IFERROR(IF(CPI!C230="",NA(),IF(ISNUMBER(CPI!C230),CPI!C230,NA())),NA())</f>
        <v>#N/A</v>
      </c>
      <c r="E236" s="19" t="e">
        <f aca="false">IFERROR(IF(CPI!D230="",NA(),IF(ISNUMBER(CPI!D230),CPI!D230,NA())),NA())</f>
        <v>#N/A</v>
      </c>
      <c r="F236" s="20" t="e">
        <f aca="false">IFERROR(D236/D224-1,NA())</f>
        <v>#N/A</v>
      </c>
      <c r="G236" s="20" t="e">
        <f aca="false">IFERROR(D236/D235-1,NA())</f>
        <v>#N/A</v>
      </c>
      <c r="H236" s="21" t="e">
        <f aca="false">IF(COUNT(D234:D236)=3,AVERAGE(D234:D236),NA())</f>
        <v>#N/A</v>
      </c>
      <c r="I236" s="20" t="e">
        <f aca="false">IFERROR(IF(AND(COUNT(D234:D236)=3,COUNT(D222:D224)=3),AVERAGE(D234:D236)/AVERAGE(D222:D224)-1,NA()),NA())</f>
        <v>#N/A</v>
      </c>
    </row>
    <row r="237" customFormat="false" ht="15" hidden="false" customHeight="false" outlineLevel="0" collapsed="false">
      <c r="A237" s="16" t="e">
        <f aca="false">IFERROR(IF(LEN(TRIM(TEXT(CPI!B231,"@")))&lt;3,NA(),DATE(2000+VALUE(LEFT(CPI!B231,LEN(CPI!B231)-2)),VALUE(RIGHT(CPI!B231,2)),1)),NA())</f>
        <v>#N/A</v>
      </c>
      <c r="B237" s="17" t="e">
        <f aca="false">IFERROR(IF(CPI!B231="",NA(),CPI!B231),NA())</f>
        <v>#N/A</v>
      </c>
      <c r="C237" s="18" t="n">
        <f aca="false">IFERROR(YEAR(A237),0)</f>
        <v>0</v>
      </c>
      <c r="D237" s="19" t="e">
        <f aca="false">IFERROR(IF(CPI!C231="",NA(),IF(ISNUMBER(CPI!C231),CPI!C231,NA())),NA())</f>
        <v>#N/A</v>
      </c>
      <c r="E237" s="19" t="e">
        <f aca="false">IFERROR(IF(CPI!D231="",NA(),IF(ISNUMBER(CPI!D231),CPI!D231,NA())),NA())</f>
        <v>#N/A</v>
      </c>
      <c r="F237" s="20" t="e">
        <f aca="false">IFERROR(D237/D225-1,NA())</f>
        <v>#N/A</v>
      </c>
      <c r="G237" s="20" t="e">
        <f aca="false">IFERROR(D237/D236-1,NA())</f>
        <v>#N/A</v>
      </c>
      <c r="H237" s="21" t="e">
        <f aca="false">IF(COUNT(D235:D237)=3,AVERAGE(D235:D237),NA())</f>
        <v>#N/A</v>
      </c>
      <c r="I237" s="20" t="e">
        <f aca="false">IFERROR(IF(AND(COUNT(D235:D237)=3,COUNT(D223:D225)=3),AVERAGE(D235:D237)/AVERAGE(D223:D225)-1,NA()),NA())</f>
        <v>#N/A</v>
      </c>
    </row>
    <row r="238" customFormat="false" ht="15" hidden="false" customHeight="false" outlineLevel="0" collapsed="false">
      <c r="A238" s="16" t="e">
        <f aca="false">IFERROR(IF(LEN(TRIM(TEXT(CPI!B232,"@")))&lt;3,NA(),DATE(2000+VALUE(LEFT(CPI!B232,LEN(CPI!B232)-2)),VALUE(RIGHT(CPI!B232,2)),1)),NA())</f>
        <v>#N/A</v>
      </c>
      <c r="B238" s="17" t="e">
        <f aca="false">IFERROR(IF(CPI!B232="",NA(),CPI!B232),NA())</f>
        <v>#N/A</v>
      </c>
      <c r="C238" s="18" t="n">
        <f aca="false">IFERROR(YEAR(A238),0)</f>
        <v>0</v>
      </c>
      <c r="D238" s="19" t="e">
        <f aca="false">IFERROR(IF(CPI!C232="",NA(),IF(ISNUMBER(CPI!C232),CPI!C232,NA())),NA())</f>
        <v>#N/A</v>
      </c>
      <c r="E238" s="19" t="e">
        <f aca="false">IFERROR(IF(CPI!D232="",NA(),IF(ISNUMBER(CPI!D232),CPI!D232,NA())),NA())</f>
        <v>#N/A</v>
      </c>
      <c r="F238" s="20" t="e">
        <f aca="false">IFERROR(D238/D226-1,NA())</f>
        <v>#N/A</v>
      </c>
      <c r="G238" s="20" t="e">
        <f aca="false">IFERROR(D238/D237-1,NA())</f>
        <v>#N/A</v>
      </c>
      <c r="H238" s="21" t="e">
        <f aca="false">IF(COUNT(D236:D238)=3,AVERAGE(D236:D238),NA())</f>
        <v>#N/A</v>
      </c>
      <c r="I238" s="20" t="e">
        <f aca="false">IFERROR(IF(AND(COUNT(D236:D238)=3,COUNT(D224:D226)=3),AVERAGE(D236:D238)/AVERAGE(D224:D226)-1,NA()),NA())</f>
        <v>#N/A</v>
      </c>
    </row>
    <row r="239" customFormat="false" ht="15" hidden="false" customHeight="false" outlineLevel="0" collapsed="false">
      <c r="A239" s="16" t="e">
        <f aca="false">IFERROR(IF(LEN(TRIM(TEXT(CPI!B233,"@")))&lt;3,NA(),DATE(2000+VALUE(LEFT(CPI!B233,LEN(CPI!B233)-2)),VALUE(RIGHT(CPI!B233,2)),1)),NA())</f>
        <v>#N/A</v>
      </c>
      <c r="B239" s="17" t="e">
        <f aca="false">IFERROR(IF(CPI!B233="",NA(),CPI!B233),NA())</f>
        <v>#N/A</v>
      </c>
      <c r="C239" s="18" t="n">
        <f aca="false">IFERROR(YEAR(A239),0)</f>
        <v>0</v>
      </c>
      <c r="D239" s="19" t="e">
        <f aca="false">IFERROR(IF(CPI!C233="",NA(),IF(ISNUMBER(CPI!C233),CPI!C233,NA())),NA())</f>
        <v>#N/A</v>
      </c>
      <c r="E239" s="19" t="e">
        <f aca="false">IFERROR(IF(CPI!D233="",NA(),IF(ISNUMBER(CPI!D233),CPI!D233,NA())),NA())</f>
        <v>#N/A</v>
      </c>
      <c r="F239" s="20" t="e">
        <f aca="false">IFERROR(D239/D227-1,NA())</f>
        <v>#N/A</v>
      </c>
      <c r="G239" s="20" t="e">
        <f aca="false">IFERROR(D239/D238-1,NA())</f>
        <v>#N/A</v>
      </c>
      <c r="H239" s="21" t="e">
        <f aca="false">IF(COUNT(D237:D239)=3,AVERAGE(D237:D239),NA())</f>
        <v>#N/A</v>
      </c>
      <c r="I239" s="20" t="e">
        <f aca="false">IFERROR(IF(AND(COUNT(D237:D239)=3,COUNT(D225:D227)=3),AVERAGE(D237:D239)/AVERAGE(D225:D227)-1,NA()),NA())</f>
        <v>#N/A</v>
      </c>
    </row>
    <row r="240" customFormat="false" ht="15" hidden="false" customHeight="false" outlineLevel="0" collapsed="false">
      <c r="A240" s="16" t="e">
        <f aca="false">IFERROR(IF(LEN(TRIM(TEXT(CPI!B234,"@")))&lt;3,NA(),DATE(2000+VALUE(LEFT(CPI!B234,LEN(CPI!B234)-2)),VALUE(RIGHT(CPI!B234,2)),1)),NA())</f>
        <v>#N/A</v>
      </c>
      <c r="B240" s="17" t="e">
        <f aca="false">IFERROR(IF(CPI!B234="",NA(),CPI!B234),NA())</f>
        <v>#N/A</v>
      </c>
      <c r="C240" s="18" t="n">
        <f aca="false">IFERROR(YEAR(A240),0)</f>
        <v>0</v>
      </c>
      <c r="D240" s="19" t="e">
        <f aca="false">IFERROR(IF(CPI!C234="",NA(),IF(ISNUMBER(CPI!C234),CPI!C234,NA())),NA())</f>
        <v>#N/A</v>
      </c>
      <c r="E240" s="19" t="e">
        <f aca="false">IFERROR(IF(CPI!D234="",NA(),IF(ISNUMBER(CPI!D234),CPI!D234,NA())),NA())</f>
        <v>#N/A</v>
      </c>
      <c r="F240" s="20" t="e">
        <f aca="false">IFERROR(D240/D228-1,NA())</f>
        <v>#N/A</v>
      </c>
      <c r="G240" s="20" t="e">
        <f aca="false">IFERROR(D240/D239-1,NA())</f>
        <v>#N/A</v>
      </c>
      <c r="H240" s="21" t="e">
        <f aca="false">IF(COUNT(D238:D240)=3,AVERAGE(D238:D240),NA())</f>
        <v>#N/A</v>
      </c>
      <c r="I240" s="20" t="e">
        <f aca="false">IFERROR(IF(AND(COUNT(D238:D240)=3,COUNT(D226:D228)=3),AVERAGE(D238:D240)/AVERAGE(D226:D228)-1,NA()),NA())</f>
        <v>#N/A</v>
      </c>
    </row>
    <row r="241" customFormat="false" ht="15" hidden="false" customHeight="false" outlineLevel="0" collapsed="false">
      <c r="A241" s="16" t="e">
        <f aca="false">IFERROR(IF(LEN(TRIM(TEXT(CPI!B235,"@")))&lt;3,NA(),DATE(2000+VALUE(LEFT(CPI!B235,LEN(CPI!B235)-2)),VALUE(RIGHT(CPI!B235,2)),1)),NA())</f>
        <v>#N/A</v>
      </c>
      <c r="B241" s="17" t="e">
        <f aca="false">IFERROR(IF(CPI!B235="",NA(),CPI!B235),NA())</f>
        <v>#N/A</v>
      </c>
      <c r="C241" s="18" t="n">
        <f aca="false">IFERROR(YEAR(A241),0)</f>
        <v>0</v>
      </c>
      <c r="D241" s="19" t="e">
        <f aca="false">IFERROR(IF(CPI!C235="",NA(),IF(ISNUMBER(CPI!C235),CPI!C235,NA())),NA())</f>
        <v>#N/A</v>
      </c>
      <c r="E241" s="19" t="e">
        <f aca="false">IFERROR(IF(CPI!D235="",NA(),IF(ISNUMBER(CPI!D235),CPI!D235,NA())),NA())</f>
        <v>#N/A</v>
      </c>
      <c r="F241" s="20" t="e">
        <f aca="false">IFERROR(D241/D229-1,NA())</f>
        <v>#N/A</v>
      </c>
      <c r="G241" s="20" t="e">
        <f aca="false">IFERROR(D241/D240-1,NA())</f>
        <v>#N/A</v>
      </c>
      <c r="H241" s="21" t="e">
        <f aca="false">IF(COUNT(D239:D241)=3,AVERAGE(D239:D241),NA())</f>
        <v>#N/A</v>
      </c>
      <c r="I241" s="20" t="e">
        <f aca="false">IFERROR(IF(AND(COUNT(D239:D241)=3,COUNT(D227:D229)=3),AVERAGE(D239:D241)/AVERAGE(D227:D229)-1,NA()),NA())</f>
        <v>#N/A</v>
      </c>
    </row>
    <row r="242" customFormat="false" ht="15" hidden="false" customHeight="false" outlineLevel="0" collapsed="false">
      <c r="A242" s="16" t="e">
        <f aca="false">IFERROR(IF(LEN(TRIM(TEXT(CPI!B236,"@")))&lt;3,NA(),DATE(2000+VALUE(LEFT(CPI!B236,LEN(CPI!B236)-2)),VALUE(RIGHT(CPI!B236,2)),1)),NA())</f>
        <v>#N/A</v>
      </c>
      <c r="B242" s="17" t="e">
        <f aca="false">IFERROR(IF(CPI!B236="",NA(),CPI!B236),NA())</f>
        <v>#N/A</v>
      </c>
      <c r="C242" s="18" t="n">
        <f aca="false">IFERROR(YEAR(A242),0)</f>
        <v>0</v>
      </c>
      <c r="D242" s="19" t="e">
        <f aca="false">IFERROR(IF(CPI!C236="",NA(),IF(ISNUMBER(CPI!C236),CPI!C236,NA())),NA())</f>
        <v>#N/A</v>
      </c>
      <c r="E242" s="19" t="e">
        <f aca="false">IFERROR(IF(CPI!D236="",NA(),IF(ISNUMBER(CPI!D236),CPI!D236,NA())),NA())</f>
        <v>#N/A</v>
      </c>
      <c r="F242" s="20" t="e">
        <f aca="false">IFERROR(D242/D230-1,NA())</f>
        <v>#N/A</v>
      </c>
      <c r="G242" s="20" t="e">
        <f aca="false">IFERROR(D242/D241-1,NA())</f>
        <v>#N/A</v>
      </c>
      <c r="H242" s="21" t="e">
        <f aca="false">IF(COUNT(D240:D242)=3,AVERAGE(D240:D242),NA())</f>
        <v>#N/A</v>
      </c>
      <c r="I242" s="20" t="e">
        <f aca="false">IFERROR(IF(AND(COUNT(D240:D242)=3,COUNT(D228:D230)=3),AVERAGE(D240:D242)/AVERAGE(D228:D230)-1,NA()),NA())</f>
        <v>#N/A</v>
      </c>
    </row>
    <row r="243" customFormat="false" ht="15" hidden="false" customHeight="false" outlineLevel="0" collapsed="false">
      <c r="A243" s="16" t="e">
        <f aca="false">IFERROR(IF(LEN(TRIM(TEXT(CPI!B237,"@")))&lt;3,NA(),DATE(2000+VALUE(LEFT(CPI!B237,LEN(CPI!B237)-2)),VALUE(RIGHT(CPI!B237,2)),1)),NA())</f>
        <v>#N/A</v>
      </c>
      <c r="B243" s="17" t="e">
        <f aca="false">IFERROR(IF(CPI!B237="",NA(),CPI!B237),NA())</f>
        <v>#N/A</v>
      </c>
      <c r="C243" s="18" t="n">
        <f aca="false">IFERROR(YEAR(A243),0)</f>
        <v>0</v>
      </c>
      <c r="D243" s="19" t="e">
        <f aca="false">IFERROR(IF(CPI!C237="",NA(),IF(ISNUMBER(CPI!C237),CPI!C237,NA())),NA())</f>
        <v>#N/A</v>
      </c>
      <c r="E243" s="19" t="e">
        <f aca="false">IFERROR(IF(CPI!D237="",NA(),IF(ISNUMBER(CPI!D237),CPI!D237,NA())),NA())</f>
        <v>#N/A</v>
      </c>
      <c r="F243" s="20" t="e">
        <f aca="false">IFERROR(D243/D231-1,NA())</f>
        <v>#N/A</v>
      </c>
      <c r="G243" s="20" t="e">
        <f aca="false">IFERROR(D243/D242-1,NA())</f>
        <v>#N/A</v>
      </c>
      <c r="H243" s="21" t="e">
        <f aca="false">IF(COUNT(D241:D243)=3,AVERAGE(D241:D243),NA())</f>
        <v>#N/A</v>
      </c>
      <c r="I243" s="20" t="e">
        <f aca="false">IFERROR(IF(AND(COUNT(D241:D243)=3,COUNT(D229:D231)=3),AVERAGE(D241:D243)/AVERAGE(D229:D231)-1,NA()),NA())</f>
        <v>#N/A</v>
      </c>
    </row>
    <row r="244" customFormat="false" ht="15" hidden="false" customHeight="false" outlineLevel="0" collapsed="false">
      <c r="A244" s="16" t="e">
        <f aca="false">IFERROR(IF(LEN(TRIM(TEXT(CPI!B238,"@")))&lt;3,NA(),DATE(2000+VALUE(LEFT(CPI!B238,LEN(CPI!B238)-2)),VALUE(RIGHT(CPI!B238,2)),1)),NA())</f>
        <v>#N/A</v>
      </c>
      <c r="B244" s="17" t="e">
        <f aca="false">IFERROR(IF(CPI!B238="",NA(),CPI!B238),NA())</f>
        <v>#N/A</v>
      </c>
      <c r="C244" s="18" t="n">
        <f aca="false">IFERROR(YEAR(A244),0)</f>
        <v>0</v>
      </c>
      <c r="D244" s="19" t="e">
        <f aca="false">IFERROR(IF(CPI!C238="",NA(),IF(ISNUMBER(CPI!C238),CPI!C238,NA())),NA())</f>
        <v>#N/A</v>
      </c>
      <c r="E244" s="19" t="e">
        <f aca="false">IFERROR(IF(CPI!D238="",NA(),IF(ISNUMBER(CPI!D238),CPI!D238,NA())),NA())</f>
        <v>#N/A</v>
      </c>
      <c r="F244" s="20" t="e">
        <f aca="false">IFERROR(D244/D232-1,NA())</f>
        <v>#N/A</v>
      </c>
      <c r="G244" s="20" t="e">
        <f aca="false">IFERROR(D244/D243-1,NA())</f>
        <v>#N/A</v>
      </c>
      <c r="H244" s="21" t="e">
        <f aca="false">IF(COUNT(D242:D244)=3,AVERAGE(D242:D244),NA())</f>
        <v>#N/A</v>
      </c>
      <c r="I244" s="20" t="e">
        <f aca="false">IFERROR(IF(AND(COUNT(D242:D244)=3,COUNT(D230:D232)=3),AVERAGE(D242:D244)/AVERAGE(D230:D232)-1,NA()),NA())</f>
        <v>#N/A</v>
      </c>
    </row>
    <row r="245" customFormat="false" ht="15" hidden="false" customHeight="false" outlineLevel="0" collapsed="false">
      <c r="A245" s="16" t="e">
        <f aca="false">IFERROR(IF(LEN(TRIM(TEXT(CPI!B239,"@")))&lt;3,NA(),DATE(2000+VALUE(LEFT(CPI!B239,LEN(CPI!B239)-2)),VALUE(RIGHT(CPI!B239,2)),1)),NA())</f>
        <v>#N/A</v>
      </c>
      <c r="B245" s="17" t="e">
        <f aca="false">IFERROR(IF(CPI!B239="",NA(),CPI!B239),NA())</f>
        <v>#N/A</v>
      </c>
      <c r="C245" s="18" t="n">
        <f aca="false">IFERROR(YEAR(A245),0)</f>
        <v>0</v>
      </c>
      <c r="D245" s="19" t="e">
        <f aca="false">IFERROR(IF(CPI!C239="",NA(),IF(ISNUMBER(CPI!C239),CPI!C239,NA())),NA())</f>
        <v>#N/A</v>
      </c>
      <c r="E245" s="19" t="e">
        <f aca="false">IFERROR(IF(CPI!D239="",NA(),IF(ISNUMBER(CPI!D239),CPI!D239,NA())),NA())</f>
        <v>#N/A</v>
      </c>
      <c r="F245" s="20" t="e">
        <f aca="false">IFERROR(D245/D233-1,NA())</f>
        <v>#N/A</v>
      </c>
      <c r="G245" s="20" t="e">
        <f aca="false">IFERROR(D245/D244-1,NA())</f>
        <v>#N/A</v>
      </c>
      <c r="H245" s="21" t="e">
        <f aca="false">IF(COUNT(D243:D245)=3,AVERAGE(D243:D245),NA())</f>
        <v>#N/A</v>
      </c>
      <c r="I245" s="20" t="e">
        <f aca="false">IFERROR(IF(AND(COUNT(D243:D245)=3,COUNT(D231:D233)=3),AVERAGE(D243:D245)/AVERAGE(D231:D233)-1,NA()),NA())</f>
        <v>#N/A</v>
      </c>
    </row>
    <row r="246" customFormat="false" ht="15" hidden="false" customHeight="false" outlineLevel="0" collapsed="false">
      <c r="A246" s="16" t="e">
        <f aca="false">IFERROR(IF(LEN(TRIM(TEXT(CPI!B240,"@")))&lt;3,NA(),DATE(2000+VALUE(LEFT(CPI!B240,LEN(CPI!B240)-2)),VALUE(RIGHT(CPI!B240,2)),1)),NA())</f>
        <v>#N/A</v>
      </c>
      <c r="B246" s="17" t="e">
        <f aca="false">IFERROR(IF(CPI!B240="",NA(),CPI!B240),NA())</f>
        <v>#N/A</v>
      </c>
      <c r="C246" s="18" t="n">
        <f aca="false">IFERROR(YEAR(A246),0)</f>
        <v>0</v>
      </c>
      <c r="D246" s="19" t="e">
        <f aca="false">IFERROR(IF(CPI!C240="",NA(),IF(ISNUMBER(CPI!C240),CPI!C240,NA())),NA())</f>
        <v>#N/A</v>
      </c>
      <c r="E246" s="19" t="e">
        <f aca="false">IFERROR(IF(CPI!D240="",NA(),IF(ISNUMBER(CPI!D240),CPI!D240,NA())),NA())</f>
        <v>#N/A</v>
      </c>
      <c r="F246" s="20" t="e">
        <f aca="false">IFERROR(D246/D234-1,NA())</f>
        <v>#N/A</v>
      </c>
      <c r="G246" s="20" t="e">
        <f aca="false">IFERROR(D246/D245-1,NA())</f>
        <v>#N/A</v>
      </c>
      <c r="H246" s="21" t="e">
        <f aca="false">IF(COUNT(D244:D246)=3,AVERAGE(D244:D246),NA())</f>
        <v>#N/A</v>
      </c>
      <c r="I246" s="20" t="e">
        <f aca="false">IFERROR(IF(AND(COUNT(D244:D246)=3,COUNT(D232:D234)=3),AVERAGE(D244:D246)/AVERAGE(D232:D234)-1,NA()),NA())</f>
        <v>#N/A</v>
      </c>
    </row>
    <row r="247" customFormat="false" ht="15" hidden="false" customHeight="false" outlineLevel="0" collapsed="false">
      <c r="A247" s="16" t="e">
        <f aca="false">IFERROR(IF(LEN(TRIM(TEXT(CPI!B241,"@")))&lt;3,NA(),DATE(2000+VALUE(LEFT(CPI!B241,LEN(CPI!B241)-2)),VALUE(RIGHT(CPI!B241,2)),1)),NA())</f>
        <v>#N/A</v>
      </c>
      <c r="B247" s="17" t="e">
        <f aca="false">IFERROR(IF(CPI!B241="",NA(),CPI!B241),NA())</f>
        <v>#N/A</v>
      </c>
      <c r="C247" s="18" t="n">
        <f aca="false">IFERROR(YEAR(A247),0)</f>
        <v>0</v>
      </c>
      <c r="D247" s="19" t="e">
        <f aca="false">IFERROR(IF(CPI!C241="",NA(),IF(ISNUMBER(CPI!C241),CPI!C241,NA())),NA())</f>
        <v>#N/A</v>
      </c>
      <c r="E247" s="19" t="e">
        <f aca="false">IFERROR(IF(CPI!D241="",NA(),IF(ISNUMBER(CPI!D241),CPI!D241,NA())),NA())</f>
        <v>#N/A</v>
      </c>
      <c r="F247" s="20" t="e">
        <f aca="false">IFERROR(D247/D235-1,NA())</f>
        <v>#N/A</v>
      </c>
      <c r="G247" s="20" t="e">
        <f aca="false">IFERROR(D247/D246-1,NA())</f>
        <v>#N/A</v>
      </c>
      <c r="H247" s="21" t="e">
        <f aca="false">IF(COUNT(D245:D247)=3,AVERAGE(D245:D247),NA())</f>
        <v>#N/A</v>
      </c>
      <c r="I247" s="20" t="e">
        <f aca="false">IFERROR(IF(AND(COUNT(D245:D247)=3,COUNT(D233:D235)=3),AVERAGE(D245:D247)/AVERAGE(D233:D235)-1,NA()),NA())</f>
        <v>#N/A</v>
      </c>
    </row>
    <row r="248" customFormat="false" ht="15" hidden="false" customHeight="false" outlineLevel="0" collapsed="false">
      <c r="A248" s="16" t="e">
        <f aca="false">IFERROR(IF(LEN(TRIM(TEXT(CPI!B242,"@")))&lt;3,NA(),DATE(2000+VALUE(LEFT(CPI!B242,LEN(CPI!B242)-2)),VALUE(RIGHT(CPI!B242,2)),1)),NA())</f>
        <v>#N/A</v>
      </c>
      <c r="B248" s="17" t="e">
        <f aca="false">IFERROR(IF(CPI!B242="",NA(),CPI!B242),NA())</f>
        <v>#N/A</v>
      </c>
      <c r="C248" s="18" t="n">
        <f aca="false">IFERROR(YEAR(A248),0)</f>
        <v>0</v>
      </c>
      <c r="D248" s="19" t="e">
        <f aca="false">IFERROR(IF(CPI!C242="",NA(),IF(ISNUMBER(CPI!C242),CPI!C242,NA())),NA())</f>
        <v>#N/A</v>
      </c>
      <c r="E248" s="19" t="e">
        <f aca="false">IFERROR(IF(CPI!D242="",NA(),IF(ISNUMBER(CPI!D242),CPI!D242,NA())),NA())</f>
        <v>#N/A</v>
      </c>
      <c r="F248" s="20" t="e">
        <f aca="false">IFERROR(D248/D236-1,NA())</f>
        <v>#N/A</v>
      </c>
      <c r="G248" s="20" t="e">
        <f aca="false">IFERROR(D248/D247-1,NA())</f>
        <v>#N/A</v>
      </c>
      <c r="H248" s="21" t="e">
        <f aca="false">IF(COUNT(D246:D248)=3,AVERAGE(D246:D248),NA())</f>
        <v>#N/A</v>
      </c>
      <c r="I248" s="20" t="e">
        <f aca="false">IFERROR(IF(AND(COUNT(D246:D248)=3,COUNT(D234:D236)=3),AVERAGE(D246:D248)/AVERAGE(D234:D236)-1,NA()),NA())</f>
        <v>#N/A</v>
      </c>
    </row>
    <row r="249" customFormat="false" ht="15" hidden="false" customHeight="false" outlineLevel="0" collapsed="false">
      <c r="A249" s="16" t="e">
        <f aca="false">IFERROR(IF(LEN(TRIM(TEXT(CPI!B243,"@")))&lt;3,NA(),DATE(2000+VALUE(LEFT(CPI!B243,LEN(CPI!B243)-2)),VALUE(RIGHT(CPI!B243,2)),1)),NA())</f>
        <v>#N/A</v>
      </c>
      <c r="B249" s="17" t="e">
        <f aca="false">IFERROR(IF(CPI!B243="",NA(),CPI!B243),NA())</f>
        <v>#N/A</v>
      </c>
      <c r="C249" s="18" t="n">
        <f aca="false">IFERROR(YEAR(A249),0)</f>
        <v>0</v>
      </c>
      <c r="D249" s="19" t="e">
        <f aca="false">IFERROR(IF(CPI!C243="",NA(),IF(ISNUMBER(CPI!C243),CPI!C243,NA())),NA())</f>
        <v>#N/A</v>
      </c>
      <c r="E249" s="19" t="e">
        <f aca="false">IFERROR(IF(CPI!D243="",NA(),IF(ISNUMBER(CPI!D243),CPI!D243,NA())),NA())</f>
        <v>#N/A</v>
      </c>
      <c r="F249" s="20" t="e">
        <f aca="false">IFERROR(D249/D237-1,NA())</f>
        <v>#N/A</v>
      </c>
      <c r="G249" s="20" t="e">
        <f aca="false">IFERROR(D249/D248-1,NA())</f>
        <v>#N/A</v>
      </c>
      <c r="H249" s="21" t="e">
        <f aca="false">IF(COUNT(D247:D249)=3,AVERAGE(D247:D249),NA())</f>
        <v>#N/A</v>
      </c>
      <c r="I249" s="20" t="e">
        <f aca="false">IFERROR(IF(AND(COUNT(D247:D249)=3,COUNT(D235:D237)=3),AVERAGE(D247:D249)/AVERAGE(D235:D237)-1,NA()),NA())</f>
        <v>#N/A</v>
      </c>
    </row>
    <row r="250" customFormat="false" ht="15" hidden="false" customHeight="false" outlineLevel="0" collapsed="false">
      <c r="A250" s="16" t="e">
        <f aca="false">IFERROR(IF(LEN(TRIM(TEXT(CPI!B244,"@")))&lt;3,NA(),DATE(2000+VALUE(LEFT(CPI!B244,LEN(CPI!B244)-2)),VALUE(RIGHT(CPI!B244,2)),1)),NA())</f>
        <v>#N/A</v>
      </c>
      <c r="B250" s="17" t="e">
        <f aca="false">IFERROR(IF(CPI!B244="",NA(),CPI!B244),NA())</f>
        <v>#N/A</v>
      </c>
      <c r="C250" s="18" t="n">
        <f aca="false">IFERROR(YEAR(A250),0)</f>
        <v>0</v>
      </c>
      <c r="D250" s="19" t="e">
        <f aca="false">IFERROR(IF(CPI!C244="",NA(),IF(ISNUMBER(CPI!C244),CPI!C244,NA())),NA())</f>
        <v>#N/A</v>
      </c>
      <c r="E250" s="19" t="e">
        <f aca="false">IFERROR(IF(CPI!D244="",NA(),IF(ISNUMBER(CPI!D244),CPI!D244,NA())),NA())</f>
        <v>#N/A</v>
      </c>
      <c r="F250" s="20" t="e">
        <f aca="false">IFERROR(D250/D238-1,NA())</f>
        <v>#N/A</v>
      </c>
      <c r="G250" s="20" t="e">
        <f aca="false">IFERROR(D250/D249-1,NA())</f>
        <v>#N/A</v>
      </c>
      <c r="H250" s="21" t="e">
        <f aca="false">IF(COUNT(D248:D250)=3,AVERAGE(D248:D250),NA())</f>
        <v>#N/A</v>
      </c>
      <c r="I250" s="20" t="e">
        <f aca="false">IFERROR(IF(AND(COUNT(D248:D250)=3,COUNT(D236:D238)=3),AVERAGE(D248:D250)/AVERAGE(D236:D238)-1,NA()),NA())</f>
        <v>#N/A</v>
      </c>
    </row>
    <row r="251" customFormat="false" ht="15" hidden="false" customHeight="false" outlineLevel="0" collapsed="false">
      <c r="A251" s="16" t="e">
        <f aca="false">IFERROR(IF(LEN(TRIM(TEXT(CPI!B245,"@")))&lt;3,NA(),DATE(2000+VALUE(LEFT(CPI!B245,LEN(CPI!B245)-2)),VALUE(RIGHT(CPI!B245,2)),1)),NA())</f>
        <v>#N/A</v>
      </c>
      <c r="B251" s="17" t="e">
        <f aca="false">IFERROR(IF(CPI!B245="",NA(),CPI!B245),NA())</f>
        <v>#N/A</v>
      </c>
      <c r="C251" s="18" t="n">
        <f aca="false">IFERROR(YEAR(A251),0)</f>
        <v>0</v>
      </c>
      <c r="D251" s="19" t="e">
        <f aca="false">IFERROR(IF(CPI!C245="",NA(),IF(ISNUMBER(CPI!C245),CPI!C245,NA())),NA())</f>
        <v>#N/A</v>
      </c>
      <c r="E251" s="19" t="e">
        <f aca="false">IFERROR(IF(CPI!D245="",NA(),IF(ISNUMBER(CPI!D245),CPI!D245,NA())),NA())</f>
        <v>#N/A</v>
      </c>
      <c r="F251" s="20" t="e">
        <f aca="false">IFERROR(D251/D239-1,NA())</f>
        <v>#N/A</v>
      </c>
      <c r="G251" s="20" t="e">
        <f aca="false">IFERROR(D251/D250-1,NA())</f>
        <v>#N/A</v>
      </c>
      <c r="H251" s="21" t="e">
        <f aca="false">IF(COUNT(D249:D251)=3,AVERAGE(D249:D251),NA())</f>
        <v>#N/A</v>
      </c>
      <c r="I251" s="20" t="e">
        <f aca="false">IFERROR(IF(AND(COUNT(D249:D251)=3,COUNT(D237:D239)=3),AVERAGE(D249:D251)/AVERAGE(D237:D239)-1,NA()),NA())</f>
        <v>#N/A</v>
      </c>
    </row>
    <row r="252" customFormat="false" ht="15" hidden="false" customHeight="false" outlineLevel="0" collapsed="false">
      <c r="A252" s="16" t="e">
        <f aca="false">IFERROR(IF(LEN(TRIM(TEXT(CPI!B246,"@")))&lt;3,NA(),DATE(2000+VALUE(LEFT(CPI!B246,LEN(CPI!B246)-2)),VALUE(RIGHT(CPI!B246,2)),1)),NA())</f>
        <v>#N/A</v>
      </c>
      <c r="B252" s="17" t="e">
        <f aca="false">IFERROR(IF(CPI!B246="",NA(),CPI!B246),NA())</f>
        <v>#N/A</v>
      </c>
      <c r="C252" s="18" t="n">
        <f aca="false">IFERROR(YEAR(A252),0)</f>
        <v>0</v>
      </c>
      <c r="D252" s="19" t="e">
        <f aca="false">IFERROR(IF(CPI!C246="",NA(),IF(ISNUMBER(CPI!C246),CPI!C246,NA())),NA())</f>
        <v>#N/A</v>
      </c>
      <c r="E252" s="19" t="e">
        <f aca="false">IFERROR(IF(CPI!D246="",NA(),IF(ISNUMBER(CPI!D246),CPI!D246,NA())),NA())</f>
        <v>#N/A</v>
      </c>
      <c r="F252" s="20" t="e">
        <f aca="false">IFERROR(D252/D240-1,NA())</f>
        <v>#N/A</v>
      </c>
      <c r="G252" s="20" t="e">
        <f aca="false">IFERROR(D252/D251-1,NA())</f>
        <v>#N/A</v>
      </c>
      <c r="H252" s="21" t="e">
        <f aca="false">IF(COUNT(D250:D252)=3,AVERAGE(D250:D252),NA())</f>
        <v>#N/A</v>
      </c>
      <c r="I252" s="20" t="e">
        <f aca="false">IFERROR(IF(AND(COUNT(D250:D252)=3,COUNT(D238:D240)=3),AVERAGE(D250:D252)/AVERAGE(D238:D240)-1,NA()),NA())</f>
        <v>#N/A</v>
      </c>
    </row>
    <row r="253" customFormat="false" ht="15" hidden="false" customHeight="false" outlineLevel="0" collapsed="false">
      <c r="A253" s="16" t="e">
        <f aca="false">IFERROR(IF(LEN(TRIM(TEXT(CPI!B247,"@")))&lt;3,NA(),DATE(2000+VALUE(LEFT(CPI!B247,LEN(CPI!B247)-2)),VALUE(RIGHT(CPI!B247,2)),1)),NA())</f>
        <v>#N/A</v>
      </c>
      <c r="B253" s="17" t="e">
        <f aca="false">IFERROR(IF(CPI!B247="",NA(),CPI!B247),NA())</f>
        <v>#N/A</v>
      </c>
      <c r="C253" s="18" t="n">
        <f aca="false">IFERROR(YEAR(A253),0)</f>
        <v>0</v>
      </c>
      <c r="D253" s="19" t="e">
        <f aca="false">IFERROR(IF(CPI!C247="",NA(),IF(ISNUMBER(CPI!C247),CPI!C247,NA())),NA())</f>
        <v>#N/A</v>
      </c>
      <c r="E253" s="19" t="e">
        <f aca="false">IFERROR(IF(CPI!D247="",NA(),IF(ISNUMBER(CPI!D247),CPI!D247,NA())),NA())</f>
        <v>#N/A</v>
      </c>
      <c r="F253" s="20" t="e">
        <f aca="false">IFERROR(D253/D241-1,NA())</f>
        <v>#N/A</v>
      </c>
      <c r="G253" s="20" t="e">
        <f aca="false">IFERROR(D253/D252-1,NA())</f>
        <v>#N/A</v>
      </c>
      <c r="H253" s="21" t="e">
        <f aca="false">IF(COUNT(D251:D253)=3,AVERAGE(D251:D253),NA())</f>
        <v>#N/A</v>
      </c>
      <c r="I253" s="20" t="e">
        <f aca="false">IFERROR(IF(AND(COUNT(D251:D253)=3,COUNT(D239:D241)=3),AVERAGE(D251:D253)/AVERAGE(D239:D241)-1,NA()),NA())</f>
        <v>#N/A</v>
      </c>
    </row>
    <row r="254" customFormat="false" ht="15" hidden="false" customHeight="false" outlineLevel="0" collapsed="false">
      <c r="A254" s="16" t="e">
        <f aca="false">IFERROR(IF(LEN(TRIM(TEXT(CPI!B248,"@")))&lt;3,NA(),DATE(2000+VALUE(LEFT(CPI!B248,LEN(CPI!B248)-2)),VALUE(RIGHT(CPI!B248,2)),1)),NA())</f>
        <v>#N/A</v>
      </c>
      <c r="B254" s="17" t="e">
        <f aca="false">IFERROR(IF(CPI!B248="",NA(),CPI!B248),NA())</f>
        <v>#N/A</v>
      </c>
      <c r="C254" s="18" t="n">
        <f aca="false">IFERROR(YEAR(A254),0)</f>
        <v>0</v>
      </c>
      <c r="D254" s="19" t="e">
        <f aca="false">IFERROR(IF(CPI!C248="",NA(),IF(ISNUMBER(CPI!C248),CPI!C248,NA())),NA())</f>
        <v>#N/A</v>
      </c>
      <c r="E254" s="19" t="e">
        <f aca="false">IFERROR(IF(CPI!D248="",NA(),IF(ISNUMBER(CPI!D248),CPI!D248,NA())),NA())</f>
        <v>#N/A</v>
      </c>
      <c r="F254" s="20" t="e">
        <f aca="false">IFERROR(D254/D242-1,NA())</f>
        <v>#N/A</v>
      </c>
      <c r="G254" s="20" t="e">
        <f aca="false">IFERROR(D254/D253-1,NA())</f>
        <v>#N/A</v>
      </c>
      <c r="H254" s="21" t="e">
        <f aca="false">IF(COUNT(D252:D254)=3,AVERAGE(D252:D254),NA())</f>
        <v>#N/A</v>
      </c>
      <c r="I254" s="20" t="e">
        <f aca="false">IFERROR(IF(AND(COUNT(D252:D254)=3,COUNT(D240:D242)=3),AVERAGE(D252:D254)/AVERAGE(D240:D242)-1,NA()),NA())</f>
        <v>#N/A</v>
      </c>
    </row>
    <row r="255" customFormat="false" ht="15" hidden="false" customHeight="false" outlineLevel="0" collapsed="false">
      <c r="A255" s="16" t="e">
        <f aca="false">IFERROR(IF(LEN(TRIM(TEXT(CPI!B249,"@")))&lt;3,NA(),DATE(2000+VALUE(LEFT(CPI!B249,LEN(CPI!B249)-2)),VALUE(RIGHT(CPI!B249,2)),1)),NA())</f>
        <v>#N/A</v>
      </c>
      <c r="B255" s="17" t="e">
        <f aca="false">IFERROR(IF(CPI!B249="",NA(),CPI!B249),NA())</f>
        <v>#N/A</v>
      </c>
      <c r="C255" s="18" t="n">
        <f aca="false">IFERROR(YEAR(A255),0)</f>
        <v>0</v>
      </c>
      <c r="D255" s="19" t="e">
        <f aca="false">IFERROR(IF(CPI!C249="",NA(),IF(ISNUMBER(CPI!C249),CPI!C249,NA())),NA())</f>
        <v>#N/A</v>
      </c>
      <c r="E255" s="19" t="e">
        <f aca="false">IFERROR(IF(CPI!D249="",NA(),IF(ISNUMBER(CPI!D249),CPI!D249,NA())),NA())</f>
        <v>#N/A</v>
      </c>
      <c r="F255" s="20" t="e">
        <f aca="false">IFERROR(D255/D243-1,NA())</f>
        <v>#N/A</v>
      </c>
      <c r="G255" s="20" t="e">
        <f aca="false">IFERROR(D255/D254-1,NA())</f>
        <v>#N/A</v>
      </c>
      <c r="H255" s="21" t="e">
        <f aca="false">IF(COUNT(D253:D255)=3,AVERAGE(D253:D255),NA())</f>
        <v>#N/A</v>
      </c>
      <c r="I255" s="20" t="e">
        <f aca="false">IFERROR(IF(AND(COUNT(D253:D255)=3,COUNT(D241:D243)=3),AVERAGE(D253:D255)/AVERAGE(D241:D243)-1,NA()),NA())</f>
        <v>#N/A</v>
      </c>
    </row>
    <row r="256" customFormat="false" ht="15" hidden="false" customHeight="false" outlineLevel="0" collapsed="false">
      <c r="A256" s="16" t="e">
        <f aca="false">IFERROR(IF(LEN(TRIM(TEXT(CPI!B250,"@")))&lt;3,NA(),DATE(2000+VALUE(LEFT(CPI!B250,LEN(CPI!B250)-2)),VALUE(RIGHT(CPI!B250,2)),1)),NA())</f>
        <v>#N/A</v>
      </c>
      <c r="B256" s="17" t="e">
        <f aca="false">IFERROR(IF(CPI!B250="",NA(),CPI!B250),NA())</f>
        <v>#N/A</v>
      </c>
      <c r="C256" s="18" t="n">
        <f aca="false">IFERROR(YEAR(A256),0)</f>
        <v>0</v>
      </c>
      <c r="D256" s="19" t="e">
        <f aca="false">IFERROR(IF(CPI!C250="",NA(),IF(ISNUMBER(CPI!C250),CPI!C250,NA())),NA())</f>
        <v>#N/A</v>
      </c>
      <c r="E256" s="19" t="e">
        <f aca="false">IFERROR(IF(CPI!D250="",NA(),IF(ISNUMBER(CPI!D250),CPI!D250,NA())),NA())</f>
        <v>#N/A</v>
      </c>
      <c r="F256" s="20" t="e">
        <f aca="false">IFERROR(D256/D244-1,NA())</f>
        <v>#N/A</v>
      </c>
      <c r="G256" s="20" t="e">
        <f aca="false">IFERROR(D256/D255-1,NA())</f>
        <v>#N/A</v>
      </c>
      <c r="H256" s="21" t="e">
        <f aca="false">IF(COUNT(D254:D256)=3,AVERAGE(D254:D256),NA())</f>
        <v>#N/A</v>
      </c>
      <c r="I256" s="20" t="e">
        <f aca="false">IFERROR(IF(AND(COUNT(D254:D256)=3,COUNT(D242:D244)=3),AVERAGE(D254:D256)/AVERAGE(D242:D244)-1,NA()),NA())</f>
        <v>#N/A</v>
      </c>
    </row>
    <row r="257" customFormat="false" ht="15" hidden="false" customHeight="false" outlineLevel="0" collapsed="false">
      <c r="A257" s="16" t="e">
        <f aca="false">IFERROR(IF(LEN(TRIM(TEXT(CPI!B251,"@")))&lt;3,NA(),DATE(2000+VALUE(LEFT(CPI!B251,LEN(CPI!B251)-2)),VALUE(RIGHT(CPI!B251,2)),1)),NA())</f>
        <v>#N/A</v>
      </c>
      <c r="B257" s="17" t="e">
        <f aca="false">IFERROR(IF(CPI!B251="",NA(),CPI!B251),NA())</f>
        <v>#N/A</v>
      </c>
      <c r="C257" s="18" t="n">
        <f aca="false">IFERROR(YEAR(A257),0)</f>
        <v>0</v>
      </c>
      <c r="D257" s="19" t="e">
        <f aca="false">IFERROR(IF(CPI!C251="",NA(),IF(ISNUMBER(CPI!C251),CPI!C251,NA())),NA())</f>
        <v>#N/A</v>
      </c>
      <c r="E257" s="19" t="e">
        <f aca="false">IFERROR(IF(CPI!D251="",NA(),IF(ISNUMBER(CPI!D251),CPI!D251,NA())),NA())</f>
        <v>#N/A</v>
      </c>
      <c r="F257" s="20" t="e">
        <f aca="false">IFERROR(D257/D245-1,NA())</f>
        <v>#N/A</v>
      </c>
      <c r="G257" s="20" t="e">
        <f aca="false">IFERROR(D257/D256-1,NA())</f>
        <v>#N/A</v>
      </c>
      <c r="H257" s="21" t="e">
        <f aca="false">IF(COUNT(D255:D257)=3,AVERAGE(D255:D257),NA())</f>
        <v>#N/A</v>
      </c>
      <c r="I257" s="20" t="e">
        <f aca="false">IFERROR(IF(AND(COUNT(D255:D257)=3,COUNT(D243:D245)=3),AVERAGE(D255:D257)/AVERAGE(D243:D245)-1,NA()),NA())</f>
        <v>#N/A</v>
      </c>
    </row>
    <row r="258" customFormat="false" ht="15" hidden="false" customHeight="false" outlineLevel="0" collapsed="false">
      <c r="A258" s="16" t="e">
        <f aca="false">IFERROR(IF(LEN(TRIM(TEXT(CPI!B252,"@")))&lt;3,NA(),DATE(2000+VALUE(LEFT(CPI!B252,LEN(CPI!B252)-2)),VALUE(RIGHT(CPI!B252,2)),1)),NA())</f>
        <v>#N/A</v>
      </c>
      <c r="B258" s="17" t="e">
        <f aca="false">IFERROR(IF(CPI!B252="",NA(),CPI!B252),NA())</f>
        <v>#N/A</v>
      </c>
      <c r="C258" s="18" t="n">
        <f aca="false">IFERROR(YEAR(A258),0)</f>
        <v>0</v>
      </c>
      <c r="D258" s="19" t="e">
        <f aca="false">IFERROR(IF(CPI!C252="",NA(),IF(ISNUMBER(CPI!C252),CPI!C252,NA())),NA())</f>
        <v>#N/A</v>
      </c>
      <c r="E258" s="19" t="e">
        <f aca="false">IFERROR(IF(CPI!D252="",NA(),IF(ISNUMBER(CPI!D252),CPI!D252,NA())),NA())</f>
        <v>#N/A</v>
      </c>
      <c r="F258" s="20" t="e">
        <f aca="false">IFERROR(D258/D246-1,NA())</f>
        <v>#N/A</v>
      </c>
      <c r="G258" s="20" t="e">
        <f aca="false">IFERROR(D258/D257-1,NA())</f>
        <v>#N/A</v>
      </c>
      <c r="H258" s="21" t="e">
        <f aca="false">IF(COUNT(D256:D258)=3,AVERAGE(D256:D258),NA())</f>
        <v>#N/A</v>
      </c>
      <c r="I258" s="20" t="e">
        <f aca="false">IFERROR(IF(AND(COUNT(D256:D258)=3,COUNT(D244:D246)=3),AVERAGE(D256:D258)/AVERAGE(D244:D246)-1,NA()),NA())</f>
        <v>#N/A</v>
      </c>
    </row>
    <row r="259" customFormat="false" ht="15" hidden="false" customHeight="false" outlineLevel="0" collapsed="false">
      <c r="A259" s="16" t="e">
        <f aca="false">IFERROR(IF(LEN(TRIM(TEXT(CPI!B253,"@")))&lt;3,NA(),DATE(2000+VALUE(LEFT(CPI!B253,LEN(CPI!B253)-2)),VALUE(RIGHT(CPI!B253,2)),1)),NA())</f>
        <v>#N/A</v>
      </c>
      <c r="B259" s="17" t="e">
        <f aca="false">IFERROR(IF(CPI!B253="",NA(),CPI!B253),NA())</f>
        <v>#N/A</v>
      </c>
      <c r="C259" s="18" t="n">
        <f aca="false">IFERROR(YEAR(A259),0)</f>
        <v>0</v>
      </c>
      <c r="D259" s="19" t="e">
        <f aca="false">IFERROR(IF(CPI!C253="",NA(),IF(ISNUMBER(CPI!C253),CPI!C253,NA())),NA())</f>
        <v>#N/A</v>
      </c>
      <c r="E259" s="19" t="e">
        <f aca="false">IFERROR(IF(CPI!D253="",NA(),IF(ISNUMBER(CPI!D253),CPI!D253,NA())),NA())</f>
        <v>#N/A</v>
      </c>
      <c r="F259" s="20" t="e">
        <f aca="false">IFERROR(D259/D247-1,NA())</f>
        <v>#N/A</v>
      </c>
      <c r="G259" s="20" t="e">
        <f aca="false">IFERROR(D259/D258-1,NA())</f>
        <v>#N/A</v>
      </c>
      <c r="H259" s="21" t="e">
        <f aca="false">IF(COUNT(D257:D259)=3,AVERAGE(D257:D259),NA())</f>
        <v>#N/A</v>
      </c>
      <c r="I259" s="20" t="e">
        <f aca="false">IFERROR(IF(AND(COUNT(D257:D259)=3,COUNT(D245:D247)=3),AVERAGE(D257:D259)/AVERAGE(D245:D247)-1,NA()),NA())</f>
        <v>#N/A</v>
      </c>
    </row>
    <row r="260" customFormat="false" ht="15" hidden="false" customHeight="false" outlineLevel="0" collapsed="false">
      <c r="A260" s="16" t="e">
        <f aca="false">IFERROR(IF(LEN(TRIM(TEXT(CPI!B254,"@")))&lt;3,NA(),DATE(2000+VALUE(LEFT(CPI!B254,LEN(CPI!B254)-2)),VALUE(RIGHT(CPI!B254,2)),1)),NA())</f>
        <v>#N/A</v>
      </c>
      <c r="B260" s="17" t="e">
        <f aca="false">IFERROR(IF(CPI!B254="",NA(),CPI!B254),NA())</f>
        <v>#N/A</v>
      </c>
      <c r="C260" s="18" t="n">
        <f aca="false">IFERROR(YEAR(A260),0)</f>
        <v>0</v>
      </c>
      <c r="D260" s="19" t="e">
        <f aca="false">IFERROR(IF(CPI!C254="",NA(),IF(ISNUMBER(CPI!C254),CPI!C254,NA())),NA())</f>
        <v>#N/A</v>
      </c>
      <c r="E260" s="19" t="e">
        <f aca="false">IFERROR(IF(CPI!D254="",NA(),IF(ISNUMBER(CPI!D254),CPI!D254,NA())),NA())</f>
        <v>#N/A</v>
      </c>
      <c r="F260" s="20" t="e">
        <f aca="false">IFERROR(D260/D248-1,NA())</f>
        <v>#N/A</v>
      </c>
      <c r="G260" s="20" t="e">
        <f aca="false">IFERROR(D260/D259-1,NA())</f>
        <v>#N/A</v>
      </c>
      <c r="H260" s="21" t="e">
        <f aca="false">IF(COUNT(D258:D260)=3,AVERAGE(D258:D260),NA())</f>
        <v>#N/A</v>
      </c>
      <c r="I260" s="20" t="e">
        <f aca="false">IFERROR(IF(AND(COUNT(D258:D260)=3,COUNT(D246:D248)=3),AVERAGE(D258:D260)/AVERAGE(D246:D248)-1,NA()),NA())</f>
        <v>#N/A</v>
      </c>
    </row>
    <row r="261" customFormat="false" ht="15" hidden="false" customHeight="false" outlineLevel="0" collapsed="false">
      <c r="A261" s="16" t="e">
        <f aca="false">IFERROR(IF(LEN(TRIM(TEXT(CPI!B255,"@")))&lt;3,NA(),DATE(2000+VALUE(LEFT(CPI!B255,LEN(CPI!B255)-2)),VALUE(RIGHT(CPI!B255,2)),1)),NA())</f>
        <v>#N/A</v>
      </c>
      <c r="B261" s="17" t="e">
        <f aca="false">IFERROR(IF(CPI!B255="",NA(),CPI!B255),NA())</f>
        <v>#N/A</v>
      </c>
      <c r="C261" s="18" t="n">
        <f aca="false">IFERROR(YEAR(A261),0)</f>
        <v>0</v>
      </c>
      <c r="D261" s="19" t="e">
        <f aca="false">IFERROR(IF(CPI!C255="",NA(),IF(ISNUMBER(CPI!C255),CPI!C255,NA())),NA())</f>
        <v>#N/A</v>
      </c>
      <c r="E261" s="19" t="e">
        <f aca="false">IFERROR(IF(CPI!D255="",NA(),IF(ISNUMBER(CPI!D255),CPI!D255,NA())),NA())</f>
        <v>#N/A</v>
      </c>
      <c r="F261" s="20" t="e">
        <f aca="false">IFERROR(D261/D249-1,NA())</f>
        <v>#N/A</v>
      </c>
      <c r="G261" s="20" t="e">
        <f aca="false">IFERROR(D261/D260-1,NA())</f>
        <v>#N/A</v>
      </c>
      <c r="H261" s="21" t="e">
        <f aca="false">IF(COUNT(D259:D261)=3,AVERAGE(D259:D261),NA())</f>
        <v>#N/A</v>
      </c>
      <c r="I261" s="20" t="e">
        <f aca="false">IFERROR(IF(AND(COUNT(D259:D261)=3,COUNT(D247:D249)=3),AVERAGE(D259:D261)/AVERAGE(D247:D249)-1,NA()),NA())</f>
        <v>#N/A</v>
      </c>
    </row>
    <row r="262" customFormat="false" ht="15" hidden="false" customHeight="false" outlineLevel="0" collapsed="false">
      <c r="A262" s="16" t="e">
        <f aca="false">IFERROR(IF(LEN(TRIM(TEXT(CPI!B256,"@")))&lt;3,NA(),DATE(2000+VALUE(LEFT(CPI!B256,LEN(CPI!B256)-2)),VALUE(RIGHT(CPI!B256,2)),1)),NA())</f>
        <v>#N/A</v>
      </c>
      <c r="B262" s="17" t="e">
        <f aca="false">IFERROR(IF(CPI!B256="",NA(),CPI!B256),NA())</f>
        <v>#N/A</v>
      </c>
      <c r="C262" s="18" t="n">
        <f aca="false">IFERROR(YEAR(A262),0)</f>
        <v>0</v>
      </c>
      <c r="D262" s="19" t="e">
        <f aca="false">IFERROR(IF(CPI!C256="",NA(),IF(ISNUMBER(CPI!C256),CPI!C256,NA())),NA())</f>
        <v>#N/A</v>
      </c>
      <c r="E262" s="19" t="e">
        <f aca="false">IFERROR(IF(CPI!D256="",NA(),IF(ISNUMBER(CPI!D256),CPI!D256,NA())),NA())</f>
        <v>#N/A</v>
      </c>
      <c r="F262" s="20" t="e">
        <f aca="false">IFERROR(D262/D250-1,NA())</f>
        <v>#N/A</v>
      </c>
      <c r="G262" s="20" t="e">
        <f aca="false">IFERROR(D262/D261-1,NA())</f>
        <v>#N/A</v>
      </c>
      <c r="H262" s="21" t="e">
        <f aca="false">IF(COUNT(D260:D262)=3,AVERAGE(D260:D262),NA())</f>
        <v>#N/A</v>
      </c>
      <c r="I262" s="20" t="e">
        <f aca="false">IFERROR(IF(AND(COUNT(D260:D262)=3,COUNT(D248:D250)=3),AVERAGE(D260:D262)/AVERAGE(D248:D250)-1,NA()),NA())</f>
        <v>#N/A</v>
      </c>
    </row>
    <row r="263" customFormat="false" ht="15" hidden="false" customHeight="false" outlineLevel="0" collapsed="false">
      <c r="A263" s="16" t="e">
        <f aca="false">IFERROR(IF(LEN(TRIM(TEXT(CPI!B257,"@")))&lt;3,NA(),DATE(2000+VALUE(LEFT(CPI!B257,LEN(CPI!B257)-2)),VALUE(RIGHT(CPI!B257,2)),1)),NA())</f>
        <v>#N/A</v>
      </c>
      <c r="B263" s="17" t="e">
        <f aca="false">IFERROR(IF(CPI!B257="",NA(),CPI!B257),NA())</f>
        <v>#N/A</v>
      </c>
      <c r="C263" s="18" t="n">
        <f aca="false">IFERROR(YEAR(A263),0)</f>
        <v>0</v>
      </c>
      <c r="D263" s="19" t="e">
        <f aca="false">IFERROR(IF(CPI!C257="",NA(),IF(ISNUMBER(CPI!C257),CPI!C257,NA())),NA())</f>
        <v>#N/A</v>
      </c>
      <c r="E263" s="19" t="e">
        <f aca="false">IFERROR(IF(CPI!D257="",NA(),IF(ISNUMBER(CPI!D257),CPI!D257,NA())),NA())</f>
        <v>#N/A</v>
      </c>
      <c r="F263" s="20" t="e">
        <f aca="false">IFERROR(D263/D251-1,NA())</f>
        <v>#N/A</v>
      </c>
      <c r="G263" s="20" t="e">
        <f aca="false">IFERROR(D263/D262-1,NA())</f>
        <v>#N/A</v>
      </c>
      <c r="H263" s="21" t="e">
        <f aca="false">IF(COUNT(D261:D263)=3,AVERAGE(D261:D263),NA())</f>
        <v>#N/A</v>
      </c>
      <c r="I263" s="20" t="e">
        <f aca="false">IFERROR(IF(AND(COUNT(D261:D263)=3,COUNT(D249:D251)=3),AVERAGE(D261:D263)/AVERAGE(D249:D251)-1,NA()),NA())</f>
        <v>#N/A</v>
      </c>
    </row>
    <row r="264" customFormat="false" ht="15" hidden="false" customHeight="false" outlineLevel="0" collapsed="false">
      <c r="A264" s="16" t="e">
        <f aca="false">IFERROR(IF(LEN(TRIM(TEXT(CPI!B258,"@")))&lt;3,NA(),DATE(2000+VALUE(LEFT(CPI!B258,LEN(CPI!B258)-2)),VALUE(RIGHT(CPI!B258,2)),1)),NA())</f>
        <v>#N/A</v>
      </c>
      <c r="B264" s="17" t="e">
        <f aca="false">IFERROR(IF(CPI!B258="",NA(),CPI!B258),NA())</f>
        <v>#N/A</v>
      </c>
      <c r="C264" s="18" t="n">
        <f aca="false">IFERROR(YEAR(A264),0)</f>
        <v>0</v>
      </c>
      <c r="D264" s="19" t="e">
        <f aca="false">IFERROR(IF(CPI!C258="",NA(),IF(ISNUMBER(CPI!C258),CPI!C258,NA())),NA())</f>
        <v>#N/A</v>
      </c>
      <c r="E264" s="19" t="e">
        <f aca="false">IFERROR(IF(CPI!D258="",NA(),IF(ISNUMBER(CPI!D258),CPI!D258,NA())),NA())</f>
        <v>#N/A</v>
      </c>
      <c r="F264" s="20" t="e">
        <f aca="false">IFERROR(D264/D252-1,NA())</f>
        <v>#N/A</v>
      </c>
      <c r="G264" s="20" t="e">
        <f aca="false">IFERROR(D264/D263-1,NA())</f>
        <v>#N/A</v>
      </c>
      <c r="H264" s="21" t="e">
        <f aca="false">IF(COUNT(D262:D264)=3,AVERAGE(D262:D264),NA())</f>
        <v>#N/A</v>
      </c>
      <c r="I264" s="20" t="e">
        <f aca="false">IFERROR(IF(AND(COUNT(D262:D264)=3,COUNT(D250:D252)=3),AVERAGE(D262:D264)/AVERAGE(D250:D252)-1,NA()),NA())</f>
        <v>#N/A</v>
      </c>
    </row>
    <row r="265" customFormat="false" ht="15" hidden="false" customHeight="false" outlineLevel="0" collapsed="false">
      <c r="A265" s="16" t="e">
        <f aca="false">IFERROR(IF(LEN(TRIM(TEXT(CPI!B259,"@")))&lt;3,NA(),DATE(2000+VALUE(LEFT(CPI!B259,LEN(CPI!B259)-2)),VALUE(RIGHT(CPI!B259,2)),1)),NA())</f>
        <v>#N/A</v>
      </c>
      <c r="B265" s="17" t="e">
        <f aca="false">IFERROR(IF(CPI!B259="",NA(),CPI!B259),NA())</f>
        <v>#N/A</v>
      </c>
      <c r="C265" s="18" t="n">
        <f aca="false">IFERROR(YEAR(A265),0)</f>
        <v>0</v>
      </c>
      <c r="D265" s="19" t="e">
        <f aca="false">IFERROR(IF(CPI!C259="",NA(),IF(ISNUMBER(CPI!C259),CPI!C259,NA())),NA())</f>
        <v>#N/A</v>
      </c>
      <c r="E265" s="19" t="e">
        <f aca="false">IFERROR(IF(CPI!D259="",NA(),IF(ISNUMBER(CPI!D259),CPI!D259,NA())),NA())</f>
        <v>#N/A</v>
      </c>
      <c r="F265" s="20" t="e">
        <f aca="false">IFERROR(D265/D253-1,NA())</f>
        <v>#N/A</v>
      </c>
      <c r="G265" s="20" t="e">
        <f aca="false">IFERROR(D265/D264-1,NA())</f>
        <v>#N/A</v>
      </c>
      <c r="H265" s="21" t="e">
        <f aca="false">IF(COUNT(D263:D265)=3,AVERAGE(D263:D265),NA())</f>
        <v>#N/A</v>
      </c>
      <c r="I265" s="20" t="e">
        <f aca="false">IFERROR(IF(AND(COUNT(D263:D265)=3,COUNT(D251:D253)=3),AVERAGE(D263:D265)/AVERAGE(D251:D253)-1,NA()),NA())</f>
        <v>#N/A</v>
      </c>
    </row>
    <row r="266" customFormat="false" ht="15" hidden="false" customHeight="false" outlineLevel="0" collapsed="false">
      <c r="A266" s="16" t="e">
        <f aca="false">IFERROR(IF(LEN(TRIM(TEXT(CPI!B260,"@")))&lt;3,NA(),DATE(2000+VALUE(LEFT(CPI!B260,LEN(CPI!B260)-2)),VALUE(RIGHT(CPI!B260,2)),1)),NA())</f>
        <v>#N/A</v>
      </c>
      <c r="B266" s="17" t="e">
        <f aca="false">IFERROR(IF(CPI!B260="",NA(),CPI!B260),NA())</f>
        <v>#N/A</v>
      </c>
      <c r="C266" s="18" t="n">
        <f aca="false">IFERROR(YEAR(A266),0)</f>
        <v>0</v>
      </c>
      <c r="D266" s="19" t="e">
        <f aca="false">IFERROR(IF(CPI!C260="",NA(),IF(ISNUMBER(CPI!C260),CPI!C260,NA())),NA())</f>
        <v>#N/A</v>
      </c>
      <c r="E266" s="19" t="e">
        <f aca="false">IFERROR(IF(CPI!D260="",NA(),IF(ISNUMBER(CPI!D260),CPI!D260,NA())),NA())</f>
        <v>#N/A</v>
      </c>
      <c r="F266" s="20" t="e">
        <f aca="false">IFERROR(D266/D254-1,NA())</f>
        <v>#N/A</v>
      </c>
      <c r="G266" s="20" t="e">
        <f aca="false">IFERROR(D266/D265-1,NA())</f>
        <v>#N/A</v>
      </c>
      <c r="H266" s="21" t="e">
        <f aca="false">IF(COUNT(D264:D266)=3,AVERAGE(D264:D266),NA())</f>
        <v>#N/A</v>
      </c>
      <c r="I266" s="20" t="e">
        <f aca="false">IFERROR(IF(AND(COUNT(D264:D266)=3,COUNT(D252:D254)=3),AVERAGE(D264:D266)/AVERAGE(D252:D254)-1,NA()),NA())</f>
        <v>#N/A</v>
      </c>
    </row>
  </sheetData>
  <dataValidations count="1">
    <dataValidation allowBlank="false" errorStyle="stop" operator="between" showDropDown="false" showErrorMessage="false" showInputMessage="false" sqref="B5" type="list">
      <formula1>"Sum,Average,End of Period"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5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29" min="4" style="0" width="13"/>
  </cols>
  <sheetData>
    <row r="1" customFormat="false" ht="17.3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4" t="s">
        <v>362</v>
      </c>
    </row>
    <row r="5" customFormat="false" ht="15" hidden="false" customHeight="false" outlineLevel="0" collapsed="false">
      <c r="A5" s="0" t="s">
        <v>363</v>
      </c>
      <c r="B5" s="26" t="s">
        <v>364</v>
      </c>
    </row>
    <row r="6" customFormat="false" ht="15" hidden="false" customHeight="false" outlineLevel="0" collapsed="false">
      <c r="A6" s="0" t="s">
        <v>365</v>
      </c>
      <c r="B6" s="26" t="s">
        <v>366</v>
      </c>
    </row>
    <row r="7" customFormat="false" ht="15" hidden="false" customHeight="false" outlineLevel="0" collapsed="false">
      <c r="A7" s="0" t="s">
        <v>367</v>
      </c>
      <c r="B7" s="26" t="s">
        <v>368</v>
      </c>
    </row>
    <row r="9" customFormat="false" ht="15" hidden="false" customHeight="false" outlineLevel="0" collapsed="false">
      <c r="A9" s="4" t="s">
        <v>312</v>
      </c>
    </row>
    <row r="10" customFormat="false" ht="15" hidden="false" customHeight="false" outlineLevel="0" collapsed="false">
      <c r="A10" s="0" t="s">
        <v>349</v>
      </c>
      <c r="B10" s="25" t="s">
        <v>369</v>
      </c>
      <c r="D10" s="2" t="s">
        <v>351</v>
      </c>
    </row>
    <row r="11" customFormat="false" ht="15" hidden="false" customHeight="false" outlineLevel="0" collapsed="false">
      <c r="A11" s="0" t="s">
        <v>370</v>
      </c>
      <c r="B11" s="14" t="n">
        <v>0.05</v>
      </c>
    </row>
    <row r="12" customFormat="false" ht="15" hidden="false" customHeight="false" outlineLevel="0" collapsed="false">
      <c r="A12" s="0" t="s">
        <v>371</v>
      </c>
      <c r="B12" s="14" t="n">
        <v>0.04</v>
      </c>
    </row>
    <row r="14" customFormat="false" ht="15" hidden="false" customHeight="false" outlineLevel="0" collapsed="false">
      <c r="A14" s="4" t="s">
        <v>372</v>
      </c>
      <c r="I14" s="4" t="s">
        <v>326</v>
      </c>
      <c r="N14" s="4" t="s">
        <v>373</v>
      </c>
    </row>
    <row r="15" customFormat="false" ht="31.5" hidden="false" customHeight="true" outlineLevel="0" collapsed="false">
      <c r="A15" s="15" t="s">
        <v>40</v>
      </c>
      <c r="B15" s="15" t="s">
        <v>328</v>
      </c>
      <c r="C15" s="15" t="s">
        <v>329</v>
      </c>
      <c r="D15" s="15" t="s">
        <v>374</v>
      </c>
      <c r="E15" s="15" t="s">
        <v>375</v>
      </c>
      <c r="F15" s="15" t="s">
        <v>376</v>
      </c>
      <c r="G15" s="15" t="s">
        <v>377</v>
      </c>
      <c r="I15" s="15" t="s">
        <v>329</v>
      </c>
      <c r="J15" s="15" t="s">
        <v>374</v>
      </c>
      <c r="K15" s="15" t="s">
        <v>376</v>
      </c>
      <c r="N15" s="15" t="s">
        <v>329</v>
      </c>
      <c r="O15" s="15" t="s">
        <v>378</v>
      </c>
      <c r="P15" s="15" t="s">
        <v>376</v>
      </c>
    </row>
    <row r="16" customFormat="false" ht="15" hidden="false" customHeight="false" outlineLevel="0" collapsed="false">
      <c r="A16" s="27"/>
      <c r="B16" s="28" t="e">
        <f aca="false">IFERROR(IF(ISNUMBER(A16),TEXT(YEAR(A16)-2000,"00")&amp;CEILING(MONTH(A16)/3,1),NA()),NA())</f>
        <v>#N/A</v>
      </c>
      <c r="C16" s="18" t="n">
        <f aca="false">IFERROR(YEAR(A16),0)</f>
        <v>1899</v>
      </c>
      <c r="D16" s="29"/>
      <c r="E16" s="20" t="e">
        <f aca="false">NA()</f>
        <v>#N/A</v>
      </c>
      <c r="F16" s="20" t="e">
        <f aca="false">NA()</f>
        <v>#N/A</v>
      </c>
      <c r="G16" s="21" t="e">
        <f aca="false">NA()</f>
        <v>#N/A</v>
      </c>
      <c r="I16" s="22" t="n">
        <v>2000</v>
      </c>
      <c r="J16" s="23" t="e">
        <f aca="false">CHOOSE(MATCH($B$10,{"Sum","Average","End of Period"},0),IF(SUMPRODUCT(($C$16:$C$215=$I$16)*ISNUMBER($D$16:$D$215))=0,NA(),SUMPRODUCT(($C$16:$C$215=$I$16)*IFERROR($D$16:$D$215,0))),IF(SUMPRODUCT(($C$16:$C$215=$I$16)*ISNUMBER($D$16:$D$215))=0,NA(),SUMPRODUCT(($C$16:$C$215=$I$16)*IFERROR($D$16:$D$215,0))/SUMPRODUCT(($C$16:$C$215=$I$16)*ISNUMBER($D$16:$D$215))),IFERROR(LOOKUP(2,1/(($C$16:$C$215=$I$16)*ISNUMBER($D$16:$D$215)),$D$16:$D$215),NA()))</f>
        <v>#N/A</v>
      </c>
      <c r="K16" s="20" t="e">
        <f aca="false">NA()</f>
        <v>#N/A</v>
      </c>
      <c r="N16" s="30" t="e">
        <f aca="false">IFERROR(IFERROR(LOOKUP(2,1/ISNUMBER(J16:J50),I16:I50),NA())+1,NA())</f>
        <v>#N/A</v>
      </c>
      <c r="O16" s="23" t="e">
        <f aca="false">IFERROR((IFERROR(INDEX(J16:J50,MATCH(N16-1,I16:I50,0)),NA()))*(1+$B$11),NA())</f>
        <v>#N/A</v>
      </c>
      <c r="P16" s="31" t="n">
        <f aca="false">$B$11</f>
        <v>0.05</v>
      </c>
    </row>
    <row r="17" customFormat="false" ht="15" hidden="false" customHeight="false" outlineLevel="0" collapsed="false">
      <c r="A17" s="27"/>
      <c r="B17" s="28" t="e">
        <f aca="false">IFERROR(IF(ISNUMBER(A17),TEXT(YEAR(A17)-2000,"00")&amp;CEILING(MONTH(A17)/3,1),NA()),NA())</f>
        <v>#N/A</v>
      </c>
      <c r="C17" s="18" t="n">
        <f aca="false">IFERROR(YEAR(A17),0)</f>
        <v>1899</v>
      </c>
      <c r="D17" s="29"/>
      <c r="E17" s="20" t="e">
        <f aca="false">IFERROR(D17/D16-1,NA())</f>
        <v>#N/A</v>
      </c>
      <c r="F17" s="20" t="e">
        <f aca="false">NA()</f>
        <v>#N/A</v>
      </c>
      <c r="G17" s="21" t="e">
        <f aca="false">NA()</f>
        <v>#N/A</v>
      </c>
      <c r="I17" s="22" t="n">
        <v>2001</v>
      </c>
      <c r="J17" s="23" t="e">
        <f aca="false">CHOOSE(MATCH($B$10,{"Sum","Average","End of Period"},0),IF(SUMPRODUCT(($C$16:$C$215=$I$17)*ISNUMBER($D$16:$D$215))=0,NA(),SUMPRODUCT(($C$16:$C$215=$I$17)*IFERROR($D$16:$D$215,0))),IF(SUMPRODUCT(($C$16:$C$215=$I$17)*ISNUMBER($D$16:$D$215))=0,NA(),SUMPRODUCT(($C$16:$C$215=$I$17)*IFERROR($D$16:$D$215,0))/SUMPRODUCT(($C$16:$C$215=$I$17)*ISNUMBER($D$16:$D$215))),IFERROR(LOOKUP(2,1/(($C$16:$C$215=$I$17)*ISNUMBER($D$16:$D$215)),$D$16:$D$215),NA()))</f>
        <v>#N/A</v>
      </c>
      <c r="K17" s="20" t="e">
        <f aca="false">IFERROR(J17/J16-1,NA())</f>
        <v>#N/A</v>
      </c>
      <c r="N17" s="30" t="e">
        <f aca="false">N16+1</f>
        <v>#N/A</v>
      </c>
      <c r="O17" s="23" t="e">
        <f aca="false">IFERROR(O16*(1+$B$12),NA())</f>
        <v>#N/A</v>
      </c>
      <c r="P17" s="31" t="n">
        <f aca="false">$B$12</f>
        <v>0.04</v>
      </c>
    </row>
    <row r="18" customFormat="false" ht="15" hidden="false" customHeight="false" outlineLevel="0" collapsed="false">
      <c r="A18" s="27"/>
      <c r="B18" s="28" t="e">
        <f aca="false">IFERROR(IF(ISNUMBER(A18),TEXT(YEAR(A18)-2000,"00")&amp;CEILING(MONTH(A18)/3,1),NA()),NA())</f>
        <v>#N/A</v>
      </c>
      <c r="C18" s="18" t="n">
        <f aca="false">IFERROR(YEAR(A18),0)</f>
        <v>1899</v>
      </c>
      <c r="D18" s="29"/>
      <c r="E18" s="20" t="e">
        <f aca="false">IFERROR(D18/D17-1,NA())</f>
        <v>#N/A</v>
      </c>
      <c r="F18" s="20" t="e">
        <f aca="false">NA()</f>
        <v>#N/A</v>
      </c>
      <c r="G18" s="21" t="e">
        <f aca="false">NA()</f>
        <v>#N/A</v>
      </c>
      <c r="I18" s="22" t="n">
        <v>2002</v>
      </c>
      <c r="J18" s="23" t="e">
        <f aca="false">CHOOSE(MATCH($B$10,{"Sum","Average","End of Period"},0),IF(SUMPRODUCT(($C$16:$C$215=$I$18)*ISNUMBER($D$16:$D$215))=0,NA(),SUMPRODUCT(($C$16:$C$215=$I$18)*IFERROR($D$16:$D$215,0))),IF(SUMPRODUCT(($C$16:$C$215=$I$18)*ISNUMBER($D$16:$D$215))=0,NA(),SUMPRODUCT(($C$16:$C$215=$I$18)*IFERROR($D$16:$D$215,0))/SUMPRODUCT(($C$16:$C$215=$I$18)*ISNUMBER($D$16:$D$215))),IFERROR(LOOKUP(2,1/(($C$16:$C$215=$I$18)*ISNUMBER($D$16:$D$215)),$D$16:$D$215),NA()))</f>
        <v>#N/A</v>
      </c>
      <c r="K18" s="20" t="e">
        <f aca="false">IFERROR(J18/J17-1,NA())</f>
        <v>#N/A</v>
      </c>
    </row>
    <row r="19" customFormat="false" ht="15" hidden="false" customHeight="false" outlineLevel="0" collapsed="false">
      <c r="A19" s="27"/>
      <c r="B19" s="28" t="e">
        <f aca="false">IFERROR(IF(ISNUMBER(A19),TEXT(YEAR(A19)-2000,"00")&amp;CEILING(MONTH(A19)/3,1),NA()),NA())</f>
        <v>#N/A</v>
      </c>
      <c r="C19" s="18" t="n">
        <f aca="false">IFERROR(YEAR(A19),0)</f>
        <v>1899</v>
      </c>
      <c r="D19" s="29"/>
      <c r="E19" s="20" t="e">
        <f aca="false">IFERROR(D19/D18-1,NA())</f>
        <v>#N/A</v>
      </c>
      <c r="F19" s="20" t="e">
        <f aca="false">NA()</f>
        <v>#N/A</v>
      </c>
      <c r="G19" s="21" t="e">
        <f aca="false">IF(COUNT(D16:D19)=4,SUM(D16:D19),NA())</f>
        <v>#N/A</v>
      </c>
      <c r="I19" s="22" t="n">
        <v>2003</v>
      </c>
      <c r="J19" s="23" t="e">
        <f aca="false">CHOOSE(MATCH($B$10,{"Sum","Average","End of Period"},0),IF(SUMPRODUCT(($C$16:$C$215=$I$19)*ISNUMBER($D$16:$D$215))=0,NA(),SUMPRODUCT(($C$16:$C$215=$I$19)*IFERROR($D$16:$D$215,0))),IF(SUMPRODUCT(($C$16:$C$215=$I$19)*ISNUMBER($D$16:$D$215))=0,NA(),SUMPRODUCT(($C$16:$C$215=$I$19)*IFERROR($D$16:$D$215,0))/SUMPRODUCT(($C$16:$C$215=$I$19)*ISNUMBER($D$16:$D$215))),IFERROR(LOOKUP(2,1/(($C$16:$C$215=$I$19)*ISNUMBER($D$16:$D$215)),$D$16:$D$215),NA()))</f>
        <v>#N/A</v>
      </c>
      <c r="K19" s="20" t="e">
        <f aca="false">IFERROR(J19/J18-1,NA())</f>
        <v>#N/A</v>
      </c>
    </row>
    <row r="20" customFormat="false" ht="15" hidden="false" customHeight="false" outlineLevel="0" collapsed="false">
      <c r="A20" s="27"/>
      <c r="B20" s="28" t="e">
        <f aca="false">IFERROR(IF(ISNUMBER(A20),TEXT(YEAR(A20)-2000,"00")&amp;CEILING(MONTH(A20)/3,1),NA()),NA())</f>
        <v>#N/A</v>
      </c>
      <c r="C20" s="18" t="n">
        <f aca="false">IFERROR(YEAR(A20),0)</f>
        <v>1899</v>
      </c>
      <c r="D20" s="29"/>
      <c r="E20" s="20" t="e">
        <f aca="false">IFERROR(D20/D19-1,NA())</f>
        <v>#N/A</v>
      </c>
      <c r="F20" s="20" t="e">
        <f aca="false">IFERROR(D20/D16-1,NA())</f>
        <v>#N/A</v>
      </c>
      <c r="G20" s="21" t="e">
        <f aca="false">IF(COUNT(D17:D20)=4,SUM(D17:D20),NA())</f>
        <v>#N/A</v>
      </c>
      <c r="I20" s="22" t="n">
        <v>2004</v>
      </c>
      <c r="J20" s="23" t="e">
        <f aca="false">CHOOSE(MATCH($B$10,{"Sum","Average","End of Period"},0),IF(SUMPRODUCT(($C$16:$C$215=$I$20)*ISNUMBER($D$16:$D$215))=0,NA(),SUMPRODUCT(($C$16:$C$215=$I$20)*IFERROR($D$16:$D$215,0))),IF(SUMPRODUCT(($C$16:$C$215=$I$20)*ISNUMBER($D$16:$D$215))=0,NA(),SUMPRODUCT(($C$16:$C$215=$I$20)*IFERROR($D$16:$D$215,0))/SUMPRODUCT(($C$16:$C$215=$I$20)*ISNUMBER($D$16:$D$215))),IFERROR(LOOKUP(2,1/(($C$16:$C$215=$I$20)*ISNUMBER($D$16:$D$215)),$D$16:$D$215),NA()))</f>
        <v>#N/A</v>
      </c>
      <c r="K20" s="20" t="e">
        <f aca="false">IFERROR(J20/J19-1,NA())</f>
        <v>#N/A</v>
      </c>
    </row>
    <row r="21" customFormat="false" ht="15" hidden="false" customHeight="false" outlineLevel="0" collapsed="false">
      <c r="A21" s="27"/>
      <c r="B21" s="28" t="e">
        <f aca="false">IFERROR(IF(ISNUMBER(A21),TEXT(YEAR(A21)-2000,"00")&amp;CEILING(MONTH(A21)/3,1),NA()),NA())</f>
        <v>#N/A</v>
      </c>
      <c r="C21" s="18" t="n">
        <f aca="false">IFERROR(YEAR(A21),0)</f>
        <v>1899</v>
      </c>
      <c r="D21" s="29"/>
      <c r="E21" s="20" t="e">
        <f aca="false">IFERROR(D21/D20-1,NA())</f>
        <v>#N/A</v>
      </c>
      <c r="F21" s="20" t="e">
        <f aca="false">IFERROR(D21/D17-1,NA())</f>
        <v>#N/A</v>
      </c>
      <c r="G21" s="21" t="e">
        <f aca="false">IF(COUNT(D18:D21)=4,SUM(D18:D21),NA())</f>
        <v>#N/A</v>
      </c>
      <c r="I21" s="22" t="n">
        <v>2005</v>
      </c>
      <c r="J21" s="23" t="e">
        <f aca="false">CHOOSE(MATCH($B$10,{"Sum","Average","End of Period"},0),IF(SUMPRODUCT(($C$16:$C$215=$I$21)*ISNUMBER($D$16:$D$215))=0,NA(),SUMPRODUCT(($C$16:$C$215=$I$21)*IFERROR($D$16:$D$215,0))),IF(SUMPRODUCT(($C$16:$C$215=$I$21)*ISNUMBER($D$16:$D$215))=0,NA(),SUMPRODUCT(($C$16:$C$215=$I$21)*IFERROR($D$16:$D$215,0))/SUMPRODUCT(($C$16:$C$215=$I$21)*ISNUMBER($D$16:$D$215))),IFERROR(LOOKUP(2,1/(($C$16:$C$215=$I$21)*ISNUMBER($D$16:$D$215)),$D$16:$D$215),NA()))</f>
        <v>#N/A</v>
      </c>
      <c r="K21" s="20" t="e">
        <f aca="false">IFERROR(J21/J20-1,NA())</f>
        <v>#N/A</v>
      </c>
    </row>
    <row r="22" customFormat="false" ht="15" hidden="false" customHeight="false" outlineLevel="0" collapsed="false">
      <c r="A22" s="27"/>
      <c r="B22" s="28" t="e">
        <f aca="false">IFERROR(IF(ISNUMBER(A22),TEXT(YEAR(A22)-2000,"00")&amp;CEILING(MONTH(A22)/3,1),NA()),NA())</f>
        <v>#N/A</v>
      </c>
      <c r="C22" s="18" t="n">
        <f aca="false">IFERROR(YEAR(A22),0)</f>
        <v>1899</v>
      </c>
      <c r="D22" s="29"/>
      <c r="E22" s="20" t="e">
        <f aca="false">IFERROR(D22/D21-1,NA())</f>
        <v>#N/A</v>
      </c>
      <c r="F22" s="20" t="e">
        <f aca="false">IFERROR(D22/D18-1,NA())</f>
        <v>#N/A</v>
      </c>
      <c r="G22" s="21" t="e">
        <f aca="false">IF(COUNT(D19:D22)=4,SUM(D19:D22),NA())</f>
        <v>#N/A</v>
      </c>
      <c r="I22" s="22" t="n">
        <v>2006</v>
      </c>
      <c r="J22" s="23" t="e">
        <f aca="false">CHOOSE(MATCH($B$10,{"Sum","Average","End of Period"},0),IF(SUMPRODUCT(($C$16:$C$215=$I$22)*ISNUMBER($D$16:$D$215))=0,NA(),SUMPRODUCT(($C$16:$C$215=$I$22)*IFERROR($D$16:$D$215,0))),IF(SUMPRODUCT(($C$16:$C$215=$I$22)*ISNUMBER($D$16:$D$215))=0,NA(),SUMPRODUCT(($C$16:$C$215=$I$22)*IFERROR($D$16:$D$215,0))/SUMPRODUCT(($C$16:$C$215=$I$22)*ISNUMBER($D$16:$D$215))),IFERROR(LOOKUP(2,1/(($C$16:$C$215=$I$22)*ISNUMBER($D$16:$D$215)),$D$16:$D$215),NA()))</f>
        <v>#N/A</v>
      </c>
      <c r="K22" s="20" t="e">
        <f aca="false">IFERROR(J22/J21-1,NA())</f>
        <v>#N/A</v>
      </c>
    </row>
    <row r="23" customFormat="false" ht="15" hidden="false" customHeight="false" outlineLevel="0" collapsed="false">
      <c r="A23" s="27"/>
      <c r="B23" s="28" t="e">
        <f aca="false">IFERROR(IF(ISNUMBER(A23),TEXT(YEAR(A23)-2000,"00")&amp;CEILING(MONTH(A23)/3,1),NA()),NA())</f>
        <v>#N/A</v>
      </c>
      <c r="C23" s="18" t="n">
        <f aca="false">IFERROR(YEAR(A23),0)</f>
        <v>1899</v>
      </c>
      <c r="D23" s="29"/>
      <c r="E23" s="20" t="e">
        <f aca="false">IFERROR(D23/D22-1,NA())</f>
        <v>#N/A</v>
      </c>
      <c r="F23" s="20" t="e">
        <f aca="false">IFERROR(D23/D19-1,NA())</f>
        <v>#N/A</v>
      </c>
      <c r="G23" s="21" t="e">
        <f aca="false">IF(COUNT(D20:D23)=4,SUM(D20:D23),NA())</f>
        <v>#N/A</v>
      </c>
      <c r="I23" s="22" t="n">
        <v>2007</v>
      </c>
      <c r="J23" s="23" t="e">
        <f aca="false">CHOOSE(MATCH($B$10,{"Sum","Average","End of Period"},0),IF(SUMPRODUCT(($C$16:$C$215=$I$23)*ISNUMBER($D$16:$D$215))=0,NA(),SUMPRODUCT(($C$16:$C$215=$I$23)*IFERROR($D$16:$D$215,0))),IF(SUMPRODUCT(($C$16:$C$215=$I$23)*ISNUMBER($D$16:$D$215))=0,NA(),SUMPRODUCT(($C$16:$C$215=$I$23)*IFERROR($D$16:$D$215,0))/SUMPRODUCT(($C$16:$C$215=$I$23)*ISNUMBER($D$16:$D$215))),IFERROR(LOOKUP(2,1/(($C$16:$C$215=$I$23)*ISNUMBER($D$16:$D$215)),$D$16:$D$215),NA()))</f>
        <v>#N/A</v>
      </c>
      <c r="K23" s="20" t="e">
        <f aca="false">IFERROR(J23/J22-1,NA())</f>
        <v>#N/A</v>
      </c>
    </row>
    <row r="24" customFormat="false" ht="15" hidden="false" customHeight="false" outlineLevel="0" collapsed="false">
      <c r="A24" s="27"/>
      <c r="B24" s="28" t="e">
        <f aca="false">IFERROR(IF(ISNUMBER(A24),TEXT(YEAR(A24)-2000,"00")&amp;CEILING(MONTH(A24)/3,1),NA()),NA())</f>
        <v>#N/A</v>
      </c>
      <c r="C24" s="18" t="n">
        <f aca="false">IFERROR(YEAR(A24),0)</f>
        <v>1899</v>
      </c>
      <c r="D24" s="29"/>
      <c r="E24" s="20" t="e">
        <f aca="false">IFERROR(D24/D23-1,NA())</f>
        <v>#N/A</v>
      </c>
      <c r="F24" s="20" t="e">
        <f aca="false">IFERROR(D24/D20-1,NA())</f>
        <v>#N/A</v>
      </c>
      <c r="G24" s="21" t="e">
        <f aca="false">IF(COUNT(D21:D24)=4,SUM(D21:D24),NA())</f>
        <v>#N/A</v>
      </c>
      <c r="I24" s="22" t="n">
        <v>2008</v>
      </c>
      <c r="J24" s="23" t="e">
        <f aca="false">CHOOSE(MATCH($B$10,{"Sum","Average","End of Period"},0),IF(SUMPRODUCT(($C$16:$C$215=$I$24)*ISNUMBER($D$16:$D$215))=0,NA(),SUMPRODUCT(($C$16:$C$215=$I$24)*IFERROR($D$16:$D$215,0))),IF(SUMPRODUCT(($C$16:$C$215=$I$24)*ISNUMBER($D$16:$D$215))=0,NA(),SUMPRODUCT(($C$16:$C$215=$I$24)*IFERROR($D$16:$D$215,0))/SUMPRODUCT(($C$16:$C$215=$I$24)*ISNUMBER($D$16:$D$215))),IFERROR(LOOKUP(2,1/(($C$16:$C$215=$I$24)*ISNUMBER($D$16:$D$215)),$D$16:$D$215),NA()))</f>
        <v>#N/A</v>
      </c>
      <c r="K24" s="20" t="e">
        <f aca="false">IFERROR(J24/J23-1,NA())</f>
        <v>#N/A</v>
      </c>
    </row>
    <row r="25" customFormat="false" ht="15" hidden="false" customHeight="false" outlineLevel="0" collapsed="false">
      <c r="A25" s="27"/>
      <c r="B25" s="28" t="e">
        <f aca="false">IFERROR(IF(ISNUMBER(A25),TEXT(YEAR(A25)-2000,"00")&amp;CEILING(MONTH(A25)/3,1),NA()),NA())</f>
        <v>#N/A</v>
      </c>
      <c r="C25" s="18" t="n">
        <f aca="false">IFERROR(YEAR(A25),0)</f>
        <v>1899</v>
      </c>
      <c r="D25" s="29"/>
      <c r="E25" s="20" t="e">
        <f aca="false">IFERROR(D25/D24-1,NA())</f>
        <v>#N/A</v>
      </c>
      <c r="F25" s="20" t="e">
        <f aca="false">IFERROR(D25/D21-1,NA())</f>
        <v>#N/A</v>
      </c>
      <c r="G25" s="21" t="e">
        <f aca="false">IF(COUNT(D22:D25)=4,SUM(D22:D25),NA())</f>
        <v>#N/A</v>
      </c>
      <c r="I25" s="22" t="n">
        <v>2009</v>
      </c>
      <c r="J25" s="23" t="e">
        <f aca="false">CHOOSE(MATCH($B$10,{"Sum","Average","End of Period"},0),IF(SUMPRODUCT(($C$16:$C$215=$I$25)*ISNUMBER($D$16:$D$215))=0,NA(),SUMPRODUCT(($C$16:$C$215=$I$25)*IFERROR($D$16:$D$215,0))),IF(SUMPRODUCT(($C$16:$C$215=$I$25)*ISNUMBER($D$16:$D$215))=0,NA(),SUMPRODUCT(($C$16:$C$215=$I$25)*IFERROR($D$16:$D$215,0))/SUMPRODUCT(($C$16:$C$215=$I$25)*ISNUMBER($D$16:$D$215))),IFERROR(LOOKUP(2,1/(($C$16:$C$215=$I$25)*ISNUMBER($D$16:$D$215)),$D$16:$D$215),NA()))</f>
        <v>#N/A</v>
      </c>
      <c r="K25" s="20" t="e">
        <f aca="false">IFERROR(J25/J24-1,NA())</f>
        <v>#N/A</v>
      </c>
    </row>
    <row r="26" customFormat="false" ht="15" hidden="false" customHeight="false" outlineLevel="0" collapsed="false">
      <c r="A26" s="27"/>
      <c r="B26" s="28" t="e">
        <f aca="false">IFERROR(IF(ISNUMBER(A26),TEXT(YEAR(A26)-2000,"00")&amp;CEILING(MONTH(A26)/3,1),NA()),NA())</f>
        <v>#N/A</v>
      </c>
      <c r="C26" s="18" t="n">
        <f aca="false">IFERROR(YEAR(A26),0)</f>
        <v>1899</v>
      </c>
      <c r="D26" s="29"/>
      <c r="E26" s="20" t="e">
        <f aca="false">IFERROR(D26/D25-1,NA())</f>
        <v>#N/A</v>
      </c>
      <c r="F26" s="20" t="e">
        <f aca="false">IFERROR(D26/D22-1,NA())</f>
        <v>#N/A</v>
      </c>
      <c r="G26" s="21" t="e">
        <f aca="false">IF(COUNT(D23:D26)=4,SUM(D23:D26),NA())</f>
        <v>#N/A</v>
      </c>
      <c r="I26" s="22" t="n">
        <v>2010</v>
      </c>
      <c r="J26" s="23" t="e">
        <f aca="false">CHOOSE(MATCH($B$10,{"Sum","Average","End of Period"},0),IF(SUMPRODUCT(($C$16:$C$215=$I$26)*ISNUMBER($D$16:$D$215))=0,NA(),SUMPRODUCT(($C$16:$C$215=$I$26)*IFERROR($D$16:$D$215,0))),IF(SUMPRODUCT(($C$16:$C$215=$I$26)*ISNUMBER($D$16:$D$215))=0,NA(),SUMPRODUCT(($C$16:$C$215=$I$26)*IFERROR($D$16:$D$215,0))/SUMPRODUCT(($C$16:$C$215=$I$26)*ISNUMBER($D$16:$D$215))),IFERROR(LOOKUP(2,1/(($C$16:$C$215=$I$26)*ISNUMBER($D$16:$D$215)),$D$16:$D$215),NA()))</f>
        <v>#N/A</v>
      </c>
      <c r="K26" s="20" t="e">
        <f aca="false">IFERROR(J26/J25-1,NA())</f>
        <v>#N/A</v>
      </c>
    </row>
    <row r="27" customFormat="false" ht="15" hidden="false" customHeight="false" outlineLevel="0" collapsed="false">
      <c r="A27" s="27"/>
      <c r="B27" s="28" t="e">
        <f aca="false">IFERROR(IF(ISNUMBER(A27),TEXT(YEAR(A27)-2000,"00")&amp;CEILING(MONTH(A27)/3,1),NA()),NA())</f>
        <v>#N/A</v>
      </c>
      <c r="C27" s="18" t="n">
        <f aca="false">IFERROR(YEAR(A27),0)</f>
        <v>1899</v>
      </c>
      <c r="D27" s="29"/>
      <c r="E27" s="20" t="e">
        <f aca="false">IFERROR(D27/D26-1,NA())</f>
        <v>#N/A</v>
      </c>
      <c r="F27" s="20" t="e">
        <f aca="false">IFERROR(D27/D23-1,NA())</f>
        <v>#N/A</v>
      </c>
      <c r="G27" s="21" t="e">
        <f aca="false">IF(COUNT(D24:D27)=4,SUM(D24:D27),NA())</f>
        <v>#N/A</v>
      </c>
      <c r="I27" s="22" t="n">
        <v>2011</v>
      </c>
      <c r="J27" s="23" t="e">
        <f aca="false">CHOOSE(MATCH($B$10,{"Sum","Average","End of Period"},0),IF(SUMPRODUCT(($C$16:$C$215=$I$27)*ISNUMBER($D$16:$D$215))=0,NA(),SUMPRODUCT(($C$16:$C$215=$I$27)*IFERROR($D$16:$D$215,0))),IF(SUMPRODUCT(($C$16:$C$215=$I$27)*ISNUMBER($D$16:$D$215))=0,NA(),SUMPRODUCT(($C$16:$C$215=$I$27)*IFERROR($D$16:$D$215,0))/SUMPRODUCT(($C$16:$C$215=$I$27)*ISNUMBER($D$16:$D$215))),IFERROR(LOOKUP(2,1/(($C$16:$C$215=$I$27)*ISNUMBER($D$16:$D$215)),$D$16:$D$215),NA()))</f>
        <v>#N/A</v>
      </c>
      <c r="K27" s="20" t="e">
        <f aca="false">IFERROR(J27/J26-1,NA())</f>
        <v>#N/A</v>
      </c>
    </row>
    <row r="28" customFormat="false" ht="15" hidden="false" customHeight="false" outlineLevel="0" collapsed="false">
      <c r="A28" s="27"/>
      <c r="B28" s="28" t="e">
        <f aca="false">IFERROR(IF(ISNUMBER(A28),TEXT(YEAR(A28)-2000,"00")&amp;CEILING(MONTH(A28)/3,1),NA()),NA())</f>
        <v>#N/A</v>
      </c>
      <c r="C28" s="18" t="n">
        <f aca="false">IFERROR(YEAR(A28),0)</f>
        <v>1899</v>
      </c>
      <c r="D28" s="29"/>
      <c r="E28" s="20" t="e">
        <f aca="false">IFERROR(D28/D27-1,NA())</f>
        <v>#N/A</v>
      </c>
      <c r="F28" s="20" t="e">
        <f aca="false">IFERROR(D28/D24-1,NA())</f>
        <v>#N/A</v>
      </c>
      <c r="G28" s="21" t="e">
        <f aca="false">IF(COUNT(D25:D28)=4,SUM(D25:D28),NA())</f>
        <v>#N/A</v>
      </c>
      <c r="I28" s="22" t="n">
        <v>2012</v>
      </c>
      <c r="J28" s="23" t="e">
        <f aca="false">CHOOSE(MATCH($B$10,{"Sum","Average","End of Period"},0),IF(SUMPRODUCT(($C$16:$C$215=$I$28)*ISNUMBER($D$16:$D$215))=0,NA(),SUMPRODUCT(($C$16:$C$215=$I$28)*IFERROR($D$16:$D$215,0))),IF(SUMPRODUCT(($C$16:$C$215=$I$28)*ISNUMBER($D$16:$D$215))=0,NA(),SUMPRODUCT(($C$16:$C$215=$I$28)*IFERROR($D$16:$D$215,0))/SUMPRODUCT(($C$16:$C$215=$I$28)*ISNUMBER($D$16:$D$215))),IFERROR(LOOKUP(2,1/(($C$16:$C$215=$I$28)*ISNUMBER($D$16:$D$215)),$D$16:$D$215),NA()))</f>
        <v>#N/A</v>
      </c>
      <c r="K28" s="20" t="e">
        <f aca="false">IFERROR(J28/J27-1,NA())</f>
        <v>#N/A</v>
      </c>
    </row>
    <row r="29" customFormat="false" ht="15" hidden="false" customHeight="false" outlineLevel="0" collapsed="false">
      <c r="A29" s="27"/>
      <c r="B29" s="28" t="e">
        <f aca="false">IFERROR(IF(ISNUMBER(A29),TEXT(YEAR(A29)-2000,"00")&amp;CEILING(MONTH(A29)/3,1),NA()),NA())</f>
        <v>#N/A</v>
      </c>
      <c r="C29" s="18" t="n">
        <f aca="false">IFERROR(YEAR(A29),0)</f>
        <v>1899</v>
      </c>
      <c r="D29" s="29"/>
      <c r="E29" s="20" t="e">
        <f aca="false">IFERROR(D29/D28-1,NA())</f>
        <v>#N/A</v>
      </c>
      <c r="F29" s="20" t="e">
        <f aca="false">IFERROR(D29/D25-1,NA())</f>
        <v>#N/A</v>
      </c>
      <c r="G29" s="21" t="e">
        <f aca="false">IF(COUNT(D26:D29)=4,SUM(D26:D29),NA())</f>
        <v>#N/A</v>
      </c>
      <c r="I29" s="22" t="n">
        <v>2013</v>
      </c>
      <c r="J29" s="23" t="e">
        <f aca="false">CHOOSE(MATCH($B$10,{"Sum","Average","End of Period"},0),IF(SUMPRODUCT(($C$16:$C$215=$I$29)*ISNUMBER($D$16:$D$215))=0,NA(),SUMPRODUCT(($C$16:$C$215=$I$29)*IFERROR($D$16:$D$215,0))),IF(SUMPRODUCT(($C$16:$C$215=$I$29)*ISNUMBER($D$16:$D$215))=0,NA(),SUMPRODUCT(($C$16:$C$215=$I$29)*IFERROR($D$16:$D$215,0))/SUMPRODUCT(($C$16:$C$215=$I$29)*ISNUMBER($D$16:$D$215))),IFERROR(LOOKUP(2,1/(($C$16:$C$215=$I$29)*ISNUMBER($D$16:$D$215)),$D$16:$D$215),NA()))</f>
        <v>#N/A</v>
      </c>
      <c r="K29" s="20" t="e">
        <f aca="false">IFERROR(J29/J28-1,NA())</f>
        <v>#N/A</v>
      </c>
    </row>
    <row r="30" customFormat="false" ht="15" hidden="false" customHeight="false" outlineLevel="0" collapsed="false">
      <c r="A30" s="27"/>
      <c r="B30" s="28" t="e">
        <f aca="false">IFERROR(IF(ISNUMBER(A30),TEXT(YEAR(A30)-2000,"00")&amp;CEILING(MONTH(A30)/3,1),NA()),NA())</f>
        <v>#N/A</v>
      </c>
      <c r="C30" s="18" t="n">
        <f aca="false">IFERROR(YEAR(A30),0)</f>
        <v>1899</v>
      </c>
      <c r="D30" s="29"/>
      <c r="E30" s="20" t="e">
        <f aca="false">IFERROR(D30/D29-1,NA())</f>
        <v>#N/A</v>
      </c>
      <c r="F30" s="20" t="e">
        <f aca="false">IFERROR(D30/D26-1,NA())</f>
        <v>#N/A</v>
      </c>
      <c r="G30" s="21" t="e">
        <f aca="false">IF(COUNT(D27:D30)=4,SUM(D27:D30),NA())</f>
        <v>#N/A</v>
      </c>
      <c r="I30" s="22" t="n">
        <v>2014</v>
      </c>
      <c r="J30" s="23" t="e">
        <f aca="false">CHOOSE(MATCH($B$10,{"Sum","Average","End of Period"},0),IF(SUMPRODUCT(($C$16:$C$215=$I$30)*ISNUMBER($D$16:$D$215))=0,NA(),SUMPRODUCT(($C$16:$C$215=$I$30)*IFERROR($D$16:$D$215,0))),IF(SUMPRODUCT(($C$16:$C$215=$I$30)*ISNUMBER($D$16:$D$215))=0,NA(),SUMPRODUCT(($C$16:$C$215=$I$30)*IFERROR($D$16:$D$215,0))/SUMPRODUCT(($C$16:$C$215=$I$30)*ISNUMBER($D$16:$D$215))),IFERROR(LOOKUP(2,1/(($C$16:$C$215=$I$30)*ISNUMBER($D$16:$D$215)),$D$16:$D$215),NA()))</f>
        <v>#N/A</v>
      </c>
      <c r="K30" s="20" t="e">
        <f aca="false">IFERROR(J30/J29-1,NA())</f>
        <v>#N/A</v>
      </c>
    </row>
    <row r="31" customFormat="false" ht="15" hidden="false" customHeight="false" outlineLevel="0" collapsed="false">
      <c r="A31" s="27"/>
      <c r="B31" s="28" t="e">
        <f aca="false">IFERROR(IF(ISNUMBER(A31),TEXT(YEAR(A31)-2000,"00")&amp;CEILING(MONTH(A31)/3,1),NA()),NA())</f>
        <v>#N/A</v>
      </c>
      <c r="C31" s="18" t="n">
        <f aca="false">IFERROR(YEAR(A31),0)</f>
        <v>1899</v>
      </c>
      <c r="D31" s="29"/>
      <c r="E31" s="20" t="e">
        <f aca="false">IFERROR(D31/D30-1,NA())</f>
        <v>#N/A</v>
      </c>
      <c r="F31" s="20" t="e">
        <f aca="false">IFERROR(D31/D27-1,NA())</f>
        <v>#N/A</v>
      </c>
      <c r="G31" s="21" t="e">
        <f aca="false">IF(COUNT(D28:D31)=4,SUM(D28:D31),NA())</f>
        <v>#N/A</v>
      </c>
      <c r="I31" s="22" t="n">
        <v>2015</v>
      </c>
      <c r="J31" s="23" t="e">
        <f aca="false">CHOOSE(MATCH($B$10,{"Sum","Average","End of Period"},0),IF(SUMPRODUCT(($C$16:$C$215=$I$31)*ISNUMBER($D$16:$D$215))=0,NA(),SUMPRODUCT(($C$16:$C$215=$I$31)*IFERROR($D$16:$D$215,0))),IF(SUMPRODUCT(($C$16:$C$215=$I$31)*ISNUMBER($D$16:$D$215))=0,NA(),SUMPRODUCT(($C$16:$C$215=$I$31)*IFERROR($D$16:$D$215,0))/SUMPRODUCT(($C$16:$C$215=$I$31)*ISNUMBER($D$16:$D$215))),IFERROR(LOOKUP(2,1/(($C$16:$C$215=$I$31)*ISNUMBER($D$16:$D$215)),$D$16:$D$215),NA()))</f>
        <v>#N/A</v>
      </c>
      <c r="K31" s="20" t="e">
        <f aca="false">IFERROR(J31/J30-1,NA())</f>
        <v>#N/A</v>
      </c>
    </row>
    <row r="32" customFormat="false" ht="15" hidden="false" customHeight="false" outlineLevel="0" collapsed="false">
      <c r="A32" s="27"/>
      <c r="B32" s="28" t="e">
        <f aca="false">IFERROR(IF(ISNUMBER(A32),TEXT(YEAR(A32)-2000,"00")&amp;CEILING(MONTH(A32)/3,1),NA()),NA())</f>
        <v>#N/A</v>
      </c>
      <c r="C32" s="18" t="n">
        <f aca="false">IFERROR(YEAR(A32),0)</f>
        <v>1899</v>
      </c>
      <c r="D32" s="29"/>
      <c r="E32" s="20" t="e">
        <f aca="false">IFERROR(D32/D31-1,NA())</f>
        <v>#N/A</v>
      </c>
      <c r="F32" s="20" t="e">
        <f aca="false">IFERROR(D32/D28-1,NA())</f>
        <v>#N/A</v>
      </c>
      <c r="G32" s="21" t="e">
        <f aca="false">IF(COUNT(D29:D32)=4,SUM(D29:D32),NA())</f>
        <v>#N/A</v>
      </c>
      <c r="I32" s="22" t="n">
        <v>2016</v>
      </c>
      <c r="J32" s="23" t="e">
        <f aca="false">CHOOSE(MATCH($B$10,{"Sum","Average","End of Period"},0),IF(SUMPRODUCT(($C$16:$C$215=$I$32)*ISNUMBER($D$16:$D$215))=0,NA(),SUMPRODUCT(($C$16:$C$215=$I$32)*IFERROR($D$16:$D$215,0))),IF(SUMPRODUCT(($C$16:$C$215=$I$32)*ISNUMBER($D$16:$D$215))=0,NA(),SUMPRODUCT(($C$16:$C$215=$I$32)*IFERROR($D$16:$D$215,0))/SUMPRODUCT(($C$16:$C$215=$I$32)*ISNUMBER($D$16:$D$215))),IFERROR(LOOKUP(2,1/(($C$16:$C$215=$I$32)*ISNUMBER($D$16:$D$215)),$D$16:$D$215),NA()))</f>
        <v>#N/A</v>
      </c>
      <c r="K32" s="20" t="e">
        <f aca="false">IFERROR(J32/J31-1,NA())</f>
        <v>#N/A</v>
      </c>
    </row>
    <row r="33" customFormat="false" ht="15" hidden="false" customHeight="false" outlineLevel="0" collapsed="false">
      <c r="A33" s="27"/>
      <c r="B33" s="28" t="e">
        <f aca="false">IFERROR(IF(ISNUMBER(A33),TEXT(YEAR(A33)-2000,"00")&amp;CEILING(MONTH(A33)/3,1),NA()),NA())</f>
        <v>#N/A</v>
      </c>
      <c r="C33" s="18" t="n">
        <f aca="false">IFERROR(YEAR(A33),0)</f>
        <v>1899</v>
      </c>
      <c r="D33" s="29"/>
      <c r="E33" s="20" t="e">
        <f aca="false">IFERROR(D33/D32-1,NA())</f>
        <v>#N/A</v>
      </c>
      <c r="F33" s="20" t="e">
        <f aca="false">IFERROR(D33/D29-1,NA())</f>
        <v>#N/A</v>
      </c>
      <c r="G33" s="21" t="e">
        <f aca="false">IF(COUNT(D30:D33)=4,SUM(D30:D33),NA())</f>
        <v>#N/A</v>
      </c>
      <c r="I33" s="22" t="n">
        <v>2017</v>
      </c>
      <c r="J33" s="23" t="e">
        <f aca="false">CHOOSE(MATCH($B$10,{"Sum","Average","End of Period"},0),IF(SUMPRODUCT(($C$16:$C$215=$I$33)*ISNUMBER($D$16:$D$215))=0,NA(),SUMPRODUCT(($C$16:$C$215=$I$33)*IFERROR($D$16:$D$215,0))),IF(SUMPRODUCT(($C$16:$C$215=$I$33)*ISNUMBER($D$16:$D$215))=0,NA(),SUMPRODUCT(($C$16:$C$215=$I$33)*IFERROR($D$16:$D$215,0))/SUMPRODUCT(($C$16:$C$215=$I$33)*ISNUMBER($D$16:$D$215))),IFERROR(LOOKUP(2,1/(($C$16:$C$215=$I$33)*ISNUMBER($D$16:$D$215)),$D$16:$D$215),NA()))</f>
        <v>#N/A</v>
      </c>
      <c r="K33" s="20" t="e">
        <f aca="false">IFERROR(J33/J32-1,NA())</f>
        <v>#N/A</v>
      </c>
    </row>
    <row r="34" customFormat="false" ht="15" hidden="false" customHeight="false" outlineLevel="0" collapsed="false">
      <c r="A34" s="27"/>
      <c r="B34" s="28" t="e">
        <f aca="false">IFERROR(IF(ISNUMBER(A34),TEXT(YEAR(A34)-2000,"00")&amp;CEILING(MONTH(A34)/3,1),NA()),NA())</f>
        <v>#N/A</v>
      </c>
      <c r="C34" s="18" t="n">
        <f aca="false">IFERROR(YEAR(A34),0)</f>
        <v>1899</v>
      </c>
      <c r="D34" s="29"/>
      <c r="E34" s="20" t="e">
        <f aca="false">IFERROR(D34/D33-1,NA())</f>
        <v>#N/A</v>
      </c>
      <c r="F34" s="20" t="e">
        <f aca="false">IFERROR(D34/D30-1,NA())</f>
        <v>#N/A</v>
      </c>
      <c r="G34" s="21" t="e">
        <f aca="false">IF(COUNT(D31:D34)=4,SUM(D31:D34),NA())</f>
        <v>#N/A</v>
      </c>
      <c r="I34" s="22" t="n">
        <v>2018</v>
      </c>
      <c r="J34" s="23" t="e">
        <f aca="false">CHOOSE(MATCH($B$10,{"Sum","Average","End of Period"},0),IF(SUMPRODUCT(($C$16:$C$215=$I$34)*ISNUMBER($D$16:$D$215))=0,NA(),SUMPRODUCT(($C$16:$C$215=$I$34)*IFERROR($D$16:$D$215,0))),IF(SUMPRODUCT(($C$16:$C$215=$I$34)*ISNUMBER($D$16:$D$215))=0,NA(),SUMPRODUCT(($C$16:$C$215=$I$34)*IFERROR($D$16:$D$215,0))/SUMPRODUCT(($C$16:$C$215=$I$34)*ISNUMBER($D$16:$D$215))),IFERROR(LOOKUP(2,1/(($C$16:$C$215=$I$34)*ISNUMBER($D$16:$D$215)),$D$16:$D$215),NA()))</f>
        <v>#N/A</v>
      </c>
      <c r="K34" s="20" t="e">
        <f aca="false">IFERROR(J34/J33-1,NA())</f>
        <v>#N/A</v>
      </c>
    </row>
    <row r="35" customFormat="false" ht="15" hidden="false" customHeight="false" outlineLevel="0" collapsed="false">
      <c r="A35" s="27"/>
      <c r="B35" s="28" t="e">
        <f aca="false">IFERROR(IF(ISNUMBER(A35),TEXT(YEAR(A35)-2000,"00")&amp;CEILING(MONTH(A35)/3,1),NA()),NA())</f>
        <v>#N/A</v>
      </c>
      <c r="C35" s="18" t="n">
        <f aca="false">IFERROR(YEAR(A35),0)</f>
        <v>1899</v>
      </c>
      <c r="D35" s="29"/>
      <c r="E35" s="20" t="e">
        <f aca="false">IFERROR(D35/D34-1,NA())</f>
        <v>#N/A</v>
      </c>
      <c r="F35" s="20" t="e">
        <f aca="false">IFERROR(D35/D31-1,NA())</f>
        <v>#N/A</v>
      </c>
      <c r="G35" s="21" t="e">
        <f aca="false">IF(COUNT(D32:D35)=4,SUM(D32:D35),NA())</f>
        <v>#N/A</v>
      </c>
      <c r="I35" s="22" t="n">
        <v>2019</v>
      </c>
      <c r="J35" s="23" t="e">
        <f aca="false">CHOOSE(MATCH($B$10,{"Sum","Average","End of Period"},0),IF(SUMPRODUCT(($C$16:$C$215=$I$35)*ISNUMBER($D$16:$D$215))=0,NA(),SUMPRODUCT(($C$16:$C$215=$I$35)*IFERROR($D$16:$D$215,0))),IF(SUMPRODUCT(($C$16:$C$215=$I$35)*ISNUMBER($D$16:$D$215))=0,NA(),SUMPRODUCT(($C$16:$C$215=$I$35)*IFERROR($D$16:$D$215,0))/SUMPRODUCT(($C$16:$C$215=$I$35)*ISNUMBER($D$16:$D$215))),IFERROR(LOOKUP(2,1/(($C$16:$C$215=$I$35)*ISNUMBER($D$16:$D$215)),$D$16:$D$215),NA()))</f>
        <v>#N/A</v>
      </c>
      <c r="K35" s="20" t="e">
        <f aca="false">IFERROR(J35/J34-1,NA())</f>
        <v>#N/A</v>
      </c>
    </row>
    <row r="36" customFormat="false" ht="15" hidden="false" customHeight="false" outlineLevel="0" collapsed="false">
      <c r="A36" s="27"/>
      <c r="B36" s="28" t="e">
        <f aca="false">IFERROR(IF(ISNUMBER(A36),TEXT(YEAR(A36)-2000,"00")&amp;CEILING(MONTH(A36)/3,1),NA()),NA())</f>
        <v>#N/A</v>
      </c>
      <c r="C36" s="18" t="n">
        <f aca="false">IFERROR(YEAR(A36),0)</f>
        <v>1899</v>
      </c>
      <c r="D36" s="29"/>
      <c r="E36" s="20" t="e">
        <f aca="false">IFERROR(D36/D35-1,NA())</f>
        <v>#N/A</v>
      </c>
      <c r="F36" s="20" t="e">
        <f aca="false">IFERROR(D36/D32-1,NA())</f>
        <v>#N/A</v>
      </c>
      <c r="G36" s="21" t="e">
        <f aca="false">IF(COUNT(D33:D36)=4,SUM(D33:D36),NA())</f>
        <v>#N/A</v>
      </c>
      <c r="I36" s="22" t="n">
        <v>2020</v>
      </c>
      <c r="J36" s="23" t="e">
        <f aca="false">CHOOSE(MATCH($B$10,{"Sum","Average","End of Period"},0),IF(SUMPRODUCT(($C$16:$C$215=$I$36)*ISNUMBER($D$16:$D$215))=0,NA(),SUMPRODUCT(($C$16:$C$215=$I$36)*IFERROR($D$16:$D$215,0))),IF(SUMPRODUCT(($C$16:$C$215=$I$36)*ISNUMBER($D$16:$D$215))=0,NA(),SUMPRODUCT(($C$16:$C$215=$I$36)*IFERROR($D$16:$D$215,0))/SUMPRODUCT(($C$16:$C$215=$I$36)*ISNUMBER($D$16:$D$215))),IFERROR(LOOKUP(2,1/(($C$16:$C$215=$I$36)*ISNUMBER($D$16:$D$215)),$D$16:$D$215),NA()))</f>
        <v>#N/A</v>
      </c>
      <c r="K36" s="20" t="e">
        <f aca="false">IFERROR(J36/J35-1,NA())</f>
        <v>#N/A</v>
      </c>
    </row>
    <row r="37" customFormat="false" ht="15" hidden="false" customHeight="false" outlineLevel="0" collapsed="false">
      <c r="A37" s="27"/>
      <c r="B37" s="28" t="e">
        <f aca="false">IFERROR(IF(ISNUMBER(A37),TEXT(YEAR(A37)-2000,"00")&amp;CEILING(MONTH(A37)/3,1),NA()),NA())</f>
        <v>#N/A</v>
      </c>
      <c r="C37" s="18" t="n">
        <f aca="false">IFERROR(YEAR(A37),0)</f>
        <v>1899</v>
      </c>
      <c r="D37" s="29"/>
      <c r="E37" s="20" t="e">
        <f aca="false">IFERROR(D37/D36-1,NA())</f>
        <v>#N/A</v>
      </c>
      <c r="F37" s="20" t="e">
        <f aca="false">IFERROR(D37/D33-1,NA())</f>
        <v>#N/A</v>
      </c>
      <c r="G37" s="21" t="e">
        <f aca="false">IF(COUNT(D34:D37)=4,SUM(D34:D37),NA())</f>
        <v>#N/A</v>
      </c>
      <c r="I37" s="22" t="n">
        <v>2021</v>
      </c>
      <c r="J37" s="23" t="e">
        <f aca="false">CHOOSE(MATCH($B$10,{"Sum","Average","End of Period"},0),IF(SUMPRODUCT(($C$16:$C$215=$I$37)*ISNUMBER($D$16:$D$215))=0,NA(),SUMPRODUCT(($C$16:$C$215=$I$37)*IFERROR($D$16:$D$215,0))),IF(SUMPRODUCT(($C$16:$C$215=$I$37)*ISNUMBER($D$16:$D$215))=0,NA(),SUMPRODUCT(($C$16:$C$215=$I$37)*IFERROR($D$16:$D$215,0))/SUMPRODUCT(($C$16:$C$215=$I$37)*ISNUMBER($D$16:$D$215))),IFERROR(LOOKUP(2,1/(($C$16:$C$215=$I$37)*ISNUMBER($D$16:$D$215)),$D$16:$D$215),NA()))</f>
        <v>#N/A</v>
      </c>
      <c r="K37" s="20" t="e">
        <f aca="false">IFERROR(J37/J36-1,NA())</f>
        <v>#N/A</v>
      </c>
    </row>
    <row r="38" customFormat="false" ht="15" hidden="false" customHeight="false" outlineLevel="0" collapsed="false">
      <c r="A38" s="27"/>
      <c r="B38" s="28" t="e">
        <f aca="false">IFERROR(IF(ISNUMBER(A38),TEXT(YEAR(A38)-2000,"00")&amp;CEILING(MONTH(A38)/3,1),NA()),NA())</f>
        <v>#N/A</v>
      </c>
      <c r="C38" s="18" t="n">
        <f aca="false">IFERROR(YEAR(A38),0)</f>
        <v>1899</v>
      </c>
      <c r="D38" s="29"/>
      <c r="E38" s="20" t="e">
        <f aca="false">IFERROR(D38/D37-1,NA())</f>
        <v>#N/A</v>
      </c>
      <c r="F38" s="20" t="e">
        <f aca="false">IFERROR(D38/D34-1,NA())</f>
        <v>#N/A</v>
      </c>
      <c r="G38" s="21" t="e">
        <f aca="false">IF(COUNT(D35:D38)=4,SUM(D35:D38),NA())</f>
        <v>#N/A</v>
      </c>
      <c r="I38" s="22" t="n">
        <v>2022</v>
      </c>
      <c r="J38" s="23" t="e">
        <f aca="false">CHOOSE(MATCH($B$10,{"Sum","Average","End of Period"},0),IF(SUMPRODUCT(($C$16:$C$215=$I$38)*ISNUMBER($D$16:$D$215))=0,NA(),SUMPRODUCT(($C$16:$C$215=$I$38)*IFERROR($D$16:$D$215,0))),IF(SUMPRODUCT(($C$16:$C$215=$I$38)*ISNUMBER($D$16:$D$215))=0,NA(),SUMPRODUCT(($C$16:$C$215=$I$38)*IFERROR($D$16:$D$215,0))/SUMPRODUCT(($C$16:$C$215=$I$38)*ISNUMBER($D$16:$D$215))),IFERROR(LOOKUP(2,1/(($C$16:$C$215=$I$38)*ISNUMBER($D$16:$D$215)),$D$16:$D$215),NA()))</f>
        <v>#N/A</v>
      </c>
      <c r="K38" s="20" t="e">
        <f aca="false">IFERROR(J38/J37-1,NA())</f>
        <v>#N/A</v>
      </c>
    </row>
    <row r="39" customFormat="false" ht="15" hidden="false" customHeight="false" outlineLevel="0" collapsed="false">
      <c r="A39" s="27"/>
      <c r="B39" s="28" t="e">
        <f aca="false">IFERROR(IF(ISNUMBER(A39),TEXT(YEAR(A39)-2000,"00")&amp;CEILING(MONTH(A39)/3,1),NA()),NA())</f>
        <v>#N/A</v>
      </c>
      <c r="C39" s="18" t="n">
        <f aca="false">IFERROR(YEAR(A39),0)</f>
        <v>1899</v>
      </c>
      <c r="D39" s="29"/>
      <c r="E39" s="20" t="e">
        <f aca="false">IFERROR(D39/D38-1,NA())</f>
        <v>#N/A</v>
      </c>
      <c r="F39" s="20" t="e">
        <f aca="false">IFERROR(D39/D35-1,NA())</f>
        <v>#N/A</v>
      </c>
      <c r="G39" s="21" t="e">
        <f aca="false">IF(COUNT(D36:D39)=4,SUM(D36:D39),NA())</f>
        <v>#N/A</v>
      </c>
      <c r="I39" s="22" t="n">
        <v>2023</v>
      </c>
      <c r="J39" s="23" t="e">
        <f aca="false">CHOOSE(MATCH($B$10,{"Sum","Average","End of Period"},0),IF(SUMPRODUCT(($C$16:$C$215=$I$39)*ISNUMBER($D$16:$D$215))=0,NA(),SUMPRODUCT(($C$16:$C$215=$I$39)*IFERROR($D$16:$D$215,0))),IF(SUMPRODUCT(($C$16:$C$215=$I$39)*ISNUMBER($D$16:$D$215))=0,NA(),SUMPRODUCT(($C$16:$C$215=$I$39)*IFERROR($D$16:$D$215,0))/SUMPRODUCT(($C$16:$C$215=$I$39)*ISNUMBER($D$16:$D$215))),IFERROR(LOOKUP(2,1/(($C$16:$C$215=$I$39)*ISNUMBER($D$16:$D$215)),$D$16:$D$215),NA()))</f>
        <v>#N/A</v>
      </c>
      <c r="K39" s="20" t="e">
        <f aca="false">IFERROR(J39/J38-1,NA())</f>
        <v>#N/A</v>
      </c>
    </row>
    <row r="40" customFormat="false" ht="15" hidden="false" customHeight="false" outlineLevel="0" collapsed="false">
      <c r="A40" s="27"/>
      <c r="B40" s="28" t="e">
        <f aca="false">IFERROR(IF(ISNUMBER(A40),TEXT(YEAR(A40)-2000,"00")&amp;CEILING(MONTH(A40)/3,1),NA()),NA())</f>
        <v>#N/A</v>
      </c>
      <c r="C40" s="18" t="n">
        <f aca="false">IFERROR(YEAR(A40),0)</f>
        <v>1899</v>
      </c>
      <c r="D40" s="29"/>
      <c r="E40" s="20" t="e">
        <f aca="false">IFERROR(D40/D39-1,NA())</f>
        <v>#N/A</v>
      </c>
      <c r="F40" s="20" t="e">
        <f aca="false">IFERROR(D40/D36-1,NA())</f>
        <v>#N/A</v>
      </c>
      <c r="G40" s="21" t="e">
        <f aca="false">IF(COUNT(D37:D40)=4,SUM(D37:D40),NA())</f>
        <v>#N/A</v>
      </c>
      <c r="I40" s="22" t="n">
        <v>2024</v>
      </c>
      <c r="J40" s="23" t="e">
        <f aca="false">CHOOSE(MATCH($B$10,{"Sum","Average","End of Period"},0),IF(SUMPRODUCT(($C$16:$C$215=$I$40)*ISNUMBER($D$16:$D$215))=0,NA(),SUMPRODUCT(($C$16:$C$215=$I$40)*IFERROR($D$16:$D$215,0))),IF(SUMPRODUCT(($C$16:$C$215=$I$40)*ISNUMBER($D$16:$D$215))=0,NA(),SUMPRODUCT(($C$16:$C$215=$I$40)*IFERROR($D$16:$D$215,0))/SUMPRODUCT(($C$16:$C$215=$I$40)*ISNUMBER($D$16:$D$215))),IFERROR(LOOKUP(2,1/(($C$16:$C$215=$I$40)*ISNUMBER($D$16:$D$215)),$D$16:$D$215),NA()))</f>
        <v>#N/A</v>
      </c>
      <c r="K40" s="20" t="e">
        <f aca="false">IFERROR(J40/J39-1,NA())</f>
        <v>#N/A</v>
      </c>
    </row>
    <row r="41" customFormat="false" ht="15" hidden="false" customHeight="false" outlineLevel="0" collapsed="false">
      <c r="A41" s="27"/>
      <c r="B41" s="28" t="e">
        <f aca="false">IFERROR(IF(ISNUMBER(A41),TEXT(YEAR(A41)-2000,"00")&amp;CEILING(MONTH(A41)/3,1),NA()),NA())</f>
        <v>#N/A</v>
      </c>
      <c r="C41" s="18" t="n">
        <f aca="false">IFERROR(YEAR(A41),0)</f>
        <v>1899</v>
      </c>
      <c r="D41" s="29"/>
      <c r="E41" s="20" t="e">
        <f aca="false">IFERROR(D41/D40-1,NA())</f>
        <v>#N/A</v>
      </c>
      <c r="F41" s="20" t="e">
        <f aca="false">IFERROR(D41/D37-1,NA())</f>
        <v>#N/A</v>
      </c>
      <c r="G41" s="21" t="e">
        <f aca="false">IF(COUNT(D38:D41)=4,SUM(D38:D41),NA())</f>
        <v>#N/A</v>
      </c>
      <c r="I41" s="22" t="n">
        <v>2025</v>
      </c>
      <c r="J41" s="23" t="e">
        <f aca="false">CHOOSE(MATCH($B$10,{"Sum","Average","End of Period"},0),IF(SUMPRODUCT(($C$16:$C$215=$I$41)*ISNUMBER($D$16:$D$215))=0,NA(),SUMPRODUCT(($C$16:$C$215=$I$41)*IFERROR($D$16:$D$215,0))),IF(SUMPRODUCT(($C$16:$C$215=$I$41)*ISNUMBER($D$16:$D$215))=0,NA(),SUMPRODUCT(($C$16:$C$215=$I$41)*IFERROR($D$16:$D$215,0))/SUMPRODUCT(($C$16:$C$215=$I$41)*ISNUMBER($D$16:$D$215))),IFERROR(LOOKUP(2,1/(($C$16:$C$215=$I$41)*ISNUMBER($D$16:$D$215)),$D$16:$D$215),NA()))</f>
        <v>#N/A</v>
      </c>
      <c r="K41" s="20" t="e">
        <f aca="false">IFERROR(J41/J40-1,NA())</f>
        <v>#N/A</v>
      </c>
    </row>
    <row r="42" customFormat="false" ht="15" hidden="false" customHeight="false" outlineLevel="0" collapsed="false">
      <c r="A42" s="27"/>
      <c r="B42" s="28" t="e">
        <f aca="false">IFERROR(IF(ISNUMBER(A42),TEXT(YEAR(A42)-2000,"00")&amp;CEILING(MONTH(A42)/3,1),NA()),NA())</f>
        <v>#N/A</v>
      </c>
      <c r="C42" s="18" t="n">
        <f aca="false">IFERROR(YEAR(A42),0)</f>
        <v>1899</v>
      </c>
      <c r="D42" s="29"/>
      <c r="E42" s="20" t="e">
        <f aca="false">IFERROR(D42/D41-1,NA())</f>
        <v>#N/A</v>
      </c>
      <c r="F42" s="20" t="e">
        <f aca="false">IFERROR(D42/D38-1,NA())</f>
        <v>#N/A</v>
      </c>
      <c r="G42" s="21" t="e">
        <f aca="false">IF(COUNT(D39:D42)=4,SUM(D39:D42),NA())</f>
        <v>#N/A</v>
      </c>
      <c r="I42" s="22" t="n">
        <v>2026</v>
      </c>
      <c r="J42" s="23" t="e">
        <f aca="false">CHOOSE(MATCH($B$10,{"Sum","Average","End of Period"},0),IF(SUMPRODUCT(($C$16:$C$215=$I$42)*ISNUMBER($D$16:$D$215))=0,NA(),SUMPRODUCT(($C$16:$C$215=$I$42)*IFERROR($D$16:$D$215,0))),IF(SUMPRODUCT(($C$16:$C$215=$I$42)*ISNUMBER($D$16:$D$215))=0,NA(),SUMPRODUCT(($C$16:$C$215=$I$42)*IFERROR($D$16:$D$215,0))/SUMPRODUCT(($C$16:$C$215=$I$42)*ISNUMBER($D$16:$D$215))),IFERROR(LOOKUP(2,1/(($C$16:$C$215=$I$42)*ISNUMBER($D$16:$D$215)),$D$16:$D$215),NA()))</f>
        <v>#N/A</v>
      </c>
      <c r="K42" s="20" t="e">
        <f aca="false">IFERROR(J42/J41-1,NA())</f>
        <v>#N/A</v>
      </c>
    </row>
    <row r="43" customFormat="false" ht="15" hidden="false" customHeight="false" outlineLevel="0" collapsed="false">
      <c r="A43" s="27"/>
      <c r="B43" s="28" t="e">
        <f aca="false">IFERROR(IF(ISNUMBER(A43),TEXT(YEAR(A43)-2000,"00")&amp;CEILING(MONTH(A43)/3,1),NA()),NA())</f>
        <v>#N/A</v>
      </c>
      <c r="C43" s="18" t="n">
        <f aca="false">IFERROR(YEAR(A43),0)</f>
        <v>1899</v>
      </c>
      <c r="D43" s="29"/>
      <c r="E43" s="20" t="e">
        <f aca="false">IFERROR(D43/D42-1,NA())</f>
        <v>#N/A</v>
      </c>
      <c r="F43" s="20" t="e">
        <f aca="false">IFERROR(D43/D39-1,NA())</f>
        <v>#N/A</v>
      </c>
      <c r="G43" s="21" t="e">
        <f aca="false">IF(COUNT(D40:D43)=4,SUM(D40:D43),NA())</f>
        <v>#N/A</v>
      </c>
      <c r="I43" s="22" t="n">
        <v>2027</v>
      </c>
      <c r="J43" s="23" t="e">
        <f aca="false">CHOOSE(MATCH($B$10,{"Sum","Average","End of Period"},0),IF(SUMPRODUCT(($C$16:$C$215=$I$43)*ISNUMBER($D$16:$D$215))=0,NA(),SUMPRODUCT(($C$16:$C$215=$I$43)*IFERROR($D$16:$D$215,0))),IF(SUMPRODUCT(($C$16:$C$215=$I$43)*ISNUMBER($D$16:$D$215))=0,NA(),SUMPRODUCT(($C$16:$C$215=$I$43)*IFERROR($D$16:$D$215,0))/SUMPRODUCT(($C$16:$C$215=$I$43)*ISNUMBER($D$16:$D$215))),IFERROR(LOOKUP(2,1/(($C$16:$C$215=$I$43)*ISNUMBER($D$16:$D$215)),$D$16:$D$215),NA()))</f>
        <v>#N/A</v>
      </c>
      <c r="K43" s="20" t="e">
        <f aca="false">IFERROR(J43/J42-1,NA())</f>
        <v>#N/A</v>
      </c>
    </row>
    <row r="44" customFormat="false" ht="15" hidden="false" customHeight="false" outlineLevel="0" collapsed="false">
      <c r="A44" s="27"/>
      <c r="B44" s="28" t="e">
        <f aca="false">IFERROR(IF(ISNUMBER(A44),TEXT(YEAR(A44)-2000,"00")&amp;CEILING(MONTH(A44)/3,1),NA()),NA())</f>
        <v>#N/A</v>
      </c>
      <c r="C44" s="18" t="n">
        <f aca="false">IFERROR(YEAR(A44),0)</f>
        <v>1899</v>
      </c>
      <c r="D44" s="29"/>
      <c r="E44" s="20" t="e">
        <f aca="false">IFERROR(D44/D43-1,NA())</f>
        <v>#N/A</v>
      </c>
      <c r="F44" s="20" t="e">
        <f aca="false">IFERROR(D44/D40-1,NA())</f>
        <v>#N/A</v>
      </c>
      <c r="G44" s="21" t="e">
        <f aca="false">IF(COUNT(D41:D44)=4,SUM(D41:D44),NA())</f>
        <v>#N/A</v>
      </c>
      <c r="I44" s="22" t="n">
        <v>2028</v>
      </c>
      <c r="J44" s="23" t="e">
        <f aca="false">CHOOSE(MATCH($B$10,{"Sum","Average","End of Period"},0),IF(SUMPRODUCT(($C$16:$C$215=$I$44)*ISNUMBER($D$16:$D$215))=0,NA(),SUMPRODUCT(($C$16:$C$215=$I$44)*IFERROR($D$16:$D$215,0))),IF(SUMPRODUCT(($C$16:$C$215=$I$44)*ISNUMBER($D$16:$D$215))=0,NA(),SUMPRODUCT(($C$16:$C$215=$I$44)*IFERROR($D$16:$D$215,0))/SUMPRODUCT(($C$16:$C$215=$I$44)*ISNUMBER($D$16:$D$215))),IFERROR(LOOKUP(2,1/(($C$16:$C$215=$I$44)*ISNUMBER($D$16:$D$215)),$D$16:$D$215),NA()))</f>
        <v>#N/A</v>
      </c>
      <c r="K44" s="20" t="e">
        <f aca="false">IFERROR(J44/J43-1,NA())</f>
        <v>#N/A</v>
      </c>
    </row>
    <row r="45" customFormat="false" ht="15" hidden="false" customHeight="false" outlineLevel="0" collapsed="false">
      <c r="A45" s="27"/>
      <c r="B45" s="28" t="e">
        <f aca="false">IFERROR(IF(ISNUMBER(A45),TEXT(YEAR(A45)-2000,"00")&amp;CEILING(MONTH(A45)/3,1),NA()),NA())</f>
        <v>#N/A</v>
      </c>
      <c r="C45" s="18" t="n">
        <f aca="false">IFERROR(YEAR(A45),0)</f>
        <v>1899</v>
      </c>
      <c r="D45" s="29"/>
      <c r="E45" s="20" t="e">
        <f aca="false">IFERROR(D45/D44-1,NA())</f>
        <v>#N/A</v>
      </c>
      <c r="F45" s="20" t="e">
        <f aca="false">IFERROR(D45/D41-1,NA())</f>
        <v>#N/A</v>
      </c>
      <c r="G45" s="21" t="e">
        <f aca="false">IF(COUNT(D42:D45)=4,SUM(D42:D45),NA())</f>
        <v>#N/A</v>
      </c>
      <c r="I45" s="22" t="n">
        <v>2029</v>
      </c>
      <c r="J45" s="23" t="e">
        <f aca="false">CHOOSE(MATCH($B$10,{"Sum","Average","End of Period"},0),IF(SUMPRODUCT(($C$16:$C$215=$I$45)*ISNUMBER($D$16:$D$215))=0,NA(),SUMPRODUCT(($C$16:$C$215=$I$45)*IFERROR($D$16:$D$215,0))),IF(SUMPRODUCT(($C$16:$C$215=$I$45)*ISNUMBER($D$16:$D$215))=0,NA(),SUMPRODUCT(($C$16:$C$215=$I$45)*IFERROR($D$16:$D$215,0))/SUMPRODUCT(($C$16:$C$215=$I$45)*ISNUMBER($D$16:$D$215))),IFERROR(LOOKUP(2,1/(($C$16:$C$215=$I$45)*ISNUMBER($D$16:$D$215)),$D$16:$D$215),NA()))</f>
        <v>#N/A</v>
      </c>
      <c r="K45" s="20" t="e">
        <f aca="false">IFERROR(J45/J44-1,NA())</f>
        <v>#N/A</v>
      </c>
    </row>
    <row r="46" customFormat="false" ht="15" hidden="false" customHeight="false" outlineLevel="0" collapsed="false">
      <c r="A46" s="27"/>
      <c r="B46" s="28" t="e">
        <f aca="false">IFERROR(IF(ISNUMBER(A46),TEXT(YEAR(A46)-2000,"00")&amp;CEILING(MONTH(A46)/3,1),NA()),NA())</f>
        <v>#N/A</v>
      </c>
      <c r="C46" s="18" t="n">
        <f aca="false">IFERROR(YEAR(A46),0)</f>
        <v>1899</v>
      </c>
      <c r="D46" s="29"/>
      <c r="E46" s="20" t="e">
        <f aca="false">IFERROR(D46/D45-1,NA())</f>
        <v>#N/A</v>
      </c>
      <c r="F46" s="20" t="e">
        <f aca="false">IFERROR(D46/D42-1,NA())</f>
        <v>#N/A</v>
      </c>
      <c r="G46" s="21" t="e">
        <f aca="false">IF(COUNT(D43:D46)=4,SUM(D43:D46),NA())</f>
        <v>#N/A</v>
      </c>
      <c r="I46" s="22" t="n">
        <v>2030</v>
      </c>
      <c r="J46" s="23" t="e">
        <f aca="false">CHOOSE(MATCH($B$10,{"Sum","Average","End of Period"},0),IF(SUMPRODUCT(($C$16:$C$215=$I$46)*ISNUMBER($D$16:$D$215))=0,NA(),SUMPRODUCT(($C$16:$C$215=$I$46)*IFERROR($D$16:$D$215,0))),IF(SUMPRODUCT(($C$16:$C$215=$I$46)*ISNUMBER($D$16:$D$215))=0,NA(),SUMPRODUCT(($C$16:$C$215=$I$46)*IFERROR($D$16:$D$215,0))/SUMPRODUCT(($C$16:$C$215=$I$46)*ISNUMBER($D$16:$D$215))),IFERROR(LOOKUP(2,1/(($C$16:$C$215=$I$46)*ISNUMBER($D$16:$D$215)),$D$16:$D$215),NA()))</f>
        <v>#N/A</v>
      </c>
      <c r="K46" s="20" t="e">
        <f aca="false">IFERROR(J46/J45-1,NA())</f>
        <v>#N/A</v>
      </c>
    </row>
    <row r="47" customFormat="false" ht="15" hidden="false" customHeight="false" outlineLevel="0" collapsed="false">
      <c r="A47" s="27"/>
      <c r="B47" s="28" t="e">
        <f aca="false">IFERROR(IF(ISNUMBER(A47),TEXT(YEAR(A47)-2000,"00")&amp;CEILING(MONTH(A47)/3,1),NA()),NA())</f>
        <v>#N/A</v>
      </c>
      <c r="C47" s="18" t="n">
        <f aca="false">IFERROR(YEAR(A47),0)</f>
        <v>1899</v>
      </c>
      <c r="D47" s="29"/>
      <c r="E47" s="20" t="e">
        <f aca="false">IFERROR(D47/D46-1,NA())</f>
        <v>#N/A</v>
      </c>
      <c r="F47" s="20" t="e">
        <f aca="false">IFERROR(D47/D43-1,NA())</f>
        <v>#N/A</v>
      </c>
      <c r="G47" s="21" t="e">
        <f aca="false">IF(COUNT(D44:D47)=4,SUM(D44:D47),NA())</f>
        <v>#N/A</v>
      </c>
      <c r="I47" s="22" t="n">
        <v>2031</v>
      </c>
      <c r="J47" s="23" t="e">
        <f aca="false">CHOOSE(MATCH($B$10,{"Sum","Average","End of Period"},0),IF(SUMPRODUCT(($C$16:$C$215=$I$47)*ISNUMBER($D$16:$D$215))=0,NA(),SUMPRODUCT(($C$16:$C$215=$I$47)*IFERROR($D$16:$D$215,0))),IF(SUMPRODUCT(($C$16:$C$215=$I$47)*ISNUMBER($D$16:$D$215))=0,NA(),SUMPRODUCT(($C$16:$C$215=$I$47)*IFERROR($D$16:$D$215,0))/SUMPRODUCT(($C$16:$C$215=$I$47)*ISNUMBER($D$16:$D$215))),IFERROR(LOOKUP(2,1/(($C$16:$C$215=$I$47)*ISNUMBER($D$16:$D$215)),$D$16:$D$215),NA()))</f>
        <v>#N/A</v>
      </c>
      <c r="K47" s="20" t="e">
        <f aca="false">IFERROR(J47/J46-1,NA())</f>
        <v>#N/A</v>
      </c>
    </row>
    <row r="48" customFormat="false" ht="15" hidden="false" customHeight="false" outlineLevel="0" collapsed="false">
      <c r="A48" s="27"/>
      <c r="B48" s="28" t="e">
        <f aca="false">IFERROR(IF(ISNUMBER(A48),TEXT(YEAR(A48)-2000,"00")&amp;CEILING(MONTH(A48)/3,1),NA()),NA())</f>
        <v>#N/A</v>
      </c>
      <c r="C48" s="18" t="n">
        <f aca="false">IFERROR(YEAR(A48),0)</f>
        <v>1899</v>
      </c>
      <c r="D48" s="29"/>
      <c r="E48" s="20" t="e">
        <f aca="false">IFERROR(D48/D47-1,NA())</f>
        <v>#N/A</v>
      </c>
      <c r="F48" s="20" t="e">
        <f aca="false">IFERROR(D48/D44-1,NA())</f>
        <v>#N/A</v>
      </c>
      <c r="G48" s="21" t="e">
        <f aca="false">IF(COUNT(D45:D48)=4,SUM(D45:D48),NA())</f>
        <v>#N/A</v>
      </c>
      <c r="I48" s="22" t="n">
        <v>2032</v>
      </c>
      <c r="J48" s="23" t="e">
        <f aca="false">CHOOSE(MATCH($B$10,{"Sum","Average","End of Period"},0),IF(SUMPRODUCT(($C$16:$C$215=$I$48)*ISNUMBER($D$16:$D$215))=0,NA(),SUMPRODUCT(($C$16:$C$215=$I$48)*IFERROR($D$16:$D$215,0))),IF(SUMPRODUCT(($C$16:$C$215=$I$48)*ISNUMBER($D$16:$D$215))=0,NA(),SUMPRODUCT(($C$16:$C$215=$I$48)*IFERROR($D$16:$D$215,0))/SUMPRODUCT(($C$16:$C$215=$I$48)*ISNUMBER($D$16:$D$215))),IFERROR(LOOKUP(2,1/(($C$16:$C$215=$I$48)*ISNUMBER($D$16:$D$215)),$D$16:$D$215),NA()))</f>
        <v>#N/A</v>
      </c>
      <c r="K48" s="20" t="e">
        <f aca="false">IFERROR(J48/J47-1,NA())</f>
        <v>#N/A</v>
      </c>
    </row>
    <row r="49" customFormat="false" ht="15" hidden="false" customHeight="false" outlineLevel="0" collapsed="false">
      <c r="A49" s="27"/>
      <c r="B49" s="28" t="e">
        <f aca="false">IFERROR(IF(ISNUMBER(A49),TEXT(YEAR(A49)-2000,"00")&amp;CEILING(MONTH(A49)/3,1),NA()),NA())</f>
        <v>#N/A</v>
      </c>
      <c r="C49" s="18" t="n">
        <f aca="false">IFERROR(YEAR(A49),0)</f>
        <v>1899</v>
      </c>
      <c r="D49" s="29"/>
      <c r="E49" s="20" t="e">
        <f aca="false">IFERROR(D49/D48-1,NA())</f>
        <v>#N/A</v>
      </c>
      <c r="F49" s="20" t="e">
        <f aca="false">IFERROR(D49/D45-1,NA())</f>
        <v>#N/A</v>
      </c>
      <c r="G49" s="21" t="e">
        <f aca="false">IF(COUNT(D46:D49)=4,SUM(D46:D49),NA())</f>
        <v>#N/A</v>
      </c>
      <c r="I49" s="22" t="n">
        <v>2033</v>
      </c>
      <c r="J49" s="23" t="e">
        <f aca="false">CHOOSE(MATCH($B$10,{"Sum","Average","End of Period"},0),IF(SUMPRODUCT(($C$16:$C$215=$I$49)*ISNUMBER($D$16:$D$215))=0,NA(),SUMPRODUCT(($C$16:$C$215=$I$49)*IFERROR($D$16:$D$215,0))),IF(SUMPRODUCT(($C$16:$C$215=$I$49)*ISNUMBER($D$16:$D$215))=0,NA(),SUMPRODUCT(($C$16:$C$215=$I$49)*IFERROR($D$16:$D$215,0))/SUMPRODUCT(($C$16:$C$215=$I$49)*ISNUMBER($D$16:$D$215))),IFERROR(LOOKUP(2,1/(($C$16:$C$215=$I$49)*ISNUMBER($D$16:$D$215)),$D$16:$D$215),NA()))</f>
        <v>#N/A</v>
      </c>
      <c r="K49" s="20" t="e">
        <f aca="false">IFERROR(J49/J48-1,NA())</f>
        <v>#N/A</v>
      </c>
    </row>
    <row r="50" customFormat="false" ht="15" hidden="false" customHeight="false" outlineLevel="0" collapsed="false">
      <c r="A50" s="27"/>
      <c r="B50" s="28" t="e">
        <f aca="false">IFERROR(IF(ISNUMBER(A50),TEXT(YEAR(A50)-2000,"00")&amp;CEILING(MONTH(A50)/3,1),NA()),NA())</f>
        <v>#N/A</v>
      </c>
      <c r="C50" s="18" t="n">
        <f aca="false">IFERROR(YEAR(A50),0)</f>
        <v>1899</v>
      </c>
      <c r="D50" s="29"/>
      <c r="E50" s="20" t="e">
        <f aca="false">IFERROR(D50/D49-1,NA())</f>
        <v>#N/A</v>
      </c>
      <c r="F50" s="20" t="e">
        <f aca="false">IFERROR(D50/D46-1,NA())</f>
        <v>#N/A</v>
      </c>
      <c r="G50" s="21" t="e">
        <f aca="false">IF(COUNT(D47:D50)=4,SUM(D47:D50),NA())</f>
        <v>#N/A</v>
      </c>
      <c r="I50" s="22" t="n">
        <v>2034</v>
      </c>
      <c r="J50" s="23" t="e">
        <f aca="false">CHOOSE(MATCH($B$10,{"Sum","Average","End of Period"},0),IF(SUMPRODUCT(($C$16:$C$215=$I$50)*ISNUMBER($D$16:$D$215))=0,NA(),SUMPRODUCT(($C$16:$C$215=$I$50)*IFERROR($D$16:$D$215,0))),IF(SUMPRODUCT(($C$16:$C$215=$I$50)*ISNUMBER($D$16:$D$215))=0,NA(),SUMPRODUCT(($C$16:$C$215=$I$50)*IFERROR($D$16:$D$215,0))/SUMPRODUCT(($C$16:$C$215=$I$50)*ISNUMBER($D$16:$D$215))),IFERROR(LOOKUP(2,1/(($C$16:$C$215=$I$50)*ISNUMBER($D$16:$D$215)),$D$16:$D$215),NA()))</f>
        <v>#N/A</v>
      </c>
      <c r="K50" s="20" t="e">
        <f aca="false">IFERROR(J50/J49-1,NA())</f>
        <v>#N/A</v>
      </c>
    </row>
    <row r="51" customFormat="false" ht="15" hidden="false" customHeight="false" outlineLevel="0" collapsed="false">
      <c r="A51" s="27"/>
      <c r="B51" s="28" t="e">
        <f aca="false">IFERROR(IF(ISNUMBER(A51),TEXT(YEAR(A51)-2000,"00")&amp;CEILING(MONTH(A51)/3,1),NA()),NA())</f>
        <v>#N/A</v>
      </c>
      <c r="C51" s="18" t="n">
        <f aca="false">IFERROR(YEAR(A51),0)</f>
        <v>1899</v>
      </c>
      <c r="D51" s="29"/>
      <c r="E51" s="20" t="e">
        <f aca="false">IFERROR(D51/D50-1,NA())</f>
        <v>#N/A</v>
      </c>
      <c r="F51" s="20" t="e">
        <f aca="false">IFERROR(D51/D47-1,NA())</f>
        <v>#N/A</v>
      </c>
      <c r="G51" s="21" t="e">
        <f aca="false">IF(COUNT(D48:D51)=4,SUM(D48:D51),NA())</f>
        <v>#N/A</v>
      </c>
    </row>
    <row r="52" customFormat="false" ht="15" hidden="false" customHeight="false" outlineLevel="0" collapsed="false">
      <c r="A52" s="27"/>
      <c r="B52" s="28" t="e">
        <f aca="false">IFERROR(IF(ISNUMBER(A52),TEXT(YEAR(A52)-2000,"00")&amp;CEILING(MONTH(A52)/3,1),NA()),NA())</f>
        <v>#N/A</v>
      </c>
      <c r="C52" s="18" t="n">
        <f aca="false">IFERROR(YEAR(A52),0)</f>
        <v>1899</v>
      </c>
      <c r="D52" s="29"/>
      <c r="E52" s="20" t="e">
        <f aca="false">IFERROR(D52/D51-1,NA())</f>
        <v>#N/A</v>
      </c>
      <c r="F52" s="20" t="e">
        <f aca="false">IFERROR(D52/D48-1,NA())</f>
        <v>#N/A</v>
      </c>
      <c r="G52" s="21" t="e">
        <f aca="false">IF(COUNT(D49:D52)=4,SUM(D49:D52),NA())</f>
        <v>#N/A</v>
      </c>
    </row>
    <row r="53" customFormat="false" ht="15" hidden="false" customHeight="false" outlineLevel="0" collapsed="false">
      <c r="A53" s="27"/>
      <c r="B53" s="28" t="e">
        <f aca="false">IFERROR(IF(ISNUMBER(A53),TEXT(YEAR(A53)-2000,"00")&amp;CEILING(MONTH(A53)/3,1),NA()),NA())</f>
        <v>#N/A</v>
      </c>
      <c r="C53" s="18" t="n">
        <f aca="false">IFERROR(YEAR(A53),0)</f>
        <v>1899</v>
      </c>
      <c r="D53" s="29"/>
      <c r="E53" s="20" t="e">
        <f aca="false">IFERROR(D53/D52-1,NA())</f>
        <v>#N/A</v>
      </c>
      <c r="F53" s="20" t="e">
        <f aca="false">IFERROR(D53/D49-1,NA())</f>
        <v>#N/A</v>
      </c>
      <c r="G53" s="21" t="e">
        <f aca="false">IF(COUNT(D50:D53)=4,SUM(D50:D53),NA())</f>
        <v>#N/A</v>
      </c>
    </row>
    <row r="54" customFormat="false" ht="15" hidden="false" customHeight="false" outlineLevel="0" collapsed="false">
      <c r="A54" s="27"/>
      <c r="B54" s="28" t="e">
        <f aca="false">IFERROR(IF(ISNUMBER(A54),TEXT(YEAR(A54)-2000,"00")&amp;CEILING(MONTH(A54)/3,1),NA()),NA())</f>
        <v>#N/A</v>
      </c>
      <c r="C54" s="18" t="n">
        <f aca="false">IFERROR(YEAR(A54),0)</f>
        <v>1899</v>
      </c>
      <c r="D54" s="29"/>
      <c r="E54" s="20" t="e">
        <f aca="false">IFERROR(D54/D53-1,NA())</f>
        <v>#N/A</v>
      </c>
      <c r="F54" s="20" t="e">
        <f aca="false">IFERROR(D54/D50-1,NA())</f>
        <v>#N/A</v>
      </c>
      <c r="G54" s="21" t="e">
        <f aca="false">IF(COUNT(D51:D54)=4,SUM(D51:D54),NA())</f>
        <v>#N/A</v>
      </c>
    </row>
    <row r="55" customFormat="false" ht="15" hidden="false" customHeight="false" outlineLevel="0" collapsed="false">
      <c r="A55" s="27"/>
      <c r="B55" s="28" t="e">
        <f aca="false">IFERROR(IF(ISNUMBER(A55),TEXT(YEAR(A55)-2000,"00")&amp;CEILING(MONTH(A55)/3,1),NA()),NA())</f>
        <v>#N/A</v>
      </c>
      <c r="C55" s="18" t="n">
        <f aca="false">IFERROR(YEAR(A55),0)</f>
        <v>1899</v>
      </c>
      <c r="D55" s="29"/>
      <c r="E55" s="20" t="e">
        <f aca="false">IFERROR(D55/D54-1,NA())</f>
        <v>#N/A</v>
      </c>
      <c r="F55" s="20" t="e">
        <f aca="false">IFERROR(D55/D51-1,NA())</f>
        <v>#N/A</v>
      </c>
      <c r="G55" s="21" t="e">
        <f aca="false">IF(COUNT(D52:D55)=4,SUM(D52:D55),NA())</f>
        <v>#N/A</v>
      </c>
    </row>
    <row r="56" customFormat="false" ht="15" hidden="false" customHeight="false" outlineLevel="0" collapsed="false">
      <c r="A56" s="27"/>
      <c r="B56" s="28" t="e">
        <f aca="false">IFERROR(IF(ISNUMBER(A56),TEXT(YEAR(A56)-2000,"00")&amp;CEILING(MONTH(A56)/3,1),NA()),NA())</f>
        <v>#N/A</v>
      </c>
      <c r="C56" s="18" t="n">
        <f aca="false">IFERROR(YEAR(A56),0)</f>
        <v>1899</v>
      </c>
      <c r="D56" s="29"/>
      <c r="E56" s="20" t="e">
        <f aca="false">IFERROR(D56/D55-1,NA())</f>
        <v>#N/A</v>
      </c>
      <c r="F56" s="20" t="e">
        <f aca="false">IFERROR(D56/D52-1,NA())</f>
        <v>#N/A</v>
      </c>
      <c r="G56" s="21" t="e">
        <f aca="false">IF(COUNT(D53:D56)=4,SUM(D53:D56),NA())</f>
        <v>#N/A</v>
      </c>
    </row>
    <row r="57" customFormat="false" ht="15" hidden="false" customHeight="false" outlineLevel="0" collapsed="false">
      <c r="A57" s="27"/>
      <c r="B57" s="28" t="e">
        <f aca="false">IFERROR(IF(ISNUMBER(A57),TEXT(YEAR(A57)-2000,"00")&amp;CEILING(MONTH(A57)/3,1),NA()),NA())</f>
        <v>#N/A</v>
      </c>
      <c r="C57" s="18" t="n">
        <f aca="false">IFERROR(YEAR(A57),0)</f>
        <v>1899</v>
      </c>
      <c r="D57" s="29"/>
      <c r="E57" s="20" t="e">
        <f aca="false">IFERROR(D57/D56-1,NA())</f>
        <v>#N/A</v>
      </c>
      <c r="F57" s="20" t="e">
        <f aca="false">IFERROR(D57/D53-1,NA())</f>
        <v>#N/A</v>
      </c>
      <c r="G57" s="21" t="e">
        <f aca="false">IF(COUNT(D54:D57)=4,SUM(D54:D57),NA())</f>
        <v>#N/A</v>
      </c>
    </row>
    <row r="58" customFormat="false" ht="15" hidden="false" customHeight="false" outlineLevel="0" collapsed="false">
      <c r="A58" s="27"/>
      <c r="B58" s="28" t="e">
        <f aca="false">IFERROR(IF(ISNUMBER(A58),TEXT(YEAR(A58)-2000,"00")&amp;CEILING(MONTH(A58)/3,1),NA()),NA())</f>
        <v>#N/A</v>
      </c>
      <c r="C58" s="18" t="n">
        <f aca="false">IFERROR(YEAR(A58),0)</f>
        <v>1899</v>
      </c>
      <c r="D58" s="29"/>
      <c r="E58" s="20" t="e">
        <f aca="false">IFERROR(D58/D57-1,NA())</f>
        <v>#N/A</v>
      </c>
      <c r="F58" s="20" t="e">
        <f aca="false">IFERROR(D58/D54-1,NA())</f>
        <v>#N/A</v>
      </c>
      <c r="G58" s="21" t="e">
        <f aca="false">IF(COUNT(D55:D58)=4,SUM(D55:D58),NA())</f>
        <v>#N/A</v>
      </c>
    </row>
    <row r="59" customFormat="false" ht="15" hidden="false" customHeight="false" outlineLevel="0" collapsed="false">
      <c r="A59" s="27"/>
      <c r="B59" s="28" t="e">
        <f aca="false">IFERROR(IF(ISNUMBER(A59),TEXT(YEAR(A59)-2000,"00")&amp;CEILING(MONTH(A59)/3,1),NA()),NA())</f>
        <v>#N/A</v>
      </c>
      <c r="C59" s="18" t="n">
        <f aca="false">IFERROR(YEAR(A59),0)</f>
        <v>1899</v>
      </c>
      <c r="D59" s="29"/>
      <c r="E59" s="20" t="e">
        <f aca="false">IFERROR(D59/D58-1,NA())</f>
        <v>#N/A</v>
      </c>
      <c r="F59" s="20" t="e">
        <f aca="false">IFERROR(D59/D55-1,NA())</f>
        <v>#N/A</v>
      </c>
      <c r="G59" s="21" t="e">
        <f aca="false">IF(COUNT(D56:D59)=4,SUM(D56:D59),NA())</f>
        <v>#N/A</v>
      </c>
    </row>
    <row r="60" customFormat="false" ht="15" hidden="false" customHeight="false" outlineLevel="0" collapsed="false">
      <c r="A60" s="27"/>
      <c r="B60" s="28" t="e">
        <f aca="false">IFERROR(IF(ISNUMBER(A60),TEXT(YEAR(A60)-2000,"00")&amp;CEILING(MONTH(A60)/3,1),NA()),NA())</f>
        <v>#N/A</v>
      </c>
      <c r="C60" s="18" t="n">
        <f aca="false">IFERROR(YEAR(A60),0)</f>
        <v>1899</v>
      </c>
      <c r="D60" s="29"/>
      <c r="E60" s="20" t="e">
        <f aca="false">IFERROR(D60/D59-1,NA())</f>
        <v>#N/A</v>
      </c>
      <c r="F60" s="20" t="e">
        <f aca="false">IFERROR(D60/D56-1,NA())</f>
        <v>#N/A</v>
      </c>
      <c r="G60" s="21" t="e">
        <f aca="false">IF(COUNT(D57:D60)=4,SUM(D57:D60),NA())</f>
        <v>#N/A</v>
      </c>
    </row>
    <row r="61" customFormat="false" ht="15" hidden="false" customHeight="false" outlineLevel="0" collapsed="false">
      <c r="A61" s="27"/>
      <c r="B61" s="28" t="e">
        <f aca="false">IFERROR(IF(ISNUMBER(A61),TEXT(YEAR(A61)-2000,"00")&amp;CEILING(MONTH(A61)/3,1),NA()),NA())</f>
        <v>#N/A</v>
      </c>
      <c r="C61" s="18" t="n">
        <f aca="false">IFERROR(YEAR(A61),0)</f>
        <v>1899</v>
      </c>
      <c r="D61" s="29"/>
      <c r="E61" s="20" t="e">
        <f aca="false">IFERROR(D61/D60-1,NA())</f>
        <v>#N/A</v>
      </c>
      <c r="F61" s="20" t="e">
        <f aca="false">IFERROR(D61/D57-1,NA())</f>
        <v>#N/A</v>
      </c>
      <c r="G61" s="21" t="e">
        <f aca="false">IF(COUNT(D58:D61)=4,SUM(D58:D61),NA())</f>
        <v>#N/A</v>
      </c>
    </row>
    <row r="62" customFormat="false" ht="15" hidden="false" customHeight="false" outlineLevel="0" collapsed="false">
      <c r="A62" s="27"/>
      <c r="B62" s="28" t="e">
        <f aca="false">IFERROR(IF(ISNUMBER(A62),TEXT(YEAR(A62)-2000,"00")&amp;CEILING(MONTH(A62)/3,1),NA()),NA())</f>
        <v>#N/A</v>
      </c>
      <c r="C62" s="18" t="n">
        <f aca="false">IFERROR(YEAR(A62),0)</f>
        <v>1899</v>
      </c>
      <c r="D62" s="29"/>
      <c r="E62" s="20" t="e">
        <f aca="false">IFERROR(D62/D61-1,NA())</f>
        <v>#N/A</v>
      </c>
      <c r="F62" s="20" t="e">
        <f aca="false">IFERROR(D62/D58-1,NA())</f>
        <v>#N/A</v>
      </c>
      <c r="G62" s="21" t="e">
        <f aca="false">IF(COUNT(D59:D62)=4,SUM(D59:D62),NA())</f>
        <v>#N/A</v>
      </c>
    </row>
    <row r="63" customFormat="false" ht="15" hidden="false" customHeight="false" outlineLevel="0" collapsed="false">
      <c r="A63" s="27"/>
      <c r="B63" s="28" t="e">
        <f aca="false">IFERROR(IF(ISNUMBER(A63),TEXT(YEAR(A63)-2000,"00")&amp;CEILING(MONTH(A63)/3,1),NA()),NA())</f>
        <v>#N/A</v>
      </c>
      <c r="C63" s="18" t="n">
        <f aca="false">IFERROR(YEAR(A63),0)</f>
        <v>1899</v>
      </c>
      <c r="D63" s="29"/>
      <c r="E63" s="20" t="e">
        <f aca="false">IFERROR(D63/D62-1,NA())</f>
        <v>#N/A</v>
      </c>
      <c r="F63" s="20" t="e">
        <f aca="false">IFERROR(D63/D59-1,NA())</f>
        <v>#N/A</v>
      </c>
      <c r="G63" s="21" t="e">
        <f aca="false">IF(COUNT(D60:D63)=4,SUM(D60:D63),NA())</f>
        <v>#N/A</v>
      </c>
    </row>
    <row r="64" customFormat="false" ht="15" hidden="false" customHeight="false" outlineLevel="0" collapsed="false">
      <c r="A64" s="27"/>
      <c r="B64" s="28" t="e">
        <f aca="false">IFERROR(IF(ISNUMBER(A64),TEXT(YEAR(A64)-2000,"00")&amp;CEILING(MONTH(A64)/3,1),NA()),NA())</f>
        <v>#N/A</v>
      </c>
      <c r="C64" s="18" t="n">
        <f aca="false">IFERROR(YEAR(A64),0)</f>
        <v>1899</v>
      </c>
      <c r="D64" s="29"/>
      <c r="E64" s="20" t="e">
        <f aca="false">IFERROR(D64/D63-1,NA())</f>
        <v>#N/A</v>
      </c>
      <c r="F64" s="20" t="e">
        <f aca="false">IFERROR(D64/D60-1,NA())</f>
        <v>#N/A</v>
      </c>
      <c r="G64" s="21" t="e">
        <f aca="false">IF(COUNT(D61:D64)=4,SUM(D61:D64),NA())</f>
        <v>#N/A</v>
      </c>
    </row>
    <row r="65" customFormat="false" ht="15" hidden="false" customHeight="false" outlineLevel="0" collapsed="false">
      <c r="A65" s="27"/>
      <c r="B65" s="28" t="e">
        <f aca="false">IFERROR(IF(ISNUMBER(A65),TEXT(YEAR(A65)-2000,"00")&amp;CEILING(MONTH(A65)/3,1),NA()),NA())</f>
        <v>#N/A</v>
      </c>
      <c r="C65" s="18" t="n">
        <f aca="false">IFERROR(YEAR(A65),0)</f>
        <v>1899</v>
      </c>
      <c r="D65" s="29"/>
      <c r="E65" s="20" t="e">
        <f aca="false">IFERROR(D65/D64-1,NA())</f>
        <v>#N/A</v>
      </c>
      <c r="F65" s="20" t="e">
        <f aca="false">IFERROR(D65/D61-1,NA())</f>
        <v>#N/A</v>
      </c>
      <c r="G65" s="21" t="e">
        <f aca="false">IF(COUNT(D62:D65)=4,SUM(D62:D65),NA())</f>
        <v>#N/A</v>
      </c>
    </row>
    <row r="66" customFormat="false" ht="15" hidden="false" customHeight="false" outlineLevel="0" collapsed="false">
      <c r="A66" s="27"/>
      <c r="B66" s="28" t="e">
        <f aca="false">IFERROR(IF(ISNUMBER(A66),TEXT(YEAR(A66)-2000,"00")&amp;CEILING(MONTH(A66)/3,1),NA()),NA())</f>
        <v>#N/A</v>
      </c>
      <c r="C66" s="18" t="n">
        <f aca="false">IFERROR(YEAR(A66),0)</f>
        <v>1899</v>
      </c>
      <c r="D66" s="29"/>
      <c r="E66" s="20" t="e">
        <f aca="false">IFERROR(D66/D65-1,NA())</f>
        <v>#N/A</v>
      </c>
      <c r="F66" s="20" t="e">
        <f aca="false">IFERROR(D66/D62-1,NA())</f>
        <v>#N/A</v>
      </c>
      <c r="G66" s="21" t="e">
        <f aca="false">IF(COUNT(D63:D66)=4,SUM(D63:D66),NA())</f>
        <v>#N/A</v>
      </c>
    </row>
    <row r="67" customFormat="false" ht="15" hidden="false" customHeight="false" outlineLevel="0" collapsed="false">
      <c r="A67" s="27"/>
      <c r="B67" s="28" t="e">
        <f aca="false">IFERROR(IF(ISNUMBER(A67),TEXT(YEAR(A67)-2000,"00")&amp;CEILING(MONTH(A67)/3,1),NA()),NA())</f>
        <v>#N/A</v>
      </c>
      <c r="C67" s="18" t="n">
        <f aca="false">IFERROR(YEAR(A67),0)</f>
        <v>1899</v>
      </c>
      <c r="D67" s="29"/>
      <c r="E67" s="20" t="e">
        <f aca="false">IFERROR(D67/D66-1,NA())</f>
        <v>#N/A</v>
      </c>
      <c r="F67" s="20" t="e">
        <f aca="false">IFERROR(D67/D63-1,NA())</f>
        <v>#N/A</v>
      </c>
      <c r="G67" s="21" t="e">
        <f aca="false">IF(COUNT(D64:D67)=4,SUM(D64:D67),NA())</f>
        <v>#N/A</v>
      </c>
    </row>
    <row r="68" customFormat="false" ht="15" hidden="false" customHeight="false" outlineLevel="0" collapsed="false">
      <c r="A68" s="27"/>
      <c r="B68" s="28" t="e">
        <f aca="false">IFERROR(IF(ISNUMBER(A68),TEXT(YEAR(A68)-2000,"00")&amp;CEILING(MONTH(A68)/3,1),NA()),NA())</f>
        <v>#N/A</v>
      </c>
      <c r="C68" s="18" t="n">
        <f aca="false">IFERROR(YEAR(A68),0)</f>
        <v>1899</v>
      </c>
      <c r="D68" s="29"/>
      <c r="E68" s="20" t="e">
        <f aca="false">IFERROR(D68/D67-1,NA())</f>
        <v>#N/A</v>
      </c>
      <c r="F68" s="20" t="e">
        <f aca="false">IFERROR(D68/D64-1,NA())</f>
        <v>#N/A</v>
      </c>
      <c r="G68" s="21" t="e">
        <f aca="false">IF(COUNT(D65:D68)=4,SUM(D65:D68),NA())</f>
        <v>#N/A</v>
      </c>
    </row>
    <row r="69" customFormat="false" ht="15" hidden="false" customHeight="false" outlineLevel="0" collapsed="false">
      <c r="A69" s="27"/>
      <c r="B69" s="28" t="e">
        <f aca="false">IFERROR(IF(ISNUMBER(A69),TEXT(YEAR(A69)-2000,"00")&amp;CEILING(MONTH(A69)/3,1),NA()),NA())</f>
        <v>#N/A</v>
      </c>
      <c r="C69" s="18" t="n">
        <f aca="false">IFERROR(YEAR(A69),0)</f>
        <v>1899</v>
      </c>
      <c r="D69" s="29"/>
      <c r="E69" s="20" t="e">
        <f aca="false">IFERROR(D69/D68-1,NA())</f>
        <v>#N/A</v>
      </c>
      <c r="F69" s="20" t="e">
        <f aca="false">IFERROR(D69/D65-1,NA())</f>
        <v>#N/A</v>
      </c>
      <c r="G69" s="21" t="e">
        <f aca="false">IF(COUNT(D66:D69)=4,SUM(D66:D69),NA())</f>
        <v>#N/A</v>
      </c>
    </row>
    <row r="70" customFormat="false" ht="15" hidden="false" customHeight="false" outlineLevel="0" collapsed="false">
      <c r="A70" s="27"/>
      <c r="B70" s="28" t="e">
        <f aca="false">IFERROR(IF(ISNUMBER(A70),TEXT(YEAR(A70)-2000,"00")&amp;CEILING(MONTH(A70)/3,1),NA()),NA())</f>
        <v>#N/A</v>
      </c>
      <c r="C70" s="18" t="n">
        <f aca="false">IFERROR(YEAR(A70),0)</f>
        <v>1899</v>
      </c>
      <c r="D70" s="29"/>
      <c r="E70" s="20" t="e">
        <f aca="false">IFERROR(D70/D69-1,NA())</f>
        <v>#N/A</v>
      </c>
      <c r="F70" s="20" t="e">
        <f aca="false">IFERROR(D70/D66-1,NA())</f>
        <v>#N/A</v>
      </c>
      <c r="G70" s="21" t="e">
        <f aca="false">IF(COUNT(D67:D70)=4,SUM(D67:D70),NA())</f>
        <v>#N/A</v>
      </c>
    </row>
    <row r="71" customFormat="false" ht="15" hidden="false" customHeight="false" outlineLevel="0" collapsed="false">
      <c r="A71" s="27"/>
      <c r="B71" s="28" t="e">
        <f aca="false">IFERROR(IF(ISNUMBER(A71),TEXT(YEAR(A71)-2000,"00")&amp;CEILING(MONTH(A71)/3,1),NA()),NA())</f>
        <v>#N/A</v>
      </c>
      <c r="C71" s="18" t="n">
        <f aca="false">IFERROR(YEAR(A71),0)</f>
        <v>1899</v>
      </c>
      <c r="D71" s="29"/>
      <c r="E71" s="20" t="e">
        <f aca="false">IFERROR(D71/D70-1,NA())</f>
        <v>#N/A</v>
      </c>
      <c r="F71" s="20" t="e">
        <f aca="false">IFERROR(D71/D67-1,NA())</f>
        <v>#N/A</v>
      </c>
      <c r="G71" s="21" t="e">
        <f aca="false">IF(COUNT(D68:D71)=4,SUM(D68:D71),NA())</f>
        <v>#N/A</v>
      </c>
    </row>
    <row r="72" customFormat="false" ht="15" hidden="false" customHeight="false" outlineLevel="0" collapsed="false">
      <c r="A72" s="27"/>
      <c r="B72" s="28" t="e">
        <f aca="false">IFERROR(IF(ISNUMBER(A72),TEXT(YEAR(A72)-2000,"00")&amp;CEILING(MONTH(A72)/3,1),NA()),NA())</f>
        <v>#N/A</v>
      </c>
      <c r="C72" s="18" t="n">
        <f aca="false">IFERROR(YEAR(A72),0)</f>
        <v>1899</v>
      </c>
      <c r="D72" s="29"/>
      <c r="E72" s="20" t="e">
        <f aca="false">IFERROR(D72/D71-1,NA())</f>
        <v>#N/A</v>
      </c>
      <c r="F72" s="20" t="e">
        <f aca="false">IFERROR(D72/D68-1,NA())</f>
        <v>#N/A</v>
      </c>
      <c r="G72" s="21" t="e">
        <f aca="false">IF(COUNT(D69:D72)=4,SUM(D69:D72),NA())</f>
        <v>#N/A</v>
      </c>
    </row>
    <row r="73" customFormat="false" ht="15" hidden="false" customHeight="false" outlineLevel="0" collapsed="false">
      <c r="A73" s="27"/>
      <c r="B73" s="28" t="e">
        <f aca="false">IFERROR(IF(ISNUMBER(A73),TEXT(YEAR(A73)-2000,"00")&amp;CEILING(MONTH(A73)/3,1),NA()),NA())</f>
        <v>#N/A</v>
      </c>
      <c r="C73" s="18" t="n">
        <f aca="false">IFERROR(YEAR(A73),0)</f>
        <v>1899</v>
      </c>
      <c r="D73" s="29"/>
      <c r="E73" s="20" t="e">
        <f aca="false">IFERROR(D73/D72-1,NA())</f>
        <v>#N/A</v>
      </c>
      <c r="F73" s="20" t="e">
        <f aca="false">IFERROR(D73/D69-1,NA())</f>
        <v>#N/A</v>
      </c>
      <c r="G73" s="21" t="e">
        <f aca="false">IF(COUNT(D70:D73)=4,SUM(D70:D73),NA())</f>
        <v>#N/A</v>
      </c>
    </row>
    <row r="74" customFormat="false" ht="15" hidden="false" customHeight="false" outlineLevel="0" collapsed="false">
      <c r="A74" s="27"/>
      <c r="B74" s="28" t="e">
        <f aca="false">IFERROR(IF(ISNUMBER(A74),TEXT(YEAR(A74)-2000,"00")&amp;CEILING(MONTH(A74)/3,1),NA()),NA())</f>
        <v>#N/A</v>
      </c>
      <c r="C74" s="18" t="n">
        <f aca="false">IFERROR(YEAR(A74),0)</f>
        <v>1899</v>
      </c>
      <c r="D74" s="29"/>
      <c r="E74" s="20" t="e">
        <f aca="false">IFERROR(D74/D73-1,NA())</f>
        <v>#N/A</v>
      </c>
      <c r="F74" s="20" t="e">
        <f aca="false">IFERROR(D74/D70-1,NA())</f>
        <v>#N/A</v>
      </c>
      <c r="G74" s="21" t="e">
        <f aca="false">IF(COUNT(D71:D74)=4,SUM(D71:D74),NA())</f>
        <v>#N/A</v>
      </c>
    </row>
    <row r="75" customFormat="false" ht="15" hidden="false" customHeight="false" outlineLevel="0" collapsed="false">
      <c r="A75" s="27"/>
      <c r="B75" s="28" t="e">
        <f aca="false">IFERROR(IF(ISNUMBER(A75),TEXT(YEAR(A75)-2000,"00")&amp;CEILING(MONTH(A75)/3,1),NA()),NA())</f>
        <v>#N/A</v>
      </c>
      <c r="C75" s="18" t="n">
        <f aca="false">IFERROR(YEAR(A75),0)</f>
        <v>1899</v>
      </c>
      <c r="D75" s="29"/>
      <c r="E75" s="20" t="e">
        <f aca="false">IFERROR(D75/D74-1,NA())</f>
        <v>#N/A</v>
      </c>
      <c r="F75" s="20" t="e">
        <f aca="false">IFERROR(D75/D71-1,NA())</f>
        <v>#N/A</v>
      </c>
      <c r="G75" s="21" t="e">
        <f aca="false">IF(COUNT(D72:D75)=4,SUM(D72:D75),NA())</f>
        <v>#N/A</v>
      </c>
    </row>
    <row r="76" customFormat="false" ht="15" hidden="false" customHeight="false" outlineLevel="0" collapsed="false">
      <c r="A76" s="27"/>
      <c r="B76" s="28" t="e">
        <f aca="false">IFERROR(IF(ISNUMBER(A76),TEXT(YEAR(A76)-2000,"00")&amp;CEILING(MONTH(A76)/3,1),NA()),NA())</f>
        <v>#N/A</v>
      </c>
      <c r="C76" s="18" t="n">
        <f aca="false">IFERROR(YEAR(A76),0)</f>
        <v>1899</v>
      </c>
      <c r="D76" s="29"/>
      <c r="E76" s="20" t="e">
        <f aca="false">IFERROR(D76/D75-1,NA())</f>
        <v>#N/A</v>
      </c>
      <c r="F76" s="20" t="e">
        <f aca="false">IFERROR(D76/D72-1,NA())</f>
        <v>#N/A</v>
      </c>
      <c r="G76" s="21" t="e">
        <f aca="false">IF(COUNT(D73:D76)=4,SUM(D73:D76),NA())</f>
        <v>#N/A</v>
      </c>
    </row>
    <row r="77" customFormat="false" ht="15" hidden="false" customHeight="false" outlineLevel="0" collapsed="false">
      <c r="A77" s="27"/>
      <c r="B77" s="28" t="e">
        <f aca="false">IFERROR(IF(ISNUMBER(A77),TEXT(YEAR(A77)-2000,"00")&amp;CEILING(MONTH(A77)/3,1),NA()),NA())</f>
        <v>#N/A</v>
      </c>
      <c r="C77" s="18" t="n">
        <f aca="false">IFERROR(YEAR(A77),0)</f>
        <v>1899</v>
      </c>
      <c r="D77" s="29"/>
      <c r="E77" s="20" t="e">
        <f aca="false">IFERROR(D77/D76-1,NA())</f>
        <v>#N/A</v>
      </c>
      <c r="F77" s="20" t="e">
        <f aca="false">IFERROR(D77/D73-1,NA())</f>
        <v>#N/A</v>
      </c>
      <c r="G77" s="21" t="e">
        <f aca="false">IF(COUNT(D74:D77)=4,SUM(D74:D77),NA())</f>
        <v>#N/A</v>
      </c>
    </row>
    <row r="78" customFormat="false" ht="15" hidden="false" customHeight="false" outlineLevel="0" collapsed="false">
      <c r="A78" s="27"/>
      <c r="B78" s="28" t="e">
        <f aca="false">IFERROR(IF(ISNUMBER(A78),TEXT(YEAR(A78)-2000,"00")&amp;CEILING(MONTH(A78)/3,1),NA()),NA())</f>
        <v>#N/A</v>
      </c>
      <c r="C78" s="18" t="n">
        <f aca="false">IFERROR(YEAR(A78),0)</f>
        <v>1899</v>
      </c>
      <c r="D78" s="29"/>
      <c r="E78" s="20" t="e">
        <f aca="false">IFERROR(D78/D77-1,NA())</f>
        <v>#N/A</v>
      </c>
      <c r="F78" s="20" t="e">
        <f aca="false">IFERROR(D78/D74-1,NA())</f>
        <v>#N/A</v>
      </c>
      <c r="G78" s="21" t="e">
        <f aca="false">IF(COUNT(D75:D78)=4,SUM(D75:D78),NA())</f>
        <v>#N/A</v>
      </c>
    </row>
    <row r="79" customFormat="false" ht="15" hidden="false" customHeight="false" outlineLevel="0" collapsed="false">
      <c r="A79" s="27"/>
      <c r="B79" s="28" t="e">
        <f aca="false">IFERROR(IF(ISNUMBER(A79),TEXT(YEAR(A79)-2000,"00")&amp;CEILING(MONTH(A79)/3,1),NA()),NA())</f>
        <v>#N/A</v>
      </c>
      <c r="C79" s="18" t="n">
        <f aca="false">IFERROR(YEAR(A79),0)</f>
        <v>1899</v>
      </c>
      <c r="D79" s="29"/>
      <c r="E79" s="20" t="e">
        <f aca="false">IFERROR(D79/D78-1,NA())</f>
        <v>#N/A</v>
      </c>
      <c r="F79" s="20" t="e">
        <f aca="false">IFERROR(D79/D75-1,NA())</f>
        <v>#N/A</v>
      </c>
      <c r="G79" s="21" t="e">
        <f aca="false">IF(COUNT(D76:D79)=4,SUM(D76:D79),NA())</f>
        <v>#N/A</v>
      </c>
    </row>
    <row r="80" customFormat="false" ht="15" hidden="false" customHeight="false" outlineLevel="0" collapsed="false">
      <c r="A80" s="27"/>
      <c r="B80" s="28" t="e">
        <f aca="false">IFERROR(IF(ISNUMBER(A80),TEXT(YEAR(A80)-2000,"00")&amp;CEILING(MONTH(A80)/3,1),NA()),NA())</f>
        <v>#N/A</v>
      </c>
      <c r="C80" s="18" t="n">
        <f aca="false">IFERROR(YEAR(A80),0)</f>
        <v>1899</v>
      </c>
      <c r="D80" s="29"/>
      <c r="E80" s="20" t="e">
        <f aca="false">IFERROR(D80/D79-1,NA())</f>
        <v>#N/A</v>
      </c>
      <c r="F80" s="20" t="e">
        <f aca="false">IFERROR(D80/D76-1,NA())</f>
        <v>#N/A</v>
      </c>
      <c r="G80" s="21" t="e">
        <f aca="false">IF(COUNT(D77:D80)=4,SUM(D77:D80),NA())</f>
        <v>#N/A</v>
      </c>
    </row>
    <row r="81" customFormat="false" ht="15" hidden="false" customHeight="false" outlineLevel="0" collapsed="false">
      <c r="A81" s="27"/>
      <c r="B81" s="28" t="e">
        <f aca="false">IFERROR(IF(ISNUMBER(A81),TEXT(YEAR(A81)-2000,"00")&amp;CEILING(MONTH(A81)/3,1),NA()),NA())</f>
        <v>#N/A</v>
      </c>
      <c r="C81" s="18" t="n">
        <f aca="false">IFERROR(YEAR(A81),0)</f>
        <v>1899</v>
      </c>
      <c r="D81" s="29"/>
      <c r="E81" s="20" t="e">
        <f aca="false">IFERROR(D81/D80-1,NA())</f>
        <v>#N/A</v>
      </c>
      <c r="F81" s="20" t="e">
        <f aca="false">IFERROR(D81/D77-1,NA())</f>
        <v>#N/A</v>
      </c>
      <c r="G81" s="21" t="e">
        <f aca="false">IF(COUNT(D78:D81)=4,SUM(D78:D81),NA())</f>
        <v>#N/A</v>
      </c>
    </row>
    <row r="82" customFormat="false" ht="15" hidden="false" customHeight="false" outlineLevel="0" collapsed="false">
      <c r="A82" s="27"/>
      <c r="B82" s="28" t="e">
        <f aca="false">IFERROR(IF(ISNUMBER(A82),TEXT(YEAR(A82)-2000,"00")&amp;CEILING(MONTH(A82)/3,1),NA()),NA())</f>
        <v>#N/A</v>
      </c>
      <c r="C82" s="18" t="n">
        <f aca="false">IFERROR(YEAR(A82),0)</f>
        <v>1899</v>
      </c>
      <c r="D82" s="29"/>
      <c r="E82" s="20" t="e">
        <f aca="false">IFERROR(D82/D81-1,NA())</f>
        <v>#N/A</v>
      </c>
      <c r="F82" s="20" t="e">
        <f aca="false">IFERROR(D82/D78-1,NA())</f>
        <v>#N/A</v>
      </c>
      <c r="G82" s="21" t="e">
        <f aca="false">IF(COUNT(D79:D82)=4,SUM(D79:D82),NA())</f>
        <v>#N/A</v>
      </c>
    </row>
    <row r="83" customFormat="false" ht="15" hidden="false" customHeight="false" outlineLevel="0" collapsed="false">
      <c r="A83" s="27"/>
      <c r="B83" s="28" t="e">
        <f aca="false">IFERROR(IF(ISNUMBER(A83),TEXT(YEAR(A83)-2000,"00")&amp;CEILING(MONTH(A83)/3,1),NA()),NA())</f>
        <v>#N/A</v>
      </c>
      <c r="C83" s="18" t="n">
        <f aca="false">IFERROR(YEAR(A83),0)</f>
        <v>1899</v>
      </c>
      <c r="D83" s="29"/>
      <c r="E83" s="20" t="e">
        <f aca="false">IFERROR(D83/D82-1,NA())</f>
        <v>#N/A</v>
      </c>
      <c r="F83" s="20" t="e">
        <f aca="false">IFERROR(D83/D79-1,NA())</f>
        <v>#N/A</v>
      </c>
      <c r="G83" s="21" t="e">
        <f aca="false">IF(COUNT(D80:D83)=4,SUM(D80:D83),NA())</f>
        <v>#N/A</v>
      </c>
    </row>
    <row r="84" customFormat="false" ht="15" hidden="false" customHeight="false" outlineLevel="0" collapsed="false">
      <c r="A84" s="27"/>
      <c r="B84" s="28" t="e">
        <f aca="false">IFERROR(IF(ISNUMBER(A84),TEXT(YEAR(A84)-2000,"00")&amp;CEILING(MONTH(A84)/3,1),NA()),NA())</f>
        <v>#N/A</v>
      </c>
      <c r="C84" s="18" t="n">
        <f aca="false">IFERROR(YEAR(A84),0)</f>
        <v>1899</v>
      </c>
      <c r="D84" s="29"/>
      <c r="E84" s="20" t="e">
        <f aca="false">IFERROR(D84/D83-1,NA())</f>
        <v>#N/A</v>
      </c>
      <c r="F84" s="20" t="e">
        <f aca="false">IFERROR(D84/D80-1,NA())</f>
        <v>#N/A</v>
      </c>
      <c r="G84" s="21" t="e">
        <f aca="false">IF(COUNT(D81:D84)=4,SUM(D81:D84),NA())</f>
        <v>#N/A</v>
      </c>
    </row>
    <row r="85" customFormat="false" ht="15" hidden="false" customHeight="false" outlineLevel="0" collapsed="false">
      <c r="A85" s="27"/>
      <c r="B85" s="28" t="e">
        <f aca="false">IFERROR(IF(ISNUMBER(A85),TEXT(YEAR(A85)-2000,"00")&amp;CEILING(MONTH(A85)/3,1),NA()),NA())</f>
        <v>#N/A</v>
      </c>
      <c r="C85" s="18" t="n">
        <f aca="false">IFERROR(YEAR(A85),0)</f>
        <v>1899</v>
      </c>
      <c r="D85" s="29"/>
      <c r="E85" s="20" t="e">
        <f aca="false">IFERROR(D85/D84-1,NA())</f>
        <v>#N/A</v>
      </c>
      <c r="F85" s="20" t="e">
        <f aca="false">IFERROR(D85/D81-1,NA())</f>
        <v>#N/A</v>
      </c>
      <c r="G85" s="21" t="e">
        <f aca="false">IF(COUNT(D82:D85)=4,SUM(D82:D85),NA())</f>
        <v>#N/A</v>
      </c>
    </row>
    <row r="86" customFormat="false" ht="15" hidden="false" customHeight="false" outlineLevel="0" collapsed="false">
      <c r="A86" s="27"/>
      <c r="B86" s="28" t="e">
        <f aca="false">IFERROR(IF(ISNUMBER(A86),TEXT(YEAR(A86)-2000,"00")&amp;CEILING(MONTH(A86)/3,1),NA()),NA())</f>
        <v>#N/A</v>
      </c>
      <c r="C86" s="18" t="n">
        <f aca="false">IFERROR(YEAR(A86),0)</f>
        <v>1899</v>
      </c>
      <c r="D86" s="29"/>
      <c r="E86" s="20" t="e">
        <f aca="false">IFERROR(D86/D85-1,NA())</f>
        <v>#N/A</v>
      </c>
      <c r="F86" s="20" t="e">
        <f aca="false">IFERROR(D86/D82-1,NA())</f>
        <v>#N/A</v>
      </c>
      <c r="G86" s="21" t="e">
        <f aca="false">IF(COUNT(D83:D86)=4,SUM(D83:D86),NA())</f>
        <v>#N/A</v>
      </c>
    </row>
    <row r="87" customFormat="false" ht="15" hidden="false" customHeight="false" outlineLevel="0" collapsed="false">
      <c r="A87" s="27"/>
      <c r="B87" s="28" t="e">
        <f aca="false">IFERROR(IF(ISNUMBER(A87),TEXT(YEAR(A87)-2000,"00")&amp;CEILING(MONTH(A87)/3,1),NA()),NA())</f>
        <v>#N/A</v>
      </c>
      <c r="C87" s="18" t="n">
        <f aca="false">IFERROR(YEAR(A87),0)</f>
        <v>1899</v>
      </c>
      <c r="D87" s="29"/>
      <c r="E87" s="20" t="e">
        <f aca="false">IFERROR(D87/D86-1,NA())</f>
        <v>#N/A</v>
      </c>
      <c r="F87" s="20" t="e">
        <f aca="false">IFERROR(D87/D83-1,NA())</f>
        <v>#N/A</v>
      </c>
      <c r="G87" s="21" t="e">
        <f aca="false">IF(COUNT(D84:D87)=4,SUM(D84:D87),NA())</f>
        <v>#N/A</v>
      </c>
    </row>
    <row r="88" customFormat="false" ht="15" hidden="false" customHeight="false" outlineLevel="0" collapsed="false">
      <c r="A88" s="27"/>
      <c r="B88" s="28" t="e">
        <f aca="false">IFERROR(IF(ISNUMBER(A88),TEXT(YEAR(A88)-2000,"00")&amp;CEILING(MONTH(A88)/3,1),NA()),NA())</f>
        <v>#N/A</v>
      </c>
      <c r="C88" s="18" t="n">
        <f aca="false">IFERROR(YEAR(A88),0)</f>
        <v>1899</v>
      </c>
      <c r="D88" s="29"/>
      <c r="E88" s="20" t="e">
        <f aca="false">IFERROR(D88/D87-1,NA())</f>
        <v>#N/A</v>
      </c>
      <c r="F88" s="20" t="e">
        <f aca="false">IFERROR(D88/D84-1,NA())</f>
        <v>#N/A</v>
      </c>
      <c r="G88" s="21" t="e">
        <f aca="false">IF(COUNT(D85:D88)=4,SUM(D85:D88),NA())</f>
        <v>#N/A</v>
      </c>
    </row>
    <row r="89" customFormat="false" ht="15" hidden="false" customHeight="false" outlineLevel="0" collapsed="false">
      <c r="A89" s="27"/>
      <c r="B89" s="28" t="e">
        <f aca="false">IFERROR(IF(ISNUMBER(A89),TEXT(YEAR(A89)-2000,"00")&amp;CEILING(MONTH(A89)/3,1),NA()),NA())</f>
        <v>#N/A</v>
      </c>
      <c r="C89" s="18" t="n">
        <f aca="false">IFERROR(YEAR(A89),0)</f>
        <v>1899</v>
      </c>
      <c r="D89" s="29"/>
      <c r="E89" s="20" t="e">
        <f aca="false">IFERROR(D89/D88-1,NA())</f>
        <v>#N/A</v>
      </c>
      <c r="F89" s="20" t="e">
        <f aca="false">IFERROR(D89/D85-1,NA())</f>
        <v>#N/A</v>
      </c>
      <c r="G89" s="21" t="e">
        <f aca="false">IF(COUNT(D86:D89)=4,SUM(D86:D89),NA())</f>
        <v>#N/A</v>
      </c>
    </row>
    <row r="90" customFormat="false" ht="15" hidden="false" customHeight="false" outlineLevel="0" collapsed="false">
      <c r="A90" s="27"/>
      <c r="B90" s="28" t="e">
        <f aca="false">IFERROR(IF(ISNUMBER(A90),TEXT(YEAR(A90)-2000,"00")&amp;CEILING(MONTH(A90)/3,1),NA()),NA())</f>
        <v>#N/A</v>
      </c>
      <c r="C90" s="18" t="n">
        <f aca="false">IFERROR(YEAR(A90),0)</f>
        <v>1899</v>
      </c>
      <c r="D90" s="29"/>
      <c r="E90" s="20" t="e">
        <f aca="false">IFERROR(D90/D89-1,NA())</f>
        <v>#N/A</v>
      </c>
      <c r="F90" s="20" t="e">
        <f aca="false">IFERROR(D90/D86-1,NA())</f>
        <v>#N/A</v>
      </c>
      <c r="G90" s="21" t="e">
        <f aca="false">IF(COUNT(D87:D90)=4,SUM(D87:D90),NA())</f>
        <v>#N/A</v>
      </c>
    </row>
    <row r="91" customFormat="false" ht="15" hidden="false" customHeight="false" outlineLevel="0" collapsed="false">
      <c r="A91" s="27"/>
      <c r="B91" s="28" t="e">
        <f aca="false">IFERROR(IF(ISNUMBER(A91),TEXT(YEAR(A91)-2000,"00")&amp;CEILING(MONTH(A91)/3,1),NA()),NA())</f>
        <v>#N/A</v>
      </c>
      <c r="C91" s="18" t="n">
        <f aca="false">IFERROR(YEAR(A91),0)</f>
        <v>1899</v>
      </c>
      <c r="D91" s="29"/>
      <c r="E91" s="20" t="e">
        <f aca="false">IFERROR(D91/D90-1,NA())</f>
        <v>#N/A</v>
      </c>
      <c r="F91" s="20" t="e">
        <f aca="false">IFERROR(D91/D87-1,NA())</f>
        <v>#N/A</v>
      </c>
      <c r="G91" s="21" t="e">
        <f aca="false">IF(COUNT(D88:D91)=4,SUM(D88:D91),NA())</f>
        <v>#N/A</v>
      </c>
    </row>
    <row r="92" customFormat="false" ht="15" hidden="false" customHeight="false" outlineLevel="0" collapsed="false">
      <c r="A92" s="27"/>
      <c r="B92" s="28" t="e">
        <f aca="false">IFERROR(IF(ISNUMBER(A92),TEXT(YEAR(A92)-2000,"00")&amp;CEILING(MONTH(A92)/3,1),NA()),NA())</f>
        <v>#N/A</v>
      </c>
      <c r="C92" s="18" t="n">
        <f aca="false">IFERROR(YEAR(A92),0)</f>
        <v>1899</v>
      </c>
      <c r="D92" s="29"/>
      <c r="E92" s="20" t="e">
        <f aca="false">IFERROR(D92/D91-1,NA())</f>
        <v>#N/A</v>
      </c>
      <c r="F92" s="20" t="e">
        <f aca="false">IFERROR(D92/D88-1,NA())</f>
        <v>#N/A</v>
      </c>
      <c r="G92" s="21" t="e">
        <f aca="false">IF(COUNT(D89:D92)=4,SUM(D89:D92),NA())</f>
        <v>#N/A</v>
      </c>
    </row>
    <row r="93" customFormat="false" ht="15" hidden="false" customHeight="false" outlineLevel="0" collapsed="false">
      <c r="A93" s="27"/>
      <c r="B93" s="28" t="e">
        <f aca="false">IFERROR(IF(ISNUMBER(A93),TEXT(YEAR(A93)-2000,"00")&amp;CEILING(MONTH(A93)/3,1),NA()),NA())</f>
        <v>#N/A</v>
      </c>
      <c r="C93" s="18" t="n">
        <f aca="false">IFERROR(YEAR(A93),0)</f>
        <v>1899</v>
      </c>
      <c r="D93" s="29"/>
      <c r="E93" s="20" t="e">
        <f aca="false">IFERROR(D93/D92-1,NA())</f>
        <v>#N/A</v>
      </c>
      <c r="F93" s="20" t="e">
        <f aca="false">IFERROR(D93/D89-1,NA())</f>
        <v>#N/A</v>
      </c>
      <c r="G93" s="21" t="e">
        <f aca="false">IF(COUNT(D90:D93)=4,SUM(D90:D93),NA())</f>
        <v>#N/A</v>
      </c>
    </row>
    <row r="94" customFormat="false" ht="15" hidden="false" customHeight="false" outlineLevel="0" collapsed="false">
      <c r="A94" s="27"/>
      <c r="B94" s="28" t="e">
        <f aca="false">IFERROR(IF(ISNUMBER(A94),TEXT(YEAR(A94)-2000,"00")&amp;CEILING(MONTH(A94)/3,1),NA()),NA())</f>
        <v>#N/A</v>
      </c>
      <c r="C94" s="18" t="n">
        <f aca="false">IFERROR(YEAR(A94),0)</f>
        <v>1899</v>
      </c>
      <c r="D94" s="29"/>
      <c r="E94" s="20" t="e">
        <f aca="false">IFERROR(D94/D93-1,NA())</f>
        <v>#N/A</v>
      </c>
      <c r="F94" s="20" t="e">
        <f aca="false">IFERROR(D94/D90-1,NA())</f>
        <v>#N/A</v>
      </c>
      <c r="G94" s="21" t="e">
        <f aca="false">IF(COUNT(D91:D94)=4,SUM(D91:D94),NA())</f>
        <v>#N/A</v>
      </c>
    </row>
    <row r="95" customFormat="false" ht="15" hidden="false" customHeight="false" outlineLevel="0" collapsed="false">
      <c r="A95" s="27"/>
      <c r="B95" s="28" t="e">
        <f aca="false">IFERROR(IF(ISNUMBER(A95),TEXT(YEAR(A95)-2000,"00")&amp;CEILING(MONTH(A95)/3,1),NA()),NA())</f>
        <v>#N/A</v>
      </c>
      <c r="C95" s="18" t="n">
        <f aca="false">IFERROR(YEAR(A95),0)</f>
        <v>1899</v>
      </c>
      <c r="D95" s="29"/>
      <c r="E95" s="20" t="e">
        <f aca="false">IFERROR(D95/D94-1,NA())</f>
        <v>#N/A</v>
      </c>
      <c r="F95" s="20" t="e">
        <f aca="false">IFERROR(D95/D91-1,NA())</f>
        <v>#N/A</v>
      </c>
      <c r="G95" s="21" t="e">
        <f aca="false">IF(COUNT(D92:D95)=4,SUM(D92:D95),NA())</f>
        <v>#N/A</v>
      </c>
    </row>
    <row r="96" customFormat="false" ht="15" hidden="false" customHeight="false" outlineLevel="0" collapsed="false">
      <c r="A96" s="27"/>
      <c r="B96" s="28" t="e">
        <f aca="false">IFERROR(IF(ISNUMBER(A96),TEXT(YEAR(A96)-2000,"00")&amp;CEILING(MONTH(A96)/3,1),NA()),NA())</f>
        <v>#N/A</v>
      </c>
      <c r="C96" s="18" t="n">
        <f aca="false">IFERROR(YEAR(A96),0)</f>
        <v>1899</v>
      </c>
      <c r="D96" s="29"/>
      <c r="E96" s="20" t="e">
        <f aca="false">IFERROR(D96/D95-1,NA())</f>
        <v>#N/A</v>
      </c>
      <c r="F96" s="20" t="e">
        <f aca="false">IFERROR(D96/D92-1,NA())</f>
        <v>#N/A</v>
      </c>
      <c r="G96" s="21" t="e">
        <f aca="false">IF(COUNT(D93:D96)=4,SUM(D93:D96),NA())</f>
        <v>#N/A</v>
      </c>
    </row>
    <row r="97" customFormat="false" ht="15" hidden="false" customHeight="false" outlineLevel="0" collapsed="false">
      <c r="A97" s="27"/>
      <c r="B97" s="28" t="e">
        <f aca="false">IFERROR(IF(ISNUMBER(A97),TEXT(YEAR(A97)-2000,"00")&amp;CEILING(MONTH(A97)/3,1),NA()),NA())</f>
        <v>#N/A</v>
      </c>
      <c r="C97" s="18" t="n">
        <f aca="false">IFERROR(YEAR(A97),0)</f>
        <v>1899</v>
      </c>
      <c r="D97" s="29"/>
      <c r="E97" s="20" t="e">
        <f aca="false">IFERROR(D97/D96-1,NA())</f>
        <v>#N/A</v>
      </c>
      <c r="F97" s="20" t="e">
        <f aca="false">IFERROR(D97/D93-1,NA())</f>
        <v>#N/A</v>
      </c>
      <c r="G97" s="21" t="e">
        <f aca="false">IF(COUNT(D94:D97)=4,SUM(D94:D97),NA())</f>
        <v>#N/A</v>
      </c>
    </row>
    <row r="98" customFormat="false" ht="15" hidden="false" customHeight="false" outlineLevel="0" collapsed="false">
      <c r="A98" s="27"/>
      <c r="B98" s="28" t="e">
        <f aca="false">IFERROR(IF(ISNUMBER(A98),TEXT(YEAR(A98)-2000,"00")&amp;CEILING(MONTH(A98)/3,1),NA()),NA())</f>
        <v>#N/A</v>
      </c>
      <c r="C98" s="18" t="n">
        <f aca="false">IFERROR(YEAR(A98),0)</f>
        <v>1899</v>
      </c>
      <c r="D98" s="29"/>
      <c r="E98" s="20" t="e">
        <f aca="false">IFERROR(D98/D97-1,NA())</f>
        <v>#N/A</v>
      </c>
      <c r="F98" s="20" t="e">
        <f aca="false">IFERROR(D98/D94-1,NA())</f>
        <v>#N/A</v>
      </c>
      <c r="G98" s="21" t="e">
        <f aca="false">IF(COUNT(D95:D98)=4,SUM(D95:D98),NA())</f>
        <v>#N/A</v>
      </c>
    </row>
    <row r="99" customFormat="false" ht="15" hidden="false" customHeight="false" outlineLevel="0" collapsed="false">
      <c r="A99" s="27"/>
      <c r="B99" s="28" t="e">
        <f aca="false">IFERROR(IF(ISNUMBER(A99),TEXT(YEAR(A99)-2000,"00")&amp;CEILING(MONTH(A99)/3,1),NA()),NA())</f>
        <v>#N/A</v>
      </c>
      <c r="C99" s="18" t="n">
        <f aca="false">IFERROR(YEAR(A99),0)</f>
        <v>1899</v>
      </c>
      <c r="D99" s="29"/>
      <c r="E99" s="20" t="e">
        <f aca="false">IFERROR(D99/D98-1,NA())</f>
        <v>#N/A</v>
      </c>
      <c r="F99" s="20" t="e">
        <f aca="false">IFERROR(D99/D95-1,NA())</f>
        <v>#N/A</v>
      </c>
      <c r="G99" s="21" t="e">
        <f aca="false">IF(COUNT(D96:D99)=4,SUM(D96:D99),NA())</f>
        <v>#N/A</v>
      </c>
    </row>
    <row r="100" customFormat="false" ht="15" hidden="false" customHeight="false" outlineLevel="0" collapsed="false">
      <c r="A100" s="27"/>
      <c r="B100" s="28" t="e">
        <f aca="false">IFERROR(IF(ISNUMBER(A100),TEXT(YEAR(A100)-2000,"00")&amp;CEILING(MONTH(A100)/3,1),NA()),NA())</f>
        <v>#N/A</v>
      </c>
      <c r="C100" s="18" t="n">
        <f aca="false">IFERROR(YEAR(A100),0)</f>
        <v>1899</v>
      </c>
      <c r="D100" s="29"/>
      <c r="E100" s="20" t="e">
        <f aca="false">IFERROR(D100/D99-1,NA())</f>
        <v>#N/A</v>
      </c>
      <c r="F100" s="20" t="e">
        <f aca="false">IFERROR(D100/D96-1,NA())</f>
        <v>#N/A</v>
      </c>
      <c r="G100" s="21" t="e">
        <f aca="false">IF(COUNT(D97:D100)=4,SUM(D97:D100),NA())</f>
        <v>#N/A</v>
      </c>
    </row>
    <row r="101" customFormat="false" ht="15" hidden="false" customHeight="false" outlineLevel="0" collapsed="false">
      <c r="A101" s="27"/>
      <c r="B101" s="28" t="e">
        <f aca="false">IFERROR(IF(ISNUMBER(A101),TEXT(YEAR(A101)-2000,"00")&amp;CEILING(MONTH(A101)/3,1),NA()),NA())</f>
        <v>#N/A</v>
      </c>
      <c r="C101" s="18" t="n">
        <f aca="false">IFERROR(YEAR(A101),0)</f>
        <v>1899</v>
      </c>
      <c r="D101" s="29"/>
      <c r="E101" s="20" t="e">
        <f aca="false">IFERROR(D101/D100-1,NA())</f>
        <v>#N/A</v>
      </c>
      <c r="F101" s="20" t="e">
        <f aca="false">IFERROR(D101/D97-1,NA())</f>
        <v>#N/A</v>
      </c>
      <c r="G101" s="21" t="e">
        <f aca="false">IF(COUNT(D98:D101)=4,SUM(D98:D101),NA())</f>
        <v>#N/A</v>
      </c>
    </row>
    <row r="102" customFormat="false" ht="15" hidden="false" customHeight="false" outlineLevel="0" collapsed="false">
      <c r="A102" s="27"/>
      <c r="B102" s="28" t="e">
        <f aca="false">IFERROR(IF(ISNUMBER(A102),TEXT(YEAR(A102)-2000,"00")&amp;CEILING(MONTH(A102)/3,1),NA()),NA())</f>
        <v>#N/A</v>
      </c>
      <c r="C102" s="18" t="n">
        <f aca="false">IFERROR(YEAR(A102),0)</f>
        <v>1899</v>
      </c>
      <c r="D102" s="29"/>
      <c r="E102" s="20" t="e">
        <f aca="false">IFERROR(D102/D101-1,NA())</f>
        <v>#N/A</v>
      </c>
      <c r="F102" s="20" t="e">
        <f aca="false">IFERROR(D102/D98-1,NA())</f>
        <v>#N/A</v>
      </c>
      <c r="G102" s="21" t="e">
        <f aca="false">IF(COUNT(D99:D102)=4,SUM(D99:D102),NA())</f>
        <v>#N/A</v>
      </c>
    </row>
    <row r="103" customFormat="false" ht="15" hidden="false" customHeight="false" outlineLevel="0" collapsed="false">
      <c r="A103" s="27"/>
      <c r="B103" s="28" t="e">
        <f aca="false">IFERROR(IF(ISNUMBER(A103),TEXT(YEAR(A103)-2000,"00")&amp;CEILING(MONTH(A103)/3,1),NA()),NA())</f>
        <v>#N/A</v>
      </c>
      <c r="C103" s="18" t="n">
        <f aca="false">IFERROR(YEAR(A103),0)</f>
        <v>1899</v>
      </c>
      <c r="D103" s="29"/>
      <c r="E103" s="20" t="e">
        <f aca="false">IFERROR(D103/D102-1,NA())</f>
        <v>#N/A</v>
      </c>
      <c r="F103" s="20" t="e">
        <f aca="false">IFERROR(D103/D99-1,NA())</f>
        <v>#N/A</v>
      </c>
      <c r="G103" s="21" t="e">
        <f aca="false">IF(COUNT(D100:D103)=4,SUM(D100:D103),NA())</f>
        <v>#N/A</v>
      </c>
    </row>
    <row r="104" customFormat="false" ht="15" hidden="false" customHeight="false" outlineLevel="0" collapsed="false">
      <c r="A104" s="27"/>
      <c r="B104" s="28" t="e">
        <f aca="false">IFERROR(IF(ISNUMBER(A104),TEXT(YEAR(A104)-2000,"00")&amp;CEILING(MONTH(A104)/3,1),NA()),NA())</f>
        <v>#N/A</v>
      </c>
      <c r="C104" s="18" t="n">
        <f aca="false">IFERROR(YEAR(A104),0)</f>
        <v>1899</v>
      </c>
      <c r="D104" s="29"/>
      <c r="E104" s="20" t="e">
        <f aca="false">IFERROR(D104/D103-1,NA())</f>
        <v>#N/A</v>
      </c>
      <c r="F104" s="20" t="e">
        <f aca="false">IFERROR(D104/D100-1,NA())</f>
        <v>#N/A</v>
      </c>
      <c r="G104" s="21" t="e">
        <f aca="false">IF(COUNT(D101:D104)=4,SUM(D101:D104),NA())</f>
        <v>#N/A</v>
      </c>
    </row>
    <row r="105" customFormat="false" ht="15" hidden="false" customHeight="false" outlineLevel="0" collapsed="false">
      <c r="A105" s="27"/>
      <c r="B105" s="28" t="e">
        <f aca="false">IFERROR(IF(ISNUMBER(A105),TEXT(YEAR(A105)-2000,"00")&amp;CEILING(MONTH(A105)/3,1),NA()),NA())</f>
        <v>#N/A</v>
      </c>
      <c r="C105" s="18" t="n">
        <f aca="false">IFERROR(YEAR(A105),0)</f>
        <v>1899</v>
      </c>
      <c r="D105" s="29"/>
      <c r="E105" s="20" t="e">
        <f aca="false">IFERROR(D105/D104-1,NA())</f>
        <v>#N/A</v>
      </c>
      <c r="F105" s="20" t="e">
        <f aca="false">IFERROR(D105/D101-1,NA())</f>
        <v>#N/A</v>
      </c>
      <c r="G105" s="21" t="e">
        <f aca="false">IF(COUNT(D102:D105)=4,SUM(D102:D105),NA())</f>
        <v>#N/A</v>
      </c>
    </row>
    <row r="106" customFormat="false" ht="15" hidden="false" customHeight="false" outlineLevel="0" collapsed="false">
      <c r="A106" s="27"/>
      <c r="B106" s="28" t="e">
        <f aca="false">IFERROR(IF(ISNUMBER(A106),TEXT(YEAR(A106)-2000,"00")&amp;CEILING(MONTH(A106)/3,1),NA()),NA())</f>
        <v>#N/A</v>
      </c>
      <c r="C106" s="18" t="n">
        <f aca="false">IFERROR(YEAR(A106),0)</f>
        <v>1899</v>
      </c>
      <c r="D106" s="29"/>
      <c r="E106" s="20" t="e">
        <f aca="false">IFERROR(D106/D105-1,NA())</f>
        <v>#N/A</v>
      </c>
      <c r="F106" s="20" t="e">
        <f aca="false">IFERROR(D106/D102-1,NA())</f>
        <v>#N/A</v>
      </c>
      <c r="G106" s="21" t="e">
        <f aca="false">IF(COUNT(D103:D106)=4,SUM(D103:D106),NA())</f>
        <v>#N/A</v>
      </c>
    </row>
    <row r="107" customFormat="false" ht="15" hidden="false" customHeight="false" outlineLevel="0" collapsed="false">
      <c r="A107" s="27"/>
      <c r="B107" s="28" t="e">
        <f aca="false">IFERROR(IF(ISNUMBER(A107),TEXT(YEAR(A107)-2000,"00")&amp;CEILING(MONTH(A107)/3,1),NA()),NA())</f>
        <v>#N/A</v>
      </c>
      <c r="C107" s="18" t="n">
        <f aca="false">IFERROR(YEAR(A107),0)</f>
        <v>1899</v>
      </c>
      <c r="D107" s="29"/>
      <c r="E107" s="20" t="e">
        <f aca="false">IFERROR(D107/D106-1,NA())</f>
        <v>#N/A</v>
      </c>
      <c r="F107" s="20" t="e">
        <f aca="false">IFERROR(D107/D103-1,NA())</f>
        <v>#N/A</v>
      </c>
      <c r="G107" s="21" t="e">
        <f aca="false">IF(COUNT(D104:D107)=4,SUM(D104:D107),NA())</f>
        <v>#N/A</v>
      </c>
    </row>
    <row r="108" customFormat="false" ht="15" hidden="false" customHeight="false" outlineLevel="0" collapsed="false">
      <c r="A108" s="27"/>
      <c r="B108" s="28" t="e">
        <f aca="false">IFERROR(IF(ISNUMBER(A108),TEXT(YEAR(A108)-2000,"00")&amp;CEILING(MONTH(A108)/3,1),NA()),NA())</f>
        <v>#N/A</v>
      </c>
      <c r="C108" s="18" t="n">
        <f aca="false">IFERROR(YEAR(A108),0)</f>
        <v>1899</v>
      </c>
      <c r="D108" s="29"/>
      <c r="E108" s="20" t="e">
        <f aca="false">IFERROR(D108/D107-1,NA())</f>
        <v>#N/A</v>
      </c>
      <c r="F108" s="20" t="e">
        <f aca="false">IFERROR(D108/D104-1,NA())</f>
        <v>#N/A</v>
      </c>
      <c r="G108" s="21" t="e">
        <f aca="false">IF(COUNT(D105:D108)=4,SUM(D105:D108),NA())</f>
        <v>#N/A</v>
      </c>
    </row>
    <row r="109" customFormat="false" ht="15" hidden="false" customHeight="false" outlineLevel="0" collapsed="false">
      <c r="A109" s="27"/>
      <c r="B109" s="28" t="e">
        <f aca="false">IFERROR(IF(ISNUMBER(A109),TEXT(YEAR(A109)-2000,"00")&amp;CEILING(MONTH(A109)/3,1),NA()),NA())</f>
        <v>#N/A</v>
      </c>
      <c r="C109" s="18" t="n">
        <f aca="false">IFERROR(YEAR(A109),0)</f>
        <v>1899</v>
      </c>
      <c r="D109" s="29"/>
      <c r="E109" s="20" t="e">
        <f aca="false">IFERROR(D109/D108-1,NA())</f>
        <v>#N/A</v>
      </c>
      <c r="F109" s="20" t="e">
        <f aca="false">IFERROR(D109/D105-1,NA())</f>
        <v>#N/A</v>
      </c>
      <c r="G109" s="21" t="e">
        <f aca="false">IF(COUNT(D106:D109)=4,SUM(D106:D109),NA())</f>
        <v>#N/A</v>
      </c>
    </row>
    <row r="110" customFormat="false" ht="15" hidden="false" customHeight="false" outlineLevel="0" collapsed="false">
      <c r="A110" s="27"/>
      <c r="B110" s="28" t="e">
        <f aca="false">IFERROR(IF(ISNUMBER(A110),TEXT(YEAR(A110)-2000,"00")&amp;CEILING(MONTH(A110)/3,1),NA()),NA())</f>
        <v>#N/A</v>
      </c>
      <c r="C110" s="18" t="n">
        <f aca="false">IFERROR(YEAR(A110),0)</f>
        <v>1899</v>
      </c>
      <c r="D110" s="29"/>
      <c r="E110" s="20" t="e">
        <f aca="false">IFERROR(D110/D109-1,NA())</f>
        <v>#N/A</v>
      </c>
      <c r="F110" s="20" t="e">
        <f aca="false">IFERROR(D110/D106-1,NA())</f>
        <v>#N/A</v>
      </c>
      <c r="G110" s="21" t="e">
        <f aca="false">IF(COUNT(D107:D110)=4,SUM(D107:D110),NA())</f>
        <v>#N/A</v>
      </c>
    </row>
    <row r="111" customFormat="false" ht="15" hidden="false" customHeight="false" outlineLevel="0" collapsed="false">
      <c r="A111" s="27"/>
      <c r="B111" s="28" t="e">
        <f aca="false">IFERROR(IF(ISNUMBER(A111),TEXT(YEAR(A111)-2000,"00")&amp;CEILING(MONTH(A111)/3,1),NA()),NA())</f>
        <v>#N/A</v>
      </c>
      <c r="C111" s="18" t="n">
        <f aca="false">IFERROR(YEAR(A111),0)</f>
        <v>1899</v>
      </c>
      <c r="D111" s="29"/>
      <c r="E111" s="20" t="e">
        <f aca="false">IFERROR(D111/D110-1,NA())</f>
        <v>#N/A</v>
      </c>
      <c r="F111" s="20" t="e">
        <f aca="false">IFERROR(D111/D107-1,NA())</f>
        <v>#N/A</v>
      </c>
      <c r="G111" s="21" t="e">
        <f aca="false">IF(COUNT(D108:D111)=4,SUM(D108:D111),NA())</f>
        <v>#N/A</v>
      </c>
    </row>
    <row r="112" customFormat="false" ht="15" hidden="false" customHeight="false" outlineLevel="0" collapsed="false">
      <c r="A112" s="27"/>
      <c r="B112" s="28" t="e">
        <f aca="false">IFERROR(IF(ISNUMBER(A112),TEXT(YEAR(A112)-2000,"00")&amp;CEILING(MONTH(A112)/3,1),NA()),NA())</f>
        <v>#N/A</v>
      </c>
      <c r="C112" s="18" t="n">
        <f aca="false">IFERROR(YEAR(A112),0)</f>
        <v>1899</v>
      </c>
      <c r="D112" s="29"/>
      <c r="E112" s="20" t="e">
        <f aca="false">IFERROR(D112/D111-1,NA())</f>
        <v>#N/A</v>
      </c>
      <c r="F112" s="20" t="e">
        <f aca="false">IFERROR(D112/D108-1,NA())</f>
        <v>#N/A</v>
      </c>
      <c r="G112" s="21" t="e">
        <f aca="false">IF(COUNT(D109:D112)=4,SUM(D109:D112),NA())</f>
        <v>#N/A</v>
      </c>
    </row>
    <row r="113" customFormat="false" ht="15" hidden="false" customHeight="false" outlineLevel="0" collapsed="false">
      <c r="A113" s="27"/>
      <c r="B113" s="28" t="e">
        <f aca="false">IFERROR(IF(ISNUMBER(A113),TEXT(YEAR(A113)-2000,"00")&amp;CEILING(MONTH(A113)/3,1),NA()),NA())</f>
        <v>#N/A</v>
      </c>
      <c r="C113" s="18" t="n">
        <f aca="false">IFERROR(YEAR(A113),0)</f>
        <v>1899</v>
      </c>
      <c r="D113" s="29"/>
      <c r="E113" s="20" t="e">
        <f aca="false">IFERROR(D113/D112-1,NA())</f>
        <v>#N/A</v>
      </c>
      <c r="F113" s="20" t="e">
        <f aca="false">IFERROR(D113/D109-1,NA())</f>
        <v>#N/A</v>
      </c>
      <c r="G113" s="21" t="e">
        <f aca="false">IF(COUNT(D110:D113)=4,SUM(D110:D113),NA())</f>
        <v>#N/A</v>
      </c>
    </row>
    <row r="114" customFormat="false" ht="15" hidden="false" customHeight="false" outlineLevel="0" collapsed="false">
      <c r="A114" s="27"/>
      <c r="B114" s="28" t="e">
        <f aca="false">IFERROR(IF(ISNUMBER(A114),TEXT(YEAR(A114)-2000,"00")&amp;CEILING(MONTH(A114)/3,1),NA()),NA())</f>
        <v>#N/A</v>
      </c>
      <c r="C114" s="18" t="n">
        <f aca="false">IFERROR(YEAR(A114),0)</f>
        <v>1899</v>
      </c>
      <c r="D114" s="29"/>
      <c r="E114" s="20" t="e">
        <f aca="false">IFERROR(D114/D113-1,NA())</f>
        <v>#N/A</v>
      </c>
      <c r="F114" s="20" t="e">
        <f aca="false">IFERROR(D114/D110-1,NA())</f>
        <v>#N/A</v>
      </c>
      <c r="G114" s="21" t="e">
        <f aca="false">IF(COUNT(D111:D114)=4,SUM(D111:D114),NA())</f>
        <v>#N/A</v>
      </c>
    </row>
    <row r="115" customFormat="false" ht="15" hidden="false" customHeight="false" outlineLevel="0" collapsed="false">
      <c r="A115" s="27"/>
      <c r="B115" s="28" t="e">
        <f aca="false">IFERROR(IF(ISNUMBER(A115),TEXT(YEAR(A115)-2000,"00")&amp;CEILING(MONTH(A115)/3,1),NA()),NA())</f>
        <v>#N/A</v>
      </c>
      <c r="C115" s="18" t="n">
        <f aca="false">IFERROR(YEAR(A115),0)</f>
        <v>1899</v>
      </c>
      <c r="D115" s="29"/>
      <c r="E115" s="20" t="e">
        <f aca="false">IFERROR(D115/D114-1,NA())</f>
        <v>#N/A</v>
      </c>
      <c r="F115" s="20" t="e">
        <f aca="false">IFERROR(D115/D111-1,NA())</f>
        <v>#N/A</v>
      </c>
      <c r="G115" s="21" t="e">
        <f aca="false">IF(COUNT(D112:D115)=4,SUM(D112:D115),NA())</f>
        <v>#N/A</v>
      </c>
    </row>
    <row r="116" customFormat="false" ht="15" hidden="false" customHeight="false" outlineLevel="0" collapsed="false">
      <c r="A116" s="27"/>
      <c r="B116" s="28" t="e">
        <f aca="false">IFERROR(IF(ISNUMBER(A116),TEXT(YEAR(A116)-2000,"00")&amp;CEILING(MONTH(A116)/3,1),NA()),NA())</f>
        <v>#N/A</v>
      </c>
      <c r="C116" s="18" t="n">
        <f aca="false">IFERROR(YEAR(A116),0)</f>
        <v>1899</v>
      </c>
      <c r="D116" s="29"/>
      <c r="E116" s="20" t="e">
        <f aca="false">IFERROR(D116/D115-1,NA())</f>
        <v>#N/A</v>
      </c>
      <c r="F116" s="20" t="e">
        <f aca="false">IFERROR(D116/D112-1,NA())</f>
        <v>#N/A</v>
      </c>
      <c r="G116" s="21" t="e">
        <f aca="false">IF(COUNT(D113:D116)=4,SUM(D113:D116),NA())</f>
        <v>#N/A</v>
      </c>
    </row>
    <row r="117" customFormat="false" ht="15" hidden="false" customHeight="false" outlineLevel="0" collapsed="false">
      <c r="A117" s="27"/>
      <c r="B117" s="28" t="e">
        <f aca="false">IFERROR(IF(ISNUMBER(A117),TEXT(YEAR(A117)-2000,"00")&amp;CEILING(MONTH(A117)/3,1),NA()),NA())</f>
        <v>#N/A</v>
      </c>
      <c r="C117" s="18" t="n">
        <f aca="false">IFERROR(YEAR(A117),0)</f>
        <v>1899</v>
      </c>
      <c r="D117" s="29"/>
      <c r="E117" s="20" t="e">
        <f aca="false">IFERROR(D117/D116-1,NA())</f>
        <v>#N/A</v>
      </c>
      <c r="F117" s="20" t="e">
        <f aca="false">IFERROR(D117/D113-1,NA())</f>
        <v>#N/A</v>
      </c>
      <c r="G117" s="21" t="e">
        <f aca="false">IF(COUNT(D114:D117)=4,SUM(D114:D117),NA())</f>
        <v>#N/A</v>
      </c>
    </row>
    <row r="118" customFormat="false" ht="15" hidden="false" customHeight="false" outlineLevel="0" collapsed="false">
      <c r="A118" s="27"/>
      <c r="B118" s="28" t="e">
        <f aca="false">IFERROR(IF(ISNUMBER(A118),TEXT(YEAR(A118)-2000,"00")&amp;CEILING(MONTH(A118)/3,1),NA()),NA())</f>
        <v>#N/A</v>
      </c>
      <c r="C118" s="18" t="n">
        <f aca="false">IFERROR(YEAR(A118),0)</f>
        <v>1899</v>
      </c>
      <c r="D118" s="29"/>
      <c r="E118" s="20" t="e">
        <f aca="false">IFERROR(D118/D117-1,NA())</f>
        <v>#N/A</v>
      </c>
      <c r="F118" s="20" t="e">
        <f aca="false">IFERROR(D118/D114-1,NA())</f>
        <v>#N/A</v>
      </c>
      <c r="G118" s="21" t="e">
        <f aca="false">IF(COUNT(D115:D118)=4,SUM(D115:D118),NA())</f>
        <v>#N/A</v>
      </c>
    </row>
    <row r="119" customFormat="false" ht="15" hidden="false" customHeight="false" outlineLevel="0" collapsed="false">
      <c r="A119" s="27"/>
      <c r="B119" s="28" t="e">
        <f aca="false">IFERROR(IF(ISNUMBER(A119),TEXT(YEAR(A119)-2000,"00")&amp;CEILING(MONTH(A119)/3,1),NA()),NA())</f>
        <v>#N/A</v>
      </c>
      <c r="C119" s="18" t="n">
        <f aca="false">IFERROR(YEAR(A119),0)</f>
        <v>1899</v>
      </c>
      <c r="D119" s="29"/>
      <c r="E119" s="20" t="e">
        <f aca="false">IFERROR(D119/D118-1,NA())</f>
        <v>#N/A</v>
      </c>
      <c r="F119" s="20" t="e">
        <f aca="false">IFERROR(D119/D115-1,NA())</f>
        <v>#N/A</v>
      </c>
      <c r="G119" s="21" t="e">
        <f aca="false">IF(COUNT(D116:D119)=4,SUM(D116:D119),NA())</f>
        <v>#N/A</v>
      </c>
    </row>
    <row r="120" customFormat="false" ht="15" hidden="false" customHeight="false" outlineLevel="0" collapsed="false">
      <c r="A120" s="27"/>
      <c r="B120" s="28" t="e">
        <f aca="false">IFERROR(IF(ISNUMBER(A120),TEXT(YEAR(A120)-2000,"00")&amp;CEILING(MONTH(A120)/3,1),NA()),NA())</f>
        <v>#N/A</v>
      </c>
      <c r="C120" s="18" t="n">
        <f aca="false">IFERROR(YEAR(A120),0)</f>
        <v>1899</v>
      </c>
      <c r="D120" s="29"/>
      <c r="E120" s="20" t="e">
        <f aca="false">IFERROR(D120/D119-1,NA())</f>
        <v>#N/A</v>
      </c>
      <c r="F120" s="20" t="e">
        <f aca="false">IFERROR(D120/D116-1,NA())</f>
        <v>#N/A</v>
      </c>
      <c r="G120" s="21" t="e">
        <f aca="false">IF(COUNT(D117:D120)=4,SUM(D117:D120),NA())</f>
        <v>#N/A</v>
      </c>
    </row>
    <row r="121" customFormat="false" ht="15" hidden="false" customHeight="false" outlineLevel="0" collapsed="false">
      <c r="A121" s="27"/>
      <c r="B121" s="28" t="e">
        <f aca="false">IFERROR(IF(ISNUMBER(A121),TEXT(YEAR(A121)-2000,"00")&amp;CEILING(MONTH(A121)/3,1),NA()),NA())</f>
        <v>#N/A</v>
      </c>
      <c r="C121" s="18" t="n">
        <f aca="false">IFERROR(YEAR(A121),0)</f>
        <v>1899</v>
      </c>
      <c r="D121" s="29"/>
      <c r="E121" s="20" t="e">
        <f aca="false">IFERROR(D121/D120-1,NA())</f>
        <v>#N/A</v>
      </c>
      <c r="F121" s="20" t="e">
        <f aca="false">IFERROR(D121/D117-1,NA())</f>
        <v>#N/A</v>
      </c>
      <c r="G121" s="21" t="e">
        <f aca="false">IF(COUNT(D118:D121)=4,SUM(D118:D121),NA())</f>
        <v>#N/A</v>
      </c>
    </row>
    <row r="122" customFormat="false" ht="15" hidden="false" customHeight="false" outlineLevel="0" collapsed="false">
      <c r="A122" s="27"/>
      <c r="B122" s="28" t="e">
        <f aca="false">IFERROR(IF(ISNUMBER(A122),TEXT(YEAR(A122)-2000,"00")&amp;CEILING(MONTH(A122)/3,1),NA()),NA())</f>
        <v>#N/A</v>
      </c>
      <c r="C122" s="18" t="n">
        <f aca="false">IFERROR(YEAR(A122),0)</f>
        <v>1899</v>
      </c>
      <c r="D122" s="29"/>
      <c r="E122" s="20" t="e">
        <f aca="false">IFERROR(D122/D121-1,NA())</f>
        <v>#N/A</v>
      </c>
      <c r="F122" s="20" t="e">
        <f aca="false">IFERROR(D122/D118-1,NA())</f>
        <v>#N/A</v>
      </c>
      <c r="G122" s="21" t="e">
        <f aca="false">IF(COUNT(D119:D122)=4,SUM(D119:D122),NA())</f>
        <v>#N/A</v>
      </c>
    </row>
    <row r="123" customFormat="false" ht="15" hidden="false" customHeight="false" outlineLevel="0" collapsed="false">
      <c r="A123" s="27"/>
      <c r="B123" s="28" t="e">
        <f aca="false">IFERROR(IF(ISNUMBER(A123),TEXT(YEAR(A123)-2000,"00")&amp;CEILING(MONTH(A123)/3,1),NA()),NA())</f>
        <v>#N/A</v>
      </c>
      <c r="C123" s="18" t="n">
        <f aca="false">IFERROR(YEAR(A123),0)</f>
        <v>1899</v>
      </c>
      <c r="D123" s="29"/>
      <c r="E123" s="20" t="e">
        <f aca="false">IFERROR(D123/D122-1,NA())</f>
        <v>#N/A</v>
      </c>
      <c r="F123" s="20" t="e">
        <f aca="false">IFERROR(D123/D119-1,NA())</f>
        <v>#N/A</v>
      </c>
      <c r="G123" s="21" t="e">
        <f aca="false">IF(COUNT(D120:D123)=4,SUM(D120:D123),NA())</f>
        <v>#N/A</v>
      </c>
    </row>
    <row r="124" customFormat="false" ht="15" hidden="false" customHeight="false" outlineLevel="0" collapsed="false">
      <c r="A124" s="27"/>
      <c r="B124" s="28" t="e">
        <f aca="false">IFERROR(IF(ISNUMBER(A124),TEXT(YEAR(A124)-2000,"00")&amp;CEILING(MONTH(A124)/3,1),NA()),NA())</f>
        <v>#N/A</v>
      </c>
      <c r="C124" s="18" t="n">
        <f aca="false">IFERROR(YEAR(A124),0)</f>
        <v>1899</v>
      </c>
      <c r="D124" s="29"/>
      <c r="E124" s="20" t="e">
        <f aca="false">IFERROR(D124/D123-1,NA())</f>
        <v>#N/A</v>
      </c>
      <c r="F124" s="20" t="e">
        <f aca="false">IFERROR(D124/D120-1,NA())</f>
        <v>#N/A</v>
      </c>
      <c r="G124" s="21" t="e">
        <f aca="false">IF(COUNT(D121:D124)=4,SUM(D121:D124),NA())</f>
        <v>#N/A</v>
      </c>
    </row>
    <row r="125" customFormat="false" ht="15" hidden="false" customHeight="false" outlineLevel="0" collapsed="false">
      <c r="A125" s="27"/>
      <c r="B125" s="28" t="e">
        <f aca="false">IFERROR(IF(ISNUMBER(A125),TEXT(YEAR(A125)-2000,"00")&amp;CEILING(MONTH(A125)/3,1),NA()),NA())</f>
        <v>#N/A</v>
      </c>
      <c r="C125" s="18" t="n">
        <f aca="false">IFERROR(YEAR(A125),0)</f>
        <v>1899</v>
      </c>
      <c r="D125" s="29"/>
      <c r="E125" s="20" t="e">
        <f aca="false">IFERROR(D125/D124-1,NA())</f>
        <v>#N/A</v>
      </c>
      <c r="F125" s="20" t="e">
        <f aca="false">IFERROR(D125/D121-1,NA())</f>
        <v>#N/A</v>
      </c>
      <c r="G125" s="21" t="e">
        <f aca="false">IF(COUNT(D122:D125)=4,SUM(D122:D125),NA())</f>
        <v>#N/A</v>
      </c>
    </row>
    <row r="126" customFormat="false" ht="15" hidden="false" customHeight="false" outlineLevel="0" collapsed="false">
      <c r="A126" s="27"/>
      <c r="B126" s="28" t="e">
        <f aca="false">IFERROR(IF(ISNUMBER(A126),TEXT(YEAR(A126)-2000,"00")&amp;CEILING(MONTH(A126)/3,1),NA()),NA())</f>
        <v>#N/A</v>
      </c>
      <c r="C126" s="18" t="n">
        <f aca="false">IFERROR(YEAR(A126),0)</f>
        <v>1899</v>
      </c>
      <c r="D126" s="29"/>
      <c r="E126" s="20" t="e">
        <f aca="false">IFERROR(D126/D125-1,NA())</f>
        <v>#N/A</v>
      </c>
      <c r="F126" s="20" t="e">
        <f aca="false">IFERROR(D126/D122-1,NA())</f>
        <v>#N/A</v>
      </c>
      <c r="G126" s="21" t="e">
        <f aca="false">IF(COUNT(D123:D126)=4,SUM(D123:D126),NA())</f>
        <v>#N/A</v>
      </c>
    </row>
    <row r="127" customFormat="false" ht="15" hidden="false" customHeight="false" outlineLevel="0" collapsed="false">
      <c r="A127" s="27"/>
      <c r="B127" s="28" t="e">
        <f aca="false">IFERROR(IF(ISNUMBER(A127),TEXT(YEAR(A127)-2000,"00")&amp;CEILING(MONTH(A127)/3,1),NA()),NA())</f>
        <v>#N/A</v>
      </c>
      <c r="C127" s="18" t="n">
        <f aca="false">IFERROR(YEAR(A127),0)</f>
        <v>1899</v>
      </c>
      <c r="D127" s="29"/>
      <c r="E127" s="20" t="e">
        <f aca="false">IFERROR(D127/D126-1,NA())</f>
        <v>#N/A</v>
      </c>
      <c r="F127" s="20" t="e">
        <f aca="false">IFERROR(D127/D123-1,NA())</f>
        <v>#N/A</v>
      </c>
      <c r="G127" s="21" t="e">
        <f aca="false">IF(COUNT(D124:D127)=4,SUM(D124:D127),NA())</f>
        <v>#N/A</v>
      </c>
    </row>
    <row r="128" customFormat="false" ht="15" hidden="false" customHeight="false" outlineLevel="0" collapsed="false">
      <c r="A128" s="27"/>
      <c r="B128" s="28" t="e">
        <f aca="false">IFERROR(IF(ISNUMBER(A128),TEXT(YEAR(A128)-2000,"00")&amp;CEILING(MONTH(A128)/3,1),NA()),NA())</f>
        <v>#N/A</v>
      </c>
      <c r="C128" s="18" t="n">
        <f aca="false">IFERROR(YEAR(A128),0)</f>
        <v>1899</v>
      </c>
      <c r="D128" s="29"/>
      <c r="E128" s="20" t="e">
        <f aca="false">IFERROR(D128/D127-1,NA())</f>
        <v>#N/A</v>
      </c>
      <c r="F128" s="20" t="e">
        <f aca="false">IFERROR(D128/D124-1,NA())</f>
        <v>#N/A</v>
      </c>
      <c r="G128" s="21" t="e">
        <f aca="false">IF(COUNT(D125:D128)=4,SUM(D125:D128),NA())</f>
        <v>#N/A</v>
      </c>
    </row>
    <row r="129" customFormat="false" ht="15" hidden="false" customHeight="false" outlineLevel="0" collapsed="false">
      <c r="A129" s="27"/>
      <c r="B129" s="28" t="e">
        <f aca="false">IFERROR(IF(ISNUMBER(A129),TEXT(YEAR(A129)-2000,"00")&amp;CEILING(MONTH(A129)/3,1),NA()),NA())</f>
        <v>#N/A</v>
      </c>
      <c r="C129" s="18" t="n">
        <f aca="false">IFERROR(YEAR(A129),0)</f>
        <v>1899</v>
      </c>
      <c r="D129" s="29"/>
      <c r="E129" s="20" t="e">
        <f aca="false">IFERROR(D129/D128-1,NA())</f>
        <v>#N/A</v>
      </c>
      <c r="F129" s="20" t="e">
        <f aca="false">IFERROR(D129/D125-1,NA())</f>
        <v>#N/A</v>
      </c>
      <c r="G129" s="21" t="e">
        <f aca="false">IF(COUNT(D126:D129)=4,SUM(D126:D129),NA())</f>
        <v>#N/A</v>
      </c>
    </row>
    <row r="130" customFormat="false" ht="15" hidden="false" customHeight="false" outlineLevel="0" collapsed="false">
      <c r="A130" s="27"/>
      <c r="B130" s="28" t="e">
        <f aca="false">IFERROR(IF(ISNUMBER(A130),TEXT(YEAR(A130)-2000,"00")&amp;CEILING(MONTH(A130)/3,1),NA()),NA())</f>
        <v>#N/A</v>
      </c>
      <c r="C130" s="18" t="n">
        <f aca="false">IFERROR(YEAR(A130),0)</f>
        <v>1899</v>
      </c>
      <c r="D130" s="29"/>
      <c r="E130" s="20" t="e">
        <f aca="false">IFERROR(D130/D129-1,NA())</f>
        <v>#N/A</v>
      </c>
      <c r="F130" s="20" t="e">
        <f aca="false">IFERROR(D130/D126-1,NA())</f>
        <v>#N/A</v>
      </c>
      <c r="G130" s="21" t="e">
        <f aca="false">IF(COUNT(D127:D130)=4,SUM(D127:D130),NA())</f>
        <v>#N/A</v>
      </c>
    </row>
    <row r="131" customFormat="false" ht="15" hidden="false" customHeight="false" outlineLevel="0" collapsed="false">
      <c r="A131" s="27"/>
      <c r="B131" s="28" t="e">
        <f aca="false">IFERROR(IF(ISNUMBER(A131),TEXT(YEAR(A131)-2000,"00")&amp;CEILING(MONTH(A131)/3,1),NA()),NA())</f>
        <v>#N/A</v>
      </c>
      <c r="C131" s="18" t="n">
        <f aca="false">IFERROR(YEAR(A131),0)</f>
        <v>1899</v>
      </c>
      <c r="D131" s="29"/>
      <c r="E131" s="20" t="e">
        <f aca="false">IFERROR(D131/D130-1,NA())</f>
        <v>#N/A</v>
      </c>
      <c r="F131" s="20" t="e">
        <f aca="false">IFERROR(D131/D127-1,NA())</f>
        <v>#N/A</v>
      </c>
      <c r="G131" s="21" t="e">
        <f aca="false">IF(COUNT(D128:D131)=4,SUM(D128:D131),NA())</f>
        <v>#N/A</v>
      </c>
    </row>
    <row r="132" customFormat="false" ht="15" hidden="false" customHeight="false" outlineLevel="0" collapsed="false">
      <c r="A132" s="27"/>
      <c r="B132" s="28" t="e">
        <f aca="false">IFERROR(IF(ISNUMBER(A132),TEXT(YEAR(A132)-2000,"00")&amp;CEILING(MONTH(A132)/3,1),NA()),NA())</f>
        <v>#N/A</v>
      </c>
      <c r="C132" s="18" t="n">
        <f aca="false">IFERROR(YEAR(A132),0)</f>
        <v>1899</v>
      </c>
      <c r="D132" s="29"/>
      <c r="E132" s="20" t="e">
        <f aca="false">IFERROR(D132/D131-1,NA())</f>
        <v>#N/A</v>
      </c>
      <c r="F132" s="20" t="e">
        <f aca="false">IFERROR(D132/D128-1,NA())</f>
        <v>#N/A</v>
      </c>
      <c r="G132" s="21" t="e">
        <f aca="false">IF(COUNT(D129:D132)=4,SUM(D129:D132),NA())</f>
        <v>#N/A</v>
      </c>
    </row>
    <row r="133" customFormat="false" ht="15" hidden="false" customHeight="false" outlineLevel="0" collapsed="false">
      <c r="A133" s="27"/>
      <c r="B133" s="28" t="e">
        <f aca="false">IFERROR(IF(ISNUMBER(A133),TEXT(YEAR(A133)-2000,"00")&amp;CEILING(MONTH(A133)/3,1),NA()),NA())</f>
        <v>#N/A</v>
      </c>
      <c r="C133" s="18" t="n">
        <f aca="false">IFERROR(YEAR(A133),0)</f>
        <v>1899</v>
      </c>
      <c r="D133" s="29"/>
      <c r="E133" s="20" t="e">
        <f aca="false">IFERROR(D133/D132-1,NA())</f>
        <v>#N/A</v>
      </c>
      <c r="F133" s="20" t="e">
        <f aca="false">IFERROR(D133/D129-1,NA())</f>
        <v>#N/A</v>
      </c>
      <c r="G133" s="21" t="e">
        <f aca="false">IF(COUNT(D130:D133)=4,SUM(D130:D133),NA())</f>
        <v>#N/A</v>
      </c>
    </row>
    <row r="134" customFormat="false" ht="15" hidden="false" customHeight="false" outlineLevel="0" collapsed="false">
      <c r="A134" s="27"/>
      <c r="B134" s="28" t="e">
        <f aca="false">IFERROR(IF(ISNUMBER(A134),TEXT(YEAR(A134)-2000,"00")&amp;CEILING(MONTH(A134)/3,1),NA()),NA())</f>
        <v>#N/A</v>
      </c>
      <c r="C134" s="18" t="n">
        <f aca="false">IFERROR(YEAR(A134),0)</f>
        <v>1899</v>
      </c>
      <c r="D134" s="29"/>
      <c r="E134" s="20" t="e">
        <f aca="false">IFERROR(D134/D133-1,NA())</f>
        <v>#N/A</v>
      </c>
      <c r="F134" s="20" t="e">
        <f aca="false">IFERROR(D134/D130-1,NA())</f>
        <v>#N/A</v>
      </c>
      <c r="G134" s="21" t="e">
        <f aca="false">IF(COUNT(D131:D134)=4,SUM(D131:D134),NA())</f>
        <v>#N/A</v>
      </c>
    </row>
    <row r="135" customFormat="false" ht="15" hidden="false" customHeight="false" outlineLevel="0" collapsed="false">
      <c r="A135" s="27"/>
      <c r="B135" s="28" t="e">
        <f aca="false">IFERROR(IF(ISNUMBER(A135),TEXT(YEAR(A135)-2000,"00")&amp;CEILING(MONTH(A135)/3,1),NA()),NA())</f>
        <v>#N/A</v>
      </c>
      <c r="C135" s="18" t="n">
        <f aca="false">IFERROR(YEAR(A135),0)</f>
        <v>1899</v>
      </c>
      <c r="D135" s="29"/>
      <c r="E135" s="20" t="e">
        <f aca="false">IFERROR(D135/D134-1,NA())</f>
        <v>#N/A</v>
      </c>
      <c r="F135" s="20" t="e">
        <f aca="false">IFERROR(D135/D131-1,NA())</f>
        <v>#N/A</v>
      </c>
      <c r="G135" s="21" t="e">
        <f aca="false">IF(COUNT(D132:D135)=4,SUM(D132:D135),NA())</f>
        <v>#N/A</v>
      </c>
    </row>
    <row r="136" customFormat="false" ht="15" hidden="false" customHeight="false" outlineLevel="0" collapsed="false">
      <c r="A136" s="27"/>
      <c r="B136" s="28" t="e">
        <f aca="false">IFERROR(IF(ISNUMBER(A136),TEXT(YEAR(A136)-2000,"00")&amp;CEILING(MONTH(A136)/3,1),NA()),NA())</f>
        <v>#N/A</v>
      </c>
      <c r="C136" s="18" t="n">
        <f aca="false">IFERROR(YEAR(A136),0)</f>
        <v>1899</v>
      </c>
      <c r="D136" s="29"/>
      <c r="E136" s="20" t="e">
        <f aca="false">IFERROR(D136/D135-1,NA())</f>
        <v>#N/A</v>
      </c>
      <c r="F136" s="20" t="e">
        <f aca="false">IFERROR(D136/D132-1,NA())</f>
        <v>#N/A</v>
      </c>
      <c r="G136" s="21" t="e">
        <f aca="false">IF(COUNT(D133:D136)=4,SUM(D133:D136),NA())</f>
        <v>#N/A</v>
      </c>
    </row>
    <row r="137" customFormat="false" ht="15" hidden="false" customHeight="false" outlineLevel="0" collapsed="false">
      <c r="A137" s="27"/>
      <c r="B137" s="28" t="e">
        <f aca="false">IFERROR(IF(ISNUMBER(A137),TEXT(YEAR(A137)-2000,"00")&amp;CEILING(MONTH(A137)/3,1),NA()),NA())</f>
        <v>#N/A</v>
      </c>
      <c r="C137" s="18" t="n">
        <f aca="false">IFERROR(YEAR(A137),0)</f>
        <v>1899</v>
      </c>
      <c r="D137" s="29"/>
      <c r="E137" s="20" t="e">
        <f aca="false">IFERROR(D137/D136-1,NA())</f>
        <v>#N/A</v>
      </c>
      <c r="F137" s="20" t="e">
        <f aca="false">IFERROR(D137/D133-1,NA())</f>
        <v>#N/A</v>
      </c>
      <c r="G137" s="21" t="e">
        <f aca="false">IF(COUNT(D134:D137)=4,SUM(D134:D137),NA())</f>
        <v>#N/A</v>
      </c>
    </row>
    <row r="138" customFormat="false" ht="15" hidden="false" customHeight="false" outlineLevel="0" collapsed="false">
      <c r="A138" s="27"/>
      <c r="B138" s="28" t="e">
        <f aca="false">IFERROR(IF(ISNUMBER(A138),TEXT(YEAR(A138)-2000,"00")&amp;CEILING(MONTH(A138)/3,1),NA()),NA())</f>
        <v>#N/A</v>
      </c>
      <c r="C138" s="18" t="n">
        <f aca="false">IFERROR(YEAR(A138),0)</f>
        <v>1899</v>
      </c>
      <c r="D138" s="29"/>
      <c r="E138" s="20" t="e">
        <f aca="false">IFERROR(D138/D137-1,NA())</f>
        <v>#N/A</v>
      </c>
      <c r="F138" s="20" t="e">
        <f aca="false">IFERROR(D138/D134-1,NA())</f>
        <v>#N/A</v>
      </c>
      <c r="G138" s="21" t="e">
        <f aca="false">IF(COUNT(D135:D138)=4,SUM(D135:D138),NA())</f>
        <v>#N/A</v>
      </c>
    </row>
    <row r="139" customFormat="false" ht="15" hidden="false" customHeight="false" outlineLevel="0" collapsed="false">
      <c r="A139" s="27"/>
      <c r="B139" s="28" t="e">
        <f aca="false">IFERROR(IF(ISNUMBER(A139),TEXT(YEAR(A139)-2000,"00")&amp;CEILING(MONTH(A139)/3,1),NA()),NA())</f>
        <v>#N/A</v>
      </c>
      <c r="C139" s="18" t="n">
        <f aca="false">IFERROR(YEAR(A139),0)</f>
        <v>1899</v>
      </c>
      <c r="D139" s="29"/>
      <c r="E139" s="20" t="e">
        <f aca="false">IFERROR(D139/D138-1,NA())</f>
        <v>#N/A</v>
      </c>
      <c r="F139" s="20" t="e">
        <f aca="false">IFERROR(D139/D135-1,NA())</f>
        <v>#N/A</v>
      </c>
      <c r="G139" s="21" t="e">
        <f aca="false">IF(COUNT(D136:D139)=4,SUM(D136:D139),NA())</f>
        <v>#N/A</v>
      </c>
    </row>
    <row r="140" customFormat="false" ht="15" hidden="false" customHeight="false" outlineLevel="0" collapsed="false">
      <c r="A140" s="27"/>
      <c r="B140" s="28" t="e">
        <f aca="false">IFERROR(IF(ISNUMBER(A140),TEXT(YEAR(A140)-2000,"00")&amp;CEILING(MONTH(A140)/3,1),NA()),NA())</f>
        <v>#N/A</v>
      </c>
      <c r="C140" s="18" t="n">
        <f aca="false">IFERROR(YEAR(A140),0)</f>
        <v>1899</v>
      </c>
      <c r="D140" s="29"/>
      <c r="E140" s="20" t="e">
        <f aca="false">IFERROR(D140/D139-1,NA())</f>
        <v>#N/A</v>
      </c>
      <c r="F140" s="20" t="e">
        <f aca="false">IFERROR(D140/D136-1,NA())</f>
        <v>#N/A</v>
      </c>
      <c r="G140" s="21" t="e">
        <f aca="false">IF(COUNT(D137:D140)=4,SUM(D137:D140),NA())</f>
        <v>#N/A</v>
      </c>
    </row>
    <row r="141" customFormat="false" ht="15" hidden="false" customHeight="false" outlineLevel="0" collapsed="false">
      <c r="A141" s="27"/>
      <c r="B141" s="28" t="e">
        <f aca="false">IFERROR(IF(ISNUMBER(A141),TEXT(YEAR(A141)-2000,"00")&amp;CEILING(MONTH(A141)/3,1),NA()),NA())</f>
        <v>#N/A</v>
      </c>
      <c r="C141" s="18" t="n">
        <f aca="false">IFERROR(YEAR(A141),0)</f>
        <v>1899</v>
      </c>
      <c r="D141" s="29"/>
      <c r="E141" s="20" t="e">
        <f aca="false">IFERROR(D141/D140-1,NA())</f>
        <v>#N/A</v>
      </c>
      <c r="F141" s="20" t="e">
        <f aca="false">IFERROR(D141/D137-1,NA())</f>
        <v>#N/A</v>
      </c>
      <c r="G141" s="21" t="e">
        <f aca="false">IF(COUNT(D138:D141)=4,SUM(D138:D141),NA())</f>
        <v>#N/A</v>
      </c>
    </row>
    <row r="142" customFormat="false" ht="15" hidden="false" customHeight="false" outlineLevel="0" collapsed="false">
      <c r="A142" s="27"/>
      <c r="B142" s="28" t="e">
        <f aca="false">IFERROR(IF(ISNUMBER(A142),TEXT(YEAR(A142)-2000,"00")&amp;CEILING(MONTH(A142)/3,1),NA()),NA())</f>
        <v>#N/A</v>
      </c>
      <c r="C142" s="18" t="n">
        <f aca="false">IFERROR(YEAR(A142),0)</f>
        <v>1899</v>
      </c>
      <c r="D142" s="29"/>
      <c r="E142" s="20" t="e">
        <f aca="false">IFERROR(D142/D141-1,NA())</f>
        <v>#N/A</v>
      </c>
      <c r="F142" s="20" t="e">
        <f aca="false">IFERROR(D142/D138-1,NA())</f>
        <v>#N/A</v>
      </c>
      <c r="G142" s="21" t="e">
        <f aca="false">IF(COUNT(D139:D142)=4,SUM(D139:D142),NA())</f>
        <v>#N/A</v>
      </c>
    </row>
    <row r="143" customFormat="false" ht="15" hidden="false" customHeight="false" outlineLevel="0" collapsed="false">
      <c r="A143" s="27"/>
      <c r="B143" s="28" t="e">
        <f aca="false">IFERROR(IF(ISNUMBER(A143),TEXT(YEAR(A143)-2000,"00")&amp;CEILING(MONTH(A143)/3,1),NA()),NA())</f>
        <v>#N/A</v>
      </c>
      <c r="C143" s="18" t="n">
        <f aca="false">IFERROR(YEAR(A143),0)</f>
        <v>1899</v>
      </c>
      <c r="D143" s="29"/>
      <c r="E143" s="20" t="e">
        <f aca="false">IFERROR(D143/D142-1,NA())</f>
        <v>#N/A</v>
      </c>
      <c r="F143" s="20" t="e">
        <f aca="false">IFERROR(D143/D139-1,NA())</f>
        <v>#N/A</v>
      </c>
      <c r="G143" s="21" t="e">
        <f aca="false">IF(COUNT(D140:D143)=4,SUM(D140:D143),NA())</f>
        <v>#N/A</v>
      </c>
    </row>
    <row r="144" customFormat="false" ht="15" hidden="false" customHeight="false" outlineLevel="0" collapsed="false">
      <c r="A144" s="27"/>
      <c r="B144" s="28" t="e">
        <f aca="false">IFERROR(IF(ISNUMBER(A144),TEXT(YEAR(A144)-2000,"00")&amp;CEILING(MONTH(A144)/3,1),NA()),NA())</f>
        <v>#N/A</v>
      </c>
      <c r="C144" s="18" t="n">
        <f aca="false">IFERROR(YEAR(A144),0)</f>
        <v>1899</v>
      </c>
      <c r="D144" s="29"/>
      <c r="E144" s="20" t="e">
        <f aca="false">IFERROR(D144/D143-1,NA())</f>
        <v>#N/A</v>
      </c>
      <c r="F144" s="20" t="e">
        <f aca="false">IFERROR(D144/D140-1,NA())</f>
        <v>#N/A</v>
      </c>
      <c r="G144" s="21" t="e">
        <f aca="false">IF(COUNT(D141:D144)=4,SUM(D141:D144),NA())</f>
        <v>#N/A</v>
      </c>
    </row>
    <row r="145" customFormat="false" ht="15" hidden="false" customHeight="false" outlineLevel="0" collapsed="false">
      <c r="A145" s="27"/>
      <c r="B145" s="28" t="e">
        <f aca="false">IFERROR(IF(ISNUMBER(A145),TEXT(YEAR(A145)-2000,"00")&amp;CEILING(MONTH(A145)/3,1),NA()),NA())</f>
        <v>#N/A</v>
      </c>
      <c r="C145" s="18" t="n">
        <f aca="false">IFERROR(YEAR(A145),0)</f>
        <v>1899</v>
      </c>
      <c r="D145" s="29"/>
      <c r="E145" s="20" t="e">
        <f aca="false">IFERROR(D145/D144-1,NA())</f>
        <v>#N/A</v>
      </c>
      <c r="F145" s="20" t="e">
        <f aca="false">IFERROR(D145/D141-1,NA())</f>
        <v>#N/A</v>
      </c>
      <c r="G145" s="21" t="e">
        <f aca="false">IF(COUNT(D142:D145)=4,SUM(D142:D145),NA())</f>
        <v>#N/A</v>
      </c>
    </row>
    <row r="146" customFormat="false" ht="15" hidden="false" customHeight="false" outlineLevel="0" collapsed="false">
      <c r="A146" s="27"/>
      <c r="B146" s="28" t="e">
        <f aca="false">IFERROR(IF(ISNUMBER(A146),TEXT(YEAR(A146)-2000,"00")&amp;CEILING(MONTH(A146)/3,1),NA()),NA())</f>
        <v>#N/A</v>
      </c>
      <c r="C146" s="18" t="n">
        <f aca="false">IFERROR(YEAR(A146),0)</f>
        <v>1899</v>
      </c>
      <c r="D146" s="29"/>
      <c r="E146" s="20" t="e">
        <f aca="false">IFERROR(D146/D145-1,NA())</f>
        <v>#N/A</v>
      </c>
      <c r="F146" s="20" t="e">
        <f aca="false">IFERROR(D146/D142-1,NA())</f>
        <v>#N/A</v>
      </c>
      <c r="G146" s="21" t="e">
        <f aca="false">IF(COUNT(D143:D146)=4,SUM(D143:D146),NA())</f>
        <v>#N/A</v>
      </c>
    </row>
    <row r="147" customFormat="false" ht="15" hidden="false" customHeight="false" outlineLevel="0" collapsed="false">
      <c r="A147" s="27"/>
      <c r="B147" s="28" t="e">
        <f aca="false">IFERROR(IF(ISNUMBER(A147),TEXT(YEAR(A147)-2000,"00")&amp;CEILING(MONTH(A147)/3,1),NA()),NA())</f>
        <v>#N/A</v>
      </c>
      <c r="C147" s="18" t="n">
        <f aca="false">IFERROR(YEAR(A147),0)</f>
        <v>1899</v>
      </c>
      <c r="D147" s="29"/>
      <c r="E147" s="20" t="e">
        <f aca="false">IFERROR(D147/D146-1,NA())</f>
        <v>#N/A</v>
      </c>
      <c r="F147" s="20" t="e">
        <f aca="false">IFERROR(D147/D143-1,NA())</f>
        <v>#N/A</v>
      </c>
      <c r="G147" s="21" t="e">
        <f aca="false">IF(COUNT(D144:D147)=4,SUM(D144:D147),NA())</f>
        <v>#N/A</v>
      </c>
    </row>
    <row r="148" customFormat="false" ht="15" hidden="false" customHeight="false" outlineLevel="0" collapsed="false">
      <c r="A148" s="27"/>
      <c r="B148" s="28" t="e">
        <f aca="false">IFERROR(IF(ISNUMBER(A148),TEXT(YEAR(A148)-2000,"00")&amp;CEILING(MONTH(A148)/3,1),NA()),NA())</f>
        <v>#N/A</v>
      </c>
      <c r="C148" s="18" t="n">
        <f aca="false">IFERROR(YEAR(A148),0)</f>
        <v>1899</v>
      </c>
      <c r="D148" s="29"/>
      <c r="E148" s="20" t="e">
        <f aca="false">IFERROR(D148/D147-1,NA())</f>
        <v>#N/A</v>
      </c>
      <c r="F148" s="20" t="e">
        <f aca="false">IFERROR(D148/D144-1,NA())</f>
        <v>#N/A</v>
      </c>
      <c r="G148" s="21" t="e">
        <f aca="false">IF(COUNT(D145:D148)=4,SUM(D145:D148),NA())</f>
        <v>#N/A</v>
      </c>
    </row>
    <row r="149" customFormat="false" ht="15" hidden="false" customHeight="false" outlineLevel="0" collapsed="false">
      <c r="A149" s="27"/>
      <c r="B149" s="28" t="e">
        <f aca="false">IFERROR(IF(ISNUMBER(A149),TEXT(YEAR(A149)-2000,"00")&amp;CEILING(MONTH(A149)/3,1),NA()),NA())</f>
        <v>#N/A</v>
      </c>
      <c r="C149" s="18" t="n">
        <f aca="false">IFERROR(YEAR(A149),0)</f>
        <v>1899</v>
      </c>
      <c r="D149" s="29"/>
      <c r="E149" s="20" t="e">
        <f aca="false">IFERROR(D149/D148-1,NA())</f>
        <v>#N/A</v>
      </c>
      <c r="F149" s="20" t="e">
        <f aca="false">IFERROR(D149/D145-1,NA())</f>
        <v>#N/A</v>
      </c>
      <c r="G149" s="21" t="e">
        <f aca="false">IF(COUNT(D146:D149)=4,SUM(D146:D149),NA())</f>
        <v>#N/A</v>
      </c>
    </row>
    <row r="150" customFormat="false" ht="15" hidden="false" customHeight="false" outlineLevel="0" collapsed="false">
      <c r="A150" s="27"/>
      <c r="B150" s="28" t="e">
        <f aca="false">IFERROR(IF(ISNUMBER(A150),TEXT(YEAR(A150)-2000,"00")&amp;CEILING(MONTH(A150)/3,1),NA()),NA())</f>
        <v>#N/A</v>
      </c>
      <c r="C150" s="18" t="n">
        <f aca="false">IFERROR(YEAR(A150),0)</f>
        <v>1899</v>
      </c>
      <c r="D150" s="29"/>
      <c r="E150" s="20" t="e">
        <f aca="false">IFERROR(D150/D149-1,NA())</f>
        <v>#N/A</v>
      </c>
      <c r="F150" s="20" t="e">
        <f aca="false">IFERROR(D150/D146-1,NA())</f>
        <v>#N/A</v>
      </c>
      <c r="G150" s="21" t="e">
        <f aca="false">IF(COUNT(D147:D150)=4,SUM(D147:D150),NA())</f>
        <v>#N/A</v>
      </c>
    </row>
    <row r="151" customFormat="false" ht="15" hidden="false" customHeight="false" outlineLevel="0" collapsed="false">
      <c r="A151" s="27"/>
      <c r="B151" s="28" t="e">
        <f aca="false">IFERROR(IF(ISNUMBER(A151),TEXT(YEAR(A151)-2000,"00")&amp;CEILING(MONTH(A151)/3,1),NA()),NA())</f>
        <v>#N/A</v>
      </c>
      <c r="C151" s="18" t="n">
        <f aca="false">IFERROR(YEAR(A151),0)</f>
        <v>1899</v>
      </c>
      <c r="D151" s="29"/>
      <c r="E151" s="20" t="e">
        <f aca="false">IFERROR(D151/D150-1,NA())</f>
        <v>#N/A</v>
      </c>
      <c r="F151" s="20" t="e">
        <f aca="false">IFERROR(D151/D147-1,NA())</f>
        <v>#N/A</v>
      </c>
      <c r="G151" s="21" t="e">
        <f aca="false">IF(COUNT(D148:D151)=4,SUM(D148:D151),NA())</f>
        <v>#N/A</v>
      </c>
    </row>
    <row r="152" customFormat="false" ht="15" hidden="false" customHeight="false" outlineLevel="0" collapsed="false">
      <c r="A152" s="27"/>
      <c r="B152" s="28" t="e">
        <f aca="false">IFERROR(IF(ISNUMBER(A152),TEXT(YEAR(A152)-2000,"00")&amp;CEILING(MONTH(A152)/3,1),NA()),NA())</f>
        <v>#N/A</v>
      </c>
      <c r="C152" s="18" t="n">
        <f aca="false">IFERROR(YEAR(A152),0)</f>
        <v>1899</v>
      </c>
      <c r="D152" s="29"/>
      <c r="E152" s="20" t="e">
        <f aca="false">IFERROR(D152/D151-1,NA())</f>
        <v>#N/A</v>
      </c>
      <c r="F152" s="20" t="e">
        <f aca="false">IFERROR(D152/D148-1,NA())</f>
        <v>#N/A</v>
      </c>
      <c r="G152" s="21" t="e">
        <f aca="false">IF(COUNT(D149:D152)=4,SUM(D149:D152),NA())</f>
        <v>#N/A</v>
      </c>
    </row>
    <row r="153" customFormat="false" ht="15" hidden="false" customHeight="false" outlineLevel="0" collapsed="false">
      <c r="A153" s="27"/>
      <c r="B153" s="28" t="e">
        <f aca="false">IFERROR(IF(ISNUMBER(A153),TEXT(YEAR(A153)-2000,"00")&amp;CEILING(MONTH(A153)/3,1),NA()),NA())</f>
        <v>#N/A</v>
      </c>
      <c r="C153" s="18" t="n">
        <f aca="false">IFERROR(YEAR(A153),0)</f>
        <v>1899</v>
      </c>
      <c r="D153" s="29"/>
      <c r="E153" s="20" t="e">
        <f aca="false">IFERROR(D153/D152-1,NA())</f>
        <v>#N/A</v>
      </c>
      <c r="F153" s="20" t="e">
        <f aca="false">IFERROR(D153/D149-1,NA())</f>
        <v>#N/A</v>
      </c>
      <c r="G153" s="21" t="e">
        <f aca="false">IF(COUNT(D150:D153)=4,SUM(D150:D153),NA())</f>
        <v>#N/A</v>
      </c>
    </row>
    <row r="154" customFormat="false" ht="15" hidden="false" customHeight="false" outlineLevel="0" collapsed="false">
      <c r="A154" s="27"/>
      <c r="B154" s="28" t="e">
        <f aca="false">IFERROR(IF(ISNUMBER(A154),TEXT(YEAR(A154)-2000,"00")&amp;CEILING(MONTH(A154)/3,1),NA()),NA())</f>
        <v>#N/A</v>
      </c>
      <c r="C154" s="18" t="n">
        <f aca="false">IFERROR(YEAR(A154),0)</f>
        <v>1899</v>
      </c>
      <c r="D154" s="29"/>
      <c r="E154" s="20" t="e">
        <f aca="false">IFERROR(D154/D153-1,NA())</f>
        <v>#N/A</v>
      </c>
      <c r="F154" s="20" t="e">
        <f aca="false">IFERROR(D154/D150-1,NA())</f>
        <v>#N/A</v>
      </c>
      <c r="G154" s="21" t="e">
        <f aca="false">IF(COUNT(D151:D154)=4,SUM(D151:D154),NA())</f>
        <v>#N/A</v>
      </c>
    </row>
    <row r="155" customFormat="false" ht="15" hidden="false" customHeight="false" outlineLevel="0" collapsed="false">
      <c r="A155" s="27"/>
      <c r="B155" s="28" t="e">
        <f aca="false">IFERROR(IF(ISNUMBER(A155),TEXT(YEAR(A155)-2000,"00")&amp;CEILING(MONTH(A155)/3,1),NA()),NA())</f>
        <v>#N/A</v>
      </c>
      <c r="C155" s="18" t="n">
        <f aca="false">IFERROR(YEAR(A155),0)</f>
        <v>1899</v>
      </c>
      <c r="D155" s="29"/>
      <c r="E155" s="20" t="e">
        <f aca="false">IFERROR(D155/D154-1,NA())</f>
        <v>#N/A</v>
      </c>
      <c r="F155" s="20" t="e">
        <f aca="false">IFERROR(D155/D151-1,NA())</f>
        <v>#N/A</v>
      </c>
      <c r="G155" s="21" t="e">
        <f aca="false">IF(COUNT(D152:D155)=4,SUM(D152:D155),NA())</f>
        <v>#N/A</v>
      </c>
    </row>
    <row r="156" customFormat="false" ht="15" hidden="false" customHeight="false" outlineLevel="0" collapsed="false">
      <c r="A156" s="27"/>
      <c r="B156" s="28" t="e">
        <f aca="false">IFERROR(IF(ISNUMBER(A156),TEXT(YEAR(A156)-2000,"00")&amp;CEILING(MONTH(A156)/3,1),NA()),NA())</f>
        <v>#N/A</v>
      </c>
      <c r="C156" s="18" t="n">
        <f aca="false">IFERROR(YEAR(A156),0)</f>
        <v>1899</v>
      </c>
      <c r="D156" s="29"/>
      <c r="E156" s="20" t="e">
        <f aca="false">IFERROR(D156/D155-1,NA())</f>
        <v>#N/A</v>
      </c>
      <c r="F156" s="20" t="e">
        <f aca="false">IFERROR(D156/D152-1,NA())</f>
        <v>#N/A</v>
      </c>
      <c r="G156" s="21" t="e">
        <f aca="false">IF(COUNT(D153:D156)=4,SUM(D153:D156),NA())</f>
        <v>#N/A</v>
      </c>
    </row>
    <row r="157" customFormat="false" ht="15" hidden="false" customHeight="false" outlineLevel="0" collapsed="false">
      <c r="A157" s="27"/>
      <c r="B157" s="28" t="e">
        <f aca="false">IFERROR(IF(ISNUMBER(A157),TEXT(YEAR(A157)-2000,"00")&amp;CEILING(MONTH(A157)/3,1),NA()),NA())</f>
        <v>#N/A</v>
      </c>
      <c r="C157" s="18" t="n">
        <f aca="false">IFERROR(YEAR(A157),0)</f>
        <v>1899</v>
      </c>
      <c r="D157" s="29"/>
      <c r="E157" s="20" t="e">
        <f aca="false">IFERROR(D157/D156-1,NA())</f>
        <v>#N/A</v>
      </c>
      <c r="F157" s="20" t="e">
        <f aca="false">IFERROR(D157/D153-1,NA())</f>
        <v>#N/A</v>
      </c>
      <c r="G157" s="21" t="e">
        <f aca="false">IF(COUNT(D154:D157)=4,SUM(D154:D157),NA())</f>
        <v>#N/A</v>
      </c>
    </row>
    <row r="158" customFormat="false" ht="15" hidden="false" customHeight="false" outlineLevel="0" collapsed="false">
      <c r="A158" s="27"/>
      <c r="B158" s="28" t="e">
        <f aca="false">IFERROR(IF(ISNUMBER(A158),TEXT(YEAR(A158)-2000,"00")&amp;CEILING(MONTH(A158)/3,1),NA()),NA())</f>
        <v>#N/A</v>
      </c>
      <c r="C158" s="18" t="n">
        <f aca="false">IFERROR(YEAR(A158),0)</f>
        <v>1899</v>
      </c>
      <c r="D158" s="29"/>
      <c r="E158" s="20" t="e">
        <f aca="false">IFERROR(D158/D157-1,NA())</f>
        <v>#N/A</v>
      </c>
      <c r="F158" s="20" t="e">
        <f aca="false">IFERROR(D158/D154-1,NA())</f>
        <v>#N/A</v>
      </c>
      <c r="G158" s="21" t="e">
        <f aca="false">IF(COUNT(D155:D158)=4,SUM(D155:D158),NA())</f>
        <v>#N/A</v>
      </c>
    </row>
    <row r="159" customFormat="false" ht="15" hidden="false" customHeight="false" outlineLevel="0" collapsed="false">
      <c r="A159" s="27"/>
      <c r="B159" s="28" t="e">
        <f aca="false">IFERROR(IF(ISNUMBER(A159),TEXT(YEAR(A159)-2000,"00")&amp;CEILING(MONTH(A159)/3,1),NA()),NA())</f>
        <v>#N/A</v>
      </c>
      <c r="C159" s="18" t="n">
        <f aca="false">IFERROR(YEAR(A159),0)</f>
        <v>1899</v>
      </c>
      <c r="D159" s="29"/>
      <c r="E159" s="20" t="e">
        <f aca="false">IFERROR(D159/D158-1,NA())</f>
        <v>#N/A</v>
      </c>
      <c r="F159" s="20" t="e">
        <f aca="false">IFERROR(D159/D155-1,NA())</f>
        <v>#N/A</v>
      </c>
      <c r="G159" s="21" t="e">
        <f aca="false">IF(COUNT(D156:D159)=4,SUM(D156:D159),NA())</f>
        <v>#N/A</v>
      </c>
    </row>
    <row r="160" customFormat="false" ht="15" hidden="false" customHeight="false" outlineLevel="0" collapsed="false">
      <c r="A160" s="27"/>
      <c r="B160" s="28" t="e">
        <f aca="false">IFERROR(IF(ISNUMBER(A160),TEXT(YEAR(A160)-2000,"00")&amp;CEILING(MONTH(A160)/3,1),NA()),NA())</f>
        <v>#N/A</v>
      </c>
      <c r="C160" s="18" t="n">
        <f aca="false">IFERROR(YEAR(A160),0)</f>
        <v>1899</v>
      </c>
      <c r="D160" s="29"/>
      <c r="E160" s="20" t="e">
        <f aca="false">IFERROR(D160/D159-1,NA())</f>
        <v>#N/A</v>
      </c>
      <c r="F160" s="20" t="e">
        <f aca="false">IFERROR(D160/D156-1,NA())</f>
        <v>#N/A</v>
      </c>
      <c r="G160" s="21" t="e">
        <f aca="false">IF(COUNT(D157:D160)=4,SUM(D157:D160),NA())</f>
        <v>#N/A</v>
      </c>
    </row>
    <row r="161" customFormat="false" ht="15" hidden="false" customHeight="false" outlineLevel="0" collapsed="false">
      <c r="A161" s="27"/>
      <c r="B161" s="28" t="e">
        <f aca="false">IFERROR(IF(ISNUMBER(A161),TEXT(YEAR(A161)-2000,"00")&amp;CEILING(MONTH(A161)/3,1),NA()),NA())</f>
        <v>#N/A</v>
      </c>
      <c r="C161" s="18" t="n">
        <f aca="false">IFERROR(YEAR(A161),0)</f>
        <v>1899</v>
      </c>
      <c r="D161" s="29"/>
      <c r="E161" s="20" t="e">
        <f aca="false">IFERROR(D161/D160-1,NA())</f>
        <v>#N/A</v>
      </c>
      <c r="F161" s="20" t="e">
        <f aca="false">IFERROR(D161/D157-1,NA())</f>
        <v>#N/A</v>
      </c>
      <c r="G161" s="21" t="e">
        <f aca="false">IF(COUNT(D158:D161)=4,SUM(D158:D161),NA())</f>
        <v>#N/A</v>
      </c>
    </row>
    <row r="162" customFormat="false" ht="15" hidden="false" customHeight="false" outlineLevel="0" collapsed="false">
      <c r="A162" s="27"/>
      <c r="B162" s="28" t="e">
        <f aca="false">IFERROR(IF(ISNUMBER(A162),TEXT(YEAR(A162)-2000,"00")&amp;CEILING(MONTH(A162)/3,1),NA()),NA())</f>
        <v>#N/A</v>
      </c>
      <c r="C162" s="18" t="n">
        <f aca="false">IFERROR(YEAR(A162),0)</f>
        <v>1899</v>
      </c>
      <c r="D162" s="29"/>
      <c r="E162" s="20" t="e">
        <f aca="false">IFERROR(D162/D161-1,NA())</f>
        <v>#N/A</v>
      </c>
      <c r="F162" s="20" t="e">
        <f aca="false">IFERROR(D162/D158-1,NA())</f>
        <v>#N/A</v>
      </c>
      <c r="G162" s="21" t="e">
        <f aca="false">IF(COUNT(D159:D162)=4,SUM(D159:D162),NA())</f>
        <v>#N/A</v>
      </c>
    </row>
    <row r="163" customFormat="false" ht="15" hidden="false" customHeight="false" outlineLevel="0" collapsed="false">
      <c r="A163" s="27"/>
      <c r="B163" s="28" t="e">
        <f aca="false">IFERROR(IF(ISNUMBER(A163),TEXT(YEAR(A163)-2000,"00")&amp;CEILING(MONTH(A163)/3,1),NA()),NA())</f>
        <v>#N/A</v>
      </c>
      <c r="C163" s="18" t="n">
        <f aca="false">IFERROR(YEAR(A163),0)</f>
        <v>1899</v>
      </c>
      <c r="D163" s="29"/>
      <c r="E163" s="20" t="e">
        <f aca="false">IFERROR(D163/D162-1,NA())</f>
        <v>#N/A</v>
      </c>
      <c r="F163" s="20" t="e">
        <f aca="false">IFERROR(D163/D159-1,NA())</f>
        <v>#N/A</v>
      </c>
      <c r="G163" s="21" t="e">
        <f aca="false">IF(COUNT(D160:D163)=4,SUM(D160:D163),NA())</f>
        <v>#N/A</v>
      </c>
    </row>
    <row r="164" customFormat="false" ht="15" hidden="false" customHeight="false" outlineLevel="0" collapsed="false">
      <c r="A164" s="27"/>
      <c r="B164" s="28" t="e">
        <f aca="false">IFERROR(IF(ISNUMBER(A164),TEXT(YEAR(A164)-2000,"00")&amp;CEILING(MONTH(A164)/3,1),NA()),NA())</f>
        <v>#N/A</v>
      </c>
      <c r="C164" s="18" t="n">
        <f aca="false">IFERROR(YEAR(A164),0)</f>
        <v>1899</v>
      </c>
      <c r="D164" s="29"/>
      <c r="E164" s="20" t="e">
        <f aca="false">IFERROR(D164/D163-1,NA())</f>
        <v>#N/A</v>
      </c>
      <c r="F164" s="20" t="e">
        <f aca="false">IFERROR(D164/D160-1,NA())</f>
        <v>#N/A</v>
      </c>
      <c r="G164" s="21" t="e">
        <f aca="false">IF(COUNT(D161:D164)=4,SUM(D161:D164),NA())</f>
        <v>#N/A</v>
      </c>
    </row>
    <row r="165" customFormat="false" ht="15" hidden="false" customHeight="false" outlineLevel="0" collapsed="false">
      <c r="A165" s="27"/>
      <c r="B165" s="28" t="e">
        <f aca="false">IFERROR(IF(ISNUMBER(A165),TEXT(YEAR(A165)-2000,"00")&amp;CEILING(MONTH(A165)/3,1),NA()),NA())</f>
        <v>#N/A</v>
      </c>
      <c r="C165" s="18" t="n">
        <f aca="false">IFERROR(YEAR(A165),0)</f>
        <v>1899</v>
      </c>
      <c r="D165" s="29"/>
      <c r="E165" s="20" t="e">
        <f aca="false">IFERROR(D165/D164-1,NA())</f>
        <v>#N/A</v>
      </c>
      <c r="F165" s="20" t="e">
        <f aca="false">IFERROR(D165/D161-1,NA())</f>
        <v>#N/A</v>
      </c>
      <c r="G165" s="21" t="e">
        <f aca="false">IF(COUNT(D162:D165)=4,SUM(D162:D165),NA())</f>
        <v>#N/A</v>
      </c>
    </row>
    <row r="166" customFormat="false" ht="15" hidden="false" customHeight="false" outlineLevel="0" collapsed="false">
      <c r="A166" s="27"/>
      <c r="B166" s="28" t="e">
        <f aca="false">IFERROR(IF(ISNUMBER(A166),TEXT(YEAR(A166)-2000,"00")&amp;CEILING(MONTH(A166)/3,1),NA()),NA())</f>
        <v>#N/A</v>
      </c>
      <c r="C166" s="18" t="n">
        <f aca="false">IFERROR(YEAR(A166),0)</f>
        <v>1899</v>
      </c>
      <c r="D166" s="29"/>
      <c r="E166" s="20" t="e">
        <f aca="false">IFERROR(D166/D165-1,NA())</f>
        <v>#N/A</v>
      </c>
      <c r="F166" s="20" t="e">
        <f aca="false">IFERROR(D166/D162-1,NA())</f>
        <v>#N/A</v>
      </c>
      <c r="G166" s="21" t="e">
        <f aca="false">IF(COUNT(D163:D166)=4,SUM(D163:D166),NA())</f>
        <v>#N/A</v>
      </c>
    </row>
    <row r="167" customFormat="false" ht="15" hidden="false" customHeight="false" outlineLevel="0" collapsed="false">
      <c r="A167" s="27"/>
      <c r="B167" s="28" t="e">
        <f aca="false">IFERROR(IF(ISNUMBER(A167),TEXT(YEAR(A167)-2000,"00")&amp;CEILING(MONTH(A167)/3,1),NA()),NA())</f>
        <v>#N/A</v>
      </c>
      <c r="C167" s="18" t="n">
        <f aca="false">IFERROR(YEAR(A167),0)</f>
        <v>1899</v>
      </c>
      <c r="D167" s="29"/>
      <c r="E167" s="20" t="e">
        <f aca="false">IFERROR(D167/D166-1,NA())</f>
        <v>#N/A</v>
      </c>
      <c r="F167" s="20" t="e">
        <f aca="false">IFERROR(D167/D163-1,NA())</f>
        <v>#N/A</v>
      </c>
      <c r="G167" s="21" t="e">
        <f aca="false">IF(COUNT(D164:D167)=4,SUM(D164:D167),NA())</f>
        <v>#N/A</v>
      </c>
    </row>
    <row r="168" customFormat="false" ht="15" hidden="false" customHeight="false" outlineLevel="0" collapsed="false">
      <c r="A168" s="27"/>
      <c r="B168" s="28" t="e">
        <f aca="false">IFERROR(IF(ISNUMBER(A168),TEXT(YEAR(A168)-2000,"00")&amp;CEILING(MONTH(A168)/3,1),NA()),NA())</f>
        <v>#N/A</v>
      </c>
      <c r="C168" s="18" t="n">
        <f aca="false">IFERROR(YEAR(A168),0)</f>
        <v>1899</v>
      </c>
      <c r="D168" s="29"/>
      <c r="E168" s="20" t="e">
        <f aca="false">IFERROR(D168/D167-1,NA())</f>
        <v>#N/A</v>
      </c>
      <c r="F168" s="20" t="e">
        <f aca="false">IFERROR(D168/D164-1,NA())</f>
        <v>#N/A</v>
      </c>
      <c r="G168" s="21" t="e">
        <f aca="false">IF(COUNT(D165:D168)=4,SUM(D165:D168),NA())</f>
        <v>#N/A</v>
      </c>
    </row>
    <row r="169" customFormat="false" ht="15" hidden="false" customHeight="false" outlineLevel="0" collapsed="false">
      <c r="A169" s="27"/>
      <c r="B169" s="28" t="e">
        <f aca="false">IFERROR(IF(ISNUMBER(A169),TEXT(YEAR(A169)-2000,"00")&amp;CEILING(MONTH(A169)/3,1),NA()),NA())</f>
        <v>#N/A</v>
      </c>
      <c r="C169" s="18" t="n">
        <f aca="false">IFERROR(YEAR(A169),0)</f>
        <v>1899</v>
      </c>
      <c r="D169" s="29"/>
      <c r="E169" s="20" t="e">
        <f aca="false">IFERROR(D169/D168-1,NA())</f>
        <v>#N/A</v>
      </c>
      <c r="F169" s="20" t="e">
        <f aca="false">IFERROR(D169/D165-1,NA())</f>
        <v>#N/A</v>
      </c>
      <c r="G169" s="21" t="e">
        <f aca="false">IF(COUNT(D166:D169)=4,SUM(D166:D169),NA())</f>
        <v>#N/A</v>
      </c>
    </row>
    <row r="170" customFormat="false" ht="15" hidden="false" customHeight="false" outlineLevel="0" collapsed="false">
      <c r="A170" s="27"/>
      <c r="B170" s="28" t="e">
        <f aca="false">IFERROR(IF(ISNUMBER(A170),TEXT(YEAR(A170)-2000,"00")&amp;CEILING(MONTH(A170)/3,1),NA()),NA())</f>
        <v>#N/A</v>
      </c>
      <c r="C170" s="18" t="n">
        <f aca="false">IFERROR(YEAR(A170),0)</f>
        <v>1899</v>
      </c>
      <c r="D170" s="29"/>
      <c r="E170" s="20" t="e">
        <f aca="false">IFERROR(D170/D169-1,NA())</f>
        <v>#N/A</v>
      </c>
      <c r="F170" s="20" t="e">
        <f aca="false">IFERROR(D170/D166-1,NA())</f>
        <v>#N/A</v>
      </c>
      <c r="G170" s="21" t="e">
        <f aca="false">IF(COUNT(D167:D170)=4,SUM(D167:D170),NA())</f>
        <v>#N/A</v>
      </c>
    </row>
    <row r="171" customFormat="false" ht="15" hidden="false" customHeight="false" outlineLevel="0" collapsed="false">
      <c r="A171" s="27"/>
      <c r="B171" s="28" t="e">
        <f aca="false">IFERROR(IF(ISNUMBER(A171),TEXT(YEAR(A171)-2000,"00")&amp;CEILING(MONTH(A171)/3,1),NA()),NA())</f>
        <v>#N/A</v>
      </c>
      <c r="C171" s="18" t="n">
        <f aca="false">IFERROR(YEAR(A171),0)</f>
        <v>1899</v>
      </c>
      <c r="D171" s="29"/>
      <c r="E171" s="20" t="e">
        <f aca="false">IFERROR(D171/D170-1,NA())</f>
        <v>#N/A</v>
      </c>
      <c r="F171" s="20" t="e">
        <f aca="false">IFERROR(D171/D167-1,NA())</f>
        <v>#N/A</v>
      </c>
      <c r="G171" s="21" t="e">
        <f aca="false">IF(COUNT(D168:D171)=4,SUM(D168:D171),NA())</f>
        <v>#N/A</v>
      </c>
    </row>
    <row r="172" customFormat="false" ht="15" hidden="false" customHeight="false" outlineLevel="0" collapsed="false">
      <c r="A172" s="27"/>
      <c r="B172" s="28" t="e">
        <f aca="false">IFERROR(IF(ISNUMBER(A172),TEXT(YEAR(A172)-2000,"00")&amp;CEILING(MONTH(A172)/3,1),NA()),NA())</f>
        <v>#N/A</v>
      </c>
      <c r="C172" s="18" t="n">
        <f aca="false">IFERROR(YEAR(A172),0)</f>
        <v>1899</v>
      </c>
      <c r="D172" s="29"/>
      <c r="E172" s="20" t="e">
        <f aca="false">IFERROR(D172/D171-1,NA())</f>
        <v>#N/A</v>
      </c>
      <c r="F172" s="20" t="e">
        <f aca="false">IFERROR(D172/D168-1,NA())</f>
        <v>#N/A</v>
      </c>
      <c r="G172" s="21" t="e">
        <f aca="false">IF(COUNT(D169:D172)=4,SUM(D169:D172),NA())</f>
        <v>#N/A</v>
      </c>
    </row>
    <row r="173" customFormat="false" ht="15" hidden="false" customHeight="false" outlineLevel="0" collapsed="false">
      <c r="A173" s="27"/>
      <c r="B173" s="28" t="e">
        <f aca="false">IFERROR(IF(ISNUMBER(A173),TEXT(YEAR(A173)-2000,"00")&amp;CEILING(MONTH(A173)/3,1),NA()),NA())</f>
        <v>#N/A</v>
      </c>
      <c r="C173" s="18" t="n">
        <f aca="false">IFERROR(YEAR(A173),0)</f>
        <v>1899</v>
      </c>
      <c r="D173" s="29"/>
      <c r="E173" s="20" t="e">
        <f aca="false">IFERROR(D173/D172-1,NA())</f>
        <v>#N/A</v>
      </c>
      <c r="F173" s="20" t="e">
        <f aca="false">IFERROR(D173/D169-1,NA())</f>
        <v>#N/A</v>
      </c>
      <c r="G173" s="21" t="e">
        <f aca="false">IF(COUNT(D170:D173)=4,SUM(D170:D173),NA())</f>
        <v>#N/A</v>
      </c>
    </row>
    <row r="174" customFormat="false" ht="15" hidden="false" customHeight="false" outlineLevel="0" collapsed="false">
      <c r="A174" s="27"/>
      <c r="B174" s="28" t="e">
        <f aca="false">IFERROR(IF(ISNUMBER(A174),TEXT(YEAR(A174)-2000,"00")&amp;CEILING(MONTH(A174)/3,1),NA()),NA())</f>
        <v>#N/A</v>
      </c>
      <c r="C174" s="18" t="n">
        <f aca="false">IFERROR(YEAR(A174),0)</f>
        <v>1899</v>
      </c>
      <c r="D174" s="29"/>
      <c r="E174" s="20" t="e">
        <f aca="false">IFERROR(D174/D173-1,NA())</f>
        <v>#N/A</v>
      </c>
      <c r="F174" s="20" t="e">
        <f aca="false">IFERROR(D174/D170-1,NA())</f>
        <v>#N/A</v>
      </c>
      <c r="G174" s="21" t="e">
        <f aca="false">IF(COUNT(D171:D174)=4,SUM(D171:D174),NA())</f>
        <v>#N/A</v>
      </c>
    </row>
    <row r="175" customFormat="false" ht="15" hidden="false" customHeight="false" outlineLevel="0" collapsed="false">
      <c r="A175" s="27"/>
      <c r="B175" s="28" t="e">
        <f aca="false">IFERROR(IF(ISNUMBER(A175),TEXT(YEAR(A175)-2000,"00")&amp;CEILING(MONTH(A175)/3,1),NA()),NA())</f>
        <v>#N/A</v>
      </c>
      <c r="C175" s="18" t="n">
        <f aca="false">IFERROR(YEAR(A175),0)</f>
        <v>1899</v>
      </c>
      <c r="D175" s="29"/>
      <c r="E175" s="20" t="e">
        <f aca="false">IFERROR(D175/D174-1,NA())</f>
        <v>#N/A</v>
      </c>
      <c r="F175" s="20" t="e">
        <f aca="false">IFERROR(D175/D171-1,NA())</f>
        <v>#N/A</v>
      </c>
      <c r="G175" s="21" t="e">
        <f aca="false">IF(COUNT(D172:D175)=4,SUM(D172:D175),NA())</f>
        <v>#N/A</v>
      </c>
    </row>
    <row r="176" customFormat="false" ht="15" hidden="false" customHeight="false" outlineLevel="0" collapsed="false">
      <c r="A176" s="27"/>
      <c r="B176" s="28" t="e">
        <f aca="false">IFERROR(IF(ISNUMBER(A176),TEXT(YEAR(A176)-2000,"00")&amp;CEILING(MONTH(A176)/3,1),NA()),NA())</f>
        <v>#N/A</v>
      </c>
      <c r="C176" s="18" t="n">
        <f aca="false">IFERROR(YEAR(A176),0)</f>
        <v>1899</v>
      </c>
      <c r="D176" s="29"/>
      <c r="E176" s="20" t="e">
        <f aca="false">IFERROR(D176/D175-1,NA())</f>
        <v>#N/A</v>
      </c>
      <c r="F176" s="20" t="e">
        <f aca="false">IFERROR(D176/D172-1,NA())</f>
        <v>#N/A</v>
      </c>
      <c r="G176" s="21" t="e">
        <f aca="false">IF(COUNT(D173:D176)=4,SUM(D173:D176),NA())</f>
        <v>#N/A</v>
      </c>
    </row>
    <row r="177" customFormat="false" ht="15" hidden="false" customHeight="false" outlineLevel="0" collapsed="false">
      <c r="A177" s="27"/>
      <c r="B177" s="28" t="e">
        <f aca="false">IFERROR(IF(ISNUMBER(A177),TEXT(YEAR(A177)-2000,"00")&amp;CEILING(MONTH(A177)/3,1),NA()),NA())</f>
        <v>#N/A</v>
      </c>
      <c r="C177" s="18" t="n">
        <f aca="false">IFERROR(YEAR(A177),0)</f>
        <v>1899</v>
      </c>
      <c r="D177" s="29"/>
      <c r="E177" s="20" t="e">
        <f aca="false">IFERROR(D177/D176-1,NA())</f>
        <v>#N/A</v>
      </c>
      <c r="F177" s="20" t="e">
        <f aca="false">IFERROR(D177/D173-1,NA())</f>
        <v>#N/A</v>
      </c>
      <c r="G177" s="21" t="e">
        <f aca="false">IF(COUNT(D174:D177)=4,SUM(D174:D177),NA())</f>
        <v>#N/A</v>
      </c>
    </row>
    <row r="178" customFormat="false" ht="15" hidden="false" customHeight="false" outlineLevel="0" collapsed="false">
      <c r="A178" s="27"/>
      <c r="B178" s="28" t="e">
        <f aca="false">IFERROR(IF(ISNUMBER(A178),TEXT(YEAR(A178)-2000,"00")&amp;CEILING(MONTH(A178)/3,1),NA()),NA())</f>
        <v>#N/A</v>
      </c>
      <c r="C178" s="18" t="n">
        <f aca="false">IFERROR(YEAR(A178),0)</f>
        <v>1899</v>
      </c>
      <c r="D178" s="29"/>
      <c r="E178" s="20" t="e">
        <f aca="false">IFERROR(D178/D177-1,NA())</f>
        <v>#N/A</v>
      </c>
      <c r="F178" s="20" t="e">
        <f aca="false">IFERROR(D178/D174-1,NA())</f>
        <v>#N/A</v>
      </c>
      <c r="G178" s="21" t="e">
        <f aca="false">IF(COUNT(D175:D178)=4,SUM(D175:D178),NA())</f>
        <v>#N/A</v>
      </c>
    </row>
    <row r="179" customFormat="false" ht="15" hidden="false" customHeight="false" outlineLevel="0" collapsed="false">
      <c r="A179" s="27"/>
      <c r="B179" s="28" t="e">
        <f aca="false">IFERROR(IF(ISNUMBER(A179),TEXT(YEAR(A179)-2000,"00")&amp;CEILING(MONTH(A179)/3,1),NA()),NA())</f>
        <v>#N/A</v>
      </c>
      <c r="C179" s="18" t="n">
        <f aca="false">IFERROR(YEAR(A179),0)</f>
        <v>1899</v>
      </c>
      <c r="D179" s="29"/>
      <c r="E179" s="20" t="e">
        <f aca="false">IFERROR(D179/D178-1,NA())</f>
        <v>#N/A</v>
      </c>
      <c r="F179" s="20" t="e">
        <f aca="false">IFERROR(D179/D175-1,NA())</f>
        <v>#N/A</v>
      </c>
      <c r="G179" s="21" t="e">
        <f aca="false">IF(COUNT(D176:D179)=4,SUM(D176:D179),NA())</f>
        <v>#N/A</v>
      </c>
    </row>
    <row r="180" customFormat="false" ht="15" hidden="false" customHeight="false" outlineLevel="0" collapsed="false">
      <c r="A180" s="27"/>
      <c r="B180" s="28" t="e">
        <f aca="false">IFERROR(IF(ISNUMBER(A180),TEXT(YEAR(A180)-2000,"00")&amp;CEILING(MONTH(A180)/3,1),NA()),NA())</f>
        <v>#N/A</v>
      </c>
      <c r="C180" s="18" t="n">
        <f aca="false">IFERROR(YEAR(A180),0)</f>
        <v>1899</v>
      </c>
      <c r="D180" s="29"/>
      <c r="E180" s="20" t="e">
        <f aca="false">IFERROR(D180/D179-1,NA())</f>
        <v>#N/A</v>
      </c>
      <c r="F180" s="20" t="e">
        <f aca="false">IFERROR(D180/D176-1,NA())</f>
        <v>#N/A</v>
      </c>
      <c r="G180" s="21" t="e">
        <f aca="false">IF(COUNT(D177:D180)=4,SUM(D177:D180),NA())</f>
        <v>#N/A</v>
      </c>
    </row>
    <row r="181" customFormat="false" ht="15" hidden="false" customHeight="false" outlineLevel="0" collapsed="false">
      <c r="A181" s="27"/>
      <c r="B181" s="28" t="e">
        <f aca="false">IFERROR(IF(ISNUMBER(A181),TEXT(YEAR(A181)-2000,"00")&amp;CEILING(MONTH(A181)/3,1),NA()),NA())</f>
        <v>#N/A</v>
      </c>
      <c r="C181" s="18" t="n">
        <f aca="false">IFERROR(YEAR(A181),0)</f>
        <v>1899</v>
      </c>
      <c r="D181" s="29"/>
      <c r="E181" s="20" t="e">
        <f aca="false">IFERROR(D181/D180-1,NA())</f>
        <v>#N/A</v>
      </c>
      <c r="F181" s="20" t="e">
        <f aca="false">IFERROR(D181/D177-1,NA())</f>
        <v>#N/A</v>
      </c>
      <c r="G181" s="21" t="e">
        <f aca="false">IF(COUNT(D178:D181)=4,SUM(D178:D181),NA())</f>
        <v>#N/A</v>
      </c>
    </row>
    <row r="182" customFormat="false" ht="15" hidden="false" customHeight="false" outlineLevel="0" collapsed="false">
      <c r="A182" s="27"/>
      <c r="B182" s="28" t="e">
        <f aca="false">IFERROR(IF(ISNUMBER(A182),TEXT(YEAR(A182)-2000,"00")&amp;CEILING(MONTH(A182)/3,1),NA()),NA())</f>
        <v>#N/A</v>
      </c>
      <c r="C182" s="18" t="n">
        <f aca="false">IFERROR(YEAR(A182),0)</f>
        <v>1899</v>
      </c>
      <c r="D182" s="29"/>
      <c r="E182" s="20" t="e">
        <f aca="false">IFERROR(D182/D181-1,NA())</f>
        <v>#N/A</v>
      </c>
      <c r="F182" s="20" t="e">
        <f aca="false">IFERROR(D182/D178-1,NA())</f>
        <v>#N/A</v>
      </c>
      <c r="G182" s="21" t="e">
        <f aca="false">IF(COUNT(D179:D182)=4,SUM(D179:D182),NA())</f>
        <v>#N/A</v>
      </c>
    </row>
    <row r="183" customFormat="false" ht="15" hidden="false" customHeight="false" outlineLevel="0" collapsed="false">
      <c r="A183" s="27"/>
      <c r="B183" s="28" t="e">
        <f aca="false">IFERROR(IF(ISNUMBER(A183),TEXT(YEAR(A183)-2000,"00")&amp;CEILING(MONTH(A183)/3,1),NA()),NA())</f>
        <v>#N/A</v>
      </c>
      <c r="C183" s="18" t="n">
        <f aca="false">IFERROR(YEAR(A183),0)</f>
        <v>1899</v>
      </c>
      <c r="D183" s="29"/>
      <c r="E183" s="20" t="e">
        <f aca="false">IFERROR(D183/D182-1,NA())</f>
        <v>#N/A</v>
      </c>
      <c r="F183" s="20" t="e">
        <f aca="false">IFERROR(D183/D179-1,NA())</f>
        <v>#N/A</v>
      </c>
      <c r="G183" s="21" t="e">
        <f aca="false">IF(COUNT(D180:D183)=4,SUM(D180:D183),NA())</f>
        <v>#N/A</v>
      </c>
    </row>
    <row r="184" customFormat="false" ht="15" hidden="false" customHeight="false" outlineLevel="0" collapsed="false">
      <c r="A184" s="27"/>
      <c r="B184" s="28" t="e">
        <f aca="false">IFERROR(IF(ISNUMBER(A184),TEXT(YEAR(A184)-2000,"00")&amp;CEILING(MONTH(A184)/3,1),NA()),NA())</f>
        <v>#N/A</v>
      </c>
      <c r="C184" s="18" t="n">
        <f aca="false">IFERROR(YEAR(A184),0)</f>
        <v>1899</v>
      </c>
      <c r="D184" s="29"/>
      <c r="E184" s="20" t="e">
        <f aca="false">IFERROR(D184/D183-1,NA())</f>
        <v>#N/A</v>
      </c>
      <c r="F184" s="20" t="e">
        <f aca="false">IFERROR(D184/D180-1,NA())</f>
        <v>#N/A</v>
      </c>
      <c r="G184" s="21" t="e">
        <f aca="false">IF(COUNT(D181:D184)=4,SUM(D181:D184),NA())</f>
        <v>#N/A</v>
      </c>
    </row>
    <row r="185" customFormat="false" ht="15" hidden="false" customHeight="false" outlineLevel="0" collapsed="false">
      <c r="A185" s="27"/>
      <c r="B185" s="28" t="e">
        <f aca="false">IFERROR(IF(ISNUMBER(A185),TEXT(YEAR(A185)-2000,"00")&amp;CEILING(MONTH(A185)/3,1),NA()),NA())</f>
        <v>#N/A</v>
      </c>
      <c r="C185" s="18" t="n">
        <f aca="false">IFERROR(YEAR(A185),0)</f>
        <v>1899</v>
      </c>
      <c r="D185" s="29"/>
      <c r="E185" s="20" t="e">
        <f aca="false">IFERROR(D185/D184-1,NA())</f>
        <v>#N/A</v>
      </c>
      <c r="F185" s="20" t="e">
        <f aca="false">IFERROR(D185/D181-1,NA())</f>
        <v>#N/A</v>
      </c>
      <c r="G185" s="21" t="e">
        <f aca="false">IF(COUNT(D182:D185)=4,SUM(D182:D185),NA())</f>
        <v>#N/A</v>
      </c>
    </row>
    <row r="186" customFormat="false" ht="15" hidden="false" customHeight="false" outlineLevel="0" collapsed="false">
      <c r="A186" s="27"/>
      <c r="B186" s="28" t="e">
        <f aca="false">IFERROR(IF(ISNUMBER(A186),TEXT(YEAR(A186)-2000,"00")&amp;CEILING(MONTH(A186)/3,1),NA()),NA())</f>
        <v>#N/A</v>
      </c>
      <c r="C186" s="18" t="n">
        <f aca="false">IFERROR(YEAR(A186),0)</f>
        <v>1899</v>
      </c>
      <c r="D186" s="29"/>
      <c r="E186" s="20" t="e">
        <f aca="false">IFERROR(D186/D185-1,NA())</f>
        <v>#N/A</v>
      </c>
      <c r="F186" s="20" t="e">
        <f aca="false">IFERROR(D186/D182-1,NA())</f>
        <v>#N/A</v>
      </c>
      <c r="G186" s="21" t="e">
        <f aca="false">IF(COUNT(D183:D186)=4,SUM(D183:D186),NA())</f>
        <v>#N/A</v>
      </c>
    </row>
    <row r="187" customFormat="false" ht="15" hidden="false" customHeight="false" outlineLevel="0" collapsed="false">
      <c r="A187" s="27"/>
      <c r="B187" s="28" t="e">
        <f aca="false">IFERROR(IF(ISNUMBER(A187),TEXT(YEAR(A187)-2000,"00")&amp;CEILING(MONTH(A187)/3,1),NA()),NA())</f>
        <v>#N/A</v>
      </c>
      <c r="C187" s="18" t="n">
        <f aca="false">IFERROR(YEAR(A187),0)</f>
        <v>1899</v>
      </c>
      <c r="D187" s="29"/>
      <c r="E187" s="20" t="e">
        <f aca="false">IFERROR(D187/D186-1,NA())</f>
        <v>#N/A</v>
      </c>
      <c r="F187" s="20" t="e">
        <f aca="false">IFERROR(D187/D183-1,NA())</f>
        <v>#N/A</v>
      </c>
      <c r="G187" s="21" t="e">
        <f aca="false">IF(COUNT(D184:D187)=4,SUM(D184:D187),NA())</f>
        <v>#N/A</v>
      </c>
    </row>
    <row r="188" customFormat="false" ht="15" hidden="false" customHeight="false" outlineLevel="0" collapsed="false">
      <c r="A188" s="27"/>
      <c r="B188" s="28" t="e">
        <f aca="false">IFERROR(IF(ISNUMBER(A188),TEXT(YEAR(A188)-2000,"00")&amp;CEILING(MONTH(A188)/3,1),NA()),NA())</f>
        <v>#N/A</v>
      </c>
      <c r="C188" s="18" t="n">
        <f aca="false">IFERROR(YEAR(A188),0)</f>
        <v>1899</v>
      </c>
      <c r="D188" s="29"/>
      <c r="E188" s="20" t="e">
        <f aca="false">IFERROR(D188/D187-1,NA())</f>
        <v>#N/A</v>
      </c>
      <c r="F188" s="20" t="e">
        <f aca="false">IFERROR(D188/D184-1,NA())</f>
        <v>#N/A</v>
      </c>
      <c r="G188" s="21" t="e">
        <f aca="false">IF(COUNT(D185:D188)=4,SUM(D185:D188),NA())</f>
        <v>#N/A</v>
      </c>
    </row>
    <row r="189" customFormat="false" ht="15" hidden="false" customHeight="false" outlineLevel="0" collapsed="false">
      <c r="A189" s="27"/>
      <c r="B189" s="28" t="e">
        <f aca="false">IFERROR(IF(ISNUMBER(A189),TEXT(YEAR(A189)-2000,"00")&amp;CEILING(MONTH(A189)/3,1),NA()),NA())</f>
        <v>#N/A</v>
      </c>
      <c r="C189" s="18" t="n">
        <f aca="false">IFERROR(YEAR(A189),0)</f>
        <v>1899</v>
      </c>
      <c r="D189" s="29"/>
      <c r="E189" s="20" t="e">
        <f aca="false">IFERROR(D189/D188-1,NA())</f>
        <v>#N/A</v>
      </c>
      <c r="F189" s="20" t="e">
        <f aca="false">IFERROR(D189/D185-1,NA())</f>
        <v>#N/A</v>
      </c>
      <c r="G189" s="21" t="e">
        <f aca="false">IF(COUNT(D186:D189)=4,SUM(D186:D189),NA())</f>
        <v>#N/A</v>
      </c>
    </row>
    <row r="190" customFormat="false" ht="15" hidden="false" customHeight="false" outlineLevel="0" collapsed="false">
      <c r="A190" s="27"/>
      <c r="B190" s="28" t="e">
        <f aca="false">IFERROR(IF(ISNUMBER(A190),TEXT(YEAR(A190)-2000,"00")&amp;CEILING(MONTH(A190)/3,1),NA()),NA())</f>
        <v>#N/A</v>
      </c>
      <c r="C190" s="18" t="n">
        <f aca="false">IFERROR(YEAR(A190),0)</f>
        <v>1899</v>
      </c>
      <c r="D190" s="29"/>
      <c r="E190" s="20" t="e">
        <f aca="false">IFERROR(D190/D189-1,NA())</f>
        <v>#N/A</v>
      </c>
      <c r="F190" s="20" t="e">
        <f aca="false">IFERROR(D190/D186-1,NA())</f>
        <v>#N/A</v>
      </c>
      <c r="G190" s="21" t="e">
        <f aca="false">IF(COUNT(D187:D190)=4,SUM(D187:D190),NA())</f>
        <v>#N/A</v>
      </c>
    </row>
    <row r="191" customFormat="false" ht="15" hidden="false" customHeight="false" outlineLevel="0" collapsed="false">
      <c r="A191" s="27"/>
      <c r="B191" s="28" t="e">
        <f aca="false">IFERROR(IF(ISNUMBER(A191),TEXT(YEAR(A191)-2000,"00")&amp;CEILING(MONTH(A191)/3,1),NA()),NA())</f>
        <v>#N/A</v>
      </c>
      <c r="C191" s="18" t="n">
        <f aca="false">IFERROR(YEAR(A191),0)</f>
        <v>1899</v>
      </c>
      <c r="D191" s="29"/>
      <c r="E191" s="20" t="e">
        <f aca="false">IFERROR(D191/D190-1,NA())</f>
        <v>#N/A</v>
      </c>
      <c r="F191" s="20" t="e">
        <f aca="false">IFERROR(D191/D187-1,NA())</f>
        <v>#N/A</v>
      </c>
      <c r="G191" s="21" t="e">
        <f aca="false">IF(COUNT(D188:D191)=4,SUM(D188:D191),NA())</f>
        <v>#N/A</v>
      </c>
    </row>
    <row r="192" customFormat="false" ht="15" hidden="false" customHeight="false" outlineLevel="0" collapsed="false">
      <c r="A192" s="27"/>
      <c r="B192" s="28" t="e">
        <f aca="false">IFERROR(IF(ISNUMBER(A192),TEXT(YEAR(A192)-2000,"00")&amp;CEILING(MONTH(A192)/3,1),NA()),NA())</f>
        <v>#N/A</v>
      </c>
      <c r="C192" s="18" t="n">
        <f aca="false">IFERROR(YEAR(A192),0)</f>
        <v>1899</v>
      </c>
      <c r="D192" s="29"/>
      <c r="E192" s="20" t="e">
        <f aca="false">IFERROR(D192/D191-1,NA())</f>
        <v>#N/A</v>
      </c>
      <c r="F192" s="20" t="e">
        <f aca="false">IFERROR(D192/D188-1,NA())</f>
        <v>#N/A</v>
      </c>
      <c r="G192" s="21" t="e">
        <f aca="false">IF(COUNT(D189:D192)=4,SUM(D189:D192),NA())</f>
        <v>#N/A</v>
      </c>
    </row>
    <row r="193" customFormat="false" ht="15" hidden="false" customHeight="false" outlineLevel="0" collapsed="false">
      <c r="A193" s="27"/>
      <c r="B193" s="28" t="e">
        <f aca="false">IFERROR(IF(ISNUMBER(A193),TEXT(YEAR(A193)-2000,"00")&amp;CEILING(MONTH(A193)/3,1),NA()),NA())</f>
        <v>#N/A</v>
      </c>
      <c r="C193" s="18" t="n">
        <f aca="false">IFERROR(YEAR(A193),0)</f>
        <v>1899</v>
      </c>
      <c r="D193" s="29"/>
      <c r="E193" s="20" t="e">
        <f aca="false">IFERROR(D193/D192-1,NA())</f>
        <v>#N/A</v>
      </c>
      <c r="F193" s="20" t="e">
        <f aca="false">IFERROR(D193/D189-1,NA())</f>
        <v>#N/A</v>
      </c>
      <c r="G193" s="21" t="e">
        <f aca="false">IF(COUNT(D190:D193)=4,SUM(D190:D193),NA())</f>
        <v>#N/A</v>
      </c>
    </row>
    <row r="194" customFormat="false" ht="15" hidden="false" customHeight="false" outlineLevel="0" collapsed="false">
      <c r="A194" s="27"/>
      <c r="B194" s="28" t="e">
        <f aca="false">IFERROR(IF(ISNUMBER(A194),TEXT(YEAR(A194)-2000,"00")&amp;CEILING(MONTH(A194)/3,1),NA()),NA())</f>
        <v>#N/A</v>
      </c>
      <c r="C194" s="18" t="n">
        <f aca="false">IFERROR(YEAR(A194),0)</f>
        <v>1899</v>
      </c>
      <c r="D194" s="29"/>
      <c r="E194" s="20" t="e">
        <f aca="false">IFERROR(D194/D193-1,NA())</f>
        <v>#N/A</v>
      </c>
      <c r="F194" s="20" t="e">
        <f aca="false">IFERROR(D194/D190-1,NA())</f>
        <v>#N/A</v>
      </c>
      <c r="G194" s="21" t="e">
        <f aca="false">IF(COUNT(D191:D194)=4,SUM(D191:D194),NA())</f>
        <v>#N/A</v>
      </c>
    </row>
    <row r="195" customFormat="false" ht="15" hidden="false" customHeight="false" outlineLevel="0" collapsed="false">
      <c r="A195" s="27"/>
      <c r="B195" s="28" t="e">
        <f aca="false">IFERROR(IF(ISNUMBER(A195),TEXT(YEAR(A195)-2000,"00")&amp;CEILING(MONTH(A195)/3,1),NA()),NA())</f>
        <v>#N/A</v>
      </c>
      <c r="C195" s="18" t="n">
        <f aca="false">IFERROR(YEAR(A195),0)</f>
        <v>1899</v>
      </c>
      <c r="D195" s="29"/>
      <c r="E195" s="20" t="e">
        <f aca="false">IFERROR(D195/D194-1,NA())</f>
        <v>#N/A</v>
      </c>
      <c r="F195" s="20" t="e">
        <f aca="false">IFERROR(D195/D191-1,NA())</f>
        <v>#N/A</v>
      </c>
      <c r="G195" s="21" t="e">
        <f aca="false">IF(COUNT(D192:D195)=4,SUM(D192:D195),NA())</f>
        <v>#N/A</v>
      </c>
    </row>
    <row r="196" customFormat="false" ht="15" hidden="false" customHeight="false" outlineLevel="0" collapsed="false">
      <c r="A196" s="27"/>
      <c r="B196" s="28" t="e">
        <f aca="false">IFERROR(IF(ISNUMBER(A196),TEXT(YEAR(A196)-2000,"00")&amp;CEILING(MONTH(A196)/3,1),NA()),NA())</f>
        <v>#N/A</v>
      </c>
      <c r="C196" s="18" t="n">
        <f aca="false">IFERROR(YEAR(A196),0)</f>
        <v>1899</v>
      </c>
      <c r="D196" s="29"/>
      <c r="E196" s="20" t="e">
        <f aca="false">IFERROR(D196/D195-1,NA())</f>
        <v>#N/A</v>
      </c>
      <c r="F196" s="20" t="e">
        <f aca="false">IFERROR(D196/D192-1,NA())</f>
        <v>#N/A</v>
      </c>
      <c r="G196" s="21" t="e">
        <f aca="false">IF(COUNT(D193:D196)=4,SUM(D193:D196),NA())</f>
        <v>#N/A</v>
      </c>
    </row>
    <row r="197" customFormat="false" ht="15" hidden="false" customHeight="false" outlineLevel="0" collapsed="false">
      <c r="A197" s="27"/>
      <c r="B197" s="28" t="e">
        <f aca="false">IFERROR(IF(ISNUMBER(A197),TEXT(YEAR(A197)-2000,"00")&amp;CEILING(MONTH(A197)/3,1),NA()),NA())</f>
        <v>#N/A</v>
      </c>
      <c r="C197" s="18" t="n">
        <f aca="false">IFERROR(YEAR(A197),0)</f>
        <v>1899</v>
      </c>
      <c r="D197" s="29"/>
      <c r="E197" s="20" t="e">
        <f aca="false">IFERROR(D197/D196-1,NA())</f>
        <v>#N/A</v>
      </c>
      <c r="F197" s="20" t="e">
        <f aca="false">IFERROR(D197/D193-1,NA())</f>
        <v>#N/A</v>
      </c>
      <c r="G197" s="21" t="e">
        <f aca="false">IF(COUNT(D194:D197)=4,SUM(D194:D197),NA())</f>
        <v>#N/A</v>
      </c>
    </row>
    <row r="198" customFormat="false" ht="15" hidden="false" customHeight="false" outlineLevel="0" collapsed="false">
      <c r="A198" s="27"/>
      <c r="B198" s="28" t="e">
        <f aca="false">IFERROR(IF(ISNUMBER(A198),TEXT(YEAR(A198)-2000,"00")&amp;CEILING(MONTH(A198)/3,1),NA()),NA())</f>
        <v>#N/A</v>
      </c>
      <c r="C198" s="18" t="n">
        <f aca="false">IFERROR(YEAR(A198),0)</f>
        <v>1899</v>
      </c>
      <c r="D198" s="29"/>
      <c r="E198" s="20" t="e">
        <f aca="false">IFERROR(D198/D197-1,NA())</f>
        <v>#N/A</v>
      </c>
      <c r="F198" s="20" t="e">
        <f aca="false">IFERROR(D198/D194-1,NA())</f>
        <v>#N/A</v>
      </c>
      <c r="G198" s="21" t="e">
        <f aca="false">IF(COUNT(D195:D198)=4,SUM(D195:D198),NA())</f>
        <v>#N/A</v>
      </c>
    </row>
    <row r="199" customFormat="false" ht="15" hidden="false" customHeight="false" outlineLevel="0" collapsed="false">
      <c r="A199" s="27"/>
      <c r="B199" s="28" t="e">
        <f aca="false">IFERROR(IF(ISNUMBER(A199),TEXT(YEAR(A199)-2000,"00")&amp;CEILING(MONTH(A199)/3,1),NA()),NA())</f>
        <v>#N/A</v>
      </c>
      <c r="C199" s="18" t="n">
        <f aca="false">IFERROR(YEAR(A199),0)</f>
        <v>1899</v>
      </c>
      <c r="D199" s="29"/>
      <c r="E199" s="20" t="e">
        <f aca="false">IFERROR(D199/D198-1,NA())</f>
        <v>#N/A</v>
      </c>
      <c r="F199" s="20" t="e">
        <f aca="false">IFERROR(D199/D195-1,NA())</f>
        <v>#N/A</v>
      </c>
      <c r="G199" s="21" t="e">
        <f aca="false">IF(COUNT(D196:D199)=4,SUM(D196:D199),NA())</f>
        <v>#N/A</v>
      </c>
    </row>
    <row r="200" customFormat="false" ht="15" hidden="false" customHeight="false" outlineLevel="0" collapsed="false">
      <c r="A200" s="27"/>
      <c r="B200" s="28" t="e">
        <f aca="false">IFERROR(IF(ISNUMBER(A200),TEXT(YEAR(A200)-2000,"00")&amp;CEILING(MONTH(A200)/3,1),NA()),NA())</f>
        <v>#N/A</v>
      </c>
      <c r="C200" s="18" t="n">
        <f aca="false">IFERROR(YEAR(A200),0)</f>
        <v>1899</v>
      </c>
      <c r="D200" s="29"/>
      <c r="E200" s="20" t="e">
        <f aca="false">IFERROR(D200/D199-1,NA())</f>
        <v>#N/A</v>
      </c>
      <c r="F200" s="20" t="e">
        <f aca="false">IFERROR(D200/D196-1,NA())</f>
        <v>#N/A</v>
      </c>
      <c r="G200" s="21" t="e">
        <f aca="false">IF(COUNT(D197:D200)=4,SUM(D197:D200),NA())</f>
        <v>#N/A</v>
      </c>
    </row>
    <row r="201" customFormat="false" ht="15" hidden="false" customHeight="false" outlineLevel="0" collapsed="false">
      <c r="A201" s="27"/>
      <c r="B201" s="28" t="e">
        <f aca="false">IFERROR(IF(ISNUMBER(A201),TEXT(YEAR(A201)-2000,"00")&amp;CEILING(MONTH(A201)/3,1),NA()),NA())</f>
        <v>#N/A</v>
      </c>
      <c r="C201" s="18" t="n">
        <f aca="false">IFERROR(YEAR(A201),0)</f>
        <v>1899</v>
      </c>
      <c r="D201" s="29"/>
      <c r="E201" s="20" t="e">
        <f aca="false">IFERROR(D201/D200-1,NA())</f>
        <v>#N/A</v>
      </c>
      <c r="F201" s="20" t="e">
        <f aca="false">IFERROR(D201/D197-1,NA())</f>
        <v>#N/A</v>
      </c>
      <c r="G201" s="21" t="e">
        <f aca="false">IF(COUNT(D198:D201)=4,SUM(D198:D201),NA())</f>
        <v>#N/A</v>
      </c>
    </row>
    <row r="202" customFormat="false" ht="15" hidden="false" customHeight="false" outlineLevel="0" collapsed="false">
      <c r="A202" s="27"/>
      <c r="B202" s="28" t="e">
        <f aca="false">IFERROR(IF(ISNUMBER(A202),TEXT(YEAR(A202)-2000,"00")&amp;CEILING(MONTH(A202)/3,1),NA()),NA())</f>
        <v>#N/A</v>
      </c>
      <c r="C202" s="18" t="n">
        <f aca="false">IFERROR(YEAR(A202),0)</f>
        <v>1899</v>
      </c>
      <c r="D202" s="29"/>
      <c r="E202" s="20" t="e">
        <f aca="false">IFERROR(D202/D201-1,NA())</f>
        <v>#N/A</v>
      </c>
      <c r="F202" s="20" t="e">
        <f aca="false">IFERROR(D202/D198-1,NA())</f>
        <v>#N/A</v>
      </c>
      <c r="G202" s="21" t="e">
        <f aca="false">IF(COUNT(D199:D202)=4,SUM(D199:D202),NA())</f>
        <v>#N/A</v>
      </c>
    </row>
    <row r="203" customFormat="false" ht="15" hidden="false" customHeight="false" outlineLevel="0" collapsed="false">
      <c r="A203" s="27"/>
      <c r="B203" s="28" t="e">
        <f aca="false">IFERROR(IF(ISNUMBER(A203),TEXT(YEAR(A203)-2000,"00")&amp;CEILING(MONTH(A203)/3,1),NA()),NA())</f>
        <v>#N/A</v>
      </c>
      <c r="C203" s="18" t="n">
        <f aca="false">IFERROR(YEAR(A203),0)</f>
        <v>1899</v>
      </c>
      <c r="D203" s="29"/>
      <c r="E203" s="20" t="e">
        <f aca="false">IFERROR(D203/D202-1,NA())</f>
        <v>#N/A</v>
      </c>
      <c r="F203" s="20" t="e">
        <f aca="false">IFERROR(D203/D199-1,NA())</f>
        <v>#N/A</v>
      </c>
      <c r="G203" s="21" t="e">
        <f aca="false">IF(COUNT(D200:D203)=4,SUM(D200:D203),NA())</f>
        <v>#N/A</v>
      </c>
    </row>
    <row r="204" customFormat="false" ht="15" hidden="false" customHeight="false" outlineLevel="0" collapsed="false">
      <c r="A204" s="27"/>
      <c r="B204" s="28" t="e">
        <f aca="false">IFERROR(IF(ISNUMBER(A204),TEXT(YEAR(A204)-2000,"00")&amp;CEILING(MONTH(A204)/3,1),NA()),NA())</f>
        <v>#N/A</v>
      </c>
      <c r="C204" s="18" t="n">
        <f aca="false">IFERROR(YEAR(A204),0)</f>
        <v>1899</v>
      </c>
      <c r="D204" s="29"/>
      <c r="E204" s="20" t="e">
        <f aca="false">IFERROR(D204/D203-1,NA())</f>
        <v>#N/A</v>
      </c>
      <c r="F204" s="20" t="e">
        <f aca="false">IFERROR(D204/D200-1,NA())</f>
        <v>#N/A</v>
      </c>
      <c r="G204" s="21" t="e">
        <f aca="false">IF(COUNT(D201:D204)=4,SUM(D201:D204),NA())</f>
        <v>#N/A</v>
      </c>
    </row>
    <row r="205" customFormat="false" ht="15" hidden="false" customHeight="false" outlineLevel="0" collapsed="false">
      <c r="A205" s="27"/>
      <c r="B205" s="28" t="e">
        <f aca="false">IFERROR(IF(ISNUMBER(A205),TEXT(YEAR(A205)-2000,"00")&amp;CEILING(MONTH(A205)/3,1),NA()),NA())</f>
        <v>#N/A</v>
      </c>
      <c r="C205" s="18" t="n">
        <f aca="false">IFERROR(YEAR(A205),0)</f>
        <v>1899</v>
      </c>
      <c r="D205" s="29"/>
      <c r="E205" s="20" t="e">
        <f aca="false">IFERROR(D205/D204-1,NA())</f>
        <v>#N/A</v>
      </c>
      <c r="F205" s="20" t="e">
        <f aca="false">IFERROR(D205/D201-1,NA())</f>
        <v>#N/A</v>
      </c>
      <c r="G205" s="21" t="e">
        <f aca="false">IF(COUNT(D202:D205)=4,SUM(D202:D205),NA())</f>
        <v>#N/A</v>
      </c>
    </row>
    <row r="206" customFormat="false" ht="15" hidden="false" customHeight="false" outlineLevel="0" collapsed="false">
      <c r="A206" s="27"/>
      <c r="B206" s="28" t="e">
        <f aca="false">IFERROR(IF(ISNUMBER(A206),TEXT(YEAR(A206)-2000,"00")&amp;CEILING(MONTH(A206)/3,1),NA()),NA())</f>
        <v>#N/A</v>
      </c>
      <c r="C206" s="18" t="n">
        <f aca="false">IFERROR(YEAR(A206),0)</f>
        <v>1899</v>
      </c>
      <c r="D206" s="29"/>
      <c r="E206" s="20" t="e">
        <f aca="false">IFERROR(D206/D205-1,NA())</f>
        <v>#N/A</v>
      </c>
      <c r="F206" s="20" t="e">
        <f aca="false">IFERROR(D206/D202-1,NA())</f>
        <v>#N/A</v>
      </c>
      <c r="G206" s="21" t="e">
        <f aca="false">IF(COUNT(D203:D206)=4,SUM(D203:D206),NA())</f>
        <v>#N/A</v>
      </c>
    </row>
    <row r="207" customFormat="false" ht="15" hidden="false" customHeight="false" outlineLevel="0" collapsed="false">
      <c r="A207" s="27"/>
      <c r="B207" s="28" t="e">
        <f aca="false">IFERROR(IF(ISNUMBER(A207),TEXT(YEAR(A207)-2000,"00")&amp;CEILING(MONTH(A207)/3,1),NA()),NA())</f>
        <v>#N/A</v>
      </c>
      <c r="C207" s="18" t="n">
        <f aca="false">IFERROR(YEAR(A207),0)</f>
        <v>1899</v>
      </c>
      <c r="D207" s="29"/>
      <c r="E207" s="20" t="e">
        <f aca="false">IFERROR(D207/D206-1,NA())</f>
        <v>#N/A</v>
      </c>
      <c r="F207" s="20" t="e">
        <f aca="false">IFERROR(D207/D203-1,NA())</f>
        <v>#N/A</v>
      </c>
      <c r="G207" s="21" t="e">
        <f aca="false">IF(COUNT(D204:D207)=4,SUM(D204:D207),NA())</f>
        <v>#N/A</v>
      </c>
    </row>
    <row r="208" customFormat="false" ht="15" hidden="false" customHeight="false" outlineLevel="0" collapsed="false">
      <c r="A208" s="27"/>
      <c r="B208" s="28" t="e">
        <f aca="false">IFERROR(IF(ISNUMBER(A208),TEXT(YEAR(A208)-2000,"00")&amp;CEILING(MONTH(A208)/3,1),NA()),NA())</f>
        <v>#N/A</v>
      </c>
      <c r="C208" s="18" t="n">
        <f aca="false">IFERROR(YEAR(A208),0)</f>
        <v>1899</v>
      </c>
      <c r="D208" s="29"/>
      <c r="E208" s="20" t="e">
        <f aca="false">IFERROR(D208/D207-1,NA())</f>
        <v>#N/A</v>
      </c>
      <c r="F208" s="20" t="e">
        <f aca="false">IFERROR(D208/D204-1,NA())</f>
        <v>#N/A</v>
      </c>
      <c r="G208" s="21" t="e">
        <f aca="false">IF(COUNT(D205:D208)=4,SUM(D205:D208),NA())</f>
        <v>#N/A</v>
      </c>
    </row>
    <row r="209" customFormat="false" ht="15" hidden="false" customHeight="false" outlineLevel="0" collapsed="false">
      <c r="A209" s="27"/>
      <c r="B209" s="28" t="e">
        <f aca="false">IFERROR(IF(ISNUMBER(A209),TEXT(YEAR(A209)-2000,"00")&amp;CEILING(MONTH(A209)/3,1),NA()),NA())</f>
        <v>#N/A</v>
      </c>
      <c r="C209" s="18" t="n">
        <f aca="false">IFERROR(YEAR(A209),0)</f>
        <v>1899</v>
      </c>
      <c r="D209" s="29"/>
      <c r="E209" s="20" t="e">
        <f aca="false">IFERROR(D209/D208-1,NA())</f>
        <v>#N/A</v>
      </c>
      <c r="F209" s="20" t="e">
        <f aca="false">IFERROR(D209/D205-1,NA())</f>
        <v>#N/A</v>
      </c>
      <c r="G209" s="21" t="e">
        <f aca="false">IF(COUNT(D206:D209)=4,SUM(D206:D209),NA())</f>
        <v>#N/A</v>
      </c>
    </row>
    <row r="210" customFormat="false" ht="15" hidden="false" customHeight="false" outlineLevel="0" collapsed="false">
      <c r="A210" s="27"/>
      <c r="B210" s="28" t="e">
        <f aca="false">IFERROR(IF(ISNUMBER(A210),TEXT(YEAR(A210)-2000,"00")&amp;CEILING(MONTH(A210)/3,1),NA()),NA())</f>
        <v>#N/A</v>
      </c>
      <c r="C210" s="18" t="n">
        <f aca="false">IFERROR(YEAR(A210),0)</f>
        <v>1899</v>
      </c>
      <c r="D210" s="29"/>
      <c r="E210" s="20" t="e">
        <f aca="false">IFERROR(D210/D209-1,NA())</f>
        <v>#N/A</v>
      </c>
      <c r="F210" s="20" t="e">
        <f aca="false">IFERROR(D210/D206-1,NA())</f>
        <v>#N/A</v>
      </c>
      <c r="G210" s="21" t="e">
        <f aca="false">IF(COUNT(D207:D210)=4,SUM(D207:D210),NA())</f>
        <v>#N/A</v>
      </c>
    </row>
    <row r="211" customFormat="false" ht="15" hidden="false" customHeight="false" outlineLevel="0" collapsed="false">
      <c r="A211" s="27"/>
      <c r="B211" s="28" t="e">
        <f aca="false">IFERROR(IF(ISNUMBER(A211),TEXT(YEAR(A211)-2000,"00")&amp;CEILING(MONTH(A211)/3,1),NA()),NA())</f>
        <v>#N/A</v>
      </c>
      <c r="C211" s="18" t="n">
        <f aca="false">IFERROR(YEAR(A211),0)</f>
        <v>1899</v>
      </c>
      <c r="D211" s="29"/>
      <c r="E211" s="20" t="e">
        <f aca="false">IFERROR(D211/D210-1,NA())</f>
        <v>#N/A</v>
      </c>
      <c r="F211" s="20" t="e">
        <f aca="false">IFERROR(D211/D207-1,NA())</f>
        <v>#N/A</v>
      </c>
      <c r="G211" s="21" t="e">
        <f aca="false">IF(COUNT(D208:D211)=4,SUM(D208:D211),NA())</f>
        <v>#N/A</v>
      </c>
    </row>
    <row r="212" customFormat="false" ht="15" hidden="false" customHeight="false" outlineLevel="0" collapsed="false">
      <c r="A212" s="27"/>
      <c r="B212" s="28" t="e">
        <f aca="false">IFERROR(IF(ISNUMBER(A212),TEXT(YEAR(A212)-2000,"00")&amp;CEILING(MONTH(A212)/3,1),NA()),NA())</f>
        <v>#N/A</v>
      </c>
      <c r="C212" s="18" t="n">
        <f aca="false">IFERROR(YEAR(A212),0)</f>
        <v>1899</v>
      </c>
      <c r="D212" s="29"/>
      <c r="E212" s="20" t="e">
        <f aca="false">IFERROR(D212/D211-1,NA())</f>
        <v>#N/A</v>
      </c>
      <c r="F212" s="20" t="e">
        <f aca="false">IFERROR(D212/D208-1,NA())</f>
        <v>#N/A</v>
      </c>
      <c r="G212" s="21" t="e">
        <f aca="false">IF(COUNT(D209:D212)=4,SUM(D209:D212),NA())</f>
        <v>#N/A</v>
      </c>
    </row>
    <row r="213" customFormat="false" ht="15" hidden="false" customHeight="false" outlineLevel="0" collapsed="false">
      <c r="A213" s="27"/>
      <c r="B213" s="28" t="e">
        <f aca="false">IFERROR(IF(ISNUMBER(A213),TEXT(YEAR(A213)-2000,"00")&amp;CEILING(MONTH(A213)/3,1),NA()),NA())</f>
        <v>#N/A</v>
      </c>
      <c r="C213" s="18" t="n">
        <f aca="false">IFERROR(YEAR(A213),0)</f>
        <v>1899</v>
      </c>
      <c r="D213" s="29"/>
      <c r="E213" s="20" t="e">
        <f aca="false">IFERROR(D213/D212-1,NA())</f>
        <v>#N/A</v>
      </c>
      <c r="F213" s="20" t="e">
        <f aca="false">IFERROR(D213/D209-1,NA())</f>
        <v>#N/A</v>
      </c>
      <c r="G213" s="21" t="e">
        <f aca="false">IF(COUNT(D210:D213)=4,SUM(D210:D213),NA())</f>
        <v>#N/A</v>
      </c>
    </row>
    <row r="214" customFormat="false" ht="15" hidden="false" customHeight="false" outlineLevel="0" collapsed="false">
      <c r="A214" s="27"/>
      <c r="B214" s="28" t="e">
        <f aca="false">IFERROR(IF(ISNUMBER(A214),TEXT(YEAR(A214)-2000,"00")&amp;CEILING(MONTH(A214)/3,1),NA()),NA())</f>
        <v>#N/A</v>
      </c>
      <c r="C214" s="18" t="n">
        <f aca="false">IFERROR(YEAR(A214),0)</f>
        <v>1899</v>
      </c>
      <c r="D214" s="29"/>
      <c r="E214" s="20" t="e">
        <f aca="false">IFERROR(D214/D213-1,NA())</f>
        <v>#N/A</v>
      </c>
      <c r="F214" s="20" t="e">
        <f aca="false">IFERROR(D214/D210-1,NA())</f>
        <v>#N/A</v>
      </c>
      <c r="G214" s="21" t="e">
        <f aca="false">IF(COUNT(D211:D214)=4,SUM(D211:D214),NA())</f>
        <v>#N/A</v>
      </c>
    </row>
    <row r="215" customFormat="false" ht="15" hidden="false" customHeight="false" outlineLevel="0" collapsed="false">
      <c r="A215" s="27"/>
      <c r="B215" s="28" t="e">
        <f aca="false">IFERROR(IF(ISNUMBER(A215),TEXT(YEAR(A215)-2000,"00")&amp;CEILING(MONTH(A215)/3,1),NA()),NA())</f>
        <v>#N/A</v>
      </c>
      <c r="C215" s="18" t="n">
        <f aca="false">IFERROR(YEAR(A215),0)</f>
        <v>1899</v>
      </c>
      <c r="D215" s="29"/>
      <c r="E215" s="20" t="e">
        <f aca="false">IFERROR(D215/D214-1,NA())</f>
        <v>#N/A</v>
      </c>
      <c r="F215" s="20" t="e">
        <f aca="false">IFERROR(D215/D211-1,NA())</f>
        <v>#N/A</v>
      </c>
      <c r="G215" s="21" t="e">
        <f aca="false">IF(COUNT(D212:D215)=4,SUM(D212:D215),NA())</f>
        <v>#N/A</v>
      </c>
    </row>
  </sheetData>
  <dataValidations count="1">
    <dataValidation allowBlank="false" errorStyle="stop" operator="between" showDropDown="false" showErrorMessage="false" showInputMessage="false" sqref="B10" type="list">
      <formula1>"Sum,Average,End of Period"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29" min="4" style="0" width="13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4" customFormat="false" ht="15" hidden="false" customHeight="false" outlineLevel="0" collapsed="false">
      <c r="A4" s="4" t="s">
        <v>362</v>
      </c>
    </row>
    <row r="5" customFormat="false" ht="15" hidden="false" customHeight="false" outlineLevel="0" collapsed="false">
      <c r="A5" s="0" t="s">
        <v>363</v>
      </c>
      <c r="B5" s="26" t="s">
        <v>381</v>
      </c>
    </row>
    <row r="6" customFormat="false" ht="15" hidden="false" customHeight="false" outlineLevel="0" collapsed="false">
      <c r="A6" s="0" t="s">
        <v>365</v>
      </c>
      <c r="B6" s="26" t="s">
        <v>366</v>
      </c>
    </row>
    <row r="7" customFormat="false" ht="15" hidden="false" customHeight="false" outlineLevel="0" collapsed="false">
      <c r="A7" s="0" t="s">
        <v>367</v>
      </c>
      <c r="B7" s="26" t="s">
        <v>368</v>
      </c>
    </row>
    <row r="9" customFormat="false" ht="15" hidden="false" customHeight="false" outlineLevel="0" collapsed="false">
      <c r="A9" s="4" t="s">
        <v>312</v>
      </c>
    </row>
    <row r="10" customFormat="false" ht="15" hidden="false" customHeight="false" outlineLevel="0" collapsed="false">
      <c r="A10" s="0" t="s">
        <v>349</v>
      </c>
      <c r="B10" s="25" t="s">
        <v>350</v>
      </c>
      <c r="D10" s="2" t="s">
        <v>351</v>
      </c>
    </row>
    <row r="11" customFormat="false" ht="15" hidden="false" customHeight="false" outlineLevel="0" collapsed="false">
      <c r="A11" s="0" t="s">
        <v>382</v>
      </c>
      <c r="B11" s="25" t="s">
        <v>350</v>
      </c>
    </row>
    <row r="12" customFormat="false" ht="15" hidden="false" customHeight="false" outlineLevel="0" collapsed="false">
      <c r="A12" s="0" t="s">
        <v>370</v>
      </c>
      <c r="B12" s="14" t="n">
        <v>0.05</v>
      </c>
    </row>
    <row r="13" customFormat="false" ht="15" hidden="false" customHeight="false" outlineLevel="0" collapsed="false">
      <c r="A13" s="0" t="s">
        <v>371</v>
      </c>
      <c r="B13" s="14" t="n">
        <v>0.04</v>
      </c>
    </row>
    <row r="15" customFormat="false" ht="15" hidden="false" customHeight="false" outlineLevel="0" collapsed="false">
      <c r="A15" s="4" t="s">
        <v>383</v>
      </c>
      <c r="K15" s="4" t="s">
        <v>384</v>
      </c>
      <c r="P15" s="4" t="s">
        <v>326</v>
      </c>
      <c r="U15" s="4" t="s">
        <v>373</v>
      </c>
    </row>
    <row r="16" customFormat="false" ht="31.5" hidden="false" customHeight="true" outlineLevel="0" collapsed="false">
      <c r="A16" s="15" t="s">
        <v>40</v>
      </c>
      <c r="B16" s="15" t="s">
        <v>328</v>
      </c>
      <c r="C16" s="15" t="s">
        <v>329</v>
      </c>
      <c r="D16" s="15" t="s">
        <v>374</v>
      </c>
      <c r="E16" s="15" t="s">
        <v>385</v>
      </c>
      <c r="F16" s="15" t="s">
        <v>376</v>
      </c>
      <c r="G16" s="15" t="s">
        <v>356</v>
      </c>
      <c r="H16" s="15" t="s">
        <v>357</v>
      </c>
      <c r="I16" s="15" t="s">
        <v>386</v>
      </c>
      <c r="K16" s="15" t="s">
        <v>386</v>
      </c>
      <c r="L16" s="15" t="s">
        <v>374</v>
      </c>
      <c r="M16" s="15" t="s">
        <v>376</v>
      </c>
      <c r="P16" s="15" t="s">
        <v>329</v>
      </c>
      <c r="Q16" s="15" t="s">
        <v>374</v>
      </c>
      <c r="R16" s="15" t="s">
        <v>376</v>
      </c>
      <c r="U16" s="15" t="s">
        <v>329</v>
      </c>
      <c r="V16" s="15" t="s">
        <v>378</v>
      </c>
      <c r="W16" s="15" t="s">
        <v>376</v>
      </c>
    </row>
    <row r="17" customFormat="false" ht="15" hidden="false" customHeight="false" outlineLevel="0" collapsed="false">
      <c r="A17" s="27"/>
      <c r="B17" s="28" t="e">
        <f aca="false">IFERROR(IF(ISNUMBER(A17),TEXT(YEAR(A17)-2000,"00")&amp;TEXT(MONTH(A17),"00"),NA()),NA())</f>
        <v>#N/A</v>
      </c>
      <c r="C17" s="18" t="n">
        <f aca="false">IFERROR(YEAR(A17),0)</f>
        <v>1899</v>
      </c>
      <c r="D17" s="32"/>
      <c r="E17" s="20" t="e">
        <f aca="false">NA()</f>
        <v>#N/A</v>
      </c>
      <c r="F17" s="20" t="e">
        <f aca="false">NA()</f>
        <v>#N/A</v>
      </c>
      <c r="G17" s="21" t="e">
        <f aca="false">NA()</f>
        <v>#N/A</v>
      </c>
      <c r="H17" s="20" t="e">
        <f aca="false">NA()</f>
        <v>#N/A</v>
      </c>
      <c r="I17" s="28" t="str">
        <f aca="false">IFERROR(YEAR(A17)&amp;"Q"&amp;CEILING(MONTH(A17)/3,1),"")</f>
        <v>1899Q4</v>
      </c>
      <c r="K17" s="28" t="s">
        <v>387</v>
      </c>
      <c r="L17" s="23" t="e">
        <f aca="false">CHOOSE(MATCH($B$11,{"Sum","Average","End of Period"},0),IF(SUMPRODUCT(($I$17:$I$266=$K$17)*ISNUMBER($D$17:$D$266))=0,NA(),SUMPRODUCT(($I$17:$I$266=$K$17)*IFERROR($D$17:$D$266,0))),IF(SUMPRODUCT(($I$17:$I$266=$K$17)*ISNUMBER($D$17:$D$266))=0,NA(),SUMPRODUCT(($I$17:$I$266=$K$17)*IFERROR($D$17:$D$266,0))/SUMPRODUCT(($I$17:$I$266=$K$17)*ISNUMBER($D$17:$D$266))),IFERROR(LOOKUP(2,1/(($I$17:$I$266=$K$17)*ISNUMBER($D$17:$D$266)),$D$17:$D$266),NA()))</f>
        <v>#N/A</v>
      </c>
      <c r="M17" s="20" t="e">
        <f aca="false">NA()</f>
        <v>#N/A</v>
      </c>
      <c r="P17" s="22" t="n">
        <v>2000</v>
      </c>
      <c r="Q17" s="23" t="e">
        <f aca="false">CHOOSE(MATCH($B$10,{"Sum","Average","End of Period"},0),IF(SUMPRODUCT(($C$17:$C$266=$P$17)*ISNUMBER($D$17:$D$266))=0,NA(),SUMPRODUCT(($C$17:$C$266=$P$17)*IFERROR($D$17:$D$266,0))),IF(SUMPRODUCT(($C$17:$C$266=$P$17)*ISNUMBER($D$17:$D$266))=0,NA(),SUMPRODUCT(($C$17:$C$266=$P$17)*IFERROR($D$17:$D$266,0))/SUMPRODUCT(($C$17:$C$266=$P$17)*ISNUMBER($D$17:$D$266))),IFERROR(LOOKUP(2,1/(($C$17:$C$266=$P$17)*ISNUMBER($D$17:$D$266)),$D$17:$D$266),NA()))</f>
        <v>#N/A</v>
      </c>
      <c r="R17" s="20" t="e">
        <f aca="false">NA()</f>
        <v>#N/A</v>
      </c>
      <c r="U17" s="30" t="e">
        <f aca="false">IFERROR(IFERROR(LOOKUP(2,1/ISNUMBER(Q17:Q51),P17:P51),NA())+1,NA())</f>
        <v>#N/A</v>
      </c>
      <c r="V17" s="23" t="e">
        <f aca="false">IFERROR((IFERROR(INDEX(Q17:Q51,MATCH(U17-1,P17:P51,0)),NA()))*(1+$B$12),NA())</f>
        <v>#N/A</v>
      </c>
      <c r="W17" s="31" t="n">
        <f aca="false">$B$12</f>
        <v>0.05</v>
      </c>
    </row>
    <row r="18" customFormat="false" ht="15" hidden="false" customHeight="false" outlineLevel="0" collapsed="false">
      <c r="A18" s="27"/>
      <c r="B18" s="28" t="e">
        <f aca="false">IFERROR(IF(ISNUMBER(A18),TEXT(YEAR(A18)-2000,"00")&amp;TEXT(MONTH(A18),"00"),NA()),NA())</f>
        <v>#N/A</v>
      </c>
      <c r="C18" s="18" t="n">
        <f aca="false">IFERROR(YEAR(A18),0)</f>
        <v>1899</v>
      </c>
      <c r="D18" s="32"/>
      <c r="E18" s="20" t="e">
        <f aca="false">IFERROR(D18/D17-1,NA())</f>
        <v>#N/A</v>
      </c>
      <c r="F18" s="20" t="e">
        <f aca="false">NA()</f>
        <v>#N/A</v>
      </c>
      <c r="G18" s="21" t="e">
        <f aca="false">NA()</f>
        <v>#N/A</v>
      </c>
      <c r="H18" s="20" t="e">
        <f aca="false">NA()</f>
        <v>#N/A</v>
      </c>
      <c r="I18" s="28" t="str">
        <f aca="false">IFERROR(YEAR(A18)&amp;"Q"&amp;CEILING(MONTH(A18)/3,1),"")</f>
        <v>1899Q4</v>
      </c>
      <c r="K18" s="28" t="s">
        <v>388</v>
      </c>
      <c r="L18" s="23" t="e">
        <f aca="false">CHOOSE(MATCH($B$11,{"Sum","Average","End of Period"},0),IF(SUMPRODUCT(($I$17:$I$266=$K$18)*ISNUMBER($D$17:$D$266))=0,NA(),SUMPRODUCT(($I$17:$I$266=$K$18)*IFERROR($D$17:$D$266,0))),IF(SUMPRODUCT(($I$17:$I$266=$K$18)*ISNUMBER($D$17:$D$266))=0,NA(),SUMPRODUCT(($I$17:$I$266=$K$18)*IFERROR($D$17:$D$266,0))/SUMPRODUCT(($I$17:$I$266=$K$18)*ISNUMBER($D$17:$D$266))),IFERROR(LOOKUP(2,1/(($I$17:$I$266=$K$18)*ISNUMBER($D$17:$D$266)),$D$17:$D$266),NA()))</f>
        <v>#N/A</v>
      </c>
      <c r="M18" s="20" t="e">
        <f aca="false">NA()</f>
        <v>#N/A</v>
      </c>
      <c r="P18" s="22" t="n">
        <v>2001</v>
      </c>
      <c r="Q18" s="23" t="e">
        <f aca="false">CHOOSE(MATCH($B$10,{"Sum","Average","End of Period"},0),IF(SUMPRODUCT(($C$17:$C$266=$P$18)*ISNUMBER($D$17:$D$266))=0,NA(),SUMPRODUCT(($C$17:$C$266=$P$18)*IFERROR($D$17:$D$266,0))),IF(SUMPRODUCT(($C$17:$C$266=$P$18)*ISNUMBER($D$17:$D$266))=0,NA(),SUMPRODUCT(($C$17:$C$266=$P$18)*IFERROR($D$17:$D$266,0))/SUMPRODUCT(($C$17:$C$266=$P$18)*ISNUMBER($D$17:$D$266))),IFERROR(LOOKUP(2,1/(($C$17:$C$266=$P$18)*ISNUMBER($D$17:$D$266)),$D$17:$D$266),NA()))</f>
        <v>#N/A</v>
      </c>
      <c r="R18" s="20" t="e">
        <f aca="false">IFERROR(Q18/Q17-1,NA())</f>
        <v>#N/A</v>
      </c>
      <c r="U18" s="30" t="e">
        <f aca="false">U17+1</f>
        <v>#N/A</v>
      </c>
      <c r="V18" s="23" t="e">
        <f aca="false">IFERROR(V17*(1+$B$13),NA())</f>
        <v>#N/A</v>
      </c>
      <c r="W18" s="31" t="n">
        <f aca="false">$B$13</f>
        <v>0.04</v>
      </c>
    </row>
    <row r="19" customFormat="false" ht="15" hidden="false" customHeight="false" outlineLevel="0" collapsed="false">
      <c r="A19" s="27"/>
      <c r="B19" s="28" t="e">
        <f aca="false">IFERROR(IF(ISNUMBER(A19),TEXT(YEAR(A19)-2000,"00")&amp;TEXT(MONTH(A19),"00"),NA()),NA())</f>
        <v>#N/A</v>
      </c>
      <c r="C19" s="18" t="n">
        <f aca="false">IFERROR(YEAR(A19),0)</f>
        <v>1899</v>
      </c>
      <c r="D19" s="32"/>
      <c r="E19" s="20" t="e">
        <f aca="false">IFERROR(D19/D18-1,NA())</f>
        <v>#N/A</v>
      </c>
      <c r="F19" s="20" t="e">
        <f aca="false">NA()</f>
        <v>#N/A</v>
      </c>
      <c r="G19" s="21" t="e">
        <f aca="false">IF(COUNT(D17:D19)=3,AVERAGE(D17:D19),NA())</f>
        <v>#N/A</v>
      </c>
      <c r="H19" s="20" t="e">
        <f aca="false">NA()</f>
        <v>#N/A</v>
      </c>
      <c r="I19" s="28" t="str">
        <f aca="false">IFERROR(YEAR(A19)&amp;"Q"&amp;CEILING(MONTH(A19)/3,1),"")</f>
        <v>1899Q4</v>
      </c>
      <c r="K19" s="28" t="s">
        <v>389</v>
      </c>
      <c r="L19" s="23" t="e">
        <f aca="false">CHOOSE(MATCH($B$11,{"Sum","Average","End of Period"},0),IF(SUMPRODUCT(($I$17:$I$266=$K$19)*ISNUMBER($D$17:$D$266))=0,NA(),SUMPRODUCT(($I$17:$I$266=$K$19)*IFERROR($D$17:$D$266,0))),IF(SUMPRODUCT(($I$17:$I$266=$K$19)*ISNUMBER($D$17:$D$266))=0,NA(),SUMPRODUCT(($I$17:$I$266=$K$19)*IFERROR($D$17:$D$266,0))/SUMPRODUCT(($I$17:$I$266=$K$19)*ISNUMBER($D$17:$D$266))),IFERROR(LOOKUP(2,1/(($I$17:$I$266=$K$19)*ISNUMBER($D$17:$D$266)),$D$17:$D$266),NA()))</f>
        <v>#N/A</v>
      </c>
      <c r="M19" s="20" t="e">
        <f aca="false">NA()</f>
        <v>#N/A</v>
      </c>
      <c r="P19" s="22" t="n">
        <v>2002</v>
      </c>
      <c r="Q19" s="23" t="e">
        <f aca="false">CHOOSE(MATCH($B$10,{"Sum","Average","End of Period"},0),IF(SUMPRODUCT(($C$17:$C$266=$P$19)*ISNUMBER($D$17:$D$266))=0,NA(),SUMPRODUCT(($C$17:$C$266=$P$19)*IFERROR($D$17:$D$266,0))),IF(SUMPRODUCT(($C$17:$C$266=$P$19)*ISNUMBER($D$17:$D$266))=0,NA(),SUMPRODUCT(($C$17:$C$266=$P$19)*IFERROR($D$17:$D$266,0))/SUMPRODUCT(($C$17:$C$266=$P$19)*ISNUMBER($D$17:$D$266))),IFERROR(LOOKUP(2,1/(($C$17:$C$266=$P$19)*ISNUMBER($D$17:$D$266)),$D$17:$D$266),NA()))</f>
        <v>#N/A</v>
      </c>
      <c r="R19" s="20" t="e">
        <f aca="false">IFERROR(Q19/Q18-1,NA())</f>
        <v>#N/A</v>
      </c>
    </row>
    <row r="20" customFormat="false" ht="15" hidden="false" customHeight="false" outlineLevel="0" collapsed="false">
      <c r="A20" s="27"/>
      <c r="B20" s="28" t="e">
        <f aca="false">IFERROR(IF(ISNUMBER(A20),TEXT(YEAR(A20)-2000,"00")&amp;TEXT(MONTH(A20),"00"),NA()),NA())</f>
        <v>#N/A</v>
      </c>
      <c r="C20" s="18" t="n">
        <f aca="false">IFERROR(YEAR(A20),0)</f>
        <v>1899</v>
      </c>
      <c r="D20" s="32"/>
      <c r="E20" s="20" t="e">
        <f aca="false">IFERROR(D20/D19-1,NA())</f>
        <v>#N/A</v>
      </c>
      <c r="F20" s="20" t="e">
        <f aca="false">NA()</f>
        <v>#N/A</v>
      </c>
      <c r="G20" s="21" t="e">
        <f aca="false">IF(COUNT(D18:D20)=3,AVERAGE(D18:D20),NA())</f>
        <v>#N/A</v>
      </c>
      <c r="H20" s="20" t="e">
        <f aca="false">NA()</f>
        <v>#N/A</v>
      </c>
      <c r="I20" s="28" t="str">
        <f aca="false">IFERROR(YEAR(A20)&amp;"Q"&amp;CEILING(MONTH(A20)/3,1),"")</f>
        <v>1899Q4</v>
      </c>
      <c r="K20" s="28" t="s">
        <v>390</v>
      </c>
      <c r="L20" s="23" t="e">
        <f aca="false">CHOOSE(MATCH($B$11,{"Sum","Average","End of Period"},0),IF(SUMPRODUCT(($I$17:$I$266=$K$20)*ISNUMBER($D$17:$D$266))=0,NA(),SUMPRODUCT(($I$17:$I$266=$K$20)*IFERROR($D$17:$D$266,0))),IF(SUMPRODUCT(($I$17:$I$266=$K$20)*ISNUMBER($D$17:$D$266))=0,NA(),SUMPRODUCT(($I$17:$I$266=$K$20)*IFERROR($D$17:$D$266,0))/SUMPRODUCT(($I$17:$I$266=$K$20)*ISNUMBER($D$17:$D$266))),IFERROR(LOOKUP(2,1/(($I$17:$I$266=$K$20)*ISNUMBER($D$17:$D$266)),$D$17:$D$266),NA()))</f>
        <v>#N/A</v>
      </c>
      <c r="M20" s="20" t="e">
        <f aca="false">NA()</f>
        <v>#N/A</v>
      </c>
      <c r="P20" s="22" t="n">
        <v>2003</v>
      </c>
      <c r="Q20" s="23" t="e">
        <f aca="false">CHOOSE(MATCH($B$10,{"Sum","Average","End of Period"},0),IF(SUMPRODUCT(($C$17:$C$266=$P$20)*ISNUMBER($D$17:$D$266))=0,NA(),SUMPRODUCT(($C$17:$C$266=$P$20)*IFERROR($D$17:$D$266,0))),IF(SUMPRODUCT(($C$17:$C$266=$P$20)*ISNUMBER($D$17:$D$266))=0,NA(),SUMPRODUCT(($C$17:$C$266=$P$20)*IFERROR($D$17:$D$266,0))/SUMPRODUCT(($C$17:$C$266=$P$20)*ISNUMBER($D$17:$D$266))),IFERROR(LOOKUP(2,1/(($C$17:$C$266=$P$20)*ISNUMBER($D$17:$D$266)),$D$17:$D$266),NA()))</f>
        <v>#N/A</v>
      </c>
      <c r="R20" s="20" t="e">
        <f aca="false">IFERROR(Q20/Q19-1,NA())</f>
        <v>#N/A</v>
      </c>
    </row>
    <row r="21" customFormat="false" ht="15" hidden="false" customHeight="false" outlineLevel="0" collapsed="false">
      <c r="A21" s="27"/>
      <c r="B21" s="28" t="e">
        <f aca="false">IFERROR(IF(ISNUMBER(A21),TEXT(YEAR(A21)-2000,"00")&amp;TEXT(MONTH(A21),"00"),NA()),NA())</f>
        <v>#N/A</v>
      </c>
      <c r="C21" s="18" t="n">
        <f aca="false">IFERROR(YEAR(A21),0)</f>
        <v>1899</v>
      </c>
      <c r="D21" s="32"/>
      <c r="E21" s="20" t="e">
        <f aca="false">IFERROR(D21/D20-1,NA())</f>
        <v>#N/A</v>
      </c>
      <c r="F21" s="20" t="e">
        <f aca="false">NA()</f>
        <v>#N/A</v>
      </c>
      <c r="G21" s="21" t="e">
        <f aca="false">IF(COUNT(D19:D21)=3,AVERAGE(D19:D21),NA())</f>
        <v>#N/A</v>
      </c>
      <c r="H21" s="20" t="e">
        <f aca="false">NA()</f>
        <v>#N/A</v>
      </c>
      <c r="I21" s="28" t="str">
        <f aca="false">IFERROR(YEAR(A21)&amp;"Q"&amp;CEILING(MONTH(A21)/3,1),"")</f>
        <v>1899Q4</v>
      </c>
      <c r="K21" s="28" t="s">
        <v>391</v>
      </c>
      <c r="L21" s="23" t="e">
        <f aca="false">CHOOSE(MATCH($B$11,{"Sum","Average","End of Period"},0),IF(SUMPRODUCT(($I$17:$I$266=$K$21)*ISNUMBER($D$17:$D$266))=0,NA(),SUMPRODUCT(($I$17:$I$266=$K$21)*IFERROR($D$17:$D$266,0))),IF(SUMPRODUCT(($I$17:$I$266=$K$21)*ISNUMBER($D$17:$D$266))=0,NA(),SUMPRODUCT(($I$17:$I$266=$K$21)*IFERROR($D$17:$D$266,0))/SUMPRODUCT(($I$17:$I$266=$K$21)*ISNUMBER($D$17:$D$266))),IFERROR(LOOKUP(2,1/(($I$17:$I$266=$K$21)*ISNUMBER($D$17:$D$266)),$D$17:$D$266),NA()))</f>
        <v>#N/A</v>
      </c>
      <c r="M21" s="20" t="e">
        <f aca="false">IFERROR(L21/L17-1,NA())</f>
        <v>#N/A</v>
      </c>
      <c r="P21" s="22" t="n">
        <v>2004</v>
      </c>
      <c r="Q21" s="23" t="e">
        <f aca="false">CHOOSE(MATCH($B$10,{"Sum","Average","End of Period"},0),IF(SUMPRODUCT(($C$17:$C$266=$P$21)*ISNUMBER($D$17:$D$266))=0,NA(),SUMPRODUCT(($C$17:$C$266=$P$21)*IFERROR($D$17:$D$266,0))),IF(SUMPRODUCT(($C$17:$C$266=$P$21)*ISNUMBER($D$17:$D$266))=0,NA(),SUMPRODUCT(($C$17:$C$266=$P$21)*IFERROR($D$17:$D$266,0))/SUMPRODUCT(($C$17:$C$266=$P$21)*ISNUMBER($D$17:$D$266))),IFERROR(LOOKUP(2,1/(($C$17:$C$266=$P$21)*ISNUMBER($D$17:$D$266)),$D$17:$D$266),NA()))</f>
        <v>#N/A</v>
      </c>
      <c r="R21" s="20" t="e">
        <f aca="false">IFERROR(Q21/Q20-1,NA())</f>
        <v>#N/A</v>
      </c>
    </row>
    <row r="22" customFormat="false" ht="15" hidden="false" customHeight="false" outlineLevel="0" collapsed="false">
      <c r="A22" s="27"/>
      <c r="B22" s="28" t="e">
        <f aca="false">IFERROR(IF(ISNUMBER(A22),TEXT(YEAR(A22)-2000,"00")&amp;TEXT(MONTH(A22),"00"),NA()),NA())</f>
        <v>#N/A</v>
      </c>
      <c r="C22" s="18" t="n">
        <f aca="false">IFERROR(YEAR(A22),0)</f>
        <v>1899</v>
      </c>
      <c r="D22" s="32"/>
      <c r="E22" s="20" t="e">
        <f aca="false">IFERROR(D22/D21-1,NA())</f>
        <v>#N/A</v>
      </c>
      <c r="F22" s="20" t="e">
        <f aca="false">NA()</f>
        <v>#N/A</v>
      </c>
      <c r="G22" s="21" t="e">
        <f aca="false">IF(COUNT(D20:D22)=3,AVERAGE(D20:D22),NA())</f>
        <v>#N/A</v>
      </c>
      <c r="H22" s="20" t="e">
        <f aca="false">NA()</f>
        <v>#N/A</v>
      </c>
      <c r="I22" s="28" t="str">
        <f aca="false">IFERROR(YEAR(A22)&amp;"Q"&amp;CEILING(MONTH(A22)/3,1),"")</f>
        <v>1899Q4</v>
      </c>
      <c r="K22" s="28" t="s">
        <v>392</v>
      </c>
      <c r="L22" s="23" t="e">
        <f aca="false">CHOOSE(MATCH($B$11,{"Sum","Average","End of Period"},0),IF(SUMPRODUCT(($I$17:$I$266=$K$22)*ISNUMBER($D$17:$D$266))=0,NA(),SUMPRODUCT(($I$17:$I$266=$K$22)*IFERROR($D$17:$D$266,0))),IF(SUMPRODUCT(($I$17:$I$266=$K$22)*ISNUMBER($D$17:$D$266))=0,NA(),SUMPRODUCT(($I$17:$I$266=$K$22)*IFERROR($D$17:$D$266,0))/SUMPRODUCT(($I$17:$I$266=$K$22)*ISNUMBER($D$17:$D$266))),IFERROR(LOOKUP(2,1/(($I$17:$I$266=$K$22)*ISNUMBER($D$17:$D$266)),$D$17:$D$266),NA()))</f>
        <v>#N/A</v>
      </c>
      <c r="M22" s="20" t="e">
        <f aca="false">IFERROR(L22/L18-1,NA())</f>
        <v>#N/A</v>
      </c>
      <c r="P22" s="22" t="n">
        <v>2005</v>
      </c>
      <c r="Q22" s="23" t="e">
        <f aca="false">CHOOSE(MATCH($B$10,{"Sum","Average","End of Period"},0),IF(SUMPRODUCT(($C$17:$C$266=$P$22)*ISNUMBER($D$17:$D$266))=0,NA(),SUMPRODUCT(($C$17:$C$266=$P$22)*IFERROR($D$17:$D$266,0))),IF(SUMPRODUCT(($C$17:$C$266=$P$22)*ISNUMBER($D$17:$D$266))=0,NA(),SUMPRODUCT(($C$17:$C$266=$P$22)*IFERROR($D$17:$D$266,0))/SUMPRODUCT(($C$17:$C$266=$P$22)*ISNUMBER($D$17:$D$266))),IFERROR(LOOKUP(2,1/(($C$17:$C$266=$P$22)*ISNUMBER($D$17:$D$266)),$D$17:$D$266),NA()))</f>
        <v>#N/A</v>
      </c>
      <c r="R22" s="20" t="e">
        <f aca="false">IFERROR(Q22/Q21-1,NA())</f>
        <v>#N/A</v>
      </c>
    </row>
    <row r="23" customFormat="false" ht="15" hidden="false" customHeight="false" outlineLevel="0" collapsed="false">
      <c r="A23" s="27"/>
      <c r="B23" s="28" t="e">
        <f aca="false">IFERROR(IF(ISNUMBER(A23),TEXT(YEAR(A23)-2000,"00")&amp;TEXT(MONTH(A23),"00"),NA()),NA())</f>
        <v>#N/A</v>
      </c>
      <c r="C23" s="18" t="n">
        <f aca="false">IFERROR(YEAR(A23),0)</f>
        <v>1899</v>
      </c>
      <c r="D23" s="32"/>
      <c r="E23" s="20" t="e">
        <f aca="false">IFERROR(D23/D22-1,NA())</f>
        <v>#N/A</v>
      </c>
      <c r="F23" s="20" t="e">
        <f aca="false">NA()</f>
        <v>#N/A</v>
      </c>
      <c r="G23" s="21" t="e">
        <f aca="false">IF(COUNT(D21:D23)=3,AVERAGE(D21:D23),NA())</f>
        <v>#N/A</v>
      </c>
      <c r="H23" s="20" t="e">
        <f aca="false">NA()</f>
        <v>#N/A</v>
      </c>
      <c r="I23" s="28" t="str">
        <f aca="false">IFERROR(YEAR(A23)&amp;"Q"&amp;CEILING(MONTH(A23)/3,1),"")</f>
        <v>1899Q4</v>
      </c>
      <c r="K23" s="28" t="s">
        <v>393</v>
      </c>
      <c r="L23" s="23" t="e">
        <f aca="false">CHOOSE(MATCH($B$11,{"Sum","Average","End of Period"},0),IF(SUMPRODUCT(($I$17:$I$266=$K$23)*ISNUMBER($D$17:$D$266))=0,NA(),SUMPRODUCT(($I$17:$I$266=$K$23)*IFERROR($D$17:$D$266,0))),IF(SUMPRODUCT(($I$17:$I$266=$K$23)*ISNUMBER($D$17:$D$266))=0,NA(),SUMPRODUCT(($I$17:$I$266=$K$23)*IFERROR($D$17:$D$266,0))/SUMPRODUCT(($I$17:$I$266=$K$23)*ISNUMBER($D$17:$D$266))),IFERROR(LOOKUP(2,1/(($I$17:$I$266=$K$23)*ISNUMBER($D$17:$D$266)),$D$17:$D$266),NA()))</f>
        <v>#N/A</v>
      </c>
      <c r="M23" s="20" t="e">
        <f aca="false">IFERROR(L23/L19-1,NA())</f>
        <v>#N/A</v>
      </c>
      <c r="P23" s="22" t="n">
        <v>2006</v>
      </c>
      <c r="Q23" s="23" t="e">
        <f aca="false">CHOOSE(MATCH($B$10,{"Sum","Average","End of Period"},0),IF(SUMPRODUCT(($C$17:$C$266=$P$23)*ISNUMBER($D$17:$D$266))=0,NA(),SUMPRODUCT(($C$17:$C$266=$P$23)*IFERROR($D$17:$D$266,0))),IF(SUMPRODUCT(($C$17:$C$266=$P$23)*ISNUMBER($D$17:$D$266))=0,NA(),SUMPRODUCT(($C$17:$C$266=$P$23)*IFERROR($D$17:$D$266,0))/SUMPRODUCT(($C$17:$C$266=$P$23)*ISNUMBER($D$17:$D$266))),IFERROR(LOOKUP(2,1/(($C$17:$C$266=$P$23)*ISNUMBER($D$17:$D$266)),$D$17:$D$266),NA()))</f>
        <v>#N/A</v>
      </c>
      <c r="R23" s="20" t="e">
        <f aca="false">IFERROR(Q23/Q22-1,NA())</f>
        <v>#N/A</v>
      </c>
    </row>
    <row r="24" customFormat="false" ht="15" hidden="false" customHeight="false" outlineLevel="0" collapsed="false">
      <c r="A24" s="27"/>
      <c r="B24" s="28" t="e">
        <f aca="false">IFERROR(IF(ISNUMBER(A24),TEXT(YEAR(A24)-2000,"00")&amp;TEXT(MONTH(A24),"00"),NA()),NA())</f>
        <v>#N/A</v>
      </c>
      <c r="C24" s="18" t="n">
        <f aca="false">IFERROR(YEAR(A24),0)</f>
        <v>1899</v>
      </c>
      <c r="D24" s="32"/>
      <c r="E24" s="20" t="e">
        <f aca="false">IFERROR(D24/D23-1,NA())</f>
        <v>#N/A</v>
      </c>
      <c r="F24" s="20" t="e">
        <f aca="false">NA()</f>
        <v>#N/A</v>
      </c>
      <c r="G24" s="21" t="e">
        <f aca="false">IF(COUNT(D22:D24)=3,AVERAGE(D22:D24),NA())</f>
        <v>#N/A</v>
      </c>
      <c r="H24" s="20" t="e">
        <f aca="false">NA()</f>
        <v>#N/A</v>
      </c>
      <c r="I24" s="28" t="str">
        <f aca="false">IFERROR(YEAR(A24)&amp;"Q"&amp;CEILING(MONTH(A24)/3,1),"")</f>
        <v>1899Q4</v>
      </c>
      <c r="K24" s="28" t="s">
        <v>394</v>
      </c>
      <c r="L24" s="23" t="e">
        <f aca="false">CHOOSE(MATCH($B$11,{"Sum","Average","End of Period"},0),IF(SUMPRODUCT(($I$17:$I$266=$K$24)*ISNUMBER($D$17:$D$266))=0,NA(),SUMPRODUCT(($I$17:$I$266=$K$24)*IFERROR($D$17:$D$266,0))),IF(SUMPRODUCT(($I$17:$I$266=$K$24)*ISNUMBER($D$17:$D$266))=0,NA(),SUMPRODUCT(($I$17:$I$266=$K$24)*IFERROR($D$17:$D$266,0))/SUMPRODUCT(($I$17:$I$266=$K$24)*ISNUMBER($D$17:$D$266))),IFERROR(LOOKUP(2,1/(($I$17:$I$266=$K$24)*ISNUMBER($D$17:$D$266)),$D$17:$D$266),NA()))</f>
        <v>#N/A</v>
      </c>
      <c r="M24" s="20" t="e">
        <f aca="false">IFERROR(L24/L20-1,NA())</f>
        <v>#N/A</v>
      </c>
      <c r="P24" s="22" t="n">
        <v>2007</v>
      </c>
      <c r="Q24" s="23" t="e">
        <f aca="false">CHOOSE(MATCH($B$10,{"Sum","Average","End of Period"},0),IF(SUMPRODUCT(($C$17:$C$266=$P$24)*ISNUMBER($D$17:$D$266))=0,NA(),SUMPRODUCT(($C$17:$C$266=$P$24)*IFERROR($D$17:$D$266,0))),IF(SUMPRODUCT(($C$17:$C$266=$P$24)*ISNUMBER($D$17:$D$266))=0,NA(),SUMPRODUCT(($C$17:$C$266=$P$24)*IFERROR($D$17:$D$266,0))/SUMPRODUCT(($C$17:$C$266=$P$24)*ISNUMBER($D$17:$D$266))),IFERROR(LOOKUP(2,1/(($C$17:$C$266=$P$24)*ISNUMBER($D$17:$D$266)),$D$17:$D$266),NA()))</f>
        <v>#N/A</v>
      </c>
      <c r="R24" s="20" t="e">
        <f aca="false">IFERROR(Q24/Q23-1,NA())</f>
        <v>#N/A</v>
      </c>
    </row>
    <row r="25" customFormat="false" ht="15" hidden="false" customHeight="false" outlineLevel="0" collapsed="false">
      <c r="A25" s="27"/>
      <c r="B25" s="28" t="e">
        <f aca="false">IFERROR(IF(ISNUMBER(A25),TEXT(YEAR(A25)-2000,"00")&amp;TEXT(MONTH(A25),"00"),NA()),NA())</f>
        <v>#N/A</v>
      </c>
      <c r="C25" s="18" t="n">
        <f aca="false">IFERROR(YEAR(A25),0)</f>
        <v>1899</v>
      </c>
      <c r="D25" s="32"/>
      <c r="E25" s="20" t="e">
        <f aca="false">IFERROR(D25/D24-1,NA())</f>
        <v>#N/A</v>
      </c>
      <c r="F25" s="20" t="e">
        <f aca="false">NA()</f>
        <v>#N/A</v>
      </c>
      <c r="G25" s="21" t="e">
        <f aca="false">IF(COUNT(D23:D25)=3,AVERAGE(D23:D25),NA())</f>
        <v>#N/A</v>
      </c>
      <c r="H25" s="20" t="e">
        <f aca="false">NA()</f>
        <v>#N/A</v>
      </c>
      <c r="I25" s="28" t="str">
        <f aca="false">IFERROR(YEAR(A25)&amp;"Q"&amp;CEILING(MONTH(A25)/3,1),"")</f>
        <v>1899Q4</v>
      </c>
      <c r="K25" s="28" t="s">
        <v>395</v>
      </c>
      <c r="L25" s="23" t="e">
        <f aca="false">CHOOSE(MATCH($B$11,{"Sum","Average","End of Period"},0),IF(SUMPRODUCT(($I$17:$I$266=$K$25)*ISNUMBER($D$17:$D$266))=0,NA(),SUMPRODUCT(($I$17:$I$266=$K$25)*IFERROR($D$17:$D$266,0))),IF(SUMPRODUCT(($I$17:$I$266=$K$25)*ISNUMBER($D$17:$D$266))=0,NA(),SUMPRODUCT(($I$17:$I$266=$K$25)*IFERROR($D$17:$D$266,0))/SUMPRODUCT(($I$17:$I$266=$K$25)*ISNUMBER($D$17:$D$266))),IFERROR(LOOKUP(2,1/(($I$17:$I$266=$K$25)*ISNUMBER($D$17:$D$266)),$D$17:$D$266),NA()))</f>
        <v>#N/A</v>
      </c>
      <c r="M25" s="20" t="e">
        <f aca="false">IFERROR(L25/L21-1,NA())</f>
        <v>#N/A</v>
      </c>
      <c r="P25" s="22" t="n">
        <v>2008</v>
      </c>
      <c r="Q25" s="23" t="e">
        <f aca="false">CHOOSE(MATCH($B$10,{"Sum","Average","End of Period"},0),IF(SUMPRODUCT(($C$17:$C$266=$P$25)*ISNUMBER($D$17:$D$266))=0,NA(),SUMPRODUCT(($C$17:$C$266=$P$25)*IFERROR($D$17:$D$266,0))),IF(SUMPRODUCT(($C$17:$C$266=$P$25)*ISNUMBER($D$17:$D$266))=0,NA(),SUMPRODUCT(($C$17:$C$266=$P$25)*IFERROR($D$17:$D$266,0))/SUMPRODUCT(($C$17:$C$266=$P$25)*ISNUMBER($D$17:$D$266))),IFERROR(LOOKUP(2,1/(($C$17:$C$266=$P$25)*ISNUMBER($D$17:$D$266)),$D$17:$D$266),NA()))</f>
        <v>#N/A</v>
      </c>
      <c r="R25" s="20" t="e">
        <f aca="false">IFERROR(Q25/Q24-1,NA())</f>
        <v>#N/A</v>
      </c>
    </row>
    <row r="26" customFormat="false" ht="15" hidden="false" customHeight="false" outlineLevel="0" collapsed="false">
      <c r="A26" s="27"/>
      <c r="B26" s="28" t="e">
        <f aca="false">IFERROR(IF(ISNUMBER(A26),TEXT(YEAR(A26)-2000,"00")&amp;TEXT(MONTH(A26),"00"),NA()),NA())</f>
        <v>#N/A</v>
      </c>
      <c r="C26" s="18" t="n">
        <f aca="false">IFERROR(YEAR(A26),0)</f>
        <v>1899</v>
      </c>
      <c r="D26" s="32"/>
      <c r="E26" s="20" t="e">
        <f aca="false">IFERROR(D26/D25-1,NA())</f>
        <v>#N/A</v>
      </c>
      <c r="F26" s="20" t="e">
        <f aca="false">NA()</f>
        <v>#N/A</v>
      </c>
      <c r="G26" s="21" t="e">
        <f aca="false">IF(COUNT(D24:D26)=3,AVERAGE(D24:D26),NA())</f>
        <v>#N/A</v>
      </c>
      <c r="H26" s="20" t="e">
        <f aca="false">NA()</f>
        <v>#N/A</v>
      </c>
      <c r="I26" s="28" t="str">
        <f aca="false">IFERROR(YEAR(A26)&amp;"Q"&amp;CEILING(MONTH(A26)/3,1),"")</f>
        <v>1899Q4</v>
      </c>
      <c r="K26" s="28" t="s">
        <v>396</v>
      </c>
      <c r="L26" s="23" t="e">
        <f aca="false">CHOOSE(MATCH($B$11,{"Sum","Average","End of Period"},0),IF(SUMPRODUCT(($I$17:$I$266=$K$26)*ISNUMBER($D$17:$D$266))=0,NA(),SUMPRODUCT(($I$17:$I$266=$K$26)*IFERROR($D$17:$D$266,0))),IF(SUMPRODUCT(($I$17:$I$266=$K$26)*ISNUMBER($D$17:$D$266))=0,NA(),SUMPRODUCT(($I$17:$I$266=$K$26)*IFERROR($D$17:$D$266,0))/SUMPRODUCT(($I$17:$I$266=$K$26)*ISNUMBER($D$17:$D$266))),IFERROR(LOOKUP(2,1/(($I$17:$I$266=$K$26)*ISNUMBER($D$17:$D$266)),$D$17:$D$266),NA()))</f>
        <v>#N/A</v>
      </c>
      <c r="M26" s="20" t="e">
        <f aca="false">IFERROR(L26/L22-1,NA())</f>
        <v>#N/A</v>
      </c>
      <c r="P26" s="22" t="n">
        <v>2009</v>
      </c>
      <c r="Q26" s="23" t="e">
        <f aca="false">CHOOSE(MATCH($B$10,{"Sum","Average","End of Period"},0),IF(SUMPRODUCT(($C$17:$C$266=$P$26)*ISNUMBER($D$17:$D$266))=0,NA(),SUMPRODUCT(($C$17:$C$266=$P$26)*IFERROR($D$17:$D$266,0))),IF(SUMPRODUCT(($C$17:$C$266=$P$26)*ISNUMBER($D$17:$D$266))=0,NA(),SUMPRODUCT(($C$17:$C$266=$P$26)*IFERROR($D$17:$D$266,0))/SUMPRODUCT(($C$17:$C$266=$P$26)*ISNUMBER($D$17:$D$266))),IFERROR(LOOKUP(2,1/(($C$17:$C$266=$P$26)*ISNUMBER($D$17:$D$266)),$D$17:$D$266),NA()))</f>
        <v>#N/A</v>
      </c>
      <c r="R26" s="20" t="e">
        <f aca="false">IFERROR(Q26/Q25-1,NA())</f>
        <v>#N/A</v>
      </c>
    </row>
    <row r="27" customFormat="false" ht="15" hidden="false" customHeight="false" outlineLevel="0" collapsed="false">
      <c r="A27" s="27"/>
      <c r="B27" s="28" t="e">
        <f aca="false">IFERROR(IF(ISNUMBER(A27),TEXT(YEAR(A27)-2000,"00")&amp;TEXT(MONTH(A27),"00"),NA()),NA())</f>
        <v>#N/A</v>
      </c>
      <c r="C27" s="18" t="n">
        <f aca="false">IFERROR(YEAR(A27),0)</f>
        <v>1899</v>
      </c>
      <c r="D27" s="32"/>
      <c r="E27" s="20" t="e">
        <f aca="false">IFERROR(D27/D26-1,NA())</f>
        <v>#N/A</v>
      </c>
      <c r="F27" s="20" t="e">
        <f aca="false">NA()</f>
        <v>#N/A</v>
      </c>
      <c r="G27" s="21" t="e">
        <f aca="false">IF(COUNT(D25:D27)=3,AVERAGE(D25:D27),NA())</f>
        <v>#N/A</v>
      </c>
      <c r="H27" s="20" t="e">
        <f aca="false">NA()</f>
        <v>#N/A</v>
      </c>
      <c r="I27" s="28" t="str">
        <f aca="false">IFERROR(YEAR(A27)&amp;"Q"&amp;CEILING(MONTH(A27)/3,1),"")</f>
        <v>1899Q4</v>
      </c>
      <c r="K27" s="28" t="s">
        <v>397</v>
      </c>
      <c r="L27" s="23" t="e">
        <f aca="false">CHOOSE(MATCH($B$11,{"Sum","Average","End of Period"},0),IF(SUMPRODUCT(($I$17:$I$266=$K$27)*ISNUMBER($D$17:$D$266))=0,NA(),SUMPRODUCT(($I$17:$I$266=$K$27)*IFERROR($D$17:$D$266,0))),IF(SUMPRODUCT(($I$17:$I$266=$K$27)*ISNUMBER($D$17:$D$266))=0,NA(),SUMPRODUCT(($I$17:$I$266=$K$27)*IFERROR($D$17:$D$266,0))/SUMPRODUCT(($I$17:$I$266=$K$27)*ISNUMBER($D$17:$D$266))),IFERROR(LOOKUP(2,1/(($I$17:$I$266=$K$27)*ISNUMBER($D$17:$D$266)),$D$17:$D$266),NA()))</f>
        <v>#N/A</v>
      </c>
      <c r="M27" s="20" t="e">
        <f aca="false">IFERROR(L27/L23-1,NA())</f>
        <v>#N/A</v>
      </c>
      <c r="P27" s="22" t="n">
        <v>2010</v>
      </c>
      <c r="Q27" s="23" t="e">
        <f aca="false">CHOOSE(MATCH($B$10,{"Sum","Average","End of Period"},0),IF(SUMPRODUCT(($C$17:$C$266=$P$27)*ISNUMBER($D$17:$D$266))=0,NA(),SUMPRODUCT(($C$17:$C$266=$P$27)*IFERROR($D$17:$D$266,0))),IF(SUMPRODUCT(($C$17:$C$266=$P$27)*ISNUMBER($D$17:$D$266))=0,NA(),SUMPRODUCT(($C$17:$C$266=$P$27)*IFERROR($D$17:$D$266,0))/SUMPRODUCT(($C$17:$C$266=$P$27)*ISNUMBER($D$17:$D$266))),IFERROR(LOOKUP(2,1/(($C$17:$C$266=$P$27)*ISNUMBER($D$17:$D$266)),$D$17:$D$266),NA()))</f>
        <v>#N/A</v>
      </c>
      <c r="R27" s="20" t="e">
        <f aca="false">IFERROR(Q27/Q26-1,NA())</f>
        <v>#N/A</v>
      </c>
    </row>
    <row r="28" customFormat="false" ht="15" hidden="false" customHeight="false" outlineLevel="0" collapsed="false">
      <c r="A28" s="27"/>
      <c r="B28" s="28" t="e">
        <f aca="false">IFERROR(IF(ISNUMBER(A28),TEXT(YEAR(A28)-2000,"00")&amp;TEXT(MONTH(A28),"00"),NA()),NA())</f>
        <v>#N/A</v>
      </c>
      <c r="C28" s="18" t="n">
        <f aca="false">IFERROR(YEAR(A28),0)</f>
        <v>1899</v>
      </c>
      <c r="D28" s="32"/>
      <c r="E28" s="20" t="e">
        <f aca="false">IFERROR(D28/D27-1,NA())</f>
        <v>#N/A</v>
      </c>
      <c r="F28" s="20" t="e">
        <f aca="false">NA()</f>
        <v>#N/A</v>
      </c>
      <c r="G28" s="21" t="e">
        <f aca="false">IF(COUNT(D26:D28)=3,AVERAGE(D26:D28),NA())</f>
        <v>#N/A</v>
      </c>
      <c r="H28" s="20" t="e">
        <f aca="false">NA()</f>
        <v>#N/A</v>
      </c>
      <c r="I28" s="28" t="str">
        <f aca="false">IFERROR(YEAR(A28)&amp;"Q"&amp;CEILING(MONTH(A28)/3,1),"")</f>
        <v>1899Q4</v>
      </c>
      <c r="K28" s="28" t="s">
        <v>398</v>
      </c>
      <c r="L28" s="23" t="e">
        <f aca="false">CHOOSE(MATCH($B$11,{"Sum","Average","End of Period"},0),IF(SUMPRODUCT(($I$17:$I$266=$K$28)*ISNUMBER($D$17:$D$266))=0,NA(),SUMPRODUCT(($I$17:$I$266=$K$28)*IFERROR($D$17:$D$266,0))),IF(SUMPRODUCT(($I$17:$I$266=$K$28)*ISNUMBER($D$17:$D$266))=0,NA(),SUMPRODUCT(($I$17:$I$266=$K$28)*IFERROR($D$17:$D$266,0))/SUMPRODUCT(($I$17:$I$266=$K$28)*ISNUMBER($D$17:$D$266))),IFERROR(LOOKUP(2,1/(($I$17:$I$266=$K$28)*ISNUMBER($D$17:$D$266)),$D$17:$D$266),NA()))</f>
        <v>#N/A</v>
      </c>
      <c r="M28" s="20" t="e">
        <f aca="false">IFERROR(L28/L24-1,NA())</f>
        <v>#N/A</v>
      </c>
      <c r="P28" s="22" t="n">
        <v>2011</v>
      </c>
      <c r="Q28" s="23" t="e">
        <f aca="false">CHOOSE(MATCH($B$10,{"Sum","Average","End of Period"},0),IF(SUMPRODUCT(($C$17:$C$266=$P$28)*ISNUMBER($D$17:$D$266))=0,NA(),SUMPRODUCT(($C$17:$C$266=$P$28)*IFERROR($D$17:$D$266,0))),IF(SUMPRODUCT(($C$17:$C$266=$P$28)*ISNUMBER($D$17:$D$266))=0,NA(),SUMPRODUCT(($C$17:$C$266=$P$28)*IFERROR($D$17:$D$266,0))/SUMPRODUCT(($C$17:$C$266=$P$28)*ISNUMBER($D$17:$D$266))),IFERROR(LOOKUP(2,1/(($C$17:$C$266=$P$28)*ISNUMBER($D$17:$D$266)),$D$17:$D$266),NA()))</f>
        <v>#N/A</v>
      </c>
      <c r="R28" s="20" t="e">
        <f aca="false">IFERROR(Q28/Q27-1,NA())</f>
        <v>#N/A</v>
      </c>
    </row>
    <row r="29" customFormat="false" ht="15" hidden="false" customHeight="false" outlineLevel="0" collapsed="false">
      <c r="A29" s="27"/>
      <c r="B29" s="28" t="e">
        <f aca="false">IFERROR(IF(ISNUMBER(A29),TEXT(YEAR(A29)-2000,"00")&amp;TEXT(MONTH(A29),"00"),NA()),NA())</f>
        <v>#N/A</v>
      </c>
      <c r="C29" s="18" t="n">
        <f aca="false">IFERROR(YEAR(A29),0)</f>
        <v>1899</v>
      </c>
      <c r="D29" s="32"/>
      <c r="E29" s="20" t="e">
        <f aca="false">IFERROR(D29/D28-1,NA())</f>
        <v>#N/A</v>
      </c>
      <c r="F29" s="20" t="e">
        <f aca="false">IFERROR(D29/D17-1,NA())</f>
        <v>#N/A</v>
      </c>
      <c r="G29" s="21" t="e">
        <f aca="false">IF(COUNT(D27:D29)=3,AVERAGE(D27:D29),NA())</f>
        <v>#N/A</v>
      </c>
      <c r="H29" s="20" t="e">
        <f aca="false">NA()</f>
        <v>#N/A</v>
      </c>
      <c r="I29" s="28" t="str">
        <f aca="false">IFERROR(YEAR(A29)&amp;"Q"&amp;CEILING(MONTH(A29)/3,1),"")</f>
        <v>1899Q4</v>
      </c>
      <c r="K29" s="28" t="s">
        <v>399</v>
      </c>
      <c r="L29" s="23" t="e">
        <f aca="false">CHOOSE(MATCH($B$11,{"Sum","Average","End of Period"},0),IF(SUMPRODUCT(($I$17:$I$266=$K$29)*ISNUMBER($D$17:$D$266))=0,NA(),SUMPRODUCT(($I$17:$I$266=$K$29)*IFERROR($D$17:$D$266,0))),IF(SUMPRODUCT(($I$17:$I$266=$K$29)*ISNUMBER($D$17:$D$266))=0,NA(),SUMPRODUCT(($I$17:$I$266=$K$29)*IFERROR($D$17:$D$266,0))/SUMPRODUCT(($I$17:$I$266=$K$29)*ISNUMBER($D$17:$D$266))),IFERROR(LOOKUP(2,1/(($I$17:$I$266=$K$29)*ISNUMBER($D$17:$D$266)),$D$17:$D$266),NA()))</f>
        <v>#N/A</v>
      </c>
      <c r="M29" s="20" t="e">
        <f aca="false">IFERROR(L29/L25-1,NA())</f>
        <v>#N/A</v>
      </c>
      <c r="P29" s="22" t="n">
        <v>2012</v>
      </c>
      <c r="Q29" s="23" t="e">
        <f aca="false">CHOOSE(MATCH($B$10,{"Sum","Average","End of Period"},0),IF(SUMPRODUCT(($C$17:$C$266=$P$29)*ISNUMBER($D$17:$D$266))=0,NA(),SUMPRODUCT(($C$17:$C$266=$P$29)*IFERROR($D$17:$D$266,0))),IF(SUMPRODUCT(($C$17:$C$266=$P$29)*ISNUMBER($D$17:$D$266))=0,NA(),SUMPRODUCT(($C$17:$C$266=$P$29)*IFERROR($D$17:$D$266,0))/SUMPRODUCT(($C$17:$C$266=$P$29)*ISNUMBER($D$17:$D$266))),IFERROR(LOOKUP(2,1/(($C$17:$C$266=$P$29)*ISNUMBER($D$17:$D$266)),$D$17:$D$266),NA()))</f>
        <v>#N/A</v>
      </c>
      <c r="R29" s="20" t="e">
        <f aca="false">IFERROR(Q29/Q28-1,NA())</f>
        <v>#N/A</v>
      </c>
    </row>
    <row r="30" customFormat="false" ht="15" hidden="false" customHeight="false" outlineLevel="0" collapsed="false">
      <c r="A30" s="27"/>
      <c r="B30" s="28" t="e">
        <f aca="false">IFERROR(IF(ISNUMBER(A30),TEXT(YEAR(A30)-2000,"00")&amp;TEXT(MONTH(A30),"00"),NA()),NA())</f>
        <v>#N/A</v>
      </c>
      <c r="C30" s="18" t="n">
        <f aca="false">IFERROR(YEAR(A30),0)</f>
        <v>1899</v>
      </c>
      <c r="D30" s="32"/>
      <c r="E30" s="20" t="e">
        <f aca="false">IFERROR(D30/D29-1,NA())</f>
        <v>#N/A</v>
      </c>
      <c r="F30" s="20" t="e">
        <f aca="false">IFERROR(D30/D18-1,NA())</f>
        <v>#N/A</v>
      </c>
      <c r="G30" s="21" t="e">
        <f aca="false">IF(COUNT(D28:D30)=3,AVERAGE(D28:D30),NA())</f>
        <v>#N/A</v>
      </c>
      <c r="H30" s="20" t="e">
        <f aca="false">NA()</f>
        <v>#N/A</v>
      </c>
      <c r="I30" s="28" t="str">
        <f aca="false">IFERROR(YEAR(A30)&amp;"Q"&amp;CEILING(MONTH(A30)/3,1),"")</f>
        <v>1899Q4</v>
      </c>
      <c r="K30" s="28" t="s">
        <v>400</v>
      </c>
      <c r="L30" s="23" t="e">
        <f aca="false">CHOOSE(MATCH($B$11,{"Sum","Average","End of Period"},0),IF(SUMPRODUCT(($I$17:$I$266=$K$30)*ISNUMBER($D$17:$D$266))=0,NA(),SUMPRODUCT(($I$17:$I$266=$K$30)*IFERROR($D$17:$D$266,0))),IF(SUMPRODUCT(($I$17:$I$266=$K$30)*ISNUMBER($D$17:$D$266))=0,NA(),SUMPRODUCT(($I$17:$I$266=$K$30)*IFERROR($D$17:$D$266,0))/SUMPRODUCT(($I$17:$I$266=$K$30)*ISNUMBER($D$17:$D$266))),IFERROR(LOOKUP(2,1/(($I$17:$I$266=$K$30)*ISNUMBER($D$17:$D$266)),$D$17:$D$266),NA()))</f>
        <v>#N/A</v>
      </c>
      <c r="M30" s="20" t="e">
        <f aca="false">IFERROR(L30/L26-1,NA())</f>
        <v>#N/A</v>
      </c>
      <c r="P30" s="22" t="n">
        <v>2013</v>
      </c>
      <c r="Q30" s="23" t="e">
        <f aca="false">CHOOSE(MATCH($B$10,{"Sum","Average","End of Period"},0),IF(SUMPRODUCT(($C$17:$C$266=$P$30)*ISNUMBER($D$17:$D$266))=0,NA(),SUMPRODUCT(($C$17:$C$266=$P$30)*IFERROR($D$17:$D$266,0))),IF(SUMPRODUCT(($C$17:$C$266=$P$30)*ISNUMBER($D$17:$D$266))=0,NA(),SUMPRODUCT(($C$17:$C$266=$P$30)*IFERROR($D$17:$D$266,0))/SUMPRODUCT(($C$17:$C$266=$P$30)*ISNUMBER($D$17:$D$266))),IFERROR(LOOKUP(2,1/(($C$17:$C$266=$P$30)*ISNUMBER($D$17:$D$266)),$D$17:$D$266),NA()))</f>
        <v>#N/A</v>
      </c>
      <c r="R30" s="20" t="e">
        <f aca="false">IFERROR(Q30/Q29-1,NA())</f>
        <v>#N/A</v>
      </c>
    </row>
    <row r="31" customFormat="false" ht="15" hidden="false" customHeight="false" outlineLevel="0" collapsed="false">
      <c r="A31" s="27"/>
      <c r="B31" s="28" t="e">
        <f aca="false">IFERROR(IF(ISNUMBER(A31),TEXT(YEAR(A31)-2000,"00")&amp;TEXT(MONTH(A31),"00"),NA()),NA())</f>
        <v>#N/A</v>
      </c>
      <c r="C31" s="18" t="n">
        <f aca="false">IFERROR(YEAR(A31),0)</f>
        <v>1899</v>
      </c>
      <c r="D31" s="32"/>
      <c r="E31" s="20" t="e">
        <f aca="false">IFERROR(D31/D30-1,NA())</f>
        <v>#N/A</v>
      </c>
      <c r="F31" s="20" t="e">
        <f aca="false">IFERROR(D31/D19-1,NA())</f>
        <v>#N/A</v>
      </c>
      <c r="G31" s="21" t="e">
        <f aca="false">IF(COUNT(D29:D31)=3,AVERAGE(D29:D31),NA())</f>
        <v>#N/A</v>
      </c>
      <c r="H31" s="20" t="e">
        <f aca="false">IFERROR(IF(AND(COUNT(D29:D31)=3,COUNT(D17:D19)=3),AVERAGE(D29:D31)/AVERAGE(D17:D19)-1,NA()),NA())</f>
        <v>#N/A</v>
      </c>
      <c r="I31" s="28" t="str">
        <f aca="false">IFERROR(YEAR(A31)&amp;"Q"&amp;CEILING(MONTH(A31)/3,1),"")</f>
        <v>1899Q4</v>
      </c>
      <c r="K31" s="28" t="s">
        <v>401</v>
      </c>
      <c r="L31" s="23" t="e">
        <f aca="false">CHOOSE(MATCH($B$11,{"Sum","Average","End of Period"},0),IF(SUMPRODUCT(($I$17:$I$266=$K$31)*ISNUMBER($D$17:$D$266))=0,NA(),SUMPRODUCT(($I$17:$I$266=$K$31)*IFERROR($D$17:$D$266,0))),IF(SUMPRODUCT(($I$17:$I$266=$K$31)*ISNUMBER($D$17:$D$266))=0,NA(),SUMPRODUCT(($I$17:$I$266=$K$31)*IFERROR($D$17:$D$266,0))/SUMPRODUCT(($I$17:$I$266=$K$31)*ISNUMBER($D$17:$D$266))),IFERROR(LOOKUP(2,1/(($I$17:$I$266=$K$31)*ISNUMBER($D$17:$D$266)),$D$17:$D$266),NA()))</f>
        <v>#N/A</v>
      </c>
      <c r="M31" s="20" t="e">
        <f aca="false">IFERROR(L31/L27-1,NA())</f>
        <v>#N/A</v>
      </c>
      <c r="P31" s="22" t="n">
        <v>2014</v>
      </c>
      <c r="Q31" s="23" t="e">
        <f aca="false">CHOOSE(MATCH($B$10,{"Sum","Average","End of Period"},0),IF(SUMPRODUCT(($C$17:$C$266=$P$31)*ISNUMBER($D$17:$D$266))=0,NA(),SUMPRODUCT(($C$17:$C$266=$P$31)*IFERROR($D$17:$D$266,0))),IF(SUMPRODUCT(($C$17:$C$266=$P$31)*ISNUMBER($D$17:$D$266))=0,NA(),SUMPRODUCT(($C$17:$C$266=$P$31)*IFERROR($D$17:$D$266,0))/SUMPRODUCT(($C$17:$C$266=$P$31)*ISNUMBER($D$17:$D$266))),IFERROR(LOOKUP(2,1/(($C$17:$C$266=$P$31)*ISNUMBER($D$17:$D$266)),$D$17:$D$266),NA()))</f>
        <v>#N/A</v>
      </c>
      <c r="R31" s="20" t="e">
        <f aca="false">IFERROR(Q31/Q30-1,NA())</f>
        <v>#N/A</v>
      </c>
    </row>
    <row r="32" customFormat="false" ht="15" hidden="false" customHeight="false" outlineLevel="0" collapsed="false">
      <c r="A32" s="27"/>
      <c r="B32" s="28" t="e">
        <f aca="false">IFERROR(IF(ISNUMBER(A32),TEXT(YEAR(A32)-2000,"00")&amp;TEXT(MONTH(A32),"00"),NA()),NA())</f>
        <v>#N/A</v>
      </c>
      <c r="C32" s="18" t="n">
        <f aca="false">IFERROR(YEAR(A32),0)</f>
        <v>1899</v>
      </c>
      <c r="D32" s="32"/>
      <c r="E32" s="20" t="e">
        <f aca="false">IFERROR(D32/D31-1,NA())</f>
        <v>#N/A</v>
      </c>
      <c r="F32" s="20" t="e">
        <f aca="false">IFERROR(D32/D20-1,NA())</f>
        <v>#N/A</v>
      </c>
      <c r="G32" s="21" t="e">
        <f aca="false">IF(COUNT(D30:D32)=3,AVERAGE(D30:D32),NA())</f>
        <v>#N/A</v>
      </c>
      <c r="H32" s="20" t="e">
        <f aca="false">IFERROR(IF(AND(COUNT(D30:D32)=3,COUNT(D18:D20)=3),AVERAGE(D30:D32)/AVERAGE(D18:D20)-1,NA()),NA())</f>
        <v>#N/A</v>
      </c>
      <c r="I32" s="28" t="str">
        <f aca="false">IFERROR(YEAR(A32)&amp;"Q"&amp;CEILING(MONTH(A32)/3,1),"")</f>
        <v>1899Q4</v>
      </c>
      <c r="K32" s="28" t="s">
        <v>402</v>
      </c>
      <c r="L32" s="23" t="e">
        <f aca="false">CHOOSE(MATCH($B$11,{"Sum","Average","End of Period"},0),IF(SUMPRODUCT(($I$17:$I$266=$K$32)*ISNUMBER($D$17:$D$266))=0,NA(),SUMPRODUCT(($I$17:$I$266=$K$32)*IFERROR($D$17:$D$266,0))),IF(SUMPRODUCT(($I$17:$I$266=$K$32)*ISNUMBER($D$17:$D$266))=0,NA(),SUMPRODUCT(($I$17:$I$266=$K$32)*IFERROR($D$17:$D$266,0))/SUMPRODUCT(($I$17:$I$266=$K$32)*ISNUMBER($D$17:$D$266))),IFERROR(LOOKUP(2,1/(($I$17:$I$266=$K$32)*ISNUMBER($D$17:$D$266)),$D$17:$D$266),NA()))</f>
        <v>#N/A</v>
      </c>
      <c r="M32" s="20" t="e">
        <f aca="false">IFERROR(L32/L28-1,NA())</f>
        <v>#N/A</v>
      </c>
      <c r="P32" s="22" t="n">
        <v>2015</v>
      </c>
      <c r="Q32" s="23" t="e">
        <f aca="false">CHOOSE(MATCH($B$10,{"Sum","Average","End of Period"},0),IF(SUMPRODUCT(($C$17:$C$266=$P$32)*ISNUMBER($D$17:$D$266))=0,NA(),SUMPRODUCT(($C$17:$C$266=$P$32)*IFERROR($D$17:$D$266,0))),IF(SUMPRODUCT(($C$17:$C$266=$P$32)*ISNUMBER($D$17:$D$266))=0,NA(),SUMPRODUCT(($C$17:$C$266=$P$32)*IFERROR($D$17:$D$266,0))/SUMPRODUCT(($C$17:$C$266=$P$32)*ISNUMBER($D$17:$D$266))),IFERROR(LOOKUP(2,1/(($C$17:$C$266=$P$32)*ISNUMBER($D$17:$D$266)),$D$17:$D$266),NA()))</f>
        <v>#N/A</v>
      </c>
      <c r="R32" s="20" t="e">
        <f aca="false">IFERROR(Q32/Q31-1,NA())</f>
        <v>#N/A</v>
      </c>
    </row>
    <row r="33" customFormat="false" ht="15" hidden="false" customHeight="false" outlineLevel="0" collapsed="false">
      <c r="A33" s="27"/>
      <c r="B33" s="28" t="e">
        <f aca="false">IFERROR(IF(ISNUMBER(A33),TEXT(YEAR(A33)-2000,"00")&amp;TEXT(MONTH(A33),"00"),NA()),NA())</f>
        <v>#N/A</v>
      </c>
      <c r="C33" s="18" t="n">
        <f aca="false">IFERROR(YEAR(A33),0)</f>
        <v>1899</v>
      </c>
      <c r="D33" s="32"/>
      <c r="E33" s="20" t="e">
        <f aca="false">IFERROR(D33/D32-1,NA())</f>
        <v>#N/A</v>
      </c>
      <c r="F33" s="20" t="e">
        <f aca="false">IFERROR(D33/D21-1,NA())</f>
        <v>#N/A</v>
      </c>
      <c r="G33" s="21" t="e">
        <f aca="false">IF(COUNT(D31:D33)=3,AVERAGE(D31:D33),NA())</f>
        <v>#N/A</v>
      </c>
      <c r="H33" s="20" t="e">
        <f aca="false">IFERROR(IF(AND(COUNT(D31:D33)=3,COUNT(D19:D21)=3),AVERAGE(D31:D33)/AVERAGE(D19:D21)-1,NA()),NA())</f>
        <v>#N/A</v>
      </c>
      <c r="I33" s="28" t="str">
        <f aca="false">IFERROR(YEAR(A33)&amp;"Q"&amp;CEILING(MONTH(A33)/3,1),"")</f>
        <v>1899Q4</v>
      </c>
      <c r="K33" s="28" t="s">
        <v>403</v>
      </c>
      <c r="L33" s="23" t="e">
        <f aca="false">CHOOSE(MATCH($B$11,{"Sum","Average","End of Period"},0),IF(SUMPRODUCT(($I$17:$I$266=$K$33)*ISNUMBER($D$17:$D$266))=0,NA(),SUMPRODUCT(($I$17:$I$266=$K$33)*IFERROR($D$17:$D$266,0))),IF(SUMPRODUCT(($I$17:$I$266=$K$33)*ISNUMBER($D$17:$D$266))=0,NA(),SUMPRODUCT(($I$17:$I$266=$K$33)*IFERROR($D$17:$D$266,0))/SUMPRODUCT(($I$17:$I$266=$K$33)*ISNUMBER($D$17:$D$266))),IFERROR(LOOKUP(2,1/(($I$17:$I$266=$K$33)*ISNUMBER($D$17:$D$266)),$D$17:$D$266),NA()))</f>
        <v>#N/A</v>
      </c>
      <c r="M33" s="20" t="e">
        <f aca="false">IFERROR(L33/L29-1,NA())</f>
        <v>#N/A</v>
      </c>
      <c r="P33" s="22" t="n">
        <v>2016</v>
      </c>
      <c r="Q33" s="23" t="e">
        <f aca="false">CHOOSE(MATCH($B$10,{"Sum","Average","End of Period"},0),IF(SUMPRODUCT(($C$17:$C$266=$P$33)*ISNUMBER($D$17:$D$266))=0,NA(),SUMPRODUCT(($C$17:$C$266=$P$33)*IFERROR($D$17:$D$266,0))),IF(SUMPRODUCT(($C$17:$C$266=$P$33)*ISNUMBER($D$17:$D$266))=0,NA(),SUMPRODUCT(($C$17:$C$266=$P$33)*IFERROR($D$17:$D$266,0))/SUMPRODUCT(($C$17:$C$266=$P$33)*ISNUMBER($D$17:$D$266))),IFERROR(LOOKUP(2,1/(($C$17:$C$266=$P$33)*ISNUMBER($D$17:$D$266)),$D$17:$D$266),NA()))</f>
        <v>#N/A</v>
      </c>
      <c r="R33" s="20" t="e">
        <f aca="false">IFERROR(Q33/Q32-1,NA())</f>
        <v>#N/A</v>
      </c>
    </row>
    <row r="34" customFormat="false" ht="15" hidden="false" customHeight="false" outlineLevel="0" collapsed="false">
      <c r="A34" s="27"/>
      <c r="B34" s="28" t="e">
        <f aca="false">IFERROR(IF(ISNUMBER(A34),TEXT(YEAR(A34)-2000,"00")&amp;TEXT(MONTH(A34),"00"),NA()),NA())</f>
        <v>#N/A</v>
      </c>
      <c r="C34" s="18" t="n">
        <f aca="false">IFERROR(YEAR(A34),0)</f>
        <v>1899</v>
      </c>
      <c r="D34" s="32"/>
      <c r="E34" s="20" t="e">
        <f aca="false">IFERROR(D34/D33-1,NA())</f>
        <v>#N/A</v>
      </c>
      <c r="F34" s="20" t="e">
        <f aca="false">IFERROR(D34/D22-1,NA())</f>
        <v>#N/A</v>
      </c>
      <c r="G34" s="21" t="e">
        <f aca="false">IF(COUNT(D32:D34)=3,AVERAGE(D32:D34),NA())</f>
        <v>#N/A</v>
      </c>
      <c r="H34" s="20" t="e">
        <f aca="false">IFERROR(IF(AND(COUNT(D32:D34)=3,COUNT(D20:D22)=3),AVERAGE(D32:D34)/AVERAGE(D20:D22)-1,NA()),NA())</f>
        <v>#N/A</v>
      </c>
      <c r="I34" s="28" t="str">
        <f aca="false">IFERROR(YEAR(A34)&amp;"Q"&amp;CEILING(MONTH(A34)/3,1),"")</f>
        <v>1899Q4</v>
      </c>
      <c r="K34" s="28" t="s">
        <v>404</v>
      </c>
      <c r="L34" s="23" t="e">
        <f aca="false">CHOOSE(MATCH($B$11,{"Sum","Average","End of Period"},0),IF(SUMPRODUCT(($I$17:$I$266=$K$34)*ISNUMBER($D$17:$D$266))=0,NA(),SUMPRODUCT(($I$17:$I$266=$K$34)*IFERROR($D$17:$D$266,0))),IF(SUMPRODUCT(($I$17:$I$266=$K$34)*ISNUMBER($D$17:$D$266))=0,NA(),SUMPRODUCT(($I$17:$I$266=$K$34)*IFERROR($D$17:$D$266,0))/SUMPRODUCT(($I$17:$I$266=$K$34)*ISNUMBER($D$17:$D$266))),IFERROR(LOOKUP(2,1/(($I$17:$I$266=$K$34)*ISNUMBER($D$17:$D$266)),$D$17:$D$266),NA()))</f>
        <v>#N/A</v>
      </c>
      <c r="M34" s="20" t="e">
        <f aca="false">IFERROR(L34/L30-1,NA())</f>
        <v>#N/A</v>
      </c>
      <c r="P34" s="22" t="n">
        <v>2017</v>
      </c>
      <c r="Q34" s="23" t="e">
        <f aca="false">CHOOSE(MATCH($B$10,{"Sum","Average","End of Period"},0),IF(SUMPRODUCT(($C$17:$C$266=$P$34)*ISNUMBER($D$17:$D$266))=0,NA(),SUMPRODUCT(($C$17:$C$266=$P$34)*IFERROR($D$17:$D$266,0))),IF(SUMPRODUCT(($C$17:$C$266=$P$34)*ISNUMBER($D$17:$D$266))=0,NA(),SUMPRODUCT(($C$17:$C$266=$P$34)*IFERROR($D$17:$D$266,0))/SUMPRODUCT(($C$17:$C$266=$P$34)*ISNUMBER($D$17:$D$266))),IFERROR(LOOKUP(2,1/(($C$17:$C$266=$P$34)*ISNUMBER($D$17:$D$266)),$D$17:$D$266),NA()))</f>
        <v>#N/A</v>
      </c>
      <c r="R34" s="20" t="e">
        <f aca="false">IFERROR(Q34/Q33-1,NA())</f>
        <v>#N/A</v>
      </c>
    </row>
    <row r="35" customFormat="false" ht="15" hidden="false" customHeight="false" outlineLevel="0" collapsed="false">
      <c r="A35" s="27"/>
      <c r="B35" s="28" t="e">
        <f aca="false">IFERROR(IF(ISNUMBER(A35),TEXT(YEAR(A35)-2000,"00")&amp;TEXT(MONTH(A35),"00"),NA()),NA())</f>
        <v>#N/A</v>
      </c>
      <c r="C35" s="18" t="n">
        <f aca="false">IFERROR(YEAR(A35),0)</f>
        <v>1899</v>
      </c>
      <c r="D35" s="32"/>
      <c r="E35" s="20" t="e">
        <f aca="false">IFERROR(D35/D34-1,NA())</f>
        <v>#N/A</v>
      </c>
      <c r="F35" s="20" t="e">
        <f aca="false">IFERROR(D35/D23-1,NA())</f>
        <v>#N/A</v>
      </c>
      <c r="G35" s="21" t="e">
        <f aca="false">IF(COUNT(D33:D35)=3,AVERAGE(D33:D35),NA())</f>
        <v>#N/A</v>
      </c>
      <c r="H35" s="20" t="e">
        <f aca="false">IFERROR(IF(AND(COUNT(D33:D35)=3,COUNT(D21:D23)=3),AVERAGE(D33:D35)/AVERAGE(D21:D23)-1,NA()),NA())</f>
        <v>#N/A</v>
      </c>
      <c r="I35" s="28" t="str">
        <f aca="false">IFERROR(YEAR(A35)&amp;"Q"&amp;CEILING(MONTH(A35)/3,1),"")</f>
        <v>1899Q4</v>
      </c>
      <c r="K35" s="28" t="s">
        <v>405</v>
      </c>
      <c r="L35" s="23" t="e">
        <f aca="false">CHOOSE(MATCH($B$11,{"Sum","Average","End of Period"},0),IF(SUMPRODUCT(($I$17:$I$266=$K$35)*ISNUMBER($D$17:$D$266))=0,NA(),SUMPRODUCT(($I$17:$I$266=$K$35)*IFERROR($D$17:$D$266,0))),IF(SUMPRODUCT(($I$17:$I$266=$K$35)*ISNUMBER($D$17:$D$266))=0,NA(),SUMPRODUCT(($I$17:$I$266=$K$35)*IFERROR($D$17:$D$266,0))/SUMPRODUCT(($I$17:$I$266=$K$35)*ISNUMBER($D$17:$D$266))),IFERROR(LOOKUP(2,1/(($I$17:$I$266=$K$35)*ISNUMBER($D$17:$D$266)),$D$17:$D$266),NA()))</f>
        <v>#N/A</v>
      </c>
      <c r="M35" s="20" t="e">
        <f aca="false">IFERROR(L35/L31-1,NA())</f>
        <v>#N/A</v>
      </c>
      <c r="P35" s="22" t="n">
        <v>2018</v>
      </c>
      <c r="Q35" s="23" t="e">
        <f aca="false">CHOOSE(MATCH($B$10,{"Sum","Average","End of Period"},0),IF(SUMPRODUCT(($C$17:$C$266=$P$35)*ISNUMBER($D$17:$D$266))=0,NA(),SUMPRODUCT(($C$17:$C$266=$P$35)*IFERROR($D$17:$D$266,0))),IF(SUMPRODUCT(($C$17:$C$266=$P$35)*ISNUMBER($D$17:$D$266))=0,NA(),SUMPRODUCT(($C$17:$C$266=$P$35)*IFERROR($D$17:$D$266,0))/SUMPRODUCT(($C$17:$C$266=$P$35)*ISNUMBER($D$17:$D$266))),IFERROR(LOOKUP(2,1/(($C$17:$C$266=$P$35)*ISNUMBER($D$17:$D$266)),$D$17:$D$266),NA()))</f>
        <v>#N/A</v>
      </c>
      <c r="R35" s="20" t="e">
        <f aca="false">IFERROR(Q35/Q34-1,NA())</f>
        <v>#N/A</v>
      </c>
    </row>
    <row r="36" customFormat="false" ht="15" hidden="false" customHeight="false" outlineLevel="0" collapsed="false">
      <c r="A36" s="27"/>
      <c r="B36" s="28" t="e">
        <f aca="false">IFERROR(IF(ISNUMBER(A36),TEXT(YEAR(A36)-2000,"00")&amp;TEXT(MONTH(A36),"00"),NA()),NA())</f>
        <v>#N/A</v>
      </c>
      <c r="C36" s="18" t="n">
        <f aca="false">IFERROR(YEAR(A36),0)</f>
        <v>1899</v>
      </c>
      <c r="D36" s="32"/>
      <c r="E36" s="20" t="e">
        <f aca="false">IFERROR(D36/D35-1,NA())</f>
        <v>#N/A</v>
      </c>
      <c r="F36" s="20" t="e">
        <f aca="false">IFERROR(D36/D24-1,NA())</f>
        <v>#N/A</v>
      </c>
      <c r="G36" s="21" t="e">
        <f aca="false">IF(COUNT(D34:D36)=3,AVERAGE(D34:D36),NA())</f>
        <v>#N/A</v>
      </c>
      <c r="H36" s="20" t="e">
        <f aca="false">IFERROR(IF(AND(COUNT(D34:D36)=3,COUNT(D22:D24)=3),AVERAGE(D34:D36)/AVERAGE(D22:D24)-1,NA()),NA())</f>
        <v>#N/A</v>
      </c>
      <c r="I36" s="28" t="str">
        <f aca="false">IFERROR(YEAR(A36)&amp;"Q"&amp;CEILING(MONTH(A36)/3,1),"")</f>
        <v>1899Q4</v>
      </c>
      <c r="K36" s="28" t="s">
        <v>406</v>
      </c>
      <c r="L36" s="23" t="e">
        <f aca="false">CHOOSE(MATCH($B$11,{"Sum","Average","End of Period"},0),IF(SUMPRODUCT(($I$17:$I$266=$K$36)*ISNUMBER($D$17:$D$266))=0,NA(),SUMPRODUCT(($I$17:$I$266=$K$36)*IFERROR($D$17:$D$266,0))),IF(SUMPRODUCT(($I$17:$I$266=$K$36)*ISNUMBER($D$17:$D$266))=0,NA(),SUMPRODUCT(($I$17:$I$266=$K$36)*IFERROR($D$17:$D$266,0))/SUMPRODUCT(($I$17:$I$266=$K$36)*ISNUMBER($D$17:$D$266))),IFERROR(LOOKUP(2,1/(($I$17:$I$266=$K$36)*ISNUMBER($D$17:$D$266)),$D$17:$D$266),NA()))</f>
        <v>#N/A</v>
      </c>
      <c r="M36" s="20" t="e">
        <f aca="false">IFERROR(L36/L32-1,NA())</f>
        <v>#N/A</v>
      </c>
      <c r="P36" s="22" t="n">
        <v>2019</v>
      </c>
      <c r="Q36" s="23" t="e">
        <f aca="false">CHOOSE(MATCH($B$10,{"Sum","Average","End of Period"},0),IF(SUMPRODUCT(($C$17:$C$266=$P$36)*ISNUMBER($D$17:$D$266))=0,NA(),SUMPRODUCT(($C$17:$C$266=$P$36)*IFERROR($D$17:$D$266,0))),IF(SUMPRODUCT(($C$17:$C$266=$P$36)*ISNUMBER($D$17:$D$266))=0,NA(),SUMPRODUCT(($C$17:$C$266=$P$36)*IFERROR($D$17:$D$266,0))/SUMPRODUCT(($C$17:$C$266=$P$36)*ISNUMBER($D$17:$D$266))),IFERROR(LOOKUP(2,1/(($C$17:$C$266=$P$36)*ISNUMBER($D$17:$D$266)),$D$17:$D$266),NA()))</f>
        <v>#N/A</v>
      </c>
      <c r="R36" s="20" t="e">
        <f aca="false">IFERROR(Q36/Q35-1,NA())</f>
        <v>#N/A</v>
      </c>
    </row>
    <row r="37" customFormat="false" ht="15" hidden="false" customHeight="false" outlineLevel="0" collapsed="false">
      <c r="A37" s="27"/>
      <c r="B37" s="28" t="e">
        <f aca="false">IFERROR(IF(ISNUMBER(A37),TEXT(YEAR(A37)-2000,"00")&amp;TEXT(MONTH(A37),"00"),NA()),NA())</f>
        <v>#N/A</v>
      </c>
      <c r="C37" s="18" t="n">
        <f aca="false">IFERROR(YEAR(A37),0)</f>
        <v>1899</v>
      </c>
      <c r="D37" s="32"/>
      <c r="E37" s="20" t="e">
        <f aca="false">IFERROR(D37/D36-1,NA())</f>
        <v>#N/A</v>
      </c>
      <c r="F37" s="20" t="e">
        <f aca="false">IFERROR(D37/D25-1,NA())</f>
        <v>#N/A</v>
      </c>
      <c r="G37" s="21" t="e">
        <f aca="false">IF(COUNT(D35:D37)=3,AVERAGE(D35:D37),NA())</f>
        <v>#N/A</v>
      </c>
      <c r="H37" s="20" t="e">
        <f aca="false">IFERROR(IF(AND(COUNT(D35:D37)=3,COUNT(D23:D25)=3),AVERAGE(D35:D37)/AVERAGE(D23:D25)-1,NA()),NA())</f>
        <v>#N/A</v>
      </c>
      <c r="I37" s="28" t="str">
        <f aca="false">IFERROR(YEAR(A37)&amp;"Q"&amp;CEILING(MONTH(A37)/3,1),"")</f>
        <v>1899Q4</v>
      </c>
      <c r="K37" s="28" t="s">
        <v>407</v>
      </c>
      <c r="L37" s="23" t="e">
        <f aca="false">CHOOSE(MATCH($B$11,{"Sum","Average","End of Period"},0),IF(SUMPRODUCT(($I$17:$I$266=$K$37)*ISNUMBER($D$17:$D$266))=0,NA(),SUMPRODUCT(($I$17:$I$266=$K$37)*IFERROR($D$17:$D$266,0))),IF(SUMPRODUCT(($I$17:$I$266=$K$37)*ISNUMBER($D$17:$D$266))=0,NA(),SUMPRODUCT(($I$17:$I$266=$K$37)*IFERROR($D$17:$D$266,0))/SUMPRODUCT(($I$17:$I$266=$K$37)*ISNUMBER($D$17:$D$266))),IFERROR(LOOKUP(2,1/(($I$17:$I$266=$K$37)*ISNUMBER($D$17:$D$266)),$D$17:$D$266),NA()))</f>
        <v>#N/A</v>
      </c>
      <c r="M37" s="20" t="e">
        <f aca="false">IFERROR(L37/L33-1,NA())</f>
        <v>#N/A</v>
      </c>
      <c r="P37" s="22" t="n">
        <v>2020</v>
      </c>
      <c r="Q37" s="23" t="e">
        <f aca="false">CHOOSE(MATCH($B$10,{"Sum","Average","End of Period"},0),IF(SUMPRODUCT(($C$17:$C$266=$P$37)*ISNUMBER($D$17:$D$266))=0,NA(),SUMPRODUCT(($C$17:$C$266=$P$37)*IFERROR($D$17:$D$266,0))),IF(SUMPRODUCT(($C$17:$C$266=$P$37)*ISNUMBER($D$17:$D$266))=0,NA(),SUMPRODUCT(($C$17:$C$266=$P$37)*IFERROR($D$17:$D$266,0))/SUMPRODUCT(($C$17:$C$266=$P$37)*ISNUMBER($D$17:$D$266))),IFERROR(LOOKUP(2,1/(($C$17:$C$266=$P$37)*ISNUMBER($D$17:$D$266)),$D$17:$D$266),NA()))</f>
        <v>#N/A</v>
      </c>
      <c r="R37" s="20" t="e">
        <f aca="false">IFERROR(Q37/Q36-1,NA())</f>
        <v>#N/A</v>
      </c>
    </row>
    <row r="38" customFormat="false" ht="15" hidden="false" customHeight="false" outlineLevel="0" collapsed="false">
      <c r="A38" s="27"/>
      <c r="B38" s="28" t="e">
        <f aca="false">IFERROR(IF(ISNUMBER(A38),TEXT(YEAR(A38)-2000,"00")&amp;TEXT(MONTH(A38),"00"),NA()),NA())</f>
        <v>#N/A</v>
      </c>
      <c r="C38" s="18" t="n">
        <f aca="false">IFERROR(YEAR(A38),0)</f>
        <v>1899</v>
      </c>
      <c r="D38" s="32"/>
      <c r="E38" s="20" t="e">
        <f aca="false">IFERROR(D38/D37-1,NA())</f>
        <v>#N/A</v>
      </c>
      <c r="F38" s="20" t="e">
        <f aca="false">IFERROR(D38/D26-1,NA())</f>
        <v>#N/A</v>
      </c>
      <c r="G38" s="21" t="e">
        <f aca="false">IF(COUNT(D36:D38)=3,AVERAGE(D36:D38),NA())</f>
        <v>#N/A</v>
      </c>
      <c r="H38" s="20" t="e">
        <f aca="false">IFERROR(IF(AND(COUNT(D36:D38)=3,COUNT(D24:D26)=3),AVERAGE(D36:D38)/AVERAGE(D24:D26)-1,NA()),NA())</f>
        <v>#N/A</v>
      </c>
      <c r="I38" s="28" t="str">
        <f aca="false">IFERROR(YEAR(A38)&amp;"Q"&amp;CEILING(MONTH(A38)/3,1),"")</f>
        <v>1899Q4</v>
      </c>
      <c r="K38" s="28" t="s">
        <v>408</v>
      </c>
      <c r="L38" s="23" t="e">
        <f aca="false">CHOOSE(MATCH($B$11,{"Sum","Average","End of Period"},0),IF(SUMPRODUCT(($I$17:$I$266=$K$38)*ISNUMBER($D$17:$D$266))=0,NA(),SUMPRODUCT(($I$17:$I$266=$K$38)*IFERROR($D$17:$D$266,0))),IF(SUMPRODUCT(($I$17:$I$266=$K$38)*ISNUMBER($D$17:$D$266))=0,NA(),SUMPRODUCT(($I$17:$I$266=$K$38)*IFERROR($D$17:$D$266,0))/SUMPRODUCT(($I$17:$I$266=$K$38)*ISNUMBER($D$17:$D$266))),IFERROR(LOOKUP(2,1/(($I$17:$I$266=$K$38)*ISNUMBER($D$17:$D$266)),$D$17:$D$266),NA()))</f>
        <v>#N/A</v>
      </c>
      <c r="M38" s="20" t="e">
        <f aca="false">IFERROR(L38/L34-1,NA())</f>
        <v>#N/A</v>
      </c>
      <c r="P38" s="22" t="n">
        <v>2021</v>
      </c>
      <c r="Q38" s="23" t="e">
        <f aca="false">CHOOSE(MATCH($B$10,{"Sum","Average","End of Period"},0),IF(SUMPRODUCT(($C$17:$C$266=$P$38)*ISNUMBER($D$17:$D$266))=0,NA(),SUMPRODUCT(($C$17:$C$266=$P$38)*IFERROR($D$17:$D$266,0))),IF(SUMPRODUCT(($C$17:$C$266=$P$38)*ISNUMBER($D$17:$D$266))=0,NA(),SUMPRODUCT(($C$17:$C$266=$P$38)*IFERROR($D$17:$D$266,0))/SUMPRODUCT(($C$17:$C$266=$P$38)*ISNUMBER($D$17:$D$266))),IFERROR(LOOKUP(2,1/(($C$17:$C$266=$P$38)*ISNUMBER($D$17:$D$266)),$D$17:$D$266),NA()))</f>
        <v>#N/A</v>
      </c>
      <c r="R38" s="20" t="e">
        <f aca="false">IFERROR(Q38/Q37-1,NA())</f>
        <v>#N/A</v>
      </c>
    </row>
    <row r="39" customFormat="false" ht="15" hidden="false" customHeight="false" outlineLevel="0" collapsed="false">
      <c r="A39" s="27"/>
      <c r="B39" s="28" t="e">
        <f aca="false">IFERROR(IF(ISNUMBER(A39),TEXT(YEAR(A39)-2000,"00")&amp;TEXT(MONTH(A39),"00"),NA()),NA())</f>
        <v>#N/A</v>
      </c>
      <c r="C39" s="18" t="n">
        <f aca="false">IFERROR(YEAR(A39),0)</f>
        <v>1899</v>
      </c>
      <c r="D39" s="32"/>
      <c r="E39" s="20" t="e">
        <f aca="false">IFERROR(D39/D38-1,NA())</f>
        <v>#N/A</v>
      </c>
      <c r="F39" s="20" t="e">
        <f aca="false">IFERROR(D39/D27-1,NA())</f>
        <v>#N/A</v>
      </c>
      <c r="G39" s="21" t="e">
        <f aca="false">IF(COUNT(D37:D39)=3,AVERAGE(D37:D39),NA())</f>
        <v>#N/A</v>
      </c>
      <c r="H39" s="20" t="e">
        <f aca="false">IFERROR(IF(AND(COUNT(D37:D39)=3,COUNT(D25:D27)=3),AVERAGE(D37:D39)/AVERAGE(D25:D27)-1,NA()),NA())</f>
        <v>#N/A</v>
      </c>
      <c r="I39" s="28" t="str">
        <f aca="false">IFERROR(YEAR(A39)&amp;"Q"&amp;CEILING(MONTH(A39)/3,1),"")</f>
        <v>1899Q4</v>
      </c>
      <c r="K39" s="28" t="s">
        <v>409</v>
      </c>
      <c r="L39" s="23" t="e">
        <f aca="false">CHOOSE(MATCH($B$11,{"Sum","Average","End of Period"},0),IF(SUMPRODUCT(($I$17:$I$266=$K$39)*ISNUMBER($D$17:$D$266))=0,NA(),SUMPRODUCT(($I$17:$I$266=$K$39)*IFERROR($D$17:$D$266,0))),IF(SUMPRODUCT(($I$17:$I$266=$K$39)*ISNUMBER($D$17:$D$266))=0,NA(),SUMPRODUCT(($I$17:$I$266=$K$39)*IFERROR($D$17:$D$266,0))/SUMPRODUCT(($I$17:$I$266=$K$39)*ISNUMBER($D$17:$D$266))),IFERROR(LOOKUP(2,1/(($I$17:$I$266=$K$39)*ISNUMBER($D$17:$D$266)),$D$17:$D$266),NA()))</f>
        <v>#N/A</v>
      </c>
      <c r="M39" s="20" t="e">
        <f aca="false">IFERROR(L39/L35-1,NA())</f>
        <v>#N/A</v>
      </c>
      <c r="P39" s="22" t="n">
        <v>2022</v>
      </c>
      <c r="Q39" s="23" t="e">
        <f aca="false">CHOOSE(MATCH($B$10,{"Sum","Average","End of Period"},0),IF(SUMPRODUCT(($C$17:$C$266=$P$39)*ISNUMBER($D$17:$D$266))=0,NA(),SUMPRODUCT(($C$17:$C$266=$P$39)*IFERROR($D$17:$D$266,0))),IF(SUMPRODUCT(($C$17:$C$266=$P$39)*ISNUMBER($D$17:$D$266))=0,NA(),SUMPRODUCT(($C$17:$C$266=$P$39)*IFERROR($D$17:$D$266,0))/SUMPRODUCT(($C$17:$C$266=$P$39)*ISNUMBER($D$17:$D$266))),IFERROR(LOOKUP(2,1/(($C$17:$C$266=$P$39)*ISNUMBER($D$17:$D$266)),$D$17:$D$266),NA()))</f>
        <v>#N/A</v>
      </c>
      <c r="R39" s="20" t="e">
        <f aca="false">IFERROR(Q39/Q38-1,NA())</f>
        <v>#N/A</v>
      </c>
    </row>
    <row r="40" customFormat="false" ht="15" hidden="false" customHeight="false" outlineLevel="0" collapsed="false">
      <c r="A40" s="27"/>
      <c r="B40" s="28" t="e">
        <f aca="false">IFERROR(IF(ISNUMBER(A40),TEXT(YEAR(A40)-2000,"00")&amp;TEXT(MONTH(A40),"00"),NA()),NA())</f>
        <v>#N/A</v>
      </c>
      <c r="C40" s="18" t="n">
        <f aca="false">IFERROR(YEAR(A40),0)</f>
        <v>1899</v>
      </c>
      <c r="D40" s="32"/>
      <c r="E40" s="20" t="e">
        <f aca="false">IFERROR(D40/D39-1,NA())</f>
        <v>#N/A</v>
      </c>
      <c r="F40" s="20" t="e">
        <f aca="false">IFERROR(D40/D28-1,NA())</f>
        <v>#N/A</v>
      </c>
      <c r="G40" s="21" t="e">
        <f aca="false">IF(COUNT(D38:D40)=3,AVERAGE(D38:D40),NA())</f>
        <v>#N/A</v>
      </c>
      <c r="H40" s="20" t="e">
        <f aca="false">IFERROR(IF(AND(COUNT(D38:D40)=3,COUNT(D26:D28)=3),AVERAGE(D38:D40)/AVERAGE(D26:D28)-1,NA()),NA())</f>
        <v>#N/A</v>
      </c>
      <c r="I40" s="28" t="str">
        <f aca="false">IFERROR(YEAR(A40)&amp;"Q"&amp;CEILING(MONTH(A40)/3,1),"")</f>
        <v>1899Q4</v>
      </c>
      <c r="K40" s="28" t="s">
        <v>410</v>
      </c>
      <c r="L40" s="23" t="e">
        <f aca="false">CHOOSE(MATCH($B$11,{"Sum","Average","End of Period"},0),IF(SUMPRODUCT(($I$17:$I$266=$K$40)*ISNUMBER($D$17:$D$266))=0,NA(),SUMPRODUCT(($I$17:$I$266=$K$40)*IFERROR($D$17:$D$266,0))),IF(SUMPRODUCT(($I$17:$I$266=$K$40)*ISNUMBER($D$17:$D$266))=0,NA(),SUMPRODUCT(($I$17:$I$266=$K$40)*IFERROR($D$17:$D$266,0))/SUMPRODUCT(($I$17:$I$266=$K$40)*ISNUMBER($D$17:$D$266))),IFERROR(LOOKUP(2,1/(($I$17:$I$266=$K$40)*ISNUMBER($D$17:$D$266)),$D$17:$D$266),NA()))</f>
        <v>#N/A</v>
      </c>
      <c r="M40" s="20" t="e">
        <f aca="false">IFERROR(L40/L36-1,NA())</f>
        <v>#N/A</v>
      </c>
      <c r="P40" s="22" t="n">
        <v>2023</v>
      </c>
      <c r="Q40" s="23" t="e">
        <f aca="false">CHOOSE(MATCH($B$10,{"Sum","Average","End of Period"},0),IF(SUMPRODUCT(($C$17:$C$266=$P$40)*ISNUMBER($D$17:$D$266))=0,NA(),SUMPRODUCT(($C$17:$C$266=$P$40)*IFERROR($D$17:$D$266,0))),IF(SUMPRODUCT(($C$17:$C$266=$P$40)*ISNUMBER($D$17:$D$266))=0,NA(),SUMPRODUCT(($C$17:$C$266=$P$40)*IFERROR($D$17:$D$266,0))/SUMPRODUCT(($C$17:$C$266=$P$40)*ISNUMBER($D$17:$D$266))),IFERROR(LOOKUP(2,1/(($C$17:$C$266=$P$40)*ISNUMBER($D$17:$D$266)),$D$17:$D$266),NA()))</f>
        <v>#N/A</v>
      </c>
      <c r="R40" s="20" t="e">
        <f aca="false">IFERROR(Q40/Q39-1,NA())</f>
        <v>#N/A</v>
      </c>
    </row>
    <row r="41" customFormat="false" ht="15" hidden="false" customHeight="false" outlineLevel="0" collapsed="false">
      <c r="A41" s="27"/>
      <c r="B41" s="28" t="e">
        <f aca="false">IFERROR(IF(ISNUMBER(A41),TEXT(YEAR(A41)-2000,"00")&amp;TEXT(MONTH(A41),"00"),NA()),NA())</f>
        <v>#N/A</v>
      </c>
      <c r="C41" s="18" t="n">
        <f aca="false">IFERROR(YEAR(A41),0)</f>
        <v>1899</v>
      </c>
      <c r="D41" s="32"/>
      <c r="E41" s="20" t="e">
        <f aca="false">IFERROR(D41/D40-1,NA())</f>
        <v>#N/A</v>
      </c>
      <c r="F41" s="20" t="e">
        <f aca="false">IFERROR(D41/D29-1,NA())</f>
        <v>#N/A</v>
      </c>
      <c r="G41" s="21" t="e">
        <f aca="false">IF(COUNT(D39:D41)=3,AVERAGE(D39:D41),NA())</f>
        <v>#N/A</v>
      </c>
      <c r="H41" s="20" t="e">
        <f aca="false">IFERROR(IF(AND(COUNT(D39:D41)=3,COUNT(D27:D29)=3),AVERAGE(D39:D41)/AVERAGE(D27:D29)-1,NA()),NA())</f>
        <v>#N/A</v>
      </c>
      <c r="I41" s="28" t="str">
        <f aca="false">IFERROR(YEAR(A41)&amp;"Q"&amp;CEILING(MONTH(A41)/3,1),"")</f>
        <v>1899Q4</v>
      </c>
      <c r="K41" s="28" t="s">
        <v>411</v>
      </c>
      <c r="L41" s="23" t="e">
        <f aca="false">CHOOSE(MATCH($B$11,{"Sum","Average","End of Period"},0),IF(SUMPRODUCT(($I$17:$I$266=$K$41)*ISNUMBER($D$17:$D$266))=0,NA(),SUMPRODUCT(($I$17:$I$266=$K$41)*IFERROR($D$17:$D$266,0))),IF(SUMPRODUCT(($I$17:$I$266=$K$41)*ISNUMBER($D$17:$D$266))=0,NA(),SUMPRODUCT(($I$17:$I$266=$K$41)*IFERROR($D$17:$D$266,0))/SUMPRODUCT(($I$17:$I$266=$K$41)*ISNUMBER($D$17:$D$266))),IFERROR(LOOKUP(2,1/(($I$17:$I$266=$K$41)*ISNUMBER($D$17:$D$266)),$D$17:$D$266),NA()))</f>
        <v>#N/A</v>
      </c>
      <c r="M41" s="20" t="e">
        <f aca="false">IFERROR(L41/L37-1,NA())</f>
        <v>#N/A</v>
      </c>
      <c r="P41" s="22" t="n">
        <v>2024</v>
      </c>
      <c r="Q41" s="23" t="e">
        <f aca="false">CHOOSE(MATCH($B$10,{"Sum","Average","End of Period"},0),IF(SUMPRODUCT(($C$17:$C$266=$P$41)*ISNUMBER($D$17:$D$266))=0,NA(),SUMPRODUCT(($C$17:$C$266=$P$41)*IFERROR($D$17:$D$266,0))),IF(SUMPRODUCT(($C$17:$C$266=$P$41)*ISNUMBER($D$17:$D$266))=0,NA(),SUMPRODUCT(($C$17:$C$266=$P$41)*IFERROR($D$17:$D$266,0))/SUMPRODUCT(($C$17:$C$266=$P$41)*ISNUMBER($D$17:$D$266))),IFERROR(LOOKUP(2,1/(($C$17:$C$266=$P$41)*ISNUMBER($D$17:$D$266)),$D$17:$D$266),NA()))</f>
        <v>#N/A</v>
      </c>
      <c r="R41" s="20" t="e">
        <f aca="false">IFERROR(Q41/Q40-1,NA())</f>
        <v>#N/A</v>
      </c>
    </row>
    <row r="42" customFormat="false" ht="15" hidden="false" customHeight="false" outlineLevel="0" collapsed="false">
      <c r="A42" s="27"/>
      <c r="B42" s="28" t="e">
        <f aca="false">IFERROR(IF(ISNUMBER(A42),TEXT(YEAR(A42)-2000,"00")&amp;TEXT(MONTH(A42),"00"),NA()),NA())</f>
        <v>#N/A</v>
      </c>
      <c r="C42" s="18" t="n">
        <f aca="false">IFERROR(YEAR(A42),0)</f>
        <v>1899</v>
      </c>
      <c r="D42" s="32"/>
      <c r="E42" s="20" t="e">
        <f aca="false">IFERROR(D42/D41-1,NA())</f>
        <v>#N/A</v>
      </c>
      <c r="F42" s="20" t="e">
        <f aca="false">IFERROR(D42/D30-1,NA())</f>
        <v>#N/A</v>
      </c>
      <c r="G42" s="21" t="e">
        <f aca="false">IF(COUNT(D40:D42)=3,AVERAGE(D40:D42),NA())</f>
        <v>#N/A</v>
      </c>
      <c r="H42" s="20" t="e">
        <f aca="false">IFERROR(IF(AND(COUNT(D40:D42)=3,COUNT(D28:D30)=3),AVERAGE(D40:D42)/AVERAGE(D28:D30)-1,NA()),NA())</f>
        <v>#N/A</v>
      </c>
      <c r="I42" s="28" t="str">
        <f aca="false">IFERROR(YEAR(A42)&amp;"Q"&amp;CEILING(MONTH(A42)/3,1),"")</f>
        <v>1899Q4</v>
      </c>
      <c r="K42" s="28" t="s">
        <v>412</v>
      </c>
      <c r="L42" s="23" t="e">
        <f aca="false">CHOOSE(MATCH($B$11,{"Sum","Average","End of Period"},0),IF(SUMPRODUCT(($I$17:$I$266=$K$42)*ISNUMBER($D$17:$D$266))=0,NA(),SUMPRODUCT(($I$17:$I$266=$K$42)*IFERROR($D$17:$D$266,0))),IF(SUMPRODUCT(($I$17:$I$266=$K$42)*ISNUMBER($D$17:$D$266))=0,NA(),SUMPRODUCT(($I$17:$I$266=$K$42)*IFERROR($D$17:$D$266,0))/SUMPRODUCT(($I$17:$I$266=$K$42)*ISNUMBER($D$17:$D$266))),IFERROR(LOOKUP(2,1/(($I$17:$I$266=$K$42)*ISNUMBER($D$17:$D$266)),$D$17:$D$266),NA()))</f>
        <v>#N/A</v>
      </c>
      <c r="M42" s="20" t="e">
        <f aca="false">IFERROR(L42/L38-1,NA())</f>
        <v>#N/A</v>
      </c>
      <c r="P42" s="22" t="n">
        <v>2025</v>
      </c>
      <c r="Q42" s="23" t="e">
        <f aca="false">CHOOSE(MATCH($B$10,{"Sum","Average","End of Period"},0),IF(SUMPRODUCT(($C$17:$C$266=$P$42)*ISNUMBER($D$17:$D$266))=0,NA(),SUMPRODUCT(($C$17:$C$266=$P$42)*IFERROR($D$17:$D$266,0))),IF(SUMPRODUCT(($C$17:$C$266=$P$42)*ISNUMBER($D$17:$D$266))=0,NA(),SUMPRODUCT(($C$17:$C$266=$P$42)*IFERROR($D$17:$D$266,0))/SUMPRODUCT(($C$17:$C$266=$P$42)*ISNUMBER($D$17:$D$266))),IFERROR(LOOKUP(2,1/(($C$17:$C$266=$P$42)*ISNUMBER($D$17:$D$266)),$D$17:$D$266),NA()))</f>
        <v>#N/A</v>
      </c>
      <c r="R42" s="20" t="e">
        <f aca="false">IFERROR(Q42/Q41-1,NA())</f>
        <v>#N/A</v>
      </c>
    </row>
    <row r="43" customFormat="false" ht="15" hidden="false" customHeight="false" outlineLevel="0" collapsed="false">
      <c r="A43" s="27"/>
      <c r="B43" s="28" t="e">
        <f aca="false">IFERROR(IF(ISNUMBER(A43),TEXT(YEAR(A43)-2000,"00")&amp;TEXT(MONTH(A43),"00"),NA()),NA())</f>
        <v>#N/A</v>
      </c>
      <c r="C43" s="18" t="n">
        <f aca="false">IFERROR(YEAR(A43),0)</f>
        <v>1899</v>
      </c>
      <c r="D43" s="32"/>
      <c r="E43" s="20" t="e">
        <f aca="false">IFERROR(D43/D42-1,NA())</f>
        <v>#N/A</v>
      </c>
      <c r="F43" s="20" t="e">
        <f aca="false">IFERROR(D43/D31-1,NA())</f>
        <v>#N/A</v>
      </c>
      <c r="G43" s="21" t="e">
        <f aca="false">IF(COUNT(D41:D43)=3,AVERAGE(D41:D43),NA())</f>
        <v>#N/A</v>
      </c>
      <c r="H43" s="20" t="e">
        <f aca="false">IFERROR(IF(AND(COUNT(D41:D43)=3,COUNT(D29:D31)=3),AVERAGE(D41:D43)/AVERAGE(D29:D31)-1,NA()),NA())</f>
        <v>#N/A</v>
      </c>
      <c r="I43" s="28" t="str">
        <f aca="false">IFERROR(YEAR(A43)&amp;"Q"&amp;CEILING(MONTH(A43)/3,1),"")</f>
        <v>1899Q4</v>
      </c>
      <c r="K43" s="28" t="s">
        <v>413</v>
      </c>
      <c r="L43" s="23" t="e">
        <f aca="false">CHOOSE(MATCH($B$11,{"Sum","Average","End of Period"},0),IF(SUMPRODUCT(($I$17:$I$266=$K$43)*ISNUMBER($D$17:$D$266))=0,NA(),SUMPRODUCT(($I$17:$I$266=$K$43)*IFERROR($D$17:$D$266,0))),IF(SUMPRODUCT(($I$17:$I$266=$K$43)*ISNUMBER($D$17:$D$266))=0,NA(),SUMPRODUCT(($I$17:$I$266=$K$43)*IFERROR($D$17:$D$266,0))/SUMPRODUCT(($I$17:$I$266=$K$43)*ISNUMBER($D$17:$D$266))),IFERROR(LOOKUP(2,1/(($I$17:$I$266=$K$43)*ISNUMBER($D$17:$D$266)),$D$17:$D$266),NA()))</f>
        <v>#N/A</v>
      </c>
      <c r="M43" s="20" t="e">
        <f aca="false">IFERROR(L43/L39-1,NA())</f>
        <v>#N/A</v>
      </c>
      <c r="P43" s="22" t="n">
        <v>2026</v>
      </c>
      <c r="Q43" s="23" t="e">
        <f aca="false">CHOOSE(MATCH($B$10,{"Sum","Average","End of Period"},0),IF(SUMPRODUCT(($C$17:$C$266=$P$43)*ISNUMBER($D$17:$D$266))=0,NA(),SUMPRODUCT(($C$17:$C$266=$P$43)*IFERROR($D$17:$D$266,0))),IF(SUMPRODUCT(($C$17:$C$266=$P$43)*ISNUMBER($D$17:$D$266))=0,NA(),SUMPRODUCT(($C$17:$C$266=$P$43)*IFERROR($D$17:$D$266,0))/SUMPRODUCT(($C$17:$C$266=$P$43)*ISNUMBER($D$17:$D$266))),IFERROR(LOOKUP(2,1/(($C$17:$C$266=$P$43)*ISNUMBER($D$17:$D$266)),$D$17:$D$266),NA()))</f>
        <v>#N/A</v>
      </c>
      <c r="R43" s="20" t="e">
        <f aca="false">IFERROR(Q43/Q42-1,NA())</f>
        <v>#N/A</v>
      </c>
    </row>
    <row r="44" customFormat="false" ht="15" hidden="false" customHeight="false" outlineLevel="0" collapsed="false">
      <c r="A44" s="27"/>
      <c r="B44" s="28" t="e">
        <f aca="false">IFERROR(IF(ISNUMBER(A44),TEXT(YEAR(A44)-2000,"00")&amp;TEXT(MONTH(A44),"00"),NA()),NA())</f>
        <v>#N/A</v>
      </c>
      <c r="C44" s="18" t="n">
        <f aca="false">IFERROR(YEAR(A44),0)</f>
        <v>1899</v>
      </c>
      <c r="D44" s="32"/>
      <c r="E44" s="20" t="e">
        <f aca="false">IFERROR(D44/D43-1,NA())</f>
        <v>#N/A</v>
      </c>
      <c r="F44" s="20" t="e">
        <f aca="false">IFERROR(D44/D32-1,NA())</f>
        <v>#N/A</v>
      </c>
      <c r="G44" s="21" t="e">
        <f aca="false">IF(COUNT(D42:D44)=3,AVERAGE(D42:D44),NA())</f>
        <v>#N/A</v>
      </c>
      <c r="H44" s="20" t="e">
        <f aca="false">IFERROR(IF(AND(COUNT(D42:D44)=3,COUNT(D30:D32)=3),AVERAGE(D42:D44)/AVERAGE(D30:D32)-1,NA()),NA())</f>
        <v>#N/A</v>
      </c>
      <c r="I44" s="28" t="str">
        <f aca="false">IFERROR(YEAR(A44)&amp;"Q"&amp;CEILING(MONTH(A44)/3,1),"")</f>
        <v>1899Q4</v>
      </c>
      <c r="K44" s="28" t="s">
        <v>414</v>
      </c>
      <c r="L44" s="23" t="e">
        <f aca="false">CHOOSE(MATCH($B$11,{"Sum","Average","End of Period"},0),IF(SUMPRODUCT(($I$17:$I$266=$K$44)*ISNUMBER($D$17:$D$266))=0,NA(),SUMPRODUCT(($I$17:$I$266=$K$44)*IFERROR($D$17:$D$266,0))),IF(SUMPRODUCT(($I$17:$I$266=$K$44)*ISNUMBER($D$17:$D$266))=0,NA(),SUMPRODUCT(($I$17:$I$266=$K$44)*IFERROR($D$17:$D$266,0))/SUMPRODUCT(($I$17:$I$266=$K$44)*ISNUMBER($D$17:$D$266))),IFERROR(LOOKUP(2,1/(($I$17:$I$266=$K$44)*ISNUMBER($D$17:$D$266)),$D$17:$D$266),NA()))</f>
        <v>#N/A</v>
      </c>
      <c r="M44" s="20" t="e">
        <f aca="false">IFERROR(L44/L40-1,NA())</f>
        <v>#N/A</v>
      </c>
      <c r="P44" s="22" t="n">
        <v>2027</v>
      </c>
      <c r="Q44" s="23" t="e">
        <f aca="false">CHOOSE(MATCH($B$10,{"Sum","Average","End of Period"},0),IF(SUMPRODUCT(($C$17:$C$266=$P$44)*ISNUMBER($D$17:$D$266))=0,NA(),SUMPRODUCT(($C$17:$C$266=$P$44)*IFERROR($D$17:$D$266,0))),IF(SUMPRODUCT(($C$17:$C$266=$P$44)*ISNUMBER($D$17:$D$266))=0,NA(),SUMPRODUCT(($C$17:$C$266=$P$44)*IFERROR($D$17:$D$266,0))/SUMPRODUCT(($C$17:$C$266=$P$44)*ISNUMBER($D$17:$D$266))),IFERROR(LOOKUP(2,1/(($C$17:$C$266=$P$44)*ISNUMBER($D$17:$D$266)),$D$17:$D$266),NA()))</f>
        <v>#N/A</v>
      </c>
      <c r="R44" s="20" t="e">
        <f aca="false">IFERROR(Q44/Q43-1,NA())</f>
        <v>#N/A</v>
      </c>
    </row>
    <row r="45" customFormat="false" ht="15" hidden="false" customHeight="false" outlineLevel="0" collapsed="false">
      <c r="A45" s="27"/>
      <c r="B45" s="28" t="e">
        <f aca="false">IFERROR(IF(ISNUMBER(A45),TEXT(YEAR(A45)-2000,"00")&amp;TEXT(MONTH(A45),"00"),NA()),NA())</f>
        <v>#N/A</v>
      </c>
      <c r="C45" s="18" t="n">
        <f aca="false">IFERROR(YEAR(A45),0)</f>
        <v>1899</v>
      </c>
      <c r="D45" s="32"/>
      <c r="E45" s="20" t="e">
        <f aca="false">IFERROR(D45/D44-1,NA())</f>
        <v>#N/A</v>
      </c>
      <c r="F45" s="20" t="e">
        <f aca="false">IFERROR(D45/D33-1,NA())</f>
        <v>#N/A</v>
      </c>
      <c r="G45" s="21" t="e">
        <f aca="false">IF(COUNT(D43:D45)=3,AVERAGE(D43:D45),NA())</f>
        <v>#N/A</v>
      </c>
      <c r="H45" s="20" t="e">
        <f aca="false">IFERROR(IF(AND(COUNT(D43:D45)=3,COUNT(D31:D33)=3),AVERAGE(D43:D45)/AVERAGE(D31:D33)-1,NA()),NA())</f>
        <v>#N/A</v>
      </c>
      <c r="I45" s="28" t="str">
        <f aca="false">IFERROR(YEAR(A45)&amp;"Q"&amp;CEILING(MONTH(A45)/3,1),"")</f>
        <v>1899Q4</v>
      </c>
      <c r="K45" s="28" t="s">
        <v>415</v>
      </c>
      <c r="L45" s="23" t="e">
        <f aca="false">CHOOSE(MATCH($B$11,{"Sum","Average","End of Period"},0),IF(SUMPRODUCT(($I$17:$I$266=$K$45)*ISNUMBER($D$17:$D$266))=0,NA(),SUMPRODUCT(($I$17:$I$266=$K$45)*IFERROR($D$17:$D$266,0))),IF(SUMPRODUCT(($I$17:$I$266=$K$45)*ISNUMBER($D$17:$D$266))=0,NA(),SUMPRODUCT(($I$17:$I$266=$K$45)*IFERROR($D$17:$D$266,0))/SUMPRODUCT(($I$17:$I$266=$K$45)*ISNUMBER($D$17:$D$266))),IFERROR(LOOKUP(2,1/(($I$17:$I$266=$K$45)*ISNUMBER($D$17:$D$266)),$D$17:$D$266),NA()))</f>
        <v>#N/A</v>
      </c>
      <c r="M45" s="20" t="e">
        <f aca="false">IFERROR(L45/L41-1,NA())</f>
        <v>#N/A</v>
      </c>
      <c r="P45" s="22" t="n">
        <v>2028</v>
      </c>
      <c r="Q45" s="23" t="e">
        <f aca="false">CHOOSE(MATCH($B$10,{"Sum","Average","End of Period"},0),IF(SUMPRODUCT(($C$17:$C$266=$P$45)*ISNUMBER($D$17:$D$266))=0,NA(),SUMPRODUCT(($C$17:$C$266=$P$45)*IFERROR($D$17:$D$266,0))),IF(SUMPRODUCT(($C$17:$C$266=$P$45)*ISNUMBER($D$17:$D$266))=0,NA(),SUMPRODUCT(($C$17:$C$266=$P$45)*IFERROR($D$17:$D$266,0))/SUMPRODUCT(($C$17:$C$266=$P$45)*ISNUMBER($D$17:$D$266))),IFERROR(LOOKUP(2,1/(($C$17:$C$266=$P$45)*ISNUMBER($D$17:$D$266)),$D$17:$D$266),NA()))</f>
        <v>#N/A</v>
      </c>
      <c r="R45" s="20" t="e">
        <f aca="false">IFERROR(Q45/Q44-1,NA())</f>
        <v>#N/A</v>
      </c>
    </row>
    <row r="46" customFormat="false" ht="15" hidden="false" customHeight="false" outlineLevel="0" collapsed="false">
      <c r="A46" s="27"/>
      <c r="B46" s="28" t="e">
        <f aca="false">IFERROR(IF(ISNUMBER(A46),TEXT(YEAR(A46)-2000,"00")&amp;TEXT(MONTH(A46),"00"),NA()),NA())</f>
        <v>#N/A</v>
      </c>
      <c r="C46" s="18" t="n">
        <f aca="false">IFERROR(YEAR(A46),0)</f>
        <v>1899</v>
      </c>
      <c r="D46" s="32"/>
      <c r="E46" s="20" t="e">
        <f aca="false">IFERROR(D46/D45-1,NA())</f>
        <v>#N/A</v>
      </c>
      <c r="F46" s="20" t="e">
        <f aca="false">IFERROR(D46/D34-1,NA())</f>
        <v>#N/A</v>
      </c>
      <c r="G46" s="21" t="e">
        <f aca="false">IF(COUNT(D44:D46)=3,AVERAGE(D44:D46),NA())</f>
        <v>#N/A</v>
      </c>
      <c r="H46" s="20" t="e">
        <f aca="false">IFERROR(IF(AND(COUNT(D44:D46)=3,COUNT(D32:D34)=3),AVERAGE(D44:D46)/AVERAGE(D32:D34)-1,NA()),NA())</f>
        <v>#N/A</v>
      </c>
      <c r="I46" s="28" t="str">
        <f aca="false">IFERROR(YEAR(A46)&amp;"Q"&amp;CEILING(MONTH(A46)/3,1),"")</f>
        <v>1899Q4</v>
      </c>
      <c r="K46" s="28" t="s">
        <v>416</v>
      </c>
      <c r="L46" s="23" t="e">
        <f aca="false">CHOOSE(MATCH($B$11,{"Sum","Average","End of Period"},0),IF(SUMPRODUCT(($I$17:$I$266=$K$46)*ISNUMBER($D$17:$D$266))=0,NA(),SUMPRODUCT(($I$17:$I$266=$K$46)*IFERROR($D$17:$D$266,0))),IF(SUMPRODUCT(($I$17:$I$266=$K$46)*ISNUMBER($D$17:$D$266))=0,NA(),SUMPRODUCT(($I$17:$I$266=$K$46)*IFERROR($D$17:$D$266,0))/SUMPRODUCT(($I$17:$I$266=$K$46)*ISNUMBER($D$17:$D$266))),IFERROR(LOOKUP(2,1/(($I$17:$I$266=$K$46)*ISNUMBER($D$17:$D$266)),$D$17:$D$266),NA()))</f>
        <v>#N/A</v>
      </c>
      <c r="M46" s="20" t="e">
        <f aca="false">IFERROR(L46/L42-1,NA())</f>
        <v>#N/A</v>
      </c>
      <c r="P46" s="22" t="n">
        <v>2029</v>
      </c>
      <c r="Q46" s="23" t="e">
        <f aca="false">CHOOSE(MATCH($B$10,{"Sum","Average","End of Period"},0),IF(SUMPRODUCT(($C$17:$C$266=$P$46)*ISNUMBER($D$17:$D$266))=0,NA(),SUMPRODUCT(($C$17:$C$266=$P$46)*IFERROR($D$17:$D$266,0))),IF(SUMPRODUCT(($C$17:$C$266=$P$46)*ISNUMBER($D$17:$D$266))=0,NA(),SUMPRODUCT(($C$17:$C$266=$P$46)*IFERROR($D$17:$D$266,0))/SUMPRODUCT(($C$17:$C$266=$P$46)*ISNUMBER($D$17:$D$266))),IFERROR(LOOKUP(2,1/(($C$17:$C$266=$P$46)*ISNUMBER($D$17:$D$266)),$D$17:$D$266),NA()))</f>
        <v>#N/A</v>
      </c>
      <c r="R46" s="20" t="e">
        <f aca="false">IFERROR(Q46/Q45-1,NA())</f>
        <v>#N/A</v>
      </c>
    </row>
    <row r="47" customFormat="false" ht="15" hidden="false" customHeight="false" outlineLevel="0" collapsed="false">
      <c r="A47" s="27"/>
      <c r="B47" s="28" t="e">
        <f aca="false">IFERROR(IF(ISNUMBER(A47),TEXT(YEAR(A47)-2000,"00")&amp;TEXT(MONTH(A47),"00"),NA()),NA())</f>
        <v>#N/A</v>
      </c>
      <c r="C47" s="18" t="n">
        <f aca="false">IFERROR(YEAR(A47),0)</f>
        <v>1899</v>
      </c>
      <c r="D47" s="32"/>
      <c r="E47" s="20" t="e">
        <f aca="false">IFERROR(D47/D46-1,NA())</f>
        <v>#N/A</v>
      </c>
      <c r="F47" s="20" t="e">
        <f aca="false">IFERROR(D47/D35-1,NA())</f>
        <v>#N/A</v>
      </c>
      <c r="G47" s="21" t="e">
        <f aca="false">IF(COUNT(D45:D47)=3,AVERAGE(D45:D47),NA())</f>
        <v>#N/A</v>
      </c>
      <c r="H47" s="20" t="e">
        <f aca="false">IFERROR(IF(AND(COUNT(D45:D47)=3,COUNT(D33:D35)=3),AVERAGE(D45:D47)/AVERAGE(D33:D35)-1,NA()),NA())</f>
        <v>#N/A</v>
      </c>
      <c r="I47" s="28" t="str">
        <f aca="false">IFERROR(YEAR(A47)&amp;"Q"&amp;CEILING(MONTH(A47)/3,1),"")</f>
        <v>1899Q4</v>
      </c>
      <c r="K47" s="28" t="s">
        <v>417</v>
      </c>
      <c r="L47" s="23" t="e">
        <f aca="false">CHOOSE(MATCH($B$11,{"Sum","Average","End of Period"},0),IF(SUMPRODUCT(($I$17:$I$266=$K$47)*ISNUMBER($D$17:$D$266))=0,NA(),SUMPRODUCT(($I$17:$I$266=$K$47)*IFERROR($D$17:$D$266,0))),IF(SUMPRODUCT(($I$17:$I$266=$K$47)*ISNUMBER($D$17:$D$266))=0,NA(),SUMPRODUCT(($I$17:$I$266=$K$47)*IFERROR($D$17:$D$266,0))/SUMPRODUCT(($I$17:$I$266=$K$47)*ISNUMBER($D$17:$D$266))),IFERROR(LOOKUP(2,1/(($I$17:$I$266=$K$47)*ISNUMBER($D$17:$D$266)),$D$17:$D$266),NA()))</f>
        <v>#N/A</v>
      </c>
      <c r="M47" s="20" t="e">
        <f aca="false">IFERROR(L47/L43-1,NA())</f>
        <v>#N/A</v>
      </c>
      <c r="P47" s="22" t="n">
        <v>2030</v>
      </c>
      <c r="Q47" s="23" t="e">
        <f aca="false">CHOOSE(MATCH($B$10,{"Sum","Average","End of Period"},0),IF(SUMPRODUCT(($C$17:$C$266=$P$47)*ISNUMBER($D$17:$D$266))=0,NA(),SUMPRODUCT(($C$17:$C$266=$P$47)*IFERROR($D$17:$D$266,0))),IF(SUMPRODUCT(($C$17:$C$266=$P$47)*ISNUMBER($D$17:$D$266))=0,NA(),SUMPRODUCT(($C$17:$C$266=$P$47)*IFERROR($D$17:$D$266,0))/SUMPRODUCT(($C$17:$C$266=$P$47)*ISNUMBER($D$17:$D$266))),IFERROR(LOOKUP(2,1/(($C$17:$C$266=$P$47)*ISNUMBER($D$17:$D$266)),$D$17:$D$266),NA()))</f>
        <v>#N/A</v>
      </c>
      <c r="R47" s="20" t="e">
        <f aca="false">IFERROR(Q47/Q46-1,NA())</f>
        <v>#N/A</v>
      </c>
    </row>
    <row r="48" customFormat="false" ht="15" hidden="false" customHeight="false" outlineLevel="0" collapsed="false">
      <c r="A48" s="27"/>
      <c r="B48" s="28" t="e">
        <f aca="false">IFERROR(IF(ISNUMBER(A48),TEXT(YEAR(A48)-2000,"00")&amp;TEXT(MONTH(A48),"00"),NA()),NA())</f>
        <v>#N/A</v>
      </c>
      <c r="C48" s="18" t="n">
        <f aca="false">IFERROR(YEAR(A48),0)</f>
        <v>1899</v>
      </c>
      <c r="D48" s="32"/>
      <c r="E48" s="20" t="e">
        <f aca="false">IFERROR(D48/D47-1,NA())</f>
        <v>#N/A</v>
      </c>
      <c r="F48" s="20" t="e">
        <f aca="false">IFERROR(D48/D36-1,NA())</f>
        <v>#N/A</v>
      </c>
      <c r="G48" s="21" t="e">
        <f aca="false">IF(COUNT(D46:D48)=3,AVERAGE(D46:D48),NA())</f>
        <v>#N/A</v>
      </c>
      <c r="H48" s="20" t="e">
        <f aca="false">IFERROR(IF(AND(COUNT(D46:D48)=3,COUNT(D34:D36)=3),AVERAGE(D46:D48)/AVERAGE(D34:D36)-1,NA()),NA())</f>
        <v>#N/A</v>
      </c>
      <c r="I48" s="28" t="str">
        <f aca="false">IFERROR(YEAR(A48)&amp;"Q"&amp;CEILING(MONTH(A48)/3,1),"")</f>
        <v>1899Q4</v>
      </c>
      <c r="K48" s="28" t="s">
        <v>418</v>
      </c>
      <c r="L48" s="23" t="e">
        <f aca="false">CHOOSE(MATCH($B$11,{"Sum","Average","End of Period"},0),IF(SUMPRODUCT(($I$17:$I$266=$K$48)*ISNUMBER($D$17:$D$266))=0,NA(),SUMPRODUCT(($I$17:$I$266=$K$48)*IFERROR($D$17:$D$266,0))),IF(SUMPRODUCT(($I$17:$I$266=$K$48)*ISNUMBER($D$17:$D$266))=0,NA(),SUMPRODUCT(($I$17:$I$266=$K$48)*IFERROR($D$17:$D$266,0))/SUMPRODUCT(($I$17:$I$266=$K$48)*ISNUMBER($D$17:$D$266))),IFERROR(LOOKUP(2,1/(($I$17:$I$266=$K$48)*ISNUMBER($D$17:$D$266)),$D$17:$D$266),NA()))</f>
        <v>#N/A</v>
      </c>
      <c r="M48" s="20" t="e">
        <f aca="false">IFERROR(L48/L44-1,NA())</f>
        <v>#N/A</v>
      </c>
      <c r="P48" s="22" t="n">
        <v>2031</v>
      </c>
      <c r="Q48" s="23" t="e">
        <f aca="false">CHOOSE(MATCH($B$10,{"Sum","Average","End of Period"},0),IF(SUMPRODUCT(($C$17:$C$266=$P$48)*ISNUMBER($D$17:$D$266))=0,NA(),SUMPRODUCT(($C$17:$C$266=$P$48)*IFERROR($D$17:$D$266,0))),IF(SUMPRODUCT(($C$17:$C$266=$P$48)*ISNUMBER($D$17:$D$266))=0,NA(),SUMPRODUCT(($C$17:$C$266=$P$48)*IFERROR($D$17:$D$266,0))/SUMPRODUCT(($C$17:$C$266=$P$48)*ISNUMBER($D$17:$D$266))),IFERROR(LOOKUP(2,1/(($C$17:$C$266=$P$48)*ISNUMBER($D$17:$D$266)),$D$17:$D$266),NA()))</f>
        <v>#N/A</v>
      </c>
      <c r="R48" s="20" t="e">
        <f aca="false">IFERROR(Q48/Q47-1,NA())</f>
        <v>#N/A</v>
      </c>
    </row>
    <row r="49" customFormat="false" ht="15" hidden="false" customHeight="false" outlineLevel="0" collapsed="false">
      <c r="A49" s="27"/>
      <c r="B49" s="28" t="e">
        <f aca="false">IFERROR(IF(ISNUMBER(A49),TEXT(YEAR(A49)-2000,"00")&amp;TEXT(MONTH(A49),"00"),NA()),NA())</f>
        <v>#N/A</v>
      </c>
      <c r="C49" s="18" t="n">
        <f aca="false">IFERROR(YEAR(A49),0)</f>
        <v>1899</v>
      </c>
      <c r="D49" s="32"/>
      <c r="E49" s="20" t="e">
        <f aca="false">IFERROR(D49/D48-1,NA())</f>
        <v>#N/A</v>
      </c>
      <c r="F49" s="20" t="e">
        <f aca="false">IFERROR(D49/D37-1,NA())</f>
        <v>#N/A</v>
      </c>
      <c r="G49" s="21" t="e">
        <f aca="false">IF(COUNT(D47:D49)=3,AVERAGE(D47:D49),NA())</f>
        <v>#N/A</v>
      </c>
      <c r="H49" s="20" t="e">
        <f aca="false">IFERROR(IF(AND(COUNT(D47:D49)=3,COUNT(D35:D37)=3),AVERAGE(D47:D49)/AVERAGE(D35:D37)-1,NA()),NA())</f>
        <v>#N/A</v>
      </c>
      <c r="I49" s="28" t="str">
        <f aca="false">IFERROR(YEAR(A49)&amp;"Q"&amp;CEILING(MONTH(A49)/3,1),"")</f>
        <v>1899Q4</v>
      </c>
      <c r="K49" s="28" t="s">
        <v>419</v>
      </c>
      <c r="L49" s="23" t="e">
        <f aca="false">CHOOSE(MATCH($B$11,{"Sum","Average","End of Period"},0),IF(SUMPRODUCT(($I$17:$I$266=$K$49)*ISNUMBER($D$17:$D$266))=0,NA(),SUMPRODUCT(($I$17:$I$266=$K$49)*IFERROR($D$17:$D$266,0))),IF(SUMPRODUCT(($I$17:$I$266=$K$49)*ISNUMBER($D$17:$D$266))=0,NA(),SUMPRODUCT(($I$17:$I$266=$K$49)*IFERROR($D$17:$D$266,0))/SUMPRODUCT(($I$17:$I$266=$K$49)*ISNUMBER($D$17:$D$266))),IFERROR(LOOKUP(2,1/(($I$17:$I$266=$K$49)*ISNUMBER($D$17:$D$266)),$D$17:$D$266),NA()))</f>
        <v>#N/A</v>
      </c>
      <c r="M49" s="20" t="e">
        <f aca="false">IFERROR(L49/L45-1,NA())</f>
        <v>#N/A</v>
      </c>
      <c r="P49" s="22" t="n">
        <v>2032</v>
      </c>
      <c r="Q49" s="23" t="e">
        <f aca="false">CHOOSE(MATCH($B$10,{"Sum","Average","End of Period"},0),IF(SUMPRODUCT(($C$17:$C$266=$P$49)*ISNUMBER($D$17:$D$266))=0,NA(),SUMPRODUCT(($C$17:$C$266=$P$49)*IFERROR($D$17:$D$266,0))),IF(SUMPRODUCT(($C$17:$C$266=$P$49)*ISNUMBER($D$17:$D$266))=0,NA(),SUMPRODUCT(($C$17:$C$266=$P$49)*IFERROR($D$17:$D$266,0))/SUMPRODUCT(($C$17:$C$266=$P$49)*ISNUMBER($D$17:$D$266))),IFERROR(LOOKUP(2,1/(($C$17:$C$266=$P$49)*ISNUMBER($D$17:$D$266)),$D$17:$D$266),NA()))</f>
        <v>#N/A</v>
      </c>
      <c r="R49" s="20" t="e">
        <f aca="false">IFERROR(Q49/Q48-1,NA())</f>
        <v>#N/A</v>
      </c>
    </row>
    <row r="50" customFormat="false" ht="15" hidden="false" customHeight="false" outlineLevel="0" collapsed="false">
      <c r="A50" s="27"/>
      <c r="B50" s="28" t="e">
        <f aca="false">IFERROR(IF(ISNUMBER(A50),TEXT(YEAR(A50)-2000,"00")&amp;TEXT(MONTH(A50),"00"),NA()),NA())</f>
        <v>#N/A</v>
      </c>
      <c r="C50" s="18" t="n">
        <f aca="false">IFERROR(YEAR(A50),0)</f>
        <v>1899</v>
      </c>
      <c r="D50" s="32"/>
      <c r="E50" s="20" t="e">
        <f aca="false">IFERROR(D50/D49-1,NA())</f>
        <v>#N/A</v>
      </c>
      <c r="F50" s="20" t="e">
        <f aca="false">IFERROR(D50/D38-1,NA())</f>
        <v>#N/A</v>
      </c>
      <c r="G50" s="21" t="e">
        <f aca="false">IF(COUNT(D48:D50)=3,AVERAGE(D48:D50),NA())</f>
        <v>#N/A</v>
      </c>
      <c r="H50" s="20" t="e">
        <f aca="false">IFERROR(IF(AND(COUNT(D48:D50)=3,COUNT(D36:D38)=3),AVERAGE(D48:D50)/AVERAGE(D36:D38)-1,NA()),NA())</f>
        <v>#N/A</v>
      </c>
      <c r="I50" s="28" t="str">
        <f aca="false">IFERROR(YEAR(A50)&amp;"Q"&amp;CEILING(MONTH(A50)/3,1),"")</f>
        <v>1899Q4</v>
      </c>
      <c r="K50" s="28" t="s">
        <v>420</v>
      </c>
      <c r="L50" s="23" t="e">
        <f aca="false">CHOOSE(MATCH($B$11,{"Sum","Average","End of Period"},0),IF(SUMPRODUCT(($I$17:$I$266=$K$50)*ISNUMBER($D$17:$D$266))=0,NA(),SUMPRODUCT(($I$17:$I$266=$K$50)*IFERROR($D$17:$D$266,0))),IF(SUMPRODUCT(($I$17:$I$266=$K$50)*ISNUMBER($D$17:$D$266))=0,NA(),SUMPRODUCT(($I$17:$I$266=$K$50)*IFERROR($D$17:$D$266,0))/SUMPRODUCT(($I$17:$I$266=$K$50)*ISNUMBER($D$17:$D$266))),IFERROR(LOOKUP(2,1/(($I$17:$I$266=$K$50)*ISNUMBER($D$17:$D$266)),$D$17:$D$266),NA()))</f>
        <v>#N/A</v>
      </c>
      <c r="M50" s="20" t="e">
        <f aca="false">IFERROR(L50/L46-1,NA())</f>
        <v>#N/A</v>
      </c>
      <c r="P50" s="22" t="n">
        <v>2033</v>
      </c>
      <c r="Q50" s="23" t="e">
        <f aca="false">CHOOSE(MATCH($B$10,{"Sum","Average","End of Period"},0),IF(SUMPRODUCT(($C$17:$C$266=$P$50)*ISNUMBER($D$17:$D$266))=0,NA(),SUMPRODUCT(($C$17:$C$266=$P$50)*IFERROR($D$17:$D$266,0))),IF(SUMPRODUCT(($C$17:$C$266=$P$50)*ISNUMBER($D$17:$D$266))=0,NA(),SUMPRODUCT(($C$17:$C$266=$P$50)*IFERROR($D$17:$D$266,0))/SUMPRODUCT(($C$17:$C$266=$P$50)*ISNUMBER($D$17:$D$266))),IFERROR(LOOKUP(2,1/(($C$17:$C$266=$P$50)*ISNUMBER($D$17:$D$266)),$D$17:$D$266),NA()))</f>
        <v>#N/A</v>
      </c>
      <c r="R50" s="20" t="e">
        <f aca="false">IFERROR(Q50/Q49-1,NA())</f>
        <v>#N/A</v>
      </c>
    </row>
    <row r="51" customFormat="false" ht="15" hidden="false" customHeight="false" outlineLevel="0" collapsed="false">
      <c r="A51" s="27"/>
      <c r="B51" s="28" t="e">
        <f aca="false">IFERROR(IF(ISNUMBER(A51),TEXT(YEAR(A51)-2000,"00")&amp;TEXT(MONTH(A51),"00"),NA()),NA())</f>
        <v>#N/A</v>
      </c>
      <c r="C51" s="18" t="n">
        <f aca="false">IFERROR(YEAR(A51),0)</f>
        <v>1899</v>
      </c>
      <c r="D51" s="32"/>
      <c r="E51" s="20" t="e">
        <f aca="false">IFERROR(D51/D50-1,NA())</f>
        <v>#N/A</v>
      </c>
      <c r="F51" s="20" t="e">
        <f aca="false">IFERROR(D51/D39-1,NA())</f>
        <v>#N/A</v>
      </c>
      <c r="G51" s="21" t="e">
        <f aca="false">IF(COUNT(D49:D51)=3,AVERAGE(D49:D51),NA())</f>
        <v>#N/A</v>
      </c>
      <c r="H51" s="20" t="e">
        <f aca="false">IFERROR(IF(AND(COUNT(D49:D51)=3,COUNT(D37:D39)=3),AVERAGE(D49:D51)/AVERAGE(D37:D39)-1,NA()),NA())</f>
        <v>#N/A</v>
      </c>
      <c r="I51" s="28" t="str">
        <f aca="false">IFERROR(YEAR(A51)&amp;"Q"&amp;CEILING(MONTH(A51)/3,1),"")</f>
        <v>1899Q4</v>
      </c>
      <c r="K51" s="28" t="s">
        <v>421</v>
      </c>
      <c r="L51" s="23" t="e">
        <f aca="false">CHOOSE(MATCH($B$11,{"Sum","Average","End of Period"},0),IF(SUMPRODUCT(($I$17:$I$266=$K$51)*ISNUMBER($D$17:$D$266))=0,NA(),SUMPRODUCT(($I$17:$I$266=$K$51)*IFERROR($D$17:$D$266,0))),IF(SUMPRODUCT(($I$17:$I$266=$K$51)*ISNUMBER($D$17:$D$266))=0,NA(),SUMPRODUCT(($I$17:$I$266=$K$51)*IFERROR($D$17:$D$266,0))/SUMPRODUCT(($I$17:$I$266=$K$51)*ISNUMBER($D$17:$D$266))),IFERROR(LOOKUP(2,1/(($I$17:$I$266=$K$51)*ISNUMBER($D$17:$D$266)),$D$17:$D$266),NA()))</f>
        <v>#N/A</v>
      </c>
      <c r="M51" s="20" t="e">
        <f aca="false">IFERROR(L51/L47-1,NA())</f>
        <v>#N/A</v>
      </c>
      <c r="P51" s="22" t="n">
        <v>2034</v>
      </c>
      <c r="Q51" s="23" t="e">
        <f aca="false">CHOOSE(MATCH($B$10,{"Sum","Average","End of Period"},0),IF(SUMPRODUCT(($C$17:$C$266=$P$51)*ISNUMBER($D$17:$D$266))=0,NA(),SUMPRODUCT(($C$17:$C$266=$P$51)*IFERROR($D$17:$D$266,0))),IF(SUMPRODUCT(($C$17:$C$266=$P$51)*ISNUMBER($D$17:$D$266))=0,NA(),SUMPRODUCT(($C$17:$C$266=$P$51)*IFERROR($D$17:$D$266,0))/SUMPRODUCT(($C$17:$C$266=$P$51)*ISNUMBER($D$17:$D$266))),IFERROR(LOOKUP(2,1/(($C$17:$C$266=$P$51)*ISNUMBER($D$17:$D$266)),$D$17:$D$266),NA()))</f>
        <v>#N/A</v>
      </c>
      <c r="R51" s="20" t="e">
        <f aca="false">IFERROR(Q51/Q50-1,NA())</f>
        <v>#N/A</v>
      </c>
    </row>
    <row r="52" customFormat="false" ht="15" hidden="false" customHeight="false" outlineLevel="0" collapsed="false">
      <c r="A52" s="27"/>
      <c r="B52" s="28" t="e">
        <f aca="false">IFERROR(IF(ISNUMBER(A52),TEXT(YEAR(A52)-2000,"00")&amp;TEXT(MONTH(A52),"00"),NA()),NA())</f>
        <v>#N/A</v>
      </c>
      <c r="C52" s="18" t="n">
        <f aca="false">IFERROR(YEAR(A52),0)</f>
        <v>1899</v>
      </c>
      <c r="D52" s="32"/>
      <c r="E52" s="20" t="e">
        <f aca="false">IFERROR(D52/D51-1,NA())</f>
        <v>#N/A</v>
      </c>
      <c r="F52" s="20" t="e">
        <f aca="false">IFERROR(D52/D40-1,NA())</f>
        <v>#N/A</v>
      </c>
      <c r="G52" s="21" t="e">
        <f aca="false">IF(COUNT(D50:D52)=3,AVERAGE(D50:D52),NA())</f>
        <v>#N/A</v>
      </c>
      <c r="H52" s="20" t="e">
        <f aca="false">IFERROR(IF(AND(COUNT(D50:D52)=3,COUNT(D38:D40)=3),AVERAGE(D50:D52)/AVERAGE(D38:D40)-1,NA()),NA())</f>
        <v>#N/A</v>
      </c>
      <c r="I52" s="28" t="str">
        <f aca="false">IFERROR(YEAR(A52)&amp;"Q"&amp;CEILING(MONTH(A52)/3,1),"")</f>
        <v>1899Q4</v>
      </c>
      <c r="K52" s="28" t="s">
        <v>422</v>
      </c>
      <c r="L52" s="23" t="e">
        <f aca="false">CHOOSE(MATCH($B$11,{"Sum","Average","End of Period"},0),IF(SUMPRODUCT(($I$17:$I$266=$K$52)*ISNUMBER($D$17:$D$266))=0,NA(),SUMPRODUCT(($I$17:$I$266=$K$52)*IFERROR($D$17:$D$266,0))),IF(SUMPRODUCT(($I$17:$I$266=$K$52)*ISNUMBER($D$17:$D$266))=0,NA(),SUMPRODUCT(($I$17:$I$266=$K$52)*IFERROR($D$17:$D$266,0))/SUMPRODUCT(($I$17:$I$266=$K$52)*ISNUMBER($D$17:$D$266))),IFERROR(LOOKUP(2,1/(($I$17:$I$266=$K$52)*ISNUMBER($D$17:$D$266)),$D$17:$D$266),NA()))</f>
        <v>#N/A</v>
      </c>
      <c r="M52" s="20" t="e">
        <f aca="false">IFERROR(L52/L48-1,NA())</f>
        <v>#N/A</v>
      </c>
    </row>
    <row r="53" customFormat="false" ht="15" hidden="false" customHeight="false" outlineLevel="0" collapsed="false">
      <c r="A53" s="27"/>
      <c r="B53" s="28" t="e">
        <f aca="false">IFERROR(IF(ISNUMBER(A53),TEXT(YEAR(A53)-2000,"00")&amp;TEXT(MONTH(A53),"00"),NA()),NA())</f>
        <v>#N/A</v>
      </c>
      <c r="C53" s="18" t="n">
        <f aca="false">IFERROR(YEAR(A53),0)</f>
        <v>1899</v>
      </c>
      <c r="D53" s="32"/>
      <c r="E53" s="20" t="e">
        <f aca="false">IFERROR(D53/D52-1,NA())</f>
        <v>#N/A</v>
      </c>
      <c r="F53" s="20" t="e">
        <f aca="false">IFERROR(D53/D41-1,NA())</f>
        <v>#N/A</v>
      </c>
      <c r="G53" s="21" t="e">
        <f aca="false">IF(COUNT(D51:D53)=3,AVERAGE(D51:D53),NA())</f>
        <v>#N/A</v>
      </c>
      <c r="H53" s="20" t="e">
        <f aca="false">IFERROR(IF(AND(COUNT(D51:D53)=3,COUNT(D39:D41)=3),AVERAGE(D51:D53)/AVERAGE(D39:D41)-1,NA()),NA())</f>
        <v>#N/A</v>
      </c>
      <c r="I53" s="28" t="str">
        <f aca="false">IFERROR(YEAR(A53)&amp;"Q"&amp;CEILING(MONTH(A53)/3,1),"")</f>
        <v>1899Q4</v>
      </c>
      <c r="K53" s="28" t="s">
        <v>423</v>
      </c>
      <c r="L53" s="23" t="e">
        <f aca="false">CHOOSE(MATCH($B$11,{"Sum","Average","End of Period"},0),IF(SUMPRODUCT(($I$17:$I$266=$K$53)*ISNUMBER($D$17:$D$266))=0,NA(),SUMPRODUCT(($I$17:$I$266=$K$53)*IFERROR($D$17:$D$266,0))),IF(SUMPRODUCT(($I$17:$I$266=$K$53)*ISNUMBER($D$17:$D$266))=0,NA(),SUMPRODUCT(($I$17:$I$266=$K$53)*IFERROR($D$17:$D$266,0))/SUMPRODUCT(($I$17:$I$266=$K$53)*ISNUMBER($D$17:$D$266))),IFERROR(LOOKUP(2,1/(($I$17:$I$266=$K$53)*ISNUMBER($D$17:$D$266)),$D$17:$D$266),NA()))</f>
        <v>#N/A</v>
      </c>
      <c r="M53" s="20" t="e">
        <f aca="false">IFERROR(L53/L49-1,NA())</f>
        <v>#N/A</v>
      </c>
    </row>
    <row r="54" customFormat="false" ht="15" hidden="false" customHeight="false" outlineLevel="0" collapsed="false">
      <c r="A54" s="27"/>
      <c r="B54" s="28" t="e">
        <f aca="false">IFERROR(IF(ISNUMBER(A54),TEXT(YEAR(A54)-2000,"00")&amp;TEXT(MONTH(A54),"00"),NA()),NA())</f>
        <v>#N/A</v>
      </c>
      <c r="C54" s="18" t="n">
        <f aca="false">IFERROR(YEAR(A54),0)</f>
        <v>1899</v>
      </c>
      <c r="D54" s="32"/>
      <c r="E54" s="20" t="e">
        <f aca="false">IFERROR(D54/D53-1,NA())</f>
        <v>#N/A</v>
      </c>
      <c r="F54" s="20" t="e">
        <f aca="false">IFERROR(D54/D42-1,NA())</f>
        <v>#N/A</v>
      </c>
      <c r="G54" s="21" t="e">
        <f aca="false">IF(COUNT(D52:D54)=3,AVERAGE(D52:D54),NA())</f>
        <v>#N/A</v>
      </c>
      <c r="H54" s="20" t="e">
        <f aca="false">IFERROR(IF(AND(COUNT(D52:D54)=3,COUNT(D40:D42)=3),AVERAGE(D52:D54)/AVERAGE(D40:D42)-1,NA()),NA())</f>
        <v>#N/A</v>
      </c>
      <c r="I54" s="28" t="str">
        <f aca="false">IFERROR(YEAR(A54)&amp;"Q"&amp;CEILING(MONTH(A54)/3,1),"")</f>
        <v>1899Q4</v>
      </c>
      <c r="K54" s="28" t="s">
        <v>424</v>
      </c>
      <c r="L54" s="23" t="e">
        <f aca="false">CHOOSE(MATCH($B$11,{"Sum","Average","End of Period"},0),IF(SUMPRODUCT(($I$17:$I$266=$K$54)*ISNUMBER($D$17:$D$266))=0,NA(),SUMPRODUCT(($I$17:$I$266=$K$54)*IFERROR($D$17:$D$266,0))),IF(SUMPRODUCT(($I$17:$I$266=$K$54)*ISNUMBER($D$17:$D$266))=0,NA(),SUMPRODUCT(($I$17:$I$266=$K$54)*IFERROR($D$17:$D$266,0))/SUMPRODUCT(($I$17:$I$266=$K$54)*ISNUMBER($D$17:$D$266))),IFERROR(LOOKUP(2,1/(($I$17:$I$266=$K$54)*ISNUMBER($D$17:$D$266)),$D$17:$D$266),NA()))</f>
        <v>#N/A</v>
      </c>
      <c r="M54" s="20" t="e">
        <f aca="false">IFERROR(L54/L50-1,NA())</f>
        <v>#N/A</v>
      </c>
    </row>
    <row r="55" customFormat="false" ht="15" hidden="false" customHeight="false" outlineLevel="0" collapsed="false">
      <c r="A55" s="27"/>
      <c r="B55" s="28" t="e">
        <f aca="false">IFERROR(IF(ISNUMBER(A55),TEXT(YEAR(A55)-2000,"00")&amp;TEXT(MONTH(A55),"00"),NA()),NA())</f>
        <v>#N/A</v>
      </c>
      <c r="C55" s="18" t="n">
        <f aca="false">IFERROR(YEAR(A55),0)</f>
        <v>1899</v>
      </c>
      <c r="D55" s="32"/>
      <c r="E55" s="20" t="e">
        <f aca="false">IFERROR(D55/D54-1,NA())</f>
        <v>#N/A</v>
      </c>
      <c r="F55" s="20" t="e">
        <f aca="false">IFERROR(D55/D43-1,NA())</f>
        <v>#N/A</v>
      </c>
      <c r="G55" s="21" t="e">
        <f aca="false">IF(COUNT(D53:D55)=3,AVERAGE(D53:D55),NA())</f>
        <v>#N/A</v>
      </c>
      <c r="H55" s="20" t="e">
        <f aca="false">IFERROR(IF(AND(COUNT(D53:D55)=3,COUNT(D41:D43)=3),AVERAGE(D53:D55)/AVERAGE(D41:D43)-1,NA()),NA())</f>
        <v>#N/A</v>
      </c>
      <c r="I55" s="28" t="str">
        <f aca="false">IFERROR(YEAR(A55)&amp;"Q"&amp;CEILING(MONTH(A55)/3,1),"")</f>
        <v>1899Q4</v>
      </c>
      <c r="K55" s="28" t="s">
        <v>425</v>
      </c>
      <c r="L55" s="23" t="e">
        <f aca="false">CHOOSE(MATCH($B$11,{"Sum","Average","End of Period"},0),IF(SUMPRODUCT(($I$17:$I$266=$K$55)*ISNUMBER($D$17:$D$266))=0,NA(),SUMPRODUCT(($I$17:$I$266=$K$55)*IFERROR($D$17:$D$266,0))),IF(SUMPRODUCT(($I$17:$I$266=$K$55)*ISNUMBER($D$17:$D$266))=0,NA(),SUMPRODUCT(($I$17:$I$266=$K$55)*IFERROR($D$17:$D$266,0))/SUMPRODUCT(($I$17:$I$266=$K$55)*ISNUMBER($D$17:$D$266))),IFERROR(LOOKUP(2,1/(($I$17:$I$266=$K$55)*ISNUMBER($D$17:$D$266)),$D$17:$D$266),NA()))</f>
        <v>#N/A</v>
      </c>
      <c r="M55" s="20" t="e">
        <f aca="false">IFERROR(L55/L51-1,NA())</f>
        <v>#N/A</v>
      </c>
    </row>
    <row r="56" customFormat="false" ht="15" hidden="false" customHeight="false" outlineLevel="0" collapsed="false">
      <c r="A56" s="27"/>
      <c r="B56" s="28" t="e">
        <f aca="false">IFERROR(IF(ISNUMBER(A56),TEXT(YEAR(A56)-2000,"00")&amp;TEXT(MONTH(A56),"00"),NA()),NA())</f>
        <v>#N/A</v>
      </c>
      <c r="C56" s="18" t="n">
        <f aca="false">IFERROR(YEAR(A56),0)</f>
        <v>1899</v>
      </c>
      <c r="D56" s="32"/>
      <c r="E56" s="20" t="e">
        <f aca="false">IFERROR(D56/D55-1,NA())</f>
        <v>#N/A</v>
      </c>
      <c r="F56" s="20" t="e">
        <f aca="false">IFERROR(D56/D44-1,NA())</f>
        <v>#N/A</v>
      </c>
      <c r="G56" s="21" t="e">
        <f aca="false">IF(COUNT(D54:D56)=3,AVERAGE(D54:D56),NA())</f>
        <v>#N/A</v>
      </c>
      <c r="H56" s="20" t="e">
        <f aca="false">IFERROR(IF(AND(COUNT(D54:D56)=3,COUNT(D42:D44)=3),AVERAGE(D54:D56)/AVERAGE(D42:D44)-1,NA()),NA())</f>
        <v>#N/A</v>
      </c>
      <c r="I56" s="28" t="str">
        <f aca="false">IFERROR(YEAR(A56)&amp;"Q"&amp;CEILING(MONTH(A56)/3,1),"")</f>
        <v>1899Q4</v>
      </c>
      <c r="K56" s="28" t="s">
        <v>426</v>
      </c>
      <c r="L56" s="23" t="e">
        <f aca="false">CHOOSE(MATCH($B$11,{"Sum","Average","End of Period"},0),IF(SUMPRODUCT(($I$17:$I$266=$K$56)*ISNUMBER($D$17:$D$266))=0,NA(),SUMPRODUCT(($I$17:$I$266=$K$56)*IFERROR($D$17:$D$266,0))),IF(SUMPRODUCT(($I$17:$I$266=$K$56)*ISNUMBER($D$17:$D$266))=0,NA(),SUMPRODUCT(($I$17:$I$266=$K$56)*IFERROR($D$17:$D$266,0))/SUMPRODUCT(($I$17:$I$266=$K$56)*ISNUMBER($D$17:$D$266))),IFERROR(LOOKUP(2,1/(($I$17:$I$266=$K$56)*ISNUMBER($D$17:$D$266)),$D$17:$D$266),NA()))</f>
        <v>#N/A</v>
      </c>
      <c r="M56" s="20" t="e">
        <f aca="false">IFERROR(L56/L52-1,NA())</f>
        <v>#N/A</v>
      </c>
    </row>
    <row r="57" customFormat="false" ht="15" hidden="false" customHeight="false" outlineLevel="0" collapsed="false">
      <c r="A57" s="27"/>
      <c r="B57" s="28" t="e">
        <f aca="false">IFERROR(IF(ISNUMBER(A57),TEXT(YEAR(A57)-2000,"00")&amp;TEXT(MONTH(A57),"00"),NA()),NA())</f>
        <v>#N/A</v>
      </c>
      <c r="C57" s="18" t="n">
        <f aca="false">IFERROR(YEAR(A57),0)</f>
        <v>1899</v>
      </c>
      <c r="D57" s="32"/>
      <c r="E57" s="20" t="e">
        <f aca="false">IFERROR(D57/D56-1,NA())</f>
        <v>#N/A</v>
      </c>
      <c r="F57" s="20" t="e">
        <f aca="false">IFERROR(D57/D45-1,NA())</f>
        <v>#N/A</v>
      </c>
      <c r="G57" s="21" t="e">
        <f aca="false">IF(COUNT(D55:D57)=3,AVERAGE(D55:D57),NA())</f>
        <v>#N/A</v>
      </c>
      <c r="H57" s="20" t="e">
        <f aca="false">IFERROR(IF(AND(COUNT(D55:D57)=3,COUNT(D43:D45)=3),AVERAGE(D55:D57)/AVERAGE(D43:D45)-1,NA()),NA())</f>
        <v>#N/A</v>
      </c>
      <c r="I57" s="28" t="str">
        <f aca="false">IFERROR(YEAR(A57)&amp;"Q"&amp;CEILING(MONTH(A57)/3,1),"")</f>
        <v>1899Q4</v>
      </c>
      <c r="K57" s="28" t="s">
        <v>427</v>
      </c>
      <c r="L57" s="23" t="e">
        <f aca="false">CHOOSE(MATCH($B$11,{"Sum","Average","End of Period"},0),IF(SUMPRODUCT(($I$17:$I$266=$K$57)*ISNUMBER($D$17:$D$266))=0,NA(),SUMPRODUCT(($I$17:$I$266=$K$57)*IFERROR($D$17:$D$266,0))),IF(SUMPRODUCT(($I$17:$I$266=$K$57)*ISNUMBER($D$17:$D$266))=0,NA(),SUMPRODUCT(($I$17:$I$266=$K$57)*IFERROR($D$17:$D$266,0))/SUMPRODUCT(($I$17:$I$266=$K$57)*ISNUMBER($D$17:$D$266))),IFERROR(LOOKUP(2,1/(($I$17:$I$266=$K$57)*ISNUMBER($D$17:$D$266)),$D$17:$D$266),NA()))</f>
        <v>#N/A</v>
      </c>
      <c r="M57" s="20" t="e">
        <f aca="false">IFERROR(L57/L53-1,NA())</f>
        <v>#N/A</v>
      </c>
    </row>
    <row r="58" customFormat="false" ht="15" hidden="false" customHeight="false" outlineLevel="0" collapsed="false">
      <c r="A58" s="27"/>
      <c r="B58" s="28" t="e">
        <f aca="false">IFERROR(IF(ISNUMBER(A58),TEXT(YEAR(A58)-2000,"00")&amp;TEXT(MONTH(A58),"00"),NA()),NA())</f>
        <v>#N/A</v>
      </c>
      <c r="C58" s="18" t="n">
        <f aca="false">IFERROR(YEAR(A58),0)</f>
        <v>1899</v>
      </c>
      <c r="D58" s="32"/>
      <c r="E58" s="20" t="e">
        <f aca="false">IFERROR(D58/D57-1,NA())</f>
        <v>#N/A</v>
      </c>
      <c r="F58" s="20" t="e">
        <f aca="false">IFERROR(D58/D46-1,NA())</f>
        <v>#N/A</v>
      </c>
      <c r="G58" s="21" t="e">
        <f aca="false">IF(COUNT(D56:D58)=3,AVERAGE(D56:D58),NA())</f>
        <v>#N/A</v>
      </c>
      <c r="H58" s="20" t="e">
        <f aca="false">IFERROR(IF(AND(COUNT(D56:D58)=3,COUNT(D44:D46)=3),AVERAGE(D56:D58)/AVERAGE(D44:D46)-1,NA()),NA())</f>
        <v>#N/A</v>
      </c>
      <c r="I58" s="28" t="str">
        <f aca="false">IFERROR(YEAR(A58)&amp;"Q"&amp;CEILING(MONTH(A58)/3,1),"")</f>
        <v>1899Q4</v>
      </c>
      <c r="K58" s="28" t="s">
        <v>428</v>
      </c>
      <c r="L58" s="23" t="e">
        <f aca="false">CHOOSE(MATCH($B$11,{"Sum","Average","End of Period"},0),IF(SUMPRODUCT(($I$17:$I$266=$K$58)*ISNUMBER($D$17:$D$266))=0,NA(),SUMPRODUCT(($I$17:$I$266=$K$58)*IFERROR($D$17:$D$266,0))),IF(SUMPRODUCT(($I$17:$I$266=$K$58)*ISNUMBER($D$17:$D$266))=0,NA(),SUMPRODUCT(($I$17:$I$266=$K$58)*IFERROR($D$17:$D$266,0))/SUMPRODUCT(($I$17:$I$266=$K$58)*ISNUMBER($D$17:$D$266))),IFERROR(LOOKUP(2,1/(($I$17:$I$266=$K$58)*ISNUMBER($D$17:$D$266)),$D$17:$D$266),NA()))</f>
        <v>#N/A</v>
      </c>
      <c r="M58" s="20" t="e">
        <f aca="false">IFERROR(L58/L54-1,NA())</f>
        <v>#N/A</v>
      </c>
    </row>
    <row r="59" customFormat="false" ht="15" hidden="false" customHeight="false" outlineLevel="0" collapsed="false">
      <c r="A59" s="27"/>
      <c r="B59" s="28" t="e">
        <f aca="false">IFERROR(IF(ISNUMBER(A59),TEXT(YEAR(A59)-2000,"00")&amp;TEXT(MONTH(A59),"00"),NA()),NA())</f>
        <v>#N/A</v>
      </c>
      <c r="C59" s="18" t="n">
        <f aca="false">IFERROR(YEAR(A59),0)</f>
        <v>1899</v>
      </c>
      <c r="D59" s="32"/>
      <c r="E59" s="20" t="e">
        <f aca="false">IFERROR(D59/D58-1,NA())</f>
        <v>#N/A</v>
      </c>
      <c r="F59" s="20" t="e">
        <f aca="false">IFERROR(D59/D47-1,NA())</f>
        <v>#N/A</v>
      </c>
      <c r="G59" s="21" t="e">
        <f aca="false">IF(COUNT(D57:D59)=3,AVERAGE(D57:D59),NA())</f>
        <v>#N/A</v>
      </c>
      <c r="H59" s="20" t="e">
        <f aca="false">IFERROR(IF(AND(COUNT(D57:D59)=3,COUNT(D45:D47)=3),AVERAGE(D57:D59)/AVERAGE(D45:D47)-1,NA()),NA())</f>
        <v>#N/A</v>
      </c>
      <c r="I59" s="28" t="str">
        <f aca="false">IFERROR(YEAR(A59)&amp;"Q"&amp;CEILING(MONTH(A59)/3,1),"")</f>
        <v>1899Q4</v>
      </c>
      <c r="K59" s="28" t="s">
        <v>429</v>
      </c>
      <c r="L59" s="23" t="e">
        <f aca="false">CHOOSE(MATCH($B$11,{"Sum","Average","End of Period"},0),IF(SUMPRODUCT(($I$17:$I$266=$K$59)*ISNUMBER($D$17:$D$266))=0,NA(),SUMPRODUCT(($I$17:$I$266=$K$59)*IFERROR($D$17:$D$266,0))),IF(SUMPRODUCT(($I$17:$I$266=$K$59)*ISNUMBER($D$17:$D$266))=0,NA(),SUMPRODUCT(($I$17:$I$266=$K$59)*IFERROR($D$17:$D$266,0))/SUMPRODUCT(($I$17:$I$266=$K$59)*ISNUMBER($D$17:$D$266))),IFERROR(LOOKUP(2,1/(($I$17:$I$266=$K$59)*ISNUMBER($D$17:$D$266)),$D$17:$D$266),NA()))</f>
        <v>#N/A</v>
      </c>
      <c r="M59" s="20" t="e">
        <f aca="false">IFERROR(L59/L55-1,NA())</f>
        <v>#N/A</v>
      </c>
    </row>
    <row r="60" customFormat="false" ht="15" hidden="false" customHeight="false" outlineLevel="0" collapsed="false">
      <c r="A60" s="27"/>
      <c r="B60" s="28" t="e">
        <f aca="false">IFERROR(IF(ISNUMBER(A60),TEXT(YEAR(A60)-2000,"00")&amp;TEXT(MONTH(A60),"00"),NA()),NA())</f>
        <v>#N/A</v>
      </c>
      <c r="C60" s="18" t="n">
        <f aca="false">IFERROR(YEAR(A60),0)</f>
        <v>1899</v>
      </c>
      <c r="D60" s="32"/>
      <c r="E60" s="20" t="e">
        <f aca="false">IFERROR(D60/D59-1,NA())</f>
        <v>#N/A</v>
      </c>
      <c r="F60" s="20" t="e">
        <f aca="false">IFERROR(D60/D48-1,NA())</f>
        <v>#N/A</v>
      </c>
      <c r="G60" s="21" t="e">
        <f aca="false">IF(COUNT(D58:D60)=3,AVERAGE(D58:D60),NA())</f>
        <v>#N/A</v>
      </c>
      <c r="H60" s="20" t="e">
        <f aca="false">IFERROR(IF(AND(COUNT(D58:D60)=3,COUNT(D46:D48)=3),AVERAGE(D58:D60)/AVERAGE(D46:D48)-1,NA()),NA())</f>
        <v>#N/A</v>
      </c>
      <c r="I60" s="28" t="str">
        <f aca="false">IFERROR(YEAR(A60)&amp;"Q"&amp;CEILING(MONTH(A60)/3,1),"")</f>
        <v>1899Q4</v>
      </c>
      <c r="K60" s="28" t="s">
        <v>430</v>
      </c>
      <c r="L60" s="23" t="e">
        <f aca="false">CHOOSE(MATCH($B$11,{"Sum","Average","End of Period"},0),IF(SUMPRODUCT(($I$17:$I$266=$K$60)*ISNUMBER($D$17:$D$266))=0,NA(),SUMPRODUCT(($I$17:$I$266=$K$60)*IFERROR($D$17:$D$266,0))),IF(SUMPRODUCT(($I$17:$I$266=$K$60)*ISNUMBER($D$17:$D$266))=0,NA(),SUMPRODUCT(($I$17:$I$266=$K$60)*IFERROR($D$17:$D$266,0))/SUMPRODUCT(($I$17:$I$266=$K$60)*ISNUMBER($D$17:$D$266))),IFERROR(LOOKUP(2,1/(($I$17:$I$266=$K$60)*ISNUMBER($D$17:$D$266)),$D$17:$D$266),NA()))</f>
        <v>#N/A</v>
      </c>
      <c r="M60" s="20" t="e">
        <f aca="false">IFERROR(L60/L56-1,NA())</f>
        <v>#N/A</v>
      </c>
    </row>
    <row r="61" customFormat="false" ht="15" hidden="false" customHeight="false" outlineLevel="0" collapsed="false">
      <c r="A61" s="27"/>
      <c r="B61" s="28" t="e">
        <f aca="false">IFERROR(IF(ISNUMBER(A61),TEXT(YEAR(A61)-2000,"00")&amp;TEXT(MONTH(A61),"00"),NA()),NA())</f>
        <v>#N/A</v>
      </c>
      <c r="C61" s="18" t="n">
        <f aca="false">IFERROR(YEAR(A61),0)</f>
        <v>1899</v>
      </c>
      <c r="D61" s="32"/>
      <c r="E61" s="20" t="e">
        <f aca="false">IFERROR(D61/D60-1,NA())</f>
        <v>#N/A</v>
      </c>
      <c r="F61" s="20" t="e">
        <f aca="false">IFERROR(D61/D49-1,NA())</f>
        <v>#N/A</v>
      </c>
      <c r="G61" s="21" t="e">
        <f aca="false">IF(COUNT(D59:D61)=3,AVERAGE(D59:D61),NA())</f>
        <v>#N/A</v>
      </c>
      <c r="H61" s="20" t="e">
        <f aca="false">IFERROR(IF(AND(COUNT(D59:D61)=3,COUNT(D47:D49)=3),AVERAGE(D59:D61)/AVERAGE(D47:D49)-1,NA()),NA())</f>
        <v>#N/A</v>
      </c>
      <c r="I61" s="28" t="str">
        <f aca="false">IFERROR(YEAR(A61)&amp;"Q"&amp;CEILING(MONTH(A61)/3,1),"")</f>
        <v>1899Q4</v>
      </c>
      <c r="K61" s="28" t="s">
        <v>431</v>
      </c>
      <c r="L61" s="23" t="e">
        <f aca="false">CHOOSE(MATCH($B$11,{"Sum","Average","End of Period"},0),IF(SUMPRODUCT(($I$17:$I$266=$K$61)*ISNUMBER($D$17:$D$266))=0,NA(),SUMPRODUCT(($I$17:$I$266=$K$61)*IFERROR($D$17:$D$266,0))),IF(SUMPRODUCT(($I$17:$I$266=$K$61)*ISNUMBER($D$17:$D$266))=0,NA(),SUMPRODUCT(($I$17:$I$266=$K$61)*IFERROR($D$17:$D$266,0))/SUMPRODUCT(($I$17:$I$266=$K$61)*ISNUMBER($D$17:$D$266))),IFERROR(LOOKUP(2,1/(($I$17:$I$266=$K$61)*ISNUMBER($D$17:$D$266)),$D$17:$D$266),NA()))</f>
        <v>#N/A</v>
      </c>
      <c r="M61" s="20" t="e">
        <f aca="false">IFERROR(L61/L57-1,NA())</f>
        <v>#N/A</v>
      </c>
    </row>
    <row r="62" customFormat="false" ht="15" hidden="false" customHeight="false" outlineLevel="0" collapsed="false">
      <c r="A62" s="27"/>
      <c r="B62" s="28" t="e">
        <f aca="false">IFERROR(IF(ISNUMBER(A62),TEXT(YEAR(A62)-2000,"00")&amp;TEXT(MONTH(A62),"00"),NA()),NA())</f>
        <v>#N/A</v>
      </c>
      <c r="C62" s="18" t="n">
        <f aca="false">IFERROR(YEAR(A62),0)</f>
        <v>1899</v>
      </c>
      <c r="D62" s="32"/>
      <c r="E62" s="20" t="e">
        <f aca="false">IFERROR(D62/D61-1,NA())</f>
        <v>#N/A</v>
      </c>
      <c r="F62" s="20" t="e">
        <f aca="false">IFERROR(D62/D50-1,NA())</f>
        <v>#N/A</v>
      </c>
      <c r="G62" s="21" t="e">
        <f aca="false">IF(COUNT(D60:D62)=3,AVERAGE(D60:D62),NA())</f>
        <v>#N/A</v>
      </c>
      <c r="H62" s="20" t="e">
        <f aca="false">IFERROR(IF(AND(COUNT(D60:D62)=3,COUNT(D48:D50)=3),AVERAGE(D60:D62)/AVERAGE(D48:D50)-1,NA()),NA())</f>
        <v>#N/A</v>
      </c>
      <c r="I62" s="28" t="str">
        <f aca="false">IFERROR(YEAR(A62)&amp;"Q"&amp;CEILING(MONTH(A62)/3,1),"")</f>
        <v>1899Q4</v>
      </c>
      <c r="K62" s="28" t="s">
        <v>432</v>
      </c>
      <c r="L62" s="23" t="e">
        <f aca="false">CHOOSE(MATCH($B$11,{"Sum","Average","End of Period"},0),IF(SUMPRODUCT(($I$17:$I$266=$K$62)*ISNUMBER($D$17:$D$266))=0,NA(),SUMPRODUCT(($I$17:$I$266=$K$62)*IFERROR($D$17:$D$266,0))),IF(SUMPRODUCT(($I$17:$I$266=$K$62)*ISNUMBER($D$17:$D$266))=0,NA(),SUMPRODUCT(($I$17:$I$266=$K$62)*IFERROR($D$17:$D$266,0))/SUMPRODUCT(($I$17:$I$266=$K$62)*ISNUMBER($D$17:$D$266))),IFERROR(LOOKUP(2,1/(($I$17:$I$266=$K$62)*ISNUMBER($D$17:$D$266)),$D$17:$D$266),NA()))</f>
        <v>#N/A</v>
      </c>
      <c r="M62" s="20" t="e">
        <f aca="false">IFERROR(L62/L58-1,NA())</f>
        <v>#N/A</v>
      </c>
    </row>
    <row r="63" customFormat="false" ht="15" hidden="false" customHeight="false" outlineLevel="0" collapsed="false">
      <c r="A63" s="27"/>
      <c r="B63" s="28" t="e">
        <f aca="false">IFERROR(IF(ISNUMBER(A63),TEXT(YEAR(A63)-2000,"00")&amp;TEXT(MONTH(A63),"00"),NA()),NA())</f>
        <v>#N/A</v>
      </c>
      <c r="C63" s="18" t="n">
        <f aca="false">IFERROR(YEAR(A63),0)</f>
        <v>1899</v>
      </c>
      <c r="D63" s="32"/>
      <c r="E63" s="20" t="e">
        <f aca="false">IFERROR(D63/D62-1,NA())</f>
        <v>#N/A</v>
      </c>
      <c r="F63" s="20" t="e">
        <f aca="false">IFERROR(D63/D51-1,NA())</f>
        <v>#N/A</v>
      </c>
      <c r="G63" s="21" t="e">
        <f aca="false">IF(COUNT(D61:D63)=3,AVERAGE(D61:D63),NA())</f>
        <v>#N/A</v>
      </c>
      <c r="H63" s="20" t="e">
        <f aca="false">IFERROR(IF(AND(COUNT(D61:D63)=3,COUNT(D49:D51)=3),AVERAGE(D61:D63)/AVERAGE(D49:D51)-1,NA()),NA())</f>
        <v>#N/A</v>
      </c>
      <c r="I63" s="28" t="str">
        <f aca="false">IFERROR(YEAR(A63)&amp;"Q"&amp;CEILING(MONTH(A63)/3,1),"")</f>
        <v>1899Q4</v>
      </c>
      <c r="K63" s="28" t="s">
        <v>433</v>
      </c>
      <c r="L63" s="23" t="e">
        <f aca="false">CHOOSE(MATCH($B$11,{"Sum","Average","End of Period"},0),IF(SUMPRODUCT(($I$17:$I$266=$K$63)*ISNUMBER($D$17:$D$266))=0,NA(),SUMPRODUCT(($I$17:$I$266=$K$63)*IFERROR($D$17:$D$266,0))),IF(SUMPRODUCT(($I$17:$I$266=$K$63)*ISNUMBER($D$17:$D$266))=0,NA(),SUMPRODUCT(($I$17:$I$266=$K$63)*IFERROR($D$17:$D$266,0))/SUMPRODUCT(($I$17:$I$266=$K$63)*ISNUMBER($D$17:$D$266))),IFERROR(LOOKUP(2,1/(($I$17:$I$266=$K$63)*ISNUMBER($D$17:$D$266)),$D$17:$D$266),NA()))</f>
        <v>#N/A</v>
      </c>
      <c r="M63" s="20" t="e">
        <f aca="false">IFERROR(L63/L59-1,NA())</f>
        <v>#N/A</v>
      </c>
    </row>
    <row r="64" customFormat="false" ht="15" hidden="false" customHeight="false" outlineLevel="0" collapsed="false">
      <c r="A64" s="27"/>
      <c r="B64" s="28" t="e">
        <f aca="false">IFERROR(IF(ISNUMBER(A64),TEXT(YEAR(A64)-2000,"00")&amp;TEXT(MONTH(A64),"00"),NA()),NA())</f>
        <v>#N/A</v>
      </c>
      <c r="C64" s="18" t="n">
        <f aca="false">IFERROR(YEAR(A64),0)</f>
        <v>1899</v>
      </c>
      <c r="D64" s="32"/>
      <c r="E64" s="20" t="e">
        <f aca="false">IFERROR(D64/D63-1,NA())</f>
        <v>#N/A</v>
      </c>
      <c r="F64" s="20" t="e">
        <f aca="false">IFERROR(D64/D52-1,NA())</f>
        <v>#N/A</v>
      </c>
      <c r="G64" s="21" t="e">
        <f aca="false">IF(COUNT(D62:D64)=3,AVERAGE(D62:D64),NA())</f>
        <v>#N/A</v>
      </c>
      <c r="H64" s="20" t="e">
        <f aca="false">IFERROR(IF(AND(COUNT(D62:D64)=3,COUNT(D50:D52)=3),AVERAGE(D62:D64)/AVERAGE(D50:D52)-1,NA()),NA())</f>
        <v>#N/A</v>
      </c>
      <c r="I64" s="28" t="str">
        <f aca="false">IFERROR(YEAR(A64)&amp;"Q"&amp;CEILING(MONTH(A64)/3,1),"")</f>
        <v>1899Q4</v>
      </c>
      <c r="K64" s="28" t="s">
        <v>434</v>
      </c>
      <c r="L64" s="23" t="e">
        <f aca="false">CHOOSE(MATCH($B$11,{"Sum","Average","End of Period"},0),IF(SUMPRODUCT(($I$17:$I$266=$K$64)*ISNUMBER($D$17:$D$266))=0,NA(),SUMPRODUCT(($I$17:$I$266=$K$64)*IFERROR($D$17:$D$266,0))),IF(SUMPRODUCT(($I$17:$I$266=$K$64)*ISNUMBER($D$17:$D$266))=0,NA(),SUMPRODUCT(($I$17:$I$266=$K$64)*IFERROR($D$17:$D$266,0))/SUMPRODUCT(($I$17:$I$266=$K$64)*ISNUMBER($D$17:$D$266))),IFERROR(LOOKUP(2,1/(($I$17:$I$266=$K$64)*ISNUMBER($D$17:$D$266)),$D$17:$D$266),NA()))</f>
        <v>#N/A</v>
      </c>
      <c r="M64" s="20" t="e">
        <f aca="false">IFERROR(L64/L60-1,NA())</f>
        <v>#N/A</v>
      </c>
    </row>
    <row r="65" customFormat="false" ht="15" hidden="false" customHeight="false" outlineLevel="0" collapsed="false">
      <c r="A65" s="27"/>
      <c r="B65" s="28" t="e">
        <f aca="false">IFERROR(IF(ISNUMBER(A65),TEXT(YEAR(A65)-2000,"00")&amp;TEXT(MONTH(A65),"00"),NA()),NA())</f>
        <v>#N/A</v>
      </c>
      <c r="C65" s="18" t="n">
        <f aca="false">IFERROR(YEAR(A65),0)</f>
        <v>1899</v>
      </c>
      <c r="D65" s="32"/>
      <c r="E65" s="20" t="e">
        <f aca="false">IFERROR(D65/D64-1,NA())</f>
        <v>#N/A</v>
      </c>
      <c r="F65" s="20" t="e">
        <f aca="false">IFERROR(D65/D53-1,NA())</f>
        <v>#N/A</v>
      </c>
      <c r="G65" s="21" t="e">
        <f aca="false">IF(COUNT(D63:D65)=3,AVERAGE(D63:D65),NA())</f>
        <v>#N/A</v>
      </c>
      <c r="H65" s="20" t="e">
        <f aca="false">IFERROR(IF(AND(COUNT(D63:D65)=3,COUNT(D51:D53)=3),AVERAGE(D63:D65)/AVERAGE(D51:D53)-1,NA()),NA())</f>
        <v>#N/A</v>
      </c>
      <c r="I65" s="28" t="str">
        <f aca="false">IFERROR(YEAR(A65)&amp;"Q"&amp;CEILING(MONTH(A65)/3,1),"")</f>
        <v>1899Q4</v>
      </c>
      <c r="K65" s="28" t="s">
        <v>435</v>
      </c>
      <c r="L65" s="23" t="e">
        <f aca="false">CHOOSE(MATCH($B$11,{"Sum","Average","End of Period"},0),IF(SUMPRODUCT(($I$17:$I$266=$K$65)*ISNUMBER($D$17:$D$266))=0,NA(),SUMPRODUCT(($I$17:$I$266=$K$65)*IFERROR($D$17:$D$266,0))),IF(SUMPRODUCT(($I$17:$I$266=$K$65)*ISNUMBER($D$17:$D$266))=0,NA(),SUMPRODUCT(($I$17:$I$266=$K$65)*IFERROR($D$17:$D$266,0))/SUMPRODUCT(($I$17:$I$266=$K$65)*ISNUMBER($D$17:$D$266))),IFERROR(LOOKUP(2,1/(($I$17:$I$266=$K$65)*ISNUMBER($D$17:$D$266)),$D$17:$D$266),NA()))</f>
        <v>#N/A</v>
      </c>
      <c r="M65" s="20" t="e">
        <f aca="false">IFERROR(L65/L61-1,NA())</f>
        <v>#N/A</v>
      </c>
    </row>
    <row r="66" customFormat="false" ht="15" hidden="false" customHeight="false" outlineLevel="0" collapsed="false">
      <c r="A66" s="27"/>
      <c r="B66" s="28" t="e">
        <f aca="false">IFERROR(IF(ISNUMBER(A66),TEXT(YEAR(A66)-2000,"00")&amp;TEXT(MONTH(A66),"00"),NA()),NA())</f>
        <v>#N/A</v>
      </c>
      <c r="C66" s="18" t="n">
        <f aca="false">IFERROR(YEAR(A66),0)</f>
        <v>1899</v>
      </c>
      <c r="D66" s="32"/>
      <c r="E66" s="20" t="e">
        <f aca="false">IFERROR(D66/D65-1,NA())</f>
        <v>#N/A</v>
      </c>
      <c r="F66" s="20" t="e">
        <f aca="false">IFERROR(D66/D54-1,NA())</f>
        <v>#N/A</v>
      </c>
      <c r="G66" s="21" t="e">
        <f aca="false">IF(COUNT(D64:D66)=3,AVERAGE(D64:D66),NA())</f>
        <v>#N/A</v>
      </c>
      <c r="H66" s="20" t="e">
        <f aca="false">IFERROR(IF(AND(COUNT(D64:D66)=3,COUNT(D52:D54)=3),AVERAGE(D64:D66)/AVERAGE(D52:D54)-1,NA()),NA())</f>
        <v>#N/A</v>
      </c>
      <c r="I66" s="28" t="str">
        <f aca="false">IFERROR(YEAR(A66)&amp;"Q"&amp;CEILING(MONTH(A66)/3,1),"")</f>
        <v>1899Q4</v>
      </c>
      <c r="K66" s="28" t="s">
        <v>436</v>
      </c>
      <c r="L66" s="23" t="e">
        <f aca="false">CHOOSE(MATCH($B$11,{"Sum","Average","End of Period"},0),IF(SUMPRODUCT(($I$17:$I$266=$K$66)*ISNUMBER($D$17:$D$266))=0,NA(),SUMPRODUCT(($I$17:$I$266=$K$66)*IFERROR($D$17:$D$266,0))),IF(SUMPRODUCT(($I$17:$I$266=$K$66)*ISNUMBER($D$17:$D$266))=0,NA(),SUMPRODUCT(($I$17:$I$266=$K$66)*IFERROR($D$17:$D$266,0))/SUMPRODUCT(($I$17:$I$266=$K$66)*ISNUMBER($D$17:$D$266))),IFERROR(LOOKUP(2,1/(($I$17:$I$266=$K$66)*ISNUMBER($D$17:$D$266)),$D$17:$D$266),NA()))</f>
        <v>#N/A</v>
      </c>
      <c r="M66" s="20" t="e">
        <f aca="false">IFERROR(L66/L62-1,NA())</f>
        <v>#N/A</v>
      </c>
    </row>
    <row r="67" customFormat="false" ht="15" hidden="false" customHeight="false" outlineLevel="0" collapsed="false">
      <c r="A67" s="27"/>
      <c r="B67" s="28" t="e">
        <f aca="false">IFERROR(IF(ISNUMBER(A67),TEXT(YEAR(A67)-2000,"00")&amp;TEXT(MONTH(A67),"00"),NA()),NA())</f>
        <v>#N/A</v>
      </c>
      <c r="C67" s="18" t="n">
        <f aca="false">IFERROR(YEAR(A67),0)</f>
        <v>1899</v>
      </c>
      <c r="D67" s="32"/>
      <c r="E67" s="20" t="e">
        <f aca="false">IFERROR(D67/D66-1,NA())</f>
        <v>#N/A</v>
      </c>
      <c r="F67" s="20" t="e">
        <f aca="false">IFERROR(D67/D55-1,NA())</f>
        <v>#N/A</v>
      </c>
      <c r="G67" s="21" t="e">
        <f aca="false">IF(COUNT(D65:D67)=3,AVERAGE(D65:D67),NA())</f>
        <v>#N/A</v>
      </c>
      <c r="H67" s="20" t="e">
        <f aca="false">IFERROR(IF(AND(COUNT(D65:D67)=3,COUNT(D53:D55)=3),AVERAGE(D65:D67)/AVERAGE(D53:D55)-1,NA()),NA())</f>
        <v>#N/A</v>
      </c>
      <c r="I67" s="28" t="str">
        <f aca="false">IFERROR(YEAR(A67)&amp;"Q"&amp;CEILING(MONTH(A67)/3,1),"")</f>
        <v>1899Q4</v>
      </c>
      <c r="K67" s="28" t="s">
        <v>437</v>
      </c>
      <c r="L67" s="23" t="e">
        <f aca="false">CHOOSE(MATCH($B$11,{"Sum","Average","End of Period"},0),IF(SUMPRODUCT(($I$17:$I$266=$K$67)*ISNUMBER($D$17:$D$266))=0,NA(),SUMPRODUCT(($I$17:$I$266=$K$67)*IFERROR($D$17:$D$266,0))),IF(SUMPRODUCT(($I$17:$I$266=$K$67)*ISNUMBER($D$17:$D$266))=0,NA(),SUMPRODUCT(($I$17:$I$266=$K$67)*IFERROR($D$17:$D$266,0))/SUMPRODUCT(($I$17:$I$266=$K$67)*ISNUMBER($D$17:$D$266))),IFERROR(LOOKUP(2,1/(($I$17:$I$266=$K$67)*ISNUMBER($D$17:$D$266)),$D$17:$D$266),NA()))</f>
        <v>#N/A</v>
      </c>
      <c r="M67" s="20" t="e">
        <f aca="false">IFERROR(L67/L63-1,NA())</f>
        <v>#N/A</v>
      </c>
    </row>
    <row r="68" customFormat="false" ht="15" hidden="false" customHeight="false" outlineLevel="0" collapsed="false">
      <c r="A68" s="27"/>
      <c r="B68" s="28" t="e">
        <f aca="false">IFERROR(IF(ISNUMBER(A68),TEXT(YEAR(A68)-2000,"00")&amp;TEXT(MONTH(A68),"00"),NA()),NA())</f>
        <v>#N/A</v>
      </c>
      <c r="C68" s="18" t="n">
        <f aca="false">IFERROR(YEAR(A68),0)</f>
        <v>1899</v>
      </c>
      <c r="D68" s="32"/>
      <c r="E68" s="20" t="e">
        <f aca="false">IFERROR(D68/D67-1,NA())</f>
        <v>#N/A</v>
      </c>
      <c r="F68" s="20" t="e">
        <f aca="false">IFERROR(D68/D56-1,NA())</f>
        <v>#N/A</v>
      </c>
      <c r="G68" s="21" t="e">
        <f aca="false">IF(COUNT(D66:D68)=3,AVERAGE(D66:D68),NA())</f>
        <v>#N/A</v>
      </c>
      <c r="H68" s="20" t="e">
        <f aca="false">IFERROR(IF(AND(COUNT(D66:D68)=3,COUNT(D54:D56)=3),AVERAGE(D66:D68)/AVERAGE(D54:D56)-1,NA()),NA())</f>
        <v>#N/A</v>
      </c>
      <c r="I68" s="28" t="str">
        <f aca="false">IFERROR(YEAR(A68)&amp;"Q"&amp;CEILING(MONTH(A68)/3,1),"")</f>
        <v>1899Q4</v>
      </c>
      <c r="K68" s="28" t="s">
        <v>438</v>
      </c>
      <c r="L68" s="23" t="e">
        <f aca="false">CHOOSE(MATCH($B$11,{"Sum","Average","End of Period"},0),IF(SUMPRODUCT(($I$17:$I$266=$K$68)*ISNUMBER($D$17:$D$266))=0,NA(),SUMPRODUCT(($I$17:$I$266=$K$68)*IFERROR($D$17:$D$266,0))),IF(SUMPRODUCT(($I$17:$I$266=$K$68)*ISNUMBER($D$17:$D$266))=0,NA(),SUMPRODUCT(($I$17:$I$266=$K$68)*IFERROR($D$17:$D$266,0))/SUMPRODUCT(($I$17:$I$266=$K$68)*ISNUMBER($D$17:$D$266))),IFERROR(LOOKUP(2,1/(($I$17:$I$266=$K$68)*ISNUMBER($D$17:$D$266)),$D$17:$D$266),NA()))</f>
        <v>#N/A</v>
      </c>
      <c r="M68" s="20" t="e">
        <f aca="false">IFERROR(L68/L64-1,NA())</f>
        <v>#N/A</v>
      </c>
    </row>
    <row r="69" customFormat="false" ht="15" hidden="false" customHeight="false" outlineLevel="0" collapsed="false">
      <c r="A69" s="27"/>
      <c r="B69" s="28" t="e">
        <f aca="false">IFERROR(IF(ISNUMBER(A69),TEXT(YEAR(A69)-2000,"00")&amp;TEXT(MONTH(A69),"00"),NA()),NA())</f>
        <v>#N/A</v>
      </c>
      <c r="C69" s="18" t="n">
        <f aca="false">IFERROR(YEAR(A69),0)</f>
        <v>1899</v>
      </c>
      <c r="D69" s="32"/>
      <c r="E69" s="20" t="e">
        <f aca="false">IFERROR(D69/D68-1,NA())</f>
        <v>#N/A</v>
      </c>
      <c r="F69" s="20" t="e">
        <f aca="false">IFERROR(D69/D57-1,NA())</f>
        <v>#N/A</v>
      </c>
      <c r="G69" s="21" t="e">
        <f aca="false">IF(COUNT(D67:D69)=3,AVERAGE(D67:D69),NA())</f>
        <v>#N/A</v>
      </c>
      <c r="H69" s="20" t="e">
        <f aca="false">IFERROR(IF(AND(COUNT(D67:D69)=3,COUNT(D55:D57)=3),AVERAGE(D67:D69)/AVERAGE(D55:D57)-1,NA()),NA())</f>
        <v>#N/A</v>
      </c>
      <c r="I69" s="28" t="str">
        <f aca="false">IFERROR(YEAR(A69)&amp;"Q"&amp;CEILING(MONTH(A69)/3,1),"")</f>
        <v>1899Q4</v>
      </c>
      <c r="K69" s="28" t="s">
        <v>439</v>
      </c>
      <c r="L69" s="23" t="e">
        <f aca="false">CHOOSE(MATCH($B$11,{"Sum","Average","End of Period"},0),IF(SUMPRODUCT(($I$17:$I$266=$K$69)*ISNUMBER($D$17:$D$266))=0,NA(),SUMPRODUCT(($I$17:$I$266=$K$69)*IFERROR($D$17:$D$266,0))),IF(SUMPRODUCT(($I$17:$I$266=$K$69)*ISNUMBER($D$17:$D$266))=0,NA(),SUMPRODUCT(($I$17:$I$266=$K$69)*IFERROR($D$17:$D$266,0))/SUMPRODUCT(($I$17:$I$266=$K$69)*ISNUMBER($D$17:$D$266))),IFERROR(LOOKUP(2,1/(($I$17:$I$266=$K$69)*ISNUMBER($D$17:$D$266)),$D$17:$D$266),NA()))</f>
        <v>#N/A</v>
      </c>
      <c r="M69" s="20" t="e">
        <f aca="false">IFERROR(L69/L65-1,NA())</f>
        <v>#N/A</v>
      </c>
    </row>
    <row r="70" customFormat="false" ht="15" hidden="false" customHeight="false" outlineLevel="0" collapsed="false">
      <c r="A70" s="27"/>
      <c r="B70" s="28" t="e">
        <f aca="false">IFERROR(IF(ISNUMBER(A70),TEXT(YEAR(A70)-2000,"00")&amp;TEXT(MONTH(A70),"00"),NA()),NA())</f>
        <v>#N/A</v>
      </c>
      <c r="C70" s="18" t="n">
        <f aca="false">IFERROR(YEAR(A70),0)</f>
        <v>1899</v>
      </c>
      <c r="D70" s="32"/>
      <c r="E70" s="20" t="e">
        <f aca="false">IFERROR(D70/D69-1,NA())</f>
        <v>#N/A</v>
      </c>
      <c r="F70" s="20" t="e">
        <f aca="false">IFERROR(D70/D58-1,NA())</f>
        <v>#N/A</v>
      </c>
      <c r="G70" s="21" t="e">
        <f aca="false">IF(COUNT(D68:D70)=3,AVERAGE(D68:D70),NA())</f>
        <v>#N/A</v>
      </c>
      <c r="H70" s="20" t="e">
        <f aca="false">IFERROR(IF(AND(COUNT(D68:D70)=3,COUNT(D56:D58)=3),AVERAGE(D68:D70)/AVERAGE(D56:D58)-1,NA()),NA())</f>
        <v>#N/A</v>
      </c>
      <c r="I70" s="28" t="str">
        <f aca="false">IFERROR(YEAR(A70)&amp;"Q"&amp;CEILING(MONTH(A70)/3,1),"")</f>
        <v>1899Q4</v>
      </c>
      <c r="K70" s="28" t="s">
        <v>440</v>
      </c>
      <c r="L70" s="23" t="e">
        <f aca="false">CHOOSE(MATCH($B$11,{"Sum","Average","End of Period"},0),IF(SUMPRODUCT(($I$17:$I$266=$K$70)*ISNUMBER($D$17:$D$266))=0,NA(),SUMPRODUCT(($I$17:$I$266=$K$70)*IFERROR($D$17:$D$266,0))),IF(SUMPRODUCT(($I$17:$I$266=$K$70)*ISNUMBER($D$17:$D$266))=0,NA(),SUMPRODUCT(($I$17:$I$266=$K$70)*IFERROR($D$17:$D$266,0))/SUMPRODUCT(($I$17:$I$266=$K$70)*ISNUMBER($D$17:$D$266))),IFERROR(LOOKUP(2,1/(($I$17:$I$266=$K$70)*ISNUMBER($D$17:$D$266)),$D$17:$D$266),NA()))</f>
        <v>#N/A</v>
      </c>
      <c r="M70" s="20" t="e">
        <f aca="false">IFERROR(L70/L66-1,NA())</f>
        <v>#N/A</v>
      </c>
    </row>
    <row r="71" customFormat="false" ht="15" hidden="false" customHeight="false" outlineLevel="0" collapsed="false">
      <c r="A71" s="27"/>
      <c r="B71" s="28" t="e">
        <f aca="false">IFERROR(IF(ISNUMBER(A71),TEXT(YEAR(A71)-2000,"00")&amp;TEXT(MONTH(A71),"00"),NA()),NA())</f>
        <v>#N/A</v>
      </c>
      <c r="C71" s="18" t="n">
        <f aca="false">IFERROR(YEAR(A71),0)</f>
        <v>1899</v>
      </c>
      <c r="D71" s="32"/>
      <c r="E71" s="20" t="e">
        <f aca="false">IFERROR(D71/D70-1,NA())</f>
        <v>#N/A</v>
      </c>
      <c r="F71" s="20" t="e">
        <f aca="false">IFERROR(D71/D59-1,NA())</f>
        <v>#N/A</v>
      </c>
      <c r="G71" s="21" t="e">
        <f aca="false">IF(COUNT(D69:D71)=3,AVERAGE(D69:D71),NA())</f>
        <v>#N/A</v>
      </c>
      <c r="H71" s="20" t="e">
        <f aca="false">IFERROR(IF(AND(COUNT(D69:D71)=3,COUNT(D57:D59)=3),AVERAGE(D69:D71)/AVERAGE(D57:D59)-1,NA()),NA())</f>
        <v>#N/A</v>
      </c>
      <c r="I71" s="28" t="str">
        <f aca="false">IFERROR(YEAR(A71)&amp;"Q"&amp;CEILING(MONTH(A71)/3,1),"")</f>
        <v>1899Q4</v>
      </c>
      <c r="K71" s="28" t="s">
        <v>441</v>
      </c>
      <c r="L71" s="23" t="e">
        <f aca="false">CHOOSE(MATCH($B$11,{"Sum","Average","End of Period"},0),IF(SUMPRODUCT(($I$17:$I$266=$K$71)*ISNUMBER($D$17:$D$266))=0,NA(),SUMPRODUCT(($I$17:$I$266=$K$71)*IFERROR($D$17:$D$266,0))),IF(SUMPRODUCT(($I$17:$I$266=$K$71)*ISNUMBER($D$17:$D$266))=0,NA(),SUMPRODUCT(($I$17:$I$266=$K$71)*IFERROR($D$17:$D$266,0))/SUMPRODUCT(($I$17:$I$266=$K$71)*ISNUMBER($D$17:$D$266))),IFERROR(LOOKUP(2,1/(($I$17:$I$266=$K$71)*ISNUMBER($D$17:$D$266)),$D$17:$D$266),NA()))</f>
        <v>#N/A</v>
      </c>
      <c r="M71" s="20" t="e">
        <f aca="false">IFERROR(L71/L67-1,NA())</f>
        <v>#N/A</v>
      </c>
    </row>
    <row r="72" customFormat="false" ht="15" hidden="false" customHeight="false" outlineLevel="0" collapsed="false">
      <c r="A72" s="27"/>
      <c r="B72" s="28" t="e">
        <f aca="false">IFERROR(IF(ISNUMBER(A72),TEXT(YEAR(A72)-2000,"00")&amp;TEXT(MONTH(A72),"00"),NA()),NA())</f>
        <v>#N/A</v>
      </c>
      <c r="C72" s="18" t="n">
        <f aca="false">IFERROR(YEAR(A72),0)</f>
        <v>1899</v>
      </c>
      <c r="D72" s="32"/>
      <c r="E72" s="20" t="e">
        <f aca="false">IFERROR(D72/D71-1,NA())</f>
        <v>#N/A</v>
      </c>
      <c r="F72" s="20" t="e">
        <f aca="false">IFERROR(D72/D60-1,NA())</f>
        <v>#N/A</v>
      </c>
      <c r="G72" s="21" t="e">
        <f aca="false">IF(COUNT(D70:D72)=3,AVERAGE(D70:D72),NA())</f>
        <v>#N/A</v>
      </c>
      <c r="H72" s="20" t="e">
        <f aca="false">IFERROR(IF(AND(COUNT(D70:D72)=3,COUNT(D58:D60)=3),AVERAGE(D70:D72)/AVERAGE(D58:D60)-1,NA()),NA())</f>
        <v>#N/A</v>
      </c>
      <c r="I72" s="28" t="str">
        <f aca="false">IFERROR(YEAR(A72)&amp;"Q"&amp;CEILING(MONTH(A72)/3,1),"")</f>
        <v>1899Q4</v>
      </c>
      <c r="K72" s="28" t="s">
        <v>442</v>
      </c>
      <c r="L72" s="23" t="e">
        <f aca="false">CHOOSE(MATCH($B$11,{"Sum","Average","End of Period"},0),IF(SUMPRODUCT(($I$17:$I$266=$K$72)*ISNUMBER($D$17:$D$266))=0,NA(),SUMPRODUCT(($I$17:$I$266=$K$72)*IFERROR($D$17:$D$266,0))),IF(SUMPRODUCT(($I$17:$I$266=$K$72)*ISNUMBER($D$17:$D$266))=0,NA(),SUMPRODUCT(($I$17:$I$266=$K$72)*IFERROR($D$17:$D$266,0))/SUMPRODUCT(($I$17:$I$266=$K$72)*ISNUMBER($D$17:$D$266))),IFERROR(LOOKUP(2,1/(($I$17:$I$266=$K$72)*ISNUMBER($D$17:$D$266)),$D$17:$D$266),NA()))</f>
        <v>#N/A</v>
      </c>
      <c r="M72" s="20" t="e">
        <f aca="false">IFERROR(L72/L68-1,NA())</f>
        <v>#N/A</v>
      </c>
    </row>
    <row r="73" customFormat="false" ht="15" hidden="false" customHeight="false" outlineLevel="0" collapsed="false">
      <c r="A73" s="27"/>
      <c r="B73" s="28" t="e">
        <f aca="false">IFERROR(IF(ISNUMBER(A73),TEXT(YEAR(A73)-2000,"00")&amp;TEXT(MONTH(A73),"00"),NA()),NA())</f>
        <v>#N/A</v>
      </c>
      <c r="C73" s="18" t="n">
        <f aca="false">IFERROR(YEAR(A73),0)</f>
        <v>1899</v>
      </c>
      <c r="D73" s="32"/>
      <c r="E73" s="20" t="e">
        <f aca="false">IFERROR(D73/D72-1,NA())</f>
        <v>#N/A</v>
      </c>
      <c r="F73" s="20" t="e">
        <f aca="false">IFERROR(D73/D61-1,NA())</f>
        <v>#N/A</v>
      </c>
      <c r="G73" s="21" t="e">
        <f aca="false">IF(COUNT(D71:D73)=3,AVERAGE(D71:D73),NA())</f>
        <v>#N/A</v>
      </c>
      <c r="H73" s="20" t="e">
        <f aca="false">IFERROR(IF(AND(COUNT(D71:D73)=3,COUNT(D59:D61)=3),AVERAGE(D71:D73)/AVERAGE(D59:D61)-1,NA()),NA())</f>
        <v>#N/A</v>
      </c>
      <c r="I73" s="28" t="str">
        <f aca="false">IFERROR(YEAR(A73)&amp;"Q"&amp;CEILING(MONTH(A73)/3,1),"")</f>
        <v>1899Q4</v>
      </c>
      <c r="K73" s="28" t="s">
        <v>443</v>
      </c>
      <c r="L73" s="23" t="e">
        <f aca="false">CHOOSE(MATCH($B$11,{"Sum","Average","End of Period"},0),IF(SUMPRODUCT(($I$17:$I$266=$K$73)*ISNUMBER($D$17:$D$266))=0,NA(),SUMPRODUCT(($I$17:$I$266=$K$73)*IFERROR($D$17:$D$266,0))),IF(SUMPRODUCT(($I$17:$I$266=$K$73)*ISNUMBER($D$17:$D$266))=0,NA(),SUMPRODUCT(($I$17:$I$266=$K$73)*IFERROR($D$17:$D$266,0))/SUMPRODUCT(($I$17:$I$266=$K$73)*ISNUMBER($D$17:$D$266))),IFERROR(LOOKUP(2,1/(($I$17:$I$266=$K$73)*ISNUMBER($D$17:$D$266)),$D$17:$D$266),NA()))</f>
        <v>#N/A</v>
      </c>
      <c r="M73" s="20" t="e">
        <f aca="false">IFERROR(L73/L69-1,NA())</f>
        <v>#N/A</v>
      </c>
    </row>
    <row r="74" customFormat="false" ht="15" hidden="false" customHeight="false" outlineLevel="0" collapsed="false">
      <c r="A74" s="27"/>
      <c r="B74" s="28" t="e">
        <f aca="false">IFERROR(IF(ISNUMBER(A74),TEXT(YEAR(A74)-2000,"00")&amp;TEXT(MONTH(A74),"00"),NA()),NA())</f>
        <v>#N/A</v>
      </c>
      <c r="C74" s="18" t="n">
        <f aca="false">IFERROR(YEAR(A74),0)</f>
        <v>1899</v>
      </c>
      <c r="D74" s="32"/>
      <c r="E74" s="20" t="e">
        <f aca="false">IFERROR(D74/D73-1,NA())</f>
        <v>#N/A</v>
      </c>
      <c r="F74" s="20" t="e">
        <f aca="false">IFERROR(D74/D62-1,NA())</f>
        <v>#N/A</v>
      </c>
      <c r="G74" s="21" t="e">
        <f aca="false">IF(COUNT(D72:D74)=3,AVERAGE(D72:D74),NA())</f>
        <v>#N/A</v>
      </c>
      <c r="H74" s="20" t="e">
        <f aca="false">IFERROR(IF(AND(COUNT(D72:D74)=3,COUNT(D60:D62)=3),AVERAGE(D72:D74)/AVERAGE(D60:D62)-1,NA()),NA())</f>
        <v>#N/A</v>
      </c>
      <c r="I74" s="28" t="str">
        <f aca="false">IFERROR(YEAR(A74)&amp;"Q"&amp;CEILING(MONTH(A74)/3,1),"")</f>
        <v>1899Q4</v>
      </c>
      <c r="K74" s="28" t="s">
        <v>444</v>
      </c>
      <c r="L74" s="23" t="e">
        <f aca="false">CHOOSE(MATCH($B$11,{"Sum","Average","End of Period"},0),IF(SUMPRODUCT(($I$17:$I$266=$K$74)*ISNUMBER($D$17:$D$266))=0,NA(),SUMPRODUCT(($I$17:$I$266=$K$74)*IFERROR($D$17:$D$266,0))),IF(SUMPRODUCT(($I$17:$I$266=$K$74)*ISNUMBER($D$17:$D$266))=0,NA(),SUMPRODUCT(($I$17:$I$266=$K$74)*IFERROR($D$17:$D$266,0))/SUMPRODUCT(($I$17:$I$266=$K$74)*ISNUMBER($D$17:$D$266))),IFERROR(LOOKUP(2,1/(($I$17:$I$266=$K$74)*ISNUMBER($D$17:$D$266)),$D$17:$D$266),NA()))</f>
        <v>#N/A</v>
      </c>
      <c r="M74" s="20" t="e">
        <f aca="false">IFERROR(L74/L70-1,NA())</f>
        <v>#N/A</v>
      </c>
    </row>
    <row r="75" customFormat="false" ht="15" hidden="false" customHeight="false" outlineLevel="0" collapsed="false">
      <c r="A75" s="27"/>
      <c r="B75" s="28" t="e">
        <f aca="false">IFERROR(IF(ISNUMBER(A75),TEXT(YEAR(A75)-2000,"00")&amp;TEXT(MONTH(A75),"00"),NA()),NA())</f>
        <v>#N/A</v>
      </c>
      <c r="C75" s="18" t="n">
        <f aca="false">IFERROR(YEAR(A75),0)</f>
        <v>1899</v>
      </c>
      <c r="D75" s="32"/>
      <c r="E75" s="20" t="e">
        <f aca="false">IFERROR(D75/D74-1,NA())</f>
        <v>#N/A</v>
      </c>
      <c r="F75" s="20" t="e">
        <f aca="false">IFERROR(D75/D63-1,NA())</f>
        <v>#N/A</v>
      </c>
      <c r="G75" s="21" t="e">
        <f aca="false">IF(COUNT(D73:D75)=3,AVERAGE(D73:D75),NA())</f>
        <v>#N/A</v>
      </c>
      <c r="H75" s="20" t="e">
        <f aca="false">IFERROR(IF(AND(COUNT(D73:D75)=3,COUNT(D61:D63)=3),AVERAGE(D73:D75)/AVERAGE(D61:D63)-1,NA()),NA())</f>
        <v>#N/A</v>
      </c>
      <c r="I75" s="28" t="str">
        <f aca="false">IFERROR(YEAR(A75)&amp;"Q"&amp;CEILING(MONTH(A75)/3,1),"")</f>
        <v>1899Q4</v>
      </c>
      <c r="K75" s="28" t="s">
        <v>445</v>
      </c>
      <c r="L75" s="23" t="e">
        <f aca="false">CHOOSE(MATCH($B$11,{"Sum","Average","End of Period"},0),IF(SUMPRODUCT(($I$17:$I$266=$K$75)*ISNUMBER($D$17:$D$266))=0,NA(),SUMPRODUCT(($I$17:$I$266=$K$75)*IFERROR($D$17:$D$266,0))),IF(SUMPRODUCT(($I$17:$I$266=$K$75)*ISNUMBER($D$17:$D$266))=0,NA(),SUMPRODUCT(($I$17:$I$266=$K$75)*IFERROR($D$17:$D$266,0))/SUMPRODUCT(($I$17:$I$266=$K$75)*ISNUMBER($D$17:$D$266))),IFERROR(LOOKUP(2,1/(($I$17:$I$266=$K$75)*ISNUMBER($D$17:$D$266)),$D$17:$D$266),NA()))</f>
        <v>#N/A</v>
      </c>
      <c r="M75" s="20" t="e">
        <f aca="false">IFERROR(L75/L71-1,NA())</f>
        <v>#N/A</v>
      </c>
    </row>
    <row r="76" customFormat="false" ht="15" hidden="false" customHeight="false" outlineLevel="0" collapsed="false">
      <c r="A76" s="27"/>
      <c r="B76" s="28" t="e">
        <f aca="false">IFERROR(IF(ISNUMBER(A76),TEXT(YEAR(A76)-2000,"00")&amp;TEXT(MONTH(A76),"00"),NA()),NA())</f>
        <v>#N/A</v>
      </c>
      <c r="C76" s="18" t="n">
        <f aca="false">IFERROR(YEAR(A76),0)</f>
        <v>1899</v>
      </c>
      <c r="D76" s="32"/>
      <c r="E76" s="20" t="e">
        <f aca="false">IFERROR(D76/D75-1,NA())</f>
        <v>#N/A</v>
      </c>
      <c r="F76" s="20" t="e">
        <f aca="false">IFERROR(D76/D64-1,NA())</f>
        <v>#N/A</v>
      </c>
      <c r="G76" s="21" t="e">
        <f aca="false">IF(COUNT(D74:D76)=3,AVERAGE(D74:D76),NA())</f>
        <v>#N/A</v>
      </c>
      <c r="H76" s="20" t="e">
        <f aca="false">IFERROR(IF(AND(COUNT(D74:D76)=3,COUNT(D62:D64)=3),AVERAGE(D74:D76)/AVERAGE(D62:D64)-1,NA()),NA())</f>
        <v>#N/A</v>
      </c>
      <c r="I76" s="28" t="str">
        <f aca="false">IFERROR(YEAR(A76)&amp;"Q"&amp;CEILING(MONTH(A76)/3,1),"")</f>
        <v>1899Q4</v>
      </c>
      <c r="K76" s="28" t="s">
        <v>446</v>
      </c>
      <c r="L76" s="23" t="e">
        <f aca="false">CHOOSE(MATCH($B$11,{"Sum","Average","End of Period"},0),IF(SUMPRODUCT(($I$17:$I$266=$K$76)*ISNUMBER($D$17:$D$266))=0,NA(),SUMPRODUCT(($I$17:$I$266=$K$76)*IFERROR($D$17:$D$266,0))),IF(SUMPRODUCT(($I$17:$I$266=$K$76)*ISNUMBER($D$17:$D$266))=0,NA(),SUMPRODUCT(($I$17:$I$266=$K$76)*IFERROR($D$17:$D$266,0))/SUMPRODUCT(($I$17:$I$266=$K$76)*ISNUMBER($D$17:$D$266))),IFERROR(LOOKUP(2,1/(($I$17:$I$266=$K$76)*ISNUMBER($D$17:$D$266)),$D$17:$D$266),NA()))</f>
        <v>#N/A</v>
      </c>
      <c r="M76" s="20" t="e">
        <f aca="false">IFERROR(L76/L72-1,NA())</f>
        <v>#N/A</v>
      </c>
    </row>
    <row r="77" customFormat="false" ht="15" hidden="false" customHeight="false" outlineLevel="0" collapsed="false">
      <c r="A77" s="27"/>
      <c r="B77" s="28" t="e">
        <f aca="false">IFERROR(IF(ISNUMBER(A77),TEXT(YEAR(A77)-2000,"00")&amp;TEXT(MONTH(A77),"00"),NA()),NA())</f>
        <v>#N/A</v>
      </c>
      <c r="C77" s="18" t="n">
        <f aca="false">IFERROR(YEAR(A77),0)</f>
        <v>1899</v>
      </c>
      <c r="D77" s="32"/>
      <c r="E77" s="20" t="e">
        <f aca="false">IFERROR(D77/D76-1,NA())</f>
        <v>#N/A</v>
      </c>
      <c r="F77" s="20" t="e">
        <f aca="false">IFERROR(D77/D65-1,NA())</f>
        <v>#N/A</v>
      </c>
      <c r="G77" s="21" t="e">
        <f aca="false">IF(COUNT(D75:D77)=3,AVERAGE(D75:D77),NA())</f>
        <v>#N/A</v>
      </c>
      <c r="H77" s="20" t="e">
        <f aca="false">IFERROR(IF(AND(COUNT(D75:D77)=3,COUNT(D63:D65)=3),AVERAGE(D75:D77)/AVERAGE(D63:D65)-1,NA()),NA())</f>
        <v>#N/A</v>
      </c>
      <c r="I77" s="28" t="str">
        <f aca="false">IFERROR(YEAR(A77)&amp;"Q"&amp;CEILING(MONTH(A77)/3,1),"")</f>
        <v>1899Q4</v>
      </c>
      <c r="K77" s="28" t="s">
        <v>447</v>
      </c>
      <c r="L77" s="23" t="e">
        <f aca="false">CHOOSE(MATCH($B$11,{"Sum","Average","End of Period"},0),IF(SUMPRODUCT(($I$17:$I$266=$K$77)*ISNUMBER($D$17:$D$266))=0,NA(),SUMPRODUCT(($I$17:$I$266=$K$77)*IFERROR($D$17:$D$266,0))),IF(SUMPRODUCT(($I$17:$I$266=$K$77)*ISNUMBER($D$17:$D$266))=0,NA(),SUMPRODUCT(($I$17:$I$266=$K$77)*IFERROR($D$17:$D$266,0))/SUMPRODUCT(($I$17:$I$266=$K$77)*ISNUMBER($D$17:$D$266))),IFERROR(LOOKUP(2,1/(($I$17:$I$266=$K$77)*ISNUMBER($D$17:$D$266)),$D$17:$D$266),NA()))</f>
        <v>#N/A</v>
      </c>
      <c r="M77" s="20" t="e">
        <f aca="false">IFERROR(L77/L73-1,NA())</f>
        <v>#N/A</v>
      </c>
    </row>
    <row r="78" customFormat="false" ht="15" hidden="false" customHeight="false" outlineLevel="0" collapsed="false">
      <c r="A78" s="27"/>
      <c r="B78" s="28" t="e">
        <f aca="false">IFERROR(IF(ISNUMBER(A78),TEXT(YEAR(A78)-2000,"00")&amp;TEXT(MONTH(A78),"00"),NA()),NA())</f>
        <v>#N/A</v>
      </c>
      <c r="C78" s="18" t="n">
        <f aca="false">IFERROR(YEAR(A78),0)</f>
        <v>1899</v>
      </c>
      <c r="D78" s="32"/>
      <c r="E78" s="20" t="e">
        <f aca="false">IFERROR(D78/D77-1,NA())</f>
        <v>#N/A</v>
      </c>
      <c r="F78" s="20" t="e">
        <f aca="false">IFERROR(D78/D66-1,NA())</f>
        <v>#N/A</v>
      </c>
      <c r="G78" s="21" t="e">
        <f aca="false">IF(COUNT(D76:D78)=3,AVERAGE(D76:D78),NA())</f>
        <v>#N/A</v>
      </c>
      <c r="H78" s="20" t="e">
        <f aca="false">IFERROR(IF(AND(COUNT(D76:D78)=3,COUNT(D64:D66)=3),AVERAGE(D76:D78)/AVERAGE(D64:D66)-1,NA()),NA())</f>
        <v>#N/A</v>
      </c>
      <c r="I78" s="28" t="str">
        <f aca="false">IFERROR(YEAR(A78)&amp;"Q"&amp;CEILING(MONTH(A78)/3,1),"")</f>
        <v>1899Q4</v>
      </c>
      <c r="K78" s="28" t="s">
        <v>448</v>
      </c>
      <c r="L78" s="23" t="e">
        <f aca="false">CHOOSE(MATCH($B$11,{"Sum","Average","End of Period"},0),IF(SUMPRODUCT(($I$17:$I$266=$K$78)*ISNUMBER($D$17:$D$266))=0,NA(),SUMPRODUCT(($I$17:$I$266=$K$78)*IFERROR($D$17:$D$266,0))),IF(SUMPRODUCT(($I$17:$I$266=$K$78)*ISNUMBER($D$17:$D$266))=0,NA(),SUMPRODUCT(($I$17:$I$266=$K$78)*IFERROR($D$17:$D$266,0))/SUMPRODUCT(($I$17:$I$266=$K$78)*ISNUMBER($D$17:$D$266))),IFERROR(LOOKUP(2,1/(($I$17:$I$266=$K$78)*ISNUMBER($D$17:$D$266)),$D$17:$D$266),NA()))</f>
        <v>#N/A</v>
      </c>
      <c r="M78" s="20" t="e">
        <f aca="false">IFERROR(L78/L74-1,NA())</f>
        <v>#N/A</v>
      </c>
    </row>
    <row r="79" customFormat="false" ht="15" hidden="false" customHeight="false" outlineLevel="0" collapsed="false">
      <c r="A79" s="27"/>
      <c r="B79" s="28" t="e">
        <f aca="false">IFERROR(IF(ISNUMBER(A79),TEXT(YEAR(A79)-2000,"00")&amp;TEXT(MONTH(A79),"00"),NA()),NA())</f>
        <v>#N/A</v>
      </c>
      <c r="C79" s="18" t="n">
        <f aca="false">IFERROR(YEAR(A79),0)</f>
        <v>1899</v>
      </c>
      <c r="D79" s="32"/>
      <c r="E79" s="20" t="e">
        <f aca="false">IFERROR(D79/D78-1,NA())</f>
        <v>#N/A</v>
      </c>
      <c r="F79" s="20" t="e">
        <f aca="false">IFERROR(D79/D67-1,NA())</f>
        <v>#N/A</v>
      </c>
      <c r="G79" s="21" t="e">
        <f aca="false">IF(COUNT(D77:D79)=3,AVERAGE(D77:D79),NA())</f>
        <v>#N/A</v>
      </c>
      <c r="H79" s="20" t="e">
        <f aca="false">IFERROR(IF(AND(COUNT(D77:D79)=3,COUNT(D65:D67)=3),AVERAGE(D77:D79)/AVERAGE(D65:D67)-1,NA()),NA())</f>
        <v>#N/A</v>
      </c>
      <c r="I79" s="28" t="str">
        <f aca="false">IFERROR(YEAR(A79)&amp;"Q"&amp;CEILING(MONTH(A79)/3,1),"")</f>
        <v>1899Q4</v>
      </c>
      <c r="K79" s="28" t="s">
        <v>449</v>
      </c>
      <c r="L79" s="23" t="e">
        <f aca="false">CHOOSE(MATCH($B$11,{"Sum","Average","End of Period"},0),IF(SUMPRODUCT(($I$17:$I$266=$K$79)*ISNUMBER($D$17:$D$266))=0,NA(),SUMPRODUCT(($I$17:$I$266=$K$79)*IFERROR($D$17:$D$266,0))),IF(SUMPRODUCT(($I$17:$I$266=$K$79)*ISNUMBER($D$17:$D$266))=0,NA(),SUMPRODUCT(($I$17:$I$266=$K$79)*IFERROR($D$17:$D$266,0))/SUMPRODUCT(($I$17:$I$266=$K$79)*ISNUMBER($D$17:$D$266))),IFERROR(LOOKUP(2,1/(($I$17:$I$266=$K$79)*ISNUMBER($D$17:$D$266)),$D$17:$D$266),NA()))</f>
        <v>#N/A</v>
      </c>
      <c r="M79" s="20" t="e">
        <f aca="false">IFERROR(L79/L75-1,NA())</f>
        <v>#N/A</v>
      </c>
    </row>
    <row r="80" customFormat="false" ht="15" hidden="false" customHeight="false" outlineLevel="0" collapsed="false">
      <c r="A80" s="27"/>
      <c r="B80" s="28" t="e">
        <f aca="false">IFERROR(IF(ISNUMBER(A80),TEXT(YEAR(A80)-2000,"00")&amp;TEXT(MONTH(A80),"00"),NA()),NA())</f>
        <v>#N/A</v>
      </c>
      <c r="C80" s="18" t="n">
        <f aca="false">IFERROR(YEAR(A80),0)</f>
        <v>1899</v>
      </c>
      <c r="D80" s="32"/>
      <c r="E80" s="20" t="e">
        <f aca="false">IFERROR(D80/D79-1,NA())</f>
        <v>#N/A</v>
      </c>
      <c r="F80" s="20" t="e">
        <f aca="false">IFERROR(D80/D68-1,NA())</f>
        <v>#N/A</v>
      </c>
      <c r="G80" s="21" t="e">
        <f aca="false">IF(COUNT(D78:D80)=3,AVERAGE(D78:D80),NA())</f>
        <v>#N/A</v>
      </c>
      <c r="H80" s="20" t="e">
        <f aca="false">IFERROR(IF(AND(COUNT(D78:D80)=3,COUNT(D66:D68)=3),AVERAGE(D78:D80)/AVERAGE(D66:D68)-1,NA()),NA())</f>
        <v>#N/A</v>
      </c>
      <c r="I80" s="28" t="str">
        <f aca="false">IFERROR(YEAR(A80)&amp;"Q"&amp;CEILING(MONTH(A80)/3,1),"")</f>
        <v>1899Q4</v>
      </c>
      <c r="K80" s="28" t="s">
        <v>450</v>
      </c>
      <c r="L80" s="23" t="e">
        <f aca="false">CHOOSE(MATCH($B$11,{"Sum","Average","End of Period"},0),IF(SUMPRODUCT(($I$17:$I$266=$K$80)*ISNUMBER($D$17:$D$266))=0,NA(),SUMPRODUCT(($I$17:$I$266=$K$80)*IFERROR($D$17:$D$266,0))),IF(SUMPRODUCT(($I$17:$I$266=$K$80)*ISNUMBER($D$17:$D$266))=0,NA(),SUMPRODUCT(($I$17:$I$266=$K$80)*IFERROR($D$17:$D$266,0))/SUMPRODUCT(($I$17:$I$266=$K$80)*ISNUMBER($D$17:$D$266))),IFERROR(LOOKUP(2,1/(($I$17:$I$266=$K$80)*ISNUMBER($D$17:$D$266)),$D$17:$D$266),NA()))</f>
        <v>#N/A</v>
      </c>
      <c r="M80" s="20" t="e">
        <f aca="false">IFERROR(L80/L76-1,NA())</f>
        <v>#N/A</v>
      </c>
    </row>
    <row r="81" customFormat="false" ht="15" hidden="false" customHeight="false" outlineLevel="0" collapsed="false">
      <c r="A81" s="27"/>
      <c r="B81" s="28" t="e">
        <f aca="false">IFERROR(IF(ISNUMBER(A81),TEXT(YEAR(A81)-2000,"00")&amp;TEXT(MONTH(A81),"00"),NA()),NA())</f>
        <v>#N/A</v>
      </c>
      <c r="C81" s="18" t="n">
        <f aca="false">IFERROR(YEAR(A81),0)</f>
        <v>1899</v>
      </c>
      <c r="D81" s="32"/>
      <c r="E81" s="20" t="e">
        <f aca="false">IFERROR(D81/D80-1,NA())</f>
        <v>#N/A</v>
      </c>
      <c r="F81" s="20" t="e">
        <f aca="false">IFERROR(D81/D69-1,NA())</f>
        <v>#N/A</v>
      </c>
      <c r="G81" s="21" t="e">
        <f aca="false">IF(COUNT(D79:D81)=3,AVERAGE(D79:D81),NA())</f>
        <v>#N/A</v>
      </c>
      <c r="H81" s="20" t="e">
        <f aca="false">IFERROR(IF(AND(COUNT(D79:D81)=3,COUNT(D67:D69)=3),AVERAGE(D79:D81)/AVERAGE(D67:D69)-1,NA()),NA())</f>
        <v>#N/A</v>
      </c>
      <c r="I81" s="28" t="str">
        <f aca="false">IFERROR(YEAR(A81)&amp;"Q"&amp;CEILING(MONTH(A81)/3,1),"")</f>
        <v>1899Q4</v>
      </c>
      <c r="K81" s="28" t="s">
        <v>451</v>
      </c>
      <c r="L81" s="23" t="e">
        <f aca="false">CHOOSE(MATCH($B$11,{"Sum","Average","End of Period"},0),IF(SUMPRODUCT(($I$17:$I$266=$K$81)*ISNUMBER($D$17:$D$266))=0,NA(),SUMPRODUCT(($I$17:$I$266=$K$81)*IFERROR($D$17:$D$266,0))),IF(SUMPRODUCT(($I$17:$I$266=$K$81)*ISNUMBER($D$17:$D$266))=0,NA(),SUMPRODUCT(($I$17:$I$266=$K$81)*IFERROR($D$17:$D$266,0))/SUMPRODUCT(($I$17:$I$266=$K$81)*ISNUMBER($D$17:$D$266))),IFERROR(LOOKUP(2,1/(($I$17:$I$266=$K$81)*ISNUMBER($D$17:$D$266)),$D$17:$D$266),NA()))</f>
        <v>#N/A</v>
      </c>
      <c r="M81" s="20" t="e">
        <f aca="false">IFERROR(L81/L77-1,NA())</f>
        <v>#N/A</v>
      </c>
    </row>
    <row r="82" customFormat="false" ht="15" hidden="false" customHeight="false" outlineLevel="0" collapsed="false">
      <c r="A82" s="27"/>
      <c r="B82" s="28" t="e">
        <f aca="false">IFERROR(IF(ISNUMBER(A82),TEXT(YEAR(A82)-2000,"00")&amp;TEXT(MONTH(A82),"00"),NA()),NA())</f>
        <v>#N/A</v>
      </c>
      <c r="C82" s="18" t="n">
        <f aca="false">IFERROR(YEAR(A82),0)</f>
        <v>1899</v>
      </c>
      <c r="D82" s="32"/>
      <c r="E82" s="20" t="e">
        <f aca="false">IFERROR(D82/D81-1,NA())</f>
        <v>#N/A</v>
      </c>
      <c r="F82" s="20" t="e">
        <f aca="false">IFERROR(D82/D70-1,NA())</f>
        <v>#N/A</v>
      </c>
      <c r="G82" s="21" t="e">
        <f aca="false">IF(COUNT(D80:D82)=3,AVERAGE(D80:D82),NA())</f>
        <v>#N/A</v>
      </c>
      <c r="H82" s="20" t="e">
        <f aca="false">IFERROR(IF(AND(COUNT(D80:D82)=3,COUNT(D68:D70)=3),AVERAGE(D80:D82)/AVERAGE(D68:D70)-1,NA()),NA())</f>
        <v>#N/A</v>
      </c>
      <c r="I82" s="28" t="str">
        <f aca="false">IFERROR(YEAR(A82)&amp;"Q"&amp;CEILING(MONTH(A82)/3,1),"")</f>
        <v>1899Q4</v>
      </c>
      <c r="K82" s="28" t="s">
        <v>452</v>
      </c>
      <c r="L82" s="23" t="e">
        <f aca="false">CHOOSE(MATCH($B$11,{"Sum","Average","End of Period"},0),IF(SUMPRODUCT(($I$17:$I$266=$K$82)*ISNUMBER($D$17:$D$266))=0,NA(),SUMPRODUCT(($I$17:$I$266=$K$82)*IFERROR($D$17:$D$266,0))),IF(SUMPRODUCT(($I$17:$I$266=$K$82)*ISNUMBER($D$17:$D$266))=0,NA(),SUMPRODUCT(($I$17:$I$266=$K$82)*IFERROR($D$17:$D$266,0))/SUMPRODUCT(($I$17:$I$266=$K$82)*ISNUMBER($D$17:$D$266))),IFERROR(LOOKUP(2,1/(($I$17:$I$266=$K$82)*ISNUMBER($D$17:$D$266)),$D$17:$D$266),NA()))</f>
        <v>#N/A</v>
      </c>
      <c r="M82" s="20" t="e">
        <f aca="false">IFERROR(L82/L78-1,NA())</f>
        <v>#N/A</v>
      </c>
    </row>
    <row r="83" customFormat="false" ht="15" hidden="false" customHeight="false" outlineLevel="0" collapsed="false">
      <c r="A83" s="27"/>
      <c r="B83" s="28" t="e">
        <f aca="false">IFERROR(IF(ISNUMBER(A83),TEXT(YEAR(A83)-2000,"00")&amp;TEXT(MONTH(A83),"00"),NA()),NA())</f>
        <v>#N/A</v>
      </c>
      <c r="C83" s="18" t="n">
        <f aca="false">IFERROR(YEAR(A83),0)</f>
        <v>1899</v>
      </c>
      <c r="D83" s="32"/>
      <c r="E83" s="20" t="e">
        <f aca="false">IFERROR(D83/D82-1,NA())</f>
        <v>#N/A</v>
      </c>
      <c r="F83" s="20" t="e">
        <f aca="false">IFERROR(D83/D71-1,NA())</f>
        <v>#N/A</v>
      </c>
      <c r="G83" s="21" t="e">
        <f aca="false">IF(COUNT(D81:D83)=3,AVERAGE(D81:D83),NA())</f>
        <v>#N/A</v>
      </c>
      <c r="H83" s="20" t="e">
        <f aca="false">IFERROR(IF(AND(COUNT(D81:D83)=3,COUNT(D69:D71)=3),AVERAGE(D81:D83)/AVERAGE(D69:D71)-1,NA()),NA())</f>
        <v>#N/A</v>
      </c>
      <c r="I83" s="28" t="str">
        <f aca="false">IFERROR(YEAR(A83)&amp;"Q"&amp;CEILING(MONTH(A83)/3,1),"")</f>
        <v>1899Q4</v>
      </c>
      <c r="K83" s="28" t="s">
        <v>453</v>
      </c>
      <c r="L83" s="23" t="e">
        <f aca="false">CHOOSE(MATCH($B$11,{"Sum","Average","End of Period"},0),IF(SUMPRODUCT(($I$17:$I$266=$K$83)*ISNUMBER($D$17:$D$266))=0,NA(),SUMPRODUCT(($I$17:$I$266=$K$83)*IFERROR($D$17:$D$266,0))),IF(SUMPRODUCT(($I$17:$I$266=$K$83)*ISNUMBER($D$17:$D$266))=0,NA(),SUMPRODUCT(($I$17:$I$266=$K$83)*IFERROR($D$17:$D$266,0))/SUMPRODUCT(($I$17:$I$266=$K$83)*ISNUMBER($D$17:$D$266))),IFERROR(LOOKUP(2,1/(($I$17:$I$266=$K$83)*ISNUMBER($D$17:$D$266)),$D$17:$D$266),NA()))</f>
        <v>#N/A</v>
      </c>
      <c r="M83" s="20" t="e">
        <f aca="false">IFERROR(L83/L79-1,NA())</f>
        <v>#N/A</v>
      </c>
    </row>
    <row r="84" customFormat="false" ht="15" hidden="false" customHeight="false" outlineLevel="0" collapsed="false">
      <c r="A84" s="27"/>
      <c r="B84" s="28" t="e">
        <f aca="false">IFERROR(IF(ISNUMBER(A84),TEXT(YEAR(A84)-2000,"00")&amp;TEXT(MONTH(A84),"00"),NA()),NA())</f>
        <v>#N/A</v>
      </c>
      <c r="C84" s="18" t="n">
        <f aca="false">IFERROR(YEAR(A84),0)</f>
        <v>1899</v>
      </c>
      <c r="D84" s="32"/>
      <c r="E84" s="20" t="e">
        <f aca="false">IFERROR(D84/D83-1,NA())</f>
        <v>#N/A</v>
      </c>
      <c r="F84" s="20" t="e">
        <f aca="false">IFERROR(D84/D72-1,NA())</f>
        <v>#N/A</v>
      </c>
      <c r="G84" s="21" t="e">
        <f aca="false">IF(COUNT(D82:D84)=3,AVERAGE(D82:D84),NA())</f>
        <v>#N/A</v>
      </c>
      <c r="H84" s="20" t="e">
        <f aca="false">IFERROR(IF(AND(COUNT(D82:D84)=3,COUNT(D70:D72)=3),AVERAGE(D82:D84)/AVERAGE(D70:D72)-1,NA()),NA())</f>
        <v>#N/A</v>
      </c>
      <c r="I84" s="28" t="str">
        <f aca="false">IFERROR(YEAR(A84)&amp;"Q"&amp;CEILING(MONTH(A84)/3,1),"")</f>
        <v>1899Q4</v>
      </c>
      <c r="K84" s="28" t="s">
        <v>454</v>
      </c>
      <c r="L84" s="23" t="e">
        <f aca="false">CHOOSE(MATCH($B$11,{"Sum","Average","End of Period"},0),IF(SUMPRODUCT(($I$17:$I$266=$K$84)*ISNUMBER($D$17:$D$266))=0,NA(),SUMPRODUCT(($I$17:$I$266=$K$84)*IFERROR($D$17:$D$266,0))),IF(SUMPRODUCT(($I$17:$I$266=$K$84)*ISNUMBER($D$17:$D$266))=0,NA(),SUMPRODUCT(($I$17:$I$266=$K$84)*IFERROR($D$17:$D$266,0))/SUMPRODUCT(($I$17:$I$266=$K$84)*ISNUMBER($D$17:$D$266))),IFERROR(LOOKUP(2,1/(($I$17:$I$266=$K$84)*ISNUMBER($D$17:$D$266)),$D$17:$D$266),NA()))</f>
        <v>#N/A</v>
      </c>
      <c r="M84" s="20" t="e">
        <f aca="false">IFERROR(L84/L80-1,NA())</f>
        <v>#N/A</v>
      </c>
    </row>
    <row r="85" customFormat="false" ht="15" hidden="false" customHeight="false" outlineLevel="0" collapsed="false">
      <c r="A85" s="27"/>
      <c r="B85" s="28" t="e">
        <f aca="false">IFERROR(IF(ISNUMBER(A85),TEXT(YEAR(A85)-2000,"00")&amp;TEXT(MONTH(A85),"00"),NA()),NA())</f>
        <v>#N/A</v>
      </c>
      <c r="C85" s="18" t="n">
        <f aca="false">IFERROR(YEAR(A85),0)</f>
        <v>1899</v>
      </c>
      <c r="D85" s="32"/>
      <c r="E85" s="20" t="e">
        <f aca="false">IFERROR(D85/D84-1,NA())</f>
        <v>#N/A</v>
      </c>
      <c r="F85" s="20" t="e">
        <f aca="false">IFERROR(D85/D73-1,NA())</f>
        <v>#N/A</v>
      </c>
      <c r="G85" s="21" t="e">
        <f aca="false">IF(COUNT(D83:D85)=3,AVERAGE(D83:D85),NA())</f>
        <v>#N/A</v>
      </c>
      <c r="H85" s="20" t="e">
        <f aca="false">IFERROR(IF(AND(COUNT(D83:D85)=3,COUNT(D71:D73)=3),AVERAGE(D83:D85)/AVERAGE(D71:D73)-1,NA()),NA())</f>
        <v>#N/A</v>
      </c>
      <c r="I85" s="28" t="str">
        <f aca="false">IFERROR(YEAR(A85)&amp;"Q"&amp;CEILING(MONTH(A85)/3,1),"")</f>
        <v>1899Q4</v>
      </c>
      <c r="K85" s="28" t="s">
        <v>455</v>
      </c>
      <c r="L85" s="23" t="e">
        <f aca="false">CHOOSE(MATCH($B$11,{"Sum","Average","End of Period"},0),IF(SUMPRODUCT(($I$17:$I$266=$K$85)*ISNUMBER($D$17:$D$266))=0,NA(),SUMPRODUCT(($I$17:$I$266=$K$85)*IFERROR($D$17:$D$266,0))),IF(SUMPRODUCT(($I$17:$I$266=$K$85)*ISNUMBER($D$17:$D$266))=0,NA(),SUMPRODUCT(($I$17:$I$266=$K$85)*IFERROR($D$17:$D$266,0))/SUMPRODUCT(($I$17:$I$266=$K$85)*ISNUMBER($D$17:$D$266))),IFERROR(LOOKUP(2,1/(($I$17:$I$266=$K$85)*ISNUMBER($D$17:$D$266)),$D$17:$D$266),NA()))</f>
        <v>#N/A</v>
      </c>
      <c r="M85" s="20" t="e">
        <f aca="false">IFERROR(L85/L81-1,NA())</f>
        <v>#N/A</v>
      </c>
    </row>
    <row r="86" customFormat="false" ht="15" hidden="false" customHeight="false" outlineLevel="0" collapsed="false">
      <c r="A86" s="27"/>
      <c r="B86" s="28" t="e">
        <f aca="false">IFERROR(IF(ISNUMBER(A86),TEXT(YEAR(A86)-2000,"00")&amp;TEXT(MONTH(A86),"00"),NA()),NA())</f>
        <v>#N/A</v>
      </c>
      <c r="C86" s="18" t="n">
        <f aca="false">IFERROR(YEAR(A86),0)</f>
        <v>1899</v>
      </c>
      <c r="D86" s="32"/>
      <c r="E86" s="20" t="e">
        <f aca="false">IFERROR(D86/D85-1,NA())</f>
        <v>#N/A</v>
      </c>
      <c r="F86" s="20" t="e">
        <f aca="false">IFERROR(D86/D74-1,NA())</f>
        <v>#N/A</v>
      </c>
      <c r="G86" s="21" t="e">
        <f aca="false">IF(COUNT(D84:D86)=3,AVERAGE(D84:D86),NA())</f>
        <v>#N/A</v>
      </c>
      <c r="H86" s="20" t="e">
        <f aca="false">IFERROR(IF(AND(COUNT(D84:D86)=3,COUNT(D72:D74)=3),AVERAGE(D84:D86)/AVERAGE(D72:D74)-1,NA()),NA())</f>
        <v>#N/A</v>
      </c>
      <c r="I86" s="28" t="str">
        <f aca="false">IFERROR(YEAR(A86)&amp;"Q"&amp;CEILING(MONTH(A86)/3,1),"")</f>
        <v>1899Q4</v>
      </c>
      <c r="K86" s="28" t="s">
        <v>456</v>
      </c>
      <c r="L86" s="23" t="e">
        <f aca="false">CHOOSE(MATCH($B$11,{"Sum","Average","End of Period"},0),IF(SUMPRODUCT(($I$17:$I$266=$K$86)*ISNUMBER($D$17:$D$266))=0,NA(),SUMPRODUCT(($I$17:$I$266=$K$86)*IFERROR($D$17:$D$266,0))),IF(SUMPRODUCT(($I$17:$I$266=$K$86)*ISNUMBER($D$17:$D$266))=0,NA(),SUMPRODUCT(($I$17:$I$266=$K$86)*IFERROR($D$17:$D$266,0))/SUMPRODUCT(($I$17:$I$266=$K$86)*ISNUMBER($D$17:$D$266))),IFERROR(LOOKUP(2,1/(($I$17:$I$266=$K$86)*ISNUMBER($D$17:$D$266)),$D$17:$D$266),NA()))</f>
        <v>#N/A</v>
      </c>
      <c r="M86" s="20" t="e">
        <f aca="false">IFERROR(L86/L82-1,NA())</f>
        <v>#N/A</v>
      </c>
    </row>
    <row r="87" customFormat="false" ht="15" hidden="false" customHeight="false" outlineLevel="0" collapsed="false">
      <c r="A87" s="27"/>
      <c r="B87" s="28" t="e">
        <f aca="false">IFERROR(IF(ISNUMBER(A87),TEXT(YEAR(A87)-2000,"00")&amp;TEXT(MONTH(A87),"00"),NA()),NA())</f>
        <v>#N/A</v>
      </c>
      <c r="C87" s="18" t="n">
        <f aca="false">IFERROR(YEAR(A87),0)</f>
        <v>1899</v>
      </c>
      <c r="D87" s="32"/>
      <c r="E87" s="20" t="e">
        <f aca="false">IFERROR(D87/D86-1,NA())</f>
        <v>#N/A</v>
      </c>
      <c r="F87" s="20" t="e">
        <f aca="false">IFERROR(D87/D75-1,NA())</f>
        <v>#N/A</v>
      </c>
      <c r="G87" s="21" t="e">
        <f aca="false">IF(COUNT(D85:D87)=3,AVERAGE(D85:D87),NA())</f>
        <v>#N/A</v>
      </c>
      <c r="H87" s="20" t="e">
        <f aca="false">IFERROR(IF(AND(COUNT(D85:D87)=3,COUNT(D73:D75)=3),AVERAGE(D85:D87)/AVERAGE(D73:D75)-1,NA()),NA())</f>
        <v>#N/A</v>
      </c>
      <c r="I87" s="28" t="str">
        <f aca="false">IFERROR(YEAR(A87)&amp;"Q"&amp;CEILING(MONTH(A87)/3,1),"")</f>
        <v>1899Q4</v>
      </c>
      <c r="K87" s="28" t="s">
        <v>457</v>
      </c>
      <c r="L87" s="23" t="e">
        <f aca="false">CHOOSE(MATCH($B$11,{"Sum","Average","End of Period"},0),IF(SUMPRODUCT(($I$17:$I$266=$K$87)*ISNUMBER($D$17:$D$266))=0,NA(),SUMPRODUCT(($I$17:$I$266=$K$87)*IFERROR($D$17:$D$266,0))),IF(SUMPRODUCT(($I$17:$I$266=$K$87)*ISNUMBER($D$17:$D$266))=0,NA(),SUMPRODUCT(($I$17:$I$266=$K$87)*IFERROR($D$17:$D$266,0))/SUMPRODUCT(($I$17:$I$266=$K$87)*ISNUMBER($D$17:$D$266))),IFERROR(LOOKUP(2,1/(($I$17:$I$266=$K$87)*ISNUMBER($D$17:$D$266)),$D$17:$D$266),NA()))</f>
        <v>#N/A</v>
      </c>
      <c r="M87" s="20" t="e">
        <f aca="false">IFERROR(L87/L83-1,NA())</f>
        <v>#N/A</v>
      </c>
    </row>
    <row r="88" customFormat="false" ht="15" hidden="false" customHeight="false" outlineLevel="0" collapsed="false">
      <c r="A88" s="27"/>
      <c r="B88" s="28" t="e">
        <f aca="false">IFERROR(IF(ISNUMBER(A88),TEXT(YEAR(A88)-2000,"00")&amp;TEXT(MONTH(A88),"00"),NA()),NA())</f>
        <v>#N/A</v>
      </c>
      <c r="C88" s="18" t="n">
        <f aca="false">IFERROR(YEAR(A88),0)</f>
        <v>1899</v>
      </c>
      <c r="D88" s="32"/>
      <c r="E88" s="20" t="e">
        <f aca="false">IFERROR(D88/D87-1,NA())</f>
        <v>#N/A</v>
      </c>
      <c r="F88" s="20" t="e">
        <f aca="false">IFERROR(D88/D76-1,NA())</f>
        <v>#N/A</v>
      </c>
      <c r="G88" s="21" t="e">
        <f aca="false">IF(COUNT(D86:D88)=3,AVERAGE(D86:D88),NA())</f>
        <v>#N/A</v>
      </c>
      <c r="H88" s="20" t="e">
        <f aca="false">IFERROR(IF(AND(COUNT(D86:D88)=3,COUNT(D74:D76)=3),AVERAGE(D86:D88)/AVERAGE(D74:D76)-1,NA()),NA())</f>
        <v>#N/A</v>
      </c>
      <c r="I88" s="28" t="str">
        <f aca="false">IFERROR(YEAR(A88)&amp;"Q"&amp;CEILING(MONTH(A88)/3,1),"")</f>
        <v>1899Q4</v>
      </c>
      <c r="K88" s="28" t="s">
        <v>458</v>
      </c>
      <c r="L88" s="23" t="e">
        <f aca="false">CHOOSE(MATCH($B$11,{"Sum","Average","End of Period"},0),IF(SUMPRODUCT(($I$17:$I$266=$K$88)*ISNUMBER($D$17:$D$266))=0,NA(),SUMPRODUCT(($I$17:$I$266=$K$88)*IFERROR($D$17:$D$266,0))),IF(SUMPRODUCT(($I$17:$I$266=$K$88)*ISNUMBER($D$17:$D$266))=0,NA(),SUMPRODUCT(($I$17:$I$266=$K$88)*IFERROR($D$17:$D$266,0))/SUMPRODUCT(($I$17:$I$266=$K$88)*ISNUMBER($D$17:$D$266))),IFERROR(LOOKUP(2,1/(($I$17:$I$266=$K$88)*ISNUMBER($D$17:$D$266)),$D$17:$D$266),NA()))</f>
        <v>#N/A</v>
      </c>
      <c r="M88" s="20" t="e">
        <f aca="false">IFERROR(L88/L84-1,NA())</f>
        <v>#N/A</v>
      </c>
    </row>
    <row r="89" customFormat="false" ht="15" hidden="false" customHeight="false" outlineLevel="0" collapsed="false">
      <c r="A89" s="27"/>
      <c r="B89" s="28" t="e">
        <f aca="false">IFERROR(IF(ISNUMBER(A89),TEXT(YEAR(A89)-2000,"00")&amp;TEXT(MONTH(A89),"00"),NA()),NA())</f>
        <v>#N/A</v>
      </c>
      <c r="C89" s="18" t="n">
        <f aca="false">IFERROR(YEAR(A89),0)</f>
        <v>1899</v>
      </c>
      <c r="D89" s="32"/>
      <c r="E89" s="20" t="e">
        <f aca="false">IFERROR(D89/D88-1,NA())</f>
        <v>#N/A</v>
      </c>
      <c r="F89" s="20" t="e">
        <f aca="false">IFERROR(D89/D77-1,NA())</f>
        <v>#N/A</v>
      </c>
      <c r="G89" s="21" t="e">
        <f aca="false">IF(COUNT(D87:D89)=3,AVERAGE(D87:D89),NA())</f>
        <v>#N/A</v>
      </c>
      <c r="H89" s="20" t="e">
        <f aca="false">IFERROR(IF(AND(COUNT(D87:D89)=3,COUNT(D75:D77)=3),AVERAGE(D87:D89)/AVERAGE(D75:D77)-1,NA()),NA())</f>
        <v>#N/A</v>
      </c>
      <c r="I89" s="28" t="str">
        <f aca="false">IFERROR(YEAR(A89)&amp;"Q"&amp;CEILING(MONTH(A89)/3,1),"")</f>
        <v>1899Q4</v>
      </c>
      <c r="K89" s="28" t="s">
        <v>459</v>
      </c>
      <c r="L89" s="23" t="e">
        <f aca="false">CHOOSE(MATCH($B$11,{"Sum","Average","End of Period"},0),IF(SUMPRODUCT(($I$17:$I$266=$K$89)*ISNUMBER($D$17:$D$266))=0,NA(),SUMPRODUCT(($I$17:$I$266=$K$89)*IFERROR($D$17:$D$266,0))),IF(SUMPRODUCT(($I$17:$I$266=$K$89)*ISNUMBER($D$17:$D$266))=0,NA(),SUMPRODUCT(($I$17:$I$266=$K$89)*IFERROR($D$17:$D$266,0))/SUMPRODUCT(($I$17:$I$266=$K$89)*ISNUMBER($D$17:$D$266))),IFERROR(LOOKUP(2,1/(($I$17:$I$266=$K$89)*ISNUMBER($D$17:$D$266)),$D$17:$D$266),NA()))</f>
        <v>#N/A</v>
      </c>
      <c r="M89" s="20" t="e">
        <f aca="false">IFERROR(L89/L85-1,NA())</f>
        <v>#N/A</v>
      </c>
    </row>
    <row r="90" customFormat="false" ht="15" hidden="false" customHeight="false" outlineLevel="0" collapsed="false">
      <c r="A90" s="27"/>
      <c r="B90" s="28" t="e">
        <f aca="false">IFERROR(IF(ISNUMBER(A90),TEXT(YEAR(A90)-2000,"00")&amp;TEXT(MONTH(A90),"00"),NA()),NA())</f>
        <v>#N/A</v>
      </c>
      <c r="C90" s="18" t="n">
        <f aca="false">IFERROR(YEAR(A90),0)</f>
        <v>1899</v>
      </c>
      <c r="D90" s="32"/>
      <c r="E90" s="20" t="e">
        <f aca="false">IFERROR(D90/D89-1,NA())</f>
        <v>#N/A</v>
      </c>
      <c r="F90" s="20" t="e">
        <f aca="false">IFERROR(D90/D78-1,NA())</f>
        <v>#N/A</v>
      </c>
      <c r="G90" s="21" t="e">
        <f aca="false">IF(COUNT(D88:D90)=3,AVERAGE(D88:D90),NA())</f>
        <v>#N/A</v>
      </c>
      <c r="H90" s="20" t="e">
        <f aca="false">IFERROR(IF(AND(COUNT(D88:D90)=3,COUNT(D76:D78)=3),AVERAGE(D88:D90)/AVERAGE(D76:D78)-1,NA()),NA())</f>
        <v>#N/A</v>
      </c>
      <c r="I90" s="28" t="str">
        <f aca="false">IFERROR(YEAR(A90)&amp;"Q"&amp;CEILING(MONTH(A90)/3,1),"")</f>
        <v>1899Q4</v>
      </c>
      <c r="K90" s="28" t="s">
        <v>460</v>
      </c>
      <c r="L90" s="23" t="e">
        <f aca="false">CHOOSE(MATCH($B$11,{"Sum","Average","End of Period"},0),IF(SUMPRODUCT(($I$17:$I$266=$K$90)*ISNUMBER($D$17:$D$266))=0,NA(),SUMPRODUCT(($I$17:$I$266=$K$90)*IFERROR($D$17:$D$266,0))),IF(SUMPRODUCT(($I$17:$I$266=$K$90)*ISNUMBER($D$17:$D$266))=0,NA(),SUMPRODUCT(($I$17:$I$266=$K$90)*IFERROR($D$17:$D$266,0))/SUMPRODUCT(($I$17:$I$266=$K$90)*ISNUMBER($D$17:$D$266))),IFERROR(LOOKUP(2,1/(($I$17:$I$266=$K$90)*ISNUMBER($D$17:$D$266)),$D$17:$D$266),NA()))</f>
        <v>#N/A</v>
      </c>
      <c r="M90" s="20" t="e">
        <f aca="false">IFERROR(L90/L86-1,NA())</f>
        <v>#N/A</v>
      </c>
    </row>
    <row r="91" customFormat="false" ht="15" hidden="false" customHeight="false" outlineLevel="0" collapsed="false">
      <c r="A91" s="27"/>
      <c r="B91" s="28" t="e">
        <f aca="false">IFERROR(IF(ISNUMBER(A91),TEXT(YEAR(A91)-2000,"00")&amp;TEXT(MONTH(A91),"00"),NA()),NA())</f>
        <v>#N/A</v>
      </c>
      <c r="C91" s="18" t="n">
        <f aca="false">IFERROR(YEAR(A91),0)</f>
        <v>1899</v>
      </c>
      <c r="D91" s="32"/>
      <c r="E91" s="20" t="e">
        <f aca="false">IFERROR(D91/D90-1,NA())</f>
        <v>#N/A</v>
      </c>
      <c r="F91" s="20" t="e">
        <f aca="false">IFERROR(D91/D79-1,NA())</f>
        <v>#N/A</v>
      </c>
      <c r="G91" s="21" t="e">
        <f aca="false">IF(COUNT(D89:D91)=3,AVERAGE(D89:D91),NA())</f>
        <v>#N/A</v>
      </c>
      <c r="H91" s="20" t="e">
        <f aca="false">IFERROR(IF(AND(COUNT(D89:D91)=3,COUNT(D77:D79)=3),AVERAGE(D89:D91)/AVERAGE(D77:D79)-1,NA()),NA())</f>
        <v>#N/A</v>
      </c>
      <c r="I91" s="28" t="str">
        <f aca="false">IFERROR(YEAR(A91)&amp;"Q"&amp;CEILING(MONTH(A91)/3,1),"")</f>
        <v>1899Q4</v>
      </c>
      <c r="K91" s="28" t="s">
        <v>461</v>
      </c>
      <c r="L91" s="23" t="e">
        <f aca="false">CHOOSE(MATCH($B$11,{"Sum","Average","End of Period"},0),IF(SUMPRODUCT(($I$17:$I$266=$K$91)*ISNUMBER($D$17:$D$266))=0,NA(),SUMPRODUCT(($I$17:$I$266=$K$91)*IFERROR($D$17:$D$266,0))),IF(SUMPRODUCT(($I$17:$I$266=$K$91)*ISNUMBER($D$17:$D$266))=0,NA(),SUMPRODUCT(($I$17:$I$266=$K$91)*IFERROR($D$17:$D$266,0))/SUMPRODUCT(($I$17:$I$266=$K$91)*ISNUMBER($D$17:$D$266))),IFERROR(LOOKUP(2,1/(($I$17:$I$266=$K$91)*ISNUMBER($D$17:$D$266)),$D$17:$D$266),NA()))</f>
        <v>#N/A</v>
      </c>
      <c r="M91" s="20" t="e">
        <f aca="false">IFERROR(L91/L87-1,NA())</f>
        <v>#N/A</v>
      </c>
    </row>
    <row r="92" customFormat="false" ht="15" hidden="false" customHeight="false" outlineLevel="0" collapsed="false">
      <c r="A92" s="27"/>
      <c r="B92" s="28" t="e">
        <f aca="false">IFERROR(IF(ISNUMBER(A92),TEXT(YEAR(A92)-2000,"00")&amp;TEXT(MONTH(A92),"00"),NA()),NA())</f>
        <v>#N/A</v>
      </c>
      <c r="C92" s="18" t="n">
        <f aca="false">IFERROR(YEAR(A92),0)</f>
        <v>1899</v>
      </c>
      <c r="D92" s="32"/>
      <c r="E92" s="20" t="e">
        <f aca="false">IFERROR(D92/D91-1,NA())</f>
        <v>#N/A</v>
      </c>
      <c r="F92" s="20" t="e">
        <f aca="false">IFERROR(D92/D80-1,NA())</f>
        <v>#N/A</v>
      </c>
      <c r="G92" s="21" t="e">
        <f aca="false">IF(COUNT(D90:D92)=3,AVERAGE(D90:D92),NA())</f>
        <v>#N/A</v>
      </c>
      <c r="H92" s="20" t="e">
        <f aca="false">IFERROR(IF(AND(COUNT(D90:D92)=3,COUNT(D78:D80)=3),AVERAGE(D90:D92)/AVERAGE(D78:D80)-1,NA()),NA())</f>
        <v>#N/A</v>
      </c>
      <c r="I92" s="28" t="str">
        <f aca="false">IFERROR(YEAR(A92)&amp;"Q"&amp;CEILING(MONTH(A92)/3,1),"")</f>
        <v>1899Q4</v>
      </c>
      <c r="K92" s="28" t="s">
        <v>462</v>
      </c>
      <c r="L92" s="23" t="e">
        <f aca="false">CHOOSE(MATCH($B$11,{"Sum","Average","End of Period"},0),IF(SUMPRODUCT(($I$17:$I$266=$K$92)*ISNUMBER($D$17:$D$266))=0,NA(),SUMPRODUCT(($I$17:$I$266=$K$92)*IFERROR($D$17:$D$266,0))),IF(SUMPRODUCT(($I$17:$I$266=$K$92)*ISNUMBER($D$17:$D$266))=0,NA(),SUMPRODUCT(($I$17:$I$266=$K$92)*IFERROR($D$17:$D$266,0))/SUMPRODUCT(($I$17:$I$266=$K$92)*ISNUMBER($D$17:$D$266))),IFERROR(LOOKUP(2,1/(($I$17:$I$266=$K$92)*ISNUMBER($D$17:$D$266)),$D$17:$D$266),NA()))</f>
        <v>#N/A</v>
      </c>
      <c r="M92" s="20" t="e">
        <f aca="false">IFERROR(L92/L88-1,NA())</f>
        <v>#N/A</v>
      </c>
    </row>
    <row r="93" customFormat="false" ht="15" hidden="false" customHeight="false" outlineLevel="0" collapsed="false">
      <c r="A93" s="27"/>
      <c r="B93" s="28" t="e">
        <f aca="false">IFERROR(IF(ISNUMBER(A93),TEXT(YEAR(A93)-2000,"00")&amp;TEXT(MONTH(A93),"00"),NA()),NA())</f>
        <v>#N/A</v>
      </c>
      <c r="C93" s="18" t="n">
        <f aca="false">IFERROR(YEAR(A93),0)</f>
        <v>1899</v>
      </c>
      <c r="D93" s="32"/>
      <c r="E93" s="20" t="e">
        <f aca="false">IFERROR(D93/D92-1,NA())</f>
        <v>#N/A</v>
      </c>
      <c r="F93" s="20" t="e">
        <f aca="false">IFERROR(D93/D81-1,NA())</f>
        <v>#N/A</v>
      </c>
      <c r="G93" s="21" t="e">
        <f aca="false">IF(COUNT(D91:D93)=3,AVERAGE(D91:D93),NA())</f>
        <v>#N/A</v>
      </c>
      <c r="H93" s="20" t="e">
        <f aca="false">IFERROR(IF(AND(COUNT(D91:D93)=3,COUNT(D79:D81)=3),AVERAGE(D91:D93)/AVERAGE(D79:D81)-1,NA()),NA())</f>
        <v>#N/A</v>
      </c>
      <c r="I93" s="28" t="str">
        <f aca="false">IFERROR(YEAR(A93)&amp;"Q"&amp;CEILING(MONTH(A93)/3,1),"")</f>
        <v>1899Q4</v>
      </c>
      <c r="K93" s="28" t="s">
        <v>463</v>
      </c>
      <c r="L93" s="23" t="e">
        <f aca="false">CHOOSE(MATCH($B$11,{"Sum","Average","End of Period"},0),IF(SUMPRODUCT(($I$17:$I$266=$K$93)*ISNUMBER($D$17:$D$266))=0,NA(),SUMPRODUCT(($I$17:$I$266=$K$93)*IFERROR($D$17:$D$266,0))),IF(SUMPRODUCT(($I$17:$I$266=$K$93)*ISNUMBER($D$17:$D$266))=0,NA(),SUMPRODUCT(($I$17:$I$266=$K$93)*IFERROR($D$17:$D$266,0))/SUMPRODUCT(($I$17:$I$266=$K$93)*ISNUMBER($D$17:$D$266))),IFERROR(LOOKUP(2,1/(($I$17:$I$266=$K$93)*ISNUMBER($D$17:$D$266)),$D$17:$D$266),NA()))</f>
        <v>#N/A</v>
      </c>
      <c r="M93" s="20" t="e">
        <f aca="false">IFERROR(L93/L89-1,NA())</f>
        <v>#N/A</v>
      </c>
    </row>
    <row r="94" customFormat="false" ht="15" hidden="false" customHeight="false" outlineLevel="0" collapsed="false">
      <c r="A94" s="27"/>
      <c r="B94" s="28" t="e">
        <f aca="false">IFERROR(IF(ISNUMBER(A94),TEXT(YEAR(A94)-2000,"00")&amp;TEXT(MONTH(A94),"00"),NA()),NA())</f>
        <v>#N/A</v>
      </c>
      <c r="C94" s="18" t="n">
        <f aca="false">IFERROR(YEAR(A94),0)</f>
        <v>1899</v>
      </c>
      <c r="D94" s="32"/>
      <c r="E94" s="20" t="e">
        <f aca="false">IFERROR(D94/D93-1,NA())</f>
        <v>#N/A</v>
      </c>
      <c r="F94" s="20" t="e">
        <f aca="false">IFERROR(D94/D82-1,NA())</f>
        <v>#N/A</v>
      </c>
      <c r="G94" s="21" t="e">
        <f aca="false">IF(COUNT(D92:D94)=3,AVERAGE(D92:D94),NA())</f>
        <v>#N/A</v>
      </c>
      <c r="H94" s="20" t="e">
        <f aca="false">IFERROR(IF(AND(COUNT(D92:D94)=3,COUNT(D80:D82)=3),AVERAGE(D92:D94)/AVERAGE(D80:D82)-1,NA()),NA())</f>
        <v>#N/A</v>
      </c>
      <c r="I94" s="28" t="str">
        <f aca="false">IFERROR(YEAR(A94)&amp;"Q"&amp;CEILING(MONTH(A94)/3,1),"")</f>
        <v>1899Q4</v>
      </c>
      <c r="K94" s="28" t="s">
        <v>464</v>
      </c>
      <c r="L94" s="23" t="e">
        <f aca="false">CHOOSE(MATCH($B$11,{"Sum","Average","End of Period"},0),IF(SUMPRODUCT(($I$17:$I$266=$K$94)*ISNUMBER($D$17:$D$266))=0,NA(),SUMPRODUCT(($I$17:$I$266=$K$94)*IFERROR($D$17:$D$266,0))),IF(SUMPRODUCT(($I$17:$I$266=$K$94)*ISNUMBER($D$17:$D$266))=0,NA(),SUMPRODUCT(($I$17:$I$266=$K$94)*IFERROR($D$17:$D$266,0))/SUMPRODUCT(($I$17:$I$266=$K$94)*ISNUMBER($D$17:$D$266))),IFERROR(LOOKUP(2,1/(($I$17:$I$266=$K$94)*ISNUMBER($D$17:$D$266)),$D$17:$D$266),NA()))</f>
        <v>#N/A</v>
      </c>
      <c r="M94" s="20" t="e">
        <f aca="false">IFERROR(L94/L90-1,NA())</f>
        <v>#N/A</v>
      </c>
    </row>
    <row r="95" customFormat="false" ht="15" hidden="false" customHeight="false" outlineLevel="0" collapsed="false">
      <c r="A95" s="27"/>
      <c r="B95" s="28" t="e">
        <f aca="false">IFERROR(IF(ISNUMBER(A95),TEXT(YEAR(A95)-2000,"00")&amp;TEXT(MONTH(A95),"00"),NA()),NA())</f>
        <v>#N/A</v>
      </c>
      <c r="C95" s="18" t="n">
        <f aca="false">IFERROR(YEAR(A95),0)</f>
        <v>1899</v>
      </c>
      <c r="D95" s="32"/>
      <c r="E95" s="20" t="e">
        <f aca="false">IFERROR(D95/D94-1,NA())</f>
        <v>#N/A</v>
      </c>
      <c r="F95" s="20" t="e">
        <f aca="false">IFERROR(D95/D83-1,NA())</f>
        <v>#N/A</v>
      </c>
      <c r="G95" s="21" t="e">
        <f aca="false">IF(COUNT(D93:D95)=3,AVERAGE(D93:D95),NA())</f>
        <v>#N/A</v>
      </c>
      <c r="H95" s="20" t="e">
        <f aca="false">IFERROR(IF(AND(COUNT(D93:D95)=3,COUNT(D81:D83)=3),AVERAGE(D93:D95)/AVERAGE(D81:D83)-1,NA()),NA())</f>
        <v>#N/A</v>
      </c>
      <c r="I95" s="28" t="str">
        <f aca="false">IFERROR(YEAR(A95)&amp;"Q"&amp;CEILING(MONTH(A95)/3,1),"")</f>
        <v>1899Q4</v>
      </c>
      <c r="K95" s="28" t="s">
        <v>465</v>
      </c>
      <c r="L95" s="23" t="e">
        <f aca="false">CHOOSE(MATCH($B$11,{"Sum","Average","End of Period"},0),IF(SUMPRODUCT(($I$17:$I$266=$K$95)*ISNUMBER($D$17:$D$266))=0,NA(),SUMPRODUCT(($I$17:$I$266=$K$95)*IFERROR($D$17:$D$266,0))),IF(SUMPRODUCT(($I$17:$I$266=$K$95)*ISNUMBER($D$17:$D$266))=0,NA(),SUMPRODUCT(($I$17:$I$266=$K$95)*IFERROR($D$17:$D$266,0))/SUMPRODUCT(($I$17:$I$266=$K$95)*ISNUMBER($D$17:$D$266))),IFERROR(LOOKUP(2,1/(($I$17:$I$266=$K$95)*ISNUMBER($D$17:$D$266)),$D$17:$D$266),NA()))</f>
        <v>#N/A</v>
      </c>
      <c r="M95" s="20" t="e">
        <f aca="false">IFERROR(L95/L91-1,NA())</f>
        <v>#N/A</v>
      </c>
    </row>
    <row r="96" customFormat="false" ht="15" hidden="false" customHeight="false" outlineLevel="0" collapsed="false">
      <c r="A96" s="27"/>
      <c r="B96" s="28" t="e">
        <f aca="false">IFERROR(IF(ISNUMBER(A96),TEXT(YEAR(A96)-2000,"00")&amp;TEXT(MONTH(A96),"00"),NA()),NA())</f>
        <v>#N/A</v>
      </c>
      <c r="C96" s="18" t="n">
        <f aca="false">IFERROR(YEAR(A96),0)</f>
        <v>1899</v>
      </c>
      <c r="D96" s="32"/>
      <c r="E96" s="20" t="e">
        <f aca="false">IFERROR(D96/D95-1,NA())</f>
        <v>#N/A</v>
      </c>
      <c r="F96" s="20" t="e">
        <f aca="false">IFERROR(D96/D84-1,NA())</f>
        <v>#N/A</v>
      </c>
      <c r="G96" s="21" t="e">
        <f aca="false">IF(COUNT(D94:D96)=3,AVERAGE(D94:D96),NA())</f>
        <v>#N/A</v>
      </c>
      <c r="H96" s="20" t="e">
        <f aca="false">IFERROR(IF(AND(COUNT(D94:D96)=3,COUNT(D82:D84)=3),AVERAGE(D94:D96)/AVERAGE(D82:D84)-1,NA()),NA())</f>
        <v>#N/A</v>
      </c>
      <c r="I96" s="28" t="str">
        <f aca="false">IFERROR(YEAR(A96)&amp;"Q"&amp;CEILING(MONTH(A96)/3,1),"")</f>
        <v>1899Q4</v>
      </c>
      <c r="K96" s="28" t="s">
        <v>466</v>
      </c>
      <c r="L96" s="23" t="e">
        <f aca="false">CHOOSE(MATCH($B$11,{"Sum","Average","End of Period"},0),IF(SUMPRODUCT(($I$17:$I$266=$K$96)*ISNUMBER($D$17:$D$266))=0,NA(),SUMPRODUCT(($I$17:$I$266=$K$96)*IFERROR($D$17:$D$266,0))),IF(SUMPRODUCT(($I$17:$I$266=$K$96)*ISNUMBER($D$17:$D$266))=0,NA(),SUMPRODUCT(($I$17:$I$266=$K$96)*IFERROR($D$17:$D$266,0))/SUMPRODUCT(($I$17:$I$266=$K$96)*ISNUMBER($D$17:$D$266))),IFERROR(LOOKUP(2,1/(($I$17:$I$266=$K$96)*ISNUMBER($D$17:$D$266)),$D$17:$D$266),NA()))</f>
        <v>#N/A</v>
      </c>
      <c r="M96" s="20" t="e">
        <f aca="false">IFERROR(L96/L92-1,NA())</f>
        <v>#N/A</v>
      </c>
    </row>
    <row r="97" customFormat="false" ht="15" hidden="false" customHeight="false" outlineLevel="0" collapsed="false">
      <c r="A97" s="27"/>
      <c r="B97" s="28" t="e">
        <f aca="false">IFERROR(IF(ISNUMBER(A97),TEXT(YEAR(A97)-2000,"00")&amp;TEXT(MONTH(A97),"00"),NA()),NA())</f>
        <v>#N/A</v>
      </c>
      <c r="C97" s="18" t="n">
        <f aca="false">IFERROR(YEAR(A97),0)</f>
        <v>1899</v>
      </c>
      <c r="D97" s="32"/>
      <c r="E97" s="20" t="e">
        <f aca="false">IFERROR(D97/D96-1,NA())</f>
        <v>#N/A</v>
      </c>
      <c r="F97" s="20" t="e">
        <f aca="false">IFERROR(D97/D85-1,NA())</f>
        <v>#N/A</v>
      </c>
      <c r="G97" s="21" t="e">
        <f aca="false">IF(COUNT(D95:D97)=3,AVERAGE(D95:D97),NA())</f>
        <v>#N/A</v>
      </c>
      <c r="H97" s="20" t="e">
        <f aca="false">IFERROR(IF(AND(COUNT(D95:D97)=3,COUNT(D83:D85)=3),AVERAGE(D95:D97)/AVERAGE(D83:D85)-1,NA()),NA())</f>
        <v>#N/A</v>
      </c>
      <c r="I97" s="28" t="str">
        <f aca="false">IFERROR(YEAR(A97)&amp;"Q"&amp;CEILING(MONTH(A97)/3,1),"")</f>
        <v>1899Q4</v>
      </c>
      <c r="K97" s="28" t="s">
        <v>467</v>
      </c>
      <c r="L97" s="23" t="e">
        <f aca="false">CHOOSE(MATCH($B$11,{"Sum","Average","End of Period"},0),IF(SUMPRODUCT(($I$17:$I$266=$K$97)*ISNUMBER($D$17:$D$266))=0,NA(),SUMPRODUCT(($I$17:$I$266=$K$97)*IFERROR($D$17:$D$266,0))),IF(SUMPRODUCT(($I$17:$I$266=$K$97)*ISNUMBER($D$17:$D$266))=0,NA(),SUMPRODUCT(($I$17:$I$266=$K$97)*IFERROR($D$17:$D$266,0))/SUMPRODUCT(($I$17:$I$266=$K$97)*ISNUMBER($D$17:$D$266))),IFERROR(LOOKUP(2,1/(($I$17:$I$266=$K$97)*ISNUMBER($D$17:$D$266)),$D$17:$D$266),NA()))</f>
        <v>#N/A</v>
      </c>
      <c r="M97" s="20" t="e">
        <f aca="false">IFERROR(L97/L93-1,NA())</f>
        <v>#N/A</v>
      </c>
    </row>
    <row r="98" customFormat="false" ht="15" hidden="false" customHeight="false" outlineLevel="0" collapsed="false">
      <c r="A98" s="27"/>
      <c r="B98" s="28" t="e">
        <f aca="false">IFERROR(IF(ISNUMBER(A98),TEXT(YEAR(A98)-2000,"00")&amp;TEXT(MONTH(A98),"00"),NA()),NA())</f>
        <v>#N/A</v>
      </c>
      <c r="C98" s="18" t="n">
        <f aca="false">IFERROR(YEAR(A98),0)</f>
        <v>1899</v>
      </c>
      <c r="D98" s="32"/>
      <c r="E98" s="20" t="e">
        <f aca="false">IFERROR(D98/D97-1,NA())</f>
        <v>#N/A</v>
      </c>
      <c r="F98" s="20" t="e">
        <f aca="false">IFERROR(D98/D86-1,NA())</f>
        <v>#N/A</v>
      </c>
      <c r="G98" s="21" t="e">
        <f aca="false">IF(COUNT(D96:D98)=3,AVERAGE(D96:D98),NA())</f>
        <v>#N/A</v>
      </c>
      <c r="H98" s="20" t="e">
        <f aca="false">IFERROR(IF(AND(COUNT(D96:D98)=3,COUNT(D84:D86)=3),AVERAGE(D96:D98)/AVERAGE(D84:D86)-1,NA()),NA())</f>
        <v>#N/A</v>
      </c>
      <c r="I98" s="28" t="str">
        <f aca="false">IFERROR(YEAR(A98)&amp;"Q"&amp;CEILING(MONTH(A98)/3,1),"")</f>
        <v>1899Q4</v>
      </c>
      <c r="K98" s="28" t="s">
        <v>468</v>
      </c>
      <c r="L98" s="23" t="e">
        <f aca="false">CHOOSE(MATCH($B$11,{"Sum","Average","End of Period"},0),IF(SUMPRODUCT(($I$17:$I$266=$K$98)*ISNUMBER($D$17:$D$266))=0,NA(),SUMPRODUCT(($I$17:$I$266=$K$98)*IFERROR($D$17:$D$266,0))),IF(SUMPRODUCT(($I$17:$I$266=$K$98)*ISNUMBER($D$17:$D$266))=0,NA(),SUMPRODUCT(($I$17:$I$266=$K$98)*IFERROR($D$17:$D$266,0))/SUMPRODUCT(($I$17:$I$266=$K$98)*ISNUMBER($D$17:$D$266))),IFERROR(LOOKUP(2,1/(($I$17:$I$266=$K$98)*ISNUMBER($D$17:$D$266)),$D$17:$D$266),NA()))</f>
        <v>#N/A</v>
      </c>
      <c r="M98" s="20" t="e">
        <f aca="false">IFERROR(L98/L94-1,NA())</f>
        <v>#N/A</v>
      </c>
    </row>
    <row r="99" customFormat="false" ht="15" hidden="false" customHeight="false" outlineLevel="0" collapsed="false">
      <c r="A99" s="27"/>
      <c r="B99" s="28" t="e">
        <f aca="false">IFERROR(IF(ISNUMBER(A99),TEXT(YEAR(A99)-2000,"00")&amp;TEXT(MONTH(A99),"00"),NA()),NA())</f>
        <v>#N/A</v>
      </c>
      <c r="C99" s="18" t="n">
        <f aca="false">IFERROR(YEAR(A99),0)</f>
        <v>1899</v>
      </c>
      <c r="D99" s="32"/>
      <c r="E99" s="20" t="e">
        <f aca="false">IFERROR(D99/D98-1,NA())</f>
        <v>#N/A</v>
      </c>
      <c r="F99" s="20" t="e">
        <f aca="false">IFERROR(D99/D87-1,NA())</f>
        <v>#N/A</v>
      </c>
      <c r="G99" s="21" t="e">
        <f aca="false">IF(COUNT(D97:D99)=3,AVERAGE(D97:D99),NA())</f>
        <v>#N/A</v>
      </c>
      <c r="H99" s="20" t="e">
        <f aca="false">IFERROR(IF(AND(COUNT(D97:D99)=3,COUNT(D85:D87)=3),AVERAGE(D97:D99)/AVERAGE(D85:D87)-1,NA()),NA())</f>
        <v>#N/A</v>
      </c>
      <c r="I99" s="28" t="str">
        <f aca="false">IFERROR(YEAR(A99)&amp;"Q"&amp;CEILING(MONTH(A99)/3,1),"")</f>
        <v>1899Q4</v>
      </c>
      <c r="K99" s="28" t="s">
        <v>469</v>
      </c>
      <c r="L99" s="23" t="e">
        <f aca="false">CHOOSE(MATCH($B$11,{"Sum","Average","End of Period"},0),IF(SUMPRODUCT(($I$17:$I$266=$K$99)*ISNUMBER($D$17:$D$266))=0,NA(),SUMPRODUCT(($I$17:$I$266=$K$99)*IFERROR($D$17:$D$266,0))),IF(SUMPRODUCT(($I$17:$I$266=$K$99)*ISNUMBER($D$17:$D$266))=0,NA(),SUMPRODUCT(($I$17:$I$266=$K$99)*IFERROR($D$17:$D$266,0))/SUMPRODUCT(($I$17:$I$266=$K$99)*ISNUMBER($D$17:$D$266))),IFERROR(LOOKUP(2,1/(($I$17:$I$266=$K$99)*ISNUMBER($D$17:$D$266)),$D$17:$D$266),NA()))</f>
        <v>#N/A</v>
      </c>
      <c r="M99" s="20" t="e">
        <f aca="false">IFERROR(L99/L95-1,NA())</f>
        <v>#N/A</v>
      </c>
    </row>
    <row r="100" customFormat="false" ht="15" hidden="false" customHeight="false" outlineLevel="0" collapsed="false">
      <c r="A100" s="27"/>
      <c r="B100" s="28" t="e">
        <f aca="false">IFERROR(IF(ISNUMBER(A100),TEXT(YEAR(A100)-2000,"00")&amp;TEXT(MONTH(A100),"00"),NA()),NA())</f>
        <v>#N/A</v>
      </c>
      <c r="C100" s="18" t="n">
        <f aca="false">IFERROR(YEAR(A100),0)</f>
        <v>1899</v>
      </c>
      <c r="D100" s="32"/>
      <c r="E100" s="20" t="e">
        <f aca="false">IFERROR(D100/D99-1,NA())</f>
        <v>#N/A</v>
      </c>
      <c r="F100" s="20" t="e">
        <f aca="false">IFERROR(D100/D88-1,NA())</f>
        <v>#N/A</v>
      </c>
      <c r="G100" s="21" t="e">
        <f aca="false">IF(COUNT(D98:D100)=3,AVERAGE(D98:D100),NA())</f>
        <v>#N/A</v>
      </c>
      <c r="H100" s="20" t="e">
        <f aca="false">IFERROR(IF(AND(COUNT(D98:D100)=3,COUNT(D86:D88)=3),AVERAGE(D98:D100)/AVERAGE(D86:D88)-1,NA()),NA())</f>
        <v>#N/A</v>
      </c>
      <c r="I100" s="28" t="str">
        <f aca="false">IFERROR(YEAR(A100)&amp;"Q"&amp;CEILING(MONTH(A100)/3,1),"")</f>
        <v>1899Q4</v>
      </c>
      <c r="K100" s="28" t="s">
        <v>470</v>
      </c>
      <c r="L100" s="23" t="e">
        <f aca="false">CHOOSE(MATCH($B$11,{"Sum","Average","End of Period"},0),IF(SUMPRODUCT(($I$17:$I$266=$K$100)*ISNUMBER($D$17:$D$266))=0,NA(),SUMPRODUCT(($I$17:$I$266=$K$100)*IFERROR($D$17:$D$266,0))),IF(SUMPRODUCT(($I$17:$I$266=$K$100)*ISNUMBER($D$17:$D$266))=0,NA(),SUMPRODUCT(($I$17:$I$266=$K$100)*IFERROR($D$17:$D$266,0))/SUMPRODUCT(($I$17:$I$266=$K$100)*ISNUMBER($D$17:$D$266))),IFERROR(LOOKUP(2,1/(($I$17:$I$266=$K$100)*ISNUMBER($D$17:$D$266)),$D$17:$D$266),NA()))</f>
        <v>#N/A</v>
      </c>
      <c r="M100" s="20" t="e">
        <f aca="false">IFERROR(L100/L96-1,NA())</f>
        <v>#N/A</v>
      </c>
    </row>
    <row r="101" customFormat="false" ht="15" hidden="false" customHeight="false" outlineLevel="0" collapsed="false">
      <c r="A101" s="27"/>
      <c r="B101" s="28" t="e">
        <f aca="false">IFERROR(IF(ISNUMBER(A101),TEXT(YEAR(A101)-2000,"00")&amp;TEXT(MONTH(A101),"00"),NA()),NA())</f>
        <v>#N/A</v>
      </c>
      <c r="C101" s="18" t="n">
        <f aca="false">IFERROR(YEAR(A101),0)</f>
        <v>1899</v>
      </c>
      <c r="D101" s="32"/>
      <c r="E101" s="20" t="e">
        <f aca="false">IFERROR(D101/D100-1,NA())</f>
        <v>#N/A</v>
      </c>
      <c r="F101" s="20" t="e">
        <f aca="false">IFERROR(D101/D89-1,NA())</f>
        <v>#N/A</v>
      </c>
      <c r="G101" s="21" t="e">
        <f aca="false">IF(COUNT(D99:D101)=3,AVERAGE(D99:D101),NA())</f>
        <v>#N/A</v>
      </c>
      <c r="H101" s="20" t="e">
        <f aca="false">IFERROR(IF(AND(COUNT(D99:D101)=3,COUNT(D87:D89)=3),AVERAGE(D99:D101)/AVERAGE(D87:D89)-1,NA()),NA())</f>
        <v>#N/A</v>
      </c>
      <c r="I101" s="28" t="str">
        <f aca="false">IFERROR(YEAR(A101)&amp;"Q"&amp;CEILING(MONTH(A101)/3,1),"")</f>
        <v>1899Q4</v>
      </c>
      <c r="K101" s="28" t="s">
        <v>471</v>
      </c>
      <c r="L101" s="23" t="e">
        <f aca="false">CHOOSE(MATCH($B$11,{"Sum","Average","End of Period"},0),IF(SUMPRODUCT(($I$17:$I$266=$K$101)*ISNUMBER($D$17:$D$266))=0,NA(),SUMPRODUCT(($I$17:$I$266=$K$101)*IFERROR($D$17:$D$266,0))),IF(SUMPRODUCT(($I$17:$I$266=$K$101)*ISNUMBER($D$17:$D$266))=0,NA(),SUMPRODUCT(($I$17:$I$266=$K$101)*IFERROR($D$17:$D$266,0))/SUMPRODUCT(($I$17:$I$266=$K$101)*ISNUMBER($D$17:$D$266))),IFERROR(LOOKUP(2,1/(($I$17:$I$266=$K$101)*ISNUMBER($D$17:$D$266)),$D$17:$D$266),NA()))</f>
        <v>#N/A</v>
      </c>
      <c r="M101" s="20" t="e">
        <f aca="false">IFERROR(L101/L97-1,NA())</f>
        <v>#N/A</v>
      </c>
    </row>
    <row r="102" customFormat="false" ht="15" hidden="false" customHeight="false" outlineLevel="0" collapsed="false">
      <c r="A102" s="27"/>
      <c r="B102" s="28" t="e">
        <f aca="false">IFERROR(IF(ISNUMBER(A102),TEXT(YEAR(A102)-2000,"00")&amp;TEXT(MONTH(A102),"00"),NA()),NA())</f>
        <v>#N/A</v>
      </c>
      <c r="C102" s="18" t="n">
        <f aca="false">IFERROR(YEAR(A102),0)</f>
        <v>1899</v>
      </c>
      <c r="D102" s="32"/>
      <c r="E102" s="20" t="e">
        <f aca="false">IFERROR(D102/D101-1,NA())</f>
        <v>#N/A</v>
      </c>
      <c r="F102" s="20" t="e">
        <f aca="false">IFERROR(D102/D90-1,NA())</f>
        <v>#N/A</v>
      </c>
      <c r="G102" s="21" t="e">
        <f aca="false">IF(COUNT(D100:D102)=3,AVERAGE(D100:D102),NA())</f>
        <v>#N/A</v>
      </c>
      <c r="H102" s="20" t="e">
        <f aca="false">IFERROR(IF(AND(COUNT(D100:D102)=3,COUNT(D88:D90)=3),AVERAGE(D100:D102)/AVERAGE(D88:D90)-1,NA()),NA())</f>
        <v>#N/A</v>
      </c>
      <c r="I102" s="28" t="str">
        <f aca="false">IFERROR(YEAR(A102)&amp;"Q"&amp;CEILING(MONTH(A102)/3,1),"")</f>
        <v>1899Q4</v>
      </c>
      <c r="K102" s="28" t="s">
        <v>472</v>
      </c>
      <c r="L102" s="23" t="e">
        <f aca="false">CHOOSE(MATCH($B$11,{"Sum","Average","End of Period"},0),IF(SUMPRODUCT(($I$17:$I$266=$K$102)*ISNUMBER($D$17:$D$266))=0,NA(),SUMPRODUCT(($I$17:$I$266=$K$102)*IFERROR($D$17:$D$266,0))),IF(SUMPRODUCT(($I$17:$I$266=$K$102)*ISNUMBER($D$17:$D$266))=0,NA(),SUMPRODUCT(($I$17:$I$266=$K$102)*IFERROR($D$17:$D$266,0))/SUMPRODUCT(($I$17:$I$266=$K$102)*ISNUMBER($D$17:$D$266))),IFERROR(LOOKUP(2,1/(($I$17:$I$266=$K$102)*ISNUMBER($D$17:$D$266)),$D$17:$D$266),NA()))</f>
        <v>#N/A</v>
      </c>
      <c r="M102" s="20" t="e">
        <f aca="false">IFERROR(L102/L98-1,NA())</f>
        <v>#N/A</v>
      </c>
    </row>
    <row r="103" customFormat="false" ht="15" hidden="false" customHeight="false" outlineLevel="0" collapsed="false">
      <c r="A103" s="27"/>
      <c r="B103" s="28" t="e">
        <f aca="false">IFERROR(IF(ISNUMBER(A103),TEXT(YEAR(A103)-2000,"00")&amp;TEXT(MONTH(A103),"00"),NA()),NA())</f>
        <v>#N/A</v>
      </c>
      <c r="C103" s="18" t="n">
        <f aca="false">IFERROR(YEAR(A103),0)</f>
        <v>1899</v>
      </c>
      <c r="D103" s="32"/>
      <c r="E103" s="20" t="e">
        <f aca="false">IFERROR(D103/D102-1,NA())</f>
        <v>#N/A</v>
      </c>
      <c r="F103" s="20" t="e">
        <f aca="false">IFERROR(D103/D91-1,NA())</f>
        <v>#N/A</v>
      </c>
      <c r="G103" s="21" t="e">
        <f aca="false">IF(COUNT(D101:D103)=3,AVERAGE(D101:D103),NA())</f>
        <v>#N/A</v>
      </c>
      <c r="H103" s="20" t="e">
        <f aca="false">IFERROR(IF(AND(COUNT(D101:D103)=3,COUNT(D89:D91)=3),AVERAGE(D101:D103)/AVERAGE(D89:D91)-1,NA()),NA())</f>
        <v>#N/A</v>
      </c>
      <c r="I103" s="28" t="str">
        <f aca="false">IFERROR(YEAR(A103)&amp;"Q"&amp;CEILING(MONTH(A103)/3,1),"")</f>
        <v>1899Q4</v>
      </c>
      <c r="K103" s="28" t="s">
        <v>473</v>
      </c>
      <c r="L103" s="23" t="e">
        <f aca="false">CHOOSE(MATCH($B$11,{"Sum","Average","End of Period"},0),IF(SUMPRODUCT(($I$17:$I$266=$K$103)*ISNUMBER($D$17:$D$266))=0,NA(),SUMPRODUCT(($I$17:$I$266=$K$103)*IFERROR($D$17:$D$266,0))),IF(SUMPRODUCT(($I$17:$I$266=$K$103)*ISNUMBER($D$17:$D$266))=0,NA(),SUMPRODUCT(($I$17:$I$266=$K$103)*IFERROR($D$17:$D$266,0))/SUMPRODUCT(($I$17:$I$266=$K$103)*ISNUMBER($D$17:$D$266))),IFERROR(LOOKUP(2,1/(($I$17:$I$266=$K$103)*ISNUMBER($D$17:$D$266)),$D$17:$D$266),NA()))</f>
        <v>#N/A</v>
      </c>
      <c r="M103" s="20" t="e">
        <f aca="false">IFERROR(L103/L99-1,NA())</f>
        <v>#N/A</v>
      </c>
    </row>
    <row r="104" customFormat="false" ht="15" hidden="false" customHeight="false" outlineLevel="0" collapsed="false">
      <c r="A104" s="27"/>
      <c r="B104" s="28" t="e">
        <f aca="false">IFERROR(IF(ISNUMBER(A104),TEXT(YEAR(A104)-2000,"00")&amp;TEXT(MONTH(A104),"00"),NA()),NA())</f>
        <v>#N/A</v>
      </c>
      <c r="C104" s="18" t="n">
        <f aca="false">IFERROR(YEAR(A104),0)</f>
        <v>1899</v>
      </c>
      <c r="D104" s="32"/>
      <c r="E104" s="20" t="e">
        <f aca="false">IFERROR(D104/D103-1,NA())</f>
        <v>#N/A</v>
      </c>
      <c r="F104" s="20" t="e">
        <f aca="false">IFERROR(D104/D92-1,NA())</f>
        <v>#N/A</v>
      </c>
      <c r="G104" s="21" t="e">
        <f aca="false">IF(COUNT(D102:D104)=3,AVERAGE(D102:D104),NA())</f>
        <v>#N/A</v>
      </c>
      <c r="H104" s="20" t="e">
        <f aca="false">IFERROR(IF(AND(COUNT(D102:D104)=3,COUNT(D90:D92)=3),AVERAGE(D102:D104)/AVERAGE(D90:D92)-1,NA()),NA())</f>
        <v>#N/A</v>
      </c>
      <c r="I104" s="28" t="str">
        <f aca="false">IFERROR(YEAR(A104)&amp;"Q"&amp;CEILING(MONTH(A104)/3,1),"")</f>
        <v>1899Q4</v>
      </c>
      <c r="K104" s="28" t="s">
        <v>474</v>
      </c>
      <c r="L104" s="23" t="e">
        <f aca="false">CHOOSE(MATCH($B$11,{"Sum","Average","End of Period"},0),IF(SUMPRODUCT(($I$17:$I$266=$K$104)*ISNUMBER($D$17:$D$266))=0,NA(),SUMPRODUCT(($I$17:$I$266=$K$104)*IFERROR($D$17:$D$266,0))),IF(SUMPRODUCT(($I$17:$I$266=$K$104)*ISNUMBER($D$17:$D$266))=0,NA(),SUMPRODUCT(($I$17:$I$266=$K$104)*IFERROR($D$17:$D$266,0))/SUMPRODUCT(($I$17:$I$266=$K$104)*ISNUMBER($D$17:$D$266))),IFERROR(LOOKUP(2,1/(($I$17:$I$266=$K$104)*ISNUMBER($D$17:$D$266)),$D$17:$D$266),NA()))</f>
        <v>#N/A</v>
      </c>
      <c r="M104" s="20" t="e">
        <f aca="false">IFERROR(L104/L100-1,NA())</f>
        <v>#N/A</v>
      </c>
    </row>
    <row r="105" customFormat="false" ht="15" hidden="false" customHeight="false" outlineLevel="0" collapsed="false">
      <c r="A105" s="27"/>
      <c r="B105" s="28" t="e">
        <f aca="false">IFERROR(IF(ISNUMBER(A105),TEXT(YEAR(A105)-2000,"00")&amp;TEXT(MONTH(A105),"00"),NA()),NA())</f>
        <v>#N/A</v>
      </c>
      <c r="C105" s="18" t="n">
        <f aca="false">IFERROR(YEAR(A105),0)</f>
        <v>1899</v>
      </c>
      <c r="D105" s="32"/>
      <c r="E105" s="20" t="e">
        <f aca="false">IFERROR(D105/D104-1,NA())</f>
        <v>#N/A</v>
      </c>
      <c r="F105" s="20" t="e">
        <f aca="false">IFERROR(D105/D93-1,NA())</f>
        <v>#N/A</v>
      </c>
      <c r="G105" s="21" t="e">
        <f aca="false">IF(COUNT(D103:D105)=3,AVERAGE(D103:D105),NA())</f>
        <v>#N/A</v>
      </c>
      <c r="H105" s="20" t="e">
        <f aca="false">IFERROR(IF(AND(COUNT(D103:D105)=3,COUNT(D91:D93)=3),AVERAGE(D103:D105)/AVERAGE(D91:D93)-1,NA()),NA())</f>
        <v>#N/A</v>
      </c>
      <c r="I105" s="28" t="str">
        <f aca="false">IFERROR(YEAR(A105)&amp;"Q"&amp;CEILING(MONTH(A105)/3,1),"")</f>
        <v>1899Q4</v>
      </c>
      <c r="K105" s="28" t="s">
        <v>475</v>
      </c>
      <c r="L105" s="23" t="e">
        <f aca="false">CHOOSE(MATCH($B$11,{"Sum","Average","End of Period"},0),IF(SUMPRODUCT(($I$17:$I$266=$K$105)*ISNUMBER($D$17:$D$266))=0,NA(),SUMPRODUCT(($I$17:$I$266=$K$105)*IFERROR($D$17:$D$266,0))),IF(SUMPRODUCT(($I$17:$I$266=$K$105)*ISNUMBER($D$17:$D$266))=0,NA(),SUMPRODUCT(($I$17:$I$266=$K$105)*IFERROR($D$17:$D$266,0))/SUMPRODUCT(($I$17:$I$266=$K$105)*ISNUMBER($D$17:$D$266))),IFERROR(LOOKUP(2,1/(($I$17:$I$266=$K$105)*ISNUMBER($D$17:$D$266)),$D$17:$D$266),NA()))</f>
        <v>#N/A</v>
      </c>
      <c r="M105" s="20" t="e">
        <f aca="false">IFERROR(L105/L101-1,NA())</f>
        <v>#N/A</v>
      </c>
    </row>
    <row r="106" customFormat="false" ht="15" hidden="false" customHeight="false" outlineLevel="0" collapsed="false">
      <c r="A106" s="27"/>
      <c r="B106" s="28" t="e">
        <f aca="false">IFERROR(IF(ISNUMBER(A106),TEXT(YEAR(A106)-2000,"00")&amp;TEXT(MONTH(A106),"00"),NA()),NA())</f>
        <v>#N/A</v>
      </c>
      <c r="C106" s="18" t="n">
        <f aca="false">IFERROR(YEAR(A106),0)</f>
        <v>1899</v>
      </c>
      <c r="D106" s="32"/>
      <c r="E106" s="20" t="e">
        <f aca="false">IFERROR(D106/D105-1,NA())</f>
        <v>#N/A</v>
      </c>
      <c r="F106" s="20" t="e">
        <f aca="false">IFERROR(D106/D94-1,NA())</f>
        <v>#N/A</v>
      </c>
      <c r="G106" s="21" t="e">
        <f aca="false">IF(COUNT(D104:D106)=3,AVERAGE(D104:D106),NA())</f>
        <v>#N/A</v>
      </c>
      <c r="H106" s="20" t="e">
        <f aca="false">IFERROR(IF(AND(COUNT(D104:D106)=3,COUNT(D92:D94)=3),AVERAGE(D104:D106)/AVERAGE(D92:D94)-1,NA()),NA())</f>
        <v>#N/A</v>
      </c>
      <c r="I106" s="28" t="str">
        <f aca="false">IFERROR(YEAR(A106)&amp;"Q"&amp;CEILING(MONTH(A106)/3,1),"")</f>
        <v>1899Q4</v>
      </c>
      <c r="K106" s="28" t="s">
        <v>476</v>
      </c>
      <c r="L106" s="23" t="e">
        <f aca="false">CHOOSE(MATCH($B$11,{"Sum","Average","End of Period"},0),IF(SUMPRODUCT(($I$17:$I$266=$K$106)*ISNUMBER($D$17:$D$266))=0,NA(),SUMPRODUCT(($I$17:$I$266=$K$106)*IFERROR($D$17:$D$266,0))),IF(SUMPRODUCT(($I$17:$I$266=$K$106)*ISNUMBER($D$17:$D$266))=0,NA(),SUMPRODUCT(($I$17:$I$266=$K$106)*IFERROR($D$17:$D$266,0))/SUMPRODUCT(($I$17:$I$266=$K$106)*ISNUMBER($D$17:$D$266))),IFERROR(LOOKUP(2,1/(($I$17:$I$266=$K$106)*ISNUMBER($D$17:$D$266)),$D$17:$D$266),NA()))</f>
        <v>#N/A</v>
      </c>
      <c r="M106" s="20" t="e">
        <f aca="false">IFERROR(L106/L102-1,NA())</f>
        <v>#N/A</v>
      </c>
    </row>
    <row r="107" customFormat="false" ht="15" hidden="false" customHeight="false" outlineLevel="0" collapsed="false">
      <c r="A107" s="27"/>
      <c r="B107" s="28" t="e">
        <f aca="false">IFERROR(IF(ISNUMBER(A107),TEXT(YEAR(A107)-2000,"00")&amp;TEXT(MONTH(A107),"00"),NA()),NA())</f>
        <v>#N/A</v>
      </c>
      <c r="C107" s="18" t="n">
        <f aca="false">IFERROR(YEAR(A107),0)</f>
        <v>1899</v>
      </c>
      <c r="D107" s="32"/>
      <c r="E107" s="20" t="e">
        <f aca="false">IFERROR(D107/D106-1,NA())</f>
        <v>#N/A</v>
      </c>
      <c r="F107" s="20" t="e">
        <f aca="false">IFERROR(D107/D95-1,NA())</f>
        <v>#N/A</v>
      </c>
      <c r="G107" s="21" t="e">
        <f aca="false">IF(COUNT(D105:D107)=3,AVERAGE(D105:D107),NA())</f>
        <v>#N/A</v>
      </c>
      <c r="H107" s="20" t="e">
        <f aca="false">IFERROR(IF(AND(COUNT(D105:D107)=3,COUNT(D93:D95)=3),AVERAGE(D105:D107)/AVERAGE(D93:D95)-1,NA()),NA())</f>
        <v>#N/A</v>
      </c>
      <c r="I107" s="28" t="str">
        <f aca="false">IFERROR(YEAR(A107)&amp;"Q"&amp;CEILING(MONTH(A107)/3,1),"")</f>
        <v>1899Q4</v>
      </c>
      <c r="K107" s="28" t="s">
        <v>477</v>
      </c>
      <c r="L107" s="23" t="e">
        <f aca="false">CHOOSE(MATCH($B$11,{"Sum","Average","End of Period"},0),IF(SUMPRODUCT(($I$17:$I$266=$K$107)*ISNUMBER($D$17:$D$266))=0,NA(),SUMPRODUCT(($I$17:$I$266=$K$107)*IFERROR($D$17:$D$266,0))),IF(SUMPRODUCT(($I$17:$I$266=$K$107)*ISNUMBER($D$17:$D$266))=0,NA(),SUMPRODUCT(($I$17:$I$266=$K$107)*IFERROR($D$17:$D$266,0))/SUMPRODUCT(($I$17:$I$266=$K$107)*ISNUMBER($D$17:$D$266))),IFERROR(LOOKUP(2,1/(($I$17:$I$266=$K$107)*ISNUMBER($D$17:$D$266)),$D$17:$D$266),NA()))</f>
        <v>#N/A</v>
      </c>
      <c r="M107" s="20" t="e">
        <f aca="false">IFERROR(L107/L103-1,NA())</f>
        <v>#N/A</v>
      </c>
    </row>
    <row r="108" customFormat="false" ht="15" hidden="false" customHeight="false" outlineLevel="0" collapsed="false">
      <c r="A108" s="27"/>
      <c r="B108" s="28" t="e">
        <f aca="false">IFERROR(IF(ISNUMBER(A108),TEXT(YEAR(A108)-2000,"00")&amp;TEXT(MONTH(A108),"00"),NA()),NA())</f>
        <v>#N/A</v>
      </c>
      <c r="C108" s="18" t="n">
        <f aca="false">IFERROR(YEAR(A108),0)</f>
        <v>1899</v>
      </c>
      <c r="D108" s="32"/>
      <c r="E108" s="20" t="e">
        <f aca="false">IFERROR(D108/D107-1,NA())</f>
        <v>#N/A</v>
      </c>
      <c r="F108" s="20" t="e">
        <f aca="false">IFERROR(D108/D96-1,NA())</f>
        <v>#N/A</v>
      </c>
      <c r="G108" s="21" t="e">
        <f aca="false">IF(COUNT(D106:D108)=3,AVERAGE(D106:D108),NA())</f>
        <v>#N/A</v>
      </c>
      <c r="H108" s="20" t="e">
        <f aca="false">IFERROR(IF(AND(COUNT(D106:D108)=3,COUNT(D94:D96)=3),AVERAGE(D106:D108)/AVERAGE(D94:D96)-1,NA()),NA())</f>
        <v>#N/A</v>
      </c>
      <c r="I108" s="28" t="str">
        <f aca="false">IFERROR(YEAR(A108)&amp;"Q"&amp;CEILING(MONTH(A108)/3,1),"")</f>
        <v>1899Q4</v>
      </c>
      <c r="K108" s="28" t="s">
        <v>478</v>
      </c>
      <c r="L108" s="23" t="e">
        <f aca="false">CHOOSE(MATCH($B$11,{"Sum","Average","End of Period"},0),IF(SUMPRODUCT(($I$17:$I$266=$K$108)*ISNUMBER($D$17:$D$266))=0,NA(),SUMPRODUCT(($I$17:$I$266=$K$108)*IFERROR($D$17:$D$266,0))),IF(SUMPRODUCT(($I$17:$I$266=$K$108)*ISNUMBER($D$17:$D$266))=0,NA(),SUMPRODUCT(($I$17:$I$266=$K$108)*IFERROR($D$17:$D$266,0))/SUMPRODUCT(($I$17:$I$266=$K$108)*ISNUMBER($D$17:$D$266))),IFERROR(LOOKUP(2,1/(($I$17:$I$266=$K$108)*ISNUMBER($D$17:$D$266)),$D$17:$D$266),NA()))</f>
        <v>#N/A</v>
      </c>
      <c r="M108" s="20" t="e">
        <f aca="false">IFERROR(L108/L104-1,NA())</f>
        <v>#N/A</v>
      </c>
    </row>
    <row r="109" customFormat="false" ht="15" hidden="false" customHeight="false" outlineLevel="0" collapsed="false">
      <c r="A109" s="27"/>
      <c r="B109" s="28" t="e">
        <f aca="false">IFERROR(IF(ISNUMBER(A109),TEXT(YEAR(A109)-2000,"00")&amp;TEXT(MONTH(A109),"00"),NA()),NA())</f>
        <v>#N/A</v>
      </c>
      <c r="C109" s="18" t="n">
        <f aca="false">IFERROR(YEAR(A109),0)</f>
        <v>1899</v>
      </c>
      <c r="D109" s="32"/>
      <c r="E109" s="20" t="e">
        <f aca="false">IFERROR(D109/D108-1,NA())</f>
        <v>#N/A</v>
      </c>
      <c r="F109" s="20" t="e">
        <f aca="false">IFERROR(D109/D97-1,NA())</f>
        <v>#N/A</v>
      </c>
      <c r="G109" s="21" t="e">
        <f aca="false">IF(COUNT(D107:D109)=3,AVERAGE(D107:D109),NA())</f>
        <v>#N/A</v>
      </c>
      <c r="H109" s="20" t="e">
        <f aca="false">IFERROR(IF(AND(COUNT(D107:D109)=3,COUNT(D95:D97)=3),AVERAGE(D107:D109)/AVERAGE(D95:D97)-1,NA()),NA())</f>
        <v>#N/A</v>
      </c>
      <c r="I109" s="28" t="str">
        <f aca="false">IFERROR(YEAR(A109)&amp;"Q"&amp;CEILING(MONTH(A109)/3,1),"")</f>
        <v>1899Q4</v>
      </c>
      <c r="K109" s="28" t="s">
        <v>479</v>
      </c>
      <c r="L109" s="23" t="e">
        <f aca="false">CHOOSE(MATCH($B$11,{"Sum","Average","End of Period"},0),IF(SUMPRODUCT(($I$17:$I$266=$K$109)*ISNUMBER($D$17:$D$266))=0,NA(),SUMPRODUCT(($I$17:$I$266=$K$109)*IFERROR($D$17:$D$266,0))),IF(SUMPRODUCT(($I$17:$I$266=$K$109)*ISNUMBER($D$17:$D$266))=0,NA(),SUMPRODUCT(($I$17:$I$266=$K$109)*IFERROR($D$17:$D$266,0))/SUMPRODUCT(($I$17:$I$266=$K$109)*ISNUMBER($D$17:$D$266))),IFERROR(LOOKUP(2,1/(($I$17:$I$266=$K$109)*ISNUMBER($D$17:$D$266)),$D$17:$D$266),NA()))</f>
        <v>#N/A</v>
      </c>
      <c r="M109" s="20" t="e">
        <f aca="false">IFERROR(L109/L105-1,NA())</f>
        <v>#N/A</v>
      </c>
    </row>
    <row r="110" customFormat="false" ht="15" hidden="false" customHeight="false" outlineLevel="0" collapsed="false">
      <c r="A110" s="27"/>
      <c r="B110" s="28" t="e">
        <f aca="false">IFERROR(IF(ISNUMBER(A110),TEXT(YEAR(A110)-2000,"00")&amp;TEXT(MONTH(A110),"00"),NA()),NA())</f>
        <v>#N/A</v>
      </c>
      <c r="C110" s="18" t="n">
        <f aca="false">IFERROR(YEAR(A110),0)</f>
        <v>1899</v>
      </c>
      <c r="D110" s="32"/>
      <c r="E110" s="20" t="e">
        <f aca="false">IFERROR(D110/D109-1,NA())</f>
        <v>#N/A</v>
      </c>
      <c r="F110" s="20" t="e">
        <f aca="false">IFERROR(D110/D98-1,NA())</f>
        <v>#N/A</v>
      </c>
      <c r="G110" s="21" t="e">
        <f aca="false">IF(COUNT(D108:D110)=3,AVERAGE(D108:D110),NA())</f>
        <v>#N/A</v>
      </c>
      <c r="H110" s="20" t="e">
        <f aca="false">IFERROR(IF(AND(COUNT(D108:D110)=3,COUNT(D96:D98)=3),AVERAGE(D108:D110)/AVERAGE(D96:D98)-1,NA()),NA())</f>
        <v>#N/A</v>
      </c>
      <c r="I110" s="28" t="str">
        <f aca="false">IFERROR(YEAR(A110)&amp;"Q"&amp;CEILING(MONTH(A110)/3,1),"")</f>
        <v>1899Q4</v>
      </c>
      <c r="K110" s="28" t="s">
        <v>480</v>
      </c>
      <c r="L110" s="23" t="e">
        <f aca="false">CHOOSE(MATCH($B$11,{"Sum","Average","End of Period"},0),IF(SUMPRODUCT(($I$17:$I$266=$K$110)*ISNUMBER($D$17:$D$266))=0,NA(),SUMPRODUCT(($I$17:$I$266=$K$110)*IFERROR($D$17:$D$266,0))),IF(SUMPRODUCT(($I$17:$I$266=$K$110)*ISNUMBER($D$17:$D$266))=0,NA(),SUMPRODUCT(($I$17:$I$266=$K$110)*IFERROR($D$17:$D$266,0))/SUMPRODUCT(($I$17:$I$266=$K$110)*ISNUMBER($D$17:$D$266))),IFERROR(LOOKUP(2,1/(($I$17:$I$266=$K$110)*ISNUMBER($D$17:$D$266)),$D$17:$D$266),NA()))</f>
        <v>#N/A</v>
      </c>
      <c r="M110" s="20" t="e">
        <f aca="false">IFERROR(L110/L106-1,NA())</f>
        <v>#N/A</v>
      </c>
    </row>
    <row r="111" customFormat="false" ht="15" hidden="false" customHeight="false" outlineLevel="0" collapsed="false">
      <c r="A111" s="27"/>
      <c r="B111" s="28" t="e">
        <f aca="false">IFERROR(IF(ISNUMBER(A111),TEXT(YEAR(A111)-2000,"00")&amp;TEXT(MONTH(A111),"00"),NA()),NA())</f>
        <v>#N/A</v>
      </c>
      <c r="C111" s="18" t="n">
        <f aca="false">IFERROR(YEAR(A111),0)</f>
        <v>1899</v>
      </c>
      <c r="D111" s="32"/>
      <c r="E111" s="20" t="e">
        <f aca="false">IFERROR(D111/D110-1,NA())</f>
        <v>#N/A</v>
      </c>
      <c r="F111" s="20" t="e">
        <f aca="false">IFERROR(D111/D99-1,NA())</f>
        <v>#N/A</v>
      </c>
      <c r="G111" s="21" t="e">
        <f aca="false">IF(COUNT(D109:D111)=3,AVERAGE(D109:D111),NA())</f>
        <v>#N/A</v>
      </c>
      <c r="H111" s="20" t="e">
        <f aca="false">IFERROR(IF(AND(COUNT(D109:D111)=3,COUNT(D97:D99)=3),AVERAGE(D109:D111)/AVERAGE(D97:D99)-1,NA()),NA())</f>
        <v>#N/A</v>
      </c>
      <c r="I111" s="28" t="str">
        <f aca="false">IFERROR(YEAR(A111)&amp;"Q"&amp;CEILING(MONTH(A111)/3,1),"")</f>
        <v>1899Q4</v>
      </c>
      <c r="K111" s="28" t="s">
        <v>481</v>
      </c>
      <c r="L111" s="23" t="e">
        <f aca="false">CHOOSE(MATCH($B$11,{"Sum","Average","End of Period"},0),IF(SUMPRODUCT(($I$17:$I$266=$K$111)*ISNUMBER($D$17:$D$266))=0,NA(),SUMPRODUCT(($I$17:$I$266=$K$111)*IFERROR($D$17:$D$266,0))),IF(SUMPRODUCT(($I$17:$I$266=$K$111)*ISNUMBER($D$17:$D$266))=0,NA(),SUMPRODUCT(($I$17:$I$266=$K$111)*IFERROR($D$17:$D$266,0))/SUMPRODUCT(($I$17:$I$266=$K$111)*ISNUMBER($D$17:$D$266))),IFERROR(LOOKUP(2,1/(($I$17:$I$266=$K$111)*ISNUMBER($D$17:$D$266)),$D$17:$D$266),NA()))</f>
        <v>#N/A</v>
      </c>
      <c r="M111" s="20" t="e">
        <f aca="false">IFERROR(L111/L107-1,NA())</f>
        <v>#N/A</v>
      </c>
    </row>
    <row r="112" customFormat="false" ht="15" hidden="false" customHeight="false" outlineLevel="0" collapsed="false">
      <c r="A112" s="27"/>
      <c r="B112" s="28" t="e">
        <f aca="false">IFERROR(IF(ISNUMBER(A112),TEXT(YEAR(A112)-2000,"00")&amp;TEXT(MONTH(A112),"00"),NA()),NA())</f>
        <v>#N/A</v>
      </c>
      <c r="C112" s="18" t="n">
        <f aca="false">IFERROR(YEAR(A112),0)</f>
        <v>1899</v>
      </c>
      <c r="D112" s="32"/>
      <c r="E112" s="20" t="e">
        <f aca="false">IFERROR(D112/D111-1,NA())</f>
        <v>#N/A</v>
      </c>
      <c r="F112" s="20" t="e">
        <f aca="false">IFERROR(D112/D100-1,NA())</f>
        <v>#N/A</v>
      </c>
      <c r="G112" s="21" t="e">
        <f aca="false">IF(COUNT(D110:D112)=3,AVERAGE(D110:D112),NA())</f>
        <v>#N/A</v>
      </c>
      <c r="H112" s="20" t="e">
        <f aca="false">IFERROR(IF(AND(COUNT(D110:D112)=3,COUNT(D98:D100)=3),AVERAGE(D110:D112)/AVERAGE(D98:D100)-1,NA()),NA())</f>
        <v>#N/A</v>
      </c>
      <c r="I112" s="28" t="str">
        <f aca="false">IFERROR(YEAR(A112)&amp;"Q"&amp;CEILING(MONTH(A112)/3,1),"")</f>
        <v>1899Q4</v>
      </c>
      <c r="K112" s="28" t="s">
        <v>482</v>
      </c>
      <c r="L112" s="23" t="e">
        <f aca="false">CHOOSE(MATCH($B$11,{"Sum","Average","End of Period"},0),IF(SUMPRODUCT(($I$17:$I$266=$K$112)*ISNUMBER($D$17:$D$266))=0,NA(),SUMPRODUCT(($I$17:$I$266=$K$112)*IFERROR($D$17:$D$266,0))),IF(SUMPRODUCT(($I$17:$I$266=$K$112)*ISNUMBER($D$17:$D$266))=0,NA(),SUMPRODUCT(($I$17:$I$266=$K$112)*IFERROR($D$17:$D$266,0))/SUMPRODUCT(($I$17:$I$266=$K$112)*ISNUMBER($D$17:$D$266))),IFERROR(LOOKUP(2,1/(($I$17:$I$266=$K$112)*ISNUMBER($D$17:$D$266)),$D$17:$D$266),NA()))</f>
        <v>#N/A</v>
      </c>
      <c r="M112" s="20" t="e">
        <f aca="false">IFERROR(L112/L108-1,NA())</f>
        <v>#N/A</v>
      </c>
    </row>
    <row r="113" customFormat="false" ht="15" hidden="false" customHeight="false" outlineLevel="0" collapsed="false">
      <c r="A113" s="27"/>
      <c r="B113" s="28" t="e">
        <f aca="false">IFERROR(IF(ISNUMBER(A113),TEXT(YEAR(A113)-2000,"00")&amp;TEXT(MONTH(A113),"00"),NA()),NA())</f>
        <v>#N/A</v>
      </c>
      <c r="C113" s="18" t="n">
        <f aca="false">IFERROR(YEAR(A113),0)</f>
        <v>1899</v>
      </c>
      <c r="D113" s="32"/>
      <c r="E113" s="20" t="e">
        <f aca="false">IFERROR(D113/D112-1,NA())</f>
        <v>#N/A</v>
      </c>
      <c r="F113" s="20" t="e">
        <f aca="false">IFERROR(D113/D101-1,NA())</f>
        <v>#N/A</v>
      </c>
      <c r="G113" s="21" t="e">
        <f aca="false">IF(COUNT(D111:D113)=3,AVERAGE(D111:D113),NA())</f>
        <v>#N/A</v>
      </c>
      <c r="H113" s="20" t="e">
        <f aca="false">IFERROR(IF(AND(COUNT(D111:D113)=3,COUNT(D99:D101)=3),AVERAGE(D111:D113)/AVERAGE(D99:D101)-1,NA()),NA())</f>
        <v>#N/A</v>
      </c>
      <c r="I113" s="28" t="str">
        <f aca="false">IFERROR(YEAR(A113)&amp;"Q"&amp;CEILING(MONTH(A113)/3,1),"")</f>
        <v>1899Q4</v>
      </c>
      <c r="K113" s="28" t="s">
        <v>483</v>
      </c>
      <c r="L113" s="23" t="e">
        <f aca="false">CHOOSE(MATCH($B$11,{"Sum","Average","End of Period"},0),IF(SUMPRODUCT(($I$17:$I$266=$K$113)*ISNUMBER($D$17:$D$266))=0,NA(),SUMPRODUCT(($I$17:$I$266=$K$113)*IFERROR($D$17:$D$266,0))),IF(SUMPRODUCT(($I$17:$I$266=$K$113)*ISNUMBER($D$17:$D$266))=0,NA(),SUMPRODUCT(($I$17:$I$266=$K$113)*IFERROR($D$17:$D$266,0))/SUMPRODUCT(($I$17:$I$266=$K$113)*ISNUMBER($D$17:$D$266))),IFERROR(LOOKUP(2,1/(($I$17:$I$266=$K$113)*ISNUMBER($D$17:$D$266)),$D$17:$D$266),NA()))</f>
        <v>#N/A</v>
      </c>
      <c r="M113" s="20" t="e">
        <f aca="false">IFERROR(L113/L109-1,NA())</f>
        <v>#N/A</v>
      </c>
    </row>
    <row r="114" customFormat="false" ht="15" hidden="false" customHeight="false" outlineLevel="0" collapsed="false">
      <c r="A114" s="27"/>
      <c r="B114" s="28" t="e">
        <f aca="false">IFERROR(IF(ISNUMBER(A114),TEXT(YEAR(A114)-2000,"00")&amp;TEXT(MONTH(A114),"00"),NA()),NA())</f>
        <v>#N/A</v>
      </c>
      <c r="C114" s="18" t="n">
        <f aca="false">IFERROR(YEAR(A114),0)</f>
        <v>1899</v>
      </c>
      <c r="D114" s="32"/>
      <c r="E114" s="20" t="e">
        <f aca="false">IFERROR(D114/D113-1,NA())</f>
        <v>#N/A</v>
      </c>
      <c r="F114" s="20" t="e">
        <f aca="false">IFERROR(D114/D102-1,NA())</f>
        <v>#N/A</v>
      </c>
      <c r="G114" s="21" t="e">
        <f aca="false">IF(COUNT(D112:D114)=3,AVERAGE(D112:D114),NA())</f>
        <v>#N/A</v>
      </c>
      <c r="H114" s="20" t="e">
        <f aca="false">IFERROR(IF(AND(COUNT(D112:D114)=3,COUNT(D100:D102)=3),AVERAGE(D112:D114)/AVERAGE(D100:D102)-1,NA()),NA())</f>
        <v>#N/A</v>
      </c>
      <c r="I114" s="28" t="str">
        <f aca="false">IFERROR(YEAR(A114)&amp;"Q"&amp;CEILING(MONTH(A114)/3,1),"")</f>
        <v>1899Q4</v>
      </c>
      <c r="K114" s="28" t="s">
        <v>484</v>
      </c>
      <c r="L114" s="23" t="e">
        <f aca="false">CHOOSE(MATCH($B$11,{"Sum","Average","End of Period"},0),IF(SUMPRODUCT(($I$17:$I$266=$K$114)*ISNUMBER($D$17:$D$266))=0,NA(),SUMPRODUCT(($I$17:$I$266=$K$114)*IFERROR($D$17:$D$266,0))),IF(SUMPRODUCT(($I$17:$I$266=$K$114)*ISNUMBER($D$17:$D$266))=0,NA(),SUMPRODUCT(($I$17:$I$266=$K$114)*IFERROR($D$17:$D$266,0))/SUMPRODUCT(($I$17:$I$266=$K$114)*ISNUMBER($D$17:$D$266))),IFERROR(LOOKUP(2,1/(($I$17:$I$266=$K$114)*ISNUMBER($D$17:$D$266)),$D$17:$D$266),NA()))</f>
        <v>#N/A</v>
      </c>
      <c r="M114" s="20" t="e">
        <f aca="false">IFERROR(L114/L110-1,NA())</f>
        <v>#N/A</v>
      </c>
    </row>
    <row r="115" customFormat="false" ht="15" hidden="false" customHeight="false" outlineLevel="0" collapsed="false">
      <c r="A115" s="27"/>
      <c r="B115" s="28" t="e">
        <f aca="false">IFERROR(IF(ISNUMBER(A115),TEXT(YEAR(A115)-2000,"00")&amp;TEXT(MONTH(A115),"00"),NA()),NA())</f>
        <v>#N/A</v>
      </c>
      <c r="C115" s="18" t="n">
        <f aca="false">IFERROR(YEAR(A115),0)</f>
        <v>1899</v>
      </c>
      <c r="D115" s="32"/>
      <c r="E115" s="20" t="e">
        <f aca="false">IFERROR(D115/D114-1,NA())</f>
        <v>#N/A</v>
      </c>
      <c r="F115" s="20" t="e">
        <f aca="false">IFERROR(D115/D103-1,NA())</f>
        <v>#N/A</v>
      </c>
      <c r="G115" s="21" t="e">
        <f aca="false">IF(COUNT(D113:D115)=3,AVERAGE(D113:D115),NA())</f>
        <v>#N/A</v>
      </c>
      <c r="H115" s="20" t="e">
        <f aca="false">IFERROR(IF(AND(COUNT(D113:D115)=3,COUNT(D101:D103)=3),AVERAGE(D113:D115)/AVERAGE(D101:D103)-1,NA()),NA())</f>
        <v>#N/A</v>
      </c>
      <c r="I115" s="28" t="str">
        <f aca="false">IFERROR(YEAR(A115)&amp;"Q"&amp;CEILING(MONTH(A115)/3,1),"")</f>
        <v>1899Q4</v>
      </c>
      <c r="K115" s="28" t="s">
        <v>485</v>
      </c>
      <c r="L115" s="23" t="e">
        <f aca="false">CHOOSE(MATCH($B$11,{"Sum","Average","End of Period"},0),IF(SUMPRODUCT(($I$17:$I$266=$K$115)*ISNUMBER($D$17:$D$266))=0,NA(),SUMPRODUCT(($I$17:$I$266=$K$115)*IFERROR($D$17:$D$266,0))),IF(SUMPRODUCT(($I$17:$I$266=$K$115)*ISNUMBER($D$17:$D$266))=0,NA(),SUMPRODUCT(($I$17:$I$266=$K$115)*IFERROR($D$17:$D$266,0))/SUMPRODUCT(($I$17:$I$266=$K$115)*ISNUMBER($D$17:$D$266))),IFERROR(LOOKUP(2,1/(($I$17:$I$266=$K$115)*ISNUMBER($D$17:$D$266)),$D$17:$D$266),NA()))</f>
        <v>#N/A</v>
      </c>
      <c r="M115" s="20" t="e">
        <f aca="false">IFERROR(L115/L111-1,NA())</f>
        <v>#N/A</v>
      </c>
    </row>
    <row r="116" customFormat="false" ht="15" hidden="false" customHeight="false" outlineLevel="0" collapsed="false">
      <c r="A116" s="27"/>
      <c r="B116" s="28" t="e">
        <f aca="false">IFERROR(IF(ISNUMBER(A116),TEXT(YEAR(A116)-2000,"00")&amp;TEXT(MONTH(A116),"00"),NA()),NA())</f>
        <v>#N/A</v>
      </c>
      <c r="C116" s="18" t="n">
        <f aca="false">IFERROR(YEAR(A116),0)</f>
        <v>1899</v>
      </c>
      <c r="D116" s="32"/>
      <c r="E116" s="20" t="e">
        <f aca="false">IFERROR(D116/D115-1,NA())</f>
        <v>#N/A</v>
      </c>
      <c r="F116" s="20" t="e">
        <f aca="false">IFERROR(D116/D104-1,NA())</f>
        <v>#N/A</v>
      </c>
      <c r="G116" s="21" t="e">
        <f aca="false">IF(COUNT(D114:D116)=3,AVERAGE(D114:D116),NA())</f>
        <v>#N/A</v>
      </c>
      <c r="H116" s="20" t="e">
        <f aca="false">IFERROR(IF(AND(COUNT(D114:D116)=3,COUNT(D102:D104)=3),AVERAGE(D114:D116)/AVERAGE(D102:D104)-1,NA()),NA())</f>
        <v>#N/A</v>
      </c>
      <c r="I116" s="28" t="str">
        <f aca="false">IFERROR(YEAR(A116)&amp;"Q"&amp;CEILING(MONTH(A116)/3,1),"")</f>
        <v>1899Q4</v>
      </c>
      <c r="K116" s="28" t="s">
        <v>486</v>
      </c>
      <c r="L116" s="23" t="e">
        <f aca="false">CHOOSE(MATCH($B$11,{"Sum","Average","End of Period"},0),IF(SUMPRODUCT(($I$17:$I$266=$K$116)*ISNUMBER($D$17:$D$266))=0,NA(),SUMPRODUCT(($I$17:$I$266=$K$116)*IFERROR($D$17:$D$266,0))),IF(SUMPRODUCT(($I$17:$I$266=$K$116)*ISNUMBER($D$17:$D$266))=0,NA(),SUMPRODUCT(($I$17:$I$266=$K$116)*IFERROR($D$17:$D$266,0))/SUMPRODUCT(($I$17:$I$266=$K$116)*ISNUMBER($D$17:$D$266))),IFERROR(LOOKUP(2,1/(($I$17:$I$266=$K$116)*ISNUMBER($D$17:$D$266)),$D$17:$D$266),NA()))</f>
        <v>#N/A</v>
      </c>
      <c r="M116" s="20" t="e">
        <f aca="false">IFERROR(L116/L112-1,NA())</f>
        <v>#N/A</v>
      </c>
    </row>
    <row r="117" customFormat="false" ht="15" hidden="false" customHeight="false" outlineLevel="0" collapsed="false">
      <c r="A117" s="27"/>
      <c r="B117" s="28" t="e">
        <f aca="false">IFERROR(IF(ISNUMBER(A117),TEXT(YEAR(A117)-2000,"00")&amp;TEXT(MONTH(A117),"00"),NA()),NA())</f>
        <v>#N/A</v>
      </c>
      <c r="C117" s="18" t="n">
        <f aca="false">IFERROR(YEAR(A117),0)</f>
        <v>1899</v>
      </c>
      <c r="D117" s="32"/>
      <c r="E117" s="20" t="e">
        <f aca="false">IFERROR(D117/D116-1,NA())</f>
        <v>#N/A</v>
      </c>
      <c r="F117" s="20" t="e">
        <f aca="false">IFERROR(D117/D105-1,NA())</f>
        <v>#N/A</v>
      </c>
      <c r="G117" s="21" t="e">
        <f aca="false">IF(COUNT(D115:D117)=3,AVERAGE(D115:D117),NA())</f>
        <v>#N/A</v>
      </c>
      <c r="H117" s="20" t="e">
        <f aca="false">IFERROR(IF(AND(COUNT(D115:D117)=3,COUNT(D103:D105)=3),AVERAGE(D115:D117)/AVERAGE(D103:D105)-1,NA()),NA())</f>
        <v>#N/A</v>
      </c>
      <c r="I117" s="28" t="str">
        <f aca="false">IFERROR(YEAR(A117)&amp;"Q"&amp;CEILING(MONTH(A117)/3,1),"")</f>
        <v>1899Q4</v>
      </c>
    </row>
    <row r="118" customFormat="false" ht="15" hidden="false" customHeight="false" outlineLevel="0" collapsed="false">
      <c r="A118" s="27"/>
      <c r="B118" s="28" t="e">
        <f aca="false">IFERROR(IF(ISNUMBER(A118),TEXT(YEAR(A118)-2000,"00")&amp;TEXT(MONTH(A118),"00"),NA()),NA())</f>
        <v>#N/A</v>
      </c>
      <c r="C118" s="18" t="n">
        <f aca="false">IFERROR(YEAR(A118),0)</f>
        <v>1899</v>
      </c>
      <c r="D118" s="32"/>
      <c r="E118" s="20" t="e">
        <f aca="false">IFERROR(D118/D117-1,NA())</f>
        <v>#N/A</v>
      </c>
      <c r="F118" s="20" t="e">
        <f aca="false">IFERROR(D118/D106-1,NA())</f>
        <v>#N/A</v>
      </c>
      <c r="G118" s="21" t="e">
        <f aca="false">IF(COUNT(D116:D118)=3,AVERAGE(D116:D118),NA())</f>
        <v>#N/A</v>
      </c>
      <c r="H118" s="20" t="e">
        <f aca="false">IFERROR(IF(AND(COUNT(D116:D118)=3,COUNT(D104:D106)=3),AVERAGE(D116:D118)/AVERAGE(D104:D106)-1,NA()),NA())</f>
        <v>#N/A</v>
      </c>
      <c r="I118" s="28" t="str">
        <f aca="false">IFERROR(YEAR(A118)&amp;"Q"&amp;CEILING(MONTH(A118)/3,1),"")</f>
        <v>1899Q4</v>
      </c>
    </row>
    <row r="119" customFormat="false" ht="15" hidden="false" customHeight="false" outlineLevel="0" collapsed="false">
      <c r="A119" s="27"/>
      <c r="B119" s="28" t="e">
        <f aca="false">IFERROR(IF(ISNUMBER(A119),TEXT(YEAR(A119)-2000,"00")&amp;TEXT(MONTH(A119),"00"),NA()),NA())</f>
        <v>#N/A</v>
      </c>
      <c r="C119" s="18" t="n">
        <f aca="false">IFERROR(YEAR(A119),0)</f>
        <v>1899</v>
      </c>
      <c r="D119" s="32"/>
      <c r="E119" s="20" t="e">
        <f aca="false">IFERROR(D119/D118-1,NA())</f>
        <v>#N/A</v>
      </c>
      <c r="F119" s="20" t="e">
        <f aca="false">IFERROR(D119/D107-1,NA())</f>
        <v>#N/A</v>
      </c>
      <c r="G119" s="21" t="e">
        <f aca="false">IF(COUNT(D117:D119)=3,AVERAGE(D117:D119),NA())</f>
        <v>#N/A</v>
      </c>
      <c r="H119" s="20" t="e">
        <f aca="false">IFERROR(IF(AND(COUNT(D117:D119)=3,COUNT(D105:D107)=3),AVERAGE(D117:D119)/AVERAGE(D105:D107)-1,NA()),NA())</f>
        <v>#N/A</v>
      </c>
      <c r="I119" s="28" t="str">
        <f aca="false">IFERROR(YEAR(A119)&amp;"Q"&amp;CEILING(MONTH(A119)/3,1),"")</f>
        <v>1899Q4</v>
      </c>
    </row>
    <row r="120" customFormat="false" ht="15" hidden="false" customHeight="false" outlineLevel="0" collapsed="false">
      <c r="A120" s="27"/>
      <c r="B120" s="28" t="e">
        <f aca="false">IFERROR(IF(ISNUMBER(A120),TEXT(YEAR(A120)-2000,"00")&amp;TEXT(MONTH(A120),"00"),NA()),NA())</f>
        <v>#N/A</v>
      </c>
      <c r="C120" s="18" t="n">
        <f aca="false">IFERROR(YEAR(A120),0)</f>
        <v>1899</v>
      </c>
      <c r="D120" s="32"/>
      <c r="E120" s="20" t="e">
        <f aca="false">IFERROR(D120/D119-1,NA())</f>
        <v>#N/A</v>
      </c>
      <c r="F120" s="20" t="e">
        <f aca="false">IFERROR(D120/D108-1,NA())</f>
        <v>#N/A</v>
      </c>
      <c r="G120" s="21" t="e">
        <f aca="false">IF(COUNT(D118:D120)=3,AVERAGE(D118:D120),NA())</f>
        <v>#N/A</v>
      </c>
      <c r="H120" s="20" t="e">
        <f aca="false">IFERROR(IF(AND(COUNT(D118:D120)=3,COUNT(D106:D108)=3),AVERAGE(D118:D120)/AVERAGE(D106:D108)-1,NA()),NA())</f>
        <v>#N/A</v>
      </c>
      <c r="I120" s="28" t="str">
        <f aca="false">IFERROR(YEAR(A120)&amp;"Q"&amp;CEILING(MONTH(A120)/3,1),"")</f>
        <v>1899Q4</v>
      </c>
    </row>
    <row r="121" customFormat="false" ht="15" hidden="false" customHeight="false" outlineLevel="0" collapsed="false">
      <c r="A121" s="27"/>
      <c r="B121" s="28" t="e">
        <f aca="false">IFERROR(IF(ISNUMBER(A121),TEXT(YEAR(A121)-2000,"00")&amp;TEXT(MONTH(A121),"00"),NA()),NA())</f>
        <v>#N/A</v>
      </c>
      <c r="C121" s="18" t="n">
        <f aca="false">IFERROR(YEAR(A121),0)</f>
        <v>1899</v>
      </c>
      <c r="D121" s="32"/>
      <c r="E121" s="20" t="e">
        <f aca="false">IFERROR(D121/D120-1,NA())</f>
        <v>#N/A</v>
      </c>
      <c r="F121" s="20" t="e">
        <f aca="false">IFERROR(D121/D109-1,NA())</f>
        <v>#N/A</v>
      </c>
      <c r="G121" s="21" t="e">
        <f aca="false">IF(COUNT(D119:D121)=3,AVERAGE(D119:D121),NA())</f>
        <v>#N/A</v>
      </c>
      <c r="H121" s="20" t="e">
        <f aca="false">IFERROR(IF(AND(COUNT(D119:D121)=3,COUNT(D107:D109)=3),AVERAGE(D119:D121)/AVERAGE(D107:D109)-1,NA()),NA())</f>
        <v>#N/A</v>
      </c>
      <c r="I121" s="28" t="str">
        <f aca="false">IFERROR(YEAR(A121)&amp;"Q"&amp;CEILING(MONTH(A121)/3,1),"")</f>
        <v>1899Q4</v>
      </c>
    </row>
    <row r="122" customFormat="false" ht="15" hidden="false" customHeight="false" outlineLevel="0" collapsed="false">
      <c r="A122" s="27"/>
      <c r="B122" s="28" t="e">
        <f aca="false">IFERROR(IF(ISNUMBER(A122),TEXT(YEAR(A122)-2000,"00")&amp;TEXT(MONTH(A122),"00"),NA()),NA())</f>
        <v>#N/A</v>
      </c>
      <c r="C122" s="18" t="n">
        <f aca="false">IFERROR(YEAR(A122),0)</f>
        <v>1899</v>
      </c>
      <c r="D122" s="32"/>
      <c r="E122" s="20" t="e">
        <f aca="false">IFERROR(D122/D121-1,NA())</f>
        <v>#N/A</v>
      </c>
      <c r="F122" s="20" t="e">
        <f aca="false">IFERROR(D122/D110-1,NA())</f>
        <v>#N/A</v>
      </c>
      <c r="G122" s="21" t="e">
        <f aca="false">IF(COUNT(D120:D122)=3,AVERAGE(D120:D122),NA())</f>
        <v>#N/A</v>
      </c>
      <c r="H122" s="20" t="e">
        <f aca="false">IFERROR(IF(AND(COUNT(D120:D122)=3,COUNT(D108:D110)=3),AVERAGE(D120:D122)/AVERAGE(D108:D110)-1,NA()),NA())</f>
        <v>#N/A</v>
      </c>
      <c r="I122" s="28" t="str">
        <f aca="false">IFERROR(YEAR(A122)&amp;"Q"&amp;CEILING(MONTH(A122)/3,1),"")</f>
        <v>1899Q4</v>
      </c>
    </row>
    <row r="123" customFormat="false" ht="15" hidden="false" customHeight="false" outlineLevel="0" collapsed="false">
      <c r="A123" s="27"/>
      <c r="B123" s="28" t="e">
        <f aca="false">IFERROR(IF(ISNUMBER(A123),TEXT(YEAR(A123)-2000,"00")&amp;TEXT(MONTH(A123),"00"),NA()),NA())</f>
        <v>#N/A</v>
      </c>
      <c r="C123" s="18" t="n">
        <f aca="false">IFERROR(YEAR(A123),0)</f>
        <v>1899</v>
      </c>
      <c r="D123" s="32"/>
      <c r="E123" s="20" t="e">
        <f aca="false">IFERROR(D123/D122-1,NA())</f>
        <v>#N/A</v>
      </c>
      <c r="F123" s="20" t="e">
        <f aca="false">IFERROR(D123/D111-1,NA())</f>
        <v>#N/A</v>
      </c>
      <c r="G123" s="21" t="e">
        <f aca="false">IF(COUNT(D121:D123)=3,AVERAGE(D121:D123),NA())</f>
        <v>#N/A</v>
      </c>
      <c r="H123" s="20" t="e">
        <f aca="false">IFERROR(IF(AND(COUNT(D121:D123)=3,COUNT(D109:D111)=3),AVERAGE(D121:D123)/AVERAGE(D109:D111)-1,NA()),NA())</f>
        <v>#N/A</v>
      </c>
      <c r="I123" s="28" t="str">
        <f aca="false">IFERROR(YEAR(A123)&amp;"Q"&amp;CEILING(MONTH(A123)/3,1),"")</f>
        <v>1899Q4</v>
      </c>
    </row>
    <row r="124" customFormat="false" ht="15" hidden="false" customHeight="false" outlineLevel="0" collapsed="false">
      <c r="A124" s="27"/>
      <c r="B124" s="28" t="e">
        <f aca="false">IFERROR(IF(ISNUMBER(A124),TEXT(YEAR(A124)-2000,"00")&amp;TEXT(MONTH(A124),"00"),NA()),NA())</f>
        <v>#N/A</v>
      </c>
      <c r="C124" s="18" t="n">
        <f aca="false">IFERROR(YEAR(A124),0)</f>
        <v>1899</v>
      </c>
      <c r="D124" s="32"/>
      <c r="E124" s="20" t="e">
        <f aca="false">IFERROR(D124/D123-1,NA())</f>
        <v>#N/A</v>
      </c>
      <c r="F124" s="20" t="e">
        <f aca="false">IFERROR(D124/D112-1,NA())</f>
        <v>#N/A</v>
      </c>
      <c r="G124" s="21" t="e">
        <f aca="false">IF(COUNT(D122:D124)=3,AVERAGE(D122:D124),NA())</f>
        <v>#N/A</v>
      </c>
      <c r="H124" s="20" t="e">
        <f aca="false">IFERROR(IF(AND(COUNT(D122:D124)=3,COUNT(D110:D112)=3),AVERAGE(D122:D124)/AVERAGE(D110:D112)-1,NA()),NA())</f>
        <v>#N/A</v>
      </c>
      <c r="I124" s="28" t="str">
        <f aca="false">IFERROR(YEAR(A124)&amp;"Q"&amp;CEILING(MONTH(A124)/3,1),"")</f>
        <v>1899Q4</v>
      </c>
    </row>
    <row r="125" customFormat="false" ht="15" hidden="false" customHeight="false" outlineLevel="0" collapsed="false">
      <c r="A125" s="27"/>
      <c r="B125" s="28" t="e">
        <f aca="false">IFERROR(IF(ISNUMBER(A125),TEXT(YEAR(A125)-2000,"00")&amp;TEXT(MONTH(A125),"00"),NA()),NA())</f>
        <v>#N/A</v>
      </c>
      <c r="C125" s="18" t="n">
        <f aca="false">IFERROR(YEAR(A125),0)</f>
        <v>1899</v>
      </c>
      <c r="D125" s="32"/>
      <c r="E125" s="20" t="e">
        <f aca="false">IFERROR(D125/D124-1,NA())</f>
        <v>#N/A</v>
      </c>
      <c r="F125" s="20" t="e">
        <f aca="false">IFERROR(D125/D113-1,NA())</f>
        <v>#N/A</v>
      </c>
      <c r="G125" s="21" t="e">
        <f aca="false">IF(COUNT(D123:D125)=3,AVERAGE(D123:D125),NA())</f>
        <v>#N/A</v>
      </c>
      <c r="H125" s="20" t="e">
        <f aca="false">IFERROR(IF(AND(COUNT(D123:D125)=3,COUNT(D111:D113)=3),AVERAGE(D123:D125)/AVERAGE(D111:D113)-1,NA()),NA())</f>
        <v>#N/A</v>
      </c>
      <c r="I125" s="28" t="str">
        <f aca="false">IFERROR(YEAR(A125)&amp;"Q"&amp;CEILING(MONTH(A125)/3,1),"")</f>
        <v>1899Q4</v>
      </c>
    </row>
    <row r="126" customFormat="false" ht="15" hidden="false" customHeight="false" outlineLevel="0" collapsed="false">
      <c r="A126" s="27"/>
      <c r="B126" s="28" t="e">
        <f aca="false">IFERROR(IF(ISNUMBER(A126),TEXT(YEAR(A126)-2000,"00")&amp;TEXT(MONTH(A126),"00"),NA()),NA())</f>
        <v>#N/A</v>
      </c>
      <c r="C126" s="18" t="n">
        <f aca="false">IFERROR(YEAR(A126),0)</f>
        <v>1899</v>
      </c>
      <c r="D126" s="32"/>
      <c r="E126" s="20" t="e">
        <f aca="false">IFERROR(D126/D125-1,NA())</f>
        <v>#N/A</v>
      </c>
      <c r="F126" s="20" t="e">
        <f aca="false">IFERROR(D126/D114-1,NA())</f>
        <v>#N/A</v>
      </c>
      <c r="G126" s="21" t="e">
        <f aca="false">IF(COUNT(D124:D126)=3,AVERAGE(D124:D126),NA())</f>
        <v>#N/A</v>
      </c>
      <c r="H126" s="20" t="e">
        <f aca="false">IFERROR(IF(AND(COUNT(D124:D126)=3,COUNT(D112:D114)=3),AVERAGE(D124:D126)/AVERAGE(D112:D114)-1,NA()),NA())</f>
        <v>#N/A</v>
      </c>
      <c r="I126" s="28" t="str">
        <f aca="false">IFERROR(YEAR(A126)&amp;"Q"&amp;CEILING(MONTH(A126)/3,1),"")</f>
        <v>1899Q4</v>
      </c>
    </row>
    <row r="127" customFormat="false" ht="15" hidden="false" customHeight="false" outlineLevel="0" collapsed="false">
      <c r="A127" s="27"/>
      <c r="B127" s="28" t="e">
        <f aca="false">IFERROR(IF(ISNUMBER(A127),TEXT(YEAR(A127)-2000,"00")&amp;TEXT(MONTH(A127),"00"),NA()),NA())</f>
        <v>#N/A</v>
      </c>
      <c r="C127" s="18" t="n">
        <f aca="false">IFERROR(YEAR(A127),0)</f>
        <v>1899</v>
      </c>
      <c r="D127" s="32"/>
      <c r="E127" s="20" t="e">
        <f aca="false">IFERROR(D127/D126-1,NA())</f>
        <v>#N/A</v>
      </c>
      <c r="F127" s="20" t="e">
        <f aca="false">IFERROR(D127/D115-1,NA())</f>
        <v>#N/A</v>
      </c>
      <c r="G127" s="21" t="e">
        <f aca="false">IF(COUNT(D125:D127)=3,AVERAGE(D125:D127),NA())</f>
        <v>#N/A</v>
      </c>
      <c r="H127" s="20" t="e">
        <f aca="false">IFERROR(IF(AND(COUNT(D125:D127)=3,COUNT(D113:D115)=3),AVERAGE(D125:D127)/AVERAGE(D113:D115)-1,NA()),NA())</f>
        <v>#N/A</v>
      </c>
      <c r="I127" s="28" t="str">
        <f aca="false">IFERROR(YEAR(A127)&amp;"Q"&amp;CEILING(MONTH(A127)/3,1),"")</f>
        <v>1899Q4</v>
      </c>
    </row>
    <row r="128" customFormat="false" ht="15" hidden="false" customHeight="false" outlineLevel="0" collapsed="false">
      <c r="A128" s="27"/>
      <c r="B128" s="28" t="e">
        <f aca="false">IFERROR(IF(ISNUMBER(A128),TEXT(YEAR(A128)-2000,"00")&amp;TEXT(MONTH(A128),"00"),NA()),NA())</f>
        <v>#N/A</v>
      </c>
      <c r="C128" s="18" t="n">
        <f aca="false">IFERROR(YEAR(A128),0)</f>
        <v>1899</v>
      </c>
      <c r="D128" s="32"/>
      <c r="E128" s="20" t="e">
        <f aca="false">IFERROR(D128/D127-1,NA())</f>
        <v>#N/A</v>
      </c>
      <c r="F128" s="20" t="e">
        <f aca="false">IFERROR(D128/D116-1,NA())</f>
        <v>#N/A</v>
      </c>
      <c r="G128" s="21" t="e">
        <f aca="false">IF(COUNT(D126:D128)=3,AVERAGE(D126:D128),NA())</f>
        <v>#N/A</v>
      </c>
      <c r="H128" s="20" t="e">
        <f aca="false">IFERROR(IF(AND(COUNT(D126:D128)=3,COUNT(D114:D116)=3),AVERAGE(D126:D128)/AVERAGE(D114:D116)-1,NA()),NA())</f>
        <v>#N/A</v>
      </c>
      <c r="I128" s="28" t="str">
        <f aca="false">IFERROR(YEAR(A128)&amp;"Q"&amp;CEILING(MONTH(A128)/3,1),"")</f>
        <v>1899Q4</v>
      </c>
    </row>
    <row r="129" customFormat="false" ht="15" hidden="false" customHeight="false" outlineLevel="0" collapsed="false">
      <c r="A129" s="27"/>
      <c r="B129" s="28" t="e">
        <f aca="false">IFERROR(IF(ISNUMBER(A129),TEXT(YEAR(A129)-2000,"00")&amp;TEXT(MONTH(A129),"00"),NA()),NA())</f>
        <v>#N/A</v>
      </c>
      <c r="C129" s="18" t="n">
        <f aca="false">IFERROR(YEAR(A129),0)</f>
        <v>1899</v>
      </c>
      <c r="D129" s="32"/>
      <c r="E129" s="20" t="e">
        <f aca="false">IFERROR(D129/D128-1,NA())</f>
        <v>#N/A</v>
      </c>
      <c r="F129" s="20" t="e">
        <f aca="false">IFERROR(D129/D117-1,NA())</f>
        <v>#N/A</v>
      </c>
      <c r="G129" s="21" t="e">
        <f aca="false">IF(COUNT(D127:D129)=3,AVERAGE(D127:D129),NA())</f>
        <v>#N/A</v>
      </c>
      <c r="H129" s="20" t="e">
        <f aca="false">IFERROR(IF(AND(COUNT(D127:D129)=3,COUNT(D115:D117)=3),AVERAGE(D127:D129)/AVERAGE(D115:D117)-1,NA()),NA())</f>
        <v>#N/A</v>
      </c>
      <c r="I129" s="28" t="str">
        <f aca="false">IFERROR(YEAR(A129)&amp;"Q"&amp;CEILING(MONTH(A129)/3,1),"")</f>
        <v>1899Q4</v>
      </c>
    </row>
    <row r="130" customFormat="false" ht="15" hidden="false" customHeight="false" outlineLevel="0" collapsed="false">
      <c r="A130" s="27"/>
      <c r="B130" s="28" t="e">
        <f aca="false">IFERROR(IF(ISNUMBER(A130),TEXT(YEAR(A130)-2000,"00")&amp;TEXT(MONTH(A130),"00"),NA()),NA())</f>
        <v>#N/A</v>
      </c>
      <c r="C130" s="18" t="n">
        <f aca="false">IFERROR(YEAR(A130),0)</f>
        <v>1899</v>
      </c>
      <c r="D130" s="32"/>
      <c r="E130" s="20" t="e">
        <f aca="false">IFERROR(D130/D129-1,NA())</f>
        <v>#N/A</v>
      </c>
      <c r="F130" s="20" t="e">
        <f aca="false">IFERROR(D130/D118-1,NA())</f>
        <v>#N/A</v>
      </c>
      <c r="G130" s="21" t="e">
        <f aca="false">IF(COUNT(D128:D130)=3,AVERAGE(D128:D130),NA())</f>
        <v>#N/A</v>
      </c>
      <c r="H130" s="20" t="e">
        <f aca="false">IFERROR(IF(AND(COUNT(D128:D130)=3,COUNT(D116:D118)=3),AVERAGE(D128:D130)/AVERAGE(D116:D118)-1,NA()),NA())</f>
        <v>#N/A</v>
      </c>
      <c r="I130" s="28" t="str">
        <f aca="false">IFERROR(YEAR(A130)&amp;"Q"&amp;CEILING(MONTH(A130)/3,1),"")</f>
        <v>1899Q4</v>
      </c>
    </row>
    <row r="131" customFormat="false" ht="15" hidden="false" customHeight="false" outlineLevel="0" collapsed="false">
      <c r="A131" s="27"/>
      <c r="B131" s="28" t="e">
        <f aca="false">IFERROR(IF(ISNUMBER(A131),TEXT(YEAR(A131)-2000,"00")&amp;TEXT(MONTH(A131),"00"),NA()),NA())</f>
        <v>#N/A</v>
      </c>
      <c r="C131" s="18" t="n">
        <f aca="false">IFERROR(YEAR(A131),0)</f>
        <v>1899</v>
      </c>
      <c r="D131" s="32"/>
      <c r="E131" s="20" t="e">
        <f aca="false">IFERROR(D131/D130-1,NA())</f>
        <v>#N/A</v>
      </c>
      <c r="F131" s="20" t="e">
        <f aca="false">IFERROR(D131/D119-1,NA())</f>
        <v>#N/A</v>
      </c>
      <c r="G131" s="21" t="e">
        <f aca="false">IF(COUNT(D129:D131)=3,AVERAGE(D129:D131),NA())</f>
        <v>#N/A</v>
      </c>
      <c r="H131" s="20" t="e">
        <f aca="false">IFERROR(IF(AND(COUNT(D129:D131)=3,COUNT(D117:D119)=3),AVERAGE(D129:D131)/AVERAGE(D117:D119)-1,NA()),NA())</f>
        <v>#N/A</v>
      </c>
      <c r="I131" s="28" t="str">
        <f aca="false">IFERROR(YEAR(A131)&amp;"Q"&amp;CEILING(MONTH(A131)/3,1),"")</f>
        <v>1899Q4</v>
      </c>
    </row>
    <row r="132" customFormat="false" ht="15" hidden="false" customHeight="false" outlineLevel="0" collapsed="false">
      <c r="A132" s="27"/>
      <c r="B132" s="28" t="e">
        <f aca="false">IFERROR(IF(ISNUMBER(A132),TEXT(YEAR(A132)-2000,"00")&amp;TEXT(MONTH(A132),"00"),NA()),NA())</f>
        <v>#N/A</v>
      </c>
      <c r="C132" s="18" t="n">
        <f aca="false">IFERROR(YEAR(A132),0)</f>
        <v>1899</v>
      </c>
      <c r="D132" s="32"/>
      <c r="E132" s="20" t="e">
        <f aca="false">IFERROR(D132/D131-1,NA())</f>
        <v>#N/A</v>
      </c>
      <c r="F132" s="20" t="e">
        <f aca="false">IFERROR(D132/D120-1,NA())</f>
        <v>#N/A</v>
      </c>
      <c r="G132" s="21" t="e">
        <f aca="false">IF(COUNT(D130:D132)=3,AVERAGE(D130:D132),NA())</f>
        <v>#N/A</v>
      </c>
      <c r="H132" s="20" t="e">
        <f aca="false">IFERROR(IF(AND(COUNT(D130:D132)=3,COUNT(D118:D120)=3),AVERAGE(D130:D132)/AVERAGE(D118:D120)-1,NA()),NA())</f>
        <v>#N/A</v>
      </c>
      <c r="I132" s="28" t="str">
        <f aca="false">IFERROR(YEAR(A132)&amp;"Q"&amp;CEILING(MONTH(A132)/3,1),"")</f>
        <v>1899Q4</v>
      </c>
    </row>
    <row r="133" customFormat="false" ht="15" hidden="false" customHeight="false" outlineLevel="0" collapsed="false">
      <c r="A133" s="27"/>
      <c r="B133" s="28" t="e">
        <f aca="false">IFERROR(IF(ISNUMBER(A133),TEXT(YEAR(A133)-2000,"00")&amp;TEXT(MONTH(A133),"00"),NA()),NA())</f>
        <v>#N/A</v>
      </c>
      <c r="C133" s="18" t="n">
        <f aca="false">IFERROR(YEAR(A133),0)</f>
        <v>1899</v>
      </c>
      <c r="D133" s="32"/>
      <c r="E133" s="20" t="e">
        <f aca="false">IFERROR(D133/D132-1,NA())</f>
        <v>#N/A</v>
      </c>
      <c r="F133" s="20" t="e">
        <f aca="false">IFERROR(D133/D121-1,NA())</f>
        <v>#N/A</v>
      </c>
      <c r="G133" s="21" t="e">
        <f aca="false">IF(COUNT(D131:D133)=3,AVERAGE(D131:D133),NA())</f>
        <v>#N/A</v>
      </c>
      <c r="H133" s="20" t="e">
        <f aca="false">IFERROR(IF(AND(COUNT(D131:D133)=3,COUNT(D119:D121)=3),AVERAGE(D131:D133)/AVERAGE(D119:D121)-1,NA()),NA())</f>
        <v>#N/A</v>
      </c>
      <c r="I133" s="28" t="str">
        <f aca="false">IFERROR(YEAR(A133)&amp;"Q"&amp;CEILING(MONTH(A133)/3,1),"")</f>
        <v>1899Q4</v>
      </c>
    </row>
    <row r="134" customFormat="false" ht="15" hidden="false" customHeight="false" outlineLevel="0" collapsed="false">
      <c r="A134" s="27"/>
      <c r="B134" s="28" t="e">
        <f aca="false">IFERROR(IF(ISNUMBER(A134),TEXT(YEAR(A134)-2000,"00")&amp;TEXT(MONTH(A134),"00"),NA()),NA())</f>
        <v>#N/A</v>
      </c>
      <c r="C134" s="18" t="n">
        <f aca="false">IFERROR(YEAR(A134),0)</f>
        <v>1899</v>
      </c>
      <c r="D134" s="32"/>
      <c r="E134" s="20" t="e">
        <f aca="false">IFERROR(D134/D133-1,NA())</f>
        <v>#N/A</v>
      </c>
      <c r="F134" s="20" t="e">
        <f aca="false">IFERROR(D134/D122-1,NA())</f>
        <v>#N/A</v>
      </c>
      <c r="G134" s="21" t="e">
        <f aca="false">IF(COUNT(D132:D134)=3,AVERAGE(D132:D134),NA())</f>
        <v>#N/A</v>
      </c>
      <c r="H134" s="20" t="e">
        <f aca="false">IFERROR(IF(AND(COUNT(D132:D134)=3,COUNT(D120:D122)=3),AVERAGE(D132:D134)/AVERAGE(D120:D122)-1,NA()),NA())</f>
        <v>#N/A</v>
      </c>
      <c r="I134" s="28" t="str">
        <f aca="false">IFERROR(YEAR(A134)&amp;"Q"&amp;CEILING(MONTH(A134)/3,1),"")</f>
        <v>1899Q4</v>
      </c>
    </row>
    <row r="135" customFormat="false" ht="15" hidden="false" customHeight="false" outlineLevel="0" collapsed="false">
      <c r="A135" s="27"/>
      <c r="B135" s="28" t="e">
        <f aca="false">IFERROR(IF(ISNUMBER(A135),TEXT(YEAR(A135)-2000,"00")&amp;TEXT(MONTH(A135),"00"),NA()),NA())</f>
        <v>#N/A</v>
      </c>
      <c r="C135" s="18" t="n">
        <f aca="false">IFERROR(YEAR(A135),0)</f>
        <v>1899</v>
      </c>
      <c r="D135" s="32"/>
      <c r="E135" s="20" t="e">
        <f aca="false">IFERROR(D135/D134-1,NA())</f>
        <v>#N/A</v>
      </c>
      <c r="F135" s="20" t="e">
        <f aca="false">IFERROR(D135/D123-1,NA())</f>
        <v>#N/A</v>
      </c>
      <c r="G135" s="21" t="e">
        <f aca="false">IF(COUNT(D133:D135)=3,AVERAGE(D133:D135),NA())</f>
        <v>#N/A</v>
      </c>
      <c r="H135" s="20" t="e">
        <f aca="false">IFERROR(IF(AND(COUNT(D133:D135)=3,COUNT(D121:D123)=3),AVERAGE(D133:D135)/AVERAGE(D121:D123)-1,NA()),NA())</f>
        <v>#N/A</v>
      </c>
      <c r="I135" s="28" t="str">
        <f aca="false">IFERROR(YEAR(A135)&amp;"Q"&amp;CEILING(MONTH(A135)/3,1),"")</f>
        <v>1899Q4</v>
      </c>
    </row>
    <row r="136" customFormat="false" ht="15" hidden="false" customHeight="false" outlineLevel="0" collapsed="false">
      <c r="A136" s="27"/>
      <c r="B136" s="28" t="e">
        <f aca="false">IFERROR(IF(ISNUMBER(A136),TEXT(YEAR(A136)-2000,"00")&amp;TEXT(MONTH(A136),"00"),NA()),NA())</f>
        <v>#N/A</v>
      </c>
      <c r="C136" s="18" t="n">
        <f aca="false">IFERROR(YEAR(A136),0)</f>
        <v>1899</v>
      </c>
      <c r="D136" s="32"/>
      <c r="E136" s="20" t="e">
        <f aca="false">IFERROR(D136/D135-1,NA())</f>
        <v>#N/A</v>
      </c>
      <c r="F136" s="20" t="e">
        <f aca="false">IFERROR(D136/D124-1,NA())</f>
        <v>#N/A</v>
      </c>
      <c r="G136" s="21" t="e">
        <f aca="false">IF(COUNT(D134:D136)=3,AVERAGE(D134:D136),NA())</f>
        <v>#N/A</v>
      </c>
      <c r="H136" s="20" t="e">
        <f aca="false">IFERROR(IF(AND(COUNT(D134:D136)=3,COUNT(D122:D124)=3),AVERAGE(D134:D136)/AVERAGE(D122:D124)-1,NA()),NA())</f>
        <v>#N/A</v>
      </c>
      <c r="I136" s="28" t="str">
        <f aca="false">IFERROR(YEAR(A136)&amp;"Q"&amp;CEILING(MONTH(A136)/3,1),"")</f>
        <v>1899Q4</v>
      </c>
    </row>
    <row r="137" customFormat="false" ht="15" hidden="false" customHeight="false" outlineLevel="0" collapsed="false">
      <c r="A137" s="27"/>
      <c r="B137" s="28" t="e">
        <f aca="false">IFERROR(IF(ISNUMBER(A137),TEXT(YEAR(A137)-2000,"00")&amp;TEXT(MONTH(A137),"00"),NA()),NA())</f>
        <v>#N/A</v>
      </c>
      <c r="C137" s="18" t="n">
        <f aca="false">IFERROR(YEAR(A137),0)</f>
        <v>1899</v>
      </c>
      <c r="D137" s="32"/>
      <c r="E137" s="20" t="e">
        <f aca="false">IFERROR(D137/D136-1,NA())</f>
        <v>#N/A</v>
      </c>
      <c r="F137" s="20" t="e">
        <f aca="false">IFERROR(D137/D125-1,NA())</f>
        <v>#N/A</v>
      </c>
      <c r="G137" s="21" t="e">
        <f aca="false">IF(COUNT(D135:D137)=3,AVERAGE(D135:D137),NA())</f>
        <v>#N/A</v>
      </c>
      <c r="H137" s="20" t="e">
        <f aca="false">IFERROR(IF(AND(COUNT(D135:D137)=3,COUNT(D123:D125)=3),AVERAGE(D135:D137)/AVERAGE(D123:D125)-1,NA()),NA())</f>
        <v>#N/A</v>
      </c>
      <c r="I137" s="28" t="str">
        <f aca="false">IFERROR(YEAR(A137)&amp;"Q"&amp;CEILING(MONTH(A137)/3,1),"")</f>
        <v>1899Q4</v>
      </c>
    </row>
    <row r="138" customFormat="false" ht="15" hidden="false" customHeight="false" outlineLevel="0" collapsed="false">
      <c r="A138" s="27"/>
      <c r="B138" s="28" t="e">
        <f aca="false">IFERROR(IF(ISNUMBER(A138),TEXT(YEAR(A138)-2000,"00")&amp;TEXT(MONTH(A138),"00"),NA()),NA())</f>
        <v>#N/A</v>
      </c>
      <c r="C138" s="18" t="n">
        <f aca="false">IFERROR(YEAR(A138),0)</f>
        <v>1899</v>
      </c>
      <c r="D138" s="32"/>
      <c r="E138" s="20" t="e">
        <f aca="false">IFERROR(D138/D137-1,NA())</f>
        <v>#N/A</v>
      </c>
      <c r="F138" s="20" t="e">
        <f aca="false">IFERROR(D138/D126-1,NA())</f>
        <v>#N/A</v>
      </c>
      <c r="G138" s="21" t="e">
        <f aca="false">IF(COUNT(D136:D138)=3,AVERAGE(D136:D138),NA())</f>
        <v>#N/A</v>
      </c>
      <c r="H138" s="20" t="e">
        <f aca="false">IFERROR(IF(AND(COUNT(D136:D138)=3,COUNT(D124:D126)=3),AVERAGE(D136:D138)/AVERAGE(D124:D126)-1,NA()),NA())</f>
        <v>#N/A</v>
      </c>
      <c r="I138" s="28" t="str">
        <f aca="false">IFERROR(YEAR(A138)&amp;"Q"&amp;CEILING(MONTH(A138)/3,1),"")</f>
        <v>1899Q4</v>
      </c>
    </row>
    <row r="139" customFormat="false" ht="15" hidden="false" customHeight="false" outlineLevel="0" collapsed="false">
      <c r="A139" s="27"/>
      <c r="B139" s="28" t="e">
        <f aca="false">IFERROR(IF(ISNUMBER(A139),TEXT(YEAR(A139)-2000,"00")&amp;TEXT(MONTH(A139),"00"),NA()),NA())</f>
        <v>#N/A</v>
      </c>
      <c r="C139" s="18" t="n">
        <f aca="false">IFERROR(YEAR(A139),0)</f>
        <v>1899</v>
      </c>
      <c r="D139" s="32"/>
      <c r="E139" s="20" t="e">
        <f aca="false">IFERROR(D139/D138-1,NA())</f>
        <v>#N/A</v>
      </c>
      <c r="F139" s="20" t="e">
        <f aca="false">IFERROR(D139/D127-1,NA())</f>
        <v>#N/A</v>
      </c>
      <c r="G139" s="21" t="e">
        <f aca="false">IF(COUNT(D137:D139)=3,AVERAGE(D137:D139),NA())</f>
        <v>#N/A</v>
      </c>
      <c r="H139" s="20" t="e">
        <f aca="false">IFERROR(IF(AND(COUNT(D137:D139)=3,COUNT(D125:D127)=3),AVERAGE(D137:D139)/AVERAGE(D125:D127)-1,NA()),NA())</f>
        <v>#N/A</v>
      </c>
      <c r="I139" s="28" t="str">
        <f aca="false">IFERROR(YEAR(A139)&amp;"Q"&amp;CEILING(MONTH(A139)/3,1),"")</f>
        <v>1899Q4</v>
      </c>
    </row>
    <row r="140" customFormat="false" ht="15" hidden="false" customHeight="false" outlineLevel="0" collapsed="false">
      <c r="A140" s="27"/>
      <c r="B140" s="28" t="e">
        <f aca="false">IFERROR(IF(ISNUMBER(A140),TEXT(YEAR(A140)-2000,"00")&amp;TEXT(MONTH(A140),"00"),NA()),NA())</f>
        <v>#N/A</v>
      </c>
      <c r="C140" s="18" t="n">
        <f aca="false">IFERROR(YEAR(A140),0)</f>
        <v>1899</v>
      </c>
      <c r="D140" s="32"/>
      <c r="E140" s="20" t="e">
        <f aca="false">IFERROR(D140/D139-1,NA())</f>
        <v>#N/A</v>
      </c>
      <c r="F140" s="20" t="e">
        <f aca="false">IFERROR(D140/D128-1,NA())</f>
        <v>#N/A</v>
      </c>
      <c r="G140" s="21" t="e">
        <f aca="false">IF(COUNT(D138:D140)=3,AVERAGE(D138:D140),NA())</f>
        <v>#N/A</v>
      </c>
      <c r="H140" s="20" t="e">
        <f aca="false">IFERROR(IF(AND(COUNT(D138:D140)=3,COUNT(D126:D128)=3),AVERAGE(D138:D140)/AVERAGE(D126:D128)-1,NA()),NA())</f>
        <v>#N/A</v>
      </c>
      <c r="I140" s="28" t="str">
        <f aca="false">IFERROR(YEAR(A140)&amp;"Q"&amp;CEILING(MONTH(A140)/3,1),"")</f>
        <v>1899Q4</v>
      </c>
    </row>
    <row r="141" customFormat="false" ht="15" hidden="false" customHeight="false" outlineLevel="0" collapsed="false">
      <c r="A141" s="27"/>
      <c r="B141" s="28" t="e">
        <f aca="false">IFERROR(IF(ISNUMBER(A141),TEXT(YEAR(A141)-2000,"00")&amp;TEXT(MONTH(A141),"00"),NA()),NA())</f>
        <v>#N/A</v>
      </c>
      <c r="C141" s="18" t="n">
        <f aca="false">IFERROR(YEAR(A141),0)</f>
        <v>1899</v>
      </c>
      <c r="D141" s="32"/>
      <c r="E141" s="20" t="e">
        <f aca="false">IFERROR(D141/D140-1,NA())</f>
        <v>#N/A</v>
      </c>
      <c r="F141" s="20" t="e">
        <f aca="false">IFERROR(D141/D129-1,NA())</f>
        <v>#N/A</v>
      </c>
      <c r="G141" s="21" t="e">
        <f aca="false">IF(COUNT(D139:D141)=3,AVERAGE(D139:D141),NA())</f>
        <v>#N/A</v>
      </c>
      <c r="H141" s="20" t="e">
        <f aca="false">IFERROR(IF(AND(COUNT(D139:D141)=3,COUNT(D127:D129)=3),AVERAGE(D139:D141)/AVERAGE(D127:D129)-1,NA()),NA())</f>
        <v>#N/A</v>
      </c>
      <c r="I141" s="28" t="str">
        <f aca="false">IFERROR(YEAR(A141)&amp;"Q"&amp;CEILING(MONTH(A141)/3,1),"")</f>
        <v>1899Q4</v>
      </c>
    </row>
    <row r="142" customFormat="false" ht="15" hidden="false" customHeight="false" outlineLevel="0" collapsed="false">
      <c r="A142" s="27"/>
      <c r="B142" s="28" t="e">
        <f aca="false">IFERROR(IF(ISNUMBER(A142),TEXT(YEAR(A142)-2000,"00")&amp;TEXT(MONTH(A142),"00"),NA()),NA())</f>
        <v>#N/A</v>
      </c>
      <c r="C142" s="18" t="n">
        <f aca="false">IFERROR(YEAR(A142),0)</f>
        <v>1899</v>
      </c>
      <c r="D142" s="32"/>
      <c r="E142" s="20" t="e">
        <f aca="false">IFERROR(D142/D141-1,NA())</f>
        <v>#N/A</v>
      </c>
      <c r="F142" s="20" t="e">
        <f aca="false">IFERROR(D142/D130-1,NA())</f>
        <v>#N/A</v>
      </c>
      <c r="G142" s="21" t="e">
        <f aca="false">IF(COUNT(D140:D142)=3,AVERAGE(D140:D142),NA())</f>
        <v>#N/A</v>
      </c>
      <c r="H142" s="20" t="e">
        <f aca="false">IFERROR(IF(AND(COUNT(D140:D142)=3,COUNT(D128:D130)=3),AVERAGE(D140:D142)/AVERAGE(D128:D130)-1,NA()),NA())</f>
        <v>#N/A</v>
      </c>
      <c r="I142" s="28" t="str">
        <f aca="false">IFERROR(YEAR(A142)&amp;"Q"&amp;CEILING(MONTH(A142)/3,1),"")</f>
        <v>1899Q4</v>
      </c>
    </row>
    <row r="143" customFormat="false" ht="15" hidden="false" customHeight="false" outlineLevel="0" collapsed="false">
      <c r="A143" s="27"/>
      <c r="B143" s="28" t="e">
        <f aca="false">IFERROR(IF(ISNUMBER(A143),TEXT(YEAR(A143)-2000,"00")&amp;TEXT(MONTH(A143),"00"),NA()),NA())</f>
        <v>#N/A</v>
      </c>
      <c r="C143" s="18" t="n">
        <f aca="false">IFERROR(YEAR(A143),0)</f>
        <v>1899</v>
      </c>
      <c r="D143" s="32"/>
      <c r="E143" s="20" t="e">
        <f aca="false">IFERROR(D143/D142-1,NA())</f>
        <v>#N/A</v>
      </c>
      <c r="F143" s="20" t="e">
        <f aca="false">IFERROR(D143/D131-1,NA())</f>
        <v>#N/A</v>
      </c>
      <c r="G143" s="21" t="e">
        <f aca="false">IF(COUNT(D141:D143)=3,AVERAGE(D141:D143),NA())</f>
        <v>#N/A</v>
      </c>
      <c r="H143" s="20" t="e">
        <f aca="false">IFERROR(IF(AND(COUNT(D141:D143)=3,COUNT(D129:D131)=3),AVERAGE(D141:D143)/AVERAGE(D129:D131)-1,NA()),NA())</f>
        <v>#N/A</v>
      </c>
      <c r="I143" s="28" t="str">
        <f aca="false">IFERROR(YEAR(A143)&amp;"Q"&amp;CEILING(MONTH(A143)/3,1),"")</f>
        <v>1899Q4</v>
      </c>
    </row>
    <row r="144" customFormat="false" ht="15" hidden="false" customHeight="false" outlineLevel="0" collapsed="false">
      <c r="A144" s="27"/>
      <c r="B144" s="28" t="e">
        <f aca="false">IFERROR(IF(ISNUMBER(A144),TEXT(YEAR(A144)-2000,"00")&amp;TEXT(MONTH(A144),"00"),NA()),NA())</f>
        <v>#N/A</v>
      </c>
      <c r="C144" s="18" t="n">
        <f aca="false">IFERROR(YEAR(A144),0)</f>
        <v>1899</v>
      </c>
      <c r="D144" s="32"/>
      <c r="E144" s="20" t="e">
        <f aca="false">IFERROR(D144/D143-1,NA())</f>
        <v>#N/A</v>
      </c>
      <c r="F144" s="20" t="e">
        <f aca="false">IFERROR(D144/D132-1,NA())</f>
        <v>#N/A</v>
      </c>
      <c r="G144" s="21" t="e">
        <f aca="false">IF(COUNT(D142:D144)=3,AVERAGE(D142:D144),NA())</f>
        <v>#N/A</v>
      </c>
      <c r="H144" s="20" t="e">
        <f aca="false">IFERROR(IF(AND(COUNT(D142:D144)=3,COUNT(D130:D132)=3),AVERAGE(D142:D144)/AVERAGE(D130:D132)-1,NA()),NA())</f>
        <v>#N/A</v>
      </c>
      <c r="I144" s="28" t="str">
        <f aca="false">IFERROR(YEAR(A144)&amp;"Q"&amp;CEILING(MONTH(A144)/3,1),"")</f>
        <v>1899Q4</v>
      </c>
    </row>
    <row r="145" customFormat="false" ht="15" hidden="false" customHeight="false" outlineLevel="0" collapsed="false">
      <c r="A145" s="27"/>
      <c r="B145" s="28" t="e">
        <f aca="false">IFERROR(IF(ISNUMBER(A145),TEXT(YEAR(A145)-2000,"00")&amp;TEXT(MONTH(A145),"00"),NA()),NA())</f>
        <v>#N/A</v>
      </c>
      <c r="C145" s="18" t="n">
        <f aca="false">IFERROR(YEAR(A145),0)</f>
        <v>1899</v>
      </c>
      <c r="D145" s="32"/>
      <c r="E145" s="20" t="e">
        <f aca="false">IFERROR(D145/D144-1,NA())</f>
        <v>#N/A</v>
      </c>
      <c r="F145" s="20" t="e">
        <f aca="false">IFERROR(D145/D133-1,NA())</f>
        <v>#N/A</v>
      </c>
      <c r="G145" s="21" t="e">
        <f aca="false">IF(COUNT(D143:D145)=3,AVERAGE(D143:D145),NA())</f>
        <v>#N/A</v>
      </c>
      <c r="H145" s="20" t="e">
        <f aca="false">IFERROR(IF(AND(COUNT(D143:D145)=3,COUNT(D131:D133)=3),AVERAGE(D143:D145)/AVERAGE(D131:D133)-1,NA()),NA())</f>
        <v>#N/A</v>
      </c>
      <c r="I145" s="28" t="str">
        <f aca="false">IFERROR(YEAR(A145)&amp;"Q"&amp;CEILING(MONTH(A145)/3,1),"")</f>
        <v>1899Q4</v>
      </c>
    </row>
    <row r="146" customFormat="false" ht="15" hidden="false" customHeight="false" outlineLevel="0" collapsed="false">
      <c r="A146" s="27"/>
      <c r="B146" s="28" t="e">
        <f aca="false">IFERROR(IF(ISNUMBER(A146),TEXT(YEAR(A146)-2000,"00")&amp;TEXT(MONTH(A146),"00"),NA()),NA())</f>
        <v>#N/A</v>
      </c>
      <c r="C146" s="18" t="n">
        <f aca="false">IFERROR(YEAR(A146),0)</f>
        <v>1899</v>
      </c>
      <c r="D146" s="32"/>
      <c r="E146" s="20" t="e">
        <f aca="false">IFERROR(D146/D145-1,NA())</f>
        <v>#N/A</v>
      </c>
      <c r="F146" s="20" t="e">
        <f aca="false">IFERROR(D146/D134-1,NA())</f>
        <v>#N/A</v>
      </c>
      <c r="G146" s="21" t="e">
        <f aca="false">IF(COUNT(D144:D146)=3,AVERAGE(D144:D146),NA())</f>
        <v>#N/A</v>
      </c>
      <c r="H146" s="20" t="e">
        <f aca="false">IFERROR(IF(AND(COUNT(D144:D146)=3,COUNT(D132:D134)=3),AVERAGE(D144:D146)/AVERAGE(D132:D134)-1,NA()),NA())</f>
        <v>#N/A</v>
      </c>
      <c r="I146" s="28" t="str">
        <f aca="false">IFERROR(YEAR(A146)&amp;"Q"&amp;CEILING(MONTH(A146)/3,1),"")</f>
        <v>1899Q4</v>
      </c>
    </row>
    <row r="147" customFormat="false" ht="15" hidden="false" customHeight="false" outlineLevel="0" collapsed="false">
      <c r="A147" s="27"/>
      <c r="B147" s="28" t="e">
        <f aca="false">IFERROR(IF(ISNUMBER(A147),TEXT(YEAR(A147)-2000,"00")&amp;TEXT(MONTH(A147),"00"),NA()),NA())</f>
        <v>#N/A</v>
      </c>
      <c r="C147" s="18" t="n">
        <f aca="false">IFERROR(YEAR(A147),0)</f>
        <v>1899</v>
      </c>
      <c r="D147" s="32"/>
      <c r="E147" s="20" t="e">
        <f aca="false">IFERROR(D147/D146-1,NA())</f>
        <v>#N/A</v>
      </c>
      <c r="F147" s="20" t="e">
        <f aca="false">IFERROR(D147/D135-1,NA())</f>
        <v>#N/A</v>
      </c>
      <c r="G147" s="21" t="e">
        <f aca="false">IF(COUNT(D145:D147)=3,AVERAGE(D145:D147),NA())</f>
        <v>#N/A</v>
      </c>
      <c r="H147" s="20" t="e">
        <f aca="false">IFERROR(IF(AND(COUNT(D145:D147)=3,COUNT(D133:D135)=3),AVERAGE(D145:D147)/AVERAGE(D133:D135)-1,NA()),NA())</f>
        <v>#N/A</v>
      </c>
      <c r="I147" s="28" t="str">
        <f aca="false">IFERROR(YEAR(A147)&amp;"Q"&amp;CEILING(MONTH(A147)/3,1),"")</f>
        <v>1899Q4</v>
      </c>
    </row>
    <row r="148" customFormat="false" ht="15" hidden="false" customHeight="false" outlineLevel="0" collapsed="false">
      <c r="A148" s="27"/>
      <c r="B148" s="28" t="e">
        <f aca="false">IFERROR(IF(ISNUMBER(A148),TEXT(YEAR(A148)-2000,"00")&amp;TEXT(MONTH(A148),"00"),NA()),NA())</f>
        <v>#N/A</v>
      </c>
      <c r="C148" s="18" t="n">
        <f aca="false">IFERROR(YEAR(A148),0)</f>
        <v>1899</v>
      </c>
      <c r="D148" s="32"/>
      <c r="E148" s="20" t="e">
        <f aca="false">IFERROR(D148/D147-1,NA())</f>
        <v>#N/A</v>
      </c>
      <c r="F148" s="20" t="e">
        <f aca="false">IFERROR(D148/D136-1,NA())</f>
        <v>#N/A</v>
      </c>
      <c r="G148" s="21" t="e">
        <f aca="false">IF(COUNT(D146:D148)=3,AVERAGE(D146:D148),NA())</f>
        <v>#N/A</v>
      </c>
      <c r="H148" s="20" t="e">
        <f aca="false">IFERROR(IF(AND(COUNT(D146:D148)=3,COUNT(D134:D136)=3),AVERAGE(D146:D148)/AVERAGE(D134:D136)-1,NA()),NA())</f>
        <v>#N/A</v>
      </c>
      <c r="I148" s="28" t="str">
        <f aca="false">IFERROR(YEAR(A148)&amp;"Q"&amp;CEILING(MONTH(A148)/3,1),"")</f>
        <v>1899Q4</v>
      </c>
    </row>
    <row r="149" customFormat="false" ht="15" hidden="false" customHeight="false" outlineLevel="0" collapsed="false">
      <c r="A149" s="27"/>
      <c r="B149" s="28" t="e">
        <f aca="false">IFERROR(IF(ISNUMBER(A149),TEXT(YEAR(A149)-2000,"00")&amp;TEXT(MONTH(A149),"00"),NA()),NA())</f>
        <v>#N/A</v>
      </c>
      <c r="C149" s="18" t="n">
        <f aca="false">IFERROR(YEAR(A149),0)</f>
        <v>1899</v>
      </c>
      <c r="D149" s="32"/>
      <c r="E149" s="20" t="e">
        <f aca="false">IFERROR(D149/D148-1,NA())</f>
        <v>#N/A</v>
      </c>
      <c r="F149" s="20" t="e">
        <f aca="false">IFERROR(D149/D137-1,NA())</f>
        <v>#N/A</v>
      </c>
      <c r="G149" s="21" t="e">
        <f aca="false">IF(COUNT(D147:D149)=3,AVERAGE(D147:D149),NA())</f>
        <v>#N/A</v>
      </c>
      <c r="H149" s="20" t="e">
        <f aca="false">IFERROR(IF(AND(COUNT(D147:D149)=3,COUNT(D135:D137)=3),AVERAGE(D147:D149)/AVERAGE(D135:D137)-1,NA()),NA())</f>
        <v>#N/A</v>
      </c>
      <c r="I149" s="28" t="str">
        <f aca="false">IFERROR(YEAR(A149)&amp;"Q"&amp;CEILING(MONTH(A149)/3,1),"")</f>
        <v>1899Q4</v>
      </c>
    </row>
    <row r="150" customFormat="false" ht="15" hidden="false" customHeight="false" outlineLevel="0" collapsed="false">
      <c r="A150" s="27"/>
      <c r="B150" s="28" t="e">
        <f aca="false">IFERROR(IF(ISNUMBER(A150),TEXT(YEAR(A150)-2000,"00")&amp;TEXT(MONTH(A150),"00"),NA()),NA())</f>
        <v>#N/A</v>
      </c>
      <c r="C150" s="18" t="n">
        <f aca="false">IFERROR(YEAR(A150),0)</f>
        <v>1899</v>
      </c>
      <c r="D150" s="32"/>
      <c r="E150" s="20" t="e">
        <f aca="false">IFERROR(D150/D149-1,NA())</f>
        <v>#N/A</v>
      </c>
      <c r="F150" s="20" t="e">
        <f aca="false">IFERROR(D150/D138-1,NA())</f>
        <v>#N/A</v>
      </c>
      <c r="G150" s="21" t="e">
        <f aca="false">IF(COUNT(D148:D150)=3,AVERAGE(D148:D150),NA())</f>
        <v>#N/A</v>
      </c>
      <c r="H150" s="20" t="e">
        <f aca="false">IFERROR(IF(AND(COUNT(D148:D150)=3,COUNT(D136:D138)=3),AVERAGE(D148:D150)/AVERAGE(D136:D138)-1,NA()),NA())</f>
        <v>#N/A</v>
      </c>
      <c r="I150" s="28" t="str">
        <f aca="false">IFERROR(YEAR(A150)&amp;"Q"&amp;CEILING(MONTH(A150)/3,1),"")</f>
        <v>1899Q4</v>
      </c>
    </row>
    <row r="151" customFormat="false" ht="15" hidden="false" customHeight="false" outlineLevel="0" collapsed="false">
      <c r="A151" s="27"/>
      <c r="B151" s="28" t="e">
        <f aca="false">IFERROR(IF(ISNUMBER(A151),TEXT(YEAR(A151)-2000,"00")&amp;TEXT(MONTH(A151),"00"),NA()),NA())</f>
        <v>#N/A</v>
      </c>
      <c r="C151" s="18" t="n">
        <f aca="false">IFERROR(YEAR(A151),0)</f>
        <v>1899</v>
      </c>
      <c r="D151" s="32"/>
      <c r="E151" s="20" t="e">
        <f aca="false">IFERROR(D151/D150-1,NA())</f>
        <v>#N/A</v>
      </c>
      <c r="F151" s="20" t="e">
        <f aca="false">IFERROR(D151/D139-1,NA())</f>
        <v>#N/A</v>
      </c>
      <c r="G151" s="21" t="e">
        <f aca="false">IF(COUNT(D149:D151)=3,AVERAGE(D149:D151),NA())</f>
        <v>#N/A</v>
      </c>
      <c r="H151" s="20" t="e">
        <f aca="false">IFERROR(IF(AND(COUNT(D149:D151)=3,COUNT(D137:D139)=3),AVERAGE(D149:D151)/AVERAGE(D137:D139)-1,NA()),NA())</f>
        <v>#N/A</v>
      </c>
      <c r="I151" s="28" t="str">
        <f aca="false">IFERROR(YEAR(A151)&amp;"Q"&amp;CEILING(MONTH(A151)/3,1),"")</f>
        <v>1899Q4</v>
      </c>
    </row>
    <row r="152" customFormat="false" ht="15" hidden="false" customHeight="false" outlineLevel="0" collapsed="false">
      <c r="A152" s="27"/>
      <c r="B152" s="28" t="e">
        <f aca="false">IFERROR(IF(ISNUMBER(A152),TEXT(YEAR(A152)-2000,"00")&amp;TEXT(MONTH(A152),"00"),NA()),NA())</f>
        <v>#N/A</v>
      </c>
      <c r="C152" s="18" t="n">
        <f aca="false">IFERROR(YEAR(A152),0)</f>
        <v>1899</v>
      </c>
      <c r="D152" s="32"/>
      <c r="E152" s="20" t="e">
        <f aca="false">IFERROR(D152/D151-1,NA())</f>
        <v>#N/A</v>
      </c>
      <c r="F152" s="20" t="e">
        <f aca="false">IFERROR(D152/D140-1,NA())</f>
        <v>#N/A</v>
      </c>
      <c r="G152" s="21" t="e">
        <f aca="false">IF(COUNT(D150:D152)=3,AVERAGE(D150:D152),NA())</f>
        <v>#N/A</v>
      </c>
      <c r="H152" s="20" t="e">
        <f aca="false">IFERROR(IF(AND(COUNT(D150:D152)=3,COUNT(D138:D140)=3),AVERAGE(D150:D152)/AVERAGE(D138:D140)-1,NA()),NA())</f>
        <v>#N/A</v>
      </c>
      <c r="I152" s="28" t="str">
        <f aca="false">IFERROR(YEAR(A152)&amp;"Q"&amp;CEILING(MONTH(A152)/3,1),"")</f>
        <v>1899Q4</v>
      </c>
    </row>
    <row r="153" customFormat="false" ht="15" hidden="false" customHeight="false" outlineLevel="0" collapsed="false">
      <c r="A153" s="27"/>
      <c r="B153" s="28" t="e">
        <f aca="false">IFERROR(IF(ISNUMBER(A153),TEXT(YEAR(A153)-2000,"00")&amp;TEXT(MONTH(A153),"00"),NA()),NA())</f>
        <v>#N/A</v>
      </c>
      <c r="C153" s="18" t="n">
        <f aca="false">IFERROR(YEAR(A153),0)</f>
        <v>1899</v>
      </c>
      <c r="D153" s="32"/>
      <c r="E153" s="20" t="e">
        <f aca="false">IFERROR(D153/D152-1,NA())</f>
        <v>#N/A</v>
      </c>
      <c r="F153" s="20" t="e">
        <f aca="false">IFERROR(D153/D141-1,NA())</f>
        <v>#N/A</v>
      </c>
      <c r="G153" s="21" t="e">
        <f aca="false">IF(COUNT(D151:D153)=3,AVERAGE(D151:D153),NA())</f>
        <v>#N/A</v>
      </c>
      <c r="H153" s="20" t="e">
        <f aca="false">IFERROR(IF(AND(COUNT(D151:D153)=3,COUNT(D139:D141)=3),AVERAGE(D151:D153)/AVERAGE(D139:D141)-1,NA()),NA())</f>
        <v>#N/A</v>
      </c>
      <c r="I153" s="28" t="str">
        <f aca="false">IFERROR(YEAR(A153)&amp;"Q"&amp;CEILING(MONTH(A153)/3,1),"")</f>
        <v>1899Q4</v>
      </c>
    </row>
    <row r="154" customFormat="false" ht="15" hidden="false" customHeight="false" outlineLevel="0" collapsed="false">
      <c r="A154" s="27"/>
      <c r="B154" s="28" t="e">
        <f aca="false">IFERROR(IF(ISNUMBER(A154),TEXT(YEAR(A154)-2000,"00")&amp;TEXT(MONTH(A154),"00"),NA()),NA())</f>
        <v>#N/A</v>
      </c>
      <c r="C154" s="18" t="n">
        <f aca="false">IFERROR(YEAR(A154),0)</f>
        <v>1899</v>
      </c>
      <c r="D154" s="32"/>
      <c r="E154" s="20" t="e">
        <f aca="false">IFERROR(D154/D153-1,NA())</f>
        <v>#N/A</v>
      </c>
      <c r="F154" s="20" t="e">
        <f aca="false">IFERROR(D154/D142-1,NA())</f>
        <v>#N/A</v>
      </c>
      <c r="G154" s="21" t="e">
        <f aca="false">IF(COUNT(D152:D154)=3,AVERAGE(D152:D154),NA())</f>
        <v>#N/A</v>
      </c>
      <c r="H154" s="20" t="e">
        <f aca="false">IFERROR(IF(AND(COUNT(D152:D154)=3,COUNT(D140:D142)=3),AVERAGE(D152:D154)/AVERAGE(D140:D142)-1,NA()),NA())</f>
        <v>#N/A</v>
      </c>
      <c r="I154" s="28" t="str">
        <f aca="false">IFERROR(YEAR(A154)&amp;"Q"&amp;CEILING(MONTH(A154)/3,1),"")</f>
        <v>1899Q4</v>
      </c>
    </row>
    <row r="155" customFormat="false" ht="15" hidden="false" customHeight="false" outlineLevel="0" collapsed="false">
      <c r="A155" s="27"/>
      <c r="B155" s="28" t="e">
        <f aca="false">IFERROR(IF(ISNUMBER(A155),TEXT(YEAR(A155)-2000,"00")&amp;TEXT(MONTH(A155),"00"),NA()),NA())</f>
        <v>#N/A</v>
      </c>
      <c r="C155" s="18" t="n">
        <f aca="false">IFERROR(YEAR(A155),0)</f>
        <v>1899</v>
      </c>
      <c r="D155" s="32"/>
      <c r="E155" s="20" t="e">
        <f aca="false">IFERROR(D155/D154-1,NA())</f>
        <v>#N/A</v>
      </c>
      <c r="F155" s="20" t="e">
        <f aca="false">IFERROR(D155/D143-1,NA())</f>
        <v>#N/A</v>
      </c>
      <c r="G155" s="21" t="e">
        <f aca="false">IF(COUNT(D153:D155)=3,AVERAGE(D153:D155),NA())</f>
        <v>#N/A</v>
      </c>
      <c r="H155" s="20" t="e">
        <f aca="false">IFERROR(IF(AND(COUNT(D153:D155)=3,COUNT(D141:D143)=3),AVERAGE(D153:D155)/AVERAGE(D141:D143)-1,NA()),NA())</f>
        <v>#N/A</v>
      </c>
      <c r="I155" s="28" t="str">
        <f aca="false">IFERROR(YEAR(A155)&amp;"Q"&amp;CEILING(MONTH(A155)/3,1),"")</f>
        <v>1899Q4</v>
      </c>
    </row>
    <row r="156" customFormat="false" ht="15" hidden="false" customHeight="false" outlineLevel="0" collapsed="false">
      <c r="A156" s="27"/>
      <c r="B156" s="28" t="e">
        <f aca="false">IFERROR(IF(ISNUMBER(A156),TEXT(YEAR(A156)-2000,"00")&amp;TEXT(MONTH(A156),"00"),NA()),NA())</f>
        <v>#N/A</v>
      </c>
      <c r="C156" s="18" t="n">
        <f aca="false">IFERROR(YEAR(A156),0)</f>
        <v>1899</v>
      </c>
      <c r="D156" s="32"/>
      <c r="E156" s="20" t="e">
        <f aca="false">IFERROR(D156/D155-1,NA())</f>
        <v>#N/A</v>
      </c>
      <c r="F156" s="20" t="e">
        <f aca="false">IFERROR(D156/D144-1,NA())</f>
        <v>#N/A</v>
      </c>
      <c r="G156" s="21" t="e">
        <f aca="false">IF(COUNT(D154:D156)=3,AVERAGE(D154:D156),NA())</f>
        <v>#N/A</v>
      </c>
      <c r="H156" s="20" t="e">
        <f aca="false">IFERROR(IF(AND(COUNT(D154:D156)=3,COUNT(D142:D144)=3),AVERAGE(D154:D156)/AVERAGE(D142:D144)-1,NA()),NA())</f>
        <v>#N/A</v>
      </c>
      <c r="I156" s="28" t="str">
        <f aca="false">IFERROR(YEAR(A156)&amp;"Q"&amp;CEILING(MONTH(A156)/3,1),"")</f>
        <v>1899Q4</v>
      </c>
    </row>
    <row r="157" customFormat="false" ht="15" hidden="false" customHeight="false" outlineLevel="0" collapsed="false">
      <c r="A157" s="27"/>
      <c r="B157" s="28" t="e">
        <f aca="false">IFERROR(IF(ISNUMBER(A157),TEXT(YEAR(A157)-2000,"00")&amp;TEXT(MONTH(A157),"00"),NA()),NA())</f>
        <v>#N/A</v>
      </c>
      <c r="C157" s="18" t="n">
        <f aca="false">IFERROR(YEAR(A157),0)</f>
        <v>1899</v>
      </c>
      <c r="D157" s="32"/>
      <c r="E157" s="20" t="e">
        <f aca="false">IFERROR(D157/D156-1,NA())</f>
        <v>#N/A</v>
      </c>
      <c r="F157" s="20" t="e">
        <f aca="false">IFERROR(D157/D145-1,NA())</f>
        <v>#N/A</v>
      </c>
      <c r="G157" s="21" t="e">
        <f aca="false">IF(COUNT(D155:D157)=3,AVERAGE(D155:D157),NA())</f>
        <v>#N/A</v>
      </c>
      <c r="H157" s="20" t="e">
        <f aca="false">IFERROR(IF(AND(COUNT(D155:D157)=3,COUNT(D143:D145)=3),AVERAGE(D155:D157)/AVERAGE(D143:D145)-1,NA()),NA())</f>
        <v>#N/A</v>
      </c>
      <c r="I157" s="28" t="str">
        <f aca="false">IFERROR(YEAR(A157)&amp;"Q"&amp;CEILING(MONTH(A157)/3,1),"")</f>
        <v>1899Q4</v>
      </c>
    </row>
    <row r="158" customFormat="false" ht="15" hidden="false" customHeight="false" outlineLevel="0" collapsed="false">
      <c r="A158" s="27"/>
      <c r="B158" s="28" t="e">
        <f aca="false">IFERROR(IF(ISNUMBER(A158),TEXT(YEAR(A158)-2000,"00")&amp;TEXT(MONTH(A158),"00"),NA()),NA())</f>
        <v>#N/A</v>
      </c>
      <c r="C158" s="18" t="n">
        <f aca="false">IFERROR(YEAR(A158),0)</f>
        <v>1899</v>
      </c>
      <c r="D158" s="32"/>
      <c r="E158" s="20" t="e">
        <f aca="false">IFERROR(D158/D157-1,NA())</f>
        <v>#N/A</v>
      </c>
      <c r="F158" s="20" t="e">
        <f aca="false">IFERROR(D158/D146-1,NA())</f>
        <v>#N/A</v>
      </c>
      <c r="G158" s="21" t="e">
        <f aca="false">IF(COUNT(D156:D158)=3,AVERAGE(D156:D158),NA())</f>
        <v>#N/A</v>
      </c>
      <c r="H158" s="20" t="e">
        <f aca="false">IFERROR(IF(AND(COUNT(D156:D158)=3,COUNT(D144:D146)=3),AVERAGE(D156:D158)/AVERAGE(D144:D146)-1,NA()),NA())</f>
        <v>#N/A</v>
      </c>
      <c r="I158" s="28" t="str">
        <f aca="false">IFERROR(YEAR(A158)&amp;"Q"&amp;CEILING(MONTH(A158)/3,1),"")</f>
        <v>1899Q4</v>
      </c>
    </row>
    <row r="159" customFormat="false" ht="15" hidden="false" customHeight="false" outlineLevel="0" collapsed="false">
      <c r="A159" s="27"/>
      <c r="B159" s="28" t="e">
        <f aca="false">IFERROR(IF(ISNUMBER(A159),TEXT(YEAR(A159)-2000,"00")&amp;TEXT(MONTH(A159),"00"),NA()),NA())</f>
        <v>#N/A</v>
      </c>
      <c r="C159" s="18" t="n">
        <f aca="false">IFERROR(YEAR(A159),0)</f>
        <v>1899</v>
      </c>
      <c r="D159" s="32"/>
      <c r="E159" s="20" t="e">
        <f aca="false">IFERROR(D159/D158-1,NA())</f>
        <v>#N/A</v>
      </c>
      <c r="F159" s="20" t="e">
        <f aca="false">IFERROR(D159/D147-1,NA())</f>
        <v>#N/A</v>
      </c>
      <c r="G159" s="21" t="e">
        <f aca="false">IF(COUNT(D157:D159)=3,AVERAGE(D157:D159),NA())</f>
        <v>#N/A</v>
      </c>
      <c r="H159" s="20" t="e">
        <f aca="false">IFERROR(IF(AND(COUNT(D157:D159)=3,COUNT(D145:D147)=3),AVERAGE(D157:D159)/AVERAGE(D145:D147)-1,NA()),NA())</f>
        <v>#N/A</v>
      </c>
      <c r="I159" s="28" t="str">
        <f aca="false">IFERROR(YEAR(A159)&amp;"Q"&amp;CEILING(MONTH(A159)/3,1),"")</f>
        <v>1899Q4</v>
      </c>
    </row>
    <row r="160" customFormat="false" ht="15" hidden="false" customHeight="false" outlineLevel="0" collapsed="false">
      <c r="A160" s="27"/>
      <c r="B160" s="28" t="e">
        <f aca="false">IFERROR(IF(ISNUMBER(A160),TEXT(YEAR(A160)-2000,"00")&amp;TEXT(MONTH(A160),"00"),NA()),NA())</f>
        <v>#N/A</v>
      </c>
      <c r="C160" s="18" t="n">
        <f aca="false">IFERROR(YEAR(A160),0)</f>
        <v>1899</v>
      </c>
      <c r="D160" s="32"/>
      <c r="E160" s="20" t="e">
        <f aca="false">IFERROR(D160/D159-1,NA())</f>
        <v>#N/A</v>
      </c>
      <c r="F160" s="20" t="e">
        <f aca="false">IFERROR(D160/D148-1,NA())</f>
        <v>#N/A</v>
      </c>
      <c r="G160" s="21" t="e">
        <f aca="false">IF(COUNT(D158:D160)=3,AVERAGE(D158:D160),NA())</f>
        <v>#N/A</v>
      </c>
      <c r="H160" s="20" t="e">
        <f aca="false">IFERROR(IF(AND(COUNT(D158:D160)=3,COUNT(D146:D148)=3),AVERAGE(D158:D160)/AVERAGE(D146:D148)-1,NA()),NA())</f>
        <v>#N/A</v>
      </c>
      <c r="I160" s="28" t="str">
        <f aca="false">IFERROR(YEAR(A160)&amp;"Q"&amp;CEILING(MONTH(A160)/3,1),"")</f>
        <v>1899Q4</v>
      </c>
    </row>
    <row r="161" customFormat="false" ht="15" hidden="false" customHeight="false" outlineLevel="0" collapsed="false">
      <c r="A161" s="27"/>
      <c r="B161" s="28" t="e">
        <f aca="false">IFERROR(IF(ISNUMBER(A161),TEXT(YEAR(A161)-2000,"00")&amp;TEXT(MONTH(A161),"00"),NA()),NA())</f>
        <v>#N/A</v>
      </c>
      <c r="C161" s="18" t="n">
        <f aca="false">IFERROR(YEAR(A161),0)</f>
        <v>1899</v>
      </c>
      <c r="D161" s="32"/>
      <c r="E161" s="20" t="e">
        <f aca="false">IFERROR(D161/D160-1,NA())</f>
        <v>#N/A</v>
      </c>
      <c r="F161" s="20" t="e">
        <f aca="false">IFERROR(D161/D149-1,NA())</f>
        <v>#N/A</v>
      </c>
      <c r="G161" s="21" t="e">
        <f aca="false">IF(COUNT(D159:D161)=3,AVERAGE(D159:D161),NA())</f>
        <v>#N/A</v>
      </c>
      <c r="H161" s="20" t="e">
        <f aca="false">IFERROR(IF(AND(COUNT(D159:D161)=3,COUNT(D147:D149)=3),AVERAGE(D159:D161)/AVERAGE(D147:D149)-1,NA()),NA())</f>
        <v>#N/A</v>
      </c>
      <c r="I161" s="28" t="str">
        <f aca="false">IFERROR(YEAR(A161)&amp;"Q"&amp;CEILING(MONTH(A161)/3,1),"")</f>
        <v>1899Q4</v>
      </c>
    </row>
    <row r="162" customFormat="false" ht="15" hidden="false" customHeight="false" outlineLevel="0" collapsed="false">
      <c r="A162" s="27"/>
      <c r="B162" s="28" t="e">
        <f aca="false">IFERROR(IF(ISNUMBER(A162),TEXT(YEAR(A162)-2000,"00")&amp;TEXT(MONTH(A162),"00"),NA()),NA())</f>
        <v>#N/A</v>
      </c>
      <c r="C162" s="18" t="n">
        <f aca="false">IFERROR(YEAR(A162),0)</f>
        <v>1899</v>
      </c>
      <c r="D162" s="32"/>
      <c r="E162" s="20" t="e">
        <f aca="false">IFERROR(D162/D161-1,NA())</f>
        <v>#N/A</v>
      </c>
      <c r="F162" s="20" t="e">
        <f aca="false">IFERROR(D162/D150-1,NA())</f>
        <v>#N/A</v>
      </c>
      <c r="G162" s="21" t="e">
        <f aca="false">IF(COUNT(D160:D162)=3,AVERAGE(D160:D162),NA())</f>
        <v>#N/A</v>
      </c>
      <c r="H162" s="20" t="e">
        <f aca="false">IFERROR(IF(AND(COUNT(D160:D162)=3,COUNT(D148:D150)=3),AVERAGE(D160:D162)/AVERAGE(D148:D150)-1,NA()),NA())</f>
        <v>#N/A</v>
      </c>
      <c r="I162" s="28" t="str">
        <f aca="false">IFERROR(YEAR(A162)&amp;"Q"&amp;CEILING(MONTH(A162)/3,1),"")</f>
        <v>1899Q4</v>
      </c>
    </row>
    <row r="163" customFormat="false" ht="15" hidden="false" customHeight="false" outlineLevel="0" collapsed="false">
      <c r="A163" s="27"/>
      <c r="B163" s="28" t="e">
        <f aca="false">IFERROR(IF(ISNUMBER(A163),TEXT(YEAR(A163)-2000,"00")&amp;TEXT(MONTH(A163),"00"),NA()),NA())</f>
        <v>#N/A</v>
      </c>
      <c r="C163" s="18" t="n">
        <f aca="false">IFERROR(YEAR(A163),0)</f>
        <v>1899</v>
      </c>
      <c r="D163" s="32"/>
      <c r="E163" s="20" t="e">
        <f aca="false">IFERROR(D163/D162-1,NA())</f>
        <v>#N/A</v>
      </c>
      <c r="F163" s="20" t="e">
        <f aca="false">IFERROR(D163/D151-1,NA())</f>
        <v>#N/A</v>
      </c>
      <c r="G163" s="21" t="e">
        <f aca="false">IF(COUNT(D161:D163)=3,AVERAGE(D161:D163),NA())</f>
        <v>#N/A</v>
      </c>
      <c r="H163" s="20" t="e">
        <f aca="false">IFERROR(IF(AND(COUNT(D161:D163)=3,COUNT(D149:D151)=3),AVERAGE(D161:D163)/AVERAGE(D149:D151)-1,NA()),NA())</f>
        <v>#N/A</v>
      </c>
      <c r="I163" s="28" t="str">
        <f aca="false">IFERROR(YEAR(A163)&amp;"Q"&amp;CEILING(MONTH(A163)/3,1),"")</f>
        <v>1899Q4</v>
      </c>
    </row>
    <row r="164" customFormat="false" ht="15" hidden="false" customHeight="false" outlineLevel="0" collapsed="false">
      <c r="A164" s="27"/>
      <c r="B164" s="28" t="e">
        <f aca="false">IFERROR(IF(ISNUMBER(A164),TEXT(YEAR(A164)-2000,"00")&amp;TEXT(MONTH(A164),"00"),NA()),NA())</f>
        <v>#N/A</v>
      </c>
      <c r="C164" s="18" t="n">
        <f aca="false">IFERROR(YEAR(A164),0)</f>
        <v>1899</v>
      </c>
      <c r="D164" s="32"/>
      <c r="E164" s="20" t="e">
        <f aca="false">IFERROR(D164/D163-1,NA())</f>
        <v>#N/A</v>
      </c>
      <c r="F164" s="20" t="e">
        <f aca="false">IFERROR(D164/D152-1,NA())</f>
        <v>#N/A</v>
      </c>
      <c r="G164" s="21" t="e">
        <f aca="false">IF(COUNT(D162:D164)=3,AVERAGE(D162:D164),NA())</f>
        <v>#N/A</v>
      </c>
      <c r="H164" s="20" t="e">
        <f aca="false">IFERROR(IF(AND(COUNT(D162:D164)=3,COUNT(D150:D152)=3),AVERAGE(D162:D164)/AVERAGE(D150:D152)-1,NA()),NA())</f>
        <v>#N/A</v>
      </c>
      <c r="I164" s="28" t="str">
        <f aca="false">IFERROR(YEAR(A164)&amp;"Q"&amp;CEILING(MONTH(A164)/3,1),"")</f>
        <v>1899Q4</v>
      </c>
    </row>
    <row r="165" customFormat="false" ht="15" hidden="false" customHeight="false" outlineLevel="0" collapsed="false">
      <c r="A165" s="27"/>
      <c r="B165" s="28" t="e">
        <f aca="false">IFERROR(IF(ISNUMBER(A165),TEXT(YEAR(A165)-2000,"00")&amp;TEXT(MONTH(A165),"00"),NA()),NA())</f>
        <v>#N/A</v>
      </c>
      <c r="C165" s="18" t="n">
        <f aca="false">IFERROR(YEAR(A165),0)</f>
        <v>1899</v>
      </c>
      <c r="D165" s="32"/>
      <c r="E165" s="20" t="e">
        <f aca="false">IFERROR(D165/D164-1,NA())</f>
        <v>#N/A</v>
      </c>
      <c r="F165" s="20" t="e">
        <f aca="false">IFERROR(D165/D153-1,NA())</f>
        <v>#N/A</v>
      </c>
      <c r="G165" s="21" t="e">
        <f aca="false">IF(COUNT(D163:D165)=3,AVERAGE(D163:D165),NA())</f>
        <v>#N/A</v>
      </c>
      <c r="H165" s="20" t="e">
        <f aca="false">IFERROR(IF(AND(COUNT(D163:D165)=3,COUNT(D151:D153)=3),AVERAGE(D163:D165)/AVERAGE(D151:D153)-1,NA()),NA())</f>
        <v>#N/A</v>
      </c>
      <c r="I165" s="28" t="str">
        <f aca="false">IFERROR(YEAR(A165)&amp;"Q"&amp;CEILING(MONTH(A165)/3,1),"")</f>
        <v>1899Q4</v>
      </c>
    </row>
    <row r="166" customFormat="false" ht="15" hidden="false" customHeight="false" outlineLevel="0" collapsed="false">
      <c r="A166" s="27"/>
      <c r="B166" s="28" t="e">
        <f aca="false">IFERROR(IF(ISNUMBER(A166),TEXT(YEAR(A166)-2000,"00")&amp;TEXT(MONTH(A166),"00"),NA()),NA())</f>
        <v>#N/A</v>
      </c>
      <c r="C166" s="18" t="n">
        <f aca="false">IFERROR(YEAR(A166),0)</f>
        <v>1899</v>
      </c>
      <c r="D166" s="32"/>
      <c r="E166" s="20" t="e">
        <f aca="false">IFERROR(D166/D165-1,NA())</f>
        <v>#N/A</v>
      </c>
      <c r="F166" s="20" t="e">
        <f aca="false">IFERROR(D166/D154-1,NA())</f>
        <v>#N/A</v>
      </c>
      <c r="G166" s="21" t="e">
        <f aca="false">IF(COUNT(D164:D166)=3,AVERAGE(D164:D166),NA())</f>
        <v>#N/A</v>
      </c>
      <c r="H166" s="20" t="e">
        <f aca="false">IFERROR(IF(AND(COUNT(D164:D166)=3,COUNT(D152:D154)=3),AVERAGE(D164:D166)/AVERAGE(D152:D154)-1,NA()),NA())</f>
        <v>#N/A</v>
      </c>
      <c r="I166" s="28" t="str">
        <f aca="false">IFERROR(YEAR(A166)&amp;"Q"&amp;CEILING(MONTH(A166)/3,1),"")</f>
        <v>1899Q4</v>
      </c>
    </row>
    <row r="167" customFormat="false" ht="15" hidden="false" customHeight="false" outlineLevel="0" collapsed="false">
      <c r="A167" s="27"/>
      <c r="B167" s="28" t="e">
        <f aca="false">IFERROR(IF(ISNUMBER(A167),TEXT(YEAR(A167)-2000,"00")&amp;TEXT(MONTH(A167),"00"),NA()),NA())</f>
        <v>#N/A</v>
      </c>
      <c r="C167" s="18" t="n">
        <f aca="false">IFERROR(YEAR(A167),0)</f>
        <v>1899</v>
      </c>
      <c r="D167" s="32"/>
      <c r="E167" s="20" t="e">
        <f aca="false">IFERROR(D167/D166-1,NA())</f>
        <v>#N/A</v>
      </c>
      <c r="F167" s="20" t="e">
        <f aca="false">IFERROR(D167/D155-1,NA())</f>
        <v>#N/A</v>
      </c>
      <c r="G167" s="21" t="e">
        <f aca="false">IF(COUNT(D165:D167)=3,AVERAGE(D165:D167),NA())</f>
        <v>#N/A</v>
      </c>
      <c r="H167" s="20" t="e">
        <f aca="false">IFERROR(IF(AND(COUNT(D165:D167)=3,COUNT(D153:D155)=3),AVERAGE(D165:D167)/AVERAGE(D153:D155)-1,NA()),NA())</f>
        <v>#N/A</v>
      </c>
      <c r="I167" s="28" t="str">
        <f aca="false">IFERROR(YEAR(A167)&amp;"Q"&amp;CEILING(MONTH(A167)/3,1),"")</f>
        <v>1899Q4</v>
      </c>
    </row>
    <row r="168" customFormat="false" ht="15" hidden="false" customHeight="false" outlineLevel="0" collapsed="false">
      <c r="A168" s="27"/>
      <c r="B168" s="28" t="e">
        <f aca="false">IFERROR(IF(ISNUMBER(A168),TEXT(YEAR(A168)-2000,"00")&amp;TEXT(MONTH(A168),"00"),NA()),NA())</f>
        <v>#N/A</v>
      </c>
      <c r="C168" s="18" t="n">
        <f aca="false">IFERROR(YEAR(A168),0)</f>
        <v>1899</v>
      </c>
      <c r="D168" s="32"/>
      <c r="E168" s="20" t="e">
        <f aca="false">IFERROR(D168/D167-1,NA())</f>
        <v>#N/A</v>
      </c>
      <c r="F168" s="20" t="e">
        <f aca="false">IFERROR(D168/D156-1,NA())</f>
        <v>#N/A</v>
      </c>
      <c r="G168" s="21" t="e">
        <f aca="false">IF(COUNT(D166:D168)=3,AVERAGE(D166:D168),NA())</f>
        <v>#N/A</v>
      </c>
      <c r="H168" s="20" t="e">
        <f aca="false">IFERROR(IF(AND(COUNT(D166:D168)=3,COUNT(D154:D156)=3),AVERAGE(D166:D168)/AVERAGE(D154:D156)-1,NA()),NA())</f>
        <v>#N/A</v>
      </c>
      <c r="I168" s="28" t="str">
        <f aca="false">IFERROR(YEAR(A168)&amp;"Q"&amp;CEILING(MONTH(A168)/3,1),"")</f>
        <v>1899Q4</v>
      </c>
    </row>
    <row r="169" customFormat="false" ht="15" hidden="false" customHeight="false" outlineLevel="0" collapsed="false">
      <c r="A169" s="27"/>
      <c r="B169" s="28" t="e">
        <f aca="false">IFERROR(IF(ISNUMBER(A169),TEXT(YEAR(A169)-2000,"00")&amp;TEXT(MONTH(A169),"00"),NA()),NA())</f>
        <v>#N/A</v>
      </c>
      <c r="C169" s="18" t="n">
        <f aca="false">IFERROR(YEAR(A169),0)</f>
        <v>1899</v>
      </c>
      <c r="D169" s="32"/>
      <c r="E169" s="20" t="e">
        <f aca="false">IFERROR(D169/D168-1,NA())</f>
        <v>#N/A</v>
      </c>
      <c r="F169" s="20" t="e">
        <f aca="false">IFERROR(D169/D157-1,NA())</f>
        <v>#N/A</v>
      </c>
      <c r="G169" s="21" t="e">
        <f aca="false">IF(COUNT(D167:D169)=3,AVERAGE(D167:D169),NA())</f>
        <v>#N/A</v>
      </c>
      <c r="H169" s="20" t="e">
        <f aca="false">IFERROR(IF(AND(COUNT(D167:D169)=3,COUNT(D155:D157)=3),AVERAGE(D167:D169)/AVERAGE(D155:D157)-1,NA()),NA())</f>
        <v>#N/A</v>
      </c>
      <c r="I169" s="28" t="str">
        <f aca="false">IFERROR(YEAR(A169)&amp;"Q"&amp;CEILING(MONTH(A169)/3,1),"")</f>
        <v>1899Q4</v>
      </c>
    </row>
    <row r="170" customFormat="false" ht="15" hidden="false" customHeight="false" outlineLevel="0" collapsed="false">
      <c r="A170" s="27"/>
      <c r="B170" s="28" t="e">
        <f aca="false">IFERROR(IF(ISNUMBER(A170),TEXT(YEAR(A170)-2000,"00")&amp;TEXT(MONTH(A170),"00"),NA()),NA())</f>
        <v>#N/A</v>
      </c>
      <c r="C170" s="18" t="n">
        <f aca="false">IFERROR(YEAR(A170),0)</f>
        <v>1899</v>
      </c>
      <c r="D170" s="32"/>
      <c r="E170" s="20" t="e">
        <f aca="false">IFERROR(D170/D169-1,NA())</f>
        <v>#N/A</v>
      </c>
      <c r="F170" s="20" t="e">
        <f aca="false">IFERROR(D170/D158-1,NA())</f>
        <v>#N/A</v>
      </c>
      <c r="G170" s="21" t="e">
        <f aca="false">IF(COUNT(D168:D170)=3,AVERAGE(D168:D170),NA())</f>
        <v>#N/A</v>
      </c>
      <c r="H170" s="20" t="e">
        <f aca="false">IFERROR(IF(AND(COUNT(D168:D170)=3,COUNT(D156:D158)=3),AVERAGE(D168:D170)/AVERAGE(D156:D158)-1,NA()),NA())</f>
        <v>#N/A</v>
      </c>
      <c r="I170" s="28" t="str">
        <f aca="false">IFERROR(YEAR(A170)&amp;"Q"&amp;CEILING(MONTH(A170)/3,1),"")</f>
        <v>1899Q4</v>
      </c>
    </row>
    <row r="171" customFormat="false" ht="15" hidden="false" customHeight="false" outlineLevel="0" collapsed="false">
      <c r="A171" s="27"/>
      <c r="B171" s="28" t="e">
        <f aca="false">IFERROR(IF(ISNUMBER(A171),TEXT(YEAR(A171)-2000,"00")&amp;TEXT(MONTH(A171),"00"),NA()),NA())</f>
        <v>#N/A</v>
      </c>
      <c r="C171" s="18" t="n">
        <f aca="false">IFERROR(YEAR(A171),0)</f>
        <v>1899</v>
      </c>
      <c r="D171" s="32"/>
      <c r="E171" s="20" t="e">
        <f aca="false">IFERROR(D171/D170-1,NA())</f>
        <v>#N/A</v>
      </c>
      <c r="F171" s="20" t="e">
        <f aca="false">IFERROR(D171/D159-1,NA())</f>
        <v>#N/A</v>
      </c>
      <c r="G171" s="21" t="e">
        <f aca="false">IF(COUNT(D169:D171)=3,AVERAGE(D169:D171),NA())</f>
        <v>#N/A</v>
      </c>
      <c r="H171" s="20" t="e">
        <f aca="false">IFERROR(IF(AND(COUNT(D169:D171)=3,COUNT(D157:D159)=3),AVERAGE(D169:D171)/AVERAGE(D157:D159)-1,NA()),NA())</f>
        <v>#N/A</v>
      </c>
      <c r="I171" s="28" t="str">
        <f aca="false">IFERROR(YEAR(A171)&amp;"Q"&amp;CEILING(MONTH(A171)/3,1),"")</f>
        <v>1899Q4</v>
      </c>
    </row>
    <row r="172" customFormat="false" ht="15" hidden="false" customHeight="false" outlineLevel="0" collapsed="false">
      <c r="A172" s="27"/>
      <c r="B172" s="28" t="e">
        <f aca="false">IFERROR(IF(ISNUMBER(A172),TEXT(YEAR(A172)-2000,"00")&amp;TEXT(MONTH(A172),"00"),NA()),NA())</f>
        <v>#N/A</v>
      </c>
      <c r="C172" s="18" t="n">
        <f aca="false">IFERROR(YEAR(A172),0)</f>
        <v>1899</v>
      </c>
      <c r="D172" s="32"/>
      <c r="E172" s="20" t="e">
        <f aca="false">IFERROR(D172/D171-1,NA())</f>
        <v>#N/A</v>
      </c>
      <c r="F172" s="20" t="e">
        <f aca="false">IFERROR(D172/D160-1,NA())</f>
        <v>#N/A</v>
      </c>
      <c r="G172" s="21" t="e">
        <f aca="false">IF(COUNT(D170:D172)=3,AVERAGE(D170:D172),NA())</f>
        <v>#N/A</v>
      </c>
      <c r="H172" s="20" t="e">
        <f aca="false">IFERROR(IF(AND(COUNT(D170:D172)=3,COUNT(D158:D160)=3),AVERAGE(D170:D172)/AVERAGE(D158:D160)-1,NA()),NA())</f>
        <v>#N/A</v>
      </c>
      <c r="I172" s="28" t="str">
        <f aca="false">IFERROR(YEAR(A172)&amp;"Q"&amp;CEILING(MONTH(A172)/3,1),"")</f>
        <v>1899Q4</v>
      </c>
    </row>
    <row r="173" customFormat="false" ht="15" hidden="false" customHeight="false" outlineLevel="0" collapsed="false">
      <c r="A173" s="27"/>
      <c r="B173" s="28" t="e">
        <f aca="false">IFERROR(IF(ISNUMBER(A173),TEXT(YEAR(A173)-2000,"00")&amp;TEXT(MONTH(A173),"00"),NA()),NA())</f>
        <v>#N/A</v>
      </c>
      <c r="C173" s="18" t="n">
        <f aca="false">IFERROR(YEAR(A173),0)</f>
        <v>1899</v>
      </c>
      <c r="D173" s="32"/>
      <c r="E173" s="20" t="e">
        <f aca="false">IFERROR(D173/D172-1,NA())</f>
        <v>#N/A</v>
      </c>
      <c r="F173" s="20" t="e">
        <f aca="false">IFERROR(D173/D161-1,NA())</f>
        <v>#N/A</v>
      </c>
      <c r="G173" s="21" t="e">
        <f aca="false">IF(COUNT(D171:D173)=3,AVERAGE(D171:D173),NA())</f>
        <v>#N/A</v>
      </c>
      <c r="H173" s="20" t="e">
        <f aca="false">IFERROR(IF(AND(COUNT(D171:D173)=3,COUNT(D159:D161)=3),AVERAGE(D171:D173)/AVERAGE(D159:D161)-1,NA()),NA())</f>
        <v>#N/A</v>
      </c>
      <c r="I173" s="28" t="str">
        <f aca="false">IFERROR(YEAR(A173)&amp;"Q"&amp;CEILING(MONTH(A173)/3,1),"")</f>
        <v>1899Q4</v>
      </c>
    </row>
    <row r="174" customFormat="false" ht="15" hidden="false" customHeight="false" outlineLevel="0" collapsed="false">
      <c r="A174" s="27"/>
      <c r="B174" s="28" t="e">
        <f aca="false">IFERROR(IF(ISNUMBER(A174),TEXT(YEAR(A174)-2000,"00")&amp;TEXT(MONTH(A174),"00"),NA()),NA())</f>
        <v>#N/A</v>
      </c>
      <c r="C174" s="18" t="n">
        <f aca="false">IFERROR(YEAR(A174),0)</f>
        <v>1899</v>
      </c>
      <c r="D174" s="32"/>
      <c r="E174" s="20" t="e">
        <f aca="false">IFERROR(D174/D173-1,NA())</f>
        <v>#N/A</v>
      </c>
      <c r="F174" s="20" t="e">
        <f aca="false">IFERROR(D174/D162-1,NA())</f>
        <v>#N/A</v>
      </c>
      <c r="G174" s="21" t="e">
        <f aca="false">IF(COUNT(D172:D174)=3,AVERAGE(D172:D174),NA())</f>
        <v>#N/A</v>
      </c>
      <c r="H174" s="20" t="e">
        <f aca="false">IFERROR(IF(AND(COUNT(D172:D174)=3,COUNT(D160:D162)=3),AVERAGE(D172:D174)/AVERAGE(D160:D162)-1,NA()),NA())</f>
        <v>#N/A</v>
      </c>
      <c r="I174" s="28" t="str">
        <f aca="false">IFERROR(YEAR(A174)&amp;"Q"&amp;CEILING(MONTH(A174)/3,1),"")</f>
        <v>1899Q4</v>
      </c>
    </row>
    <row r="175" customFormat="false" ht="15" hidden="false" customHeight="false" outlineLevel="0" collapsed="false">
      <c r="A175" s="27"/>
      <c r="B175" s="28" t="e">
        <f aca="false">IFERROR(IF(ISNUMBER(A175),TEXT(YEAR(A175)-2000,"00")&amp;TEXT(MONTH(A175),"00"),NA()),NA())</f>
        <v>#N/A</v>
      </c>
      <c r="C175" s="18" t="n">
        <f aca="false">IFERROR(YEAR(A175),0)</f>
        <v>1899</v>
      </c>
      <c r="D175" s="32"/>
      <c r="E175" s="20" t="e">
        <f aca="false">IFERROR(D175/D174-1,NA())</f>
        <v>#N/A</v>
      </c>
      <c r="F175" s="20" t="e">
        <f aca="false">IFERROR(D175/D163-1,NA())</f>
        <v>#N/A</v>
      </c>
      <c r="G175" s="21" t="e">
        <f aca="false">IF(COUNT(D173:D175)=3,AVERAGE(D173:D175),NA())</f>
        <v>#N/A</v>
      </c>
      <c r="H175" s="20" t="e">
        <f aca="false">IFERROR(IF(AND(COUNT(D173:D175)=3,COUNT(D161:D163)=3),AVERAGE(D173:D175)/AVERAGE(D161:D163)-1,NA()),NA())</f>
        <v>#N/A</v>
      </c>
      <c r="I175" s="28" t="str">
        <f aca="false">IFERROR(YEAR(A175)&amp;"Q"&amp;CEILING(MONTH(A175)/3,1),"")</f>
        <v>1899Q4</v>
      </c>
    </row>
    <row r="176" customFormat="false" ht="15" hidden="false" customHeight="false" outlineLevel="0" collapsed="false">
      <c r="A176" s="27"/>
      <c r="B176" s="28" t="e">
        <f aca="false">IFERROR(IF(ISNUMBER(A176),TEXT(YEAR(A176)-2000,"00")&amp;TEXT(MONTH(A176),"00"),NA()),NA())</f>
        <v>#N/A</v>
      </c>
      <c r="C176" s="18" t="n">
        <f aca="false">IFERROR(YEAR(A176),0)</f>
        <v>1899</v>
      </c>
      <c r="D176" s="32"/>
      <c r="E176" s="20" t="e">
        <f aca="false">IFERROR(D176/D175-1,NA())</f>
        <v>#N/A</v>
      </c>
      <c r="F176" s="20" t="e">
        <f aca="false">IFERROR(D176/D164-1,NA())</f>
        <v>#N/A</v>
      </c>
      <c r="G176" s="21" t="e">
        <f aca="false">IF(COUNT(D174:D176)=3,AVERAGE(D174:D176),NA())</f>
        <v>#N/A</v>
      </c>
      <c r="H176" s="20" t="e">
        <f aca="false">IFERROR(IF(AND(COUNT(D174:D176)=3,COUNT(D162:D164)=3),AVERAGE(D174:D176)/AVERAGE(D162:D164)-1,NA()),NA())</f>
        <v>#N/A</v>
      </c>
      <c r="I176" s="28" t="str">
        <f aca="false">IFERROR(YEAR(A176)&amp;"Q"&amp;CEILING(MONTH(A176)/3,1),"")</f>
        <v>1899Q4</v>
      </c>
    </row>
    <row r="177" customFormat="false" ht="15" hidden="false" customHeight="false" outlineLevel="0" collapsed="false">
      <c r="A177" s="27"/>
      <c r="B177" s="28" t="e">
        <f aca="false">IFERROR(IF(ISNUMBER(A177),TEXT(YEAR(A177)-2000,"00")&amp;TEXT(MONTH(A177),"00"),NA()),NA())</f>
        <v>#N/A</v>
      </c>
      <c r="C177" s="18" t="n">
        <f aca="false">IFERROR(YEAR(A177),0)</f>
        <v>1899</v>
      </c>
      <c r="D177" s="32"/>
      <c r="E177" s="20" t="e">
        <f aca="false">IFERROR(D177/D176-1,NA())</f>
        <v>#N/A</v>
      </c>
      <c r="F177" s="20" t="e">
        <f aca="false">IFERROR(D177/D165-1,NA())</f>
        <v>#N/A</v>
      </c>
      <c r="G177" s="21" t="e">
        <f aca="false">IF(COUNT(D175:D177)=3,AVERAGE(D175:D177),NA())</f>
        <v>#N/A</v>
      </c>
      <c r="H177" s="20" t="e">
        <f aca="false">IFERROR(IF(AND(COUNT(D175:D177)=3,COUNT(D163:D165)=3),AVERAGE(D175:D177)/AVERAGE(D163:D165)-1,NA()),NA())</f>
        <v>#N/A</v>
      </c>
      <c r="I177" s="28" t="str">
        <f aca="false">IFERROR(YEAR(A177)&amp;"Q"&amp;CEILING(MONTH(A177)/3,1),"")</f>
        <v>1899Q4</v>
      </c>
    </row>
    <row r="178" customFormat="false" ht="15" hidden="false" customHeight="false" outlineLevel="0" collapsed="false">
      <c r="A178" s="27"/>
      <c r="B178" s="28" t="e">
        <f aca="false">IFERROR(IF(ISNUMBER(A178),TEXT(YEAR(A178)-2000,"00")&amp;TEXT(MONTH(A178),"00"),NA()),NA())</f>
        <v>#N/A</v>
      </c>
      <c r="C178" s="18" t="n">
        <f aca="false">IFERROR(YEAR(A178),0)</f>
        <v>1899</v>
      </c>
      <c r="D178" s="32"/>
      <c r="E178" s="20" t="e">
        <f aca="false">IFERROR(D178/D177-1,NA())</f>
        <v>#N/A</v>
      </c>
      <c r="F178" s="20" t="e">
        <f aca="false">IFERROR(D178/D166-1,NA())</f>
        <v>#N/A</v>
      </c>
      <c r="G178" s="21" t="e">
        <f aca="false">IF(COUNT(D176:D178)=3,AVERAGE(D176:D178),NA())</f>
        <v>#N/A</v>
      </c>
      <c r="H178" s="20" t="e">
        <f aca="false">IFERROR(IF(AND(COUNT(D176:D178)=3,COUNT(D164:D166)=3),AVERAGE(D176:D178)/AVERAGE(D164:D166)-1,NA()),NA())</f>
        <v>#N/A</v>
      </c>
      <c r="I178" s="28" t="str">
        <f aca="false">IFERROR(YEAR(A178)&amp;"Q"&amp;CEILING(MONTH(A178)/3,1),"")</f>
        <v>1899Q4</v>
      </c>
    </row>
    <row r="179" customFormat="false" ht="15" hidden="false" customHeight="false" outlineLevel="0" collapsed="false">
      <c r="A179" s="27"/>
      <c r="B179" s="28" t="e">
        <f aca="false">IFERROR(IF(ISNUMBER(A179),TEXT(YEAR(A179)-2000,"00")&amp;TEXT(MONTH(A179),"00"),NA()),NA())</f>
        <v>#N/A</v>
      </c>
      <c r="C179" s="18" t="n">
        <f aca="false">IFERROR(YEAR(A179),0)</f>
        <v>1899</v>
      </c>
      <c r="D179" s="32"/>
      <c r="E179" s="20" t="e">
        <f aca="false">IFERROR(D179/D178-1,NA())</f>
        <v>#N/A</v>
      </c>
      <c r="F179" s="20" t="e">
        <f aca="false">IFERROR(D179/D167-1,NA())</f>
        <v>#N/A</v>
      </c>
      <c r="G179" s="21" t="e">
        <f aca="false">IF(COUNT(D177:D179)=3,AVERAGE(D177:D179),NA())</f>
        <v>#N/A</v>
      </c>
      <c r="H179" s="20" t="e">
        <f aca="false">IFERROR(IF(AND(COUNT(D177:D179)=3,COUNT(D165:D167)=3),AVERAGE(D177:D179)/AVERAGE(D165:D167)-1,NA()),NA())</f>
        <v>#N/A</v>
      </c>
      <c r="I179" s="28" t="str">
        <f aca="false">IFERROR(YEAR(A179)&amp;"Q"&amp;CEILING(MONTH(A179)/3,1),"")</f>
        <v>1899Q4</v>
      </c>
    </row>
    <row r="180" customFormat="false" ht="15" hidden="false" customHeight="false" outlineLevel="0" collapsed="false">
      <c r="A180" s="27"/>
      <c r="B180" s="28" t="e">
        <f aca="false">IFERROR(IF(ISNUMBER(A180),TEXT(YEAR(A180)-2000,"00")&amp;TEXT(MONTH(A180),"00"),NA()),NA())</f>
        <v>#N/A</v>
      </c>
      <c r="C180" s="18" t="n">
        <f aca="false">IFERROR(YEAR(A180),0)</f>
        <v>1899</v>
      </c>
      <c r="D180" s="32"/>
      <c r="E180" s="20" t="e">
        <f aca="false">IFERROR(D180/D179-1,NA())</f>
        <v>#N/A</v>
      </c>
      <c r="F180" s="20" t="e">
        <f aca="false">IFERROR(D180/D168-1,NA())</f>
        <v>#N/A</v>
      </c>
      <c r="G180" s="21" t="e">
        <f aca="false">IF(COUNT(D178:D180)=3,AVERAGE(D178:D180),NA())</f>
        <v>#N/A</v>
      </c>
      <c r="H180" s="20" t="e">
        <f aca="false">IFERROR(IF(AND(COUNT(D178:D180)=3,COUNT(D166:D168)=3),AVERAGE(D178:D180)/AVERAGE(D166:D168)-1,NA()),NA())</f>
        <v>#N/A</v>
      </c>
      <c r="I180" s="28" t="str">
        <f aca="false">IFERROR(YEAR(A180)&amp;"Q"&amp;CEILING(MONTH(A180)/3,1),"")</f>
        <v>1899Q4</v>
      </c>
    </row>
    <row r="181" customFormat="false" ht="15" hidden="false" customHeight="false" outlineLevel="0" collapsed="false">
      <c r="A181" s="27"/>
      <c r="B181" s="28" t="e">
        <f aca="false">IFERROR(IF(ISNUMBER(A181),TEXT(YEAR(A181)-2000,"00")&amp;TEXT(MONTH(A181),"00"),NA()),NA())</f>
        <v>#N/A</v>
      </c>
      <c r="C181" s="18" t="n">
        <f aca="false">IFERROR(YEAR(A181),0)</f>
        <v>1899</v>
      </c>
      <c r="D181" s="32"/>
      <c r="E181" s="20" t="e">
        <f aca="false">IFERROR(D181/D180-1,NA())</f>
        <v>#N/A</v>
      </c>
      <c r="F181" s="20" t="e">
        <f aca="false">IFERROR(D181/D169-1,NA())</f>
        <v>#N/A</v>
      </c>
      <c r="G181" s="21" t="e">
        <f aca="false">IF(COUNT(D179:D181)=3,AVERAGE(D179:D181),NA())</f>
        <v>#N/A</v>
      </c>
      <c r="H181" s="20" t="e">
        <f aca="false">IFERROR(IF(AND(COUNT(D179:D181)=3,COUNT(D167:D169)=3),AVERAGE(D179:D181)/AVERAGE(D167:D169)-1,NA()),NA())</f>
        <v>#N/A</v>
      </c>
      <c r="I181" s="28" t="str">
        <f aca="false">IFERROR(YEAR(A181)&amp;"Q"&amp;CEILING(MONTH(A181)/3,1),"")</f>
        <v>1899Q4</v>
      </c>
    </row>
    <row r="182" customFormat="false" ht="15" hidden="false" customHeight="false" outlineLevel="0" collapsed="false">
      <c r="A182" s="27"/>
      <c r="B182" s="28" t="e">
        <f aca="false">IFERROR(IF(ISNUMBER(A182),TEXT(YEAR(A182)-2000,"00")&amp;TEXT(MONTH(A182),"00"),NA()),NA())</f>
        <v>#N/A</v>
      </c>
      <c r="C182" s="18" t="n">
        <f aca="false">IFERROR(YEAR(A182),0)</f>
        <v>1899</v>
      </c>
      <c r="D182" s="32"/>
      <c r="E182" s="20" t="e">
        <f aca="false">IFERROR(D182/D181-1,NA())</f>
        <v>#N/A</v>
      </c>
      <c r="F182" s="20" t="e">
        <f aca="false">IFERROR(D182/D170-1,NA())</f>
        <v>#N/A</v>
      </c>
      <c r="G182" s="21" t="e">
        <f aca="false">IF(COUNT(D180:D182)=3,AVERAGE(D180:D182),NA())</f>
        <v>#N/A</v>
      </c>
      <c r="H182" s="20" t="e">
        <f aca="false">IFERROR(IF(AND(COUNT(D180:D182)=3,COUNT(D168:D170)=3),AVERAGE(D180:D182)/AVERAGE(D168:D170)-1,NA()),NA())</f>
        <v>#N/A</v>
      </c>
      <c r="I182" s="28" t="str">
        <f aca="false">IFERROR(YEAR(A182)&amp;"Q"&amp;CEILING(MONTH(A182)/3,1),"")</f>
        <v>1899Q4</v>
      </c>
    </row>
    <row r="183" customFormat="false" ht="15" hidden="false" customHeight="false" outlineLevel="0" collapsed="false">
      <c r="A183" s="27"/>
      <c r="B183" s="28" t="e">
        <f aca="false">IFERROR(IF(ISNUMBER(A183),TEXT(YEAR(A183)-2000,"00")&amp;TEXT(MONTH(A183),"00"),NA()),NA())</f>
        <v>#N/A</v>
      </c>
      <c r="C183" s="18" t="n">
        <f aca="false">IFERROR(YEAR(A183),0)</f>
        <v>1899</v>
      </c>
      <c r="D183" s="32"/>
      <c r="E183" s="20" t="e">
        <f aca="false">IFERROR(D183/D182-1,NA())</f>
        <v>#N/A</v>
      </c>
      <c r="F183" s="20" t="e">
        <f aca="false">IFERROR(D183/D171-1,NA())</f>
        <v>#N/A</v>
      </c>
      <c r="G183" s="21" t="e">
        <f aca="false">IF(COUNT(D181:D183)=3,AVERAGE(D181:D183),NA())</f>
        <v>#N/A</v>
      </c>
      <c r="H183" s="20" t="e">
        <f aca="false">IFERROR(IF(AND(COUNT(D181:D183)=3,COUNT(D169:D171)=3),AVERAGE(D181:D183)/AVERAGE(D169:D171)-1,NA()),NA())</f>
        <v>#N/A</v>
      </c>
      <c r="I183" s="28" t="str">
        <f aca="false">IFERROR(YEAR(A183)&amp;"Q"&amp;CEILING(MONTH(A183)/3,1),"")</f>
        <v>1899Q4</v>
      </c>
    </row>
    <row r="184" customFormat="false" ht="15" hidden="false" customHeight="false" outlineLevel="0" collapsed="false">
      <c r="A184" s="27"/>
      <c r="B184" s="28" t="e">
        <f aca="false">IFERROR(IF(ISNUMBER(A184),TEXT(YEAR(A184)-2000,"00")&amp;TEXT(MONTH(A184),"00"),NA()),NA())</f>
        <v>#N/A</v>
      </c>
      <c r="C184" s="18" t="n">
        <f aca="false">IFERROR(YEAR(A184),0)</f>
        <v>1899</v>
      </c>
      <c r="D184" s="32"/>
      <c r="E184" s="20" t="e">
        <f aca="false">IFERROR(D184/D183-1,NA())</f>
        <v>#N/A</v>
      </c>
      <c r="F184" s="20" t="e">
        <f aca="false">IFERROR(D184/D172-1,NA())</f>
        <v>#N/A</v>
      </c>
      <c r="G184" s="21" t="e">
        <f aca="false">IF(COUNT(D182:D184)=3,AVERAGE(D182:D184),NA())</f>
        <v>#N/A</v>
      </c>
      <c r="H184" s="20" t="e">
        <f aca="false">IFERROR(IF(AND(COUNT(D182:D184)=3,COUNT(D170:D172)=3),AVERAGE(D182:D184)/AVERAGE(D170:D172)-1,NA()),NA())</f>
        <v>#N/A</v>
      </c>
      <c r="I184" s="28" t="str">
        <f aca="false">IFERROR(YEAR(A184)&amp;"Q"&amp;CEILING(MONTH(A184)/3,1),"")</f>
        <v>1899Q4</v>
      </c>
    </row>
    <row r="185" customFormat="false" ht="15" hidden="false" customHeight="false" outlineLevel="0" collapsed="false">
      <c r="A185" s="27"/>
      <c r="B185" s="28" t="e">
        <f aca="false">IFERROR(IF(ISNUMBER(A185),TEXT(YEAR(A185)-2000,"00")&amp;TEXT(MONTH(A185),"00"),NA()),NA())</f>
        <v>#N/A</v>
      </c>
      <c r="C185" s="18" t="n">
        <f aca="false">IFERROR(YEAR(A185),0)</f>
        <v>1899</v>
      </c>
      <c r="D185" s="32"/>
      <c r="E185" s="20" t="e">
        <f aca="false">IFERROR(D185/D184-1,NA())</f>
        <v>#N/A</v>
      </c>
      <c r="F185" s="20" t="e">
        <f aca="false">IFERROR(D185/D173-1,NA())</f>
        <v>#N/A</v>
      </c>
      <c r="G185" s="21" t="e">
        <f aca="false">IF(COUNT(D183:D185)=3,AVERAGE(D183:D185),NA())</f>
        <v>#N/A</v>
      </c>
      <c r="H185" s="20" t="e">
        <f aca="false">IFERROR(IF(AND(COUNT(D183:D185)=3,COUNT(D171:D173)=3),AVERAGE(D183:D185)/AVERAGE(D171:D173)-1,NA()),NA())</f>
        <v>#N/A</v>
      </c>
      <c r="I185" s="28" t="str">
        <f aca="false">IFERROR(YEAR(A185)&amp;"Q"&amp;CEILING(MONTH(A185)/3,1),"")</f>
        <v>1899Q4</v>
      </c>
    </row>
    <row r="186" customFormat="false" ht="15" hidden="false" customHeight="false" outlineLevel="0" collapsed="false">
      <c r="A186" s="27"/>
      <c r="B186" s="28" t="e">
        <f aca="false">IFERROR(IF(ISNUMBER(A186),TEXT(YEAR(A186)-2000,"00")&amp;TEXT(MONTH(A186),"00"),NA()),NA())</f>
        <v>#N/A</v>
      </c>
      <c r="C186" s="18" t="n">
        <f aca="false">IFERROR(YEAR(A186),0)</f>
        <v>1899</v>
      </c>
      <c r="D186" s="32"/>
      <c r="E186" s="20" t="e">
        <f aca="false">IFERROR(D186/D185-1,NA())</f>
        <v>#N/A</v>
      </c>
      <c r="F186" s="20" t="e">
        <f aca="false">IFERROR(D186/D174-1,NA())</f>
        <v>#N/A</v>
      </c>
      <c r="G186" s="21" t="e">
        <f aca="false">IF(COUNT(D184:D186)=3,AVERAGE(D184:D186),NA())</f>
        <v>#N/A</v>
      </c>
      <c r="H186" s="20" t="e">
        <f aca="false">IFERROR(IF(AND(COUNT(D184:D186)=3,COUNT(D172:D174)=3),AVERAGE(D184:D186)/AVERAGE(D172:D174)-1,NA()),NA())</f>
        <v>#N/A</v>
      </c>
      <c r="I186" s="28" t="str">
        <f aca="false">IFERROR(YEAR(A186)&amp;"Q"&amp;CEILING(MONTH(A186)/3,1),"")</f>
        <v>1899Q4</v>
      </c>
    </row>
    <row r="187" customFormat="false" ht="15" hidden="false" customHeight="false" outlineLevel="0" collapsed="false">
      <c r="A187" s="27"/>
      <c r="B187" s="28" t="e">
        <f aca="false">IFERROR(IF(ISNUMBER(A187),TEXT(YEAR(A187)-2000,"00")&amp;TEXT(MONTH(A187),"00"),NA()),NA())</f>
        <v>#N/A</v>
      </c>
      <c r="C187" s="18" t="n">
        <f aca="false">IFERROR(YEAR(A187),0)</f>
        <v>1899</v>
      </c>
      <c r="D187" s="32"/>
      <c r="E187" s="20" t="e">
        <f aca="false">IFERROR(D187/D186-1,NA())</f>
        <v>#N/A</v>
      </c>
      <c r="F187" s="20" t="e">
        <f aca="false">IFERROR(D187/D175-1,NA())</f>
        <v>#N/A</v>
      </c>
      <c r="G187" s="21" t="e">
        <f aca="false">IF(COUNT(D185:D187)=3,AVERAGE(D185:D187),NA())</f>
        <v>#N/A</v>
      </c>
      <c r="H187" s="20" t="e">
        <f aca="false">IFERROR(IF(AND(COUNT(D185:D187)=3,COUNT(D173:D175)=3),AVERAGE(D185:D187)/AVERAGE(D173:D175)-1,NA()),NA())</f>
        <v>#N/A</v>
      </c>
      <c r="I187" s="28" t="str">
        <f aca="false">IFERROR(YEAR(A187)&amp;"Q"&amp;CEILING(MONTH(A187)/3,1),"")</f>
        <v>1899Q4</v>
      </c>
    </row>
    <row r="188" customFormat="false" ht="15" hidden="false" customHeight="false" outlineLevel="0" collapsed="false">
      <c r="A188" s="27"/>
      <c r="B188" s="28" t="e">
        <f aca="false">IFERROR(IF(ISNUMBER(A188),TEXT(YEAR(A188)-2000,"00")&amp;TEXT(MONTH(A188),"00"),NA()),NA())</f>
        <v>#N/A</v>
      </c>
      <c r="C188" s="18" t="n">
        <f aca="false">IFERROR(YEAR(A188),0)</f>
        <v>1899</v>
      </c>
      <c r="D188" s="32"/>
      <c r="E188" s="20" t="e">
        <f aca="false">IFERROR(D188/D187-1,NA())</f>
        <v>#N/A</v>
      </c>
      <c r="F188" s="20" t="e">
        <f aca="false">IFERROR(D188/D176-1,NA())</f>
        <v>#N/A</v>
      </c>
      <c r="G188" s="21" t="e">
        <f aca="false">IF(COUNT(D186:D188)=3,AVERAGE(D186:D188),NA())</f>
        <v>#N/A</v>
      </c>
      <c r="H188" s="20" t="e">
        <f aca="false">IFERROR(IF(AND(COUNT(D186:D188)=3,COUNT(D174:D176)=3),AVERAGE(D186:D188)/AVERAGE(D174:D176)-1,NA()),NA())</f>
        <v>#N/A</v>
      </c>
      <c r="I188" s="28" t="str">
        <f aca="false">IFERROR(YEAR(A188)&amp;"Q"&amp;CEILING(MONTH(A188)/3,1),"")</f>
        <v>1899Q4</v>
      </c>
    </row>
    <row r="189" customFormat="false" ht="15" hidden="false" customHeight="false" outlineLevel="0" collapsed="false">
      <c r="A189" s="27"/>
      <c r="B189" s="28" t="e">
        <f aca="false">IFERROR(IF(ISNUMBER(A189),TEXT(YEAR(A189)-2000,"00")&amp;TEXT(MONTH(A189),"00"),NA()),NA())</f>
        <v>#N/A</v>
      </c>
      <c r="C189" s="18" t="n">
        <f aca="false">IFERROR(YEAR(A189),0)</f>
        <v>1899</v>
      </c>
      <c r="D189" s="32"/>
      <c r="E189" s="20" t="e">
        <f aca="false">IFERROR(D189/D188-1,NA())</f>
        <v>#N/A</v>
      </c>
      <c r="F189" s="20" t="e">
        <f aca="false">IFERROR(D189/D177-1,NA())</f>
        <v>#N/A</v>
      </c>
      <c r="G189" s="21" t="e">
        <f aca="false">IF(COUNT(D187:D189)=3,AVERAGE(D187:D189),NA())</f>
        <v>#N/A</v>
      </c>
      <c r="H189" s="20" t="e">
        <f aca="false">IFERROR(IF(AND(COUNT(D187:D189)=3,COUNT(D175:D177)=3),AVERAGE(D187:D189)/AVERAGE(D175:D177)-1,NA()),NA())</f>
        <v>#N/A</v>
      </c>
      <c r="I189" s="28" t="str">
        <f aca="false">IFERROR(YEAR(A189)&amp;"Q"&amp;CEILING(MONTH(A189)/3,1),"")</f>
        <v>1899Q4</v>
      </c>
    </row>
    <row r="190" customFormat="false" ht="15" hidden="false" customHeight="false" outlineLevel="0" collapsed="false">
      <c r="A190" s="27"/>
      <c r="B190" s="28" t="e">
        <f aca="false">IFERROR(IF(ISNUMBER(A190),TEXT(YEAR(A190)-2000,"00")&amp;TEXT(MONTH(A190),"00"),NA()),NA())</f>
        <v>#N/A</v>
      </c>
      <c r="C190" s="18" t="n">
        <f aca="false">IFERROR(YEAR(A190),0)</f>
        <v>1899</v>
      </c>
      <c r="D190" s="32"/>
      <c r="E190" s="20" t="e">
        <f aca="false">IFERROR(D190/D189-1,NA())</f>
        <v>#N/A</v>
      </c>
      <c r="F190" s="20" t="e">
        <f aca="false">IFERROR(D190/D178-1,NA())</f>
        <v>#N/A</v>
      </c>
      <c r="G190" s="21" t="e">
        <f aca="false">IF(COUNT(D188:D190)=3,AVERAGE(D188:D190),NA())</f>
        <v>#N/A</v>
      </c>
      <c r="H190" s="20" t="e">
        <f aca="false">IFERROR(IF(AND(COUNT(D188:D190)=3,COUNT(D176:D178)=3),AVERAGE(D188:D190)/AVERAGE(D176:D178)-1,NA()),NA())</f>
        <v>#N/A</v>
      </c>
      <c r="I190" s="28" t="str">
        <f aca="false">IFERROR(YEAR(A190)&amp;"Q"&amp;CEILING(MONTH(A190)/3,1),"")</f>
        <v>1899Q4</v>
      </c>
    </row>
    <row r="191" customFormat="false" ht="15" hidden="false" customHeight="false" outlineLevel="0" collapsed="false">
      <c r="A191" s="27"/>
      <c r="B191" s="28" t="e">
        <f aca="false">IFERROR(IF(ISNUMBER(A191),TEXT(YEAR(A191)-2000,"00")&amp;TEXT(MONTH(A191),"00"),NA()),NA())</f>
        <v>#N/A</v>
      </c>
      <c r="C191" s="18" t="n">
        <f aca="false">IFERROR(YEAR(A191),0)</f>
        <v>1899</v>
      </c>
      <c r="D191" s="32"/>
      <c r="E191" s="20" t="e">
        <f aca="false">IFERROR(D191/D190-1,NA())</f>
        <v>#N/A</v>
      </c>
      <c r="F191" s="20" t="e">
        <f aca="false">IFERROR(D191/D179-1,NA())</f>
        <v>#N/A</v>
      </c>
      <c r="G191" s="21" t="e">
        <f aca="false">IF(COUNT(D189:D191)=3,AVERAGE(D189:D191),NA())</f>
        <v>#N/A</v>
      </c>
      <c r="H191" s="20" t="e">
        <f aca="false">IFERROR(IF(AND(COUNT(D189:D191)=3,COUNT(D177:D179)=3),AVERAGE(D189:D191)/AVERAGE(D177:D179)-1,NA()),NA())</f>
        <v>#N/A</v>
      </c>
      <c r="I191" s="28" t="str">
        <f aca="false">IFERROR(YEAR(A191)&amp;"Q"&amp;CEILING(MONTH(A191)/3,1),"")</f>
        <v>1899Q4</v>
      </c>
    </row>
    <row r="192" customFormat="false" ht="15" hidden="false" customHeight="false" outlineLevel="0" collapsed="false">
      <c r="A192" s="27"/>
      <c r="B192" s="28" t="e">
        <f aca="false">IFERROR(IF(ISNUMBER(A192),TEXT(YEAR(A192)-2000,"00")&amp;TEXT(MONTH(A192),"00"),NA()),NA())</f>
        <v>#N/A</v>
      </c>
      <c r="C192" s="18" t="n">
        <f aca="false">IFERROR(YEAR(A192),0)</f>
        <v>1899</v>
      </c>
      <c r="D192" s="32"/>
      <c r="E192" s="20" t="e">
        <f aca="false">IFERROR(D192/D191-1,NA())</f>
        <v>#N/A</v>
      </c>
      <c r="F192" s="20" t="e">
        <f aca="false">IFERROR(D192/D180-1,NA())</f>
        <v>#N/A</v>
      </c>
      <c r="G192" s="21" t="e">
        <f aca="false">IF(COUNT(D190:D192)=3,AVERAGE(D190:D192),NA())</f>
        <v>#N/A</v>
      </c>
      <c r="H192" s="20" t="e">
        <f aca="false">IFERROR(IF(AND(COUNT(D190:D192)=3,COUNT(D178:D180)=3),AVERAGE(D190:D192)/AVERAGE(D178:D180)-1,NA()),NA())</f>
        <v>#N/A</v>
      </c>
      <c r="I192" s="28" t="str">
        <f aca="false">IFERROR(YEAR(A192)&amp;"Q"&amp;CEILING(MONTH(A192)/3,1),"")</f>
        <v>1899Q4</v>
      </c>
    </row>
    <row r="193" customFormat="false" ht="15" hidden="false" customHeight="false" outlineLevel="0" collapsed="false">
      <c r="A193" s="27"/>
      <c r="B193" s="28" t="e">
        <f aca="false">IFERROR(IF(ISNUMBER(A193),TEXT(YEAR(A193)-2000,"00")&amp;TEXT(MONTH(A193),"00"),NA()),NA())</f>
        <v>#N/A</v>
      </c>
      <c r="C193" s="18" t="n">
        <f aca="false">IFERROR(YEAR(A193),0)</f>
        <v>1899</v>
      </c>
      <c r="D193" s="32"/>
      <c r="E193" s="20" t="e">
        <f aca="false">IFERROR(D193/D192-1,NA())</f>
        <v>#N/A</v>
      </c>
      <c r="F193" s="20" t="e">
        <f aca="false">IFERROR(D193/D181-1,NA())</f>
        <v>#N/A</v>
      </c>
      <c r="G193" s="21" t="e">
        <f aca="false">IF(COUNT(D191:D193)=3,AVERAGE(D191:D193),NA())</f>
        <v>#N/A</v>
      </c>
      <c r="H193" s="20" t="e">
        <f aca="false">IFERROR(IF(AND(COUNT(D191:D193)=3,COUNT(D179:D181)=3),AVERAGE(D191:D193)/AVERAGE(D179:D181)-1,NA()),NA())</f>
        <v>#N/A</v>
      </c>
      <c r="I193" s="28" t="str">
        <f aca="false">IFERROR(YEAR(A193)&amp;"Q"&amp;CEILING(MONTH(A193)/3,1),"")</f>
        <v>1899Q4</v>
      </c>
    </row>
    <row r="194" customFormat="false" ht="15" hidden="false" customHeight="false" outlineLevel="0" collapsed="false">
      <c r="A194" s="27"/>
      <c r="B194" s="28" t="e">
        <f aca="false">IFERROR(IF(ISNUMBER(A194),TEXT(YEAR(A194)-2000,"00")&amp;TEXT(MONTH(A194),"00"),NA()),NA())</f>
        <v>#N/A</v>
      </c>
      <c r="C194" s="18" t="n">
        <f aca="false">IFERROR(YEAR(A194),0)</f>
        <v>1899</v>
      </c>
      <c r="D194" s="32"/>
      <c r="E194" s="20" t="e">
        <f aca="false">IFERROR(D194/D193-1,NA())</f>
        <v>#N/A</v>
      </c>
      <c r="F194" s="20" t="e">
        <f aca="false">IFERROR(D194/D182-1,NA())</f>
        <v>#N/A</v>
      </c>
      <c r="G194" s="21" t="e">
        <f aca="false">IF(COUNT(D192:D194)=3,AVERAGE(D192:D194),NA())</f>
        <v>#N/A</v>
      </c>
      <c r="H194" s="20" t="e">
        <f aca="false">IFERROR(IF(AND(COUNT(D192:D194)=3,COUNT(D180:D182)=3),AVERAGE(D192:D194)/AVERAGE(D180:D182)-1,NA()),NA())</f>
        <v>#N/A</v>
      </c>
      <c r="I194" s="28" t="str">
        <f aca="false">IFERROR(YEAR(A194)&amp;"Q"&amp;CEILING(MONTH(A194)/3,1),"")</f>
        <v>1899Q4</v>
      </c>
    </row>
    <row r="195" customFormat="false" ht="15" hidden="false" customHeight="false" outlineLevel="0" collapsed="false">
      <c r="A195" s="27"/>
      <c r="B195" s="28" t="e">
        <f aca="false">IFERROR(IF(ISNUMBER(A195),TEXT(YEAR(A195)-2000,"00")&amp;TEXT(MONTH(A195),"00"),NA()),NA())</f>
        <v>#N/A</v>
      </c>
      <c r="C195" s="18" t="n">
        <f aca="false">IFERROR(YEAR(A195),0)</f>
        <v>1899</v>
      </c>
      <c r="D195" s="32"/>
      <c r="E195" s="20" t="e">
        <f aca="false">IFERROR(D195/D194-1,NA())</f>
        <v>#N/A</v>
      </c>
      <c r="F195" s="20" t="e">
        <f aca="false">IFERROR(D195/D183-1,NA())</f>
        <v>#N/A</v>
      </c>
      <c r="G195" s="21" t="e">
        <f aca="false">IF(COUNT(D193:D195)=3,AVERAGE(D193:D195),NA())</f>
        <v>#N/A</v>
      </c>
      <c r="H195" s="20" t="e">
        <f aca="false">IFERROR(IF(AND(COUNT(D193:D195)=3,COUNT(D181:D183)=3),AVERAGE(D193:D195)/AVERAGE(D181:D183)-1,NA()),NA())</f>
        <v>#N/A</v>
      </c>
      <c r="I195" s="28" t="str">
        <f aca="false">IFERROR(YEAR(A195)&amp;"Q"&amp;CEILING(MONTH(A195)/3,1),"")</f>
        <v>1899Q4</v>
      </c>
    </row>
    <row r="196" customFormat="false" ht="15" hidden="false" customHeight="false" outlineLevel="0" collapsed="false">
      <c r="A196" s="27"/>
      <c r="B196" s="28" t="e">
        <f aca="false">IFERROR(IF(ISNUMBER(A196),TEXT(YEAR(A196)-2000,"00")&amp;TEXT(MONTH(A196),"00"),NA()),NA())</f>
        <v>#N/A</v>
      </c>
      <c r="C196" s="18" t="n">
        <f aca="false">IFERROR(YEAR(A196),0)</f>
        <v>1899</v>
      </c>
      <c r="D196" s="32"/>
      <c r="E196" s="20" t="e">
        <f aca="false">IFERROR(D196/D195-1,NA())</f>
        <v>#N/A</v>
      </c>
      <c r="F196" s="20" t="e">
        <f aca="false">IFERROR(D196/D184-1,NA())</f>
        <v>#N/A</v>
      </c>
      <c r="G196" s="21" t="e">
        <f aca="false">IF(COUNT(D194:D196)=3,AVERAGE(D194:D196),NA())</f>
        <v>#N/A</v>
      </c>
      <c r="H196" s="20" t="e">
        <f aca="false">IFERROR(IF(AND(COUNT(D194:D196)=3,COUNT(D182:D184)=3),AVERAGE(D194:D196)/AVERAGE(D182:D184)-1,NA()),NA())</f>
        <v>#N/A</v>
      </c>
      <c r="I196" s="28" t="str">
        <f aca="false">IFERROR(YEAR(A196)&amp;"Q"&amp;CEILING(MONTH(A196)/3,1),"")</f>
        <v>1899Q4</v>
      </c>
    </row>
    <row r="197" customFormat="false" ht="15" hidden="false" customHeight="false" outlineLevel="0" collapsed="false">
      <c r="A197" s="27"/>
      <c r="B197" s="28" t="e">
        <f aca="false">IFERROR(IF(ISNUMBER(A197),TEXT(YEAR(A197)-2000,"00")&amp;TEXT(MONTH(A197),"00"),NA()),NA())</f>
        <v>#N/A</v>
      </c>
      <c r="C197" s="18" t="n">
        <f aca="false">IFERROR(YEAR(A197),0)</f>
        <v>1899</v>
      </c>
      <c r="D197" s="32"/>
      <c r="E197" s="20" t="e">
        <f aca="false">IFERROR(D197/D196-1,NA())</f>
        <v>#N/A</v>
      </c>
      <c r="F197" s="20" t="e">
        <f aca="false">IFERROR(D197/D185-1,NA())</f>
        <v>#N/A</v>
      </c>
      <c r="G197" s="21" t="e">
        <f aca="false">IF(COUNT(D195:D197)=3,AVERAGE(D195:D197),NA())</f>
        <v>#N/A</v>
      </c>
      <c r="H197" s="20" t="e">
        <f aca="false">IFERROR(IF(AND(COUNT(D195:D197)=3,COUNT(D183:D185)=3),AVERAGE(D195:D197)/AVERAGE(D183:D185)-1,NA()),NA())</f>
        <v>#N/A</v>
      </c>
      <c r="I197" s="28" t="str">
        <f aca="false">IFERROR(YEAR(A197)&amp;"Q"&amp;CEILING(MONTH(A197)/3,1),"")</f>
        <v>1899Q4</v>
      </c>
    </row>
    <row r="198" customFormat="false" ht="15" hidden="false" customHeight="false" outlineLevel="0" collapsed="false">
      <c r="A198" s="27"/>
      <c r="B198" s="28" t="e">
        <f aca="false">IFERROR(IF(ISNUMBER(A198),TEXT(YEAR(A198)-2000,"00")&amp;TEXT(MONTH(A198),"00"),NA()),NA())</f>
        <v>#N/A</v>
      </c>
      <c r="C198" s="18" t="n">
        <f aca="false">IFERROR(YEAR(A198),0)</f>
        <v>1899</v>
      </c>
      <c r="D198" s="32"/>
      <c r="E198" s="20" t="e">
        <f aca="false">IFERROR(D198/D197-1,NA())</f>
        <v>#N/A</v>
      </c>
      <c r="F198" s="20" t="e">
        <f aca="false">IFERROR(D198/D186-1,NA())</f>
        <v>#N/A</v>
      </c>
      <c r="G198" s="21" t="e">
        <f aca="false">IF(COUNT(D196:D198)=3,AVERAGE(D196:D198),NA())</f>
        <v>#N/A</v>
      </c>
      <c r="H198" s="20" t="e">
        <f aca="false">IFERROR(IF(AND(COUNT(D196:D198)=3,COUNT(D184:D186)=3),AVERAGE(D196:D198)/AVERAGE(D184:D186)-1,NA()),NA())</f>
        <v>#N/A</v>
      </c>
      <c r="I198" s="28" t="str">
        <f aca="false">IFERROR(YEAR(A198)&amp;"Q"&amp;CEILING(MONTH(A198)/3,1),"")</f>
        <v>1899Q4</v>
      </c>
    </row>
    <row r="199" customFormat="false" ht="15" hidden="false" customHeight="false" outlineLevel="0" collapsed="false">
      <c r="A199" s="27"/>
      <c r="B199" s="28" t="e">
        <f aca="false">IFERROR(IF(ISNUMBER(A199),TEXT(YEAR(A199)-2000,"00")&amp;TEXT(MONTH(A199),"00"),NA()),NA())</f>
        <v>#N/A</v>
      </c>
      <c r="C199" s="18" t="n">
        <f aca="false">IFERROR(YEAR(A199),0)</f>
        <v>1899</v>
      </c>
      <c r="D199" s="32"/>
      <c r="E199" s="20" t="e">
        <f aca="false">IFERROR(D199/D198-1,NA())</f>
        <v>#N/A</v>
      </c>
      <c r="F199" s="20" t="e">
        <f aca="false">IFERROR(D199/D187-1,NA())</f>
        <v>#N/A</v>
      </c>
      <c r="G199" s="21" t="e">
        <f aca="false">IF(COUNT(D197:D199)=3,AVERAGE(D197:D199),NA())</f>
        <v>#N/A</v>
      </c>
      <c r="H199" s="20" t="e">
        <f aca="false">IFERROR(IF(AND(COUNT(D197:D199)=3,COUNT(D185:D187)=3),AVERAGE(D197:D199)/AVERAGE(D185:D187)-1,NA()),NA())</f>
        <v>#N/A</v>
      </c>
      <c r="I199" s="28" t="str">
        <f aca="false">IFERROR(YEAR(A199)&amp;"Q"&amp;CEILING(MONTH(A199)/3,1),"")</f>
        <v>1899Q4</v>
      </c>
    </row>
    <row r="200" customFormat="false" ht="15" hidden="false" customHeight="false" outlineLevel="0" collapsed="false">
      <c r="A200" s="27"/>
      <c r="B200" s="28" t="e">
        <f aca="false">IFERROR(IF(ISNUMBER(A200),TEXT(YEAR(A200)-2000,"00")&amp;TEXT(MONTH(A200),"00"),NA()),NA())</f>
        <v>#N/A</v>
      </c>
      <c r="C200" s="18" t="n">
        <f aca="false">IFERROR(YEAR(A200),0)</f>
        <v>1899</v>
      </c>
      <c r="D200" s="32"/>
      <c r="E200" s="20" t="e">
        <f aca="false">IFERROR(D200/D199-1,NA())</f>
        <v>#N/A</v>
      </c>
      <c r="F200" s="20" t="e">
        <f aca="false">IFERROR(D200/D188-1,NA())</f>
        <v>#N/A</v>
      </c>
      <c r="G200" s="21" t="e">
        <f aca="false">IF(COUNT(D198:D200)=3,AVERAGE(D198:D200),NA())</f>
        <v>#N/A</v>
      </c>
      <c r="H200" s="20" t="e">
        <f aca="false">IFERROR(IF(AND(COUNT(D198:D200)=3,COUNT(D186:D188)=3),AVERAGE(D198:D200)/AVERAGE(D186:D188)-1,NA()),NA())</f>
        <v>#N/A</v>
      </c>
      <c r="I200" s="28" t="str">
        <f aca="false">IFERROR(YEAR(A200)&amp;"Q"&amp;CEILING(MONTH(A200)/3,1),"")</f>
        <v>1899Q4</v>
      </c>
    </row>
    <row r="201" customFormat="false" ht="15" hidden="false" customHeight="false" outlineLevel="0" collapsed="false">
      <c r="A201" s="27"/>
      <c r="B201" s="28" t="e">
        <f aca="false">IFERROR(IF(ISNUMBER(A201),TEXT(YEAR(A201)-2000,"00")&amp;TEXT(MONTH(A201),"00"),NA()),NA())</f>
        <v>#N/A</v>
      </c>
      <c r="C201" s="18" t="n">
        <f aca="false">IFERROR(YEAR(A201),0)</f>
        <v>1899</v>
      </c>
      <c r="D201" s="32"/>
      <c r="E201" s="20" t="e">
        <f aca="false">IFERROR(D201/D200-1,NA())</f>
        <v>#N/A</v>
      </c>
      <c r="F201" s="20" t="e">
        <f aca="false">IFERROR(D201/D189-1,NA())</f>
        <v>#N/A</v>
      </c>
      <c r="G201" s="21" t="e">
        <f aca="false">IF(COUNT(D199:D201)=3,AVERAGE(D199:D201),NA())</f>
        <v>#N/A</v>
      </c>
      <c r="H201" s="20" t="e">
        <f aca="false">IFERROR(IF(AND(COUNT(D199:D201)=3,COUNT(D187:D189)=3),AVERAGE(D199:D201)/AVERAGE(D187:D189)-1,NA()),NA())</f>
        <v>#N/A</v>
      </c>
      <c r="I201" s="28" t="str">
        <f aca="false">IFERROR(YEAR(A201)&amp;"Q"&amp;CEILING(MONTH(A201)/3,1),"")</f>
        <v>1899Q4</v>
      </c>
    </row>
    <row r="202" customFormat="false" ht="15" hidden="false" customHeight="false" outlineLevel="0" collapsed="false">
      <c r="A202" s="27"/>
      <c r="B202" s="28" t="e">
        <f aca="false">IFERROR(IF(ISNUMBER(A202),TEXT(YEAR(A202)-2000,"00")&amp;TEXT(MONTH(A202),"00"),NA()),NA())</f>
        <v>#N/A</v>
      </c>
      <c r="C202" s="18" t="n">
        <f aca="false">IFERROR(YEAR(A202),0)</f>
        <v>1899</v>
      </c>
      <c r="D202" s="32"/>
      <c r="E202" s="20" t="e">
        <f aca="false">IFERROR(D202/D201-1,NA())</f>
        <v>#N/A</v>
      </c>
      <c r="F202" s="20" t="e">
        <f aca="false">IFERROR(D202/D190-1,NA())</f>
        <v>#N/A</v>
      </c>
      <c r="G202" s="21" t="e">
        <f aca="false">IF(COUNT(D200:D202)=3,AVERAGE(D200:D202),NA())</f>
        <v>#N/A</v>
      </c>
      <c r="H202" s="20" t="e">
        <f aca="false">IFERROR(IF(AND(COUNT(D200:D202)=3,COUNT(D188:D190)=3),AVERAGE(D200:D202)/AVERAGE(D188:D190)-1,NA()),NA())</f>
        <v>#N/A</v>
      </c>
      <c r="I202" s="28" t="str">
        <f aca="false">IFERROR(YEAR(A202)&amp;"Q"&amp;CEILING(MONTH(A202)/3,1),"")</f>
        <v>1899Q4</v>
      </c>
    </row>
    <row r="203" customFormat="false" ht="15" hidden="false" customHeight="false" outlineLevel="0" collapsed="false">
      <c r="A203" s="27"/>
      <c r="B203" s="28" t="e">
        <f aca="false">IFERROR(IF(ISNUMBER(A203),TEXT(YEAR(A203)-2000,"00")&amp;TEXT(MONTH(A203),"00"),NA()),NA())</f>
        <v>#N/A</v>
      </c>
      <c r="C203" s="18" t="n">
        <f aca="false">IFERROR(YEAR(A203),0)</f>
        <v>1899</v>
      </c>
      <c r="D203" s="32"/>
      <c r="E203" s="20" t="e">
        <f aca="false">IFERROR(D203/D202-1,NA())</f>
        <v>#N/A</v>
      </c>
      <c r="F203" s="20" t="e">
        <f aca="false">IFERROR(D203/D191-1,NA())</f>
        <v>#N/A</v>
      </c>
      <c r="G203" s="21" t="e">
        <f aca="false">IF(COUNT(D201:D203)=3,AVERAGE(D201:D203),NA())</f>
        <v>#N/A</v>
      </c>
      <c r="H203" s="20" t="e">
        <f aca="false">IFERROR(IF(AND(COUNT(D201:D203)=3,COUNT(D189:D191)=3),AVERAGE(D201:D203)/AVERAGE(D189:D191)-1,NA()),NA())</f>
        <v>#N/A</v>
      </c>
      <c r="I203" s="28" t="str">
        <f aca="false">IFERROR(YEAR(A203)&amp;"Q"&amp;CEILING(MONTH(A203)/3,1),"")</f>
        <v>1899Q4</v>
      </c>
    </row>
    <row r="204" customFormat="false" ht="15" hidden="false" customHeight="false" outlineLevel="0" collapsed="false">
      <c r="A204" s="27"/>
      <c r="B204" s="28" t="e">
        <f aca="false">IFERROR(IF(ISNUMBER(A204),TEXT(YEAR(A204)-2000,"00")&amp;TEXT(MONTH(A204),"00"),NA()),NA())</f>
        <v>#N/A</v>
      </c>
      <c r="C204" s="18" t="n">
        <f aca="false">IFERROR(YEAR(A204),0)</f>
        <v>1899</v>
      </c>
      <c r="D204" s="32"/>
      <c r="E204" s="20" t="e">
        <f aca="false">IFERROR(D204/D203-1,NA())</f>
        <v>#N/A</v>
      </c>
      <c r="F204" s="20" t="e">
        <f aca="false">IFERROR(D204/D192-1,NA())</f>
        <v>#N/A</v>
      </c>
      <c r="G204" s="21" t="e">
        <f aca="false">IF(COUNT(D202:D204)=3,AVERAGE(D202:D204),NA())</f>
        <v>#N/A</v>
      </c>
      <c r="H204" s="20" t="e">
        <f aca="false">IFERROR(IF(AND(COUNT(D202:D204)=3,COUNT(D190:D192)=3),AVERAGE(D202:D204)/AVERAGE(D190:D192)-1,NA()),NA())</f>
        <v>#N/A</v>
      </c>
      <c r="I204" s="28" t="str">
        <f aca="false">IFERROR(YEAR(A204)&amp;"Q"&amp;CEILING(MONTH(A204)/3,1),"")</f>
        <v>1899Q4</v>
      </c>
    </row>
    <row r="205" customFormat="false" ht="15" hidden="false" customHeight="false" outlineLevel="0" collapsed="false">
      <c r="A205" s="27"/>
      <c r="B205" s="28" t="e">
        <f aca="false">IFERROR(IF(ISNUMBER(A205),TEXT(YEAR(A205)-2000,"00")&amp;TEXT(MONTH(A205),"00"),NA()),NA())</f>
        <v>#N/A</v>
      </c>
      <c r="C205" s="18" t="n">
        <f aca="false">IFERROR(YEAR(A205),0)</f>
        <v>1899</v>
      </c>
      <c r="D205" s="32"/>
      <c r="E205" s="20" t="e">
        <f aca="false">IFERROR(D205/D204-1,NA())</f>
        <v>#N/A</v>
      </c>
      <c r="F205" s="20" t="e">
        <f aca="false">IFERROR(D205/D193-1,NA())</f>
        <v>#N/A</v>
      </c>
      <c r="G205" s="21" t="e">
        <f aca="false">IF(COUNT(D203:D205)=3,AVERAGE(D203:D205),NA())</f>
        <v>#N/A</v>
      </c>
      <c r="H205" s="20" t="e">
        <f aca="false">IFERROR(IF(AND(COUNT(D203:D205)=3,COUNT(D191:D193)=3),AVERAGE(D203:D205)/AVERAGE(D191:D193)-1,NA()),NA())</f>
        <v>#N/A</v>
      </c>
      <c r="I205" s="28" t="str">
        <f aca="false">IFERROR(YEAR(A205)&amp;"Q"&amp;CEILING(MONTH(A205)/3,1),"")</f>
        <v>1899Q4</v>
      </c>
    </row>
    <row r="206" customFormat="false" ht="15" hidden="false" customHeight="false" outlineLevel="0" collapsed="false">
      <c r="A206" s="27"/>
      <c r="B206" s="28" t="e">
        <f aca="false">IFERROR(IF(ISNUMBER(A206),TEXT(YEAR(A206)-2000,"00")&amp;TEXT(MONTH(A206),"00"),NA()),NA())</f>
        <v>#N/A</v>
      </c>
      <c r="C206" s="18" t="n">
        <f aca="false">IFERROR(YEAR(A206),0)</f>
        <v>1899</v>
      </c>
      <c r="D206" s="32"/>
      <c r="E206" s="20" t="e">
        <f aca="false">IFERROR(D206/D205-1,NA())</f>
        <v>#N/A</v>
      </c>
      <c r="F206" s="20" t="e">
        <f aca="false">IFERROR(D206/D194-1,NA())</f>
        <v>#N/A</v>
      </c>
      <c r="G206" s="21" t="e">
        <f aca="false">IF(COUNT(D204:D206)=3,AVERAGE(D204:D206),NA())</f>
        <v>#N/A</v>
      </c>
      <c r="H206" s="20" t="e">
        <f aca="false">IFERROR(IF(AND(COUNT(D204:D206)=3,COUNT(D192:D194)=3),AVERAGE(D204:D206)/AVERAGE(D192:D194)-1,NA()),NA())</f>
        <v>#N/A</v>
      </c>
      <c r="I206" s="28" t="str">
        <f aca="false">IFERROR(YEAR(A206)&amp;"Q"&amp;CEILING(MONTH(A206)/3,1),"")</f>
        <v>1899Q4</v>
      </c>
    </row>
    <row r="207" customFormat="false" ht="15" hidden="false" customHeight="false" outlineLevel="0" collapsed="false">
      <c r="A207" s="27"/>
      <c r="B207" s="28" t="e">
        <f aca="false">IFERROR(IF(ISNUMBER(A207),TEXT(YEAR(A207)-2000,"00")&amp;TEXT(MONTH(A207),"00"),NA()),NA())</f>
        <v>#N/A</v>
      </c>
      <c r="C207" s="18" t="n">
        <f aca="false">IFERROR(YEAR(A207),0)</f>
        <v>1899</v>
      </c>
      <c r="D207" s="32"/>
      <c r="E207" s="20" t="e">
        <f aca="false">IFERROR(D207/D206-1,NA())</f>
        <v>#N/A</v>
      </c>
      <c r="F207" s="20" t="e">
        <f aca="false">IFERROR(D207/D195-1,NA())</f>
        <v>#N/A</v>
      </c>
      <c r="G207" s="21" t="e">
        <f aca="false">IF(COUNT(D205:D207)=3,AVERAGE(D205:D207),NA())</f>
        <v>#N/A</v>
      </c>
      <c r="H207" s="20" t="e">
        <f aca="false">IFERROR(IF(AND(COUNT(D205:D207)=3,COUNT(D193:D195)=3),AVERAGE(D205:D207)/AVERAGE(D193:D195)-1,NA()),NA())</f>
        <v>#N/A</v>
      </c>
      <c r="I207" s="28" t="str">
        <f aca="false">IFERROR(YEAR(A207)&amp;"Q"&amp;CEILING(MONTH(A207)/3,1),"")</f>
        <v>1899Q4</v>
      </c>
    </row>
    <row r="208" customFormat="false" ht="15" hidden="false" customHeight="false" outlineLevel="0" collapsed="false">
      <c r="A208" s="27"/>
      <c r="B208" s="28" t="e">
        <f aca="false">IFERROR(IF(ISNUMBER(A208),TEXT(YEAR(A208)-2000,"00")&amp;TEXT(MONTH(A208),"00"),NA()),NA())</f>
        <v>#N/A</v>
      </c>
      <c r="C208" s="18" t="n">
        <f aca="false">IFERROR(YEAR(A208),0)</f>
        <v>1899</v>
      </c>
      <c r="D208" s="32"/>
      <c r="E208" s="20" t="e">
        <f aca="false">IFERROR(D208/D207-1,NA())</f>
        <v>#N/A</v>
      </c>
      <c r="F208" s="20" t="e">
        <f aca="false">IFERROR(D208/D196-1,NA())</f>
        <v>#N/A</v>
      </c>
      <c r="G208" s="21" t="e">
        <f aca="false">IF(COUNT(D206:D208)=3,AVERAGE(D206:D208),NA())</f>
        <v>#N/A</v>
      </c>
      <c r="H208" s="20" t="e">
        <f aca="false">IFERROR(IF(AND(COUNT(D206:D208)=3,COUNT(D194:D196)=3),AVERAGE(D206:D208)/AVERAGE(D194:D196)-1,NA()),NA())</f>
        <v>#N/A</v>
      </c>
      <c r="I208" s="28" t="str">
        <f aca="false">IFERROR(YEAR(A208)&amp;"Q"&amp;CEILING(MONTH(A208)/3,1),"")</f>
        <v>1899Q4</v>
      </c>
    </row>
    <row r="209" customFormat="false" ht="15" hidden="false" customHeight="false" outlineLevel="0" collapsed="false">
      <c r="A209" s="27"/>
      <c r="B209" s="28" t="e">
        <f aca="false">IFERROR(IF(ISNUMBER(A209),TEXT(YEAR(A209)-2000,"00")&amp;TEXT(MONTH(A209),"00"),NA()),NA())</f>
        <v>#N/A</v>
      </c>
      <c r="C209" s="18" t="n">
        <f aca="false">IFERROR(YEAR(A209),0)</f>
        <v>1899</v>
      </c>
      <c r="D209" s="32"/>
      <c r="E209" s="20" t="e">
        <f aca="false">IFERROR(D209/D208-1,NA())</f>
        <v>#N/A</v>
      </c>
      <c r="F209" s="20" t="e">
        <f aca="false">IFERROR(D209/D197-1,NA())</f>
        <v>#N/A</v>
      </c>
      <c r="G209" s="21" t="e">
        <f aca="false">IF(COUNT(D207:D209)=3,AVERAGE(D207:D209),NA())</f>
        <v>#N/A</v>
      </c>
      <c r="H209" s="20" t="e">
        <f aca="false">IFERROR(IF(AND(COUNT(D207:D209)=3,COUNT(D195:D197)=3),AVERAGE(D207:D209)/AVERAGE(D195:D197)-1,NA()),NA())</f>
        <v>#N/A</v>
      </c>
      <c r="I209" s="28" t="str">
        <f aca="false">IFERROR(YEAR(A209)&amp;"Q"&amp;CEILING(MONTH(A209)/3,1),"")</f>
        <v>1899Q4</v>
      </c>
    </row>
    <row r="210" customFormat="false" ht="15" hidden="false" customHeight="false" outlineLevel="0" collapsed="false">
      <c r="A210" s="27"/>
      <c r="B210" s="28" t="e">
        <f aca="false">IFERROR(IF(ISNUMBER(A210),TEXT(YEAR(A210)-2000,"00")&amp;TEXT(MONTH(A210),"00"),NA()),NA())</f>
        <v>#N/A</v>
      </c>
      <c r="C210" s="18" t="n">
        <f aca="false">IFERROR(YEAR(A210),0)</f>
        <v>1899</v>
      </c>
      <c r="D210" s="32"/>
      <c r="E210" s="20" t="e">
        <f aca="false">IFERROR(D210/D209-1,NA())</f>
        <v>#N/A</v>
      </c>
      <c r="F210" s="20" t="e">
        <f aca="false">IFERROR(D210/D198-1,NA())</f>
        <v>#N/A</v>
      </c>
      <c r="G210" s="21" t="e">
        <f aca="false">IF(COUNT(D208:D210)=3,AVERAGE(D208:D210),NA())</f>
        <v>#N/A</v>
      </c>
      <c r="H210" s="20" t="e">
        <f aca="false">IFERROR(IF(AND(COUNT(D208:D210)=3,COUNT(D196:D198)=3),AVERAGE(D208:D210)/AVERAGE(D196:D198)-1,NA()),NA())</f>
        <v>#N/A</v>
      </c>
      <c r="I210" s="28" t="str">
        <f aca="false">IFERROR(YEAR(A210)&amp;"Q"&amp;CEILING(MONTH(A210)/3,1),"")</f>
        <v>1899Q4</v>
      </c>
    </row>
    <row r="211" customFormat="false" ht="15" hidden="false" customHeight="false" outlineLevel="0" collapsed="false">
      <c r="A211" s="27"/>
      <c r="B211" s="28" t="e">
        <f aca="false">IFERROR(IF(ISNUMBER(A211),TEXT(YEAR(A211)-2000,"00")&amp;TEXT(MONTH(A211),"00"),NA()),NA())</f>
        <v>#N/A</v>
      </c>
      <c r="C211" s="18" t="n">
        <f aca="false">IFERROR(YEAR(A211),0)</f>
        <v>1899</v>
      </c>
      <c r="D211" s="32"/>
      <c r="E211" s="20" t="e">
        <f aca="false">IFERROR(D211/D210-1,NA())</f>
        <v>#N/A</v>
      </c>
      <c r="F211" s="20" t="e">
        <f aca="false">IFERROR(D211/D199-1,NA())</f>
        <v>#N/A</v>
      </c>
      <c r="G211" s="21" t="e">
        <f aca="false">IF(COUNT(D209:D211)=3,AVERAGE(D209:D211),NA())</f>
        <v>#N/A</v>
      </c>
      <c r="H211" s="20" t="e">
        <f aca="false">IFERROR(IF(AND(COUNT(D209:D211)=3,COUNT(D197:D199)=3),AVERAGE(D209:D211)/AVERAGE(D197:D199)-1,NA()),NA())</f>
        <v>#N/A</v>
      </c>
      <c r="I211" s="28" t="str">
        <f aca="false">IFERROR(YEAR(A211)&amp;"Q"&amp;CEILING(MONTH(A211)/3,1),"")</f>
        <v>1899Q4</v>
      </c>
    </row>
    <row r="212" customFormat="false" ht="15" hidden="false" customHeight="false" outlineLevel="0" collapsed="false">
      <c r="A212" s="27"/>
      <c r="B212" s="28" t="e">
        <f aca="false">IFERROR(IF(ISNUMBER(A212),TEXT(YEAR(A212)-2000,"00")&amp;TEXT(MONTH(A212),"00"),NA()),NA())</f>
        <v>#N/A</v>
      </c>
      <c r="C212" s="18" t="n">
        <f aca="false">IFERROR(YEAR(A212),0)</f>
        <v>1899</v>
      </c>
      <c r="D212" s="32"/>
      <c r="E212" s="20" t="e">
        <f aca="false">IFERROR(D212/D211-1,NA())</f>
        <v>#N/A</v>
      </c>
      <c r="F212" s="20" t="e">
        <f aca="false">IFERROR(D212/D200-1,NA())</f>
        <v>#N/A</v>
      </c>
      <c r="G212" s="21" t="e">
        <f aca="false">IF(COUNT(D210:D212)=3,AVERAGE(D210:D212),NA())</f>
        <v>#N/A</v>
      </c>
      <c r="H212" s="20" t="e">
        <f aca="false">IFERROR(IF(AND(COUNT(D210:D212)=3,COUNT(D198:D200)=3),AVERAGE(D210:D212)/AVERAGE(D198:D200)-1,NA()),NA())</f>
        <v>#N/A</v>
      </c>
      <c r="I212" s="28" t="str">
        <f aca="false">IFERROR(YEAR(A212)&amp;"Q"&amp;CEILING(MONTH(A212)/3,1),"")</f>
        <v>1899Q4</v>
      </c>
    </row>
    <row r="213" customFormat="false" ht="15" hidden="false" customHeight="false" outlineLevel="0" collapsed="false">
      <c r="A213" s="27"/>
      <c r="B213" s="28" t="e">
        <f aca="false">IFERROR(IF(ISNUMBER(A213),TEXT(YEAR(A213)-2000,"00")&amp;TEXT(MONTH(A213),"00"),NA()),NA())</f>
        <v>#N/A</v>
      </c>
      <c r="C213" s="18" t="n">
        <f aca="false">IFERROR(YEAR(A213),0)</f>
        <v>1899</v>
      </c>
      <c r="D213" s="32"/>
      <c r="E213" s="20" t="e">
        <f aca="false">IFERROR(D213/D212-1,NA())</f>
        <v>#N/A</v>
      </c>
      <c r="F213" s="20" t="e">
        <f aca="false">IFERROR(D213/D201-1,NA())</f>
        <v>#N/A</v>
      </c>
      <c r="G213" s="21" t="e">
        <f aca="false">IF(COUNT(D211:D213)=3,AVERAGE(D211:D213),NA())</f>
        <v>#N/A</v>
      </c>
      <c r="H213" s="20" t="e">
        <f aca="false">IFERROR(IF(AND(COUNT(D211:D213)=3,COUNT(D199:D201)=3),AVERAGE(D211:D213)/AVERAGE(D199:D201)-1,NA()),NA())</f>
        <v>#N/A</v>
      </c>
      <c r="I213" s="28" t="str">
        <f aca="false">IFERROR(YEAR(A213)&amp;"Q"&amp;CEILING(MONTH(A213)/3,1),"")</f>
        <v>1899Q4</v>
      </c>
    </row>
    <row r="214" customFormat="false" ht="15" hidden="false" customHeight="false" outlineLevel="0" collapsed="false">
      <c r="A214" s="27"/>
      <c r="B214" s="28" t="e">
        <f aca="false">IFERROR(IF(ISNUMBER(A214),TEXT(YEAR(A214)-2000,"00")&amp;TEXT(MONTH(A214),"00"),NA()),NA())</f>
        <v>#N/A</v>
      </c>
      <c r="C214" s="18" t="n">
        <f aca="false">IFERROR(YEAR(A214),0)</f>
        <v>1899</v>
      </c>
      <c r="D214" s="32"/>
      <c r="E214" s="20" t="e">
        <f aca="false">IFERROR(D214/D213-1,NA())</f>
        <v>#N/A</v>
      </c>
      <c r="F214" s="20" t="e">
        <f aca="false">IFERROR(D214/D202-1,NA())</f>
        <v>#N/A</v>
      </c>
      <c r="G214" s="21" t="e">
        <f aca="false">IF(COUNT(D212:D214)=3,AVERAGE(D212:D214),NA())</f>
        <v>#N/A</v>
      </c>
      <c r="H214" s="20" t="e">
        <f aca="false">IFERROR(IF(AND(COUNT(D212:D214)=3,COUNT(D200:D202)=3),AVERAGE(D212:D214)/AVERAGE(D200:D202)-1,NA()),NA())</f>
        <v>#N/A</v>
      </c>
      <c r="I214" s="28" t="str">
        <f aca="false">IFERROR(YEAR(A214)&amp;"Q"&amp;CEILING(MONTH(A214)/3,1),"")</f>
        <v>1899Q4</v>
      </c>
    </row>
    <row r="215" customFormat="false" ht="15" hidden="false" customHeight="false" outlineLevel="0" collapsed="false">
      <c r="A215" s="27"/>
      <c r="B215" s="28" t="e">
        <f aca="false">IFERROR(IF(ISNUMBER(A215),TEXT(YEAR(A215)-2000,"00")&amp;TEXT(MONTH(A215),"00"),NA()),NA())</f>
        <v>#N/A</v>
      </c>
      <c r="C215" s="18" t="n">
        <f aca="false">IFERROR(YEAR(A215),0)</f>
        <v>1899</v>
      </c>
      <c r="D215" s="32"/>
      <c r="E215" s="20" t="e">
        <f aca="false">IFERROR(D215/D214-1,NA())</f>
        <v>#N/A</v>
      </c>
      <c r="F215" s="20" t="e">
        <f aca="false">IFERROR(D215/D203-1,NA())</f>
        <v>#N/A</v>
      </c>
      <c r="G215" s="21" t="e">
        <f aca="false">IF(COUNT(D213:D215)=3,AVERAGE(D213:D215),NA())</f>
        <v>#N/A</v>
      </c>
      <c r="H215" s="20" t="e">
        <f aca="false">IFERROR(IF(AND(COUNT(D213:D215)=3,COUNT(D201:D203)=3),AVERAGE(D213:D215)/AVERAGE(D201:D203)-1,NA()),NA())</f>
        <v>#N/A</v>
      </c>
      <c r="I215" s="28" t="str">
        <f aca="false">IFERROR(YEAR(A215)&amp;"Q"&amp;CEILING(MONTH(A215)/3,1),"")</f>
        <v>1899Q4</v>
      </c>
    </row>
    <row r="216" customFormat="false" ht="15" hidden="false" customHeight="false" outlineLevel="0" collapsed="false">
      <c r="A216" s="27"/>
      <c r="B216" s="28" t="e">
        <f aca="false">IFERROR(IF(ISNUMBER(A216),TEXT(YEAR(A216)-2000,"00")&amp;TEXT(MONTH(A216),"00"),NA()),NA())</f>
        <v>#N/A</v>
      </c>
      <c r="C216" s="18" t="n">
        <f aca="false">IFERROR(YEAR(A216),0)</f>
        <v>1899</v>
      </c>
      <c r="D216" s="32"/>
      <c r="E216" s="20" t="e">
        <f aca="false">IFERROR(D216/D215-1,NA())</f>
        <v>#N/A</v>
      </c>
      <c r="F216" s="20" t="e">
        <f aca="false">IFERROR(D216/D204-1,NA())</f>
        <v>#N/A</v>
      </c>
      <c r="G216" s="21" t="e">
        <f aca="false">IF(COUNT(D214:D216)=3,AVERAGE(D214:D216),NA())</f>
        <v>#N/A</v>
      </c>
      <c r="H216" s="20" t="e">
        <f aca="false">IFERROR(IF(AND(COUNT(D214:D216)=3,COUNT(D202:D204)=3),AVERAGE(D214:D216)/AVERAGE(D202:D204)-1,NA()),NA())</f>
        <v>#N/A</v>
      </c>
      <c r="I216" s="28" t="str">
        <f aca="false">IFERROR(YEAR(A216)&amp;"Q"&amp;CEILING(MONTH(A216)/3,1),"")</f>
        <v>1899Q4</v>
      </c>
    </row>
    <row r="217" customFormat="false" ht="15" hidden="false" customHeight="false" outlineLevel="0" collapsed="false">
      <c r="A217" s="27"/>
      <c r="B217" s="28" t="e">
        <f aca="false">IFERROR(IF(ISNUMBER(A217),TEXT(YEAR(A217)-2000,"00")&amp;TEXT(MONTH(A217),"00"),NA()),NA())</f>
        <v>#N/A</v>
      </c>
      <c r="C217" s="18" t="n">
        <f aca="false">IFERROR(YEAR(A217),0)</f>
        <v>1899</v>
      </c>
      <c r="D217" s="32"/>
      <c r="E217" s="20" t="e">
        <f aca="false">IFERROR(D217/D216-1,NA())</f>
        <v>#N/A</v>
      </c>
      <c r="F217" s="20" t="e">
        <f aca="false">IFERROR(D217/D205-1,NA())</f>
        <v>#N/A</v>
      </c>
      <c r="G217" s="21" t="e">
        <f aca="false">IF(COUNT(D215:D217)=3,AVERAGE(D215:D217),NA())</f>
        <v>#N/A</v>
      </c>
      <c r="H217" s="20" t="e">
        <f aca="false">IFERROR(IF(AND(COUNT(D215:D217)=3,COUNT(D203:D205)=3),AVERAGE(D215:D217)/AVERAGE(D203:D205)-1,NA()),NA())</f>
        <v>#N/A</v>
      </c>
      <c r="I217" s="28" t="str">
        <f aca="false">IFERROR(YEAR(A217)&amp;"Q"&amp;CEILING(MONTH(A217)/3,1),"")</f>
        <v>1899Q4</v>
      </c>
    </row>
    <row r="218" customFormat="false" ht="15" hidden="false" customHeight="false" outlineLevel="0" collapsed="false">
      <c r="A218" s="27"/>
      <c r="B218" s="28" t="e">
        <f aca="false">IFERROR(IF(ISNUMBER(A218),TEXT(YEAR(A218)-2000,"00")&amp;TEXT(MONTH(A218),"00"),NA()),NA())</f>
        <v>#N/A</v>
      </c>
      <c r="C218" s="18" t="n">
        <f aca="false">IFERROR(YEAR(A218),0)</f>
        <v>1899</v>
      </c>
      <c r="D218" s="32"/>
      <c r="E218" s="20" t="e">
        <f aca="false">IFERROR(D218/D217-1,NA())</f>
        <v>#N/A</v>
      </c>
      <c r="F218" s="20" t="e">
        <f aca="false">IFERROR(D218/D206-1,NA())</f>
        <v>#N/A</v>
      </c>
      <c r="G218" s="21" t="e">
        <f aca="false">IF(COUNT(D216:D218)=3,AVERAGE(D216:D218),NA())</f>
        <v>#N/A</v>
      </c>
      <c r="H218" s="20" t="e">
        <f aca="false">IFERROR(IF(AND(COUNT(D216:D218)=3,COUNT(D204:D206)=3),AVERAGE(D216:D218)/AVERAGE(D204:D206)-1,NA()),NA())</f>
        <v>#N/A</v>
      </c>
      <c r="I218" s="28" t="str">
        <f aca="false">IFERROR(YEAR(A218)&amp;"Q"&amp;CEILING(MONTH(A218)/3,1),"")</f>
        <v>1899Q4</v>
      </c>
    </row>
    <row r="219" customFormat="false" ht="15" hidden="false" customHeight="false" outlineLevel="0" collapsed="false">
      <c r="A219" s="27"/>
      <c r="B219" s="28" t="e">
        <f aca="false">IFERROR(IF(ISNUMBER(A219),TEXT(YEAR(A219)-2000,"00")&amp;TEXT(MONTH(A219),"00"),NA()),NA())</f>
        <v>#N/A</v>
      </c>
      <c r="C219" s="18" t="n">
        <f aca="false">IFERROR(YEAR(A219),0)</f>
        <v>1899</v>
      </c>
      <c r="D219" s="32"/>
      <c r="E219" s="20" t="e">
        <f aca="false">IFERROR(D219/D218-1,NA())</f>
        <v>#N/A</v>
      </c>
      <c r="F219" s="20" t="e">
        <f aca="false">IFERROR(D219/D207-1,NA())</f>
        <v>#N/A</v>
      </c>
      <c r="G219" s="21" t="e">
        <f aca="false">IF(COUNT(D217:D219)=3,AVERAGE(D217:D219),NA())</f>
        <v>#N/A</v>
      </c>
      <c r="H219" s="20" t="e">
        <f aca="false">IFERROR(IF(AND(COUNT(D217:D219)=3,COUNT(D205:D207)=3),AVERAGE(D217:D219)/AVERAGE(D205:D207)-1,NA()),NA())</f>
        <v>#N/A</v>
      </c>
      <c r="I219" s="28" t="str">
        <f aca="false">IFERROR(YEAR(A219)&amp;"Q"&amp;CEILING(MONTH(A219)/3,1),"")</f>
        <v>1899Q4</v>
      </c>
    </row>
    <row r="220" customFormat="false" ht="15" hidden="false" customHeight="false" outlineLevel="0" collapsed="false">
      <c r="A220" s="27"/>
      <c r="B220" s="28" t="e">
        <f aca="false">IFERROR(IF(ISNUMBER(A220),TEXT(YEAR(A220)-2000,"00")&amp;TEXT(MONTH(A220),"00"),NA()),NA())</f>
        <v>#N/A</v>
      </c>
      <c r="C220" s="18" t="n">
        <f aca="false">IFERROR(YEAR(A220),0)</f>
        <v>1899</v>
      </c>
      <c r="D220" s="32"/>
      <c r="E220" s="20" t="e">
        <f aca="false">IFERROR(D220/D219-1,NA())</f>
        <v>#N/A</v>
      </c>
      <c r="F220" s="20" t="e">
        <f aca="false">IFERROR(D220/D208-1,NA())</f>
        <v>#N/A</v>
      </c>
      <c r="G220" s="21" t="e">
        <f aca="false">IF(COUNT(D218:D220)=3,AVERAGE(D218:D220),NA())</f>
        <v>#N/A</v>
      </c>
      <c r="H220" s="20" t="e">
        <f aca="false">IFERROR(IF(AND(COUNT(D218:D220)=3,COUNT(D206:D208)=3),AVERAGE(D218:D220)/AVERAGE(D206:D208)-1,NA()),NA())</f>
        <v>#N/A</v>
      </c>
      <c r="I220" s="28" t="str">
        <f aca="false">IFERROR(YEAR(A220)&amp;"Q"&amp;CEILING(MONTH(A220)/3,1),"")</f>
        <v>1899Q4</v>
      </c>
    </row>
    <row r="221" customFormat="false" ht="15" hidden="false" customHeight="false" outlineLevel="0" collapsed="false">
      <c r="A221" s="27"/>
      <c r="B221" s="28" t="e">
        <f aca="false">IFERROR(IF(ISNUMBER(A221),TEXT(YEAR(A221)-2000,"00")&amp;TEXT(MONTH(A221),"00"),NA()),NA())</f>
        <v>#N/A</v>
      </c>
      <c r="C221" s="18" t="n">
        <f aca="false">IFERROR(YEAR(A221),0)</f>
        <v>1899</v>
      </c>
      <c r="D221" s="32"/>
      <c r="E221" s="20" t="e">
        <f aca="false">IFERROR(D221/D220-1,NA())</f>
        <v>#N/A</v>
      </c>
      <c r="F221" s="20" t="e">
        <f aca="false">IFERROR(D221/D209-1,NA())</f>
        <v>#N/A</v>
      </c>
      <c r="G221" s="21" t="e">
        <f aca="false">IF(COUNT(D219:D221)=3,AVERAGE(D219:D221),NA())</f>
        <v>#N/A</v>
      </c>
      <c r="H221" s="20" t="e">
        <f aca="false">IFERROR(IF(AND(COUNT(D219:D221)=3,COUNT(D207:D209)=3),AVERAGE(D219:D221)/AVERAGE(D207:D209)-1,NA()),NA())</f>
        <v>#N/A</v>
      </c>
      <c r="I221" s="28" t="str">
        <f aca="false">IFERROR(YEAR(A221)&amp;"Q"&amp;CEILING(MONTH(A221)/3,1),"")</f>
        <v>1899Q4</v>
      </c>
    </row>
    <row r="222" customFormat="false" ht="15" hidden="false" customHeight="false" outlineLevel="0" collapsed="false">
      <c r="A222" s="27"/>
      <c r="B222" s="28" t="e">
        <f aca="false">IFERROR(IF(ISNUMBER(A222),TEXT(YEAR(A222)-2000,"00")&amp;TEXT(MONTH(A222),"00"),NA()),NA())</f>
        <v>#N/A</v>
      </c>
      <c r="C222" s="18" t="n">
        <f aca="false">IFERROR(YEAR(A222),0)</f>
        <v>1899</v>
      </c>
      <c r="D222" s="32"/>
      <c r="E222" s="20" t="e">
        <f aca="false">IFERROR(D222/D221-1,NA())</f>
        <v>#N/A</v>
      </c>
      <c r="F222" s="20" t="e">
        <f aca="false">IFERROR(D222/D210-1,NA())</f>
        <v>#N/A</v>
      </c>
      <c r="G222" s="21" t="e">
        <f aca="false">IF(COUNT(D220:D222)=3,AVERAGE(D220:D222),NA())</f>
        <v>#N/A</v>
      </c>
      <c r="H222" s="20" t="e">
        <f aca="false">IFERROR(IF(AND(COUNT(D220:D222)=3,COUNT(D208:D210)=3),AVERAGE(D220:D222)/AVERAGE(D208:D210)-1,NA()),NA())</f>
        <v>#N/A</v>
      </c>
      <c r="I222" s="28" t="str">
        <f aca="false">IFERROR(YEAR(A222)&amp;"Q"&amp;CEILING(MONTH(A222)/3,1),"")</f>
        <v>1899Q4</v>
      </c>
    </row>
    <row r="223" customFormat="false" ht="15" hidden="false" customHeight="false" outlineLevel="0" collapsed="false">
      <c r="A223" s="27"/>
      <c r="B223" s="28" t="e">
        <f aca="false">IFERROR(IF(ISNUMBER(A223),TEXT(YEAR(A223)-2000,"00")&amp;TEXT(MONTH(A223),"00"),NA()),NA())</f>
        <v>#N/A</v>
      </c>
      <c r="C223" s="18" t="n">
        <f aca="false">IFERROR(YEAR(A223),0)</f>
        <v>1899</v>
      </c>
      <c r="D223" s="32"/>
      <c r="E223" s="20" t="e">
        <f aca="false">IFERROR(D223/D222-1,NA())</f>
        <v>#N/A</v>
      </c>
      <c r="F223" s="20" t="e">
        <f aca="false">IFERROR(D223/D211-1,NA())</f>
        <v>#N/A</v>
      </c>
      <c r="G223" s="21" t="e">
        <f aca="false">IF(COUNT(D221:D223)=3,AVERAGE(D221:D223),NA())</f>
        <v>#N/A</v>
      </c>
      <c r="H223" s="20" t="e">
        <f aca="false">IFERROR(IF(AND(COUNT(D221:D223)=3,COUNT(D209:D211)=3),AVERAGE(D221:D223)/AVERAGE(D209:D211)-1,NA()),NA())</f>
        <v>#N/A</v>
      </c>
      <c r="I223" s="28" t="str">
        <f aca="false">IFERROR(YEAR(A223)&amp;"Q"&amp;CEILING(MONTH(A223)/3,1),"")</f>
        <v>1899Q4</v>
      </c>
    </row>
    <row r="224" customFormat="false" ht="15" hidden="false" customHeight="false" outlineLevel="0" collapsed="false">
      <c r="A224" s="27"/>
      <c r="B224" s="28" t="e">
        <f aca="false">IFERROR(IF(ISNUMBER(A224),TEXT(YEAR(A224)-2000,"00")&amp;TEXT(MONTH(A224),"00"),NA()),NA())</f>
        <v>#N/A</v>
      </c>
      <c r="C224" s="18" t="n">
        <f aca="false">IFERROR(YEAR(A224),0)</f>
        <v>1899</v>
      </c>
      <c r="D224" s="32"/>
      <c r="E224" s="20" t="e">
        <f aca="false">IFERROR(D224/D223-1,NA())</f>
        <v>#N/A</v>
      </c>
      <c r="F224" s="20" t="e">
        <f aca="false">IFERROR(D224/D212-1,NA())</f>
        <v>#N/A</v>
      </c>
      <c r="G224" s="21" t="e">
        <f aca="false">IF(COUNT(D222:D224)=3,AVERAGE(D222:D224),NA())</f>
        <v>#N/A</v>
      </c>
      <c r="H224" s="20" t="e">
        <f aca="false">IFERROR(IF(AND(COUNT(D222:D224)=3,COUNT(D210:D212)=3),AVERAGE(D222:D224)/AVERAGE(D210:D212)-1,NA()),NA())</f>
        <v>#N/A</v>
      </c>
      <c r="I224" s="28" t="str">
        <f aca="false">IFERROR(YEAR(A224)&amp;"Q"&amp;CEILING(MONTH(A224)/3,1),"")</f>
        <v>1899Q4</v>
      </c>
    </row>
    <row r="225" customFormat="false" ht="15" hidden="false" customHeight="false" outlineLevel="0" collapsed="false">
      <c r="A225" s="27"/>
      <c r="B225" s="28" t="e">
        <f aca="false">IFERROR(IF(ISNUMBER(A225),TEXT(YEAR(A225)-2000,"00")&amp;TEXT(MONTH(A225),"00"),NA()),NA())</f>
        <v>#N/A</v>
      </c>
      <c r="C225" s="18" t="n">
        <f aca="false">IFERROR(YEAR(A225),0)</f>
        <v>1899</v>
      </c>
      <c r="D225" s="32"/>
      <c r="E225" s="20" t="e">
        <f aca="false">IFERROR(D225/D224-1,NA())</f>
        <v>#N/A</v>
      </c>
      <c r="F225" s="20" t="e">
        <f aca="false">IFERROR(D225/D213-1,NA())</f>
        <v>#N/A</v>
      </c>
      <c r="G225" s="21" t="e">
        <f aca="false">IF(COUNT(D223:D225)=3,AVERAGE(D223:D225),NA())</f>
        <v>#N/A</v>
      </c>
      <c r="H225" s="20" t="e">
        <f aca="false">IFERROR(IF(AND(COUNT(D223:D225)=3,COUNT(D211:D213)=3),AVERAGE(D223:D225)/AVERAGE(D211:D213)-1,NA()),NA())</f>
        <v>#N/A</v>
      </c>
      <c r="I225" s="28" t="str">
        <f aca="false">IFERROR(YEAR(A225)&amp;"Q"&amp;CEILING(MONTH(A225)/3,1),"")</f>
        <v>1899Q4</v>
      </c>
    </row>
    <row r="226" customFormat="false" ht="15" hidden="false" customHeight="false" outlineLevel="0" collapsed="false">
      <c r="A226" s="27"/>
      <c r="B226" s="28" t="e">
        <f aca="false">IFERROR(IF(ISNUMBER(A226),TEXT(YEAR(A226)-2000,"00")&amp;TEXT(MONTH(A226),"00"),NA()),NA())</f>
        <v>#N/A</v>
      </c>
      <c r="C226" s="18" t="n">
        <f aca="false">IFERROR(YEAR(A226),0)</f>
        <v>1899</v>
      </c>
      <c r="D226" s="32"/>
      <c r="E226" s="20" t="e">
        <f aca="false">IFERROR(D226/D225-1,NA())</f>
        <v>#N/A</v>
      </c>
      <c r="F226" s="20" t="e">
        <f aca="false">IFERROR(D226/D214-1,NA())</f>
        <v>#N/A</v>
      </c>
      <c r="G226" s="21" t="e">
        <f aca="false">IF(COUNT(D224:D226)=3,AVERAGE(D224:D226),NA())</f>
        <v>#N/A</v>
      </c>
      <c r="H226" s="20" t="e">
        <f aca="false">IFERROR(IF(AND(COUNT(D224:D226)=3,COUNT(D212:D214)=3),AVERAGE(D224:D226)/AVERAGE(D212:D214)-1,NA()),NA())</f>
        <v>#N/A</v>
      </c>
      <c r="I226" s="28" t="str">
        <f aca="false">IFERROR(YEAR(A226)&amp;"Q"&amp;CEILING(MONTH(A226)/3,1),"")</f>
        <v>1899Q4</v>
      </c>
    </row>
    <row r="227" customFormat="false" ht="15" hidden="false" customHeight="false" outlineLevel="0" collapsed="false">
      <c r="A227" s="27"/>
      <c r="B227" s="28" t="e">
        <f aca="false">IFERROR(IF(ISNUMBER(A227),TEXT(YEAR(A227)-2000,"00")&amp;TEXT(MONTH(A227),"00"),NA()),NA())</f>
        <v>#N/A</v>
      </c>
      <c r="C227" s="18" t="n">
        <f aca="false">IFERROR(YEAR(A227),0)</f>
        <v>1899</v>
      </c>
      <c r="D227" s="32"/>
      <c r="E227" s="20" t="e">
        <f aca="false">IFERROR(D227/D226-1,NA())</f>
        <v>#N/A</v>
      </c>
      <c r="F227" s="20" t="e">
        <f aca="false">IFERROR(D227/D215-1,NA())</f>
        <v>#N/A</v>
      </c>
      <c r="G227" s="21" t="e">
        <f aca="false">IF(COUNT(D225:D227)=3,AVERAGE(D225:D227),NA())</f>
        <v>#N/A</v>
      </c>
      <c r="H227" s="20" t="e">
        <f aca="false">IFERROR(IF(AND(COUNT(D225:D227)=3,COUNT(D213:D215)=3),AVERAGE(D225:D227)/AVERAGE(D213:D215)-1,NA()),NA())</f>
        <v>#N/A</v>
      </c>
      <c r="I227" s="28" t="str">
        <f aca="false">IFERROR(YEAR(A227)&amp;"Q"&amp;CEILING(MONTH(A227)/3,1),"")</f>
        <v>1899Q4</v>
      </c>
    </row>
    <row r="228" customFormat="false" ht="15" hidden="false" customHeight="false" outlineLevel="0" collapsed="false">
      <c r="A228" s="27"/>
      <c r="B228" s="28" t="e">
        <f aca="false">IFERROR(IF(ISNUMBER(A228),TEXT(YEAR(A228)-2000,"00")&amp;TEXT(MONTH(A228),"00"),NA()),NA())</f>
        <v>#N/A</v>
      </c>
      <c r="C228" s="18" t="n">
        <f aca="false">IFERROR(YEAR(A228),0)</f>
        <v>1899</v>
      </c>
      <c r="D228" s="32"/>
      <c r="E228" s="20" t="e">
        <f aca="false">IFERROR(D228/D227-1,NA())</f>
        <v>#N/A</v>
      </c>
      <c r="F228" s="20" t="e">
        <f aca="false">IFERROR(D228/D216-1,NA())</f>
        <v>#N/A</v>
      </c>
      <c r="G228" s="21" t="e">
        <f aca="false">IF(COUNT(D226:D228)=3,AVERAGE(D226:D228),NA())</f>
        <v>#N/A</v>
      </c>
      <c r="H228" s="20" t="e">
        <f aca="false">IFERROR(IF(AND(COUNT(D226:D228)=3,COUNT(D214:D216)=3),AVERAGE(D226:D228)/AVERAGE(D214:D216)-1,NA()),NA())</f>
        <v>#N/A</v>
      </c>
      <c r="I228" s="28" t="str">
        <f aca="false">IFERROR(YEAR(A228)&amp;"Q"&amp;CEILING(MONTH(A228)/3,1),"")</f>
        <v>1899Q4</v>
      </c>
    </row>
    <row r="229" customFormat="false" ht="15" hidden="false" customHeight="false" outlineLevel="0" collapsed="false">
      <c r="A229" s="27"/>
      <c r="B229" s="28" t="e">
        <f aca="false">IFERROR(IF(ISNUMBER(A229),TEXT(YEAR(A229)-2000,"00")&amp;TEXT(MONTH(A229),"00"),NA()),NA())</f>
        <v>#N/A</v>
      </c>
      <c r="C229" s="18" t="n">
        <f aca="false">IFERROR(YEAR(A229),0)</f>
        <v>1899</v>
      </c>
      <c r="D229" s="32"/>
      <c r="E229" s="20" t="e">
        <f aca="false">IFERROR(D229/D228-1,NA())</f>
        <v>#N/A</v>
      </c>
      <c r="F229" s="20" t="e">
        <f aca="false">IFERROR(D229/D217-1,NA())</f>
        <v>#N/A</v>
      </c>
      <c r="G229" s="21" t="e">
        <f aca="false">IF(COUNT(D227:D229)=3,AVERAGE(D227:D229),NA())</f>
        <v>#N/A</v>
      </c>
      <c r="H229" s="20" t="e">
        <f aca="false">IFERROR(IF(AND(COUNT(D227:D229)=3,COUNT(D215:D217)=3),AVERAGE(D227:D229)/AVERAGE(D215:D217)-1,NA()),NA())</f>
        <v>#N/A</v>
      </c>
      <c r="I229" s="28" t="str">
        <f aca="false">IFERROR(YEAR(A229)&amp;"Q"&amp;CEILING(MONTH(A229)/3,1),"")</f>
        <v>1899Q4</v>
      </c>
    </row>
    <row r="230" customFormat="false" ht="15" hidden="false" customHeight="false" outlineLevel="0" collapsed="false">
      <c r="A230" s="27"/>
      <c r="B230" s="28" t="e">
        <f aca="false">IFERROR(IF(ISNUMBER(A230),TEXT(YEAR(A230)-2000,"00")&amp;TEXT(MONTH(A230),"00"),NA()),NA())</f>
        <v>#N/A</v>
      </c>
      <c r="C230" s="18" t="n">
        <f aca="false">IFERROR(YEAR(A230),0)</f>
        <v>1899</v>
      </c>
      <c r="D230" s="32"/>
      <c r="E230" s="20" t="e">
        <f aca="false">IFERROR(D230/D229-1,NA())</f>
        <v>#N/A</v>
      </c>
      <c r="F230" s="20" t="e">
        <f aca="false">IFERROR(D230/D218-1,NA())</f>
        <v>#N/A</v>
      </c>
      <c r="G230" s="21" t="e">
        <f aca="false">IF(COUNT(D228:D230)=3,AVERAGE(D228:D230),NA())</f>
        <v>#N/A</v>
      </c>
      <c r="H230" s="20" t="e">
        <f aca="false">IFERROR(IF(AND(COUNT(D228:D230)=3,COUNT(D216:D218)=3),AVERAGE(D228:D230)/AVERAGE(D216:D218)-1,NA()),NA())</f>
        <v>#N/A</v>
      </c>
      <c r="I230" s="28" t="str">
        <f aca="false">IFERROR(YEAR(A230)&amp;"Q"&amp;CEILING(MONTH(A230)/3,1),"")</f>
        <v>1899Q4</v>
      </c>
    </row>
    <row r="231" customFormat="false" ht="15" hidden="false" customHeight="false" outlineLevel="0" collapsed="false">
      <c r="A231" s="27"/>
      <c r="B231" s="28" t="e">
        <f aca="false">IFERROR(IF(ISNUMBER(A231),TEXT(YEAR(A231)-2000,"00")&amp;TEXT(MONTH(A231),"00"),NA()),NA())</f>
        <v>#N/A</v>
      </c>
      <c r="C231" s="18" t="n">
        <f aca="false">IFERROR(YEAR(A231),0)</f>
        <v>1899</v>
      </c>
      <c r="D231" s="32"/>
      <c r="E231" s="20" t="e">
        <f aca="false">IFERROR(D231/D230-1,NA())</f>
        <v>#N/A</v>
      </c>
      <c r="F231" s="20" t="e">
        <f aca="false">IFERROR(D231/D219-1,NA())</f>
        <v>#N/A</v>
      </c>
      <c r="G231" s="21" t="e">
        <f aca="false">IF(COUNT(D229:D231)=3,AVERAGE(D229:D231),NA())</f>
        <v>#N/A</v>
      </c>
      <c r="H231" s="20" t="e">
        <f aca="false">IFERROR(IF(AND(COUNT(D229:D231)=3,COUNT(D217:D219)=3),AVERAGE(D229:D231)/AVERAGE(D217:D219)-1,NA()),NA())</f>
        <v>#N/A</v>
      </c>
      <c r="I231" s="28" t="str">
        <f aca="false">IFERROR(YEAR(A231)&amp;"Q"&amp;CEILING(MONTH(A231)/3,1),"")</f>
        <v>1899Q4</v>
      </c>
    </row>
    <row r="232" customFormat="false" ht="15" hidden="false" customHeight="false" outlineLevel="0" collapsed="false">
      <c r="A232" s="27"/>
      <c r="B232" s="28" t="e">
        <f aca="false">IFERROR(IF(ISNUMBER(A232),TEXT(YEAR(A232)-2000,"00")&amp;TEXT(MONTH(A232),"00"),NA()),NA())</f>
        <v>#N/A</v>
      </c>
      <c r="C232" s="18" t="n">
        <f aca="false">IFERROR(YEAR(A232),0)</f>
        <v>1899</v>
      </c>
      <c r="D232" s="32"/>
      <c r="E232" s="20" t="e">
        <f aca="false">IFERROR(D232/D231-1,NA())</f>
        <v>#N/A</v>
      </c>
      <c r="F232" s="20" t="e">
        <f aca="false">IFERROR(D232/D220-1,NA())</f>
        <v>#N/A</v>
      </c>
      <c r="G232" s="21" t="e">
        <f aca="false">IF(COUNT(D230:D232)=3,AVERAGE(D230:D232),NA())</f>
        <v>#N/A</v>
      </c>
      <c r="H232" s="20" t="e">
        <f aca="false">IFERROR(IF(AND(COUNT(D230:D232)=3,COUNT(D218:D220)=3),AVERAGE(D230:D232)/AVERAGE(D218:D220)-1,NA()),NA())</f>
        <v>#N/A</v>
      </c>
      <c r="I232" s="28" t="str">
        <f aca="false">IFERROR(YEAR(A232)&amp;"Q"&amp;CEILING(MONTH(A232)/3,1),"")</f>
        <v>1899Q4</v>
      </c>
    </row>
    <row r="233" customFormat="false" ht="15" hidden="false" customHeight="false" outlineLevel="0" collapsed="false">
      <c r="A233" s="27"/>
      <c r="B233" s="28" t="e">
        <f aca="false">IFERROR(IF(ISNUMBER(A233),TEXT(YEAR(A233)-2000,"00")&amp;TEXT(MONTH(A233),"00"),NA()),NA())</f>
        <v>#N/A</v>
      </c>
      <c r="C233" s="18" t="n">
        <f aca="false">IFERROR(YEAR(A233),0)</f>
        <v>1899</v>
      </c>
      <c r="D233" s="32"/>
      <c r="E233" s="20" t="e">
        <f aca="false">IFERROR(D233/D232-1,NA())</f>
        <v>#N/A</v>
      </c>
      <c r="F233" s="20" t="e">
        <f aca="false">IFERROR(D233/D221-1,NA())</f>
        <v>#N/A</v>
      </c>
      <c r="G233" s="21" t="e">
        <f aca="false">IF(COUNT(D231:D233)=3,AVERAGE(D231:D233),NA())</f>
        <v>#N/A</v>
      </c>
      <c r="H233" s="20" t="e">
        <f aca="false">IFERROR(IF(AND(COUNT(D231:D233)=3,COUNT(D219:D221)=3),AVERAGE(D231:D233)/AVERAGE(D219:D221)-1,NA()),NA())</f>
        <v>#N/A</v>
      </c>
      <c r="I233" s="28" t="str">
        <f aca="false">IFERROR(YEAR(A233)&amp;"Q"&amp;CEILING(MONTH(A233)/3,1),"")</f>
        <v>1899Q4</v>
      </c>
    </row>
    <row r="234" customFormat="false" ht="15" hidden="false" customHeight="false" outlineLevel="0" collapsed="false">
      <c r="A234" s="27"/>
      <c r="B234" s="28" t="e">
        <f aca="false">IFERROR(IF(ISNUMBER(A234),TEXT(YEAR(A234)-2000,"00")&amp;TEXT(MONTH(A234),"00"),NA()),NA())</f>
        <v>#N/A</v>
      </c>
      <c r="C234" s="18" t="n">
        <f aca="false">IFERROR(YEAR(A234),0)</f>
        <v>1899</v>
      </c>
      <c r="D234" s="32"/>
      <c r="E234" s="20" t="e">
        <f aca="false">IFERROR(D234/D233-1,NA())</f>
        <v>#N/A</v>
      </c>
      <c r="F234" s="20" t="e">
        <f aca="false">IFERROR(D234/D222-1,NA())</f>
        <v>#N/A</v>
      </c>
      <c r="G234" s="21" t="e">
        <f aca="false">IF(COUNT(D232:D234)=3,AVERAGE(D232:D234),NA())</f>
        <v>#N/A</v>
      </c>
      <c r="H234" s="20" t="e">
        <f aca="false">IFERROR(IF(AND(COUNT(D232:D234)=3,COUNT(D220:D222)=3),AVERAGE(D232:D234)/AVERAGE(D220:D222)-1,NA()),NA())</f>
        <v>#N/A</v>
      </c>
      <c r="I234" s="28" t="str">
        <f aca="false">IFERROR(YEAR(A234)&amp;"Q"&amp;CEILING(MONTH(A234)/3,1),"")</f>
        <v>1899Q4</v>
      </c>
    </row>
    <row r="235" customFormat="false" ht="15" hidden="false" customHeight="false" outlineLevel="0" collapsed="false">
      <c r="A235" s="27"/>
      <c r="B235" s="28" t="e">
        <f aca="false">IFERROR(IF(ISNUMBER(A235),TEXT(YEAR(A235)-2000,"00")&amp;TEXT(MONTH(A235),"00"),NA()),NA())</f>
        <v>#N/A</v>
      </c>
      <c r="C235" s="18" t="n">
        <f aca="false">IFERROR(YEAR(A235),0)</f>
        <v>1899</v>
      </c>
      <c r="D235" s="32"/>
      <c r="E235" s="20" t="e">
        <f aca="false">IFERROR(D235/D234-1,NA())</f>
        <v>#N/A</v>
      </c>
      <c r="F235" s="20" t="e">
        <f aca="false">IFERROR(D235/D223-1,NA())</f>
        <v>#N/A</v>
      </c>
      <c r="G235" s="21" t="e">
        <f aca="false">IF(COUNT(D233:D235)=3,AVERAGE(D233:D235),NA())</f>
        <v>#N/A</v>
      </c>
      <c r="H235" s="20" t="e">
        <f aca="false">IFERROR(IF(AND(COUNT(D233:D235)=3,COUNT(D221:D223)=3),AVERAGE(D233:D235)/AVERAGE(D221:D223)-1,NA()),NA())</f>
        <v>#N/A</v>
      </c>
      <c r="I235" s="28" t="str">
        <f aca="false">IFERROR(YEAR(A235)&amp;"Q"&amp;CEILING(MONTH(A235)/3,1),"")</f>
        <v>1899Q4</v>
      </c>
    </row>
    <row r="236" customFormat="false" ht="15" hidden="false" customHeight="false" outlineLevel="0" collapsed="false">
      <c r="A236" s="27"/>
      <c r="B236" s="28" t="e">
        <f aca="false">IFERROR(IF(ISNUMBER(A236),TEXT(YEAR(A236)-2000,"00")&amp;TEXT(MONTH(A236),"00"),NA()),NA())</f>
        <v>#N/A</v>
      </c>
      <c r="C236" s="18" t="n">
        <f aca="false">IFERROR(YEAR(A236),0)</f>
        <v>1899</v>
      </c>
      <c r="D236" s="32"/>
      <c r="E236" s="20" t="e">
        <f aca="false">IFERROR(D236/D235-1,NA())</f>
        <v>#N/A</v>
      </c>
      <c r="F236" s="20" t="e">
        <f aca="false">IFERROR(D236/D224-1,NA())</f>
        <v>#N/A</v>
      </c>
      <c r="G236" s="21" t="e">
        <f aca="false">IF(COUNT(D234:D236)=3,AVERAGE(D234:D236),NA())</f>
        <v>#N/A</v>
      </c>
      <c r="H236" s="20" t="e">
        <f aca="false">IFERROR(IF(AND(COUNT(D234:D236)=3,COUNT(D222:D224)=3),AVERAGE(D234:D236)/AVERAGE(D222:D224)-1,NA()),NA())</f>
        <v>#N/A</v>
      </c>
      <c r="I236" s="28" t="str">
        <f aca="false">IFERROR(YEAR(A236)&amp;"Q"&amp;CEILING(MONTH(A236)/3,1),"")</f>
        <v>1899Q4</v>
      </c>
    </row>
    <row r="237" customFormat="false" ht="15" hidden="false" customHeight="false" outlineLevel="0" collapsed="false">
      <c r="A237" s="27"/>
      <c r="B237" s="28" t="e">
        <f aca="false">IFERROR(IF(ISNUMBER(A237),TEXT(YEAR(A237)-2000,"00")&amp;TEXT(MONTH(A237),"00"),NA()),NA())</f>
        <v>#N/A</v>
      </c>
      <c r="C237" s="18" t="n">
        <f aca="false">IFERROR(YEAR(A237),0)</f>
        <v>1899</v>
      </c>
      <c r="D237" s="32"/>
      <c r="E237" s="20" t="e">
        <f aca="false">IFERROR(D237/D236-1,NA())</f>
        <v>#N/A</v>
      </c>
      <c r="F237" s="20" t="e">
        <f aca="false">IFERROR(D237/D225-1,NA())</f>
        <v>#N/A</v>
      </c>
      <c r="G237" s="21" t="e">
        <f aca="false">IF(COUNT(D235:D237)=3,AVERAGE(D235:D237),NA())</f>
        <v>#N/A</v>
      </c>
      <c r="H237" s="20" t="e">
        <f aca="false">IFERROR(IF(AND(COUNT(D235:D237)=3,COUNT(D223:D225)=3),AVERAGE(D235:D237)/AVERAGE(D223:D225)-1,NA()),NA())</f>
        <v>#N/A</v>
      </c>
      <c r="I237" s="28" t="str">
        <f aca="false">IFERROR(YEAR(A237)&amp;"Q"&amp;CEILING(MONTH(A237)/3,1),"")</f>
        <v>1899Q4</v>
      </c>
    </row>
    <row r="238" customFormat="false" ht="15" hidden="false" customHeight="false" outlineLevel="0" collapsed="false">
      <c r="A238" s="27"/>
      <c r="B238" s="28" t="e">
        <f aca="false">IFERROR(IF(ISNUMBER(A238),TEXT(YEAR(A238)-2000,"00")&amp;TEXT(MONTH(A238),"00"),NA()),NA())</f>
        <v>#N/A</v>
      </c>
      <c r="C238" s="18" t="n">
        <f aca="false">IFERROR(YEAR(A238),0)</f>
        <v>1899</v>
      </c>
      <c r="D238" s="32"/>
      <c r="E238" s="20" t="e">
        <f aca="false">IFERROR(D238/D237-1,NA())</f>
        <v>#N/A</v>
      </c>
      <c r="F238" s="20" t="e">
        <f aca="false">IFERROR(D238/D226-1,NA())</f>
        <v>#N/A</v>
      </c>
      <c r="G238" s="21" t="e">
        <f aca="false">IF(COUNT(D236:D238)=3,AVERAGE(D236:D238),NA())</f>
        <v>#N/A</v>
      </c>
      <c r="H238" s="20" t="e">
        <f aca="false">IFERROR(IF(AND(COUNT(D236:D238)=3,COUNT(D224:D226)=3),AVERAGE(D236:D238)/AVERAGE(D224:D226)-1,NA()),NA())</f>
        <v>#N/A</v>
      </c>
      <c r="I238" s="28" t="str">
        <f aca="false">IFERROR(YEAR(A238)&amp;"Q"&amp;CEILING(MONTH(A238)/3,1),"")</f>
        <v>1899Q4</v>
      </c>
    </row>
    <row r="239" customFormat="false" ht="15" hidden="false" customHeight="false" outlineLevel="0" collapsed="false">
      <c r="A239" s="27"/>
      <c r="B239" s="28" t="e">
        <f aca="false">IFERROR(IF(ISNUMBER(A239),TEXT(YEAR(A239)-2000,"00")&amp;TEXT(MONTH(A239),"00"),NA()),NA())</f>
        <v>#N/A</v>
      </c>
      <c r="C239" s="18" t="n">
        <f aca="false">IFERROR(YEAR(A239),0)</f>
        <v>1899</v>
      </c>
      <c r="D239" s="32"/>
      <c r="E239" s="20" t="e">
        <f aca="false">IFERROR(D239/D238-1,NA())</f>
        <v>#N/A</v>
      </c>
      <c r="F239" s="20" t="e">
        <f aca="false">IFERROR(D239/D227-1,NA())</f>
        <v>#N/A</v>
      </c>
      <c r="G239" s="21" t="e">
        <f aca="false">IF(COUNT(D237:D239)=3,AVERAGE(D237:D239),NA())</f>
        <v>#N/A</v>
      </c>
      <c r="H239" s="20" t="e">
        <f aca="false">IFERROR(IF(AND(COUNT(D237:D239)=3,COUNT(D225:D227)=3),AVERAGE(D237:D239)/AVERAGE(D225:D227)-1,NA()),NA())</f>
        <v>#N/A</v>
      </c>
      <c r="I239" s="28" t="str">
        <f aca="false">IFERROR(YEAR(A239)&amp;"Q"&amp;CEILING(MONTH(A239)/3,1),"")</f>
        <v>1899Q4</v>
      </c>
    </row>
    <row r="240" customFormat="false" ht="15" hidden="false" customHeight="false" outlineLevel="0" collapsed="false">
      <c r="A240" s="27"/>
      <c r="B240" s="28" t="e">
        <f aca="false">IFERROR(IF(ISNUMBER(A240),TEXT(YEAR(A240)-2000,"00")&amp;TEXT(MONTH(A240),"00"),NA()),NA())</f>
        <v>#N/A</v>
      </c>
      <c r="C240" s="18" t="n">
        <f aca="false">IFERROR(YEAR(A240),0)</f>
        <v>1899</v>
      </c>
      <c r="D240" s="32"/>
      <c r="E240" s="20" t="e">
        <f aca="false">IFERROR(D240/D239-1,NA())</f>
        <v>#N/A</v>
      </c>
      <c r="F240" s="20" t="e">
        <f aca="false">IFERROR(D240/D228-1,NA())</f>
        <v>#N/A</v>
      </c>
      <c r="G240" s="21" t="e">
        <f aca="false">IF(COUNT(D238:D240)=3,AVERAGE(D238:D240),NA())</f>
        <v>#N/A</v>
      </c>
      <c r="H240" s="20" t="e">
        <f aca="false">IFERROR(IF(AND(COUNT(D238:D240)=3,COUNT(D226:D228)=3),AVERAGE(D238:D240)/AVERAGE(D226:D228)-1,NA()),NA())</f>
        <v>#N/A</v>
      </c>
      <c r="I240" s="28" t="str">
        <f aca="false">IFERROR(YEAR(A240)&amp;"Q"&amp;CEILING(MONTH(A240)/3,1),"")</f>
        <v>1899Q4</v>
      </c>
    </row>
    <row r="241" customFormat="false" ht="15" hidden="false" customHeight="false" outlineLevel="0" collapsed="false">
      <c r="A241" s="27"/>
      <c r="B241" s="28" t="e">
        <f aca="false">IFERROR(IF(ISNUMBER(A241),TEXT(YEAR(A241)-2000,"00")&amp;TEXT(MONTH(A241),"00"),NA()),NA())</f>
        <v>#N/A</v>
      </c>
      <c r="C241" s="18" t="n">
        <f aca="false">IFERROR(YEAR(A241),0)</f>
        <v>1899</v>
      </c>
      <c r="D241" s="32"/>
      <c r="E241" s="20" t="e">
        <f aca="false">IFERROR(D241/D240-1,NA())</f>
        <v>#N/A</v>
      </c>
      <c r="F241" s="20" t="e">
        <f aca="false">IFERROR(D241/D229-1,NA())</f>
        <v>#N/A</v>
      </c>
      <c r="G241" s="21" t="e">
        <f aca="false">IF(COUNT(D239:D241)=3,AVERAGE(D239:D241),NA())</f>
        <v>#N/A</v>
      </c>
      <c r="H241" s="20" t="e">
        <f aca="false">IFERROR(IF(AND(COUNT(D239:D241)=3,COUNT(D227:D229)=3),AVERAGE(D239:D241)/AVERAGE(D227:D229)-1,NA()),NA())</f>
        <v>#N/A</v>
      </c>
      <c r="I241" s="28" t="str">
        <f aca="false">IFERROR(YEAR(A241)&amp;"Q"&amp;CEILING(MONTH(A241)/3,1),"")</f>
        <v>1899Q4</v>
      </c>
    </row>
    <row r="242" customFormat="false" ht="15" hidden="false" customHeight="false" outlineLevel="0" collapsed="false">
      <c r="A242" s="27"/>
      <c r="B242" s="28" t="e">
        <f aca="false">IFERROR(IF(ISNUMBER(A242),TEXT(YEAR(A242)-2000,"00")&amp;TEXT(MONTH(A242),"00"),NA()),NA())</f>
        <v>#N/A</v>
      </c>
      <c r="C242" s="18" t="n">
        <f aca="false">IFERROR(YEAR(A242),0)</f>
        <v>1899</v>
      </c>
      <c r="D242" s="32"/>
      <c r="E242" s="20" t="e">
        <f aca="false">IFERROR(D242/D241-1,NA())</f>
        <v>#N/A</v>
      </c>
      <c r="F242" s="20" t="e">
        <f aca="false">IFERROR(D242/D230-1,NA())</f>
        <v>#N/A</v>
      </c>
      <c r="G242" s="21" t="e">
        <f aca="false">IF(COUNT(D240:D242)=3,AVERAGE(D240:D242),NA())</f>
        <v>#N/A</v>
      </c>
      <c r="H242" s="20" t="e">
        <f aca="false">IFERROR(IF(AND(COUNT(D240:D242)=3,COUNT(D228:D230)=3),AVERAGE(D240:D242)/AVERAGE(D228:D230)-1,NA()),NA())</f>
        <v>#N/A</v>
      </c>
      <c r="I242" s="28" t="str">
        <f aca="false">IFERROR(YEAR(A242)&amp;"Q"&amp;CEILING(MONTH(A242)/3,1),"")</f>
        <v>1899Q4</v>
      </c>
    </row>
    <row r="243" customFormat="false" ht="15" hidden="false" customHeight="false" outlineLevel="0" collapsed="false">
      <c r="A243" s="27"/>
      <c r="B243" s="28" t="e">
        <f aca="false">IFERROR(IF(ISNUMBER(A243),TEXT(YEAR(A243)-2000,"00")&amp;TEXT(MONTH(A243),"00"),NA()),NA())</f>
        <v>#N/A</v>
      </c>
      <c r="C243" s="18" t="n">
        <f aca="false">IFERROR(YEAR(A243),0)</f>
        <v>1899</v>
      </c>
      <c r="D243" s="32"/>
      <c r="E243" s="20" t="e">
        <f aca="false">IFERROR(D243/D242-1,NA())</f>
        <v>#N/A</v>
      </c>
      <c r="F243" s="20" t="e">
        <f aca="false">IFERROR(D243/D231-1,NA())</f>
        <v>#N/A</v>
      </c>
      <c r="G243" s="21" t="e">
        <f aca="false">IF(COUNT(D241:D243)=3,AVERAGE(D241:D243),NA())</f>
        <v>#N/A</v>
      </c>
      <c r="H243" s="20" t="e">
        <f aca="false">IFERROR(IF(AND(COUNT(D241:D243)=3,COUNT(D229:D231)=3),AVERAGE(D241:D243)/AVERAGE(D229:D231)-1,NA()),NA())</f>
        <v>#N/A</v>
      </c>
      <c r="I243" s="28" t="str">
        <f aca="false">IFERROR(YEAR(A243)&amp;"Q"&amp;CEILING(MONTH(A243)/3,1),"")</f>
        <v>1899Q4</v>
      </c>
    </row>
    <row r="244" customFormat="false" ht="15" hidden="false" customHeight="false" outlineLevel="0" collapsed="false">
      <c r="A244" s="27"/>
      <c r="B244" s="28" t="e">
        <f aca="false">IFERROR(IF(ISNUMBER(A244),TEXT(YEAR(A244)-2000,"00")&amp;TEXT(MONTH(A244),"00"),NA()),NA())</f>
        <v>#N/A</v>
      </c>
      <c r="C244" s="18" t="n">
        <f aca="false">IFERROR(YEAR(A244),0)</f>
        <v>1899</v>
      </c>
      <c r="D244" s="32"/>
      <c r="E244" s="20" t="e">
        <f aca="false">IFERROR(D244/D243-1,NA())</f>
        <v>#N/A</v>
      </c>
      <c r="F244" s="20" t="e">
        <f aca="false">IFERROR(D244/D232-1,NA())</f>
        <v>#N/A</v>
      </c>
      <c r="G244" s="21" t="e">
        <f aca="false">IF(COUNT(D242:D244)=3,AVERAGE(D242:D244),NA())</f>
        <v>#N/A</v>
      </c>
      <c r="H244" s="20" t="e">
        <f aca="false">IFERROR(IF(AND(COUNT(D242:D244)=3,COUNT(D230:D232)=3),AVERAGE(D242:D244)/AVERAGE(D230:D232)-1,NA()),NA())</f>
        <v>#N/A</v>
      </c>
      <c r="I244" s="28" t="str">
        <f aca="false">IFERROR(YEAR(A244)&amp;"Q"&amp;CEILING(MONTH(A244)/3,1),"")</f>
        <v>1899Q4</v>
      </c>
    </row>
    <row r="245" customFormat="false" ht="15" hidden="false" customHeight="false" outlineLevel="0" collapsed="false">
      <c r="A245" s="27"/>
      <c r="B245" s="28" t="e">
        <f aca="false">IFERROR(IF(ISNUMBER(A245),TEXT(YEAR(A245)-2000,"00")&amp;TEXT(MONTH(A245),"00"),NA()),NA())</f>
        <v>#N/A</v>
      </c>
      <c r="C245" s="18" t="n">
        <f aca="false">IFERROR(YEAR(A245),0)</f>
        <v>1899</v>
      </c>
      <c r="D245" s="32"/>
      <c r="E245" s="20" t="e">
        <f aca="false">IFERROR(D245/D244-1,NA())</f>
        <v>#N/A</v>
      </c>
      <c r="F245" s="20" t="e">
        <f aca="false">IFERROR(D245/D233-1,NA())</f>
        <v>#N/A</v>
      </c>
      <c r="G245" s="21" t="e">
        <f aca="false">IF(COUNT(D243:D245)=3,AVERAGE(D243:D245),NA())</f>
        <v>#N/A</v>
      </c>
      <c r="H245" s="20" t="e">
        <f aca="false">IFERROR(IF(AND(COUNT(D243:D245)=3,COUNT(D231:D233)=3),AVERAGE(D243:D245)/AVERAGE(D231:D233)-1,NA()),NA())</f>
        <v>#N/A</v>
      </c>
      <c r="I245" s="28" t="str">
        <f aca="false">IFERROR(YEAR(A245)&amp;"Q"&amp;CEILING(MONTH(A245)/3,1),"")</f>
        <v>1899Q4</v>
      </c>
    </row>
    <row r="246" customFormat="false" ht="15" hidden="false" customHeight="false" outlineLevel="0" collapsed="false">
      <c r="A246" s="27"/>
      <c r="B246" s="28" t="e">
        <f aca="false">IFERROR(IF(ISNUMBER(A246),TEXT(YEAR(A246)-2000,"00")&amp;TEXT(MONTH(A246),"00"),NA()),NA())</f>
        <v>#N/A</v>
      </c>
      <c r="C246" s="18" t="n">
        <f aca="false">IFERROR(YEAR(A246),0)</f>
        <v>1899</v>
      </c>
      <c r="D246" s="32"/>
      <c r="E246" s="20" t="e">
        <f aca="false">IFERROR(D246/D245-1,NA())</f>
        <v>#N/A</v>
      </c>
      <c r="F246" s="20" t="e">
        <f aca="false">IFERROR(D246/D234-1,NA())</f>
        <v>#N/A</v>
      </c>
      <c r="G246" s="21" t="e">
        <f aca="false">IF(COUNT(D244:D246)=3,AVERAGE(D244:D246),NA())</f>
        <v>#N/A</v>
      </c>
      <c r="H246" s="20" t="e">
        <f aca="false">IFERROR(IF(AND(COUNT(D244:D246)=3,COUNT(D232:D234)=3),AVERAGE(D244:D246)/AVERAGE(D232:D234)-1,NA()),NA())</f>
        <v>#N/A</v>
      </c>
      <c r="I246" s="28" t="str">
        <f aca="false">IFERROR(YEAR(A246)&amp;"Q"&amp;CEILING(MONTH(A246)/3,1),"")</f>
        <v>1899Q4</v>
      </c>
    </row>
    <row r="247" customFormat="false" ht="15" hidden="false" customHeight="false" outlineLevel="0" collapsed="false">
      <c r="A247" s="27"/>
      <c r="B247" s="28" t="e">
        <f aca="false">IFERROR(IF(ISNUMBER(A247),TEXT(YEAR(A247)-2000,"00")&amp;TEXT(MONTH(A247),"00"),NA()),NA())</f>
        <v>#N/A</v>
      </c>
      <c r="C247" s="18" t="n">
        <f aca="false">IFERROR(YEAR(A247),0)</f>
        <v>1899</v>
      </c>
      <c r="D247" s="32"/>
      <c r="E247" s="20" t="e">
        <f aca="false">IFERROR(D247/D246-1,NA())</f>
        <v>#N/A</v>
      </c>
      <c r="F247" s="20" t="e">
        <f aca="false">IFERROR(D247/D235-1,NA())</f>
        <v>#N/A</v>
      </c>
      <c r="G247" s="21" t="e">
        <f aca="false">IF(COUNT(D245:D247)=3,AVERAGE(D245:D247),NA())</f>
        <v>#N/A</v>
      </c>
      <c r="H247" s="20" t="e">
        <f aca="false">IFERROR(IF(AND(COUNT(D245:D247)=3,COUNT(D233:D235)=3),AVERAGE(D245:D247)/AVERAGE(D233:D235)-1,NA()),NA())</f>
        <v>#N/A</v>
      </c>
      <c r="I247" s="28" t="str">
        <f aca="false">IFERROR(YEAR(A247)&amp;"Q"&amp;CEILING(MONTH(A247)/3,1),"")</f>
        <v>1899Q4</v>
      </c>
    </row>
    <row r="248" customFormat="false" ht="15" hidden="false" customHeight="false" outlineLevel="0" collapsed="false">
      <c r="A248" s="27"/>
      <c r="B248" s="28" t="e">
        <f aca="false">IFERROR(IF(ISNUMBER(A248),TEXT(YEAR(A248)-2000,"00")&amp;TEXT(MONTH(A248),"00"),NA()),NA())</f>
        <v>#N/A</v>
      </c>
      <c r="C248" s="18" t="n">
        <f aca="false">IFERROR(YEAR(A248),0)</f>
        <v>1899</v>
      </c>
      <c r="D248" s="32"/>
      <c r="E248" s="20" t="e">
        <f aca="false">IFERROR(D248/D247-1,NA())</f>
        <v>#N/A</v>
      </c>
      <c r="F248" s="20" t="e">
        <f aca="false">IFERROR(D248/D236-1,NA())</f>
        <v>#N/A</v>
      </c>
      <c r="G248" s="21" t="e">
        <f aca="false">IF(COUNT(D246:D248)=3,AVERAGE(D246:D248),NA())</f>
        <v>#N/A</v>
      </c>
      <c r="H248" s="20" t="e">
        <f aca="false">IFERROR(IF(AND(COUNT(D246:D248)=3,COUNT(D234:D236)=3),AVERAGE(D246:D248)/AVERAGE(D234:D236)-1,NA()),NA())</f>
        <v>#N/A</v>
      </c>
      <c r="I248" s="28" t="str">
        <f aca="false">IFERROR(YEAR(A248)&amp;"Q"&amp;CEILING(MONTH(A248)/3,1),"")</f>
        <v>1899Q4</v>
      </c>
    </row>
    <row r="249" customFormat="false" ht="15" hidden="false" customHeight="false" outlineLevel="0" collapsed="false">
      <c r="A249" s="27"/>
      <c r="B249" s="28" t="e">
        <f aca="false">IFERROR(IF(ISNUMBER(A249),TEXT(YEAR(A249)-2000,"00")&amp;TEXT(MONTH(A249),"00"),NA()),NA())</f>
        <v>#N/A</v>
      </c>
      <c r="C249" s="18" t="n">
        <f aca="false">IFERROR(YEAR(A249),0)</f>
        <v>1899</v>
      </c>
      <c r="D249" s="32"/>
      <c r="E249" s="20" t="e">
        <f aca="false">IFERROR(D249/D248-1,NA())</f>
        <v>#N/A</v>
      </c>
      <c r="F249" s="20" t="e">
        <f aca="false">IFERROR(D249/D237-1,NA())</f>
        <v>#N/A</v>
      </c>
      <c r="G249" s="21" t="e">
        <f aca="false">IF(COUNT(D247:D249)=3,AVERAGE(D247:D249),NA())</f>
        <v>#N/A</v>
      </c>
      <c r="H249" s="20" t="e">
        <f aca="false">IFERROR(IF(AND(COUNT(D247:D249)=3,COUNT(D235:D237)=3),AVERAGE(D247:D249)/AVERAGE(D235:D237)-1,NA()),NA())</f>
        <v>#N/A</v>
      </c>
      <c r="I249" s="28" t="str">
        <f aca="false">IFERROR(YEAR(A249)&amp;"Q"&amp;CEILING(MONTH(A249)/3,1),"")</f>
        <v>1899Q4</v>
      </c>
    </row>
    <row r="250" customFormat="false" ht="15" hidden="false" customHeight="false" outlineLevel="0" collapsed="false">
      <c r="A250" s="27"/>
      <c r="B250" s="28" t="e">
        <f aca="false">IFERROR(IF(ISNUMBER(A250),TEXT(YEAR(A250)-2000,"00")&amp;TEXT(MONTH(A250),"00"),NA()),NA())</f>
        <v>#N/A</v>
      </c>
      <c r="C250" s="18" t="n">
        <f aca="false">IFERROR(YEAR(A250),0)</f>
        <v>1899</v>
      </c>
      <c r="D250" s="32"/>
      <c r="E250" s="20" t="e">
        <f aca="false">IFERROR(D250/D249-1,NA())</f>
        <v>#N/A</v>
      </c>
      <c r="F250" s="20" t="e">
        <f aca="false">IFERROR(D250/D238-1,NA())</f>
        <v>#N/A</v>
      </c>
      <c r="G250" s="21" t="e">
        <f aca="false">IF(COUNT(D248:D250)=3,AVERAGE(D248:D250),NA())</f>
        <v>#N/A</v>
      </c>
      <c r="H250" s="20" t="e">
        <f aca="false">IFERROR(IF(AND(COUNT(D248:D250)=3,COUNT(D236:D238)=3),AVERAGE(D248:D250)/AVERAGE(D236:D238)-1,NA()),NA())</f>
        <v>#N/A</v>
      </c>
      <c r="I250" s="28" t="str">
        <f aca="false">IFERROR(YEAR(A250)&amp;"Q"&amp;CEILING(MONTH(A250)/3,1),"")</f>
        <v>1899Q4</v>
      </c>
    </row>
    <row r="251" customFormat="false" ht="15" hidden="false" customHeight="false" outlineLevel="0" collapsed="false">
      <c r="A251" s="27"/>
      <c r="B251" s="28" t="e">
        <f aca="false">IFERROR(IF(ISNUMBER(A251),TEXT(YEAR(A251)-2000,"00")&amp;TEXT(MONTH(A251),"00"),NA()),NA())</f>
        <v>#N/A</v>
      </c>
      <c r="C251" s="18" t="n">
        <f aca="false">IFERROR(YEAR(A251),0)</f>
        <v>1899</v>
      </c>
      <c r="D251" s="32"/>
      <c r="E251" s="20" t="e">
        <f aca="false">IFERROR(D251/D250-1,NA())</f>
        <v>#N/A</v>
      </c>
      <c r="F251" s="20" t="e">
        <f aca="false">IFERROR(D251/D239-1,NA())</f>
        <v>#N/A</v>
      </c>
      <c r="G251" s="21" t="e">
        <f aca="false">IF(COUNT(D249:D251)=3,AVERAGE(D249:D251),NA())</f>
        <v>#N/A</v>
      </c>
      <c r="H251" s="20" t="e">
        <f aca="false">IFERROR(IF(AND(COUNT(D249:D251)=3,COUNT(D237:D239)=3),AVERAGE(D249:D251)/AVERAGE(D237:D239)-1,NA()),NA())</f>
        <v>#N/A</v>
      </c>
      <c r="I251" s="28" t="str">
        <f aca="false">IFERROR(YEAR(A251)&amp;"Q"&amp;CEILING(MONTH(A251)/3,1),"")</f>
        <v>1899Q4</v>
      </c>
    </row>
    <row r="252" customFormat="false" ht="15" hidden="false" customHeight="false" outlineLevel="0" collapsed="false">
      <c r="A252" s="27"/>
      <c r="B252" s="28" t="e">
        <f aca="false">IFERROR(IF(ISNUMBER(A252),TEXT(YEAR(A252)-2000,"00")&amp;TEXT(MONTH(A252),"00"),NA()),NA())</f>
        <v>#N/A</v>
      </c>
      <c r="C252" s="18" t="n">
        <f aca="false">IFERROR(YEAR(A252),0)</f>
        <v>1899</v>
      </c>
      <c r="D252" s="32"/>
      <c r="E252" s="20" t="e">
        <f aca="false">IFERROR(D252/D251-1,NA())</f>
        <v>#N/A</v>
      </c>
      <c r="F252" s="20" t="e">
        <f aca="false">IFERROR(D252/D240-1,NA())</f>
        <v>#N/A</v>
      </c>
      <c r="G252" s="21" t="e">
        <f aca="false">IF(COUNT(D250:D252)=3,AVERAGE(D250:D252),NA())</f>
        <v>#N/A</v>
      </c>
      <c r="H252" s="20" t="e">
        <f aca="false">IFERROR(IF(AND(COUNT(D250:D252)=3,COUNT(D238:D240)=3),AVERAGE(D250:D252)/AVERAGE(D238:D240)-1,NA()),NA())</f>
        <v>#N/A</v>
      </c>
      <c r="I252" s="28" t="str">
        <f aca="false">IFERROR(YEAR(A252)&amp;"Q"&amp;CEILING(MONTH(A252)/3,1),"")</f>
        <v>1899Q4</v>
      </c>
    </row>
    <row r="253" customFormat="false" ht="15" hidden="false" customHeight="false" outlineLevel="0" collapsed="false">
      <c r="A253" s="27"/>
      <c r="B253" s="28" t="e">
        <f aca="false">IFERROR(IF(ISNUMBER(A253),TEXT(YEAR(A253)-2000,"00")&amp;TEXT(MONTH(A253),"00"),NA()),NA())</f>
        <v>#N/A</v>
      </c>
      <c r="C253" s="18" t="n">
        <f aca="false">IFERROR(YEAR(A253),0)</f>
        <v>1899</v>
      </c>
      <c r="D253" s="32"/>
      <c r="E253" s="20" t="e">
        <f aca="false">IFERROR(D253/D252-1,NA())</f>
        <v>#N/A</v>
      </c>
      <c r="F253" s="20" t="e">
        <f aca="false">IFERROR(D253/D241-1,NA())</f>
        <v>#N/A</v>
      </c>
      <c r="G253" s="21" t="e">
        <f aca="false">IF(COUNT(D251:D253)=3,AVERAGE(D251:D253),NA())</f>
        <v>#N/A</v>
      </c>
      <c r="H253" s="20" t="e">
        <f aca="false">IFERROR(IF(AND(COUNT(D251:D253)=3,COUNT(D239:D241)=3),AVERAGE(D251:D253)/AVERAGE(D239:D241)-1,NA()),NA())</f>
        <v>#N/A</v>
      </c>
      <c r="I253" s="28" t="str">
        <f aca="false">IFERROR(YEAR(A253)&amp;"Q"&amp;CEILING(MONTH(A253)/3,1),"")</f>
        <v>1899Q4</v>
      </c>
    </row>
    <row r="254" customFormat="false" ht="15" hidden="false" customHeight="false" outlineLevel="0" collapsed="false">
      <c r="A254" s="27"/>
      <c r="B254" s="28" t="e">
        <f aca="false">IFERROR(IF(ISNUMBER(A254),TEXT(YEAR(A254)-2000,"00")&amp;TEXT(MONTH(A254),"00"),NA()),NA())</f>
        <v>#N/A</v>
      </c>
      <c r="C254" s="18" t="n">
        <f aca="false">IFERROR(YEAR(A254),0)</f>
        <v>1899</v>
      </c>
      <c r="D254" s="32"/>
      <c r="E254" s="20" t="e">
        <f aca="false">IFERROR(D254/D253-1,NA())</f>
        <v>#N/A</v>
      </c>
      <c r="F254" s="20" t="e">
        <f aca="false">IFERROR(D254/D242-1,NA())</f>
        <v>#N/A</v>
      </c>
      <c r="G254" s="21" t="e">
        <f aca="false">IF(COUNT(D252:D254)=3,AVERAGE(D252:D254),NA())</f>
        <v>#N/A</v>
      </c>
      <c r="H254" s="20" t="e">
        <f aca="false">IFERROR(IF(AND(COUNT(D252:D254)=3,COUNT(D240:D242)=3),AVERAGE(D252:D254)/AVERAGE(D240:D242)-1,NA()),NA())</f>
        <v>#N/A</v>
      </c>
      <c r="I254" s="28" t="str">
        <f aca="false">IFERROR(YEAR(A254)&amp;"Q"&amp;CEILING(MONTH(A254)/3,1),"")</f>
        <v>1899Q4</v>
      </c>
    </row>
    <row r="255" customFormat="false" ht="15" hidden="false" customHeight="false" outlineLevel="0" collapsed="false">
      <c r="A255" s="27"/>
      <c r="B255" s="28" t="e">
        <f aca="false">IFERROR(IF(ISNUMBER(A255),TEXT(YEAR(A255)-2000,"00")&amp;TEXT(MONTH(A255),"00"),NA()),NA())</f>
        <v>#N/A</v>
      </c>
      <c r="C255" s="18" t="n">
        <f aca="false">IFERROR(YEAR(A255),0)</f>
        <v>1899</v>
      </c>
      <c r="D255" s="32"/>
      <c r="E255" s="20" t="e">
        <f aca="false">IFERROR(D255/D254-1,NA())</f>
        <v>#N/A</v>
      </c>
      <c r="F255" s="20" t="e">
        <f aca="false">IFERROR(D255/D243-1,NA())</f>
        <v>#N/A</v>
      </c>
      <c r="G255" s="21" t="e">
        <f aca="false">IF(COUNT(D253:D255)=3,AVERAGE(D253:D255),NA())</f>
        <v>#N/A</v>
      </c>
      <c r="H255" s="20" t="e">
        <f aca="false">IFERROR(IF(AND(COUNT(D253:D255)=3,COUNT(D241:D243)=3),AVERAGE(D253:D255)/AVERAGE(D241:D243)-1,NA()),NA())</f>
        <v>#N/A</v>
      </c>
      <c r="I255" s="28" t="str">
        <f aca="false">IFERROR(YEAR(A255)&amp;"Q"&amp;CEILING(MONTH(A255)/3,1),"")</f>
        <v>1899Q4</v>
      </c>
    </row>
    <row r="256" customFormat="false" ht="15" hidden="false" customHeight="false" outlineLevel="0" collapsed="false">
      <c r="A256" s="27"/>
      <c r="B256" s="28" t="e">
        <f aca="false">IFERROR(IF(ISNUMBER(A256),TEXT(YEAR(A256)-2000,"00")&amp;TEXT(MONTH(A256),"00"),NA()),NA())</f>
        <v>#N/A</v>
      </c>
      <c r="C256" s="18" t="n">
        <f aca="false">IFERROR(YEAR(A256),0)</f>
        <v>1899</v>
      </c>
      <c r="D256" s="32"/>
      <c r="E256" s="20" t="e">
        <f aca="false">IFERROR(D256/D255-1,NA())</f>
        <v>#N/A</v>
      </c>
      <c r="F256" s="20" t="e">
        <f aca="false">IFERROR(D256/D244-1,NA())</f>
        <v>#N/A</v>
      </c>
      <c r="G256" s="21" t="e">
        <f aca="false">IF(COUNT(D254:D256)=3,AVERAGE(D254:D256),NA())</f>
        <v>#N/A</v>
      </c>
      <c r="H256" s="20" t="e">
        <f aca="false">IFERROR(IF(AND(COUNT(D254:D256)=3,COUNT(D242:D244)=3),AVERAGE(D254:D256)/AVERAGE(D242:D244)-1,NA()),NA())</f>
        <v>#N/A</v>
      </c>
      <c r="I256" s="28" t="str">
        <f aca="false">IFERROR(YEAR(A256)&amp;"Q"&amp;CEILING(MONTH(A256)/3,1),"")</f>
        <v>1899Q4</v>
      </c>
    </row>
    <row r="257" customFormat="false" ht="15" hidden="false" customHeight="false" outlineLevel="0" collapsed="false">
      <c r="A257" s="27"/>
      <c r="B257" s="28" t="e">
        <f aca="false">IFERROR(IF(ISNUMBER(A257),TEXT(YEAR(A257)-2000,"00")&amp;TEXT(MONTH(A257),"00"),NA()),NA())</f>
        <v>#N/A</v>
      </c>
      <c r="C257" s="18" t="n">
        <f aca="false">IFERROR(YEAR(A257),0)</f>
        <v>1899</v>
      </c>
      <c r="D257" s="32"/>
      <c r="E257" s="20" t="e">
        <f aca="false">IFERROR(D257/D256-1,NA())</f>
        <v>#N/A</v>
      </c>
      <c r="F257" s="20" t="e">
        <f aca="false">IFERROR(D257/D245-1,NA())</f>
        <v>#N/A</v>
      </c>
      <c r="G257" s="21" t="e">
        <f aca="false">IF(COUNT(D255:D257)=3,AVERAGE(D255:D257),NA())</f>
        <v>#N/A</v>
      </c>
      <c r="H257" s="20" t="e">
        <f aca="false">IFERROR(IF(AND(COUNT(D255:D257)=3,COUNT(D243:D245)=3),AVERAGE(D255:D257)/AVERAGE(D243:D245)-1,NA()),NA())</f>
        <v>#N/A</v>
      </c>
      <c r="I257" s="28" t="str">
        <f aca="false">IFERROR(YEAR(A257)&amp;"Q"&amp;CEILING(MONTH(A257)/3,1),"")</f>
        <v>1899Q4</v>
      </c>
    </row>
    <row r="258" customFormat="false" ht="15" hidden="false" customHeight="false" outlineLevel="0" collapsed="false">
      <c r="A258" s="27"/>
      <c r="B258" s="28" t="e">
        <f aca="false">IFERROR(IF(ISNUMBER(A258),TEXT(YEAR(A258)-2000,"00")&amp;TEXT(MONTH(A258),"00"),NA()),NA())</f>
        <v>#N/A</v>
      </c>
      <c r="C258" s="18" t="n">
        <f aca="false">IFERROR(YEAR(A258),0)</f>
        <v>1899</v>
      </c>
      <c r="D258" s="32"/>
      <c r="E258" s="20" t="e">
        <f aca="false">IFERROR(D258/D257-1,NA())</f>
        <v>#N/A</v>
      </c>
      <c r="F258" s="20" t="e">
        <f aca="false">IFERROR(D258/D246-1,NA())</f>
        <v>#N/A</v>
      </c>
      <c r="G258" s="21" t="e">
        <f aca="false">IF(COUNT(D256:D258)=3,AVERAGE(D256:D258),NA())</f>
        <v>#N/A</v>
      </c>
      <c r="H258" s="20" t="e">
        <f aca="false">IFERROR(IF(AND(COUNT(D256:D258)=3,COUNT(D244:D246)=3),AVERAGE(D256:D258)/AVERAGE(D244:D246)-1,NA()),NA())</f>
        <v>#N/A</v>
      </c>
      <c r="I258" s="28" t="str">
        <f aca="false">IFERROR(YEAR(A258)&amp;"Q"&amp;CEILING(MONTH(A258)/3,1),"")</f>
        <v>1899Q4</v>
      </c>
    </row>
    <row r="259" customFormat="false" ht="15" hidden="false" customHeight="false" outlineLevel="0" collapsed="false">
      <c r="A259" s="27"/>
      <c r="B259" s="28" t="e">
        <f aca="false">IFERROR(IF(ISNUMBER(A259),TEXT(YEAR(A259)-2000,"00")&amp;TEXT(MONTH(A259),"00"),NA()),NA())</f>
        <v>#N/A</v>
      </c>
      <c r="C259" s="18" t="n">
        <f aca="false">IFERROR(YEAR(A259),0)</f>
        <v>1899</v>
      </c>
      <c r="D259" s="32"/>
      <c r="E259" s="20" t="e">
        <f aca="false">IFERROR(D259/D258-1,NA())</f>
        <v>#N/A</v>
      </c>
      <c r="F259" s="20" t="e">
        <f aca="false">IFERROR(D259/D247-1,NA())</f>
        <v>#N/A</v>
      </c>
      <c r="G259" s="21" t="e">
        <f aca="false">IF(COUNT(D257:D259)=3,AVERAGE(D257:D259),NA())</f>
        <v>#N/A</v>
      </c>
      <c r="H259" s="20" t="e">
        <f aca="false">IFERROR(IF(AND(COUNT(D257:D259)=3,COUNT(D245:D247)=3),AVERAGE(D257:D259)/AVERAGE(D245:D247)-1,NA()),NA())</f>
        <v>#N/A</v>
      </c>
      <c r="I259" s="28" t="str">
        <f aca="false">IFERROR(YEAR(A259)&amp;"Q"&amp;CEILING(MONTH(A259)/3,1),"")</f>
        <v>1899Q4</v>
      </c>
    </row>
    <row r="260" customFormat="false" ht="15" hidden="false" customHeight="false" outlineLevel="0" collapsed="false">
      <c r="A260" s="27"/>
      <c r="B260" s="28" t="e">
        <f aca="false">IFERROR(IF(ISNUMBER(A260),TEXT(YEAR(A260)-2000,"00")&amp;TEXT(MONTH(A260),"00"),NA()),NA())</f>
        <v>#N/A</v>
      </c>
      <c r="C260" s="18" t="n">
        <f aca="false">IFERROR(YEAR(A260),0)</f>
        <v>1899</v>
      </c>
      <c r="D260" s="32"/>
      <c r="E260" s="20" t="e">
        <f aca="false">IFERROR(D260/D259-1,NA())</f>
        <v>#N/A</v>
      </c>
      <c r="F260" s="20" t="e">
        <f aca="false">IFERROR(D260/D248-1,NA())</f>
        <v>#N/A</v>
      </c>
      <c r="G260" s="21" t="e">
        <f aca="false">IF(COUNT(D258:D260)=3,AVERAGE(D258:D260),NA())</f>
        <v>#N/A</v>
      </c>
      <c r="H260" s="20" t="e">
        <f aca="false">IFERROR(IF(AND(COUNT(D258:D260)=3,COUNT(D246:D248)=3),AVERAGE(D258:D260)/AVERAGE(D246:D248)-1,NA()),NA())</f>
        <v>#N/A</v>
      </c>
      <c r="I260" s="28" t="str">
        <f aca="false">IFERROR(YEAR(A260)&amp;"Q"&amp;CEILING(MONTH(A260)/3,1),"")</f>
        <v>1899Q4</v>
      </c>
    </row>
    <row r="261" customFormat="false" ht="15" hidden="false" customHeight="false" outlineLevel="0" collapsed="false">
      <c r="A261" s="27"/>
      <c r="B261" s="28" t="e">
        <f aca="false">IFERROR(IF(ISNUMBER(A261),TEXT(YEAR(A261)-2000,"00")&amp;TEXT(MONTH(A261),"00"),NA()),NA())</f>
        <v>#N/A</v>
      </c>
      <c r="C261" s="18" t="n">
        <f aca="false">IFERROR(YEAR(A261),0)</f>
        <v>1899</v>
      </c>
      <c r="D261" s="32"/>
      <c r="E261" s="20" t="e">
        <f aca="false">IFERROR(D261/D260-1,NA())</f>
        <v>#N/A</v>
      </c>
      <c r="F261" s="20" t="e">
        <f aca="false">IFERROR(D261/D249-1,NA())</f>
        <v>#N/A</v>
      </c>
      <c r="G261" s="21" t="e">
        <f aca="false">IF(COUNT(D259:D261)=3,AVERAGE(D259:D261),NA())</f>
        <v>#N/A</v>
      </c>
      <c r="H261" s="20" t="e">
        <f aca="false">IFERROR(IF(AND(COUNT(D259:D261)=3,COUNT(D247:D249)=3),AVERAGE(D259:D261)/AVERAGE(D247:D249)-1,NA()),NA())</f>
        <v>#N/A</v>
      </c>
      <c r="I261" s="28" t="str">
        <f aca="false">IFERROR(YEAR(A261)&amp;"Q"&amp;CEILING(MONTH(A261)/3,1),"")</f>
        <v>1899Q4</v>
      </c>
    </row>
    <row r="262" customFormat="false" ht="15" hidden="false" customHeight="false" outlineLevel="0" collapsed="false">
      <c r="A262" s="27"/>
      <c r="B262" s="28" t="e">
        <f aca="false">IFERROR(IF(ISNUMBER(A262),TEXT(YEAR(A262)-2000,"00")&amp;TEXT(MONTH(A262),"00"),NA()),NA())</f>
        <v>#N/A</v>
      </c>
      <c r="C262" s="18" t="n">
        <f aca="false">IFERROR(YEAR(A262),0)</f>
        <v>1899</v>
      </c>
      <c r="D262" s="32"/>
      <c r="E262" s="20" t="e">
        <f aca="false">IFERROR(D262/D261-1,NA())</f>
        <v>#N/A</v>
      </c>
      <c r="F262" s="20" t="e">
        <f aca="false">IFERROR(D262/D250-1,NA())</f>
        <v>#N/A</v>
      </c>
      <c r="G262" s="21" t="e">
        <f aca="false">IF(COUNT(D260:D262)=3,AVERAGE(D260:D262),NA())</f>
        <v>#N/A</v>
      </c>
      <c r="H262" s="20" t="e">
        <f aca="false">IFERROR(IF(AND(COUNT(D260:D262)=3,COUNT(D248:D250)=3),AVERAGE(D260:D262)/AVERAGE(D248:D250)-1,NA()),NA())</f>
        <v>#N/A</v>
      </c>
      <c r="I262" s="28" t="str">
        <f aca="false">IFERROR(YEAR(A262)&amp;"Q"&amp;CEILING(MONTH(A262)/3,1),"")</f>
        <v>1899Q4</v>
      </c>
    </row>
    <row r="263" customFormat="false" ht="15" hidden="false" customHeight="false" outlineLevel="0" collapsed="false">
      <c r="A263" s="27"/>
      <c r="B263" s="28" t="e">
        <f aca="false">IFERROR(IF(ISNUMBER(A263),TEXT(YEAR(A263)-2000,"00")&amp;TEXT(MONTH(A263),"00"),NA()),NA())</f>
        <v>#N/A</v>
      </c>
      <c r="C263" s="18" t="n">
        <f aca="false">IFERROR(YEAR(A263),0)</f>
        <v>1899</v>
      </c>
      <c r="D263" s="32"/>
      <c r="E263" s="20" t="e">
        <f aca="false">IFERROR(D263/D262-1,NA())</f>
        <v>#N/A</v>
      </c>
      <c r="F263" s="20" t="e">
        <f aca="false">IFERROR(D263/D251-1,NA())</f>
        <v>#N/A</v>
      </c>
      <c r="G263" s="21" t="e">
        <f aca="false">IF(COUNT(D261:D263)=3,AVERAGE(D261:D263),NA())</f>
        <v>#N/A</v>
      </c>
      <c r="H263" s="20" t="e">
        <f aca="false">IFERROR(IF(AND(COUNT(D261:D263)=3,COUNT(D249:D251)=3),AVERAGE(D261:D263)/AVERAGE(D249:D251)-1,NA()),NA())</f>
        <v>#N/A</v>
      </c>
      <c r="I263" s="28" t="str">
        <f aca="false">IFERROR(YEAR(A263)&amp;"Q"&amp;CEILING(MONTH(A263)/3,1),"")</f>
        <v>1899Q4</v>
      </c>
    </row>
    <row r="264" customFormat="false" ht="15" hidden="false" customHeight="false" outlineLevel="0" collapsed="false">
      <c r="A264" s="27"/>
      <c r="B264" s="28" t="e">
        <f aca="false">IFERROR(IF(ISNUMBER(A264),TEXT(YEAR(A264)-2000,"00")&amp;TEXT(MONTH(A264),"00"),NA()),NA())</f>
        <v>#N/A</v>
      </c>
      <c r="C264" s="18" t="n">
        <f aca="false">IFERROR(YEAR(A264),0)</f>
        <v>1899</v>
      </c>
      <c r="D264" s="32"/>
      <c r="E264" s="20" t="e">
        <f aca="false">IFERROR(D264/D263-1,NA())</f>
        <v>#N/A</v>
      </c>
      <c r="F264" s="20" t="e">
        <f aca="false">IFERROR(D264/D252-1,NA())</f>
        <v>#N/A</v>
      </c>
      <c r="G264" s="21" t="e">
        <f aca="false">IF(COUNT(D262:D264)=3,AVERAGE(D262:D264),NA())</f>
        <v>#N/A</v>
      </c>
      <c r="H264" s="20" t="e">
        <f aca="false">IFERROR(IF(AND(COUNT(D262:D264)=3,COUNT(D250:D252)=3),AVERAGE(D262:D264)/AVERAGE(D250:D252)-1,NA()),NA())</f>
        <v>#N/A</v>
      </c>
      <c r="I264" s="28" t="str">
        <f aca="false">IFERROR(YEAR(A264)&amp;"Q"&amp;CEILING(MONTH(A264)/3,1),"")</f>
        <v>1899Q4</v>
      </c>
    </row>
    <row r="265" customFormat="false" ht="15" hidden="false" customHeight="false" outlineLevel="0" collapsed="false">
      <c r="A265" s="27"/>
      <c r="B265" s="28" t="e">
        <f aca="false">IFERROR(IF(ISNUMBER(A265),TEXT(YEAR(A265)-2000,"00")&amp;TEXT(MONTH(A265),"00"),NA()),NA())</f>
        <v>#N/A</v>
      </c>
      <c r="C265" s="18" t="n">
        <f aca="false">IFERROR(YEAR(A265),0)</f>
        <v>1899</v>
      </c>
      <c r="D265" s="32"/>
      <c r="E265" s="20" t="e">
        <f aca="false">IFERROR(D265/D264-1,NA())</f>
        <v>#N/A</v>
      </c>
      <c r="F265" s="20" t="e">
        <f aca="false">IFERROR(D265/D253-1,NA())</f>
        <v>#N/A</v>
      </c>
      <c r="G265" s="21" t="e">
        <f aca="false">IF(COUNT(D263:D265)=3,AVERAGE(D263:D265),NA())</f>
        <v>#N/A</v>
      </c>
      <c r="H265" s="20" t="e">
        <f aca="false">IFERROR(IF(AND(COUNT(D263:D265)=3,COUNT(D251:D253)=3),AVERAGE(D263:D265)/AVERAGE(D251:D253)-1,NA()),NA())</f>
        <v>#N/A</v>
      </c>
      <c r="I265" s="28" t="str">
        <f aca="false">IFERROR(YEAR(A265)&amp;"Q"&amp;CEILING(MONTH(A265)/3,1),"")</f>
        <v>1899Q4</v>
      </c>
    </row>
    <row r="266" customFormat="false" ht="15" hidden="false" customHeight="false" outlineLevel="0" collapsed="false">
      <c r="A266" s="27"/>
      <c r="B266" s="28" t="e">
        <f aca="false">IFERROR(IF(ISNUMBER(A266),TEXT(YEAR(A266)-2000,"00")&amp;TEXT(MONTH(A266),"00"),NA()),NA())</f>
        <v>#N/A</v>
      </c>
      <c r="C266" s="18" t="n">
        <f aca="false">IFERROR(YEAR(A266),0)</f>
        <v>1899</v>
      </c>
      <c r="D266" s="32"/>
      <c r="E266" s="20" t="e">
        <f aca="false">IFERROR(D266/D265-1,NA())</f>
        <v>#N/A</v>
      </c>
      <c r="F266" s="20" t="e">
        <f aca="false">IFERROR(D266/D254-1,NA())</f>
        <v>#N/A</v>
      </c>
      <c r="G266" s="21" t="e">
        <f aca="false">IF(COUNT(D264:D266)=3,AVERAGE(D264:D266),NA())</f>
        <v>#N/A</v>
      </c>
      <c r="H266" s="20" t="e">
        <f aca="false">IFERROR(IF(AND(COUNT(D264:D266)=3,COUNT(D252:D254)=3),AVERAGE(D264:D266)/AVERAGE(D252:D254)-1,NA()),NA())</f>
        <v>#N/A</v>
      </c>
      <c r="I266" s="28" t="str">
        <f aca="false">IFERROR(YEAR(A266)&amp;"Q"&amp;CEILING(MONTH(A266)/3,1),"")</f>
        <v>1899Q4</v>
      </c>
    </row>
  </sheetData>
  <dataValidations count="2">
    <dataValidation allowBlank="false" errorStyle="stop" operator="between" showDropDown="false" showErrorMessage="false" showInputMessage="false" sqref="B10" type="list">
      <formula1>"Sum,Average,End of Period"</formula1>
      <formula2>0</formula2>
    </dataValidation>
    <dataValidation allowBlank="false" errorStyle="stop" operator="between" showDropDown="false" showErrorMessage="false" showInputMessage="false" sqref="B11" type="list">
      <formula1>"Sum,Average,End of Period"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19" min="2" style="0" width="13"/>
  </cols>
  <sheetData>
    <row r="1" customFormat="false" ht="17.35" hidden="false" customHeight="false" outlineLevel="0" collapsed="false">
      <c r="A1" s="1" t="s">
        <v>487</v>
      </c>
    </row>
    <row r="2" customFormat="false" ht="15" hidden="false" customHeight="false" outlineLevel="0" collapsed="false">
      <c r="A2" s="2" t="s">
        <v>488</v>
      </c>
    </row>
    <row r="4" customFormat="false" ht="15" hidden="false" customHeight="false" outlineLevel="0" collapsed="false">
      <c r="A4" s="4" t="s">
        <v>362</v>
      </c>
    </row>
    <row r="5" customFormat="false" ht="15" hidden="false" customHeight="false" outlineLevel="0" collapsed="false">
      <c r="A5" s="0" t="s">
        <v>363</v>
      </c>
      <c r="B5" s="26" t="s">
        <v>489</v>
      </c>
    </row>
    <row r="6" customFormat="false" ht="15" hidden="false" customHeight="false" outlineLevel="0" collapsed="false">
      <c r="A6" s="0" t="s">
        <v>365</v>
      </c>
      <c r="B6" s="26" t="s">
        <v>366</v>
      </c>
    </row>
    <row r="7" customFormat="false" ht="15" hidden="false" customHeight="false" outlineLevel="0" collapsed="false">
      <c r="A7" s="0" t="s">
        <v>367</v>
      </c>
      <c r="B7" s="26" t="s">
        <v>368</v>
      </c>
    </row>
    <row r="9" customFormat="false" ht="15" hidden="false" customHeight="false" outlineLevel="0" collapsed="false">
      <c r="A9" s="4" t="s">
        <v>312</v>
      </c>
    </row>
    <row r="10" customFormat="false" ht="15" hidden="false" customHeight="false" outlineLevel="0" collapsed="false">
      <c r="A10" s="0" t="s">
        <v>370</v>
      </c>
      <c r="B10" s="14" t="n">
        <v>0.05</v>
      </c>
    </row>
    <row r="11" customFormat="false" ht="15" hidden="false" customHeight="false" outlineLevel="0" collapsed="false">
      <c r="A11" s="4" t="s">
        <v>490</v>
      </c>
      <c r="B11" s="14" t="n">
        <v>0.04</v>
      </c>
      <c r="G11" s="4" t="s">
        <v>373</v>
      </c>
    </row>
    <row r="12" customFormat="false" ht="31.5" hidden="false" customHeight="true" outlineLevel="0" collapsed="false">
      <c r="A12" s="15" t="s">
        <v>329</v>
      </c>
      <c r="B12" s="15" t="s">
        <v>374</v>
      </c>
      <c r="C12" s="15" t="s">
        <v>376</v>
      </c>
      <c r="D12" s="15" t="s">
        <v>491</v>
      </c>
      <c r="E12" s="15" t="s">
        <v>492</v>
      </c>
      <c r="G12" s="15" t="s">
        <v>329</v>
      </c>
      <c r="H12" s="15" t="s">
        <v>378</v>
      </c>
      <c r="I12" s="15" t="s">
        <v>376</v>
      </c>
    </row>
    <row r="13" customFormat="false" ht="15" hidden="false" customHeight="false" outlineLevel="0" collapsed="false">
      <c r="A13" s="33"/>
      <c r="B13" s="32"/>
      <c r="C13" s="20" t="e">
        <f aca="false">NA()</f>
        <v>#N/A</v>
      </c>
      <c r="D13" s="21" t="e">
        <f aca="false">NA()</f>
        <v>#N/A</v>
      </c>
      <c r="E13" s="20" t="e">
        <f aca="false">NA()</f>
        <v>#N/A</v>
      </c>
      <c r="G13" s="30" t="e">
        <f aca="false">IFERROR(IFERROR(LOOKUP(2,1/ISNUMBER($B$13:$B$92),$A$13:$A$92),NA())+1,NA())</f>
        <v>#N/A</v>
      </c>
      <c r="H13" s="23" t="e">
        <f aca="false">IFERROR((IFERROR(INDEX($B$13:$B$92,MATCH(G13-1,$A$13:$A$92,0)),NA()))*(1+$B$10),NA())</f>
        <v>#N/A</v>
      </c>
      <c r="I13" s="31" t="n">
        <f aca="false">$B$10</f>
        <v>0.05</v>
      </c>
    </row>
    <row r="14" customFormat="false" ht="15" hidden="false" customHeight="false" outlineLevel="0" collapsed="false">
      <c r="A14" s="33"/>
      <c r="B14" s="32"/>
      <c r="C14" s="20" t="e">
        <f aca="false">IFERROR(B14/B13-1,NA())</f>
        <v>#N/A</v>
      </c>
      <c r="D14" s="21" t="e">
        <f aca="false">NA()</f>
        <v>#N/A</v>
      </c>
      <c r="E14" s="20" t="e">
        <f aca="false">NA()</f>
        <v>#N/A</v>
      </c>
      <c r="G14" s="30" t="e">
        <f aca="false">G13+1</f>
        <v>#N/A</v>
      </c>
      <c r="H14" s="23" t="e">
        <f aca="false">IFERROR(H13*(1+$B$11),NA())</f>
        <v>#N/A</v>
      </c>
      <c r="I14" s="31" t="n">
        <f aca="false">$B$11</f>
        <v>0.04</v>
      </c>
    </row>
    <row r="15" customFormat="false" ht="15" hidden="false" customHeight="false" outlineLevel="0" collapsed="false">
      <c r="A15" s="33"/>
      <c r="B15" s="32"/>
      <c r="C15" s="20" t="e">
        <f aca="false">IFERROR(B15/B14-1,NA())</f>
        <v>#N/A</v>
      </c>
      <c r="D15" s="21" t="e">
        <f aca="false">NA()</f>
        <v>#N/A</v>
      </c>
      <c r="E15" s="20" t="e">
        <f aca="false">NA()</f>
        <v>#N/A</v>
      </c>
    </row>
    <row r="16" customFormat="false" ht="15" hidden="false" customHeight="false" outlineLevel="0" collapsed="false">
      <c r="A16" s="33"/>
      <c r="B16" s="32"/>
      <c r="C16" s="20" t="e">
        <f aca="false">IFERROR(B16/B15-1,NA())</f>
        <v>#N/A</v>
      </c>
      <c r="D16" s="21" t="e">
        <f aca="false">NA()</f>
        <v>#N/A</v>
      </c>
      <c r="E16" s="20" t="e">
        <f aca="false">NA()</f>
        <v>#N/A</v>
      </c>
    </row>
    <row r="17" customFormat="false" ht="15" hidden="false" customHeight="false" outlineLevel="0" collapsed="false">
      <c r="A17" s="33"/>
      <c r="B17" s="32"/>
      <c r="C17" s="20" t="e">
        <f aca="false">IFERROR(B17/B16-1,NA())</f>
        <v>#N/A</v>
      </c>
      <c r="D17" s="21" t="e">
        <f aca="false">IF(COUNT(B13:B17)=5,AVERAGE(B13:B17),NA())</f>
        <v>#N/A</v>
      </c>
      <c r="E17" s="20" t="e">
        <f aca="false">IF(COUNT(C13:C17)=5,AVERAGE(C13:C17),NA())</f>
        <v>#N/A</v>
      </c>
    </row>
    <row r="18" customFormat="false" ht="15" hidden="false" customHeight="false" outlineLevel="0" collapsed="false">
      <c r="A18" s="33"/>
      <c r="B18" s="32"/>
      <c r="C18" s="20" t="e">
        <f aca="false">IFERROR(B18/B17-1,NA())</f>
        <v>#N/A</v>
      </c>
      <c r="D18" s="21" t="e">
        <f aca="false">IF(COUNT(B14:B18)=5,AVERAGE(B14:B18),NA())</f>
        <v>#N/A</v>
      </c>
      <c r="E18" s="20" t="e">
        <f aca="false">IF(COUNT(C14:C18)=5,AVERAGE(C14:C18),NA())</f>
        <v>#N/A</v>
      </c>
    </row>
    <row r="19" customFormat="false" ht="15" hidden="false" customHeight="false" outlineLevel="0" collapsed="false">
      <c r="A19" s="33"/>
      <c r="B19" s="32"/>
      <c r="C19" s="20" t="e">
        <f aca="false">IFERROR(B19/B18-1,NA())</f>
        <v>#N/A</v>
      </c>
      <c r="D19" s="21" t="e">
        <f aca="false">IF(COUNT(B15:B19)=5,AVERAGE(B15:B19),NA())</f>
        <v>#N/A</v>
      </c>
      <c r="E19" s="20" t="e">
        <f aca="false">IF(COUNT(C15:C19)=5,AVERAGE(C15:C19),NA())</f>
        <v>#N/A</v>
      </c>
    </row>
    <row r="20" customFormat="false" ht="15" hidden="false" customHeight="false" outlineLevel="0" collapsed="false">
      <c r="A20" s="33"/>
      <c r="B20" s="32"/>
      <c r="C20" s="20" t="e">
        <f aca="false">IFERROR(B20/B19-1,NA())</f>
        <v>#N/A</v>
      </c>
      <c r="D20" s="21" t="e">
        <f aca="false">IF(COUNT(B16:B20)=5,AVERAGE(B16:B20),NA())</f>
        <v>#N/A</v>
      </c>
      <c r="E20" s="20" t="e">
        <f aca="false">IF(COUNT(C16:C20)=5,AVERAGE(C16:C20),NA())</f>
        <v>#N/A</v>
      </c>
    </row>
    <row r="21" customFormat="false" ht="15" hidden="false" customHeight="false" outlineLevel="0" collapsed="false">
      <c r="A21" s="33"/>
      <c r="B21" s="32"/>
      <c r="C21" s="20" t="e">
        <f aca="false">IFERROR(B21/B20-1,NA())</f>
        <v>#N/A</v>
      </c>
      <c r="D21" s="21" t="e">
        <f aca="false">IF(COUNT(B17:B21)=5,AVERAGE(B17:B21),NA())</f>
        <v>#N/A</v>
      </c>
      <c r="E21" s="20" t="e">
        <f aca="false">IF(COUNT(C17:C21)=5,AVERAGE(C17:C21),NA())</f>
        <v>#N/A</v>
      </c>
    </row>
    <row r="22" customFormat="false" ht="15" hidden="false" customHeight="false" outlineLevel="0" collapsed="false">
      <c r="A22" s="33"/>
      <c r="B22" s="32"/>
      <c r="C22" s="20" t="e">
        <f aca="false">IFERROR(B22/B21-1,NA())</f>
        <v>#N/A</v>
      </c>
      <c r="D22" s="21" t="e">
        <f aca="false">IF(COUNT(B18:B22)=5,AVERAGE(B18:B22),NA())</f>
        <v>#N/A</v>
      </c>
      <c r="E22" s="20" t="e">
        <f aca="false">IF(COUNT(C18:C22)=5,AVERAGE(C18:C22),NA())</f>
        <v>#N/A</v>
      </c>
    </row>
    <row r="23" customFormat="false" ht="15" hidden="false" customHeight="false" outlineLevel="0" collapsed="false">
      <c r="A23" s="33"/>
      <c r="B23" s="32"/>
      <c r="C23" s="20" t="e">
        <f aca="false">IFERROR(B23/B22-1,NA())</f>
        <v>#N/A</v>
      </c>
      <c r="D23" s="21" t="e">
        <f aca="false">IF(COUNT(B19:B23)=5,AVERAGE(B19:B23),NA())</f>
        <v>#N/A</v>
      </c>
      <c r="E23" s="20" t="e">
        <f aca="false">IF(COUNT(C19:C23)=5,AVERAGE(C19:C23),NA())</f>
        <v>#N/A</v>
      </c>
    </row>
    <row r="24" customFormat="false" ht="15" hidden="false" customHeight="false" outlineLevel="0" collapsed="false">
      <c r="A24" s="33"/>
      <c r="B24" s="32"/>
      <c r="C24" s="20" t="e">
        <f aca="false">IFERROR(B24/B23-1,NA())</f>
        <v>#N/A</v>
      </c>
      <c r="D24" s="21" t="e">
        <f aca="false">IF(COUNT(B20:B24)=5,AVERAGE(B20:B24),NA())</f>
        <v>#N/A</v>
      </c>
      <c r="E24" s="20" t="e">
        <f aca="false">IF(COUNT(C20:C24)=5,AVERAGE(C20:C24),NA())</f>
        <v>#N/A</v>
      </c>
    </row>
    <row r="25" customFormat="false" ht="15" hidden="false" customHeight="false" outlineLevel="0" collapsed="false">
      <c r="A25" s="33"/>
      <c r="B25" s="32"/>
      <c r="C25" s="20" t="e">
        <f aca="false">IFERROR(B25/B24-1,NA())</f>
        <v>#N/A</v>
      </c>
      <c r="D25" s="21" t="e">
        <f aca="false">IF(COUNT(B21:B25)=5,AVERAGE(B21:B25),NA())</f>
        <v>#N/A</v>
      </c>
      <c r="E25" s="20" t="e">
        <f aca="false">IF(COUNT(C21:C25)=5,AVERAGE(C21:C25),NA())</f>
        <v>#N/A</v>
      </c>
    </row>
    <row r="26" customFormat="false" ht="15" hidden="false" customHeight="false" outlineLevel="0" collapsed="false">
      <c r="A26" s="33"/>
      <c r="B26" s="32"/>
      <c r="C26" s="20" t="e">
        <f aca="false">IFERROR(B26/B25-1,NA())</f>
        <v>#N/A</v>
      </c>
      <c r="D26" s="21" t="e">
        <f aca="false">IF(COUNT(B22:B26)=5,AVERAGE(B22:B26),NA())</f>
        <v>#N/A</v>
      </c>
      <c r="E26" s="20" t="e">
        <f aca="false">IF(COUNT(C22:C26)=5,AVERAGE(C22:C26),NA())</f>
        <v>#N/A</v>
      </c>
    </row>
    <row r="27" customFormat="false" ht="15" hidden="false" customHeight="false" outlineLevel="0" collapsed="false">
      <c r="A27" s="33"/>
      <c r="B27" s="32"/>
      <c r="C27" s="20" t="e">
        <f aca="false">IFERROR(B27/B26-1,NA())</f>
        <v>#N/A</v>
      </c>
      <c r="D27" s="21" t="e">
        <f aca="false">IF(COUNT(B23:B27)=5,AVERAGE(B23:B27),NA())</f>
        <v>#N/A</v>
      </c>
      <c r="E27" s="20" t="e">
        <f aca="false">IF(COUNT(C23:C27)=5,AVERAGE(C23:C27),NA())</f>
        <v>#N/A</v>
      </c>
    </row>
    <row r="28" customFormat="false" ht="15" hidden="false" customHeight="false" outlineLevel="0" collapsed="false">
      <c r="A28" s="33"/>
      <c r="B28" s="32"/>
      <c r="C28" s="20" t="e">
        <f aca="false">IFERROR(B28/B27-1,NA())</f>
        <v>#N/A</v>
      </c>
      <c r="D28" s="21" t="e">
        <f aca="false">IF(COUNT(B24:B28)=5,AVERAGE(B24:B28),NA())</f>
        <v>#N/A</v>
      </c>
      <c r="E28" s="20" t="e">
        <f aca="false">IF(COUNT(C24:C28)=5,AVERAGE(C24:C28),NA())</f>
        <v>#N/A</v>
      </c>
    </row>
    <row r="29" customFormat="false" ht="15" hidden="false" customHeight="false" outlineLevel="0" collapsed="false">
      <c r="A29" s="33"/>
      <c r="B29" s="32"/>
      <c r="C29" s="20" t="e">
        <f aca="false">IFERROR(B29/B28-1,NA())</f>
        <v>#N/A</v>
      </c>
      <c r="D29" s="21" t="e">
        <f aca="false">IF(COUNT(B25:B29)=5,AVERAGE(B25:B29),NA())</f>
        <v>#N/A</v>
      </c>
      <c r="E29" s="20" t="e">
        <f aca="false">IF(COUNT(C25:C29)=5,AVERAGE(C25:C29),NA())</f>
        <v>#N/A</v>
      </c>
    </row>
    <row r="30" customFormat="false" ht="15" hidden="false" customHeight="false" outlineLevel="0" collapsed="false">
      <c r="A30" s="33"/>
      <c r="B30" s="32"/>
      <c r="C30" s="20" t="e">
        <f aca="false">IFERROR(B30/B29-1,NA())</f>
        <v>#N/A</v>
      </c>
      <c r="D30" s="21" t="e">
        <f aca="false">IF(COUNT(B26:B30)=5,AVERAGE(B26:B30),NA())</f>
        <v>#N/A</v>
      </c>
      <c r="E30" s="20" t="e">
        <f aca="false">IF(COUNT(C26:C30)=5,AVERAGE(C26:C30),NA())</f>
        <v>#N/A</v>
      </c>
    </row>
    <row r="31" customFormat="false" ht="15" hidden="false" customHeight="false" outlineLevel="0" collapsed="false">
      <c r="A31" s="33"/>
      <c r="B31" s="32"/>
      <c r="C31" s="20" t="e">
        <f aca="false">IFERROR(B31/B30-1,NA())</f>
        <v>#N/A</v>
      </c>
      <c r="D31" s="21" t="e">
        <f aca="false">IF(COUNT(B27:B31)=5,AVERAGE(B27:B31),NA())</f>
        <v>#N/A</v>
      </c>
      <c r="E31" s="20" t="e">
        <f aca="false">IF(COUNT(C27:C31)=5,AVERAGE(C27:C31),NA())</f>
        <v>#N/A</v>
      </c>
    </row>
    <row r="32" customFormat="false" ht="15" hidden="false" customHeight="false" outlineLevel="0" collapsed="false">
      <c r="A32" s="33"/>
      <c r="B32" s="32"/>
      <c r="C32" s="20" t="e">
        <f aca="false">IFERROR(B32/B31-1,NA())</f>
        <v>#N/A</v>
      </c>
      <c r="D32" s="21" t="e">
        <f aca="false">IF(COUNT(B28:B32)=5,AVERAGE(B28:B32),NA())</f>
        <v>#N/A</v>
      </c>
      <c r="E32" s="20" t="e">
        <f aca="false">IF(COUNT(C28:C32)=5,AVERAGE(C28:C32),NA())</f>
        <v>#N/A</v>
      </c>
    </row>
    <row r="33" customFormat="false" ht="15" hidden="false" customHeight="false" outlineLevel="0" collapsed="false">
      <c r="A33" s="33"/>
      <c r="B33" s="32"/>
      <c r="C33" s="20" t="e">
        <f aca="false">IFERROR(B33/B32-1,NA())</f>
        <v>#N/A</v>
      </c>
      <c r="D33" s="21" t="e">
        <f aca="false">IF(COUNT(B29:B33)=5,AVERAGE(B29:B33),NA())</f>
        <v>#N/A</v>
      </c>
      <c r="E33" s="20" t="e">
        <f aca="false">IF(COUNT(C29:C33)=5,AVERAGE(C29:C33),NA())</f>
        <v>#N/A</v>
      </c>
    </row>
    <row r="34" customFormat="false" ht="15" hidden="false" customHeight="false" outlineLevel="0" collapsed="false">
      <c r="A34" s="33"/>
      <c r="B34" s="32"/>
      <c r="C34" s="20" t="e">
        <f aca="false">IFERROR(B34/B33-1,NA())</f>
        <v>#N/A</v>
      </c>
      <c r="D34" s="21" t="e">
        <f aca="false">IF(COUNT(B30:B34)=5,AVERAGE(B30:B34),NA())</f>
        <v>#N/A</v>
      </c>
      <c r="E34" s="20" t="e">
        <f aca="false">IF(COUNT(C30:C34)=5,AVERAGE(C30:C34),NA())</f>
        <v>#N/A</v>
      </c>
    </row>
    <row r="35" customFormat="false" ht="15" hidden="false" customHeight="false" outlineLevel="0" collapsed="false">
      <c r="A35" s="33"/>
      <c r="B35" s="32"/>
      <c r="C35" s="20" t="e">
        <f aca="false">IFERROR(B35/B34-1,NA())</f>
        <v>#N/A</v>
      </c>
      <c r="D35" s="21" t="e">
        <f aca="false">IF(COUNT(B31:B35)=5,AVERAGE(B31:B35),NA())</f>
        <v>#N/A</v>
      </c>
      <c r="E35" s="20" t="e">
        <f aca="false">IF(COUNT(C31:C35)=5,AVERAGE(C31:C35),NA())</f>
        <v>#N/A</v>
      </c>
    </row>
    <row r="36" customFormat="false" ht="15" hidden="false" customHeight="false" outlineLevel="0" collapsed="false">
      <c r="A36" s="33"/>
      <c r="B36" s="32"/>
      <c r="C36" s="20" t="e">
        <f aca="false">IFERROR(B36/B35-1,NA())</f>
        <v>#N/A</v>
      </c>
      <c r="D36" s="21" t="e">
        <f aca="false">IF(COUNT(B32:B36)=5,AVERAGE(B32:B36),NA())</f>
        <v>#N/A</v>
      </c>
      <c r="E36" s="20" t="e">
        <f aca="false">IF(COUNT(C32:C36)=5,AVERAGE(C32:C36),NA())</f>
        <v>#N/A</v>
      </c>
    </row>
    <row r="37" customFormat="false" ht="15" hidden="false" customHeight="false" outlineLevel="0" collapsed="false">
      <c r="A37" s="33"/>
      <c r="B37" s="32"/>
      <c r="C37" s="20" t="e">
        <f aca="false">IFERROR(B37/B36-1,NA())</f>
        <v>#N/A</v>
      </c>
      <c r="D37" s="21" t="e">
        <f aca="false">IF(COUNT(B33:B37)=5,AVERAGE(B33:B37),NA())</f>
        <v>#N/A</v>
      </c>
      <c r="E37" s="20" t="e">
        <f aca="false">IF(COUNT(C33:C37)=5,AVERAGE(C33:C37),NA())</f>
        <v>#N/A</v>
      </c>
    </row>
    <row r="38" customFormat="false" ht="15" hidden="false" customHeight="false" outlineLevel="0" collapsed="false">
      <c r="A38" s="33"/>
      <c r="B38" s="32"/>
      <c r="C38" s="20" t="e">
        <f aca="false">IFERROR(B38/B37-1,NA())</f>
        <v>#N/A</v>
      </c>
      <c r="D38" s="21" t="e">
        <f aca="false">IF(COUNT(B34:B38)=5,AVERAGE(B34:B38),NA())</f>
        <v>#N/A</v>
      </c>
      <c r="E38" s="20" t="e">
        <f aca="false">IF(COUNT(C34:C38)=5,AVERAGE(C34:C38),NA())</f>
        <v>#N/A</v>
      </c>
    </row>
    <row r="39" customFormat="false" ht="15" hidden="false" customHeight="false" outlineLevel="0" collapsed="false">
      <c r="A39" s="33"/>
      <c r="B39" s="32"/>
      <c r="C39" s="20" t="e">
        <f aca="false">IFERROR(B39/B38-1,NA())</f>
        <v>#N/A</v>
      </c>
      <c r="D39" s="21" t="e">
        <f aca="false">IF(COUNT(B35:B39)=5,AVERAGE(B35:B39),NA())</f>
        <v>#N/A</v>
      </c>
      <c r="E39" s="20" t="e">
        <f aca="false">IF(COUNT(C35:C39)=5,AVERAGE(C35:C39),NA())</f>
        <v>#N/A</v>
      </c>
    </row>
    <row r="40" customFormat="false" ht="15" hidden="false" customHeight="false" outlineLevel="0" collapsed="false">
      <c r="A40" s="33"/>
      <c r="B40" s="32"/>
      <c r="C40" s="20" t="e">
        <f aca="false">IFERROR(B40/B39-1,NA())</f>
        <v>#N/A</v>
      </c>
      <c r="D40" s="21" t="e">
        <f aca="false">IF(COUNT(B36:B40)=5,AVERAGE(B36:B40),NA())</f>
        <v>#N/A</v>
      </c>
      <c r="E40" s="20" t="e">
        <f aca="false">IF(COUNT(C36:C40)=5,AVERAGE(C36:C40),NA())</f>
        <v>#N/A</v>
      </c>
    </row>
    <row r="41" customFormat="false" ht="15" hidden="false" customHeight="false" outlineLevel="0" collapsed="false">
      <c r="A41" s="33"/>
      <c r="B41" s="32"/>
      <c r="C41" s="20" t="e">
        <f aca="false">IFERROR(B41/B40-1,NA())</f>
        <v>#N/A</v>
      </c>
      <c r="D41" s="21" t="e">
        <f aca="false">IF(COUNT(B37:B41)=5,AVERAGE(B37:B41),NA())</f>
        <v>#N/A</v>
      </c>
      <c r="E41" s="20" t="e">
        <f aca="false">IF(COUNT(C37:C41)=5,AVERAGE(C37:C41),NA())</f>
        <v>#N/A</v>
      </c>
    </row>
    <row r="42" customFormat="false" ht="15" hidden="false" customHeight="false" outlineLevel="0" collapsed="false">
      <c r="A42" s="33"/>
      <c r="B42" s="32"/>
      <c r="C42" s="20" t="e">
        <f aca="false">IFERROR(B42/B41-1,NA())</f>
        <v>#N/A</v>
      </c>
      <c r="D42" s="21" t="e">
        <f aca="false">IF(COUNT(B38:B42)=5,AVERAGE(B38:B42),NA())</f>
        <v>#N/A</v>
      </c>
      <c r="E42" s="20" t="e">
        <f aca="false">IF(COUNT(C38:C42)=5,AVERAGE(C38:C42),NA())</f>
        <v>#N/A</v>
      </c>
    </row>
    <row r="43" customFormat="false" ht="15" hidden="false" customHeight="false" outlineLevel="0" collapsed="false">
      <c r="A43" s="33"/>
      <c r="B43" s="32"/>
      <c r="C43" s="20" t="e">
        <f aca="false">IFERROR(B43/B42-1,NA())</f>
        <v>#N/A</v>
      </c>
      <c r="D43" s="21" t="e">
        <f aca="false">IF(COUNT(B39:B43)=5,AVERAGE(B39:B43),NA())</f>
        <v>#N/A</v>
      </c>
      <c r="E43" s="20" t="e">
        <f aca="false">IF(COUNT(C39:C43)=5,AVERAGE(C39:C43),NA())</f>
        <v>#N/A</v>
      </c>
    </row>
    <row r="44" customFormat="false" ht="15" hidden="false" customHeight="false" outlineLevel="0" collapsed="false">
      <c r="A44" s="33"/>
      <c r="B44" s="32"/>
      <c r="C44" s="20" t="e">
        <f aca="false">IFERROR(B44/B43-1,NA())</f>
        <v>#N/A</v>
      </c>
      <c r="D44" s="21" t="e">
        <f aca="false">IF(COUNT(B40:B44)=5,AVERAGE(B40:B44),NA())</f>
        <v>#N/A</v>
      </c>
      <c r="E44" s="20" t="e">
        <f aca="false">IF(COUNT(C40:C44)=5,AVERAGE(C40:C44),NA())</f>
        <v>#N/A</v>
      </c>
    </row>
    <row r="45" customFormat="false" ht="15" hidden="false" customHeight="false" outlineLevel="0" collapsed="false">
      <c r="A45" s="33"/>
      <c r="B45" s="32"/>
      <c r="C45" s="20" t="e">
        <f aca="false">IFERROR(B45/B44-1,NA())</f>
        <v>#N/A</v>
      </c>
      <c r="D45" s="21" t="e">
        <f aca="false">IF(COUNT(B41:B45)=5,AVERAGE(B41:B45),NA())</f>
        <v>#N/A</v>
      </c>
      <c r="E45" s="20" t="e">
        <f aca="false">IF(COUNT(C41:C45)=5,AVERAGE(C41:C45),NA())</f>
        <v>#N/A</v>
      </c>
    </row>
    <row r="46" customFormat="false" ht="15" hidden="false" customHeight="false" outlineLevel="0" collapsed="false">
      <c r="A46" s="33"/>
      <c r="B46" s="32"/>
      <c r="C46" s="20" t="e">
        <f aca="false">IFERROR(B46/B45-1,NA())</f>
        <v>#N/A</v>
      </c>
      <c r="D46" s="21" t="e">
        <f aca="false">IF(COUNT(B42:B46)=5,AVERAGE(B42:B46),NA())</f>
        <v>#N/A</v>
      </c>
      <c r="E46" s="20" t="e">
        <f aca="false">IF(COUNT(C42:C46)=5,AVERAGE(C42:C46),NA())</f>
        <v>#N/A</v>
      </c>
    </row>
    <row r="47" customFormat="false" ht="15" hidden="false" customHeight="false" outlineLevel="0" collapsed="false">
      <c r="A47" s="33"/>
      <c r="B47" s="32"/>
      <c r="C47" s="20" t="e">
        <f aca="false">IFERROR(B47/B46-1,NA())</f>
        <v>#N/A</v>
      </c>
      <c r="D47" s="21" t="e">
        <f aca="false">IF(COUNT(B43:B47)=5,AVERAGE(B43:B47),NA())</f>
        <v>#N/A</v>
      </c>
      <c r="E47" s="20" t="e">
        <f aca="false">IF(COUNT(C43:C47)=5,AVERAGE(C43:C47),NA())</f>
        <v>#N/A</v>
      </c>
    </row>
    <row r="48" customFormat="false" ht="15" hidden="false" customHeight="false" outlineLevel="0" collapsed="false">
      <c r="A48" s="33"/>
      <c r="B48" s="32"/>
      <c r="C48" s="20" t="e">
        <f aca="false">IFERROR(B48/B47-1,NA())</f>
        <v>#N/A</v>
      </c>
      <c r="D48" s="21" t="e">
        <f aca="false">IF(COUNT(B44:B48)=5,AVERAGE(B44:B48),NA())</f>
        <v>#N/A</v>
      </c>
      <c r="E48" s="20" t="e">
        <f aca="false">IF(COUNT(C44:C48)=5,AVERAGE(C44:C48),NA())</f>
        <v>#N/A</v>
      </c>
    </row>
    <row r="49" customFormat="false" ht="15" hidden="false" customHeight="false" outlineLevel="0" collapsed="false">
      <c r="A49" s="33"/>
      <c r="B49" s="32"/>
      <c r="C49" s="20" t="e">
        <f aca="false">IFERROR(B49/B48-1,NA())</f>
        <v>#N/A</v>
      </c>
      <c r="D49" s="21" t="e">
        <f aca="false">IF(COUNT(B45:B49)=5,AVERAGE(B45:B49),NA())</f>
        <v>#N/A</v>
      </c>
      <c r="E49" s="20" t="e">
        <f aca="false">IF(COUNT(C45:C49)=5,AVERAGE(C45:C49),NA())</f>
        <v>#N/A</v>
      </c>
    </row>
    <row r="50" customFormat="false" ht="15" hidden="false" customHeight="false" outlineLevel="0" collapsed="false">
      <c r="A50" s="33"/>
      <c r="B50" s="32"/>
      <c r="C50" s="20" t="e">
        <f aca="false">IFERROR(B50/B49-1,NA())</f>
        <v>#N/A</v>
      </c>
      <c r="D50" s="21" t="e">
        <f aca="false">IF(COUNT(B46:B50)=5,AVERAGE(B46:B50),NA())</f>
        <v>#N/A</v>
      </c>
      <c r="E50" s="20" t="e">
        <f aca="false">IF(COUNT(C46:C50)=5,AVERAGE(C46:C50),NA())</f>
        <v>#N/A</v>
      </c>
    </row>
    <row r="51" customFormat="false" ht="15" hidden="false" customHeight="false" outlineLevel="0" collapsed="false">
      <c r="A51" s="33"/>
      <c r="B51" s="32"/>
      <c r="C51" s="20" t="e">
        <f aca="false">IFERROR(B51/B50-1,NA())</f>
        <v>#N/A</v>
      </c>
      <c r="D51" s="21" t="e">
        <f aca="false">IF(COUNT(B47:B51)=5,AVERAGE(B47:B51),NA())</f>
        <v>#N/A</v>
      </c>
      <c r="E51" s="20" t="e">
        <f aca="false">IF(COUNT(C47:C51)=5,AVERAGE(C47:C51),NA())</f>
        <v>#N/A</v>
      </c>
    </row>
    <row r="52" customFormat="false" ht="15" hidden="false" customHeight="false" outlineLevel="0" collapsed="false">
      <c r="A52" s="33"/>
      <c r="B52" s="32"/>
      <c r="C52" s="20" t="e">
        <f aca="false">IFERROR(B52/B51-1,NA())</f>
        <v>#N/A</v>
      </c>
      <c r="D52" s="21" t="e">
        <f aca="false">IF(COUNT(B48:B52)=5,AVERAGE(B48:B52),NA())</f>
        <v>#N/A</v>
      </c>
      <c r="E52" s="20" t="e">
        <f aca="false">IF(COUNT(C48:C52)=5,AVERAGE(C48:C52),NA())</f>
        <v>#N/A</v>
      </c>
    </row>
    <row r="53" customFormat="false" ht="15" hidden="false" customHeight="false" outlineLevel="0" collapsed="false">
      <c r="A53" s="33"/>
      <c r="B53" s="32"/>
      <c r="C53" s="20" t="e">
        <f aca="false">IFERROR(B53/B52-1,NA())</f>
        <v>#N/A</v>
      </c>
      <c r="D53" s="21" t="e">
        <f aca="false">IF(COUNT(B49:B53)=5,AVERAGE(B49:B53),NA())</f>
        <v>#N/A</v>
      </c>
      <c r="E53" s="20" t="e">
        <f aca="false">IF(COUNT(C49:C53)=5,AVERAGE(C49:C53),NA())</f>
        <v>#N/A</v>
      </c>
    </row>
    <row r="54" customFormat="false" ht="15" hidden="false" customHeight="false" outlineLevel="0" collapsed="false">
      <c r="A54" s="33"/>
      <c r="B54" s="32"/>
      <c r="C54" s="20" t="e">
        <f aca="false">IFERROR(B54/B53-1,NA())</f>
        <v>#N/A</v>
      </c>
      <c r="D54" s="21" t="e">
        <f aca="false">IF(COUNT(B50:B54)=5,AVERAGE(B50:B54),NA())</f>
        <v>#N/A</v>
      </c>
      <c r="E54" s="20" t="e">
        <f aca="false">IF(COUNT(C50:C54)=5,AVERAGE(C50:C54),NA())</f>
        <v>#N/A</v>
      </c>
    </row>
    <row r="55" customFormat="false" ht="15" hidden="false" customHeight="false" outlineLevel="0" collapsed="false">
      <c r="A55" s="33"/>
      <c r="B55" s="32"/>
      <c r="C55" s="20" t="e">
        <f aca="false">IFERROR(B55/B54-1,NA())</f>
        <v>#N/A</v>
      </c>
      <c r="D55" s="21" t="e">
        <f aca="false">IF(COUNT(B51:B55)=5,AVERAGE(B51:B55),NA())</f>
        <v>#N/A</v>
      </c>
      <c r="E55" s="20" t="e">
        <f aca="false">IF(COUNT(C51:C55)=5,AVERAGE(C51:C55),NA())</f>
        <v>#N/A</v>
      </c>
    </row>
    <row r="56" customFormat="false" ht="15" hidden="false" customHeight="false" outlineLevel="0" collapsed="false">
      <c r="A56" s="33"/>
      <c r="B56" s="32"/>
      <c r="C56" s="20" t="e">
        <f aca="false">IFERROR(B56/B55-1,NA())</f>
        <v>#N/A</v>
      </c>
      <c r="D56" s="21" t="e">
        <f aca="false">IF(COUNT(B52:B56)=5,AVERAGE(B52:B56),NA())</f>
        <v>#N/A</v>
      </c>
      <c r="E56" s="20" t="e">
        <f aca="false">IF(COUNT(C52:C56)=5,AVERAGE(C52:C56),NA())</f>
        <v>#N/A</v>
      </c>
    </row>
    <row r="57" customFormat="false" ht="15" hidden="false" customHeight="false" outlineLevel="0" collapsed="false">
      <c r="A57" s="33"/>
      <c r="B57" s="32"/>
      <c r="C57" s="20" t="e">
        <f aca="false">IFERROR(B57/B56-1,NA())</f>
        <v>#N/A</v>
      </c>
      <c r="D57" s="21" t="e">
        <f aca="false">IF(COUNT(B53:B57)=5,AVERAGE(B53:B57),NA())</f>
        <v>#N/A</v>
      </c>
      <c r="E57" s="20" t="e">
        <f aca="false">IF(COUNT(C53:C57)=5,AVERAGE(C53:C57),NA())</f>
        <v>#N/A</v>
      </c>
    </row>
    <row r="58" customFormat="false" ht="15" hidden="false" customHeight="false" outlineLevel="0" collapsed="false">
      <c r="A58" s="33"/>
      <c r="B58" s="32"/>
      <c r="C58" s="20" t="e">
        <f aca="false">IFERROR(B58/B57-1,NA())</f>
        <v>#N/A</v>
      </c>
      <c r="D58" s="21" t="e">
        <f aca="false">IF(COUNT(B54:B58)=5,AVERAGE(B54:B58),NA())</f>
        <v>#N/A</v>
      </c>
      <c r="E58" s="20" t="e">
        <f aca="false">IF(COUNT(C54:C58)=5,AVERAGE(C54:C58),NA())</f>
        <v>#N/A</v>
      </c>
    </row>
    <row r="59" customFormat="false" ht="15" hidden="false" customHeight="false" outlineLevel="0" collapsed="false">
      <c r="A59" s="33"/>
      <c r="B59" s="32"/>
      <c r="C59" s="20" t="e">
        <f aca="false">IFERROR(B59/B58-1,NA())</f>
        <v>#N/A</v>
      </c>
      <c r="D59" s="21" t="e">
        <f aca="false">IF(COUNT(B55:B59)=5,AVERAGE(B55:B59),NA())</f>
        <v>#N/A</v>
      </c>
      <c r="E59" s="20" t="e">
        <f aca="false">IF(COUNT(C55:C59)=5,AVERAGE(C55:C59),NA())</f>
        <v>#N/A</v>
      </c>
    </row>
    <row r="60" customFormat="false" ht="15" hidden="false" customHeight="false" outlineLevel="0" collapsed="false">
      <c r="A60" s="33"/>
      <c r="B60" s="32"/>
      <c r="C60" s="20" t="e">
        <f aca="false">IFERROR(B60/B59-1,NA())</f>
        <v>#N/A</v>
      </c>
      <c r="D60" s="21" t="e">
        <f aca="false">IF(COUNT(B56:B60)=5,AVERAGE(B56:B60),NA())</f>
        <v>#N/A</v>
      </c>
      <c r="E60" s="20" t="e">
        <f aca="false">IF(COUNT(C56:C60)=5,AVERAGE(C56:C60),NA())</f>
        <v>#N/A</v>
      </c>
    </row>
    <row r="61" customFormat="false" ht="15" hidden="false" customHeight="false" outlineLevel="0" collapsed="false">
      <c r="A61" s="33"/>
      <c r="B61" s="32"/>
      <c r="C61" s="20" t="e">
        <f aca="false">IFERROR(B61/B60-1,NA())</f>
        <v>#N/A</v>
      </c>
      <c r="D61" s="21" t="e">
        <f aca="false">IF(COUNT(B57:B61)=5,AVERAGE(B57:B61),NA())</f>
        <v>#N/A</v>
      </c>
      <c r="E61" s="20" t="e">
        <f aca="false">IF(COUNT(C57:C61)=5,AVERAGE(C57:C61),NA())</f>
        <v>#N/A</v>
      </c>
    </row>
    <row r="62" customFormat="false" ht="15" hidden="false" customHeight="false" outlineLevel="0" collapsed="false">
      <c r="A62" s="33"/>
      <c r="B62" s="32"/>
      <c r="C62" s="20" t="e">
        <f aca="false">IFERROR(B62/B61-1,NA())</f>
        <v>#N/A</v>
      </c>
      <c r="D62" s="21" t="e">
        <f aca="false">IF(COUNT(B58:B62)=5,AVERAGE(B58:B62),NA())</f>
        <v>#N/A</v>
      </c>
      <c r="E62" s="20" t="e">
        <f aca="false">IF(COUNT(C58:C62)=5,AVERAGE(C58:C62),NA())</f>
        <v>#N/A</v>
      </c>
    </row>
    <row r="63" customFormat="false" ht="15" hidden="false" customHeight="false" outlineLevel="0" collapsed="false">
      <c r="A63" s="33"/>
      <c r="B63" s="32"/>
      <c r="C63" s="20" t="e">
        <f aca="false">IFERROR(B63/B62-1,NA())</f>
        <v>#N/A</v>
      </c>
      <c r="D63" s="21" t="e">
        <f aca="false">IF(COUNT(B59:B63)=5,AVERAGE(B59:B63),NA())</f>
        <v>#N/A</v>
      </c>
      <c r="E63" s="20" t="e">
        <f aca="false">IF(COUNT(C59:C63)=5,AVERAGE(C59:C63),NA())</f>
        <v>#N/A</v>
      </c>
    </row>
    <row r="64" customFormat="false" ht="15" hidden="false" customHeight="false" outlineLevel="0" collapsed="false">
      <c r="A64" s="33"/>
      <c r="B64" s="32"/>
      <c r="C64" s="20" t="e">
        <f aca="false">IFERROR(B64/B63-1,NA())</f>
        <v>#N/A</v>
      </c>
      <c r="D64" s="21" t="e">
        <f aca="false">IF(COUNT(B60:B64)=5,AVERAGE(B60:B64),NA())</f>
        <v>#N/A</v>
      </c>
      <c r="E64" s="20" t="e">
        <f aca="false">IF(COUNT(C60:C64)=5,AVERAGE(C60:C64),NA())</f>
        <v>#N/A</v>
      </c>
    </row>
    <row r="65" customFormat="false" ht="15" hidden="false" customHeight="false" outlineLevel="0" collapsed="false">
      <c r="A65" s="33"/>
      <c r="B65" s="32"/>
      <c r="C65" s="20" t="e">
        <f aca="false">IFERROR(B65/B64-1,NA())</f>
        <v>#N/A</v>
      </c>
      <c r="D65" s="21" t="e">
        <f aca="false">IF(COUNT(B61:B65)=5,AVERAGE(B61:B65),NA())</f>
        <v>#N/A</v>
      </c>
      <c r="E65" s="20" t="e">
        <f aca="false">IF(COUNT(C61:C65)=5,AVERAGE(C61:C65),NA())</f>
        <v>#N/A</v>
      </c>
    </row>
    <row r="66" customFormat="false" ht="15" hidden="false" customHeight="false" outlineLevel="0" collapsed="false">
      <c r="A66" s="33"/>
      <c r="B66" s="32"/>
      <c r="C66" s="20" t="e">
        <f aca="false">IFERROR(B66/B65-1,NA())</f>
        <v>#N/A</v>
      </c>
      <c r="D66" s="21" t="e">
        <f aca="false">IF(COUNT(B62:B66)=5,AVERAGE(B62:B66),NA())</f>
        <v>#N/A</v>
      </c>
      <c r="E66" s="20" t="e">
        <f aca="false">IF(COUNT(C62:C66)=5,AVERAGE(C62:C66),NA())</f>
        <v>#N/A</v>
      </c>
    </row>
    <row r="67" customFormat="false" ht="15" hidden="false" customHeight="false" outlineLevel="0" collapsed="false">
      <c r="A67" s="33"/>
      <c r="B67" s="32"/>
      <c r="C67" s="20" t="e">
        <f aca="false">IFERROR(B67/B66-1,NA())</f>
        <v>#N/A</v>
      </c>
      <c r="D67" s="21" t="e">
        <f aca="false">IF(COUNT(B63:B67)=5,AVERAGE(B63:B67),NA())</f>
        <v>#N/A</v>
      </c>
      <c r="E67" s="20" t="e">
        <f aca="false">IF(COUNT(C63:C67)=5,AVERAGE(C63:C67),NA())</f>
        <v>#N/A</v>
      </c>
    </row>
    <row r="68" customFormat="false" ht="15" hidden="false" customHeight="false" outlineLevel="0" collapsed="false">
      <c r="A68" s="33"/>
      <c r="B68" s="32"/>
      <c r="C68" s="20" t="e">
        <f aca="false">IFERROR(B68/B67-1,NA())</f>
        <v>#N/A</v>
      </c>
      <c r="D68" s="21" t="e">
        <f aca="false">IF(COUNT(B64:B68)=5,AVERAGE(B64:B68),NA())</f>
        <v>#N/A</v>
      </c>
      <c r="E68" s="20" t="e">
        <f aca="false">IF(COUNT(C64:C68)=5,AVERAGE(C64:C68),NA())</f>
        <v>#N/A</v>
      </c>
    </row>
    <row r="69" customFormat="false" ht="15" hidden="false" customHeight="false" outlineLevel="0" collapsed="false">
      <c r="A69" s="33"/>
      <c r="B69" s="32"/>
      <c r="C69" s="20" t="e">
        <f aca="false">IFERROR(B69/B68-1,NA())</f>
        <v>#N/A</v>
      </c>
      <c r="D69" s="21" t="e">
        <f aca="false">IF(COUNT(B65:B69)=5,AVERAGE(B65:B69),NA())</f>
        <v>#N/A</v>
      </c>
      <c r="E69" s="20" t="e">
        <f aca="false">IF(COUNT(C65:C69)=5,AVERAGE(C65:C69),NA())</f>
        <v>#N/A</v>
      </c>
    </row>
    <row r="70" customFormat="false" ht="15" hidden="false" customHeight="false" outlineLevel="0" collapsed="false">
      <c r="A70" s="33"/>
      <c r="B70" s="32"/>
      <c r="C70" s="20" t="e">
        <f aca="false">IFERROR(B70/B69-1,NA())</f>
        <v>#N/A</v>
      </c>
      <c r="D70" s="21" t="e">
        <f aca="false">IF(COUNT(B66:B70)=5,AVERAGE(B66:B70),NA())</f>
        <v>#N/A</v>
      </c>
      <c r="E70" s="20" t="e">
        <f aca="false">IF(COUNT(C66:C70)=5,AVERAGE(C66:C70),NA())</f>
        <v>#N/A</v>
      </c>
    </row>
    <row r="71" customFormat="false" ht="15" hidden="false" customHeight="false" outlineLevel="0" collapsed="false">
      <c r="A71" s="33"/>
      <c r="B71" s="32"/>
      <c r="C71" s="20" t="e">
        <f aca="false">IFERROR(B71/B70-1,NA())</f>
        <v>#N/A</v>
      </c>
      <c r="D71" s="21" t="e">
        <f aca="false">IF(COUNT(B67:B71)=5,AVERAGE(B67:B71),NA())</f>
        <v>#N/A</v>
      </c>
      <c r="E71" s="20" t="e">
        <f aca="false">IF(COUNT(C67:C71)=5,AVERAGE(C67:C71),NA())</f>
        <v>#N/A</v>
      </c>
    </row>
    <row r="72" customFormat="false" ht="15" hidden="false" customHeight="false" outlineLevel="0" collapsed="false">
      <c r="A72" s="33"/>
      <c r="B72" s="32"/>
      <c r="C72" s="20" t="e">
        <f aca="false">IFERROR(B72/B71-1,NA())</f>
        <v>#N/A</v>
      </c>
      <c r="D72" s="21" t="e">
        <f aca="false">IF(COUNT(B68:B72)=5,AVERAGE(B68:B72),NA())</f>
        <v>#N/A</v>
      </c>
      <c r="E72" s="20" t="e">
        <f aca="false">IF(COUNT(C68:C72)=5,AVERAGE(C68:C72),NA())</f>
        <v>#N/A</v>
      </c>
    </row>
    <row r="73" customFormat="false" ht="15" hidden="false" customHeight="false" outlineLevel="0" collapsed="false">
      <c r="A73" s="33"/>
      <c r="B73" s="32"/>
      <c r="C73" s="20" t="e">
        <f aca="false">IFERROR(B73/B72-1,NA())</f>
        <v>#N/A</v>
      </c>
      <c r="D73" s="21" t="e">
        <f aca="false">IF(COUNT(B69:B73)=5,AVERAGE(B69:B73),NA())</f>
        <v>#N/A</v>
      </c>
      <c r="E73" s="20" t="e">
        <f aca="false">IF(COUNT(C69:C73)=5,AVERAGE(C69:C73),NA())</f>
        <v>#N/A</v>
      </c>
    </row>
    <row r="74" customFormat="false" ht="15" hidden="false" customHeight="false" outlineLevel="0" collapsed="false">
      <c r="A74" s="33"/>
      <c r="B74" s="32"/>
      <c r="C74" s="20" t="e">
        <f aca="false">IFERROR(B74/B73-1,NA())</f>
        <v>#N/A</v>
      </c>
      <c r="D74" s="21" t="e">
        <f aca="false">IF(COUNT(B70:B74)=5,AVERAGE(B70:B74),NA())</f>
        <v>#N/A</v>
      </c>
      <c r="E74" s="20" t="e">
        <f aca="false">IF(COUNT(C70:C74)=5,AVERAGE(C70:C74),NA())</f>
        <v>#N/A</v>
      </c>
    </row>
    <row r="75" customFormat="false" ht="15" hidden="false" customHeight="false" outlineLevel="0" collapsed="false">
      <c r="A75" s="33"/>
      <c r="B75" s="32"/>
      <c r="C75" s="20" t="e">
        <f aca="false">IFERROR(B75/B74-1,NA())</f>
        <v>#N/A</v>
      </c>
      <c r="D75" s="21" t="e">
        <f aca="false">IF(COUNT(B71:B75)=5,AVERAGE(B71:B75),NA())</f>
        <v>#N/A</v>
      </c>
      <c r="E75" s="20" t="e">
        <f aca="false">IF(COUNT(C71:C75)=5,AVERAGE(C71:C75),NA())</f>
        <v>#N/A</v>
      </c>
    </row>
    <row r="76" customFormat="false" ht="15" hidden="false" customHeight="false" outlineLevel="0" collapsed="false">
      <c r="A76" s="33"/>
      <c r="B76" s="32"/>
      <c r="C76" s="20" t="e">
        <f aca="false">IFERROR(B76/B75-1,NA())</f>
        <v>#N/A</v>
      </c>
      <c r="D76" s="21" t="e">
        <f aca="false">IF(COUNT(B72:B76)=5,AVERAGE(B72:B76),NA())</f>
        <v>#N/A</v>
      </c>
      <c r="E76" s="20" t="e">
        <f aca="false">IF(COUNT(C72:C76)=5,AVERAGE(C72:C76),NA())</f>
        <v>#N/A</v>
      </c>
    </row>
    <row r="77" customFormat="false" ht="15" hidden="false" customHeight="false" outlineLevel="0" collapsed="false">
      <c r="A77" s="33"/>
      <c r="B77" s="32"/>
      <c r="C77" s="20" t="e">
        <f aca="false">IFERROR(B77/B76-1,NA())</f>
        <v>#N/A</v>
      </c>
      <c r="D77" s="21" t="e">
        <f aca="false">IF(COUNT(B73:B77)=5,AVERAGE(B73:B77),NA())</f>
        <v>#N/A</v>
      </c>
      <c r="E77" s="20" t="e">
        <f aca="false">IF(COUNT(C73:C77)=5,AVERAGE(C73:C77),NA())</f>
        <v>#N/A</v>
      </c>
    </row>
    <row r="78" customFormat="false" ht="15" hidden="false" customHeight="false" outlineLevel="0" collapsed="false">
      <c r="A78" s="33"/>
      <c r="B78" s="32"/>
      <c r="C78" s="20" t="e">
        <f aca="false">IFERROR(B78/B77-1,NA())</f>
        <v>#N/A</v>
      </c>
      <c r="D78" s="21" t="e">
        <f aca="false">IF(COUNT(B74:B78)=5,AVERAGE(B74:B78),NA())</f>
        <v>#N/A</v>
      </c>
      <c r="E78" s="20" t="e">
        <f aca="false">IF(COUNT(C74:C78)=5,AVERAGE(C74:C78),NA())</f>
        <v>#N/A</v>
      </c>
    </row>
    <row r="79" customFormat="false" ht="15" hidden="false" customHeight="false" outlineLevel="0" collapsed="false">
      <c r="A79" s="33"/>
      <c r="B79" s="32"/>
      <c r="C79" s="20" t="e">
        <f aca="false">IFERROR(B79/B78-1,NA())</f>
        <v>#N/A</v>
      </c>
      <c r="D79" s="21" t="e">
        <f aca="false">IF(COUNT(B75:B79)=5,AVERAGE(B75:B79),NA())</f>
        <v>#N/A</v>
      </c>
      <c r="E79" s="20" t="e">
        <f aca="false">IF(COUNT(C75:C79)=5,AVERAGE(C75:C79),NA())</f>
        <v>#N/A</v>
      </c>
    </row>
    <row r="80" customFormat="false" ht="15" hidden="false" customHeight="false" outlineLevel="0" collapsed="false">
      <c r="A80" s="33"/>
      <c r="B80" s="32"/>
      <c r="C80" s="20" t="e">
        <f aca="false">IFERROR(B80/B79-1,NA())</f>
        <v>#N/A</v>
      </c>
      <c r="D80" s="21" t="e">
        <f aca="false">IF(COUNT(B76:B80)=5,AVERAGE(B76:B80),NA())</f>
        <v>#N/A</v>
      </c>
      <c r="E80" s="20" t="e">
        <f aca="false">IF(COUNT(C76:C80)=5,AVERAGE(C76:C80),NA())</f>
        <v>#N/A</v>
      </c>
    </row>
    <row r="81" customFormat="false" ht="15" hidden="false" customHeight="false" outlineLevel="0" collapsed="false">
      <c r="A81" s="33"/>
      <c r="B81" s="32"/>
      <c r="C81" s="20" t="e">
        <f aca="false">IFERROR(B81/B80-1,NA())</f>
        <v>#N/A</v>
      </c>
      <c r="D81" s="21" t="e">
        <f aca="false">IF(COUNT(B77:B81)=5,AVERAGE(B77:B81),NA())</f>
        <v>#N/A</v>
      </c>
      <c r="E81" s="20" t="e">
        <f aca="false">IF(COUNT(C77:C81)=5,AVERAGE(C77:C81),NA())</f>
        <v>#N/A</v>
      </c>
    </row>
    <row r="82" customFormat="false" ht="15" hidden="false" customHeight="false" outlineLevel="0" collapsed="false">
      <c r="A82" s="33"/>
      <c r="B82" s="32"/>
      <c r="C82" s="20" t="e">
        <f aca="false">IFERROR(B82/B81-1,NA())</f>
        <v>#N/A</v>
      </c>
      <c r="D82" s="21" t="e">
        <f aca="false">IF(COUNT(B78:B82)=5,AVERAGE(B78:B82),NA())</f>
        <v>#N/A</v>
      </c>
      <c r="E82" s="20" t="e">
        <f aca="false">IF(COUNT(C78:C82)=5,AVERAGE(C78:C82),NA())</f>
        <v>#N/A</v>
      </c>
    </row>
    <row r="83" customFormat="false" ht="15" hidden="false" customHeight="false" outlineLevel="0" collapsed="false">
      <c r="A83" s="33"/>
      <c r="B83" s="32"/>
      <c r="C83" s="20" t="e">
        <f aca="false">IFERROR(B83/B82-1,NA())</f>
        <v>#N/A</v>
      </c>
      <c r="D83" s="21" t="e">
        <f aca="false">IF(COUNT(B79:B83)=5,AVERAGE(B79:B83),NA())</f>
        <v>#N/A</v>
      </c>
      <c r="E83" s="20" t="e">
        <f aca="false">IF(COUNT(C79:C83)=5,AVERAGE(C79:C83),NA())</f>
        <v>#N/A</v>
      </c>
    </row>
    <row r="84" customFormat="false" ht="15" hidden="false" customHeight="false" outlineLevel="0" collapsed="false">
      <c r="A84" s="33"/>
      <c r="B84" s="32"/>
      <c r="C84" s="20" t="e">
        <f aca="false">IFERROR(B84/B83-1,NA())</f>
        <v>#N/A</v>
      </c>
      <c r="D84" s="21" t="e">
        <f aca="false">IF(COUNT(B80:B84)=5,AVERAGE(B80:B84),NA())</f>
        <v>#N/A</v>
      </c>
      <c r="E84" s="20" t="e">
        <f aca="false">IF(COUNT(C80:C84)=5,AVERAGE(C80:C84),NA())</f>
        <v>#N/A</v>
      </c>
    </row>
    <row r="85" customFormat="false" ht="15" hidden="false" customHeight="false" outlineLevel="0" collapsed="false">
      <c r="A85" s="33"/>
      <c r="B85" s="32"/>
      <c r="C85" s="20" t="e">
        <f aca="false">IFERROR(B85/B84-1,NA())</f>
        <v>#N/A</v>
      </c>
      <c r="D85" s="21" t="e">
        <f aca="false">IF(COUNT(B81:B85)=5,AVERAGE(B81:B85),NA())</f>
        <v>#N/A</v>
      </c>
      <c r="E85" s="20" t="e">
        <f aca="false">IF(COUNT(C81:C85)=5,AVERAGE(C81:C85),NA())</f>
        <v>#N/A</v>
      </c>
    </row>
    <row r="86" customFormat="false" ht="15" hidden="false" customHeight="false" outlineLevel="0" collapsed="false">
      <c r="A86" s="33"/>
      <c r="B86" s="32"/>
      <c r="C86" s="20" t="e">
        <f aca="false">IFERROR(B86/B85-1,NA())</f>
        <v>#N/A</v>
      </c>
      <c r="D86" s="21" t="e">
        <f aca="false">IF(COUNT(B82:B86)=5,AVERAGE(B82:B86),NA())</f>
        <v>#N/A</v>
      </c>
      <c r="E86" s="20" t="e">
        <f aca="false">IF(COUNT(C82:C86)=5,AVERAGE(C82:C86),NA())</f>
        <v>#N/A</v>
      </c>
    </row>
    <row r="87" customFormat="false" ht="15" hidden="false" customHeight="false" outlineLevel="0" collapsed="false">
      <c r="A87" s="33"/>
      <c r="B87" s="32"/>
      <c r="C87" s="20" t="e">
        <f aca="false">IFERROR(B87/B86-1,NA())</f>
        <v>#N/A</v>
      </c>
      <c r="D87" s="21" t="e">
        <f aca="false">IF(COUNT(B83:B87)=5,AVERAGE(B83:B87),NA())</f>
        <v>#N/A</v>
      </c>
      <c r="E87" s="20" t="e">
        <f aca="false">IF(COUNT(C83:C87)=5,AVERAGE(C83:C87),NA())</f>
        <v>#N/A</v>
      </c>
    </row>
    <row r="88" customFormat="false" ht="15" hidden="false" customHeight="false" outlineLevel="0" collapsed="false">
      <c r="A88" s="33"/>
      <c r="B88" s="32"/>
      <c r="C88" s="20" t="e">
        <f aca="false">IFERROR(B88/B87-1,NA())</f>
        <v>#N/A</v>
      </c>
      <c r="D88" s="21" t="e">
        <f aca="false">IF(COUNT(B84:B88)=5,AVERAGE(B84:B88),NA())</f>
        <v>#N/A</v>
      </c>
      <c r="E88" s="20" t="e">
        <f aca="false">IF(COUNT(C84:C88)=5,AVERAGE(C84:C88),NA())</f>
        <v>#N/A</v>
      </c>
    </row>
    <row r="89" customFormat="false" ht="15" hidden="false" customHeight="false" outlineLevel="0" collapsed="false">
      <c r="A89" s="33"/>
      <c r="B89" s="32"/>
      <c r="C89" s="20" t="e">
        <f aca="false">IFERROR(B89/B88-1,NA())</f>
        <v>#N/A</v>
      </c>
      <c r="D89" s="21" t="e">
        <f aca="false">IF(COUNT(B85:B89)=5,AVERAGE(B85:B89),NA())</f>
        <v>#N/A</v>
      </c>
      <c r="E89" s="20" t="e">
        <f aca="false">IF(COUNT(C85:C89)=5,AVERAGE(C85:C89),NA())</f>
        <v>#N/A</v>
      </c>
    </row>
    <row r="90" customFormat="false" ht="15" hidden="false" customHeight="false" outlineLevel="0" collapsed="false">
      <c r="A90" s="33"/>
      <c r="B90" s="32"/>
      <c r="C90" s="20" t="e">
        <f aca="false">IFERROR(B90/B89-1,NA())</f>
        <v>#N/A</v>
      </c>
      <c r="D90" s="21" t="e">
        <f aca="false">IF(COUNT(B86:B90)=5,AVERAGE(B86:B90),NA())</f>
        <v>#N/A</v>
      </c>
      <c r="E90" s="20" t="e">
        <f aca="false">IF(COUNT(C86:C90)=5,AVERAGE(C86:C90),NA())</f>
        <v>#N/A</v>
      </c>
    </row>
    <row r="91" customFormat="false" ht="15" hidden="false" customHeight="false" outlineLevel="0" collapsed="false">
      <c r="A91" s="33"/>
      <c r="B91" s="32"/>
      <c r="C91" s="20" t="e">
        <f aca="false">IFERROR(B91/B90-1,NA())</f>
        <v>#N/A</v>
      </c>
      <c r="D91" s="21" t="e">
        <f aca="false">IF(COUNT(B87:B91)=5,AVERAGE(B87:B91),NA())</f>
        <v>#N/A</v>
      </c>
      <c r="E91" s="20" t="e">
        <f aca="false">IF(COUNT(C87:C91)=5,AVERAGE(C87:C91),NA())</f>
        <v>#N/A</v>
      </c>
    </row>
    <row r="92" customFormat="false" ht="15" hidden="false" customHeight="false" outlineLevel="0" collapsed="false">
      <c r="A92" s="33"/>
      <c r="B92" s="32"/>
      <c r="C92" s="20" t="e">
        <f aca="false">IFERROR(B92/B91-1,NA())</f>
        <v>#N/A</v>
      </c>
      <c r="D92" s="21" t="e">
        <f aca="false">IF(COUNT(B88:B92)=5,AVERAGE(B88:B92),NA())</f>
        <v>#N/A</v>
      </c>
      <c r="E92" s="20" t="e">
        <f aca="false">IF(COUNT(C88:C92)=5,AVERAGE(C88:C92),NA())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2026-05-04T12:19:54Z</dcterms:created>
  <dc:creator>Rojas, Alberto</dc:creator>
  <dc:description/>
  <dc:language>en-US</dc:language>
  <cp:lastModifiedBy/>
  <dcterms:modified xsi:type="dcterms:W3CDTF">2026-05-04T13:14:24Z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1e85bf-ac82-4d95-8ebe-b1488d74b05a_ActionId">
    <vt:lpwstr>112f8a0d-34c1-417e-b60c-789b50363ee0</vt:lpwstr>
  </property>
  <property fmtid="{D5CDD505-2E9C-101B-9397-08002B2CF9AE}" pid="3" name="MSIP_Label_0c1e85bf-ac82-4d95-8ebe-b1488d74b05a_ContentBits">
    <vt:lpwstr>0</vt:lpwstr>
  </property>
  <property fmtid="{D5CDD505-2E9C-101B-9397-08002B2CF9AE}" pid="4" name="MSIP_Label_0c1e85bf-ac82-4d95-8ebe-b1488d74b05a_Enabled">
    <vt:lpwstr>true</vt:lpwstr>
  </property>
  <property fmtid="{D5CDD505-2E9C-101B-9397-08002B2CF9AE}" pid="5" name="MSIP_Label_0c1e85bf-ac82-4d95-8ebe-b1488d74b05a_Method">
    <vt:lpwstr>Privileged</vt:lpwstr>
  </property>
  <property fmtid="{D5CDD505-2E9C-101B-9397-08002B2CF9AE}" pid="6" name="MSIP_Label_0c1e85bf-ac82-4d95-8ebe-b1488d74b05a_Name">
    <vt:lpwstr>0c1e85bf-ac82-4d95-8ebe-b1488d74b05a</vt:lpwstr>
  </property>
  <property fmtid="{D5CDD505-2E9C-101B-9397-08002B2CF9AE}" pid="7" name="MSIP_Label_0c1e85bf-ac82-4d95-8ebe-b1488d74b05a_SetDate">
    <vt:lpwstr>2026-05-04T12:20:07Z</vt:lpwstr>
  </property>
  <property fmtid="{D5CDD505-2E9C-101B-9397-08002B2CF9AE}" pid="8" name="MSIP_Label_0c1e85bf-ac82-4d95-8ebe-b1488d74b05a_SiteId">
    <vt:lpwstr>fb6ea403-7cf1-4905-810a-fe5547e98204</vt:lpwstr>
  </property>
  <property fmtid="{D5CDD505-2E9C-101B-9397-08002B2CF9AE}" pid="9" name="MSIP_Label_0c1e85bf-ac82-4d95-8ebe-b1488d74b05a_Tag">
    <vt:lpwstr>10, 0, 1, 1</vt:lpwstr>
  </property>
</Properties>
</file>