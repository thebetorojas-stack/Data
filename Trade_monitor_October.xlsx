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onitor" sheetId="2" state="visible" r:id="rId4"/>
    <sheet name="Track Record" sheetId="3" state="visible" r:id="rId5"/>
    <sheet name="Track Record Notes" sheetId="4" state="visible" r:id="rId6"/>
    <sheet name="Inputs" sheetId="5" state="visible" r:id="rId7"/>
    <sheet name="FX COP-CLP" sheetId="6" state="visible" r:id="rId8"/>
    <sheet name="FX BRL-MXN" sheetId="7" state="visible" r:id="rId9"/>
    <sheet name="MX 1y1y" sheetId="8" state="visible" r:id="rId10"/>
    <sheet name="MX-US 2y2y" sheetId="9" state="visible" r:id="rId11"/>
    <sheet name="BR DI" sheetId="10" state="visible" r:id="rId12"/>
    <sheet name="US Rates" sheetId="11" state="visible" r:id="rId13"/>
    <sheet name="Credit CL-CO" sheetId="12" state="visible" r:id="rId14"/>
    <sheet name="Credit PE-MX" sheetId="13" state="visible" r:id="rId15"/>
    <sheet name="Oil Hedge" sheetId="14" state="visible" r:id="rId16"/>
    <sheet name="Bloomberg Pulls" sheetId="15" state="visible" r:id="rId1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Overwrite with your actual entry level.</t>
        </r>
      </text>
    </comment>
    <comment ref="D6" authorId="0">
      <text>
        <r>
          <rPr>
            <sz val="10"/>
            <rFont val="Arial"/>
            <family val="2"/>
          </rPr>
          <t xml:space="preserve">Overwrite with your actual entry level.</t>
        </r>
      </text>
    </comment>
    <comment ref="D7" authorId="0">
      <text>
        <r>
          <rPr>
            <sz val="10"/>
            <rFont val="Arial"/>
            <family val="2"/>
          </rPr>
          <t xml:space="preserve">Overwrite with your actual entry level.</t>
        </r>
      </text>
    </comment>
    <comment ref="D8" authorId="0">
      <text>
        <r>
          <rPr>
            <sz val="10"/>
            <rFont val="Arial"/>
            <family val="2"/>
          </rPr>
          <t xml:space="preserve">Overwrite with your actual entry level.</t>
        </r>
      </text>
    </comment>
    <comment ref="D9" authorId="0">
      <text>
        <r>
          <rPr>
            <sz val="10"/>
            <rFont val="Arial"/>
            <family val="2"/>
          </rPr>
          <t xml:space="preserve">Overwrite with your actual entry level.</t>
        </r>
      </text>
    </comment>
    <comment ref="D10" authorId="0">
      <text>
        <r>
          <rPr>
            <sz val="10"/>
            <rFont val="Arial"/>
            <family val="2"/>
          </rPr>
          <t xml:space="preserve">Overwrite with your actual entry level.</t>
        </r>
      </text>
    </comment>
    <comment ref="D11" authorId="0">
      <text>
        <r>
          <rPr>
            <sz val="10"/>
            <rFont val="Arial"/>
            <family val="2"/>
          </rPr>
          <t xml:space="preserve">Overwrite with your actual entry level.</t>
        </r>
      </text>
    </comment>
    <comment ref="D12" authorId="0">
      <text>
        <r>
          <rPr>
            <sz val="10"/>
            <rFont val="Arial"/>
            <family val="2"/>
          </rPr>
          <t xml:space="preserve">Overwrite with your actual entry level.</t>
        </r>
      </text>
    </comment>
    <comment ref="D13" authorId="0">
      <text>
        <r>
          <rPr>
            <sz val="10"/>
            <rFont val="Arial"/>
            <family val="2"/>
          </rPr>
          <t xml:space="preserve">Overwrite with your actual entry level.</t>
        </r>
      </text>
    </comment>
  </commentList>
</comments>
</file>

<file path=xl/sharedStrings.xml><?xml version="1.0" encoding="utf-8"?>
<sst xmlns="http://schemas.openxmlformats.org/spreadsheetml/2006/main" count="1059" uniqueCount="784">
  <si>
    <t xml:space="preserve">Book Summary — eight trades, one hedge, one risk budget</t>
  </si>
  <si>
    <t xml:space="preserve">Risk at stop is what you lose if every stop fills at once. Sizes live on each trade tab; the scale column tells you how much to cut if the budget is breached.</t>
  </si>
  <si>
    <t xml:space="preserve">The book</t>
  </si>
  <si>
    <t xml:space="preserve">Trade</t>
  </si>
  <si>
    <t xml:space="preserve">Structure</t>
  </si>
  <si>
    <t xml:space="preserve">Size</t>
  </si>
  <si>
    <t xml:space="preserve">Carry+roll / yr ($)</t>
  </si>
  <si>
    <t xml:space="preserve">Risk at stop ($)</t>
  </si>
  <si>
    <t xml:space="preserve">Carry / risk</t>
  </si>
  <si>
    <t xml:space="preserve">Scaled risk ($)</t>
  </si>
  <si>
    <t xml:space="preserve">Scale factor</t>
  </si>
  <si>
    <t xml:space="preserve">1. FX COP-CLP</t>
  </si>
  <si>
    <t xml:space="preserve">Long COP / short CLP, 3m NDF</t>
  </si>
  <si>
    <t xml:space="preserve">2. FX BRL-MXN</t>
  </si>
  <si>
    <t xml:space="preserve">Long BRL / short MXN, 3m NDF</t>
  </si>
  <si>
    <t xml:space="preserve">3. MX 1y1y</t>
  </si>
  <si>
    <t xml:space="preserve">Receive MXN 1y1y TIIE</t>
  </si>
  <si>
    <t xml:space="preserve">4. MX-US 2y2y</t>
  </si>
  <si>
    <t xml:space="preserve">Receive MX 2y2y / pay US 2y2y, DV01-matched</t>
  </si>
  <si>
    <t xml:space="preserve">5. BR DI</t>
  </si>
  <si>
    <t xml:space="preserve">Receive DI belly + long end (A) or Jan-33/Jan-28 flattener (B)</t>
  </si>
  <si>
    <t xml:space="preserve">6. US Rates</t>
  </si>
  <si>
    <t xml:space="preserve">Receive 10y SOFR, part-funded paying 2y</t>
  </si>
  <si>
    <t xml:space="preserve">7. Credit CL-CO</t>
  </si>
  <si>
    <t xml:space="preserve">Sell Chile 5y CDS / buy Colombia 5y CDS</t>
  </si>
  <si>
    <t xml:space="preserve">8. Credit PE-MX</t>
  </si>
  <si>
    <t xml:space="preserve">Sell Peru 5y CDS / buy Mexico 5y CDS</t>
  </si>
  <si>
    <t xml:space="preserve">9. Oil Hedge</t>
  </si>
  <si>
    <t xml:space="preserve">Brent 3m put spread, 90/75, rolled with the NDFs</t>
  </si>
  <si>
    <t xml:space="preserve">TOTAL</t>
  </si>
  <si>
    <t xml:space="preserve">Risk budget ($)</t>
  </si>
  <si>
    <t xml:space="preserve">Over / (under) budget ($)</t>
  </si>
  <si>
    <t xml:space="preserve">Scale factor to fit budget</t>
  </si>
  <si>
    <t xml:space="preserve">Multiply every size by this and the book fits. Or trim the weakest carry/risk line first — BRL/MXN.</t>
  </si>
  <si>
    <t xml:space="preserve">Size column: FX = notional per leg; rates = DV01 ($/bp); credit = spread DV01 ($/bp); oil = contracts. Hedge carry = premium paid per year.</t>
  </si>
  <si>
    <t xml:space="preserve">Where the book is concentrated — say these before they find them</t>
  </si>
  <si>
    <t xml:space="preserve">Theme</t>
  </si>
  <si>
    <t xml:space="preserve">Positions that share it</t>
  </si>
  <si>
    <t xml:space="preserve">Mexico slows / Banxico stays lower than priced</t>
  </si>
  <si>
    <t xml:space="preserve">Short MXN (2) · Receive 1y1y (3) · Receive 2y2y vs US (4) · Short Mexico CDS (8). Four legs, one view. Deliberate, and each is small.</t>
  </si>
  <si>
    <t xml:space="preserve">Brazil fiscal improvement — runoff 25 Oct</t>
  </si>
  <si>
    <t xml:space="preserve">Long BRL (2) · Receive DI (5). One dated catalyst for two positions; size is cut through the event.</t>
  </si>
  <si>
    <t xml:space="preserve">Oil</t>
  </si>
  <si>
    <t xml:space="preserve">Long COP (1) and long BRL (2) are long oil. Short Colombia CDS (7) is short oil. Net long — hedged by the Brent put spread (9), sized to the 20% crash on the Oil Hedge tab.</t>
  </si>
  <si>
    <t xml:space="preserve">US duration</t>
  </si>
  <si>
    <t xml:space="preserve">Receive 10y (6) is long. Pay US 2y2y (4) and pay 2y (6, hedge leg) are short the front end. Net: long the long end, short the front — a flattening bias.</t>
  </si>
  <si>
    <t xml:space="preserve">Colombia</t>
  </si>
  <si>
    <t xml:space="preserve">Long COP (1) vs short Colombia CDS (7). Opposing on purpose: the credit short is the tail hedge for the FX carry.</t>
  </si>
  <si>
    <t xml:space="preserve">Copper / Andean growth</t>
  </si>
  <si>
    <t xml:space="preserve">COP-CLP nets most of it. Long Peru CDS (8) adds copper beta. In a demand shock Peru widens.</t>
  </si>
  <si>
    <t xml:space="preserve">Out of the book, and why</t>
  </si>
  <si>
    <t xml:space="preserve">• Argentina — no edge over the technicals; revisit nearer the elections.</t>
  </si>
  <si>
    <t xml:space="preserve">• Chile/Peru IG as an oil hedge — only works in a supply-driven crash; they are now in the book as credit pairs, not as hedges. The oil hedge is the Brent put spread.</t>
  </si>
  <si>
    <t xml:space="preserve">• Venezuela — present as evidence of edge, not as a fund position.</t>
  </si>
  <si>
    <t xml:space="preserve">• Brazil equities — doubled the oil tilt via the Petrobras weight.</t>
  </si>
  <si>
    <t xml:space="preserve">• Panama — favourite credit, but with Chile and Peru as the longs the book already has two IG-quality long legs; keep Panama as the answer to 'what would you add'.</t>
  </si>
  <si>
    <t xml:space="preserve">Trade Monitor — one row per trade, everything you need to say out loud</t>
  </si>
  <si>
    <t xml:space="preserve">Live level comes from the trade tabs. Entry level is yellow: type your actual entry when you put the trade on (it defaults to the 13-Oct snapshot). P&amp;L and room-to-stop update from there. The last three columns are the words.</t>
  </si>
  <si>
    <t xml:space="preserve">Position</t>
  </si>
  <si>
    <t xml:space="preserve">Live level</t>
  </si>
  <si>
    <t xml:space="preserve">Entry level</t>
  </si>
  <si>
    <t xml:space="preserve">Move</t>
  </si>
  <si>
    <t xml:space="preserve">P&amp;L ($)</t>
  </si>
  <si>
    <t xml:space="preserve">Stop level</t>
  </si>
  <si>
    <t xml:space="preserve">Room to stop</t>
  </si>
  <si>
    <t xml:space="preserve">Catalyst / date</t>
  </si>
  <si>
    <t xml:space="preserve">Thesis in one sentence</t>
  </si>
  <si>
    <t xml:space="preserve">What kills it</t>
  </si>
  <si>
    <t xml:space="preserve">If they ask 'why not…'</t>
  </si>
  <si>
    <t xml:space="preserve">Long COP / short CLP, $10mm per leg, 3m NDF</t>
  </si>
  <si>
    <t xml:space="preserve">Quarterly roll 19-Jan. BanRep meetings. Oil.</t>
  </si>
  <si>
    <t xml:space="preserve">Colombia pays me 7% to own its currency, Chile charges nothing to short its, and the two move together against the dollar — I keep the carry, lose most of the beta.</t>
  </si>
  <si>
    <t xml:space="preserve">A Colombia-specific shock or an oil collapse. The Colombia CDS short is the tail hedge.</t>
  </si>
  <si>
    <t xml:space="preserve">…BRL/MXN as the core? Same idea, about half the carry per unit of vol.</t>
  </si>
  <si>
    <t xml:space="preserve">Long BRL / short MXN, $10mm per leg, 3m NDF</t>
  </si>
  <si>
    <t xml:space="preserve">Brazil runoff 25-Oct. Size cut through it.</t>
  </si>
  <si>
    <t xml:space="preserve">Paid 4% to be long the country whose fiscal story is improving and short the one whose growth is stalling.</t>
  </si>
  <si>
    <t xml:space="preserve">Runoff surprise; a USMCA relief rally in MXN. The BRL risk reversal says the market already fears BRL downside.</t>
  </si>
  <si>
    <t xml:space="preserve">…7-8% carry? No — the BRL NDF prices off the cupom cambial. It's 4.1%. First trade to trim if the budget is over.</t>
  </si>
  <si>
    <t xml:space="preserve">Receive MXN 1y1y TIIE, 15k DV01</t>
  </si>
  <si>
    <t xml:space="preserve">Banxico decisions; CPI prints; USD/MXN.</t>
  </si>
  <si>
    <t xml:space="preserve">The market prices ~100bp of Banxico hikes over the next year; I think they deliver none, and the curve pays me ~90bp a year to wait.</t>
  </si>
  <si>
    <t xml:space="preserve">Inflation re-accelerating, or a peso sell-off Banxico defends with rates.</t>
  </si>
  <si>
    <t xml:space="preserve">…the 6m? Sits below policy — nothing to receive. …the Fed? Pay the US 1y1y against it; net roll is on the tab.</t>
  </si>
  <si>
    <t xml:space="preserve">Receive MX 2y2y / pay US 2y2y, 10k DV01 each</t>
  </si>
  <si>
    <t xml:space="preserve">Banxico vs Fed path; USMCA review.</t>
  </si>
  <si>
    <t xml:space="preserve">Mexico's rate premium over the US compresses as its growth gap widens — receive Mexico, pay the US, two years out, DV01 for DV01.</t>
  </si>
  <si>
    <t xml:space="preserve">The Fed cutting into a US slowdown while Banxico is stuck with sticky inflation.</t>
  </si>
  <si>
    <t xml:space="preserve">…the spot 2y? Already inside the policy differential — partly priced. The forward sector isn't.</t>
  </si>
  <si>
    <t xml:space="preserve">Receive DI Jan-29 + Jan-33 (A), 10k DV01 total — or Jan-33/Jan-28 flattener (B)</t>
  </si>
  <si>
    <t xml:space="preserve">Runoff 25-Oct. Fiscal plan. Copom.</t>
  </si>
  <si>
    <t xml:space="preserve">Brazil's long end carries a fiscal risk premium a credible plan can remove — I want to own the belly and long end for that. The curve is inverted, so I pay to hold it: quote the break-even.</t>
  </si>
  <si>
    <t xml:space="preserve">Runoff surprise; Copom turning hawkish on a weaker BRL. Two Brazil positions, one catalyst.</t>
  </si>
  <si>
    <t xml:space="preserve">…the negative carry? Option B pays the front against it and turns the inversion into income. Level shown is blended rate (A) or spread in bp (B).</t>
  </si>
  <si>
    <t xml:space="preserve">Receive 10y SOFR 20k DV01, pay 2y at the hedge ratio</t>
  </si>
  <si>
    <t xml:space="preserve">FOMC; CPI; Treasury refunding.</t>
  </si>
  <si>
    <t xml:space="preserve">Most of the US sell-off is behind us; I want to be long from the 10y out, and because the curve slopes up I'm paid to be.</t>
  </si>
  <si>
    <t xml:space="preserve">A bear-steepening on fiscal or term-premium news — the 2y hedge does nothing for that.</t>
  </si>
  <si>
    <t xml:space="preserve">…a butterfly? Curvature trade, no duration — wrong tool for a level view. …zero cost? A receiver/payer collar; cells on the tab.</t>
  </si>
  <si>
    <t xml:space="preserve">Sell Chile 5y CDS / buy Colombia 5y CDS, 10k CS01 each</t>
  </si>
  <si>
    <t xml:space="preserve">Colombia fiscal rule / budget; oil.</t>
  </si>
  <si>
    <t xml:space="preserve">The market prices Colombia as a credit fixing itself; I think it's being graded on a curve. Chile is what a fixed balance sheet looks like.</t>
  </si>
  <si>
    <t xml:space="preserve">Genuine consolidation in Colombia, or a global spread rally that compresses the wide credit hardest.</t>
  </si>
  <si>
    <t xml:space="preserve">…the negative carry? It hedges the COP carry trade — if Colombia blows up, FX loses and this pays. Quote the break-even in bp/yr.</t>
  </si>
  <si>
    <t xml:space="preserve">Sell Peru 5y CDS / buy Mexico 5y CDS, 10k CS01 each</t>
  </si>
  <si>
    <t xml:space="preserve">USMCA review; Pemex; Peru politics.</t>
  </si>
  <si>
    <t xml:space="preserve">Mexico's spread doesn't reflect Pemex, a growth stall and a trade overhang; Peru's doesn't reflect how clean its balance sheet is. Nearly flat carry — the cheapest view in the book.</t>
  </si>
  <si>
    <t xml:space="preserve">Peru political noise; a USMCA outcome that re-rates Mexico.</t>
  </si>
  <si>
    <t xml:space="preserve">…four Mexico legs? Yes — deliberate concentration, each sized small. Say it before they do.</t>
  </si>
  <si>
    <t xml:space="preserve">Brent 3m 90/75 put spread, contracts on the tab</t>
  </si>
  <si>
    <t xml:space="preserve">Rolls with the NDFs, 19-Jan. OPEC+.</t>
  </si>
  <si>
    <t xml:space="preserve">Two carry trades are long oil by construction; I cap the tail with a put spread and spend a slice of the carry to do it. 'Stop level' here = the long strike, where protection starts.</t>
  </si>
  <si>
    <t xml:space="preserve">A slow grind lower that never reaches the strike — premium gone, FX bleeds anyway.</t>
  </si>
  <si>
    <t xml:space="preserve">…just cut the COP? The carry is the point. The hedge lets me keep the 7%. P&amp;L shows premium at risk until you mark it.</t>
  </si>
  <si>
    <t xml:space="preserve">Book totals</t>
  </si>
  <si>
    <t xml:space="preserve">Total P&amp;L ($)</t>
  </si>
  <si>
    <t xml:space="preserve">Total carry + roll per year ($)</t>
  </si>
  <si>
    <t xml:space="preserve">Total risk at stop ($)</t>
  </si>
  <si>
    <t xml:space="preserve">Opening line if asked for the book in thirty seconds</t>
  </si>
  <si>
    <t xml:space="preserve">Eight trades plus an oil hedge, every one a pair with a natural hedge, three themes: Andean carry with the beta stripped out, a Mexico slowdown expressed in FX, rates and credit, and a long-end duration view in Brazil on fiscal and in the US on the sell-off being mostly done. Total risk if every stop fills is on the Summary tab against a $3mm budget. The two things I'd say before you ask: the Mexico concentration is deliberate, and the Brazil DI receiver pays carry to hold — I quote the break-even.</t>
  </si>
  <si>
    <t xml:space="preserve">Track Record — the trades to talk about, with the codes to prove them</t>
  </si>
  <si>
    <t xml:space="preserve">Yellow = dates and remembered levels you fix. Blue = tickers (edit if one fails). BDH pulls the level on each date once Bloomberg is open; until then the row uses the remembered level. 'Want' = +1 if the call needed the level to RISE, −1 if to FALL. Outcome is computed from the move, not typed.</t>
  </si>
  <si>
    <t xml:space="preserve">#</t>
  </si>
  <si>
    <t xml:space="preserve">Years</t>
  </si>
  <si>
    <t xml:space="preserve">Ticker A</t>
  </si>
  <si>
    <t xml:space="preserve">Ticker B (subtract, optional)</t>
  </si>
  <si>
    <t xml:space="preserve">Field</t>
  </si>
  <si>
    <t xml:space="preserve">Entry date</t>
  </si>
  <si>
    <t xml:space="preserve">Exit date</t>
  </si>
  <si>
    <t xml:space="preserve">Entry (BDH)</t>
  </si>
  <si>
    <t xml:space="preserve">Exit (BDH)</t>
  </si>
  <si>
    <t xml:space="preserve">Entry (remembered)</t>
  </si>
  <si>
    <t xml:space="preserve">Exit (remembered)</t>
  </si>
  <si>
    <t xml:space="preserve">Entry USED</t>
  </si>
  <si>
    <t xml:space="preserve">Exit USED</t>
  </si>
  <si>
    <t xml:space="preserve">Want</t>
  </si>
  <si>
    <t xml:space="preserve">Outcome</t>
  </si>
  <si>
    <t xml:space="preserve">One line</t>
  </si>
  <si>
    <t xml:space="preserve">Colombia 5s10s IBR steepener (receive 5y / pay 10y, $5k DV01 per leg)</t>
  </si>
  <si>
    <t xml:space="preserve">2016</t>
  </si>
  <si>
    <t xml:space="preserve">CLSWIB10 Curncy</t>
  </si>
  <si>
    <t xml:space="preserve">CLSWIB5 Curncy</t>
  </si>
  <si>
    <t xml:space="preserve">PX_LAST</t>
  </si>
  <si>
    <t xml:space="preserve">Entered at 23bp, target 60bp, stop at flat. Closed at 65bp, printed +$139k. Level = 10y − 5y in %.</t>
  </si>
  <si>
    <t xml:space="preserve">Long Colombia USD sovereign credit — the Petro years</t>
  </si>
  <si>
    <t xml:space="preserve">2022-24</t>
  </si>
  <si>
    <t xml:space="preserve">COLOM CDS USD SR 5Y D14 Corp</t>
  </si>
  <si>
    <t xml:space="preserve">FIX DATES AND LEVELS. Spread never tightened the way the fundamentals said it should. The loss.</t>
  </si>
  <si>
    <t xml:space="preserve">Short MXN vs USD into the Texcoco airport cancellation</t>
  </si>
  <si>
    <t xml:space="preserve">2018</t>
  </si>
  <si>
    <t xml:space="preserve">USDMXN Curncy</t>
  </si>
  <si>
    <t xml:space="preserve">Referendum result 28-Oct-2018, AMLO confirmed the cancellation 29-Oct. FIX entry/exit dates to the desk call.</t>
  </si>
  <si>
    <t xml:space="preserve">Venezuela to market weight after the Maduro removal (DCF of recovery value)</t>
  </si>
  <si>
    <t xml:space="preserve">2026</t>
  </si>
  <si>
    <t xml:space="preserve">VENZ 9 1/4 09/15/27 Corp</t>
  </si>
  <si>
    <t xml:space="preserve">FIX DATE AND BOND. Price in cents. Moved to market weight before it got expensive; DCF said present value of claims was above price.</t>
  </si>
  <si>
    <t xml:space="preserve">Long Panama USD credit — two notches below its rating</t>
  </si>
  <si>
    <t xml:space="preserve">2024-25</t>
  </si>
  <si>
    <t xml:space="preserve">PANAMA CDS USD SR 5Y D14 Corp</t>
  </si>
  <si>
    <t xml:space="preserve">FIX DATES AND LEVELS. Evidence things improve; if not, it was in the price. Best performer in 2025.</t>
  </si>
  <si>
    <t xml:space="preserve">Short ARS via NDF through the Fernández administration (calling for faster depreciation)</t>
  </si>
  <si>
    <t xml:space="preserve">2020-23</t>
  </si>
  <si>
    <t xml:space="preserve">USDARS Curncy</t>
  </si>
  <si>
    <t xml:space="preserve">FIX DATES. Entry = the NDF outright you traded (type it in 'remembered' and set Use live = 0 for entry). Exit = spot at expiry. Spot never caught the NDF: the carry ate the view.</t>
  </si>
  <si>
    <t xml:space="preserve">Reading the row</t>
  </si>
  <si>
    <t xml:space="preserve">Move = Exit USED − Entry USED. Want +1 means the call needed the number to rise (a steepener, short MXN = USDMXN up, a bond price). Want −1 means it needed to fall (a CDS spread for a long-credit call). BDH on the IBR row subtracts Ticker B from Ticker A, so the level is the 5s10s spread. If a BDH cell stays blank with Bloomberg open, the ticker is wrong: fix it in the blue cell. The Argentina row is the one where live data misleads: the entry you want is the NDF outright, not spot, so leave that cell on the remembered value.</t>
  </si>
  <si>
    <t xml:space="preserve">Track Record — what to say about each one</t>
  </si>
  <si>
    <t xml:space="preserve">Setup, the call, what happened, the lesson, and the line to say first. In your words where you gave them; fix anything that isn't how you'd say it.</t>
  </si>
  <si>
    <t xml:space="preserve">BEST — 5. Panama USD credit, late 2024 (your favourite)</t>
  </si>
  <si>
    <t xml:space="preserve">Setup</t>
  </si>
  <si>
    <t xml:space="preserve">Late 2024 Panama was trading roughly two notches below its rating — the market priced a downgrade to high yield that had not happened, on the back of the copper-mine closure, the pension-fund hole and the fiscal numbers.</t>
  </si>
  <si>
    <t xml:space="preserve">The call</t>
  </si>
  <si>
    <t xml:space="preserve">Long Panama credit. We had evidence things were going to get better — the fiscal adjustment and the mine negotiation were moving. And if they did not get better, the downgrade was already in the price. Limited downside, open upside.</t>
  </si>
  <si>
    <t xml:space="preserve">What happened</t>
  </si>
  <si>
    <t xml:space="preserve">Best-performing credit in the index in 2025.</t>
  </si>
  <si>
    <t xml:space="preserve">Why it's the best</t>
  </si>
  <si>
    <t xml:space="preserve">It is the cleanest example of the thing I look for: a defined asymmetry. Two outcomes, one priced, one not. I did not need to be right about Panama — I needed the market to have priced the bad case, and it had.</t>
  </si>
  <si>
    <t xml:space="preserve">The line</t>
  </si>
  <si>
    <t xml:space="preserve">'I didn't need to be right. I needed the bad case to be in the price, and it was.'</t>
  </si>
  <si>
    <t xml:space="preserve">If they push</t>
  </si>
  <si>
    <t xml:space="preserve">On sizing: it was an overweight, not a bet-the-book. On the risk: a second downgrade would have taken it to HY and forced selling by IG-only holders — that was the stop condition, and we watched the rating agencies' review dates for it.</t>
  </si>
  <si>
    <t xml:space="preserve">BEST — 4. Venezuela to market weight after the Maduro removal</t>
  </si>
  <si>
    <t xml:space="preserve">After the removal the bonds were still at distressed prices. The question was not whether there would be a restructuring but what the claims were worth when it came. FIX THE DATE on the Track Record tab.</t>
  </si>
  <si>
    <t xml:space="preserve">A DCF on the present value of the debt — claims, past-due interest, recovery timeline — said the price was below any reasonable restructuring value. Moved Venezuela from underweight to market weight before it got expensive.</t>
  </si>
  <si>
    <t xml:space="preserve">It did exactly what the DCF said. The move to market weight was early, and that is the point.</t>
  </si>
  <si>
    <t xml:space="preserve">The edge</t>
  </si>
  <si>
    <t xml:space="preserve">Years of covering the credit. Knowing which bonds carried past-due interest, how the claims rank, what PDVSA paper was worth relative to the Republic. A generalist could not have sized the recovery value with confidence; I could.</t>
  </si>
  <si>
    <t xml:space="preserve">'This was a valuation call, not a political call. The politics gave me the catalyst; the DCF gave me the number.'</t>
  </si>
  <si>
    <t xml:space="preserve">Caution</t>
  </si>
  <si>
    <t xml:space="preserve">Present it as evidence of edge, not as a current fund position — a macro fund will not hold single-name Venezuela. If asked, PDVSA paper is better value than the Republic's on claim-per-dollar; the earlier study notes have the arithmetic.</t>
  </si>
  <si>
    <t xml:space="preserve">GOOD — 3. Short MXN into the Texcoco airport cancellation, October 2018</t>
  </si>
  <si>
    <t xml:space="preserve">AMLO ran a 'public consultation' on the half-built Mexico City airport in late October 2018. We were sitting on the desk and it was obvious: the consultation was theatre and the cancellation was coming. The market still gave him the benefit of the doubt.</t>
  </si>
  <si>
    <t xml:space="preserve">Short the peso outright against the dollar. Not a pair, not a hedge — a directional call on a dated event.</t>
  </si>
  <si>
    <t xml:space="preserve">He confirmed the cancellation on 29 October; USD/MXN gapped higher and kept going through November. The call was right on the event and right on the market's reaction to it.</t>
  </si>
  <si>
    <t xml:space="preserve">The lesson</t>
  </si>
  <si>
    <t xml:space="preserve">Some trades do not come from a model. This one came from reading the man and the sequence of events. That is a real source of edge in EM — but it is not repeatable on demand, so I size it as an event trade, not a core position.</t>
  </si>
  <si>
    <t xml:space="preserve">'We knew before the market did because we were watching the politics, not the price.'</t>
  </si>
  <si>
    <t xml:space="preserve">Why outright rather than a pair? Because the shock was Mexico-specific and the dollar was not the driver. Against the dollar was the cleanest expression; a BRL leg would only have added noise.</t>
  </si>
  <si>
    <t xml:space="preserve">GOOD — 1. Colombia 5s10s IBR steepener, August 2016 (the analyst-era trade)</t>
  </si>
  <si>
    <t xml:space="preserve">Credit Suisse note, 16 August 2016, Chodos / Maldonado / Rojas. BanRep was at the end of its hiking cycle and the curve was flat: 5s10s IBR at 23bp. The front end would rally once cuts came into view; the long end would not follow all the way.</t>
  </si>
  <si>
    <t xml:space="preserve">Receive 5y IBR, pay 10y IBR, DV01-neutral, $5k per leg. Entry 23bp, target 60bp, stop at flat. Chosen over 2s10s because the 5s10s carry bleed was a fraction of the 2s10s bleed for a similar move.</t>
  </si>
  <si>
    <t xml:space="preserve">Ran through the target to 65bp. Closed 13 December 2016. Printed P&amp;L +$139k on $210k of gross spread P&amp;L — the gap was carry, roll and bid-ask, which is the honest number to quote.</t>
  </si>
  <si>
    <t xml:space="preserve">Detail worth owning</t>
  </si>
  <si>
    <t xml:space="preserve">Mid-trade we switched to 'net received' on 8 September — added outright duration on top of the curve view — and back to DV01-neutral on 16 November. That was a second bet layered on the first. It worked, but it is the kind of thing a risk manager asks about.</t>
  </si>
  <si>
    <t xml:space="preserve">'The trade was picking the steepener with the least bleed for the same view, and then not falling in love with it: we took it off five bp through target.'</t>
  </si>
  <si>
    <t xml:space="preserve">It is ten years old and I was the third name on it. I bring it up because it is the one with the full ticket — entry, target, stop, carry grid, printed P&amp;L — not because it is my best. The best are Panama and Venezuela.</t>
  </si>
  <si>
    <t xml:space="preserve">WORST — 6. Short ARS via NDF through the Fernández administration</t>
  </si>
  <si>
    <t xml:space="preserve">2020 to 2023. The peso was obviously overvalued at the official rate, the gap to the parallel rate was enormous, reserves were falling. Every model said depreciation.</t>
  </si>
  <si>
    <t xml:space="preserve">Buy USD/ARS NDFs — position for the official rate to depreciate faster than the forward implied. Repeated across the period.</t>
  </si>
  <si>
    <t xml:space="preserve">Spot never caught up with the NDF. The government kept the crawl slower than the forward, and the NDF already priced a lot of depreciation. The carry — the implied depreciation we paid to be short — ate the view. We lost.</t>
  </si>
  <si>
    <t xml:space="preserve">What I got wrong</t>
  </si>
  <si>
    <t xml:space="preserve">We underestimated their willingness to live with the distortion. We modelled the economics correctly and modelled the policymaker wrong: they did not care about the imbalance, so the imbalance did not have to resolve on our horizon. And the forward already embedded most of what we believed — being right on direction paid nothing.</t>
  </si>
  <si>
    <t xml:space="preserve">Two lessons I apply to everything in the current book. One: a view the forward already prices has no edge — that is why every trade on the Monitor shows what is priced first. Two: when a government controls the price, your horizon is their horizon, not yours. Argentina sits on the sidelines now for exactly that reason.</t>
  </si>
  <si>
    <t xml:space="preserve">'We were right about the economy and wrong about the people running it. The forward made us pay for the privilege.'</t>
  </si>
  <si>
    <t xml:space="preserve">Contrast if useful</t>
  </si>
  <si>
    <t xml:space="preserve">The same instrument worked in 2017 under Macri — a two-month USDARS NDF that printed +$117k. Same direction, opposite result. The difference was who controlled the crawl and whether the forward already priced it.</t>
  </si>
  <si>
    <t xml:space="preserve">WORST — 2. Long Colombia USD sovereign credit in the Petro years</t>
  </si>
  <si>
    <t xml:space="preserve">Colombia widened hard on Petro's election. The fundamentals — reserves, the fiscal rule, the central bank's independence — looked better than the spread implied. FIX THE DATES on the Track Record tab.</t>
  </si>
  <si>
    <t xml:space="preserve">Recommended Colombia sovereign credit on the view that the market was pricing more damage than the institutions would allow.</t>
  </si>
  <si>
    <t xml:space="preserve">The spread never tightened. The institutions held, more or less — and the market did not pay for it. Colombia stayed wide for the whole period and we lost on carry-adjusted terms.</t>
  </si>
  <si>
    <t xml:space="preserve">Cheap was not a catalyst. The fundamentals I was pricing were the absence of a disaster, and the market does not pay you for a disaster not happening — it pays you for improvement. There was no improvement, so there was no re-rating. I was long 'not as bad as feared' and that is not a trade.</t>
  </si>
  <si>
    <t xml:space="preserve">This is why I am short Colombia credit now — the market has swung to treating the government too kindly — and why the Panama trade worked where Colombia did not: Panama had a priced bad case AND evidence of improvement. Colombia had only the first.</t>
  </si>
  <si>
    <t xml:space="preserve">'I bought cheap without a catalyst. The lesson is that a spread needs a reason to move, not just a reason not to widen.'</t>
  </si>
  <si>
    <t xml:space="preserve">How is the current Colombia short different from the mirror of the old mistake? It is paired, carry is quantified, and it hedges a COP long I am paid 7% to hold — it is sized as insurance, not as a view I need the market to validate.</t>
  </si>
  <si>
    <t xml:space="preserve">Inputs — every number in the book comes from this tab</t>
  </si>
  <si>
    <t xml:space="preserve">Column D pulls Bloomberg via BDP(). Column E is the 13-Oct-2026 BGN snapshot. Column F is what the book uses: live when Bloomberg returns a number and the switch in B3 is 1, otherwise the snapshot. Orange cells are PLACEHOLDERS that never came off a screen — overwrite them before you quote anything.</t>
  </si>
  <si>
    <t xml:space="preserve">Data mode: 1 = use Bloomberg where it returns a number, 0 = force snapshot</t>
  </si>
  <si>
    <t xml:space="preserve">Ticker (edit here if a ticker is wrong)</t>
  </si>
  <si>
    <t xml:space="preserve">BDP field</t>
  </si>
  <si>
    <t xml:space="preserve">Live (Bloomberg)</t>
  </si>
  <si>
    <t xml:space="preserve">Snapshot 13-Oct</t>
  </si>
  <si>
    <t xml:space="preserve">ACTIVE (used)</t>
  </si>
  <si>
    <t xml:space="preserve">Status</t>
  </si>
  <si>
    <t xml:space="preserve">Note</t>
  </si>
  <si>
    <t xml:space="preserve">Dates</t>
  </si>
  <si>
    <t xml:space="preserve">Valuation date</t>
  </si>
  <si>
    <t xml:space="preserve">Input</t>
  </si>
  <si>
    <t xml:space="preserve">Change to today when you open it at work.</t>
  </si>
  <si>
    <t xml:space="preserve">FX spot date (T+2)</t>
  </si>
  <si>
    <t xml:space="preserve">3m forward settlement date</t>
  </si>
  <si>
    <t xml:space="preserve">Matches the fund's quarterly IMM roll. Carry annualises x365/days, not x4.</t>
  </si>
  <si>
    <t xml:space="preserve">Days in the 3m window</t>
  </si>
  <si>
    <t xml:space="preserve">Calculated</t>
  </si>
  <si>
    <t xml:space="preserve">95 days in the 13-Oct snapshot.</t>
  </si>
  <si>
    <t xml:space="preserve">FX — spots, forward points, vols  (FRD &lt;GO&gt; for points, OVDV &lt;GO&gt; for vols)</t>
  </si>
  <si>
    <t xml:space="preserve">USDCOP spot</t>
  </si>
  <si>
    <t xml:space="preserve">USDCOP Curncy</t>
  </si>
  <si>
    <t xml:space="preserve">Screen 13-Oct</t>
  </si>
  <si>
    <t xml:space="preserve">USDCOP 3m forward points</t>
  </si>
  <si>
    <t xml:space="preserve">COP3M Curncy</t>
  </si>
  <si>
    <t xml:space="preserve">Screen (derived)</t>
  </si>
  <si>
    <t xml:space="preserve">Snapshot = outright 3243.54 minus spot. If the live outright below looks wrong, fix the scale row, not the formula.</t>
  </si>
  <si>
    <t xml:space="preserve">COP points scale (divide points by)</t>
  </si>
  <si>
    <t xml:space="preserve">COP points quote in pesos. Check on FRD &lt;GO&gt;.</t>
  </si>
  <si>
    <t xml:space="preserve">USDCOP 3m outright</t>
  </si>
  <si>
    <t xml:space="preserve">Snapshot outright 3243.54</t>
  </si>
  <si>
    <t xml:space="preserve">USDCLP spot</t>
  </si>
  <si>
    <t xml:space="preserve">USDCLP Curncy</t>
  </si>
  <si>
    <t xml:space="preserve">USDCLP 3m forward points</t>
  </si>
  <si>
    <t xml:space="preserve">CLP3M Curncy</t>
  </si>
  <si>
    <t xml:space="preserve">Snapshot = outright 981.70 minus spot. Chilean points are near zero — that is the whole reason the short CLP leg is free.</t>
  </si>
  <si>
    <t xml:space="preserve">CLP points scale (divide points by)</t>
  </si>
  <si>
    <t xml:space="preserve">Check on FRD &lt;GO&gt;.</t>
  </si>
  <si>
    <t xml:space="preserve">USDCLP 3m outright</t>
  </si>
  <si>
    <t xml:space="preserve">Snapshot outright 981.70</t>
  </si>
  <si>
    <t xml:space="preserve">USDBRL spot</t>
  </si>
  <si>
    <t xml:space="preserve">USDBRL Curncy</t>
  </si>
  <si>
    <t xml:space="preserve">USDBRL 3m forward points (pips)</t>
  </si>
  <si>
    <t xml:space="preserve">BRL3M Curncy</t>
  </si>
  <si>
    <t xml:space="preserve">Snapshot = (5.113776 − 5.02705) x 10,000. The NDF prices off the cupom cambial, not Selic minus SOFR — which is why BRL carry is 6.6%, not 9-10%.</t>
  </si>
  <si>
    <t xml:space="preserve">BRL points scale (divide points by)</t>
  </si>
  <si>
    <t xml:space="preserve">USDBRL 3m outright</t>
  </si>
  <si>
    <t xml:space="preserve">Snapshot outright 5.113776</t>
  </si>
  <si>
    <t xml:space="preserve">USDMXN spot</t>
  </si>
  <si>
    <t xml:space="preserve">USDMXN 3m forward points (pips)</t>
  </si>
  <si>
    <t xml:space="preserve">MXN3M Curncy</t>
  </si>
  <si>
    <t xml:space="preserve">Snapshot = (18.492377 − 18.3727) x 10,000.</t>
  </si>
  <si>
    <t xml:space="preserve">MXN points scale (divide points by)</t>
  </si>
  <si>
    <t xml:space="preserve">USDMXN 3m outright</t>
  </si>
  <si>
    <t xml:space="preserve">Snapshot outright 18.492377</t>
  </si>
  <si>
    <t xml:space="preserve">USDCOP 3m implied vol (%)</t>
  </si>
  <si>
    <t xml:space="preserve">USDCOPV3M Curncy</t>
  </si>
  <si>
    <t xml:space="preserve">USDCLP 3m implied vol (%)</t>
  </si>
  <si>
    <t xml:space="preserve">USDCLPV3M Curncy</t>
  </si>
  <si>
    <t xml:space="preserve">USDBRL 3m implied vol (%)</t>
  </si>
  <si>
    <t xml:space="preserve">USDBRLV3M Curncy</t>
  </si>
  <si>
    <t xml:space="preserve">USDMXN 3m implied vol (%)</t>
  </si>
  <si>
    <t xml:space="preserve">USDMXNV3M Curncy</t>
  </si>
  <si>
    <t xml:space="preserve">USDBRL 3m 25d risk reversal (vol pts)</t>
  </si>
  <si>
    <t xml:space="preserve">USDBRL25R3M Curncy</t>
  </si>
  <si>
    <t xml:space="preserve">USD calls over puts. The market pays up for BRL weakness.</t>
  </si>
  <si>
    <t xml:space="preserve">Correlation USDCOP vs USDCLP (3m daily returns)</t>
  </si>
  <si>
    <t xml:space="preserve">PLACEHOLDER</t>
  </si>
  <si>
    <t xml:space="preserve">Pull from CORR &lt;GO&gt;: USDCOP Curncy vs USDCLP Curncy, 3m daily. No ticker — paste the number into E.</t>
  </si>
  <si>
    <t xml:space="preserve">Correlation USDBRL vs USDMXN (3m daily returns)</t>
  </si>
  <si>
    <t xml:space="preserve">Pull from CORR &lt;GO&gt;.</t>
  </si>
  <si>
    <t xml:space="preserve">Policy rates</t>
  </si>
  <si>
    <t xml:space="preserve">Colombia policy rate (%)</t>
  </si>
  <si>
    <t xml:space="preserve">CORRRMIN Index</t>
  </si>
  <si>
    <t xml:space="preserve">Verify. Not in the 13-Oct pull.</t>
  </si>
  <si>
    <t xml:space="preserve">Chile policy rate (%)</t>
  </si>
  <si>
    <t xml:space="preserve">CHOVCHOV Index</t>
  </si>
  <si>
    <t xml:space="preserve">Brazil Selic target (%)</t>
  </si>
  <si>
    <t xml:space="preserve">BZSTSETA Index</t>
  </si>
  <si>
    <t xml:space="preserve">Screen (implied)</t>
  </si>
  <si>
    <t xml:space="preserve">CDI cash printed 13.65 on 13-Oct; Selic sits ~10bp above CDI.</t>
  </si>
  <si>
    <t xml:space="preserve">Mexico overnight target (%)</t>
  </si>
  <si>
    <t xml:space="preserve">MXONBR Index</t>
  </si>
  <si>
    <t xml:space="preserve">SOFR fixing (%)</t>
  </si>
  <si>
    <t xml:space="preserve">SOFRRATE Index</t>
  </si>
  <si>
    <t xml:space="preserve">Cash point of ICVS 490.</t>
  </si>
  <si>
    <t xml:space="preserve">Brazil DI curve — offshore Pre x DI, ICVS 388  (tickers below are the DI futures; verify on ODA &lt;GO&gt; if a cell fails to load)</t>
  </si>
  <si>
    <t xml:space="preserve">CDI overnight (%)</t>
  </si>
  <si>
    <t xml:space="preserve">BZDIOVRA Index</t>
  </si>
  <si>
    <t xml:space="preserve">Cash 1DY on ICVS 388.</t>
  </si>
  <si>
    <t xml:space="preserve">DI Jan-28 (%)</t>
  </si>
  <si>
    <t xml:space="preserve">ODF28 Comdty</t>
  </si>
  <si>
    <t xml:space="preserve">Maturity 03-Jan-2028</t>
  </si>
  <si>
    <t xml:space="preserve">DI Jan-29 (%)</t>
  </si>
  <si>
    <t xml:space="preserve">ODF29 Comdty</t>
  </si>
  <si>
    <t xml:space="preserve">Maturity 02-Jan-2029</t>
  </si>
  <si>
    <t xml:space="preserve">DI Jan-30 (%)</t>
  </si>
  <si>
    <t xml:space="preserve">ODF30 Comdty</t>
  </si>
  <si>
    <t xml:space="preserve">Maturity 02-Jan-2030</t>
  </si>
  <si>
    <t xml:space="preserve">DI Jan-31 (%)</t>
  </si>
  <si>
    <t xml:space="preserve">ODF31 Comdty</t>
  </si>
  <si>
    <t xml:space="preserve">Maturity 02-Jan-2031</t>
  </si>
  <si>
    <t xml:space="preserve">DI Jan-33 (%)</t>
  </si>
  <si>
    <t xml:space="preserve">ODF33 Comdty</t>
  </si>
  <si>
    <t xml:space="preserve">Not in the 13-Oct pull. Needed for the long-end leg.</t>
  </si>
  <si>
    <t xml:space="preserve">DI Jan-35 (%)</t>
  </si>
  <si>
    <t xml:space="preserve">ODF35 Comdty</t>
  </si>
  <si>
    <t xml:space="preserve">Not in the 13-Oct pull.</t>
  </si>
  <si>
    <t xml:space="preserve">Maturity Jan-28</t>
  </si>
  <si>
    <t xml:space="preserve">Maturity Jan-29</t>
  </si>
  <si>
    <t xml:space="preserve">Maturity Jan-31</t>
  </si>
  <si>
    <t xml:space="preserve">Maturity Jan-33</t>
  </si>
  <si>
    <t xml:space="preserve">Mexico TIIE swaps — ICVS 583  (verify tickers: right-click a curve point on ICVS → ticker; 13x1 = 1y, 26x1 = 2y, 39x1 = 3y, 52x1 = 4y)</t>
  </si>
  <si>
    <t xml:space="preserve">TIIE 6m (6x1) (%)</t>
  </si>
  <si>
    <t xml:space="preserve">MPSWF Curncy</t>
  </si>
  <si>
    <t xml:space="preserve">Sits ~4bp BELOW policy: no hikes priced in the 6m sector.</t>
  </si>
  <si>
    <t xml:space="preserve">TIIE 1y (13x1) (%)</t>
  </si>
  <si>
    <t xml:space="preserve">MPSW1 Curncy</t>
  </si>
  <si>
    <t xml:space="preserve">TIIE 2y (26x1) (%)</t>
  </si>
  <si>
    <t xml:space="preserve">MPSW2 Curncy</t>
  </si>
  <si>
    <t xml:space="preserve">TIIE 3y (39x1) (%)</t>
  </si>
  <si>
    <t xml:space="preserve">MPSW3 Curncy</t>
  </si>
  <si>
    <t xml:space="preserve">TIIE 4y (52x1) (%)</t>
  </si>
  <si>
    <t xml:space="preserve">MPSW4 Curncy</t>
  </si>
  <si>
    <t xml:space="preserve">Not in the 13-Oct pull. Needed for the 2y2y.</t>
  </si>
  <si>
    <t xml:space="preserve">TIIE 5y (65x1) (%)</t>
  </si>
  <si>
    <t xml:space="preserve">MPSW5 Curncy</t>
  </si>
  <si>
    <t xml:space="preserve">US SOFR OIS — ICVS 490</t>
  </si>
  <si>
    <t xml:space="preserve">SOFR OIS 3m (%)</t>
  </si>
  <si>
    <t xml:space="preserve">USOSFRC Curncy</t>
  </si>
  <si>
    <t xml:space="preserve">Not in the 13-Oct pull. Funding leg for every receiver.</t>
  </si>
  <si>
    <t xml:space="preserve">SOFR OIS 1y (%)</t>
  </si>
  <si>
    <t xml:space="preserve">USOSFR1 Curncy</t>
  </si>
  <si>
    <t xml:space="preserve">SOFR OIS 2y (%)</t>
  </si>
  <si>
    <t xml:space="preserve">USOSFR2 Curncy</t>
  </si>
  <si>
    <t xml:space="preserve">SOFR OIS 3y (%)</t>
  </si>
  <si>
    <t xml:space="preserve">USOSFR3 Curncy</t>
  </si>
  <si>
    <t xml:space="preserve">SOFR OIS 4y (%)</t>
  </si>
  <si>
    <t xml:space="preserve">USOSFR4 Curncy</t>
  </si>
  <si>
    <t xml:space="preserve">Needed for the US 2y2y.</t>
  </si>
  <si>
    <t xml:space="preserve">SOFR OIS 5y (%)</t>
  </si>
  <si>
    <t xml:space="preserve">USOSFR5 Curncy</t>
  </si>
  <si>
    <t xml:space="preserve">SOFR OIS 7y (%)</t>
  </si>
  <si>
    <t xml:space="preserve">USOSFR7 Curncy</t>
  </si>
  <si>
    <t xml:space="preserve">SOFR OIS 10y (%)</t>
  </si>
  <si>
    <t xml:space="preserve">USOSFR10 Curncy</t>
  </si>
  <si>
    <t xml:space="preserve">The whole US trade keys off this. Pull it first.</t>
  </si>
  <si>
    <t xml:space="preserve">SOFR OIS 20y (%)</t>
  </si>
  <si>
    <t xml:space="preserve">USOSFR20 Curncy</t>
  </si>
  <si>
    <t xml:space="preserve">SOFR OIS 30y (%)</t>
  </si>
  <si>
    <t xml:space="preserve">USOSFR30 Curncy</t>
  </si>
  <si>
    <t xml:space="preserve">Sovereign CDS — WCDS &lt;GO&gt;, Americas  (spreads in bp)</t>
  </si>
  <si>
    <t xml:space="preserve">Chile 5y CDS (bp)</t>
  </si>
  <si>
    <t xml:space="preserve">CHILE CDS USD SR 5Y D14 Corp</t>
  </si>
  <si>
    <t xml:space="preserve">Colombia 5y CDS (bp)</t>
  </si>
  <si>
    <t xml:space="preserve">Peru 5y CDS (bp)</t>
  </si>
  <si>
    <t xml:space="preserve">PERU CDS USD SR 5Y D14 Corp</t>
  </si>
  <si>
    <t xml:space="preserve">Mexico 5y CDS (bp)</t>
  </si>
  <si>
    <t xml:space="preserve">MEX CDS USD SR 5Y D14 Corp</t>
  </si>
  <si>
    <t xml:space="preserve">Chile 10y CDS (bp)</t>
  </si>
  <si>
    <t xml:space="preserve">CHILE CDS USD SR 10Y D14 Corp</t>
  </si>
  <si>
    <t xml:space="preserve">For the curve-shape talking point only.</t>
  </si>
  <si>
    <t xml:space="preserve">Colombia 10y CDS (bp)</t>
  </si>
  <si>
    <t xml:space="preserve">COLOM CDS USD SR 10Y D14 Corp</t>
  </si>
  <si>
    <t xml:space="preserve">Peru 10y CDS (bp)</t>
  </si>
  <si>
    <t xml:space="preserve">PERU CDS USD SR 10Y D14 Corp</t>
  </si>
  <si>
    <t xml:space="preserve">Mexico 10y CDS (bp)</t>
  </si>
  <si>
    <t xml:space="preserve">MEX CDS USD SR 10Y D14 Corp</t>
  </si>
  <si>
    <t xml:space="preserve">Assumed recovery rate (sovereign CDS)</t>
  </si>
  <si>
    <t xml:space="preserve">Market convention for EM sovereigns is 25%.</t>
  </si>
  <si>
    <t xml:space="preserve">Brent — CO1 Comdty CT &lt;GO&gt; for the level, OVDV &lt;GO&gt; for the put vols / premiums</t>
  </si>
  <si>
    <t xml:space="preserve">Brent front contract ($/bbl)</t>
  </si>
  <si>
    <t xml:space="preserve">CO1 Comdty</t>
  </si>
  <si>
    <t xml:space="preserve">Pull first.</t>
  </si>
  <si>
    <t xml:space="preserve">Brent 3m ATM implied vol (%)</t>
  </si>
  <si>
    <t xml:space="preserve">3MTH_IMPVOL_100.0%MNY_DF</t>
  </si>
  <si>
    <t xml:space="preserve">If the field fails, read it off OVDV and paste into E.</t>
  </si>
  <si>
    <t xml:space="preserve">Long put strike (% of spot)</t>
  </si>
  <si>
    <t xml:space="preserve">Buy this one. 90% = 10% out of the money.</t>
  </si>
  <si>
    <t xml:space="preserve">Short put strike (% of spot)</t>
  </si>
  <si>
    <t xml:space="preserve">Sell this one to cheapen the spread. Protection stops below here.</t>
  </si>
  <si>
    <t xml:space="preserve">Long put premium ($/bbl)</t>
  </si>
  <si>
    <t xml:space="preserve">PLACEHOLDER — from OVDV at the 90% strike, 3m.</t>
  </si>
  <si>
    <t xml:space="preserve">Short put premium ($/bbl)</t>
  </si>
  <si>
    <t xml:space="preserve">PLACEHOLDER — from OVDV at the 75% strike, 3m.</t>
  </si>
  <si>
    <t xml:space="preserve">Oil beta of USDCOP (% FX move per 1% oil)</t>
  </si>
  <si>
    <t xml:space="preserve">CORR &lt;GO&gt; / regression, 3m daily: COP strengthens when oil rises, so the sign is negative.</t>
  </si>
  <si>
    <t xml:space="preserve">Oil beta of USDBRL (% FX move per 1% oil)</t>
  </si>
  <si>
    <t xml:space="preserve">Same source.</t>
  </si>
  <si>
    <t xml:space="preserve">Oil beta of Colombia 5y CDS (bp per 1% oil)</t>
  </si>
  <si>
    <t xml:space="preserve">Colombia CDS widens when oil falls: negative. Regress spread changes on oil returns.</t>
  </si>
  <si>
    <t xml:space="preserve">Oil crash to size against (%)</t>
  </si>
  <si>
    <t xml:space="preserve">The scenario the hedge is built for.</t>
  </si>
  <si>
    <t xml:space="preserve">Risk budget</t>
  </si>
  <si>
    <t xml:space="preserve">Total risk budget if every stop fills ($)</t>
  </si>
  <si>
    <t xml:space="preserve">Trade: Long COP / Short CLP — 3m NDF carry pair</t>
  </si>
  <si>
    <t xml:space="preserve">The best carry trade in the book. COP earns ~7% from a 9%-plus policy rate and the CLP short costs nothing because Chilean forward points are flat. Both are copper/oil-adjacent Andean currencies, so the dollar beta and the commodity beta largely cancel. What is left is the rate differential.</t>
  </si>
  <si>
    <t xml:space="preserve">Buy COP 3m forward (sell USD/COP NDF) and sell CLP 3m forward (buy USD/CLP NDF), equal USD notional on each leg, both settling on the quarterly roll date. Net USD exposure is zero — the trade is COP vs CLP, not COP vs the dollar.</t>
  </si>
  <si>
    <t xml:space="preserve">Levels (green = linked to Inputs)</t>
  </si>
  <si>
    <t xml:space="preserve">Days spot to settlement</t>
  </si>
  <si>
    <t xml:space="preserve">Cross: CLP per 1 COP</t>
  </si>
  <si>
    <t xml:space="preserve">Equals USDCLP / USDCOP. Long COP wants this number to RISE.</t>
  </si>
  <si>
    <t xml:space="preserve">Carry — what you earn just for holding it</t>
  </si>
  <si>
    <t xml:space="preserve">COP leg carry, annualised</t>
  </si>
  <si>
    <t xml:space="preserve">You buy COP at the forward, which is cheaper than spot (more COP per dollar). If spot does not move, that gap is your gain. Annualised x365/days.</t>
  </si>
  <si>
    <t xml:space="preserve">CLP leg carry, annualised</t>
  </si>
  <si>
    <t xml:space="preserve">Chilean forward points are flat, so shorting CLP costs almost nothing. In the 13-Oct snapshot the forward is slightly BELOW spot, so the short leg actually ADDS carry.</t>
  </si>
  <si>
    <t xml:space="preserve">NET carry, annualised</t>
  </si>
  <si>
    <t xml:space="preserve">Positive = you are paid to wait.</t>
  </si>
  <si>
    <t xml:space="preserve">Volatility — how much it can move against you</t>
  </si>
  <si>
    <t xml:space="preserve">USDCOP 3m vol (%)</t>
  </si>
  <si>
    <t xml:space="preserve">USDCLP 3m vol (%)</t>
  </si>
  <si>
    <t xml:space="preserve">Correlation of the two legs</t>
  </si>
  <si>
    <t xml:space="preserve">Higher correlation = the dollar moves cancel out = lower pair vol.</t>
  </si>
  <si>
    <t xml:space="preserve">Pair vol, annualised</t>
  </si>
  <si>
    <t xml:space="preserve">sqrt(v1² + v2² − 2·ρ·v1·v2). This is the vol of the cross, which is what you actually own.</t>
  </si>
  <si>
    <t xml:space="preserve">1 standard deviation over the 3m window</t>
  </si>
  <si>
    <t xml:space="preserve">Vol scales with the square root of time: annual vol x sqrt(days/365).</t>
  </si>
  <si>
    <t xml:space="preserve">Carry / vol (annual)</t>
  </si>
  <si>
    <t xml:space="preserve">The number that ranks the two FX trades. Above 0.5 is a good carry trade.</t>
  </si>
  <si>
    <t xml:space="preserve">Sizing and risk (yellow = you choose)</t>
  </si>
  <si>
    <t xml:space="preserve">Notional per leg ($)</t>
  </si>
  <si>
    <t xml:space="preserve">Stop distance in 3m standard deviations</t>
  </si>
  <si>
    <t xml:space="preserve">1.25σ = a move you'd expect roughly once every 5 quarters.</t>
  </si>
  <si>
    <t xml:space="preserve">Stop distance (%)</t>
  </si>
  <si>
    <t xml:space="preserve">Stop level on the cross</t>
  </si>
  <si>
    <t xml:space="preserve">Close the trade if the cross falls to here.</t>
  </si>
  <si>
    <t xml:space="preserve">Carry over the 3m window ($)</t>
  </si>
  <si>
    <t xml:space="preserve">Carry per year ($)</t>
  </si>
  <si>
    <t xml:space="preserve">Break-even: spot move the carry absorbs over 3m</t>
  </si>
  <si>
    <t xml:space="preserve">The cross can fall this much over the quarter and you still make zero.</t>
  </si>
  <si>
    <t xml:space="preserve">What I'd say</t>
  </si>
  <si>
    <t xml:space="preserve">Thesis in one line: Colombia pays me 7% to own its currency, Chile charges me nothing to short its currency, and the two move together against the dollar — so I keep the carry and lose most of the beta. What kills it: a Colombia-specific shock — fiscal rule abandonment, a BanRep cut cycle faster than priced, or an oil collapse (Colombia exports oil, Chile imports it, so oil down hurts both legs). That is why the Colombia CDS short on the credit tab is a natural tail hedge for this trade. Why not BRL/MXN as the core: same idea, half the carry-to-vol.</t>
  </si>
  <si>
    <t xml:space="preserve">Trade: Long BRL / Short MXN — 3m NDF carry pair</t>
  </si>
  <si>
    <t xml:space="preserve">The satellite carry trade. BRL carries ~6.6% (the NDF prices off the cupom cambial, not Selic minus SOFR), the MXN short costs ~2.5%, net ~4.1%. Weaker than COP/CLP on carry-to-vol but it expresses two views at once: Brazil fiscal improvement after the 25-Oct runoff and a Mexico growth slowdown.</t>
  </si>
  <si>
    <t xml:space="preserve">Buy BRL 3m forward (sell USD/BRL NDF) and sell MXN 3m forward (buy USD/MXN NDF), equal USD notional on each leg, both settling on the quarterly roll date. Net USD exposure is zero — the trade is BRL vs MXN, not BRL vs the dollar.</t>
  </si>
  <si>
    <t xml:space="preserve">Cross: MXN per 1 BRL</t>
  </si>
  <si>
    <t xml:space="preserve">Equals USDMXN / USDBRL. Long BRL wants this number to RISE.</t>
  </si>
  <si>
    <t xml:space="preserve">BRL leg carry, annualised</t>
  </si>
  <si>
    <t xml:space="preserve">You buy BRL at the forward, which is cheaper than spot (more BRL per dollar). If spot does not move, that gap is your gain. Annualised x365/days.</t>
  </si>
  <si>
    <t xml:space="preserve">MXN leg carry, annualised</t>
  </si>
  <si>
    <t xml:space="preserve">MXN forward points are large and positive, so shorting MXN COSTS carry — you buy USD/MXN forward above spot. This leg is a drag; the BRL leg pays for it.</t>
  </si>
  <si>
    <t xml:space="preserve">USDBRL 3m vol (%)</t>
  </si>
  <si>
    <t xml:space="preserve">USDMXN 3m vol (%)</t>
  </si>
  <si>
    <t xml:space="preserve">Thesis in one line: I'm paid 4% to be long the country whose fiscal story is improving and short the one whose growth is stalling. Say 4.1%, not 7-8% — the naive Selic-minus-Banxico differential overstates it because the BRL NDF is priced off the cupom cambial. What kills it: the 25-Oct Brazil runoff going the wrong way, or a USMCA/tariff relief rally in MXN. The BRL risk reversal at 4.5 vol says the market already pays up for BRL downside, so size is cut through the event and this is the first trade to trim if the risk budget is over. Note the Mexico overlap: this is one of four positions in the book that pay off if Mexico slows.</t>
  </si>
  <si>
    <t xml:space="preserve">Trade: Receive Mexico 1y1y TIIE — 'Banxico does not hike'</t>
  </si>
  <si>
    <t xml:space="preserve">The hikes are priced in the 1y1y sector, not the 6m. The 6m swap sits below the policy rate (nothing to sell), the 1y1y sits ~100bp above it. If Banxico holds for the next twelve months, the 1y1y has to fall toward the spot 1y — and you collect the roll while you wait.</t>
  </si>
  <si>
    <t xml:space="preserve">Levels</t>
  </si>
  <si>
    <t xml:space="preserve">Banxico policy rate (%)</t>
  </si>
  <si>
    <t xml:space="preserve">TIIE 6m (%)</t>
  </si>
  <si>
    <t xml:space="preserve">Below policy: the 6m sector prices no hikes. Nothing to receive there.</t>
  </si>
  <si>
    <t xml:space="preserve">TIIE 1y spot (%)</t>
  </si>
  <si>
    <t xml:space="preserve">TIIE 2y spot (%)</t>
  </si>
  <si>
    <t xml:space="preserve">Mexico 1y1y forward (%)</t>
  </si>
  <si>
    <t xml:space="preserve">The 1y rate the curve implies starting one year from now: (1+2y)² / (1+1y) − 1. Market convention reads this as 'where policy will be in a year'.</t>
  </si>
  <si>
    <t xml:space="preserve">Hikes priced over the next year (bp)</t>
  </si>
  <si>
    <t xml:space="preserve">1y1y minus today's policy rate.</t>
  </si>
  <si>
    <t xml:space="preserve">The same number for the Fed — for the comparison</t>
  </si>
  <si>
    <t xml:space="preserve">SOFR 1y (%)</t>
  </si>
  <si>
    <t xml:space="preserve">SOFR 2y (%)</t>
  </si>
  <si>
    <t xml:space="preserve">SOFR cash (%)</t>
  </si>
  <si>
    <t xml:space="preserve">US 1y1y forward (%)</t>
  </si>
  <si>
    <t xml:space="preserve">Fed hikes priced over the next year (bp)</t>
  </si>
  <si>
    <t xml:space="preserve">Both curves price roughly the same hiking cycle. My view is asymmetric: Banxico holds, the Fed delivers.</t>
  </si>
  <si>
    <t xml:space="preserve">Carry and roll</t>
  </si>
  <si>
    <t xml:space="preserve">A forward-starting receiver has no spot carry — you are not paying floating yet. What it has is roll: in a year, today's 1y1y becomes the spot 1y. If the curve does not move, the rate you receive is worth the gap between the two.</t>
  </si>
  <si>
    <t xml:space="preserve">Roll-down over one year (bp)</t>
  </si>
  <si>
    <t xml:space="preserve">1y1y minus spot 1y. Positive = the trade pays you to wait.</t>
  </si>
  <si>
    <t xml:space="preserve">Roll-down per quarter (bp, approx.)</t>
  </si>
  <si>
    <t xml:space="preserve">Straight-line quarter of the annual roll — a fair approximation on a curve this smooth.</t>
  </si>
  <si>
    <t xml:space="preserve">Sizing and risk</t>
  </si>
  <si>
    <t xml:space="preserve">DV01 ($ per bp)</t>
  </si>
  <si>
    <t xml:space="preserve">Stop: 1y1y rises by (bp)</t>
  </si>
  <si>
    <t xml:space="preserve">Stop level on the 1y1y (%)</t>
  </si>
  <si>
    <t xml:space="preserve">Roll per year ($)</t>
  </si>
  <si>
    <t xml:space="preserve">Roll per quarter ($)</t>
  </si>
  <si>
    <t xml:space="preserve">Roll per year / risk at stop</t>
  </si>
  <si>
    <t xml:space="preserve">How many times the carry pays for a stop-out in a year.</t>
  </si>
  <si>
    <t xml:space="preserve">Hedged version — if they ask 'what about the Fed?'</t>
  </si>
  <si>
    <t xml:space="preserve">An outright MX receiver is also a bet that global rates do not sell off. To strip that out, pay the US 1y1y against it, DV01-matched. The net roll is below. That version is self-funding and holds no global duration — it is the purer expression of 'Banxico holds, the Fed hikes'. I run the outright here because the US 10y receiver on the US tab already carries the global-duration view, and I don't want to pay it away twice.</t>
  </si>
  <si>
    <t xml:space="preserve">US 1y1y roll if you PAY it (bp/yr)</t>
  </si>
  <si>
    <t xml:space="preserve">Paying a forward that rolls down costs you.</t>
  </si>
  <si>
    <t xml:space="preserve">Net roll of the hedged pair (bp/yr)</t>
  </si>
  <si>
    <t xml:space="preserve">Thesis in one line: the market has about 100bp of Banxico hikes priced over the next year; I think they deliver none, and the curve pays me roughly 90bp a year to wait for it. What kills it: an inflation re-acceleration that forces Banxico to follow the Fed, or a peso sell-off that makes them defend the currency with rates. Note the stop is 25bp — a quarter of what is priced — so I am not betting the whole move, I'm betting the direction. Overlap warning: this and the 2y2y spread are both long Mexican duration. Together they are one view sized twice; say that before they do.</t>
  </si>
  <si>
    <t xml:space="preserve">Trade: Receive Mexico 2y2y TIIE / Pay US 2y2y SOFR — the cross-market spread</t>
  </si>
  <si>
    <t xml:space="preserve">Two years out, both curves price their hiking cycles as done. The differential between them is the market's view of where Mexico's premium over the US settles. My view: Mexico's growth gap to the US widens, Banxico ends up lower than priced relative to the Fed, and the spread compresses. DV01-matched, so no outright duration.</t>
  </si>
  <si>
    <t xml:space="preserve">Mexico leg</t>
  </si>
  <si>
    <t xml:space="preserve">TIIE 1y (%)</t>
  </si>
  <si>
    <t xml:space="preserve">TIIE 2y (%)</t>
  </si>
  <si>
    <t xml:space="preserve">TIIE 3y (%)</t>
  </si>
  <si>
    <t xml:space="preserve">TIIE 4y (%)</t>
  </si>
  <si>
    <t xml:space="preserve">PLACEHOLDER on Inputs until you pull 52x1.</t>
  </si>
  <si>
    <t xml:space="preserve">Mexico 2y2y (%)</t>
  </si>
  <si>
    <t xml:space="preserve">The 2y rate implied two years from now: [(1+4y)⁴ / (1+2y)²]^½ − 1.</t>
  </si>
  <si>
    <t xml:space="preserve">Mexico 1y2y (%)</t>
  </si>
  <si>
    <t xml:space="preserve">What the 2y2y becomes after one year passes. Needed for roll.</t>
  </si>
  <si>
    <t xml:space="preserve">US leg</t>
  </si>
  <si>
    <t xml:space="preserve">SOFR 3y (%)</t>
  </si>
  <si>
    <t xml:space="preserve">SOFR 4y (%)</t>
  </si>
  <si>
    <t xml:space="preserve">PLACEHOLDER on Inputs until you pull USOSFR4.</t>
  </si>
  <si>
    <t xml:space="preserve">US 2y2y (%)</t>
  </si>
  <si>
    <t xml:space="preserve">US 1y2y (%)</t>
  </si>
  <si>
    <t xml:space="preserve">The spread — and what is already priced</t>
  </si>
  <si>
    <t xml:space="preserve">Policy differential today (bp)</t>
  </si>
  <si>
    <t xml:space="preserve">Banxico minus SOFR cash.</t>
  </si>
  <si>
    <t xml:space="preserve">2y spot differential (bp)</t>
  </si>
  <si>
    <t xml:space="preserve">Already INSIDE the policy differential: the market prices some compression in the first two years.</t>
  </si>
  <si>
    <t xml:space="preserve">2y2y differential (bp) — THE TRADE</t>
  </si>
  <si>
    <t xml:space="preserve">Receive this. You win if it falls.</t>
  </si>
  <si>
    <t xml:space="preserve">Forward-starting on both legs, so no spot carry on either. Roll: each 2y2y drifts toward its own 1y2y as a year passes. You gain the Mexico roll (receiver) and pay the US roll (payer).</t>
  </si>
  <si>
    <t xml:space="preserve">Mexico leg roll, 1 year (bp)</t>
  </si>
  <si>
    <t xml:space="preserve">US leg roll, 1 year (bp) — you pay this</t>
  </si>
  <si>
    <t xml:space="preserve">NET roll per year (bp)</t>
  </si>
  <si>
    <t xml:space="preserve">NET roll per quarter (bp)</t>
  </si>
  <si>
    <t xml:space="preserve">DV01 per leg ($ per bp)</t>
  </si>
  <si>
    <t xml:space="preserve">Equal DV01 on both legs = no net duration.</t>
  </si>
  <si>
    <t xml:space="preserve">Stop: spread WIDENS by (bp)</t>
  </si>
  <si>
    <t xml:space="preserve">Stop level on the 2y2y differential (bp)</t>
  </si>
  <si>
    <t xml:space="preserve">Net roll per year ($)</t>
  </si>
  <si>
    <t xml:space="preserve">Thesis in one line: the market thinks Mexico's rate premium over the US settles around the current 2y2y differential; I think a weaker Mexican economy pulls Banxico lower relative to the Fed, so I receive Mexico and pay the US two years out, DV01 for DV01. Why 2y2y and not 2y: the spot 2y differential already sits inside the policy differential — the first two years are partly priced. The forward sector is where the compression is not. What kills it: the Fed cutting into a US slowdown while Banxico is stuck with sticky inflation — that widens the spread. Honest caveat: with the 1y1y receiver this is two long-Mexico-duration positions. If they push, drop the 1y1y and keep this one — it is self-funded.</t>
  </si>
  <si>
    <t xml:space="preserve">Trade: Receive Brazil DI — belly (Jan-29) and long end (Jan-33) — the fiscal-improvement trade</t>
  </si>
  <si>
    <t xml:space="preserve">The view is fiscal, not monetary: a credible fiscal plan under a business-friendly government compresses Brazil's term premium, and the long end rallies more than the front. Be straight about the cost: on an inverted curve, receiving the belly outright is NEGATIVE carry. The tab shows exactly how much, and a flattener version that removes most of the drag.</t>
  </si>
  <si>
    <t xml:space="preserve">Curve</t>
  </si>
  <si>
    <t xml:space="preserve">What you PAY on a receiver. Above every DI node — that is the inversion.</t>
  </si>
  <si>
    <t xml:space="preserve">PLACEHOLDER on Inputs until pulled.</t>
  </si>
  <si>
    <t xml:space="preserve">Years to Jan-28</t>
  </si>
  <si>
    <t xml:space="preserve">Years to Jan-29</t>
  </si>
  <si>
    <t xml:space="preserve">Years to Jan-31</t>
  </si>
  <si>
    <t xml:space="preserve">Years to Jan-33</t>
  </si>
  <si>
    <t xml:space="preserve">Option A — what you asked for: receive Jan-29 and Jan-33 outright</t>
  </si>
  <si>
    <t xml:space="preserve">Carry: you receive the fixed DI rate and pay CDI overnight. With CDI above every node, that is a cost every day. Roll: as time passes the Jan-29 becomes a shorter swap and reprices to the (higher) shorter rate — on an inverted front end a receiver rolls UP the curve, which also costs. The long end is close to flat, so the Jan-33 leg rolls roughly neutral.</t>
  </si>
  <si>
    <t xml:space="preserve">DV01 on Jan-29 leg ($/bp)</t>
  </si>
  <si>
    <t xml:space="preserve">DV01 on Jan-33 leg ($/bp)</t>
  </si>
  <si>
    <t xml:space="preserve">Jan-29 carry per quarter (bp)</t>
  </si>
  <si>
    <t xml:space="preserve">(DI rate − CDI) / 4. Negative = costs you.</t>
  </si>
  <si>
    <t xml:space="preserve">Jan-29 roll per quarter (bp)</t>
  </si>
  <si>
    <t xml:space="preserve">Slope toward the next shorter node (Jan-28), one quarter of it. Negative when the shorter rate is higher.</t>
  </si>
  <si>
    <t xml:space="preserve">Jan-33 carry per quarter (bp)</t>
  </si>
  <si>
    <t xml:space="preserve">Jan-33 roll per quarter (bp)</t>
  </si>
  <si>
    <t xml:space="preserve">Slope toward Jan-31.</t>
  </si>
  <si>
    <t xml:space="preserve">Option A total carry + roll per quarter ($)</t>
  </si>
  <si>
    <t xml:space="preserve">This is what being early costs you per quarter.</t>
  </si>
  <si>
    <t xml:space="preserve">Option A total per year ($)</t>
  </si>
  <si>
    <t xml:space="preserve">Break-even: rates must FALL by (bp per quarter)</t>
  </si>
  <si>
    <t xml:space="preserve">The rally you need each quarter just to cover the carry. Say this number before they ask for it.</t>
  </si>
  <si>
    <t xml:space="preserve">Stop: blended rate rises by (bp)</t>
  </si>
  <si>
    <t xml:space="preserve">Wider than the other rates stops — DI moves more, and the runoff is a dated catalyst.</t>
  </si>
  <si>
    <t xml:space="preserve">Option A risk at stop ($)</t>
  </si>
  <si>
    <t xml:space="preserve">Blended entry rate, DV01-weighted (%)</t>
  </si>
  <si>
    <t xml:space="preserve">For the Monitor.</t>
  </si>
  <si>
    <t xml:space="preserve">Option B — the same view with the carry drag removed: receive Jan-33 / pay Jan-28, DV01-matched</t>
  </si>
  <si>
    <t xml:space="preserve">Paying the Jan-28 earns you the inversion: you receive CDI (high) and pay the Jan-28 rate (lower), and the pay leg rolls up the steep front end in your favour. That funds the long-end receiver. You give up the outright rally but keep the term-premium compression — which is the fiscal story anyway. Monetary policy largely nets out.</t>
  </si>
  <si>
    <t xml:space="preserve">DV01 per leg ($/bp)</t>
  </si>
  <si>
    <t xml:space="preserve">Pay Jan-28 carry per quarter (bp)</t>
  </si>
  <si>
    <t xml:space="preserve">(CDI − DI rate) / 4. Positive: you receive the higher overnight.</t>
  </si>
  <si>
    <t xml:space="preserve">Pay Jan-28 roll per quarter (bp)</t>
  </si>
  <si>
    <t xml:space="preserve">Slope from the Jan-28 back to overnight, one quarter of it. A payer rolling up the curve gains.</t>
  </si>
  <si>
    <t xml:space="preserve">Option B total carry + roll per quarter ($)</t>
  </si>
  <si>
    <t xml:space="preserve">Option B total per year ($)</t>
  </si>
  <si>
    <t xml:space="preserve">Stop: Jan-28/Jan-33 spread STEEPENS by (bp)</t>
  </si>
  <si>
    <t xml:space="preserve">Option B risk at stop ($)</t>
  </si>
  <si>
    <t xml:space="preserve">Entry spread Jan-33 minus Jan-28 (bp)</t>
  </si>
  <si>
    <t xml:space="preserve">You win if this falls (flattens).</t>
  </si>
  <si>
    <t xml:space="preserve">Which one goes in the book</t>
  </si>
  <si>
    <t xml:space="preserve">Selected option (A or B)</t>
  </si>
  <si>
    <t xml:space="preserve">A</t>
  </si>
  <si>
    <t xml:space="preserve">Summary and Monitor read this cell.</t>
  </si>
  <si>
    <t xml:space="preserve">Selected risk at stop ($)</t>
  </si>
  <si>
    <t xml:space="preserve">Selected carry + roll per year ($)</t>
  </si>
  <si>
    <t xml:space="preserve">Selected entry level</t>
  </si>
  <si>
    <t xml:space="preserve">A: blended rate in %. B: spread in bp.</t>
  </si>
  <si>
    <t xml:space="preserve">Selected stop level</t>
  </si>
  <si>
    <t xml:space="preserve">Selected DV01 ($/bp)</t>
  </si>
  <si>
    <t xml:space="preserve">Thesis in one line: Brazil's long end carries a fiscal risk premium that a credible plan after the 25-Oct runoff can remove — I want to own the belly and the long end for that. The honest part: the curve is inverted, so I pay to hold it. Quote the break-even — rates must fall by roughly that many bp a quarter for me to break even — and say the trade is sized small and dated around the runoff for exactly that reason. If they push on the carry, offer Option B: pay the front against it, which turns the inversion into income and leaves the fiscal view intact. Do not say 'amid the Bolsonaro administration': the runoff is 25 October and has not happened. F. Bolsonaro led the first round 47-45. Say 'positioning for it with defined risk into a dated catalyst'. What kills it: a runoff surprise, or Copom turning hawkish on a weaker BRL — which also hurts the BRL long. Two Brazil positions, one catalyst.</t>
  </si>
  <si>
    <t xml:space="preserve">Trade: Receive US 10y SOFR, partly funded by paying 2y — 'the sell-off is nearly done'</t>
  </si>
  <si>
    <t xml:space="preserve">You asked for a 10y-plus receiver that costs nothing. Good news: with the front end below the 10y, a 10y receiver is ALREADY positive carry — you receive the 10y fixed and pay SOFR floating. The hedge ratio cell lets you dial between an outright receiver (ratio 0) and a pure 2s10s flattener (ratio 1). The butterfly is shown below so you can explain why it is not the trade.</t>
  </si>
  <si>
    <t xml:space="preserve">SOFR 3m (%)</t>
  </si>
  <si>
    <t xml:space="preserve">Your funding cost for the quarter. PLACEHOLDER until pulled.</t>
  </si>
  <si>
    <t xml:space="preserve">SOFR 5y (%)</t>
  </si>
  <si>
    <t xml:space="preserve">SOFR 7y (%)</t>
  </si>
  <si>
    <t xml:space="preserve">SOFR 10y (%)</t>
  </si>
  <si>
    <t xml:space="preserve">PLACEHOLDER — pull this first.</t>
  </si>
  <si>
    <t xml:space="preserve">SOFR 30y (%)</t>
  </si>
  <si>
    <t xml:space="preserve">2s10s slope (bp)</t>
  </si>
  <si>
    <t xml:space="preserve">Leg 1 — receive 10y</t>
  </si>
  <si>
    <t xml:space="preserve">Receive DV01 ($/bp)</t>
  </si>
  <si>
    <t xml:space="preserve">10y carry per quarter (bp)</t>
  </si>
  <si>
    <t xml:space="preserve">(10y fixed − 3m funding) / 4. Positive: you receive more than you pay. This is why a receiver 'costs nothing' when the curve slopes up.</t>
  </si>
  <si>
    <t xml:space="preserve">10y roll per quarter (bp)</t>
  </si>
  <si>
    <t xml:space="preserve">In three months your 10y is a 9.75y. Slope between the 7y and 10y, one quarter of it. Positive on an upward-sloping curve.</t>
  </si>
  <si>
    <t xml:space="preserve">Leg 2 — pay 2y (the hedge against 'the Fed hikes more than priced')</t>
  </si>
  <si>
    <t xml:space="preserve">Hedge ratio (pay-2y DV01 as a fraction of receive DV01)</t>
  </si>
  <si>
    <t xml:space="preserve">0 = outright 10y receiver. 1 = DV01-neutral 2s10s flattener. 0.5 = half the duration hedged. Your call; I'd argue 0.5.</t>
  </si>
  <si>
    <t xml:space="preserve">Pay DV01 ($/bp)</t>
  </si>
  <si>
    <t xml:space="preserve">2y payer carry per quarter (bp)</t>
  </si>
  <si>
    <t xml:space="preserve">You pay the 2y fixed and receive 3m floating. Negative when 2y &gt; 3m.</t>
  </si>
  <si>
    <t xml:space="preserve">2y payer roll per quarter (bp)</t>
  </si>
  <si>
    <t xml:space="preserve">A payer rolling down toward the 1y loses.</t>
  </si>
  <si>
    <t xml:space="preserve">Net</t>
  </si>
  <si>
    <t xml:space="preserve">Net carry + roll per quarter ($)</t>
  </si>
  <si>
    <t xml:space="preserve">Net carry + roll per year ($)</t>
  </si>
  <si>
    <t xml:space="preserve">Net DV01 ($/bp) — how long duration you really are</t>
  </si>
  <si>
    <t xml:space="preserve">Stop: 10y rises by (bp)</t>
  </si>
  <si>
    <t xml:space="preserve">Stop level on 10y (%)</t>
  </si>
  <si>
    <t xml:space="preserve">On net duration. The 2y leg cushions a parallel sell-off; it does not cushion a bear-steepening.</t>
  </si>
  <si>
    <t xml:space="preserve">Break-even: 10y can rise by (bp per quarter) and you still break even</t>
  </si>
  <si>
    <t xml:space="preserve">Why not the butterfly — 5s10s30s, receive the belly</t>
  </si>
  <si>
    <t xml:space="preserve">A butterfly (receive 2× 10y, pay 5y and 30y, DV01 50/50 on the wings) is a bet on curvature, not on the level of rates. Its net DV01 is zero, so it does not express 'the sell-off is nearly done' at all. It is shown here so you can say why you looked at it and put it down. Its carry/roll:</t>
  </si>
  <si>
    <t xml:space="preserve">Belly DV01 ($/bp)</t>
  </si>
  <si>
    <t xml:space="preserve">Pay 5y carry+roll per quarter (bp)</t>
  </si>
  <si>
    <t xml:space="preserve">Pay 30y carry+roll per quarter (bp)</t>
  </si>
  <si>
    <t xml:space="preserve">Butterfly net carry + roll per quarter ($)</t>
  </si>
  <si>
    <t xml:space="preserve">Usually near zero — and zero duration. Not this trade.</t>
  </si>
  <si>
    <t xml:space="preserve">Zero-premium option version — if they want 'no cost' literally</t>
  </si>
  <si>
    <t xml:space="preserve">Buy a 3m-into-10y receiver swaption and sell a 3m-into-10y payer swaption, strikes chosen so the premiums match. Zero cost upfront, long duration below the receiver strike, short above the payer strike — a collar on the 10y. Fill the four yellow cells from VCUB &lt;GO&gt; / SWPM &lt;GO&gt; and the net premium computes. Skew will usually let you set the receiver strike closer to ATM than the payer strike.</t>
  </si>
  <si>
    <t xml:space="preserve">3m10y ATM forward (%)</t>
  </si>
  <si>
    <t xml:space="preserve">Use the true forward from SWPM; the spot 10y is a stand-in.</t>
  </si>
  <si>
    <t xml:space="preserve">Receiver strike (%)</t>
  </si>
  <si>
    <t xml:space="preserve">Receiver premium paid (bp of notional)</t>
  </si>
  <si>
    <t xml:space="preserve">Payer strike (%)</t>
  </si>
  <si>
    <t xml:space="preserve">Payer premium received (bp of notional)</t>
  </si>
  <si>
    <t xml:space="preserve">Net premium (bp) — target zero</t>
  </si>
  <si>
    <t xml:space="preserve">Thesis in one line: most of the US rates sell-off is behind us, so I want to be long duration from the 10y out — and because the curve slopes up, I'm paid to be. Why pay the 2y against part of it: the thing that would make me wrong is the Fed delivering more than the ~100bp priced; a 2y payer makes money in exactly that world, so half the position is insured by the one scenario I fear. What kills it: a bear-steepening — long end up, front end stable — on fiscal or term-premium news. The 2y hedge does nothing for that; the stop does. If asked about the butterfly: it's a curvature trade with no duration, so it is the wrong tool for a level view.</t>
  </si>
  <si>
    <t xml:space="preserve">Trade: Long Chile / Short Colombia — USD sovereign credit, via 5y CDS</t>
  </si>
  <si>
    <t xml:space="preserve">Colombia is treated too kindly by the market for a sovereign whose fiscal rule has been bent, whose deficit is structurally wide and whose oil revenue is fading. Chile is the cleanest balance sheet in the region. Long the quality, short the complacency — and the Colombia short is the tail hedge for the COP carry trade on the FX tab.</t>
  </si>
  <si>
    <t xml:space="preserve">SELL 5y CDS protection on Chile (you receive its spread = long credit) and BUY 5y CDS protection on Colombia (you pay its spread = short credit), notionals set so both legs have the same spread DV01. Both legs carry the standard 100bp running coupon with upfront settlement; the economics below are in running-spread terms, which is how the trade is quoted and talked about.</t>
  </si>
  <si>
    <t xml:space="preserve">PLACEHOLDER on Inputs until WCDS is pulled.</t>
  </si>
  <si>
    <t xml:space="preserve">Spread differential Colombia − Chile (bp) — THE TRADE</t>
  </si>
  <si>
    <t xml:space="preserve">You win if this WIDENS.</t>
  </si>
  <si>
    <t xml:space="preserve">Chile 5s10s curve (bp)</t>
  </si>
  <si>
    <t xml:space="preserve">A positive slope is a healthy credit. A flat or inverted curve is a credit in stress.</t>
  </si>
  <si>
    <t xml:space="preserve">Colombia 5s10s curve (bp)</t>
  </si>
  <si>
    <t xml:space="preserve">Spread DV01 and notionals</t>
  </si>
  <si>
    <t xml:space="preserve">Recovery rate</t>
  </si>
  <si>
    <t xml:space="preserve">5y SOFR (%) — discount rate</t>
  </si>
  <si>
    <t xml:space="preserve">Chile hazard rate</t>
  </si>
  <si>
    <t xml:space="preserve">spread / (1 − recovery): the market's annual default probability.</t>
  </si>
  <si>
    <t xml:space="preserve">Colombia hazard rate</t>
  </si>
  <si>
    <t xml:space="preserve">Chile risky annuity (years)</t>
  </si>
  <si>
    <t xml:space="preserve">Value of 1bp a year for 5 years, survival- and discount-adjusted. Spread DV01 per $1mm = annuity × $100.</t>
  </si>
  <si>
    <t xml:space="preserve">Colombia risky annuity (years)</t>
  </si>
  <si>
    <t xml:space="preserve">Lower for the wider credit — it is more likely to default before paying you.</t>
  </si>
  <si>
    <t xml:space="preserve">Target spread DV01 per leg ($/bp)</t>
  </si>
  <si>
    <t xml:space="preserve">Chile notional ($) — protection SOLD</t>
  </si>
  <si>
    <t xml:space="preserve">Colombia notional ($) — protection BOUGHT</t>
  </si>
  <si>
    <t xml:space="preserve">Carry — honest version</t>
  </si>
  <si>
    <t xml:space="preserve">Received on Chile ($/yr)</t>
  </si>
  <si>
    <t xml:space="preserve">Paid on Colombia ($/yr)</t>
  </si>
  <si>
    <t xml:space="preserve">NET carry ($/yr)</t>
  </si>
  <si>
    <t xml:space="preserve">Negative whenever the short is the wider credit. You pay to hold this view.</t>
  </si>
  <si>
    <t xml:space="preserve">Break-even: differential must WIDEN by (bp per year)</t>
  </si>
  <si>
    <t xml:space="preserve">Quote this. 'I need Colombia to underperform Chile by X bp a year just to cover the carry' is the question they will ask.</t>
  </si>
  <si>
    <t xml:space="preserve">Stop: differential TIGHTENS by (bp)</t>
  </si>
  <si>
    <t xml:space="preserve">Stop level on the differential (bp)</t>
  </si>
  <si>
    <t xml:space="preserve">Cash-bond alternative</t>
  </si>
  <si>
    <t xml:space="preserve">Same view in bonds: buy the long credit's 2035-area USD benchmark, short the short credit's. Carry is still negative (the wider credit yields more) but you pick up the Chile/Peru bonds' richer repo. CDS is cleaner for the conversation: no funding, no bond-specific basis, and the notionals above are what a PM would actually ask for. Pull YAS &lt;GO&gt; on the two bonds if they want the cash version.</t>
  </si>
  <si>
    <t xml:space="preserve">Portfolio logic</t>
  </si>
  <si>
    <t xml:space="preserve">Pairs with FX COP-CLP. Long COP earns 7% carry; short Colombia credit costs carry and pays in a Colombia blow-up. Together: a carry trade with a defined tail hedge. Oil: COP long is long oil, the Colombia CDS short is short oil — partial offset there too.</t>
  </si>
  <si>
    <t xml:space="preserve">Thesis in one line: the market prices Colombia as a credit that is fixing itself; I think it is a credit that is being graded on a curve, and Chile is what a fixed balance sheet actually looks like. The cost: Colombia's protection is expensive, so I pay carry — quote the break-even in bp a year. I accept that because the same trade hedges the COP carry: if Colombia blows up, the FX trade loses and this one pays. What kills it: a genuine fiscal consolidation in Colombia, or a global spread rally that compresses everything and hits the wide credit hardest. If they ask why Chile and not Peru as the long: Chile is the lower-beta leg, which is what I want against the highest-beta short in the book.</t>
  </si>
  <si>
    <t xml:space="preserve">Trade: Long Peru / Short Mexico — USD sovereign credit, via 5y CDS</t>
  </si>
  <si>
    <t xml:space="preserve">Peru is the cheapest investment-grade balance sheet in LatAm for its fundamentals: low debt, high reserves, copper leverage. Mexico carries Pemex, a judicial reform the market has not fully priced, a USMCA review and a growth stall. The spread between them is narrow, so this is a cheap trade to hold — and it is the fourth leg of the book's Mexico view.</t>
  </si>
  <si>
    <t xml:space="preserve">SELL 5y CDS protection on Peru (you receive its spread = long credit) and BUY 5y CDS protection on Mexico (you pay its spread = short credit), notionals set so both legs have the same spread DV01. Both legs carry the standard 100bp running coupon with upfront settlement; the economics below are in running-spread terms, which is how the trade is quoted and talked about.</t>
  </si>
  <si>
    <t xml:space="preserve">Spread differential Mexico − Peru (bp) — THE TRADE</t>
  </si>
  <si>
    <t xml:space="preserve">Peru 5s10s curve (bp)</t>
  </si>
  <si>
    <t xml:space="preserve">Mexico 5s10s curve (bp)</t>
  </si>
  <si>
    <t xml:space="preserve">Peru hazard rate</t>
  </si>
  <si>
    <t xml:space="preserve">Mexico hazard rate</t>
  </si>
  <si>
    <t xml:space="preserve">Peru risky annuity (years)</t>
  </si>
  <si>
    <t xml:space="preserve">Mexico risky annuity (years)</t>
  </si>
  <si>
    <t xml:space="preserve">Peru notional ($) — protection SOLD</t>
  </si>
  <si>
    <t xml:space="preserve">Mexico notional ($) — protection BOUGHT</t>
  </si>
  <si>
    <t xml:space="preserve">Received on Peru ($/yr)</t>
  </si>
  <si>
    <t xml:space="preserve">Paid on Mexico ($/yr)</t>
  </si>
  <si>
    <t xml:space="preserve">Pairs with FX BRL-MXN (short MXN), MX 1y1y and MX-US 2y2y (receive TIIE). Four expressions of 'Mexico slows'. Peru is copper-levered: in a demand shock Peru widens too, so this is not a hedge for the book's commodity beta.</t>
  </si>
  <si>
    <t xml:space="preserve">Thesis in one line: Mexico's sovereign spread does not yet reflect that it is carrying Pemex, a growth stall and a trade-policy overhang; Peru's does not reflect how clean its balance sheet is. The carry is close to flat because the two trade close together — that makes this the cheapest way in the book to hold a view. What kills it: Peru political noise (it is never far away), or a USMCA outcome that re-rates Mexico. Overlap warning, say it first: short MXN, receive TIIE twice, short Mexico CDS — the book has four ways to win if Mexico slows and four ways to lose if it does not. That is a deliberate concentration, and the sizing is small on each leg because of it.</t>
  </si>
  <si>
    <t xml:space="preserve">Hedge: Brent 3m put spread — protection against an oil crash</t>
  </si>
  <si>
    <t xml:space="preserve">The book is net long oil through COP and BRL; the Colombia CDS short offsets part of it. A put spread on Brent covers the rest: buy a put 10% below spot, sell one 25% below to cut the premium. Sized so that in a 20% oil crash the spread pays out roughly what the oil-sensitive legs lose.</t>
  </si>
  <si>
    <t xml:space="preserve">Where the oil exposure comes from</t>
  </si>
  <si>
    <t xml:space="preserve">Each oil-sensitive position is converted to '$ lost if oil falls 1%'. FX legs: notional x oil beta. CDS leg: spread DV01 x bp-per-1% beta. Positive = the book loses when oil falls.</t>
  </si>
  <si>
    <t xml:space="preserve">Crash scenario (oil move)</t>
  </si>
  <si>
    <t xml:space="preserve">USDCOP oil beta (% per 1% oil)</t>
  </si>
  <si>
    <t xml:space="preserve">PLACEHOLDER until pulled.</t>
  </si>
  <si>
    <t xml:space="preserve">USDBRL oil beta (% per 1% oil)</t>
  </si>
  <si>
    <t xml:space="preserve">Colombia CDS oil beta (bp per 1% oil)</t>
  </si>
  <si>
    <t xml:space="preserve">Long COP: $ lost per 1% oil fall</t>
  </si>
  <si>
    <t xml:space="preserve">Oil down 1% → USDCOP up by beta% → long COP loses notional x beta.</t>
  </si>
  <si>
    <t xml:space="preserve">Long BRL: $ lost per 1% oil fall</t>
  </si>
  <si>
    <t xml:space="preserve">Short Colombia CDS: $ lost per 1% oil fall</t>
  </si>
  <si>
    <t xml:space="preserve">Negative = this leg GAINS when oil falls. It is the partial offset.</t>
  </si>
  <si>
    <t xml:space="preserve">Net book: $ lost per 1% oil fall</t>
  </si>
  <si>
    <t xml:space="preserve">Net book loss in the crash scenario ($)</t>
  </si>
  <si>
    <t xml:space="preserve">What the hedge needs to pay.</t>
  </si>
  <si>
    <t xml:space="preserve">The put spread</t>
  </si>
  <si>
    <t xml:space="preserve">Brent spot ($/bbl)</t>
  </si>
  <si>
    <t xml:space="preserve">Brent 3m ATM vol (%)</t>
  </si>
  <si>
    <t xml:space="preserve">Long put strike ($/bbl)</t>
  </si>
  <si>
    <t xml:space="preserve">Short put strike ($/bbl)</t>
  </si>
  <si>
    <t xml:space="preserve">PLACEHOLDER — OVDV.</t>
  </si>
  <si>
    <t xml:space="preserve">Net premium per barrel ($)</t>
  </si>
  <si>
    <t xml:space="preserve">What the hedge costs per barrel for three months.</t>
  </si>
  <si>
    <t xml:space="preserve">Spread width per barrel ($)</t>
  </si>
  <si>
    <t xml:space="preserve">Maximum payout per barrel.</t>
  </si>
  <si>
    <t xml:space="preserve">Max payout / premium</t>
  </si>
  <si>
    <t xml:space="preserve">Above 4x is a cheap hedge; below 3x, widen the short strike or shorten the tenor.</t>
  </si>
  <si>
    <t xml:space="preserve">Brent in the crash scenario ($/bbl)</t>
  </si>
  <si>
    <t xml:space="preserve">Spread payout per barrel in the crash ($)</t>
  </si>
  <si>
    <t xml:space="preserve">Intrinsic value at the scenario price, capped at the width.</t>
  </si>
  <si>
    <t xml:space="preserve">Sizing</t>
  </si>
  <si>
    <t xml:space="preserve">Barrels needed to cover the crash loss</t>
  </si>
  <si>
    <t xml:space="preserve">Crash loss / payout per barrel.</t>
  </si>
  <si>
    <t xml:space="preserve">Contracts (1,000 bbl each)</t>
  </si>
  <si>
    <t xml:space="preserve">ICE Brent is 1,000 bbl per contract.</t>
  </si>
  <si>
    <t xml:space="preserve">Premium paid ($)</t>
  </si>
  <si>
    <t xml:space="preserve">This is the risk: the most the hedge can lose.</t>
  </si>
  <si>
    <t xml:space="preserve">Premium per year if rolled quarterly ($)</t>
  </si>
  <si>
    <t xml:space="preserve">Hedge cost as % of the FX carry it protects</t>
  </si>
  <si>
    <t xml:space="preserve">The honest way to present it: you give up this slice of the carry to cap the oil tail.</t>
  </si>
  <si>
    <t xml:space="preserve">Maximum payout ($)</t>
  </si>
  <si>
    <t xml:space="preserve">Thesis in one line: two of my carry trades are long oil by construction, so I cap the tail with a Brent put spread — and I spend a slice of the carry to do it, not the whole thing. Why a spread and not a put: the sold 75% put cuts the premium roughly in half and I don't need protection below a 25% crash — at that point the trade is off anyway. Why 3m: it matches the NDF roll, so hedge and exposure expire together. What kills it: a slow grind lower in oil that never reaches the long strike — I pay the premium and the FX trades bleed anyway. That is why the strike is 10% out, not 20%. If asked why not just cut the COP: because the carry is the point; the hedge lets me keep the 7% and sleep.</t>
  </si>
  <si>
    <t xml:space="preserve">Bloomberg — what to pull on the work machine, in order</t>
  </si>
  <si>
    <t xml:space="preserve">Do these first; everything orange on Inputs turns black once they are in.</t>
  </si>
  <si>
    <t xml:space="preserve">Screen</t>
  </si>
  <si>
    <t xml:space="preserve">What to take</t>
  </si>
  <si>
    <t xml:space="preserve">Feeds</t>
  </si>
  <si>
    <t xml:space="preserve">ICVS 490 &lt;GO&gt;</t>
  </si>
  <si>
    <t xml:space="preserve">SOFR OIS: 3m, 4y, 5y, 7y, 10y, 20y, 30y. Right-click a point for the ticker if USOSFRn fails.</t>
  </si>
  <si>
    <t xml:space="preserve">US Rates, MX-US 2y2y, Credit (discounting)</t>
  </si>
  <si>
    <t xml:space="preserve">WCDS &lt;GO&gt;, Americas</t>
  </si>
  <si>
    <t xml:space="preserve">5y and 10y CDS: Chile, Colombia, Peru, Mexico.</t>
  </si>
  <si>
    <t xml:space="preserve">Credit CL-CO, Credit PE-MX</t>
  </si>
  <si>
    <t xml:space="preserve">ICVS 583 &lt;GO&gt;</t>
  </si>
  <si>
    <t xml:space="preserve">TIIE 52x1 (4y) and 65x1 (5y). Confirm the MPSW tickers.</t>
  </si>
  <si>
    <t xml:space="preserve">MX-US 2y2y</t>
  </si>
  <si>
    <t xml:space="preserve">ICVS 388 &lt;GO&gt; or ODA &lt;GO&gt;</t>
  </si>
  <si>
    <t xml:space="preserve">DI Jan-33 and Jan-35. Confirm ODFnn Comdty resolves; otherwise use the swap tickers off ICVS 388.</t>
  </si>
  <si>
    <t xml:space="preserve">BR DI</t>
  </si>
  <si>
    <t xml:space="preserve">CORR &lt;GO&gt;</t>
  </si>
  <si>
    <t xml:space="preserve">3m daily correlation: USDCOP vs USDCLP; USDBRL vs USDMXN. Paste into Inputs column E.</t>
  </si>
  <si>
    <t xml:space="preserve">FX pair vols</t>
  </si>
  <si>
    <t xml:space="preserve">FRD &lt;GO&gt;</t>
  </si>
  <si>
    <t xml:space="preserve">Check the forward-point scale for COP and CLP (points vs pips). Adjust the scale rows on Inputs if the outright looks wrong.</t>
  </si>
  <si>
    <t xml:space="preserve">FX carry</t>
  </si>
  <si>
    <t xml:space="preserve">CORRRMIN / CHOVCHOV Index</t>
  </si>
  <si>
    <t xml:space="preserve">Colombia and Chile policy rates — placeholders now.</t>
  </si>
  <si>
    <t xml:space="preserve">Talking points only</t>
  </si>
  <si>
    <t xml:space="preserve">VCUB &lt;GO&gt; / SWPM &lt;GO&gt;</t>
  </si>
  <si>
    <t xml:space="preserve">3m10y ATM forward, receiver and payer swaption premiums for the zero-cost collar.</t>
  </si>
  <si>
    <t xml:space="preserve">US Rates (option block)</t>
  </si>
  <si>
    <t xml:space="preserve">CO1 Comdty CT &lt;GO&gt; / OVDV &lt;GO&gt;</t>
  </si>
  <si>
    <t xml:space="preserve">Brent level, 3m ATM vol, and the 90% and 75% put premiums. Paste premiums into Inputs E.</t>
  </si>
  <si>
    <t xml:space="preserve">Oil Hedge</t>
  </si>
  <si>
    <t xml:space="preserve">CORR &lt;GO&gt; / regressions</t>
  </si>
  <si>
    <t xml:space="preserve">Oil betas: USDCOP, USDBRL and Colombia 5y CDS vs CO1, 3m daily. Paste into Inputs E.</t>
  </si>
  <si>
    <t xml:space="preserve">Oil Hedge sizing</t>
  </si>
  <si>
    <t xml:space="preserve">Track Record tab</t>
  </si>
  <si>
    <t xml:space="preserve">Fix the yellow dates, then let BDH pull entry/exit levels. If a cell stays blank, right-click the instrument on the terminal for the exact ticker (IBR swaps, VENZ bond, ARS NDF are the ones to check).</t>
  </si>
  <si>
    <t xml:space="preserve">Track Record</t>
  </si>
  <si>
    <t xml:space="preserve">How the live/snapshot switch works</t>
  </si>
  <si>
    <t xml:space="preserve">Every Inputs row has =IFERROR(BDP(ticker, field),"") in column D. While Bloomberg is loading it returns text, so the ACTIVE column falls back to the snapshot; the moment a number arrives the book switches to it. Set Inputs!B3 to 0 to freeze the book on the snapshot for a rehearsal. Tickers are in blue cells — if one is wrong, fix it there and nothing else needs touching.</t>
  </si>
</sst>
</file>

<file path=xl/styles.xml><?xml version="1.0" encoding="utf-8"?>
<styleSheet xmlns="http://schemas.openxmlformats.org/spreadsheetml/2006/main">
  <numFmts count="13">
    <numFmt numFmtId="164" formatCode="General"/>
    <numFmt numFmtId="165" formatCode="\$#,##0;&quot;($&quot;#,##0\);\-"/>
    <numFmt numFmtId="166" formatCode="0.00\x"/>
    <numFmt numFmtId="167" formatCode="0.00"/>
    <numFmt numFmtId="168" formatCode="0.0000"/>
    <numFmt numFmtId="169" formatCode="0.000\%"/>
    <numFmt numFmtId="170" formatCode="dd\-mmm\-yyyy"/>
    <numFmt numFmtId="171" formatCode="0"/>
    <numFmt numFmtId="172" formatCode="0.00%"/>
    <numFmt numFmtId="173" formatCode="0.0%"/>
    <numFmt numFmtId="174" formatCode="0&quot; bp&quot;;\-0&quot; bp&quot;;\-"/>
    <numFmt numFmtId="175" formatCode="0.0&quot; bp&quot;;\-0.0&quot; bp&quot;;\-"/>
    <numFmt numFmtId="176" formatCode="#,##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color rgb="FF000000"/>
      <name val="Arial"/>
      <family val="0"/>
      <charset val="1"/>
    </font>
    <font>
      <sz val="10"/>
      <color rgb="FF008000"/>
      <name val="Arial"/>
      <family val="0"/>
      <charset val="1"/>
    </font>
    <font>
      <sz val="10"/>
      <color rgb="FF0000FF"/>
      <name val="Arial"/>
      <family val="0"/>
      <charset val="1"/>
    </font>
    <font>
      <sz val="10"/>
      <name val="Arial"/>
      <family val="2"/>
    </font>
    <font>
      <b val="true"/>
      <sz val="10"/>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EEF2F8"/>
        <bgColor rgb="FFFFFFFF"/>
      </patternFill>
    </fill>
    <fill>
      <patternFill patternType="solid">
        <fgColor rgb="FFFFFF00"/>
        <bgColor rgb="FFFFFF00"/>
      </patternFill>
    </fill>
    <fill>
      <patternFill patternType="solid">
        <fgColor rgb="FFFCE4D6"/>
        <bgColor rgb="FFEEF2F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10" fillId="5"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0" fontId="10" fillId="5"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71" fontId="10" fillId="5"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7"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7" fontId="10" fillId="6"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9" fontId="10" fillId="6" borderId="1" xfId="0" applyFont="true" applyBorder="true" applyAlignment="false" applyProtection="false">
      <alignment horizontal="general" vertical="bottom" textRotation="0" wrapText="false" indent="0" shrinkToFit="false"/>
      <protection locked="true" hidden="false"/>
    </xf>
    <xf numFmtId="172" fontId="10" fillId="5" borderId="1" xfId="0" applyFont="true" applyBorder="true" applyAlignment="false" applyProtection="false">
      <alignment horizontal="general" vertical="bottom" textRotation="0" wrapText="false" indent="0" shrinkToFit="false"/>
      <protection locked="true" hidden="false"/>
    </xf>
    <xf numFmtId="172" fontId="7" fillId="4"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75" fontId="8" fillId="0" borderId="1" xfId="0" applyFont="true" applyBorder="true" applyAlignment="false" applyProtection="false">
      <alignment horizontal="general" vertical="bottom" textRotation="0" wrapText="false" indent="0" shrinkToFit="false"/>
      <protection locked="true" hidden="false"/>
    </xf>
    <xf numFmtId="174" fontId="10" fillId="5"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75" fontId="10" fillId="5"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6"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2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18"/>
    <col collapsed="false" customWidth="true" hidden="false" outlineLevel="0" max="6" min="4" style="0" width="16"/>
    <col collapsed="false" customWidth="true" hidden="false" outlineLevel="0" max="8" min="7" style="0" width="14"/>
  </cols>
  <sheetData>
    <row r="1" customFormat="false" ht="25.5" hidden="false" customHeight="true" outlineLevel="0" collapsed="false">
      <c r="A1" s="1" t="s">
        <v>0</v>
      </c>
      <c r="B1" s="1"/>
      <c r="C1" s="1"/>
      <c r="D1" s="1"/>
      <c r="E1" s="1"/>
      <c r="F1" s="1"/>
      <c r="G1" s="1"/>
      <c r="H1" s="1"/>
    </row>
    <row r="2" customFormat="false" ht="30" hidden="false" customHeight="true" outlineLevel="0" collapsed="false">
      <c r="A2" s="2" t="s">
        <v>1</v>
      </c>
      <c r="B2" s="2"/>
      <c r="C2" s="2"/>
      <c r="D2" s="2"/>
      <c r="E2" s="2"/>
      <c r="F2" s="2"/>
      <c r="G2" s="2"/>
      <c r="H2" s="2"/>
    </row>
    <row r="4" customFormat="false" ht="15" hidden="false" customHeight="false" outlineLevel="0" collapsed="false">
      <c r="A4" s="3" t="s">
        <v>2</v>
      </c>
      <c r="B4" s="3"/>
      <c r="C4" s="3"/>
      <c r="D4" s="3"/>
      <c r="E4" s="3"/>
      <c r="F4" s="3"/>
      <c r="G4" s="3"/>
      <c r="H4" s="3"/>
    </row>
    <row r="5" customFormat="false" ht="15" hidden="false" customHeight="false" outlineLevel="0" collapsed="false">
      <c r="A5" s="4" t="s">
        <v>3</v>
      </c>
      <c r="B5" s="4" t="s">
        <v>4</v>
      </c>
      <c r="C5" s="4" t="s">
        <v>5</v>
      </c>
      <c r="D5" s="4" t="s">
        <v>6</v>
      </c>
      <c r="E5" s="4" t="s">
        <v>7</v>
      </c>
      <c r="F5" s="4" t="s">
        <v>8</v>
      </c>
      <c r="G5" s="4" t="s">
        <v>9</v>
      </c>
      <c r="H5" s="4" t="s">
        <v>10</v>
      </c>
    </row>
    <row r="6" customFormat="false" ht="15" hidden="false" customHeight="false" outlineLevel="0" collapsed="false">
      <c r="A6" s="5" t="s">
        <v>11</v>
      </c>
      <c r="B6" s="6" t="s">
        <v>12</v>
      </c>
      <c r="C6" s="7" t="n">
        <f aca="false">'FX COP-CLP'!B29</f>
        <v>10000000</v>
      </c>
      <c r="D6" s="7" t="n">
        <f aca="false">'FX COP-CLP'!B35</f>
        <v>743787.67776446</v>
      </c>
      <c r="E6" s="7" t="n">
        <f aca="false">'FX COP-CLP'!B33</f>
        <v>838669.190011159</v>
      </c>
      <c r="F6" s="8" t="n">
        <f aca="false">IF(E6=0,0,D6/E6)</f>
        <v>0.886866581750266</v>
      </c>
      <c r="G6" s="9" t="n">
        <f aca="false">E6*B18</f>
        <v>716721.184926747</v>
      </c>
      <c r="H6" s="10" t="n">
        <f aca="false">B18</f>
        <v>0.854593436200048</v>
      </c>
    </row>
    <row r="7" customFormat="false" ht="15" hidden="false" customHeight="false" outlineLevel="0" collapsed="false">
      <c r="A7" s="5" t="s">
        <v>13</v>
      </c>
      <c r="B7" s="6" t="s">
        <v>14</v>
      </c>
      <c r="C7" s="7" t="n">
        <f aca="false">'FX BRL-MXN'!B29</f>
        <v>10000000</v>
      </c>
      <c r="D7" s="7" t="n">
        <f aca="false">'FX BRL-MXN'!B35</f>
        <v>414185.620441399</v>
      </c>
      <c r="E7" s="7" t="n">
        <f aca="false">'FX BRL-MXN'!B33</f>
        <v>786722.000994834</v>
      </c>
      <c r="F7" s="8" t="n">
        <f aca="false">IF(E7=0,0,D7/E7)</f>
        <v>0.526470112590786</v>
      </c>
      <c r="G7" s="9" t="n">
        <f aca="false">E7*B18</f>
        <v>672327.458164353</v>
      </c>
      <c r="H7" s="10" t="n">
        <f aca="false">B18</f>
        <v>0.854593436200048</v>
      </c>
    </row>
    <row r="8" customFormat="false" ht="15" hidden="false" customHeight="false" outlineLevel="0" collapsed="false">
      <c r="A8" s="5" t="s">
        <v>15</v>
      </c>
      <c r="B8" s="6" t="s">
        <v>16</v>
      </c>
      <c r="C8" s="7" t="n">
        <f aca="false">'MX 1y1y'!B25</f>
        <v>15000</v>
      </c>
      <c r="D8" s="7" t="n">
        <f aca="false">'MX 1y1y'!B29</f>
        <v>1344111.94572997</v>
      </c>
      <c r="E8" s="7" t="n">
        <f aca="false">'MX 1y1y'!B28</f>
        <v>375000</v>
      </c>
      <c r="F8" s="8" t="n">
        <f aca="false">IF(E8=0,0,D8/E8)</f>
        <v>3.58429852194659</v>
      </c>
      <c r="G8" s="9" t="n">
        <f aca="false">E8*B18</f>
        <v>320472.538575018</v>
      </c>
      <c r="H8" s="10" t="n">
        <f aca="false">B18</f>
        <v>0.854593436200048</v>
      </c>
    </row>
    <row r="9" customFormat="false" ht="15" hidden="false" customHeight="false" outlineLevel="0" collapsed="false">
      <c r="A9" s="5" t="s">
        <v>17</v>
      </c>
      <c r="B9" s="6" t="s">
        <v>18</v>
      </c>
      <c r="C9" s="7" t="n">
        <f aca="false">'MX-US 2y2y'!B33</f>
        <v>10000</v>
      </c>
      <c r="D9" s="7" t="n">
        <f aca="false">'MX-US 2y2y'!B37</f>
        <v>228440.00862947</v>
      </c>
      <c r="E9" s="7" t="n">
        <f aca="false">'MX-US 2y2y'!B36</f>
        <v>250000</v>
      </c>
      <c r="F9" s="8" t="n">
        <f aca="false">IF(E9=0,0,D9/E9)</f>
        <v>0.913760034517882</v>
      </c>
      <c r="G9" s="9" t="n">
        <f aca="false">E9*B18</f>
        <v>213648.359050012</v>
      </c>
      <c r="H9" s="10" t="n">
        <f aca="false">B18</f>
        <v>0.854593436200048</v>
      </c>
    </row>
    <row r="10" customFormat="false" ht="23.85" hidden="false" customHeight="false" outlineLevel="0" collapsed="false">
      <c r="A10" s="5" t="s">
        <v>19</v>
      </c>
      <c r="B10" s="6" t="s">
        <v>20</v>
      </c>
      <c r="C10" s="7" t="n">
        <f aca="false">'BR DI'!B48</f>
        <v>10000</v>
      </c>
      <c r="D10" s="7" t="n">
        <f aca="false">'BR DI'!B45</f>
        <v>-1317571.72131148</v>
      </c>
      <c r="E10" s="7" t="n">
        <f aca="false">'BR DI'!B44</f>
        <v>400000</v>
      </c>
      <c r="F10" s="8" t="n">
        <f aca="false">IF(E10=0,0,D10/E10)</f>
        <v>-3.29392930327869</v>
      </c>
      <c r="G10" s="9" t="n">
        <f aca="false">E10*B18</f>
        <v>341837.374480019</v>
      </c>
      <c r="H10" s="10" t="n">
        <f aca="false">B18</f>
        <v>0.854593436200048</v>
      </c>
    </row>
    <row r="11" customFormat="false" ht="15" hidden="false" customHeight="false" outlineLevel="0" collapsed="false">
      <c r="A11" s="5" t="s">
        <v>21</v>
      </c>
      <c r="B11" s="6" t="s">
        <v>22</v>
      </c>
      <c r="C11" s="7" t="n">
        <f aca="false">'US Rates'!B29</f>
        <v>10000</v>
      </c>
      <c r="D11" s="7" t="n">
        <f aca="false">'US Rates'!B28</f>
        <v>1253000</v>
      </c>
      <c r="E11" s="7" t="n">
        <f aca="false">'US Rates'!B32</f>
        <v>250000</v>
      </c>
      <c r="F11" s="8" t="n">
        <f aca="false">IF(E11=0,0,D11/E11)</f>
        <v>5.012</v>
      </c>
      <c r="G11" s="9" t="n">
        <f aca="false">E11*B18</f>
        <v>213648.359050012</v>
      </c>
      <c r="H11" s="10" t="n">
        <f aca="false">B18</f>
        <v>0.854593436200048</v>
      </c>
    </row>
    <row r="12" customFormat="false" ht="15" hidden="false" customHeight="false" outlineLevel="0" collapsed="false">
      <c r="A12" s="5" t="s">
        <v>23</v>
      </c>
      <c r="B12" s="6" t="s">
        <v>24</v>
      </c>
      <c r="C12" s="7" t="n">
        <f aca="false">'Credit CL-CO'!B23</f>
        <v>10000</v>
      </c>
      <c r="D12" s="7" t="n">
        <f aca="false">'Credit CL-CO'!B30</f>
        <v>-353219.714661836</v>
      </c>
      <c r="E12" s="7" t="n">
        <f aca="false">'Credit CL-CO'!B36</f>
        <v>250000</v>
      </c>
      <c r="F12" s="8" t="n">
        <f aca="false">IF(E12=0,0,D12/E12)</f>
        <v>-1.41287885864735</v>
      </c>
      <c r="G12" s="9" t="n">
        <f aca="false">E12*B18</f>
        <v>213648.359050012</v>
      </c>
      <c r="H12" s="10" t="n">
        <f aca="false">B18</f>
        <v>0.854593436200048</v>
      </c>
    </row>
    <row r="13" customFormat="false" ht="15" hidden="false" customHeight="false" outlineLevel="0" collapsed="false">
      <c r="A13" s="5" t="s">
        <v>25</v>
      </c>
      <c r="B13" s="6" t="s">
        <v>26</v>
      </c>
      <c r="C13" s="7" t="n">
        <f aca="false">'Credit PE-MX'!B23</f>
        <v>10000</v>
      </c>
      <c r="D13" s="7" t="n">
        <f aca="false">'Credit PE-MX'!B30</f>
        <v>-71840.0746311664</v>
      </c>
      <c r="E13" s="7" t="n">
        <f aca="false">'Credit PE-MX'!B36</f>
        <v>250000</v>
      </c>
      <c r="F13" s="8" t="n">
        <f aca="false">IF(E13=0,0,D13/E13)</f>
        <v>-0.287360298524666</v>
      </c>
      <c r="G13" s="9" t="n">
        <f aca="false">E13*B18</f>
        <v>213648.359050012</v>
      </c>
      <c r="H13" s="10" t="n">
        <f aca="false">B18</f>
        <v>0.854593436200048</v>
      </c>
    </row>
    <row r="14" customFormat="false" ht="15" hidden="false" customHeight="false" outlineLevel="0" collapsed="false">
      <c r="A14" s="5" t="s">
        <v>27</v>
      </c>
      <c r="B14" s="6" t="s">
        <v>28</v>
      </c>
      <c r="C14" s="7" t="n">
        <f aca="false">'Oil Hedge'!B33</f>
        <v>71</v>
      </c>
      <c r="D14" s="7" t="n">
        <f aca="false">-'Oil Hedge'!B35</f>
        <v>-440200</v>
      </c>
      <c r="E14" s="7" t="n">
        <f aca="false">'Oil Hedge'!B34</f>
        <v>110050</v>
      </c>
      <c r="F14" s="8" t="n">
        <f aca="false">IF(E14=0,0,D14/E14)</f>
        <v>-4</v>
      </c>
      <c r="G14" s="9" t="n">
        <f aca="false">E14*B18</f>
        <v>94048.0076538153</v>
      </c>
      <c r="H14" s="10" t="n">
        <f aca="false">B18</f>
        <v>0.854593436200048</v>
      </c>
    </row>
    <row r="15" customFormat="false" ht="15" hidden="false" customHeight="false" outlineLevel="0" collapsed="false">
      <c r="A15" s="5" t="s">
        <v>29</v>
      </c>
      <c r="D15" s="11" t="n">
        <f aca="false">SUM(D6:D14)</f>
        <v>1800693.74196082</v>
      </c>
      <c r="E15" s="11" t="n">
        <f aca="false">SUM(E6:E14)</f>
        <v>3510441.19100599</v>
      </c>
      <c r="G15" s="12" t="n">
        <f aca="false">SUM(G6:G14)</f>
        <v>3000000</v>
      </c>
    </row>
    <row r="16" customFormat="false" ht="15" hidden="false" customHeight="false" outlineLevel="0" collapsed="false">
      <c r="A16" s="13" t="s">
        <v>30</v>
      </c>
      <c r="B16" s="7" t="n">
        <f aca="false">Inputs!$F$93</f>
        <v>3000000</v>
      </c>
    </row>
    <row r="17" customFormat="false" ht="15" hidden="false" customHeight="false" outlineLevel="0" collapsed="false">
      <c r="A17" s="13" t="s">
        <v>31</v>
      </c>
      <c r="B17" s="9" t="n">
        <f aca="false">E15-B16</f>
        <v>510441.191005992</v>
      </c>
    </row>
    <row r="18" customFormat="false" ht="53.7" hidden="false" customHeight="false" outlineLevel="0" collapsed="false">
      <c r="A18" s="13" t="s">
        <v>32</v>
      </c>
      <c r="B18" s="10" t="n">
        <f aca="false">IF(E15=0,1,MIN(1,B16/E15))</f>
        <v>0.854593436200048</v>
      </c>
      <c r="C18" s="14" t="s">
        <v>33</v>
      </c>
    </row>
    <row r="20" customFormat="false" ht="15" hidden="false" customHeight="false" outlineLevel="0" collapsed="false">
      <c r="A20" s="3" t="s">
        <v>34</v>
      </c>
      <c r="B20" s="3"/>
      <c r="C20" s="3"/>
      <c r="D20" s="3"/>
      <c r="E20" s="3"/>
      <c r="F20" s="3"/>
      <c r="G20" s="3"/>
      <c r="H20" s="3"/>
    </row>
    <row r="22" customFormat="false" ht="15" hidden="false" customHeight="false" outlineLevel="0" collapsed="false">
      <c r="A22" s="3" t="s">
        <v>35</v>
      </c>
      <c r="B22" s="3"/>
      <c r="C22" s="3"/>
      <c r="D22" s="3"/>
      <c r="E22" s="3"/>
      <c r="F22" s="3"/>
      <c r="G22" s="3"/>
      <c r="H22" s="3"/>
    </row>
    <row r="23" customFormat="false" ht="15" hidden="false" customHeight="false" outlineLevel="0" collapsed="false">
      <c r="A23" s="4" t="s">
        <v>36</v>
      </c>
      <c r="B23" s="4" t="s">
        <v>37</v>
      </c>
      <c r="C23" s="4"/>
      <c r="D23" s="4"/>
      <c r="E23" s="4"/>
      <c r="F23" s="4"/>
      <c r="G23" s="4"/>
      <c r="H23" s="4"/>
    </row>
    <row r="24" customFormat="false" ht="31.5" hidden="false" customHeight="true" outlineLevel="0" collapsed="false">
      <c r="A24" s="15" t="s">
        <v>38</v>
      </c>
      <c r="B24" s="16" t="s">
        <v>39</v>
      </c>
      <c r="C24" s="16"/>
      <c r="D24" s="16"/>
      <c r="E24" s="16"/>
      <c r="F24" s="16"/>
      <c r="G24" s="16"/>
      <c r="H24" s="16"/>
    </row>
    <row r="25" customFormat="false" ht="31.5" hidden="false" customHeight="true" outlineLevel="0" collapsed="false">
      <c r="A25" s="15" t="s">
        <v>40</v>
      </c>
      <c r="B25" s="16" t="s">
        <v>41</v>
      </c>
      <c r="C25" s="16"/>
      <c r="D25" s="16"/>
      <c r="E25" s="16"/>
      <c r="F25" s="16"/>
      <c r="G25" s="16"/>
      <c r="H25" s="16"/>
    </row>
    <row r="26" customFormat="false" ht="31.5" hidden="false" customHeight="true" outlineLevel="0" collapsed="false">
      <c r="A26" s="15" t="s">
        <v>42</v>
      </c>
      <c r="B26" s="16" t="s">
        <v>43</v>
      </c>
      <c r="C26" s="16"/>
      <c r="D26" s="16"/>
      <c r="E26" s="16"/>
      <c r="F26" s="16"/>
      <c r="G26" s="16"/>
      <c r="H26" s="16"/>
    </row>
    <row r="27" customFormat="false" ht="31.5" hidden="false" customHeight="true" outlineLevel="0" collapsed="false">
      <c r="A27" s="15" t="s">
        <v>44</v>
      </c>
      <c r="B27" s="16" t="s">
        <v>45</v>
      </c>
      <c r="C27" s="16"/>
      <c r="D27" s="16"/>
      <c r="E27" s="16"/>
      <c r="F27" s="16"/>
      <c r="G27" s="16"/>
      <c r="H27" s="16"/>
    </row>
    <row r="28" customFormat="false" ht="31.5" hidden="false" customHeight="true" outlineLevel="0" collapsed="false">
      <c r="A28" s="15" t="s">
        <v>46</v>
      </c>
      <c r="B28" s="16" t="s">
        <v>47</v>
      </c>
      <c r="C28" s="16"/>
      <c r="D28" s="16"/>
      <c r="E28" s="16"/>
      <c r="F28" s="16"/>
      <c r="G28" s="16"/>
      <c r="H28" s="16"/>
    </row>
    <row r="29" customFormat="false" ht="31.5" hidden="false" customHeight="true" outlineLevel="0" collapsed="false">
      <c r="A29" s="15" t="s">
        <v>48</v>
      </c>
      <c r="B29" s="16" t="s">
        <v>49</v>
      </c>
      <c r="C29" s="16"/>
      <c r="D29" s="16"/>
      <c r="E29" s="16"/>
      <c r="F29" s="16"/>
      <c r="G29" s="16"/>
      <c r="H29" s="16"/>
    </row>
    <row r="31" customFormat="false" ht="15" hidden="false" customHeight="false" outlineLevel="0" collapsed="false">
      <c r="A31" s="3" t="s">
        <v>50</v>
      </c>
      <c r="B31" s="3"/>
      <c r="C31" s="3"/>
      <c r="D31" s="3"/>
      <c r="E31" s="3"/>
      <c r="F31" s="3"/>
      <c r="G31" s="3"/>
      <c r="H31" s="3"/>
    </row>
    <row r="32" customFormat="false" ht="15" hidden="false" customHeight="true" outlineLevel="0" collapsed="false">
      <c r="A32" s="17" t="s">
        <v>51</v>
      </c>
      <c r="B32" s="17"/>
      <c r="C32" s="17"/>
      <c r="D32" s="17"/>
      <c r="E32" s="17"/>
      <c r="F32" s="17"/>
      <c r="G32" s="17"/>
      <c r="H32" s="17"/>
    </row>
    <row r="33" customFormat="false" ht="30" hidden="false" customHeight="true" outlineLevel="0" collapsed="false">
      <c r="A33" s="17" t="s">
        <v>52</v>
      </c>
      <c r="B33" s="17"/>
      <c r="C33" s="17"/>
      <c r="D33" s="17"/>
      <c r="E33" s="17"/>
      <c r="F33" s="17"/>
      <c r="G33" s="17"/>
      <c r="H33" s="17"/>
    </row>
    <row r="34" customFormat="false" ht="15" hidden="false" customHeight="true" outlineLevel="0" collapsed="false">
      <c r="A34" s="17" t="s">
        <v>53</v>
      </c>
      <c r="B34" s="17"/>
      <c r="C34" s="17"/>
      <c r="D34" s="17"/>
      <c r="E34" s="17"/>
      <c r="F34" s="17"/>
      <c r="G34" s="17"/>
      <c r="H34" s="17"/>
    </row>
    <row r="35" customFormat="false" ht="15" hidden="false" customHeight="true" outlineLevel="0" collapsed="false">
      <c r="A35" s="17" t="s">
        <v>54</v>
      </c>
      <c r="B35" s="17"/>
      <c r="C35" s="17"/>
      <c r="D35" s="17"/>
      <c r="E35" s="17"/>
      <c r="F35" s="17"/>
      <c r="G35" s="17"/>
      <c r="H35" s="17"/>
    </row>
    <row r="36" customFormat="false" ht="30" hidden="false" customHeight="true" outlineLevel="0" collapsed="false">
      <c r="A36" s="17" t="s">
        <v>55</v>
      </c>
      <c r="B36" s="17"/>
      <c r="C36" s="17"/>
      <c r="D36" s="17"/>
      <c r="E36" s="17"/>
      <c r="F36" s="17"/>
      <c r="G36" s="17"/>
      <c r="H36" s="17"/>
    </row>
  </sheetData>
  <mergeCells count="17">
    <mergeCell ref="A1:H1"/>
    <mergeCell ref="A2:H2"/>
    <mergeCell ref="A4:H4"/>
    <mergeCell ref="A20:H20"/>
    <mergeCell ref="A22:H22"/>
    <mergeCell ref="B24:H24"/>
    <mergeCell ref="B25:H25"/>
    <mergeCell ref="B26:H26"/>
    <mergeCell ref="B27:H27"/>
    <mergeCell ref="B28:H28"/>
    <mergeCell ref="B29:H29"/>
    <mergeCell ref="A31:H31"/>
    <mergeCell ref="A32:H32"/>
    <mergeCell ref="A33:H33"/>
    <mergeCell ref="A34:H34"/>
    <mergeCell ref="A35:H35"/>
    <mergeCell ref="A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4" min="3" style="0" width="14"/>
    <col collapsed="false" customWidth="true" hidden="false" outlineLevel="0" max="5" min="5" style="0" width="12"/>
    <col collapsed="false" customWidth="true" hidden="false" outlineLevel="0" max="8" min="6" style="0" width="14"/>
    <col collapsed="false" customWidth="true" hidden="false" outlineLevel="0" max="9" min="9" style="0" width="12"/>
    <col collapsed="false" customWidth="true" hidden="false" outlineLevel="0" max="10" min="10" style="0" width="16"/>
    <col collapsed="false" customWidth="true" hidden="false" outlineLevel="0" max="11" min="11" style="0" width="50"/>
    <col collapsed="false" customWidth="true" hidden="false" outlineLevel="0" max="12" min="12" style="0" width="46"/>
    <col collapsed="false" customWidth="true" hidden="false" outlineLevel="0" max="13" min="13" style="0" width="30"/>
  </cols>
  <sheetData>
    <row r="1" customFormat="false" ht="25.5" hidden="false" customHeight="true" outlineLevel="0" collapsed="false">
      <c r="A1" s="1" t="s">
        <v>56</v>
      </c>
      <c r="B1" s="1"/>
      <c r="C1" s="1"/>
      <c r="D1" s="1"/>
      <c r="E1" s="1"/>
      <c r="F1" s="1"/>
      <c r="G1" s="1"/>
      <c r="H1" s="1"/>
      <c r="I1" s="1"/>
      <c r="J1" s="1"/>
      <c r="K1" s="1"/>
      <c r="L1" s="1"/>
      <c r="M1" s="1"/>
    </row>
    <row r="2" customFormat="false" ht="30" hidden="false" customHeight="true" outlineLevel="0" collapsed="false">
      <c r="A2" s="2" t="s">
        <v>57</v>
      </c>
      <c r="B2" s="2"/>
      <c r="C2" s="2"/>
      <c r="D2" s="2"/>
      <c r="E2" s="2"/>
      <c r="F2" s="2"/>
      <c r="G2" s="2"/>
      <c r="H2" s="2"/>
      <c r="I2" s="2"/>
      <c r="J2" s="2"/>
      <c r="K2" s="2"/>
      <c r="L2" s="2"/>
      <c r="M2" s="2"/>
    </row>
    <row r="4" customFormat="false" ht="23.85" hidden="false" customHeight="false" outlineLevel="0" collapsed="false">
      <c r="A4" s="4" t="s">
        <v>3</v>
      </c>
      <c r="B4" s="4" t="s">
        <v>58</v>
      </c>
      <c r="C4" s="4" t="s">
        <v>59</v>
      </c>
      <c r="D4" s="4" t="s">
        <v>60</v>
      </c>
      <c r="E4" s="4" t="s">
        <v>61</v>
      </c>
      <c r="F4" s="4" t="s">
        <v>62</v>
      </c>
      <c r="G4" s="4" t="s">
        <v>6</v>
      </c>
      <c r="H4" s="4" t="s">
        <v>63</v>
      </c>
      <c r="I4" s="4" t="s">
        <v>64</v>
      </c>
      <c r="J4" s="4" t="s">
        <v>65</v>
      </c>
      <c r="K4" s="4" t="s">
        <v>66</v>
      </c>
      <c r="L4" s="4" t="s">
        <v>67</v>
      </c>
      <c r="M4" s="4" t="s">
        <v>68</v>
      </c>
    </row>
    <row r="5" customFormat="false" ht="120" hidden="false" customHeight="true" outlineLevel="0" collapsed="false">
      <c r="A5" s="5" t="s">
        <v>11</v>
      </c>
      <c r="B5" s="6" t="s">
        <v>69</v>
      </c>
      <c r="C5" s="18" t="n">
        <f aca="false">'FX COP-CLP'!B13</f>
        <v>0.308527307038946</v>
      </c>
      <c r="D5" s="19" t="n">
        <v>0.3085</v>
      </c>
      <c r="E5" s="20" t="n">
        <f aca="false">C5/D5-1</f>
        <v>8.85155233241175E-005</v>
      </c>
      <c r="F5" s="9" t="n">
        <f aca="false">'FX COP-CLP'!B29*(C5/D5-1)</f>
        <v>885.155233241175</v>
      </c>
      <c r="G5" s="7" t="n">
        <f aca="false">'FX COP-CLP'!B35</f>
        <v>743787.67776446</v>
      </c>
      <c r="H5" s="18" t="n">
        <f aca="false">'FX COP-CLP'!B32</f>
        <v>0.282652072369878</v>
      </c>
      <c r="I5" s="20" t="n">
        <f aca="false">C5/H5-1</f>
        <v>0.0915444718028013</v>
      </c>
      <c r="J5" s="6" t="s">
        <v>70</v>
      </c>
      <c r="K5" s="6" t="s">
        <v>71</v>
      </c>
      <c r="L5" s="6" t="s">
        <v>72</v>
      </c>
      <c r="M5" s="6" t="s">
        <v>73</v>
      </c>
    </row>
    <row r="6" customFormat="false" ht="120" hidden="false" customHeight="true" outlineLevel="0" collapsed="false">
      <c r="A6" s="5" t="s">
        <v>13</v>
      </c>
      <c r="B6" s="6" t="s">
        <v>74</v>
      </c>
      <c r="C6" s="18" t="n">
        <f aca="false">'FX BRL-MXN'!B13</f>
        <v>3.65476770670672</v>
      </c>
      <c r="D6" s="19" t="n">
        <v>3.6548</v>
      </c>
      <c r="E6" s="20" t="n">
        <f aca="false">C6/D6-1</f>
        <v>-8.8358578536063E-006</v>
      </c>
      <c r="F6" s="9" t="n">
        <f aca="false">'FX BRL-MXN'!B29*(C6/D6-1)</f>
        <v>-88.358578536063</v>
      </c>
      <c r="G6" s="7" t="n">
        <f aca="false">'FX BRL-MXN'!B35</f>
        <v>414185.620441399</v>
      </c>
      <c r="H6" s="18" t="n">
        <f aca="false">'FX BRL-MXN'!B32</f>
        <v>3.36723909036756</v>
      </c>
      <c r="I6" s="20" t="n">
        <f aca="false">C6/H6-1</f>
        <v>0.0853900209111005</v>
      </c>
      <c r="J6" s="6" t="s">
        <v>75</v>
      </c>
      <c r="K6" s="6" t="s">
        <v>76</v>
      </c>
      <c r="L6" s="6" t="s">
        <v>77</v>
      </c>
      <c r="M6" s="6" t="s">
        <v>78</v>
      </c>
    </row>
    <row r="7" customFormat="false" ht="120" hidden="false" customHeight="true" outlineLevel="0" collapsed="false">
      <c r="A7" s="5" t="s">
        <v>15</v>
      </c>
      <c r="B7" s="6" t="s">
        <v>79</v>
      </c>
      <c r="C7" s="21" t="n">
        <f aca="false">'MX 1y1y'!B9</f>
        <v>7.52957463048665</v>
      </c>
      <c r="D7" s="22" t="n">
        <v>7.53</v>
      </c>
      <c r="E7" s="23" t="n">
        <f aca="false">C7-D7</f>
        <v>-0.000425369513354035</v>
      </c>
      <c r="F7" s="9" t="n">
        <f aca="false">(D7-C7)*100*'MX 1y1y'!B25</f>
        <v>638.054270031052</v>
      </c>
      <c r="G7" s="7" t="n">
        <f aca="false">'MX 1y1y'!B29</f>
        <v>1344111.94572997</v>
      </c>
      <c r="H7" s="21" t="n">
        <f aca="false">'MX 1y1y'!B27</f>
        <v>7.77957463048665</v>
      </c>
      <c r="I7" s="23" t="n">
        <f aca="false">H7-C7</f>
        <v>0.25</v>
      </c>
      <c r="J7" s="6" t="s">
        <v>80</v>
      </c>
      <c r="K7" s="6" t="s">
        <v>81</v>
      </c>
      <c r="L7" s="6" t="s">
        <v>82</v>
      </c>
      <c r="M7" s="6" t="s">
        <v>83</v>
      </c>
    </row>
    <row r="8" customFormat="false" ht="120" hidden="false" customHeight="true" outlineLevel="0" collapsed="false">
      <c r="A8" s="5" t="s">
        <v>17</v>
      </c>
      <c r="B8" s="6" t="s">
        <v>84</v>
      </c>
      <c r="C8" s="24" t="n">
        <f aca="false">'MX-US 2y2y'!B23</f>
        <v>320.490175342751</v>
      </c>
      <c r="D8" s="25" t="n">
        <v>320.49</v>
      </c>
      <c r="E8" s="10" t="n">
        <f aca="false">C8-D8</f>
        <v>0.00017534275127673</v>
      </c>
      <c r="F8" s="9" t="n">
        <f aca="false">(D8-C8)*'MX-US 2y2y'!B33</f>
        <v>-1.7534275127673</v>
      </c>
      <c r="G8" s="7" t="n">
        <f aca="false">'MX-US 2y2y'!B37</f>
        <v>228440.00862947</v>
      </c>
      <c r="H8" s="24" t="n">
        <f aca="false">'MX-US 2y2y'!B35</f>
        <v>345.490175342751</v>
      </c>
      <c r="I8" s="10" t="n">
        <f aca="false">H8-C8</f>
        <v>25</v>
      </c>
      <c r="J8" s="6" t="s">
        <v>85</v>
      </c>
      <c r="K8" s="6" t="s">
        <v>86</v>
      </c>
      <c r="L8" s="6" t="s">
        <v>87</v>
      </c>
      <c r="M8" s="6" t="s">
        <v>88</v>
      </c>
    </row>
    <row r="9" customFormat="false" ht="120" hidden="false" customHeight="true" outlineLevel="0" collapsed="false">
      <c r="A9" s="5" t="s">
        <v>19</v>
      </c>
      <c r="B9" s="6" t="s">
        <v>89</v>
      </c>
      <c r="C9" s="18" t="n">
        <f aca="false">'BR DI'!B46</f>
        <v>12.44625</v>
      </c>
      <c r="D9" s="19" t="n">
        <v>12.4463</v>
      </c>
      <c r="E9" s="20" t="n">
        <f aca="false">C9-D9</f>
        <v>-5.00000000016598E-005</v>
      </c>
      <c r="F9" s="9" t="n">
        <f aca="false">(D9-C9)*IF('BR DI'!B43="A",100,1)*'BR DI'!B48</f>
        <v>50.0000000016598</v>
      </c>
      <c r="G9" s="7" t="n">
        <f aca="false">'BR DI'!B45</f>
        <v>-1317571.72131148</v>
      </c>
      <c r="H9" s="18" t="n">
        <f aca="false">'BR DI'!B47</f>
        <v>12.84625</v>
      </c>
      <c r="I9" s="20" t="n">
        <f aca="false">H9-C9</f>
        <v>0.4</v>
      </c>
      <c r="J9" s="6" t="s">
        <v>90</v>
      </c>
      <c r="K9" s="6" t="s">
        <v>91</v>
      </c>
      <c r="L9" s="6" t="s">
        <v>92</v>
      </c>
      <c r="M9" s="6" t="s">
        <v>93</v>
      </c>
    </row>
    <row r="10" customFormat="false" ht="120" hidden="false" customHeight="true" outlineLevel="0" collapsed="false">
      <c r="A10" s="5" t="s">
        <v>21</v>
      </c>
      <c r="B10" s="6" t="s">
        <v>94</v>
      </c>
      <c r="C10" s="21" t="n">
        <f aca="false">'US Rates'!B11</f>
        <v>5</v>
      </c>
      <c r="D10" s="22" t="n">
        <v>5</v>
      </c>
      <c r="E10" s="23" t="n">
        <f aca="false">C10-D10</f>
        <v>0</v>
      </c>
      <c r="F10" s="9" t="n">
        <f aca="false">(D10-C10)*100*'US Rates'!B16+('US Rates'!B8-4.6635)*100*'US Rates'!B22</f>
        <v>0</v>
      </c>
      <c r="G10" s="7" t="n">
        <f aca="false">'US Rates'!B28</f>
        <v>1253000</v>
      </c>
      <c r="H10" s="21" t="n">
        <f aca="false">'US Rates'!B31</f>
        <v>5.25</v>
      </c>
      <c r="I10" s="23" t="n">
        <f aca="false">H10-C10</f>
        <v>0.25</v>
      </c>
      <c r="J10" s="6" t="s">
        <v>95</v>
      </c>
      <c r="K10" s="6" t="s">
        <v>96</v>
      </c>
      <c r="L10" s="6" t="s">
        <v>97</v>
      </c>
      <c r="M10" s="6" t="s">
        <v>98</v>
      </c>
    </row>
    <row r="11" customFormat="false" ht="120" hidden="false" customHeight="true" outlineLevel="0" collapsed="false">
      <c r="A11" s="5" t="s">
        <v>23</v>
      </c>
      <c r="B11" s="6" t="s">
        <v>99</v>
      </c>
      <c r="C11" s="24" t="n">
        <f aca="false">'Credit CL-CO'!B10</f>
        <v>145</v>
      </c>
      <c r="D11" s="25" t="n">
        <v>145</v>
      </c>
      <c r="E11" s="10" t="n">
        <f aca="false">C11-D11</f>
        <v>0</v>
      </c>
      <c r="F11" s="9" t="n">
        <f aca="false">(C11-D11)*'Credit CL-CO'!B23</f>
        <v>0</v>
      </c>
      <c r="G11" s="7" t="n">
        <f aca="false">'Credit CL-CO'!B30</f>
        <v>-353219.714661836</v>
      </c>
      <c r="H11" s="24" t="n">
        <f aca="false">'Credit CL-CO'!B35</f>
        <v>120</v>
      </c>
      <c r="I11" s="10" t="n">
        <f aca="false">C11-H11</f>
        <v>25</v>
      </c>
      <c r="J11" s="6" t="s">
        <v>100</v>
      </c>
      <c r="K11" s="6" t="s">
        <v>101</v>
      </c>
      <c r="L11" s="6" t="s">
        <v>102</v>
      </c>
      <c r="M11" s="6" t="s">
        <v>103</v>
      </c>
    </row>
    <row r="12" customFormat="false" ht="120" hidden="false" customHeight="true" outlineLevel="0" collapsed="false">
      <c r="A12" s="5" t="s">
        <v>25</v>
      </c>
      <c r="B12" s="6" t="s">
        <v>104</v>
      </c>
      <c r="C12" s="24" t="n">
        <f aca="false">'Credit PE-MX'!B10</f>
        <v>30</v>
      </c>
      <c r="D12" s="25" t="n">
        <v>30</v>
      </c>
      <c r="E12" s="10" t="n">
        <f aca="false">C12-D12</f>
        <v>0</v>
      </c>
      <c r="F12" s="9" t="n">
        <f aca="false">(C12-D12)*'Credit PE-MX'!B23</f>
        <v>0</v>
      </c>
      <c r="G12" s="7" t="n">
        <f aca="false">'Credit PE-MX'!B30</f>
        <v>-71840.0746311664</v>
      </c>
      <c r="H12" s="24" t="n">
        <f aca="false">'Credit PE-MX'!B35</f>
        <v>5</v>
      </c>
      <c r="I12" s="10" t="n">
        <f aca="false">C12-H12</f>
        <v>25</v>
      </c>
      <c r="J12" s="6" t="s">
        <v>105</v>
      </c>
      <c r="K12" s="6" t="s">
        <v>106</v>
      </c>
      <c r="L12" s="6" t="s">
        <v>107</v>
      </c>
      <c r="M12" s="6" t="s">
        <v>108</v>
      </c>
    </row>
    <row r="13" customFormat="false" ht="120" hidden="false" customHeight="true" outlineLevel="0" collapsed="false">
      <c r="A13" s="5" t="s">
        <v>27</v>
      </c>
      <c r="B13" s="6" t="s">
        <v>109</v>
      </c>
      <c r="C13" s="24" t="n">
        <f aca="false">'Oil Hedge'!B17</f>
        <v>70</v>
      </c>
      <c r="D13" s="25" t="n">
        <v>70</v>
      </c>
      <c r="E13" s="10" t="n">
        <f aca="false">C13-D13</f>
        <v>0</v>
      </c>
      <c r="F13" s="9" t="n">
        <f aca="false">-'Oil Hedge'!B34</f>
        <v>-110050</v>
      </c>
      <c r="G13" s="7" t="n">
        <f aca="false">-'Oil Hedge'!B35</f>
        <v>-440200</v>
      </c>
      <c r="H13" s="24" t="n">
        <f aca="false">'Oil Hedge'!B21</f>
        <v>63</v>
      </c>
      <c r="I13" s="10" t="n">
        <f aca="false">C13-H13</f>
        <v>7</v>
      </c>
      <c r="J13" s="6" t="s">
        <v>110</v>
      </c>
      <c r="K13" s="6" t="s">
        <v>111</v>
      </c>
      <c r="L13" s="6" t="s">
        <v>112</v>
      </c>
      <c r="M13" s="6" t="s">
        <v>113</v>
      </c>
    </row>
    <row r="15" customFormat="false" ht="15" hidden="false" customHeight="false" outlineLevel="0" collapsed="false">
      <c r="A15" s="3" t="s">
        <v>114</v>
      </c>
      <c r="B15" s="3"/>
      <c r="C15" s="3"/>
      <c r="D15" s="3"/>
      <c r="E15" s="3"/>
      <c r="F15" s="3"/>
      <c r="G15" s="3"/>
      <c r="H15" s="3"/>
      <c r="I15" s="3"/>
      <c r="J15" s="3"/>
      <c r="K15" s="3"/>
      <c r="L15" s="3"/>
      <c r="M15" s="3"/>
    </row>
    <row r="16" customFormat="false" ht="15" hidden="false" customHeight="false" outlineLevel="0" collapsed="false">
      <c r="A16" s="13" t="s">
        <v>115</v>
      </c>
      <c r="B16" s="9" t="n">
        <f aca="false">SUM(F4:F12)</f>
        <v>1483.09749722506</v>
      </c>
    </row>
    <row r="17" customFormat="false" ht="23.85" hidden="false" customHeight="false" outlineLevel="0" collapsed="false">
      <c r="A17" s="13" t="s">
        <v>116</v>
      </c>
      <c r="B17" s="7" t="n">
        <f aca="false">Summary!D15</f>
        <v>1800693.74196082</v>
      </c>
    </row>
    <row r="18" customFormat="false" ht="15" hidden="false" customHeight="false" outlineLevel="0" collapsed="false">
      <c r="A18" s="13" t="s">
        <v>117</v>
      </c>
      <c r="B18" s="7" t="n">
        <f aca="false">Summary!E15</f>
        <v>3510441.19100599</v>
      </c>
    </row>
    <row r="19" customFormat="false" ht="15" hidden="false" customHeight="false" outlineLevel="0" collapsed="false">
      <c r="A19" s="13" t="s">
        <v>31</v>
      </c>
      <c r="B19" s="7" t="n">
        <f aca="false">Summary!B17</f>
        <v>510441.191005992</v>
      </c>
    </row>
    <row r="21" customFormat="false" ht="15" hidden="false" customHeight="false" outlineLevel="0" collapsed="false">
      <c r="A21" s="3" t="s">
        <v>118</v>
      </c>
      <c r="B21" s="3"/>
      <c r="C21" s="3"/>
      <c r="D21" s="3"/>
      <c r="E21" s="3"/>
      <c r="F21" s="3"/>
      <c r="G21" s="3"/>
      <c r="H21" s="3"/>
      <c r="I21" s="3"/>
      <c r="J21" s="3"/>
      <c r="K21" s="3"/>
      <c r="L21" s="3"/>
      <c r="M21" s="3"/>
    </row>
    <row r="22" customFormat="false" ht="48" hidden="false" customHeight="true" outlineLevel="0" collapsed="false">
      <c r="A22" s="17" t="s">
        <v>119</v>
      </c>
      <c r="B22" s="17"/>
      <c r="C22" s="17"/>
      <c r="D22" s="17"/>
      <c r="E22" s="17"/>
      <c r="F22" s="17"/>
      <c r="G22" s="17"/>
      <c r="H22" s="17"/>
      <c r="I22" s="17"/>
      <c r="J22" s="17"/>
      <c r="K22" s="17"/>
      <c r="L22" s="17"/>
      <c r="M22" s="17"/>
    </row>
  </sheetData>
  <mergeCells count="5">
    <mergeCell ref="A1:M1"/>
    <mergeCell ref="A2:M2"/>
    <mergeCell ref="A15:M15"/>
    <mergeCell ref="A21:M21"/>
    <mergeCell ref="A22:M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4"/>
    <col collapsed="false" customWidth="true" hidden="false" outlineLevel="0" max="5" min="4" style="0" width="30"/>
    <col collapsed="false" customWidth="true" hidden="false" outlineLevel="0" max="6" min="6" style="0" width="12"/>
    <col collapsed="false" customWidth="true" hidden="false" outlineLevel="0" max="14" min="7" style="0" width="13"/>
    <col collapsed="false" customWidth="true" hidden="false" outlineLevel="0" max="15" min="15" style="0" width="8"/>
    <col collapsed="false" customWidth="true" hidden="false" outlineLevel="0" max="16" min="16" style="0" width="10"/>
    <col collapsed="false" customWidth="true" hidden="false" outlineLevel="0" max="17" min="17" style="0" width="50"/>
  </cols>
  <sheetData>
    <row r="1" customFormat="false" ht="25.5" hidden="false" customHeight="true" outlineLevel="0" collapsed="false">
      <c r="A1" s="1" t="s">
        <v>120</v>
      </c>
      <c r="B1" s="1"/>
      <c r="C1" s="1"/>
      <c r="D1" s="1"/>
      <c r="E1" s="1"/>
      <c r="F1" s="1"/>
      <c r="G1" s="1"/>
      <c r="H1" s="1"/>
      <c r="I1" s="1"/>
      <c r="J1" s="1"/>
      <c r="K1" s="1"/>
      <c r="L1" s="1"/>
      <c r="M1" s="1"/>
      <c r="N1" s="1"/>
      <c r="O1" s="1"/>
      <c r="P1" s="1"/>
      <c r="Q1" s="1"/>
    </row>
    <row r="2" customFormat="false" ht="30" hidden="false" customHeight="true" outlineLevel="0" collapsed="false">
      <c r="A2" s="2" t="s">
        <v>121</v>
      </c>
      <c r="B2" s="2"/>
      <c r="C2" s="2"/>
      <c r="D2" s="2"/>
      <c r="E2" s="2"/>
      <c r="F2" s="2"/>
      <c r="G2" s="2"/>
      <c r="H2" s="2"/>
      <c r="I2" s="2"/>
      <c r="J2" s="2"/>
      <c r="K2" s="2"/>
      <c r="L2" s="2"/>
      <c r="M2" s="2"/>
      <c r="N2" s="2"/>
      <c r="O2" s="2"/>
      <c r="P2" s="2"/>
      <c r="Q2" s="2"/>
    </row>
    <row r="4" customFormat="false" ht="23.85" hidden="false" customHeight="false" outlineLevel="0" collapsed="false">
      <c r="A4" s="4" t="s">
        <v>122</v>
      </c>
      <c r="B4" s="4" t="s">
        <v>3</v>
      </c>
      <c r="C4" s="4" t="s">
        <v>123</v>
      </c>
      <c r="D4" s="4" t="s">
        <v>124</v>
      </c>
      <c r="E4" s="4" t="s">
        <v>125</v>
      </c>
      <c r="F4" s="4" t="s">
        <v>126</v>
      </c>
      <c r="G4" s="4" t="s">
        <v>127</v>
      </c>
      <c r="H4" s="4" t="s">
        <v>128</v>
      </c>
      <c r="I4" s="4" t="s">
        <v>129</v>
      </c>
      <c r="J4" s="4" t="s">
        <v>130</v>
      </c>
      <c r="K4" s="4" t="s">
        <v>131</v>
      </c>
      <c r="L4" s="4" t="s">
        <v>132</v>
      </c>
      <c r="M4" s="4" t="s">
        <v>133</v>
      </c>
      <c r="N4" s="4" t="s">
        <v>134</v>
      </c>
      <c r="O4" s="4" t="s">
        <v>135</v>
      </c>
      <c r="P4" s="4" t="s">
        <v>136</v>
      </c>
      <c r="Q4" s="4" t="s">
        <v>137</v>
      </c>
    </row>
    <row r="5" customFormat="false" ht="57.75" hidden="false" customHeight="true" outlineLevel="0" collapsed="false">
      <c r="A5" s="5" t="n">
        <v>1</v>
      </c>
      <c r="B5" s="6" t="s">
        <v>138</v>
      </c>
      <c r="C5" s="26" t="s">
        <v>139</v>
      </c>
      <c r="D5" s="27" t="s">
        <v>140</v>
      </c>
      <c r="E5" s="27" t="s">
        <v>141</v>
      </c>
      <c r="F5" s="27" t="s">
        <v>142</v>
      </c>
      <c r="G5" s="28" t="n">
        <v>42598</v>
      </c>
      <c r="H5" s="28" t="n">
        <v>42717</v>
      </c>
      <c r="I5" s="20" t="str">
        <f aca="false">IFERROR(bdh($D5,$F5,TEXT($G5,"yyyymmdd"),TEXT($G5,"yyyymmdd"),"Dates=H")-IF($E5="",0,bdh($E5,$F5,TEXT($G5,"yyyymmdd"),TEXT($G5,"yyyymmdd"),"Dates=H")),"")</f>
        <v/>
      </c>
      <c r="J5" s="20" t="str">
        <f aca="false">IFERROR(bdh($D5,$F5,TEXT($H5,"yyyymmdd"),TEXT($H5,"yyyymmdd"),"Dates=H")-IF($E5="",0,bdh($E5,$F5,TEXT($H5,"yyyymmdd"),TEXT($H5,"yyyymmdd"),"Dates=H")),"")</f>
        <v/>
      </c>
      <c r="K5" s="19" t="n">
        <v>0.23</v>
      </c>
      <c r="L5" s="19" t="n">
        <v>0.65</v>
      </c>
      <c r="M5" s="29" t="n">
        <f aca="false">IF(AND(Inputs!$B$3=1,ISNUMBER(I5)),I5,K5)</f>
        <v>0.23</v>
      </c>
      <c r="N5" s="29" t="n">
        <f aca="false">IF(AND(Inputs!$B$3=1,ISNUMBER(J5)),J5,L5)</f>
        <v>0.65</v>
      </c>
      <c r="O5" s="30" t="n">
        <v>1</v>
      </c>
      <c r="P5" s="5" t="str">
        <f aca="false">IF((N5-M5)*O5&gt;0,"WIN",IF((N5-M5)*O5&lt;0,"LOSS","FLAT"))</f>
        <v>WIN</v>
      </c>
      <c r="Q5" s="6" t="s">
        <v>143</v>
      </c>
    </row>
    <row r="6" customFormat="false" ht="57.75" hidden="false" customHeight="true" outlineLevel="0" collapsed="false">
      <c r="A6" s="5" t="n">
        <v>2</v>
      </c>
      <c r="B6" s="6" t="s">
        <v>144</v>
      </c>
      <c r="C6" s="26" t="s">
        <v>145</v>
      </c>
      <c r="D6" s="27" t="s">
        <v>146</v>
      </c>
      <c r="E6" s="27"/>
      <c r="F6" s="27" t="s">
        <v>142</v>
      </c>
      <c r="G6" s="28" t="n">
        <v>44941</v>
      </c>
      <c r="H6" s="28" t="n">
        <v>45473</v>
      </c>
      <c r="I6" s="20" t="str">
        <f aca="false">IFERROR(bdh($D6,$F6,TEXT($G6,"yyyymmdd"),TEXT($G6,"yyyymmdd"),"Dates=H")-IF($E6="",0,bdh($E6,$F6,TEXT($G6,"yyyymmdd"),TEXT($G6,"yyyymmdd"),"Dates=H")),"")</f>
        <v/>
      </c>
      <c r="J6" s="20" t="str">
        <f aca="false">IFERROR(bdh($D6,$F6,TEXT($H6,"yyyymmdd"),TEXT($H6,"yyyymmdd"),"Dates=H")-IF($E6="",0,bdh($E6,$F6,TEXT($H6,"yyyymmdd"),TEXT($H6,"yyyymmdd"),"Dates=H")),"")</f>
        <v/>
      </c>
      <c r="K6" s="19" t="n">
        <v>250</v>
      </c>
      <c r="L6" s="19" t="n">
        <v>290</v>
      </c>
      <c r="M6" s="29" t="n">
        <f aca="false">IF(AND(Inputs!$B$3=1,ISNUMBER(I6)),I6,K6)</f>
        <v>250</v>
      </c>
      <c r="N6" s="29" t="n">
        <f aca="false">IF(AND(Inputs!$B$3=1,ISNUMBER(J6)),J6,L6)</f>
        <v>290</v>
      </c>
      <c r="O6" s="30" t="n">
        <v>-1</v>
      </c>
      <c r="P6" s="5" t="str">
        <f aca="false">IF((N6-M6)*O6&gt;0,"WIN",IF((N6-M6)*O6&lt;0,"LOSS","FLAT"))</f>
        <v>LOSS</v>
      </c>
      <c r="Q6" s="6" t="s">
        <v>147</v>
      </c>
    </row>
    <row r="7" customFormat="false" ht="57.75" hidden="false" customHeight="true" outlineLevel="0" collapsed="false">
      <c r="A7" s="5" t="n">
        <v>3</v>
      </c>
      <c r="B7" s="6" t="s">
        <v>148</v>
      </c>
      <c r="C7" s="26" t="s">
        <v>149</v>
      </c>
      <c r="D7" s="27" t="s">
        <v>150</v>
      </c>
      <c r="E7" s="27"/>
      <c r="F7" s="27" t="s">
        <v>142</v>
      </c>
      <c r="G7" s="28" t="n">
        <v>43399</v>
      </c>
      <c r="H7" s="28" t="n">
        <v>43434</v>
      </c>
      <c r="I7" s="20" t="str">
        <f aca="false">IFERROR(bdh($D7,$F7,TEXT($G7,"yyyymmdd"),TEXT($G7,"yyyymmdd"),"Dates=H")-IF($E7="",0,bdh($E7,$F7,TEXT($G7,"yyyymmdd"),TEXT($G7,"yyyymmdd"),"Dates=H")),"")</f>
        <v/>
      </c>
      <c r="J7" s="20" t="str">
        <f aca="false">IFERROR(bdh($D7,$F7,TEXT($H7,"yyyymmdd"),TEXT($H7,"yyyymmdd"),"Dates=H")-IF($E7="",0,bdh($E7,$F7,TEXT($H7,"yyyymmdd"),TEXT($H7,"yyyymmdd"),"Dates=H")),"")</f>
        <v/>
      </c>
      <c r="K7" s="19" t="n">
        <v>19.3</v>
      </c>
      <c r="L7" s="19" t="n">
        <v>20.4</v>
      </c>
      <c r="M7" s="29" t="n">
        <f aca="false">IF(AND(Inputs!$B$3=1,ISNUMBER(I7)),I7,K7)</f>
        <v>19.3</v>
      </c>
      <c r="N7" s="29" t="n">
        <f aca="false">IF(AND(Inputs!$B$3=1,ISNUMBER(J7)),J7,L7)</f>
        <v>20.4</v>
      </c>
      <c r="O7" s="30" t="n">
        <v>1</v>
      </c>
      <c r="P7" s="5" t="str">
        <f aca="false">IF((N7-M7)*O7&gt;0,"WIN",IF((N7-M7)*O7&lt;0,"LOSS","FLAT"))</f>
        <v>WIN</v>
      </c>
      <c r="Q7" s="6" t="s">
        <v>151</v>
      </c>
    </row>
    <row r="8" customFormat="false" ht="57.75" hidden="false" customHeight="true" outlineLevel="0" collapsed="false">
      <c r="A8" s="5" t="n">
        <v>4</v>
      </c>
      <c r="B8" s="6" t="s">
        <v>152</v>
      </c>
      <c r="C8" s="26" t="s">
        <v>153</v>
      </c>
      <c r="D8" s="27" t="s">
        <v>154</v>
      </c>
      <c r="E8" s="27"/>
      <c r="F8" s="27" t="s">
        <v>142</v>
      </c>
      <c r="G8" s="28" t="n">
        <v>46037</v>
      </c>
      <c r="H8" s="28" t="n">
        <v>46309</v>
      </c>
      <c r="I8" s="20" t="str">
        <f aca="false">IFERROR(bdh($D8,$F8,TEXT($G8,"yyyymmdd"),TEXT($G8,"yyyymmdd"),"Dates=H")-IF($E8="",0,bdh($E8,$F8,TEXT($G8,"yyyymmdd"),TEXT($G8,"yyyymmdd"),"Dates=H")),"")</f>
        <v/>
      </c>
      <c r="J8" s="20" t="str">
        <f aca="false">IFERROR(bdh($D8,$F8,TEXT($H8,"yyyymmdd"),TEXT($H8,"yyyymmdd"),"Dates=H")-IF($E8="",0,bdh($E8,$F8,TEXT($H8,"yyyymmdd"),TEXT($H8,"yyyymmdd"),"Dates=H")),"")</f>
        <v/>
      </c>
      <c r="K8" s="19" t="n">
        <v>20</v>
      </c>
      <c r="L8" s="19" t="n">
        <v>40</v>
      </c>
      <c r="M8" s="29" t="n">
        <f aca="false">IF(AND(Inputs!$B$3=1,ISNUMBER(I8)),I8,K8)</f>
        <v>20</v>
      </c>
      <c r="N8" s="29" t="n">
        <f aca="false">IF(AND(Inputs!$B$3=1,ISNUMBER(J8)),J8,L8)</f>
        <v>40</v>
      </c>
      <c r="O8" s="30" t="n">
        <v>1</v>
      </c>
      <c r="P8" s="5" t="str">
        <f aca="false">IF((N8-M8)*O8&gt;0,"WIN",IF((N8-M8)*O8&lt;0,"LOSS","FLAT"))</f>
        <v>WIN</v>
      </c>
      <c r="Q8" s="6" t="s">
        <v>155</v>
      </c>
    </row>
    <row r="9" customFormat="false" ht="57.75" hidden="false" customHeight="true" outlineLevel="0" collapsed="false">
      <c r="A9" s="5" t="n">
        <v>5</v>
      </c>
      <c r="B9" s="6" t="s">
        <v>156</v>
      </c>
      <c r="C9" s="26" t="s">
        <v>157</v>
      </c>
      <c r="D9" s="27" t="s">
        <v>158</v>
      </c>
      <c r="E9" s="27"/>
      <c r="F9" s="27" t="s">
        <v>142</v>
      </c>
      <c r="G9" s="28" t="n">
        <v>45611</v>
      </c>
      <c r="H9" s="28" t="n">
        <v>46022</v>
      </c>
      <c r="I9" s="20" t="str">
        <f aca="false">IFERROR(bdh($D9,$F9,TEXT($G9,"yyyymmdd"),TEXT($G9,"yyyymmdd"),"Dates=H")-IF($E9="",0,bdh($E9,$F9,TEXT($G9,"yyyymmdd"),TEXT($G9,"yyyymmdd"),"Dates=H")),"")</f>
        <v/>
      </c>
      <c r="J9" s="20" t="str">
        <f aca="false">IFERROR(bdh($D9,$F9,TEXT($H9,"yyyymmdd"),TEXT($H9,"yyyymmdd"),"Dates=H")-IF($E9="",0,bdh($E9,$F9,TEXT($H9,"yyyymmdd"),TEXT($H9,"yyyymmdd"),"Dates=H")),"")</f>
        <v/>
      </c>
      <c r="K9" s="19" t="n">
        <v>140</v>
      </c>
      <c r="L9" s="19" t="n">
        <v>90</v>
      </c>
      <c r="M9" s="29" t="n">
        <f aca="false">IF(AND(Inputs!$B$3=1,ISNUMBER(I9)),I9,K9)</f>
        <v>140</v>
      </c>
      <c r="N9" s="29" t="n">
        <f aca="false">IF(AND(Inputs!$B$3=1,ISNUMBER(J9)),J9,L9)</f>
        <v>90</v>
      </c>
      <c r="O9" s="30" t="n">
        <v>-1</v>
      </c>
      <c r="P9" s="5" t="str">
        <f aca="false">IF((N9-M9)*O9&gt;0,"WIN",IF((N9-M9)*O9&lt;0,"LOSS","FLAT"))</f>
        <v>WIN</v>
      </c>
      <c r="Q9" s="6" t="s">
        <v>159</v>
      </c>
    </row>
    <row r="10" customFormat="false" ht="57.75" hidden="false" customHeight="true" outlineLevel="0" collapsed="false">
      <c r="A10" s="5" t="n">
        <v>6</v>
      </c>
      <c r="B10" s="6" t="s">
        <v>160</v>
      </c>
      <c r="C10" s="26" t="s">
        <v>161</v>
      </c>
      <c r="D10" s="27" t="s">
        <v>162</v>
      </c>
      <c r="E10" s="27"/>
      <c r="F10" s="27" t="s">
        <v>142</v>
      </c>
      <c r="G10" s="28" t="n">
        <v>44377</v>
      </c>
      <c r="H10" s="28" t="n">
        <v>44561</v>
      </c>
      <c r="I10" s="20" t="str">
        <f aca="false">IFERROR(bdh($D10,$F10,TEXT($G10,"yyyymmdd"),TEXT($G10,"yyyymmdd"),"Dates=H")-IF($E10="",0,bdh($E10,$F10,TEXT($G10,"yyyymmdd"),TEXT($G10,"yyyymmdd"),"Dates=H")),"")</f>
        <v/>
      </c>
      <c r="J10" s="20" t="str">
        <f aca="false">IFERROR(bdh($D10,$F10,TEXT($H10,"yyyymmdd"),TEXT($H10,"yyyymmdd"),"Dates=H")-IF($E10="",0,bdh($E10,$F10,TEXT($H10,"yyyymmdd"),TEXT($H10,"yyyymmdd"),"Dates=H")),"")</f>
        <v/>
      </c>
      <c r="K10" s="19" t="n">
        <v>110</v>
      </c>
      <c r="L10" s="19" t="n">
        <v>102.5</v>
      </c>
      <c r="M10" s="29" t="n">
        <f aca="false">IF(AND(Inputs!$B$3=1,ISNUMBER(I10)),I10,K10)</f>
        <v>110</v>
      </c>
      <c r="N10" s="29" t="n">
        <f aca="false">IF(AND(Inputs!$B$3=1,ISNUMBER(J10)),J10,L10)</f>
        <v>102.5</v>
      </c>
      <c r="O10" s="30" t="n">
        <v>1</v>
      </c>
      <c r="P10" s="5" t="str">
        <f aca="false">IF((N10-M10)*O10&gt;0,"WIN",IF((N10-M10)*O10&lt;0,"LOSS","FLAT"))</f>
        <v>LOSS</v>
      </c>
      <c r="Q10" s="6" t="s">
        <v>163</v>
      </c>
    </row>
    <row r="12" customFormat="false" ht="15" hidden="false" customHeight="false" outlineLevel="0" collapsed="false">
      <c r="A12" s="3" t="s">
        <v>164</v>
      </c>
      <c r="B12" s="3"/>
      <c r="C12" s="3"/>
      <c r="D12" s="3"/>
      <c r="E12" s="3"/>
      <c r="F12" s="3"/>
      <c r="G12" s="3"/>
      <c r="H12" s="3"/>
      <c r="I12" s="3"/>
      <c r="J12" s="3"/>
      <c r="K12" s="3"/>
      <c r="L12" s="3"/>
      <c r="M12" s="3"/>
      <c r="N12" s="3"/>
      <c r="O12" s="3"/>
      <c r="P12" s="3"/>
      <c r="Q12" s="3"/>
    </row>
    <row r="13" customFormat="false" ht="48" hidden="false" customHeight="true" outlineLevel="0" collapsed="false">
      <c r="A13" s="17" t="s">
        <v>165</v>
      </c>
      <c r="B13" s="17"/>
      <c r="C13" s="17"/>
      <c r="D13" s="17"/>
      <c r="E13" s="17"/>
      <c r="F13" s="17"/>
      <c r="G13" s="17"/>
      <c r="H13" s="17"/>
      <c r="I13" s="17"/>
      <c r="J13" s="17"/>
      <c r="K13" s="17"/>
      <c r="L13" s="17"/>
      <c r="M13" s="17"/>
      <c r="N13" s="17"/>
      <c r="O13" s="17"/>
      <c r="P13" s="17"/>
      <c r="Q13" s="17"/>
    </row>
  </sheetData>
  <mergeCells count="4">
    <mergeCell ref="A1:Q1"/>
    <mergeCell ref="A2:Q2"/>
    <mergeCell ref="A12:Q12"/>
    <mergeCell ref="A13:Q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25.5" hidden="false" customHeight="true" outlineLevel="0" collapsed="false">
      <c r="A1" s="1" t="s">
        <v>166</v>
      </c>
      <c r="B1" s="1"/>
    </row>
    <row r="2" customFormat="false" ht="30" hidden="false" customHeight="true" outlineLevel="0" collapsed="false">
      <c r="A2" s="2" t="s">
        <v>167</v>
      </c>
      <c r="B2" s="2"/>
    </row>
    <row r="4" customFormat="false" ht="15" hidden="false" customHeight="false" outlineLevel="0" collapsed="false">
      <c r="A4" s="3" t="s">
        <v>168</v>
      </c>
      <c r="B4" s="3"/>
    </row>
    <row r="5" customFormat="false" ht="30" hidden="false" customHeight="true" outlineLevel="0" collapsed="false">
      <c r="A5" s="15" t="s">
        <v>169</v>
      </c>
      <c r="B5" s="6" t="s">
        <v>170</v>
      </c>
    </row>
    <row r="6" customFormat="false" ht="45" hidden="false" customHeight="true" outlineLevel="0" collapsed="false">
      <c r="A6" s="15" t="s">
        <v>171</v>
      </c>
      <c r="B6" s="6" t="s">
        <v>172</v>
      </c>
    </row>
    <row r="7" customFormat="false" ht="30" hidden="false" customHeight="true" outlineLevel="0" collapsed="false">
      <c r="A7" s="15" t="s">
        <v>173</v>
      </c>
      <c r="B7" s="6" t="s">
        <v>174</v>
      </c>
    </row>
    <row r="8" customFormat="false" ht="30" hidden="false" customHeight="true" outlineLevel="0" collapsed="false">
      <c r="A8" s="15" t="s">
        <v>175</v>
      </c>
      <c r="B8" s="6" t="s">
        <v>176</v>
      </c>
    </row>
    <row r="9" customFormat="false" ht="30" hidden="false" customHeight="true" outlineLevel="0" collapsed="false">
      <c r="A9" s="15" t="s">
        <v>177</v>
      </c>
      <c r="B9" s="6" t="s">
        <v>178</v>
      </c>
    </row>
    <row r="10" customFormat="false" ht="45" hidden="false" customHeight="true" outlineLevel="0" collapsed="false">
      <c r="A10" s="15" t="s">
        <v>179</v>
      </c>
      <c r="B10" s="6" t="s">
        <v>180</v>
      </c>
    </row>
    <row r="12" customFormat="false" ht="15" hidden="false" customHeight="false" outlineLevel="0" collapsed="false">
      <c r="A12" s="3" t="s">
        <v>181</v>
      </c>
      <c r="B12" s="3"/>
    </row>
    <row r="13" customFormat="false" ht="30" hidden="false" customHeight="true" outlineLevel="0" collapsed="false">
      <c r="A13" s="15" t="s">
        <v>169</v>
      </c>
      <c r="B13" s="6" t="s">
        <v>182</v>
      </c>
    </row>
    <row r="14" customFormat="false" ht="30" hidden="false" customHeight="true" outlineLevel="0" collapsed="false">
      <c r="A14" s="15" t="s">
        <v>171</v>
      </c>
      <c r="B14" s="6" t="s">
        <v>183</v>
      </c>
    </row>
    <row r="15" customFormat="false" ht="30" hidden="false" customHeight="true" outlineLevel="0" collapsed="false">
      <c r="A15" s="15" t="s">
        <v>173</v>
      </c>
      <c r="B15" s="6" t="s">
        <v>184</v>
      </c>
    </row>
    <row r="16" customFormat="false" ht="30" hidden="false" customHeight="true" outlineLevel="0" collapsed="false">
      <c r="A16" s="15" t="s">
        <v>185</v>
      </c>
      <c r="B16" s="6" t="s">
        <v>186</v>
      </c>
    </row>
    <row r="17" customFormat="false" ht="30" hidden="false" customHeight="true" outlineLevel="0" collapsed="false">
      <c r="A17" s="15" t="s">
        <v>177</v>
      </c>
      <c r="B17" s="6" t="s">
        <v>187</v>
      </c>
    </row>
    <row r="18" customFormat="false" ht="45" hidden="false" customHeight="true" outlineLevel="0" collapsed="false">
      <c r="A18" s="15" t="s">
        <v>188</v>
      </c>
      <c r="B18" s="6" t="s">
        <v>189</v>
      </c>
    </row>
    <row r="20" customFormat="false" ht="15" hidden="false" customHeight="false" outlineLevel="0" collapsed="false">
      <c r="A20" s="3" t="s">
        <v>190</v>
      </c>
      <c r="B20" s="3"/>
    </row>
    <row r="21" customFormat="false" ht="45" hidden="false" customHeight="true" outlineLevel="0" collapsed="false">
      <c r="A21" s="15" t="s">
        <v>169</v>
      </c>
      <c r="B21" s="6" t="s">
        <v>191</v>
      </c>
    </row>
    <row r="22" customFormat="false" ht="30" hidden="false" customHeight="true" outlineLevel="0" collapsed="false">
      <c r="A22" s="15" t="s">
        <v>171</v>
      </c>
      <c r="B22" s="6" t="s">
        <v>192</v>
      </c>
    </row>
    <row r="23" customFormat="false" ht="30" hidden="false" customHeight="true" outlineLevel="0" collapsed="false">
      <c r="A23" s="15" t="s">
        <v>173</v>
      </c>
      <c r="B23" s="6" t="s">
        <v>193</v>
      </c>
    </row>
    <row r="24" customFormat="false" ht="30" hidden="false" customHeight="true" outlineLevel="0" collapsed="false">
      <c r="A24" s="15" t="s">
        <v>194</v>
      </c>
      <c r="B24" s="6" t="s">
        <v>195</v>
      </c>
    </row>
    <row r="25" customFormat="false" ht="30" hidden="false" customHeight="true" outlineLevel="0" collapsed="false">
      <c r="A25" s="15" t="s">
        <v>177</v>
      </c>
      <c r="B25" s="6" t="s">
        <v>196</v>
      </c>
    </row>
    <row r="26" customFormat="false" ht="30" hidden="false" customHeight="true" outlineLevel="0" collapsed="false">
      <c r="A26" s="15" t="s">
        <v>179</v>
      </c>
      <c r="B26" s="6" t="s">
        <v>197</v>
      </c>
    </row>
    <row r="28" customFormat="false" ht="15" hidden="false" customHeight="false" outlineLevel="0" collapsed="false">
      <c r="A28" s="3" t="s">
        <v>198</v>
      </c>
      <c r="B28" s="3"/>
    </row>
    <row r="29" customFormat="false" ht="45" hidden="false" customHeight="true" outlineLevel="0" collapsed="false">
      <c r="A29" s="15" t="s">
        <v>169</v>
      </c>
      <c r="B29" s="6" t="s">
        <v>199</v>
      </c>
    </row>
    <row r="30" customFormat="false" ht="30" hidden="false" customHeight="true" outlineLevel="0" collapsed="false">
      <c r="A30" s="15" t="s">
        <v>171</v>
      </c>
      <c r="B30" s="6" t="s">
        <v>200</v>
      </c>
    </row>
    <row r="31" customFormat="false" ht="30" hidden="false" customHeight="true" outlineLevel="0" collapsed="false">
      <c r="A31" s="15" t="s">
        <v>173</v>
      </c>
      <c r="B31" s="6" t="s">
        <v>201</v>
      </c>
    </row>
    <row r="32" customFormat="false" ht="45" hidden="false" customHeight="true" outlineLevel="0" collapsed="false">
      <c r="A32" s="15" t="s">
        <v>202</v>
      </c>
      <c r="B32" s="6" t="s">
        <v>203</v>
      </c>
    </row>
    <row r="33" customFormat="false" ht="30" hidden="false" customHeight="true" outlineLevel="0" collapsed="false">
      <c r="A33" s="15" t="s">
        <v>177</v>
      </c>
      <c r="B33" s="6" t="s">
        <v>204</v>
      </c>
    </row>
    <row r="34" customFormat="false" ht="30" hidden="false" customHeight="true" outlineLevel="0" collapsed="false">
      <c r="A34" s="15" t="s">
        <v>179</v>
      </c>
      <c r="B34" s="6" t="s">
        <v>205</v>
      </c>
    </row>
    <row r="36" customFormat="false" ht="15" hidden="false" customHeight="false" outlineLevel="0" collapsed="false">
      <c r="A36" s="3" t="s">
        <v>206</v>
      </c>
      <c r="B36" s="3"/>
    </row>
    <row r="37" customFormat="false" ht="30" hidden="false" customHeight="true" outlineLevel="0" collapsed="false">
      <c r="A37" s="15" t="s">
        <v>169</v>
      </c>
      <c r="B37" s="6" t="s">
        <v>207</v>
      </c>
    </row>
    <row r="38" customFormat="false" ht="30" hidden="false" customHeight="true" outlineLevel="0" collapsed="false">
      <c r="A38" s="15" t="s">
        <v>171</v>
      </c>
      <c r="B38" s="6" t="s">
        <v>208</v>
      </c>
    </row>
    <row r="39" customFormat="false" ht="30" hidden="false" customHeight="true" outlineLevel="0" collapsed="false">
      <c r="A39" s="15" t="s">
        <v>173</v>
      </c>
      <c r="B39" s="6" t="s">
        <v>209</v>
      </c>
    </row>
    <row r="40" customFormat="false" ht="45" hidden="false" customHeight="true" outlineLevel="0" collapsed="false">
      <c r="A40" s="15" t="s">
        <v>210</v>
      </c>
      <c r="B40" s="6" t="s">
        <v>211</v>
      </c>
    </row>
    <row r="41" customFormat="false" ht="45" hidden="false" customHeight="true" outlineLevel="0" collapsed="false">
      <c r="A41" s="15" t="s">
        <v>194</v>
      </c>
      <c r="B41" s="6" t="s">
        <v>212</v>
      </c>
    </row>
    <row r="42" customFormat="false" ht="30" hidden="false" customHeight="true" outlineLevel="0" collapsed="false">
      <c r="A42" s="15" t="s">
        <v>177</v>
      </c>
      <c r="B42" s="6" t="s">
        <v>213</v>
      </c>
    </row>
    <row r="43" customFormat="false" ht="30" hidden="false" customHeight="true" outlineLevel="0" collapsed="false">
      <c r="A43" s="15" t="s">
        <v>214</v>
      </c>
      <c r="B43" s="6" t="s">
        <v>215</v>
      </c>
    </row>
    <row r="45" customFormat="false" ht="15" hidden="false" customHeight="false" outlineLevel="0" collapsed="false">
      <c r="A45" s="3" t="s">
        <v>216</v>
      </c>
      <c r="B45" s="3"/>
    </row>
    <row r="46" customFormat="false" ht="30" hidden="false" customHeight="true" outlineLevel="0" collapsed="false">
      <c r="A46" s="15" t="s">
        <v>169</v>
      </c>
      <c r="B46" s="6" t="s">
        <v>217</v>
      </c>
    </row>
    <row r="47" customFormat="false" ht="30" hidden="false" customHeight="true" outlineLevel="0" collapsed="false">
      <c r="A47" s="15" t="s">
        <v>171</v>
      </c>
      <c r="B47" s="6" t="s">
        <v>218</v>
      </c>
    </row>
    <row r="48" customFormat="false" ht="30" hidden="false" customHeight="true" outlineLevel="0" collapsed="false">
      <c r="A48" s="15" t="s">
        <v>173</v>
      </c>
      <c r="B48" s="6" t="s">
        <v>219</v>
      </c>
    </row>
    <row r="49" customFormat="false" ht="45" hidden="false" customHeight="true" outlineLevel="0" collapsed="false">
      <c r="A49" s="15" t="s">
        <v>210</v>
      </c>
      <c r="B49" s="6" t="s">
        <v>220</v>
      </c>
    </row>
    <row r="50" customFormat="false" ht="45" hidden="false" customHeight="true" outlineLevel="0" collapsed="false">
      <c r="A50" s="15" t="s">
        <v>194</v>
      </c>
      <c r="B50" s="6" t="s">
        <v>221</v>
      </c>
    </row>
    <row r="51" customFormat="false" ht="30" hidden="false" customHeight="true" outlineLevel="0" collapsed="false">
      <c r="A51" s="15" t="s">
        <v>177</v>
      </c>
      <c r="B51" s="6" t="s">
        <v>222</v>
      </c>
    </row>
    <row r="52" customFormat="false" ht="45" hidden="false" customHeight="true" outlineLevel="0" collapsed="false">
      <c r="A52" s="15" t="s">
        <v>179</v>
      </c>
      <c r="B52" s="6" t="s">
        <v>223</v>
      </c>
    </row>
  </sheetData>
  <mergeCells count="8">
    <mergeCell ref="A1:B1"/>
    <mergeCell ref="A2:B2"/>
    <mergeCell ref="A4:B4"/>
    <mergeCell ref="A12:B12"/>
    <mergeCell ref="A20:B20"/>
    <mergeCell ref="A28:B28"/>
    <mergeCell ref="A36:B36"/>
    <mergeCell ref="A45:B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12"/>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60"/>
  </cols>
  <sheetData>
    <row r="1" customFormat="false" ht="25.5" hidden="false" customHeight="true" outlineLevel="0" collapsed="false">
      <c r="A1" s="1" t="s">
        <v>224</v>
      </c>
      <c r="B1" s="1"/>
      <c r="C1" s="1"/>
      <c r="D1" s="1"/>
      <c r="E1" s="1"/>
      <c r="F1" s="1"/>
      <c r="G1" s="1"/>
      <c r="H1" s="1"/>
    </row>
    <row r="2" customFormat="false" ht="30" hidden="false" customHeight="true" outlineLevel="0" collapsed="false">
      <c r="A2" s="2" t="s">
        <v>225</v>
      </c>
      <c r="B2" s="2"/>
      <c r="C2" s="2"/>
      <c r="D2" s="2"/>
      <c r="E2" s="2"/>
      <c r="F2" s="2"/>
      <c r="G2" s="2"/>
      <c r="H2" s="2"/>
    </row>
    <row r="3" customFormat="false" ht="15" hidden="false" customHeight="false" outlineLevel="0" collapsed="false">
      <c r="A3" s="31" t="s">
        <v>226</v>
      </c>
      <c r="B3" s="32" t="n">
        <v>1</v>
      </c>
    </row>
    <row r="5" customFormat="false" ht="23.85" hidden="false" customHeight="false" outlineLevel="0" collapsed="false">
      <c r="A5" s="4" t="s">
        <v>126</v>
      </c>
      <c r="B5" s="4" t="s">
        <v>227</v>
      </c>
      <c r="C5" s="4" t="s">
        <v>228</v>
      </c>
      <c r="D5" s="4" t="s">
        <v>229</v>
      </c>
      <c r="E5" s="4" t="s">
        <v>230</v>
      </c>
      <c r="F5" s="4" t="s">
        <v>231</v>
      </c>
      <c r="G5" s="4" t="s">
        <v>232</v>
      </c>
      <c r="H5" s="4" t="s">
        <v>233</v>
      </c>
    </row>
    <row r="6" customFormat="false" ht="15" hidden="false" customHeight="false" outlineLevel="0" collapsed="false">
      <c r="A6" s="3" t="s">
        <v>234</v>
      </c>
      <c r="B6" s="3"/>
      <c r="C6" s="3"/>
      <c r="D6" s="3"/>
      <c r="E6" s="3"/>
      <c r="F6" s="3"/>
      <c r="G6" s="3"/>
      <c r="H6" s="3"/>
    </row>
    <row r="7" customFormat="false" ht="15" hidden="false" customHeight="false" outlineLevel="0" collapsed="false">
      <c r="A7" s="33" t="s">
        <v>235</v>
      </c>
      <c r="E7" s="28" t="n">
        <v>46309</v>
      </c>
      <c r="F7" s="34" t="n">
        <f aca="false">E7</f>
        <v>46309</v>
      </c>
      <c r="G7" s="35" t="s">
        <v>236</v>
      </c>
      <c r="H7" s="14" t="s">
        <v>237</v>
      </c>
    </row>
    <row r="8" customFormat="false" ht="15" hidden="false" customHeight="false" outlineLevel="0" collapsed="false">
      <c r="A8" s="33" t="s">
        <v>238</v>
      </c>
      <c r="E8" s="28" t="n">
        <v>46311</v>
      </c>
      <c r="F8" s="34" t="n">
        <f aca="false">E8</f>
        <v>46311</v>
      </c>
      <c r="G8" s="35" t="s">
        <v>236</v>
      </c>
      <c r="H8" s="14"/>
    </row>
    <row r="9" customFormat="false" ht="15" hidden="false" customHeight="false" outlineLevel="0" collapsed="false">
      <c r="A9" s="33" t="s">
        <v>239</v>
      </c>
      <c r="E9" s="28" t="n">
        <v>46406</v>
      </c>
      <c r="F9" s="34" t="n">
        <f aca="false">E9</f>
        <v>46406</v>
      </c>
      <c r="G9" s="35" t="s">
        <v>236</v>
      </c>
      <c r="H9" s="14" t="s">
        <v>240</v>
      </c>
    </row>
    <row r="10" customFormat="false" ht="15" hidden="false" customHeight="false" outlineLevel="0" collapsed="false">
      <c r="A10" s="33" t="s">
        <v>241</v>
      </c>
      <c r="F10" s="36" t="n">
        <f aca="false">$F$9-$F$8</f>
        <v>95</v>
      </c>
      <c r="G10" s="35" t="s">
        <v>242</v>
      </c>
      <c r="H10" s="14" t="s">
        <v>243</v>
      </c>
    </row>
    <row r="11" customFormat="false" ht="15" hidden="false" customHeight="false" outlineLevel="0" collapsed="false">
      <c r="A11" s="3" t="s">
        <v>244</v>
      </c>
      <c r="B11" s="3"/>
      <c r="C11" s="3"/>
      <c r="D11" s="3"/>
      <c r="E11" s="3"/>
      <c r="F11" s="3"/>
      <c r="G11" s="3"/>
      <c r="H11" s="3"/>
    </row>
    <row r="12" customFormat="false" ht="15" hidden="false" customHeight="false" outlineLevel="0" collapsed="false">
      <c r="A12" s="33" t="s">
        <v>245</v>
      </c>
      <c r="B12" s="27" t="s">
        <v>246</v>
      </c>
      <c r="C12" s="27" t="s">
        <v>142</v>
      </c>
      <c r="D12" s="10" t="str">
        <f aca="false">IFERROR(bdp($B12,$C12),"")</f>
        <v/>
      </c>
      <c r="E12" s="37" t="n">
        <v>3184.71</v>
      </c>
      <c r="F12" s="38" t="n">
        <f aca="false">IF(AND(Inputs!$B$3=1,ISNUMBER(D12)),D12,E12)</f>
        <v>3184.71</v>
      </c>
      <c r="G12" s="35" t="s">
        <v>247</v>
      </c>
      <c r="H12" s="14"/>
    </row>
    <row r="13" customFormat="false" ht="22.35" hidden="false" customHeight="false" outlineLevel="0" collapsed="false">
      <c r="A13" s="33" t="s">
        <v>248</v>
      </c>
      <c r="B13" s="27" t="s">
        <v>249</v>
      </c>
      <c r="C13" s="27" t="s">
        <v>142</v>
      </c>
      <c r="D13" s="10" t="str">
        <f aca="false">IFERROR(bdp($B13,$C13),"")</f>
        <v/>
      </c>
      <c r="E13" s="37" t="n">
        <v>58.83</v>
      </c>
      <c r="F13" s="38" t="n">
        <f aca="false">IF(AND(Inputs!$B$3=1,ISNUMBER(D13)),D13,E13)</f>
        <v>58.83</v>
      </c>
      <c r="G13" s="35" t="s">
        <v>250</v>
      </c>
      <c r="H13" s="14" t="s">
        <v>251</v>
      </c>
    </row>
    <row r="14" customFormat="false" ht="15" hidden="false" customHeight="false" outlineLevel="0" collapsed="false">
      <c r="A14" s="33" t="s">
        <v>252</v>
      </c>
      <c r="E14" s="30" t="n">
        <v>1</v>
      </c>
      <c r="F14" s="36" t="n">
        <f aca="false">E14</f>
        <v>1</v>
      </c>
      <c r="G14" s="35" t="s">
        <v>236</v>
      </c>
      <c r="H14" s="14" t="s">
        <v>253</v>
      </c>
    </row>
    <row r="15" customFormat="false" ht="15" hidden="false" customHeight="false" outlineLevel="0" collapsed="false">
      <c r="A15" s="33" t="s">
        <v>254</v>
      </c>
      <c r="F15" s="38" t="n">
        <f aca="false">$F$12+$F$13/$F$14</f>
        <v>3243.54</v>
      </c>
      <c r="G15" s="35" t="s">
        <v>242</v>
      </c>
      <c r="H15" s="14" t="s">
        <v>255</v>
      </c>
    </row>
    <row r="16" customFormat="false" ht="15" hidden="false" customHeight="false" outlineLevel="0" collapsed="false">
      <c r="A16" s="33" t="s">
        <v>256</v>
      </c>
      <c r="B16" s="27" t="s">
        <v>257</v>
      </c>
      <c r="C16" s="27" t="s">
        <v>142</v>
      </c>
      <c r="D16" s="10" t="str">
        <f aca="false">IFERROR(bdp($B16,$C16),"")</f>
        <v/>
      </c>
      <c r="E16" s="37" t="n">
        <v>982.57</v>
      </c>
      <c r="F16" s="38" t="n">
        <f aca="false">IF(AND(Inputs!$B$3=1,ISNUMBER(D16)),D16,E16)</f>
        <v>982.57</v>
      </c>
      <c r="G16" s="35" t="s">
        <v>247</v>
      </c>
      <c r="H16" s="14"/>
    </row>
    <row r="17" customFormat="false" ht="22.35" hidden="false" customHeight="false" outlineLevel="0" collapsed="false">
      <c r="A17" s="33" t="s">
        <v>258</v>
      </c>
      <c r="B17" s="27" t="s">
        <v>259</v>
      </c>
      <c r="C17" s="27" t="s">
        <v>142</v>
      </c>
      <c r="D17" s="10" t="str">
        <f aca="false">IFERROR(bdp($B17,$C17),"")</f>
        <v/>
      </c>
      <c r="E17" s="37" t="n">
        <v>-0.87</v>
      </c>
      <c r="F17" s="38" t="n">
        <f aca="false">IF(AND(Inputs!$B$3=1,ISNUMBER(D17)),D17,E17)</f>
        <v>-0.87</v>
      </c>
      <c r="G17" s="35" t="s">
        <v>250</v>
      </c>
      <c r="H17" s="14" t="s">
        <v>260</v>
      </c>
    </row>
    <row r="18" customFormat="false" ht="15" hidden="false" customHeight="false" outlineLevel="0" collapsed="false">
      <c r="A18" s="33" t="s">
        <v>261</v>
      </c>
      <c r="E18" s="30" t="n">
        <v>1</v>
      </c>
      <c r="F18" s="36" t="n">
        <f aca="false">E18</f>
        <v>1</v>
      </c>
      <c r="G18" s="35" t="s">
        <v>236</v>
      </c>
      <c r="H18" s="14" t="s">
        <v>262</v>
      </c>
    </row>
    <row r="19" customFormat="false" ht="15" hidden="false" customHeight="false" outlineLevel="0" collapsed="false">
      <c r="A19" s="33" t="s">
        <v>263</v>
      </c>
      <c r="F19" s="38" t="n">
        <f aca="false">$F$16+$F$17/$F$18</f>
        <v>981.7</v>
      </c>
      <c r="G19" s="35" t="s">
        <v>242</v>
      </c>
      <c r="H19" s="14" t="s">
        <v>264</v>
      </c>
    </row>
    <row r="20" customFormat="false" ht="15" hidden="false" customHeight="false" outlineLevel="0" collapsed="false">
      <c r="A20" s="33" t="s">
        <v>265</v>
      </c>
      <c r="B20" s="27" t="s">
        <v>266</v>
      </c>
      <c r="C20" s="27" t="s">
        <v>142</v>
      </c>
      <c r="D20" s="20" t="str">
        <f aca="false">IFERROR(bdp($B20,$C20),"")</f>
        <v/>
      </c>
      <c r="E20" s="39" t="n">
        <v>5.02705</v>
      </c>
      <c r="F20" s="29" t="n">
        <f aca="false">IF(AND(Inputs!$B$3=1,ISNUMBER(D20)),D20,E20)</f>
        <v>5.02705</v>
      </c>
      <c r="G20" s="35" t="s">
        <v>247</v>
      </c>
      <c r="H20" s="14"/>
    </row>
    <row r="21" customFormat="false" ht="22.35" hidden="false" customHeight="false" outlineLevel="0" collapsed="false">
      <c r="A21" s="33" t="s">
        <v>267</v>
      </c>
      <c r="B21" s="27" t="s">
        <v>268</v>
      </c>
      <c r="C21" s="27" t="s">
        <v>142</v>
      </c>
      <c r="D21" s="10" t="str">
        <f aca="false">IFERROR(bdp($B21,$C21),"")</f>
        <v/>
      </c>
      <c r="E21" s="37" t="n">
        <v>867.26</v>
      </c>
      <c r="F21" s="38" t="n">
        <f aca="false">IF(AND(Inputs!$B$3=1,ISNUMBER(D21)),D21,E21)</f>
        <v>867.26</v>
      </c>
      <c r="G21" s="35" t="s">
        <v>250</v>
      </c>
      <c r="H21" s="14" t="s">
        <v>269</v>
      </c>
    </row>
    <row r="22" customFormat="false" ht="15" hidden="false" customHeight="false" outlineLevel="0" collapsed="false">
      <c r="A22" s="33" t="s">
        <v>270</v>
      </c>
      <c r="E22" s="30" t="n">
        <v>10000</v>
      </c>
      <c r="F22" s="36" t="n">
        <f aca="false">E22</f>
        <v>10000</v>
      </c>
      <c r="G22" s="35" t="s">
        <v>236</v>
      </c>
      <c r="H22" s="14"/>
    </row>
    <row r="23" customFormat="false" ht="15" hidden="false" customHeight="false" outlineLevel="0" collapsed="false">
      <c r="A23" s="33" t="s">
        <v>271</v>
      </c>
      <c r="F23" s="29" t="n">
        <f aca="false">$F$20+$F$21/$F$22</f>
        <v>5.113776</v>
      </c>
      <c r="G23" s="35" t="s">
        <v>242</v>
      </c>
      <c r="H23" s="14" t="s">
        <v>272</v>
      </c>
    </row>
    <row r="24" customFormat="false" ht="15" hidden="false" customHeight="false" outlineLevel="0" collapsed="false">
      <c r="A24" s="33" t="s">
        <v>273</v>
      </c>
      <c r="B24" s="27" t="s">
        <v>150</v>
      </c>
      <c r="C24" s="27" t="s">
        <v>142</v>
      </c>
      <c r="D24" s="20" t="str">
        <f aca="false">IFERROR(bdp($B24,$C24),"")</f>
        <v/>
      </c>
      <c r="E24" s="39" t="n">
        <v>18.3727</v>
      </c>
      <c r="F24" s="29" t="n">
        <f aca="false">IF(AND(Inputs!$B$3=1,ISNUMBER(D24)),D24,E24)</f>
        <v>18.3727</v>
      </c>
      <c r="G24" s="35" t="s">
        <v>247</v>
      </c>
      <c r="H24" s="14"/>
    </row>
    <row r="25" customFormat="false" ht="15" hidden="false" customHeight="false" outlineLevel="0" collapsed="false">
      <c r="A25" s="33" t="s">
        <v>274</v>
      </c>
      <c r="B25" s="27" t="s">
        <v>275</v>
      </c>
      <c r="C25" s="27" t="s">
        <v>142</v>
      </c>
      <c r="D25" s="10" t="str">
        <f aca="false">IFERROR(bdp($B25,$C25),"")</f>
        <v/>
      </c>
      <c r="E25" s="37" t="n">
        <v>1196.77</v>
      </c>
      <c r="F25" s="38" t="n">
        <f aca="false">IF(AND(Inputs!$B$3=1,ISNUMBER(D25)),D25,E25)</f>
        <v>1196.77</v>
      </c>
      <c r="G25" s="35" t="s">
        <v>250</v>
      </c>
      <c r="H25" s="14" t="s">
        <v>276</v>
      </c>
    </row>
    <row r="26" customFormat="false" ht="15" hidden="false" customHeight="false" outlineLevel="0" collapsed="false">
      <c r="A26" s="33" t="s">
        <v>277</v>
      </c>
      <c r="E26" s="30" t="n">
        <v>10000</v>
      </c>
      <c r="F26" s="36" t="n">
        <f aca="false">E26</f>
        <v>10000</v>
      </c>
      <c r="G26" s="35" t="s">
        <v>236</v>
      </c>
      <c r="H26" s="14"/>
    </row>
    <row r="27" customFormat="false" ht="15" hidden="false" customHeight="false" outlineLevel="0" collapsed="false">
      <c r="A27" s="33" t="s">
        <v>278</v>
      </c>
      <c r="F27" s="29" t="n">
        <f aca="false">$F$24+$F$25/$F$26</f>
        <v>18.492377</v>
      </c>
      <c r="G27" s="35" t="s">
        <v>242</v>
      </c>
      <c r="H27" s="14" t="s">
        <v>279</v>
      </c>
    </row>
    <row r="28" customFormat="false" ht="15" hidden="false" customHeight="false" outlineLevel="0" collapsed="false">
      <c r="A28" s="33" t="s">
        <v>280</v>
      </c>
      <c r="B28" s="27" t="s">
        <v>281</v>
      </c>
      <c r="C28" s="27" t="s">
        <v>142</v>
      </c>
      <c r="D28" s="10" t="str">
        <f aca="false">IFERROR(bdp($B28,$C28),"")</f>
        <v/>
      </c>
      <c r="E28" s="37" t="n">
        <v>14.7</v>
      </c>
      <c r="F28" s="38" t="n">
        <f aca="false">IF(AND(Inputs!$B$3=1,ISNUMBER(D28)),D28,E28)</f>
        <v>14.7</v>
      </c>
      <c r="G28" s="35" t="s">
        <v>247</v>
      </c>
      <c r="H28" s="14"/>
    </row>
    <row r="29" customFormat="false" ht="15" hidden="false" customHeight="false" outlineLevel="0" collapsed="false">
      <c r="A29" s="33" t="s">
        <v>282</v>
      </c>
      <c r="B29" s="27" t="s">
        <v>283</v>
      </c>
      <c r="C29" s="27" t="s">
        <v>142</v>
      </c>
      <c r="D29" s="10" t="str">
        <f aca="false">IFERROR(bdp($B29,$C29),"")</f>
        <v/>
      </c>
      <c r="E29" s="37" t="n">
        <v>12.8</v>
      </c>
      <c r="F29" s="38" t="n">
        <f aca="false">IF(AND(Inputs!$B$3=1,ISNUMBER(D29)),D29,E29)</f>
        <v>12.8</v>
      </c>
      <c r="G29" s="35" t="s">
        <v>247</v>
      </c>
      <c r="H29" s="14"/>
    </row>
    <row r="30" customFormat="false" ht="15" hidden="false" customHeight="false" outlineLevel="0" collapsed="false">
      <c r="A30" s="33" t="s">
        <v>284</v>
      </c>
      <c r="B30" s="27" t="s">
        <v>285</v>
      </c>
      <c r="C30" s="27" t="s">
        <v>142</v>
      </c>
      <c r="D30" s="10" t="str">
        <f aca="false">IFERROR(bdp($B30,$C30),"")</f>
        <v/>
      </c>
      <c r="E30" s="37" t="n">
        <v>15.2</v>
      </c>
      <c r="F30" s="38" t="n">
        <f aca="false">IF(AND(Inputs!$B$3=1,ISNUMBER(D30)),D30,E30)</f>
        <v>15.2</v>
      </c>
      <c r="G30" s="35" t="s">
        <v>247</v>
      </c>
      <c r="H30" s="14"/>
    </row>
    <row r="31" customFormat="false" ht="15" hidden="false" customHeight="false" outlineLevel="0" collapsed="false">
      <c r="A31" s="33" t="s">
        <v>286</v>
      </c>
      <c r="B31" s="27" t="s">
        <v>287</v>
      </c>
      <c r="C31" s="27" t="s">
        <v>142</v>
      </c>
      <c r="D31" s="10" t="str">
        <f aca="false">IFERROR(bdp($B31,$C31),"")</f>
        <v/>
      </c>
      <c r="E31" s="37" t="n">
        <v>11.2</v>
      </c>
      <c r="F31" s="38" t="n">
        <f aca="false">IF(AND(Inputs!$B$3=1,ISNUMBER(D31)),D31,E31)</f>
        <v>11.2</v>
      </c>
      <c r="G31" s="35" t="s">
        <v>247</v>
      </c>
      <c r="H31" s="14"/>
    </row>
    <row r="32" customFormat="false" ht="15" hidden="false" customHeight="false" outlineLevel="0" collapsed="false">
      <c r="A32" s="33" t="s">
        <v>288</v>
      </c>
      <c r="B32" s="27" t="s">
        <v>289</v>
      </c>
      <c r="C32" s="27" t="s">
        <v>142</v>
      </c>
      <c r="D32" s="10" t="str">
        <f aca="false">IFERROR(bdp($B32,$C32),"")</f>
        <v/>
      </c>
      <c r="E32" s="37" t="n">
        <v>4.51</v>
      </c>
      <c r="F32" s="38" t="n">
        <f aca="false">IF(AND(Inputs!$B$3=1,ISNUMBER(D32)),D32,E32)</f>
        <v>4.51</v>
      </c>
      <c r="G32" s="35" t="s">
        <v>247</v>
      </c>
      <c r="H32" s="14" t="s">
        <v>290</v>
      </c>
    </row>
    <row r="33" customFormat="false" ht="22.35" hidden="false" customHeight="false" outlineLevel="0" collapsed="false">
      <c r="A33" s="33" t="s">
        <v>291</v>
      </c>
      <c r="B33" s="27"/>
      <c r="C33" s="27"/>
      <c r="D33" s="10"/>
      <c r="E33" s="40" t="n">
        <v>0.55</v>
      </c>
      <c r="F33" s="38" t="n">
        <f aca="false">IF(AND(Inputs!$B$3=1,ISNUMBER(D33)),D33,E33)</f>
        <v>0.55</v>
      </c>
      <c r="G33" s="41" t="s">
        <v>292</v>
      </c>
      <c r="H33" s="14" t="s">
        <v>293</v>
      </c>
    </row>
    <row r="34" customFormat="false" ht="15" hidden="false" customHeight="false" outlineLevel="0" collapsed="false">
      <c r="A34" s="33" t="s">
        <v>294</v>
      </c>
      <c r="B34" s="27"/>
      <c r="C34" s="27"/>
      <c r="D34" s="10"/>
      <c r="E34" s="40" t="n">
        <v>0.6</v>
      </c>
      <c r="F34" s="38" t="n">
        <f aca="false">IF(AND(Inputs!$B$3=1,ISNUMBER(D34)),D34,E34)</f>
        <v>0.6</v>
      </c>
      <c r="G34" s="41" t="s">
        <v>292</v>
      </c>
      <c r="H34" s="14" t="s">
        <v>295</v>
      </c>
    </row>
    <row r="35" customFormat="false" ht="15" hidden="false" customHeight="false" outlineLevel="0" collapsed="false">
      <c r="A35" s="3" t="s">
        <v>296</v>
      </c>
      <c r="B35" s="3"/>
      <c r="C35" s="3"/>
      <c r="D35" s="3"/>
      <c r="E35" s="3"/>
      <c r="F35" s="3"/>
      <c r="G35" s="3"/>
      <c r="H35" s="3"/>
    </row>
    <row r="36" customFormat="false" ht="15" hidden="false" customHeight="false" outlineLevel="0" collapsed="false">
      <c r="A36" s="33" t="s">
        <v>297</v>
      </c>
      <c r="B36" s="27" t="s">
        <v>298</v>
      </c>
      <c r="C36" s="27" t="s">
        <v>142</v>
      </c>
      <c r="D36" s="10" t="str">
        <f aca="false">IFERROR(bdp($B36,$C36),"")</f>
        <v/>
      </c>
      <c r="E36" s="40" t="n">
        <v>9.25</v>
      </c>
      <c r="F36" s="38" t="n">
        <f aca="false">IF(AND(Inputs!$B$3=1,ISNUMBER(D36)),D36,E36)</f>
        <v>9.25</v>
      </c>
      <c r="G36" s="41" t="s">
        <v>292</v>
      </c>
      <c r="H36" s="14" t="s">
        <v>299</v>
      </c>
    </row>
    <row r="37" customFormat="false" ht="15" hidden="false" customHeight="false" outlineLevel="0" collapsed="false">
      <c r="A37" s="33" t="s">
        <v>300</v>
      </c>
      <c r="B37" s="27" t="s">
        <v>301</v>
      </c>
      <c r="C37" s="27" t="s">
        <v>142</v>
      </c>
      <c r="D37" s="10" t="str">
        <f aca="false">IFERROR(bdp($B37,$C37),"")</f>
        <v/>
      </c>
      <c r="E37" s="40" t="n">
        <v>4.75</v>
      </c>
      <c r="F37" s="38" t="n">
        <f aca="false">IF(AND(Inputs!$B$3=1,ISNUMBER(D37)),D37,E37)</f>
        <v>4.75</v>
      </c>
      <c r="G37" s="41" t="s">
        <v>292</v>
      </c>
      <c r="H37" s="14" t="s">
        <v>299</v>
      </c>
    </row>
    <row r="38" customFormat="false" ht="15" hidden="false" customHeight="false" outlineLevel="0" collapsed="false">
      <c r="A38" s="33" t="s">
        <v>302</v>
      </c>
      <c r="B38" s="27" t="s">
        <v>303</v>
      </c>
      <c r="C38" s="27" t="s">
        <v>142</v>
      </c>
      <c r="D38" s="10" t="str">
        <f aca="false">IFERROR(bdp($B38,$C38),"")</f>
        <v/>
      </c>
      <c r="E38" s="37" t="n">
        <v>13.75</v>
      </c>
      <c r="F38" s="38" t="n">
        <f aca="false">IF(AND(Inputs!$B$3=1,ISNUMBER(D38)),D38,E38)</f>
        <v>13.75</v>
      </c>
      <c r="G38" s="35" t="s">
        <v>304</v>
      </c>
      <c r="H38" s="14" t="s">
        <v>305</v>
      </c>
    </row>
    <row r="39" customFormat="false" ht="15" hidden="false" customHeight="false" outlineLevel="0" collapsed="false">
      <c r="A39" s="33" t="s">
        <v>306</v>
      </c>
      <c r="B39" s="27" t="s">
        <v>307</v>
      </c>
      <c r="C39" s="27" t="s">
        <v>142</v>
      </c>
      <c r="D39" s="10" t="str">
        <f aca="false">IFERROR(bdp($B39,$C39),"")</f>
        <v/>
      </c>
      <c r="E39" s="37" t="n">
        <v>6.5</v>
      </c>
      <c r="F39" s="38" t="n">
        <f aca="false">IF(AND(Inputs!$B$3=1,ISNUMBER(D39)),D39,E39)</f>
        <v>6.5</v>
      </c>
      <c r="G39" s="35" t="s">
        <v>247</v>
      </c>
      <c r="H39" s="14"/>
    </row>
    <row r="40" customFormat="false" ht="15" hidden="false" customHeight="false" outlineLevel="0" collapsed="false">
      <c r="A40" s="33" t="s">
        <v>308</v>
      </c>
      <c r="B40" s="27" t="s">
        <v>309</v>
      </c>
      <c r="C40" s="27" t="s">
        <v>142</v>
      </c>
      <c r="D40" s="10" t="str">
        <f aca="false">IFERROR(bdp($B40,$C40),"")</f>
        <v/>
      </c>
      <c r="E40" s="37" t="n">
        <v>3.87</v>
      </c>
      <c r="F40" s="38" t="n">
        <f aca="false">IF(AND(Inputs!$B$3=1,ISNUMBER(D40)),D40,E40)</f>
        <v>3.87</v>
      </c>
      <c r="G40" s="35" t="s">
        <v>247</v>
      </c>
      <c r="H40" s="14" t="s">
        <v>310</v>
      </c>
    </row>
    <row r="41" customFormat="false" ht="15" hidden="false" customHeight="false" outlineLevel="0" collapsed="false">
      <c r="A41" s="3" t="s">
        <v>311</v>
      </c>
      <c r="B41" s="3"/>
      <c r="C41" s="3"/>
      <c r="D41" s="3"/>
      <c r="E41" s="3"/>
      <c r="F41" s="3"/>
      <c r="G41" s="3"/>
      <c r="H41" s="3"/>
    </row>
    <row r="42" customFormat="false" ht="15" hidden="false" customHeight="false" outlineLevel="0" collapsed="false">
      <c r="A42" s="33" t="s">
        <v>312</v>
      </c>
      <c r="B42" s="27" t="s">
        <v>313</v>
      </c>
      <c r="C42" s="27" t="s">
        <v>142</v>
      </c>
      <c r="D42" s="23" t="str">
        <f aca="false">IFERROR(bdp($B42,$C42),"")</f>
        <v/>
      </c>
      <c r="E42" s="42" t="n">
        <v>13.65</v>
      </c>
      <c r="F42" s="43" t="n">
        <f aca="false">IF(AND(Inputs!$B$3=1,ISNUMBER(D42)),D42,E42)</f>
        <v>13.65</v>
      </c>
      <c r="G42" s="35" t="s">
        <v>247</v>
      </c>
      <c r="H42" s="14" t="s">
        <v>314</v>
      </c>
    </row>
    <row r="43" customFormat="false" ht="15" hidden="false" customHeight="false" outlineLevel="0" collapsed="false">
      <c r="A43" s="33" t="s">
        <v>315</v>
      </c>
      <c r="B43" s="27" t="s">
        <v>316</v>
      </c>
      <c r="C43" s="27" t="s">
        <v>142</v>
      </c>
      <c r="D43" s="23" t="str">
        <f aca="false">IFERROR(bdp($B43,$C43),"")</f>
        <v/>
      </c>
      <c r="E43" s="42" t="n">
        <v>12.7225</v>
      </c>
      <c r="F43" s="43" t="n">
        <f aca="false">IF(AND(Inputs!$B$3=1,ISNUMBER(D43)),D43,E43)</f>
        <v>12.7225</v>
      </c>
      <c r="G43" s="35" t="s">
        <v>247</v>
      </c>
      <c r="H43" s="14" t="s">
        <v>317</v>
      </c>
    </row>
    <row r="44" customFormat="false" ht="15" hidden="false" customHeight="false" outlineLevel="0" collapsed="false">
      <c r="A44" s="33" t="s">
        <v>318</v>
      </c>
      <c r="B44" s="27" t="s">
        <v>319</v>
      </c>
      <c r="C44" s="27" t="s">
        <v>142</v>
      </c>
      <c r="D44" s="23" t="str">
        <f aca="false">IFERROR(bdp($B44,$C44),"")</f>
        <v/>
      </c>
      <c r="E44" s="42" t="n">
        <v>12.4425</v>
      </c>
      <c r="F44" s="43" t="n">
        <f aca="false">IF(AND(Inputs!$B$3=1,ISNUMBER(D44)),D44,E44)</f>
        <v>12.4425</v>
      </c>
      <c r="G44" s="35" t="s">
        <v>247</v>
      </c>
      <c r="H44" s="14" t="s">
        <v>320</v>
      </c>
    </row>
    <row r="45" customFormat="false" ht="15" hidden="false" customHeight="false" outlineLevel="0" collapsed="false">
      <c r="A45" s="33" t="s">
        <v>321</v>
      </c>
      <c r="B45" s="27" t="s">
        <v>322</v>
      </c>
      <c r="C45" s="27" t="s">
        <v>142</v>
      </c>
      <c r="D45" s="23" t="str">
        <f aca="false">IFERROR(bdp($B45,$C45),"")</f>
        <v/>
      </c>
      <c r="E45" s="42" t="n">
        <v>12.3875</v>
      </c>
      <c r="F45" s="43" t="n">
        <f aca="false">IF(AND(Inputs!$B$3=1,ISNUMBER(D45)),D45,E45)</f>
        <v>12.3875</v>
      </c>
      <c r="G45" s="35" t="s">
        <v>247</v>
      </c>
      <c r="H45" s="14" t="s">
        <v>323</v>
      </c>
    </row>
    <row r="46" customFormat="false" ht="15" hidden="false" customHeight="false" outlineLevel="0" collapsed="false">
      <c r="A46" s="33" t="s">
        <v>324</v>
      </c>
      <c r="B46" s="27" t="s">
        <v>325</v>
      </c>
      <c r="C46" s="27" t="s">
        <v>142</v>
      </c>
      <c r="D46" s="23" t="str">
        <f aca="false">IFERROR(bdp($B46,$C46),"")</f>
        <v/>
      </c>
      <c r="E46" s="42" t="n">
        <v>12.345</v>
      </c>
      <c r="F46" s="43" t="n">
        <f aca="false">IF(AND(Inputs!$B$3=1,ISNUMBER(D46)),D46,E46)</f>
        <v>12.345</v>
      </c>
      <c r="G46" s="35" t="s">
        <v>247</v>
      </c>
      <c r="H46" s="14" t="s">
        <v>326</v>
      </c>
    </row>
    <row r="47" customFormat="false" ht="15" hidden="false" customHeight="false" outlineLevel="0" collapsed="false">
      <c r="A47" s="33" t="s">
        <v>327</v>
      </c>
      <c r="B47" s="27" t="s">
        <v>328</v>
      </c>
      <c r="C47" s="27" t="s">
        <v>142</v>
      </c>
      <c r="D47" s="23" t="str">
        <f aca="false">IFERROR(bdp($B47,$C47),"")</f>
        <v/>
      </c>
      <c r="E47" s="44" t="n">
        <v>12.45</v>
      </c>
      <c r="F47" s="43" t="n">
        <f aca="false">IF(AND(Inputs!$B$3=1,ISNUMBER(D47)),D47,E47)</f>
        <v>12.45</v>
      </c>
      <c r="G47" s="41" t="s">
        <v>292</v>
      </c>
      <c r="H47" s="14" t="s">
        <v>329</v>
      </c>
    </row>
    <row r="48" customFormat="false" ht="15" hidden="false" customHeight="false" outlineLevel="0" collapsed="false">
      <c r="A48" s="33" t="s">
        <v>330</v>
      </c>
      <c r="B48" s="27" t="s">
        <v>331</v>
      </c>
      <c r="C48" s="27" t="s">
        <v>142</v>
      </c>
      <c r="D48" s="23" t="str">
        <f aca="false">IFERROR(bdp($B48,$C48),"")</f>
        <v/>
      </c>
      <c r="E48" s="44" t="n">
        <v>12.55</v>
      </c>
      <c r="F48" s="43" t="n">
        <f aca="false">IF(AND(Inputs!$B$3=1,ISNUMBER(D48)),D48,E48)</f>
        <v>12.55</v>
      </c>
      <c r="G48" s="41" t="s">
        <v>292</v>
      </c>
      <c r="H48" s="14" t="s">
        <v>332</v>
      </c>
    </row>
    <row r="49" customFormat="false" ht="15" hidden="false" customHeight="false" outlineLevel="0" collapsed="false">
      <c r="A49" s="33" t="s">
        <v>333</v>
      </c>
      <c r="E49" s="28" t="n">
        <v>46755</v>
      </c>
      <c r="F49" s="34" t="n">
        <f aca="false">E49</f>
        <v>46755</v>
      </c>
      <c r="G49" s="35" t="s">
        <v>236</v>
      </c>
      <c r="H49" s="14"/>
    </row>
    <row r="50" customFormat="false" ht="15" hidden="false" customHeight="false" outlineLevel="0" collapsed="false">
      <c r="A50" s="33" t="s">
        <v>334</v>
      </c>
      <c r="E50" s="28" t="n">
        <v>47120</v>
      </c>
      <c r="F50" s="34" t="n">
        <f aca="false">E50</f>
        <v>47120</v>
      </c>
      <c r="G50" s="35" t="s">
        <v>236</v>
      </c>
      <c r="H50" s="14"/>
    </row>
    <row r="51" customFormat="false" ht="15" hidden="false" customHeight="false" outlineLevel="0" collapsed="false">
      <c r="A51" s="33" t="s">
        <v>335</v>
      </c>
      <c r="E51" s="28" t="n">
        <v>47850</v>
      </c>
      <c r="F51" s="34" t="n">
        <f aca="false">E51</f>
        <v>47850</v>
      </c>
      <c r="G51" s="35" t="s">
        <v>236</v>
      </c>
      <c r="H51" s="14"/>
    </row>
    <row r="52" customFormat="false" ht="15" hidden="false" customHeight="false" outlineLevel="0" collapsed="false">
      <c r="A52" s="33" t="s">
        <v>336</v>
      </c>
      <c r="E52" s="28" t="n">
        <v>48582</v>
      </c>
      <c r="F52" s="34" t="n">
        <f aca="false">E52</f>
        <v>48582</v>
      </c>
      <c r="G52" s="35" t="s">
        <v>236</v>
      </c>
      <c r="H52" s="14"/>
    </row>
    <row r="53" customFormat="false" ht="15" hidden="false" customHeight="false" outlineLevel="0" collapsed="false">
      <c r="A53" s="3" t="s">
        <v>337</v>
      </c>
      <c r="B53" s="3"/>
      <c r="C53" s="3"/>
      <c r="D53" s="3"/>
      <c r="E53" s="3"/>
      <c r="F53" s="3"/>
      <c r="G53" s="3"/>
      <c r="H53" s="3"/>
    </row>
    <row r="54" customFormat="false" ht="15" hidden="false" customHeight="false" outlineLevel="0" collapsed="false">
      <c r="A54" s="33" t="s">
        <v>338</v>
      </c>
      <c r="B54" s="27" t="s">
        <v>339</v>
      </c>
      <c r="C54" s="27" t="s">
        <v>142</v>
      </c>
      <c r="D54" s="23" t="str">
        <f aca="false">IFERROR(bdp($B54,$C54),"")</f>
        <v/>
      </c>
      <c r="E54" s="42" t="n">
        <v>6.4647</v>
      </c>
      <c r="F54" s="43" t="n">
        <f aca="false">IF(AND(Inputs!$B$3=1,ISNUMBER(D54)),D54,E54)</f>
        <v>6.4647</v>
      </c>
      <c r="G54" s="35" t="s">
        <v>247</v>
      </c>
      <c r="H54" s="14" t="s">
        <v>340</v>
      </c>
    </row>
    <row r="55" customFormat="false" ht="15" hidden="false" customHeight="false" outlineLevel="0" collapsed="false">
      <c r="A55" s="33" t="s">
        <v>341</v>
      </c>
      <c r="B55" s="27" t="s">
        <v>342</v>
      </c>
      <c r="C55" s="27" t="s">
        <v>142</v>
      </c>
      <c r="D55" s="23" t="str">
        <f aca="false">IFERROR(bdp($B55,$C55),"")</f>
        <v/>
      </c>
      <c r="E55" s="42" t="n">
        <v>6.6335</v>
      </c>
      <c r="F55" s="43" t="n">
        <f aca="false">IF(AND(Inputs!$B$3=1,ISNUMBER(D55)),D55,E55)</f>
        <v>6.6335</v>
      </c>
      <c r="G55" s="35" t="s">
        <v>247</v>
      </c>
      <c r="H55" s="14"/>
    </row>
    <row r="56" customFormat="false" ht="15" hidden="false" customHeight="false" outlineLevel="0" collapsed="false">
      <c r="A56" s="33" t="s">
        <v>343</v>
      </c>
      <c r="B56" s="27" t="s">
        <v>344</v>
      </c>
      <c r="C56" s="27" t="s">
        <v>142</v>
      </c>
      <c r="D56" s="23" t="str">
        <f aca="false">IFERROR(bdp($B56,$C56),"")</f>
        <v/>
      </c>
      <c r="E56" s="42" t="n">
        <v>7.0806</v>
      </c>
      <c r="F56" s="43" t="n">
        <f aca="false">IF(AND(Inputs!$B$3=1,ISNUMBER(D56)),D56,E56)</f>
        <v>7.0806</v>
      </c>
      <c r="G56" s="35" t="s">
        <v>247</v>
      </c>
      <c r="H56" s="14"/>
    </row>
    <row r="57" customFormat="false" ht="15" hidden="false" customHeight="false" outlineLevel="0" collapsed="false">
      <c r="A57" s="33" t="s">
        <v>345</v>
      </c>
      <c r="B57" s="27" t="s">
        <v>346</v>
      </c>
      <c r="C57" s="27" t="s">
        <v>142</v>
      </c>
      <c r="D57" s="23" t="str">
        <f aca="false">IFERROR(bdp($B57,$C57),"")</f>
        <v/>
      </c>
      <c r="E57" s="42" t="n">
        <v>7.4</v>
      </c>
      <c r="F57" s="43" t="n">
        <f aca="false">IF(AND(Inputs!$B$3=1,ISNUMBER(D57)),D57,E57)</f>
        <v>7.4</v>
      </c>
      <c r="G57" s="35" t="s">
        <v>247</v>
      </c>
      <c r="H57" s="14"/>
    </row>
    <row r="58" customFormat="false" ht="15" hidden="false" customHeight="false" outlineLevel="0" collapsed="false">
      <c r="A58" s="33" t="s">
        <v>347</v>
      </c>
      <c r="B58" s="27" t="s">
        <v>348</v>
      </c>
      <c r="C58" s="27" t="s">
        <v>142</v>
      </c>
      <c r="D58" s="23" t="str">
        <f aca="false">IFERROR(bdp($B58,$C58),"")</f>
        <v/>
      </c>
      <c r="E58" s="44" t="n">
        <v>7.55</v>
      </c>
      <c r="F58" s="43" t="n">
        <f aca="false">IF(AND(Inputs!$B$3=1,ISNUMBER(D58)),D58,E58)</f>
        <v>7.55</v>
      </c>
      <c r="G58" s="41" t="s">
        <v>292</v>
      </c>
      <c r="H58" s="14" t="s">
        <v>349</v>
      </c>
    </row>
    <row r="59" customFormat="false" ht="15" hidden="false" customHeight="false" outlineLevel="0" collapsed="false">
      <c r="A59" s="33" t="s">
        <v>350</v>
      </c>
      <c r="B59" s="27" t="s">
        <v>351</v>
      </c>
      <c r="C59" s="27" t="s">
        <v>142</v>
      </c>
      <c r="D59" s="23" t="str">
        <f aca="false">IFERROR(bdp($B59,$C59),"")</f>
        <v/>
      </c>
      <c r="E59" s="44" t="n">
        <v>7.65</v>
      </c>
      <c r="F59" s="43" t="n">
        <f aca="false">IF(AND(Inputs!$B$3=1,ISNUMBER(D59)),D59,E59)</f>
        <v>7.65</v>
      </c>
      <c r="G59" s="41" t="s">
        <v>292</v>
      </c>
      <c r="H59" s="14"/>
    </row>
    <row r="60" customFormat="false" ht="15" hidden="false" customHeight="false" outlineLevel="0" collapsed="false">
      <c r="A60" s="3" t="s">
        <v>352</v>
      </c>
      <c r="B60" s="3"/>
      <c r="C60" s="3"/>
      <c r="D60" s="3"/>
      <c r="E60" s="3"/>
      <c r="F60" s="3"/>
      <c r="G60" s="3"/>
      <c r="H60" s="3"/>
    </row>
    <row r="61" customFormat="false" ht="15" hidden="false" customHeight="false" outlineLevel="0" collapsed="false">
      <c r="A61" s="33" t="s">
        <v>353</v>
      </c>
      <c r="B61" s="27" t="s">
        <v>354</v>
      </c>
      <c r="C61" s="27" t="s">
        <v>142</v>
      </c>
      <c r="D61" s="23" t="str">
        <f aca="false">IFERROR(bdp($B61,$C61),"")</f>
        <v/>
      </c>
      <c r="E61" s="44" t="n">
        <v>4</v>
      </c>
      <c r="F61" s="43" t="n">
        <f aca="false">IF(AND(Inputs!$B$3=1,ISNUMBER(D61)),D61,E61)</f>
        <v>4</v>
      </c>
      <c r="G61" s="41" t="s">
        <v>292</v>
      </c>
      <c r="H61" s="14" t="s">
        <v>355</v>
      </c>
    </row>
    <row r="62" customFormat="false" ht="15" hidden="false" customHeight="false" outlineLevel="0" collapsed="false">
      <c r="A62" s="33" t="s">
        <v>356</v>
      </c>
      <c r="B62" s="27" t="s">
        <v>357</v>
      </c>
      <c r="C62" s="27" t="s">
        <v>142</v>
      </c>
      <c r="D62" s="23" t="str">
        <f aca="false">IFERROR(bdp($B62,$C62),"")</f>
        <v/>
      </c>
      <c r="E62" s="42" t="n">
        <v>4.5</v>
      </c>
      <c r="F62" s="43" t="n">
        <f aca="false">IF(AND(Inputs!$B$3=1,ISNUMBER(D62)),D62,E62)</f>
        <v>4.5</v>
      </c>
      <c r="G62" s="35" t="s">
        <v>247</v>
      </c>
      <c r="H62" s="14"/>
    </row>
    <row r="63" customFormat="false" ht="15" hidden="false" customHeight="false" outlineLevel="0" collapsed="false">
      <c r="A63" s="33" t="s">
        <v>358</v>
      </c>
      <c r="B63" s="27" t="s">
        <v>359</v>
      </c>
      <c r="C63" s="27" t="s">
        <v>142</v>
      </c>
      <c r="D63" s="23" t="str">
        <f aca="false">IFERROR(bdp($B63,$C63),"")</f>
        <v/>
      </c>
      <c r="E63" s="42" t="n">
        <v>4.6635</v>
      </c>
      <c r="F63" s="43" t="n">
        <f aca="false">IF(AND(Inputs!$B$3=1,ISNUMBER(D63)),D63,E63)</f>
        <v>4.6635</v>
      </c>
      <c r="G63" s="35" t="s">
        <v>247</v>
      </c>
      <c r="H63" s="14"/>
    </row>
    <row r="64" customFormat="false" ht="15" hidden="false" customHeight="false" outlineLevel="0" collapsed="false">
      <c r="A64" s="33" t="s">
        <v>360</v>
      </c>
      <c r="B64" s="27" t="s">
        <v>361</v>
      </c>
      <c r="C64" s="27" t="s">
        <v>142</v>
      </c>
      <c r="D64" s="23" t="str">
        <f aca="false">IFERROR(bdp($B64,$C64),"")</f>
        <v/>
      </c>
      <c r="E64" s="42" t="n">
        <v>4.7058</v>
      </c>
      <c r="F64" s="43" t="n">
        <f aca="false">IF(AND(Inputs!$B$3=1,ISNUMBER(D64)),D64,E64)</f>
        <v>4.7058</v>
      </c>
      <c r="G64" s="35" t="s">
        <v>247</v>
      </c>
      <c r="H64" s="14"/>
    </row>
    <row r="65" customFormat="false" ht="15" hidden="false" customHeight="false" outlineLevel="0" collapsed="false">
      <c r="A65" s="33" t="s">
        <v>362</v>
      </c>
      <c r="B65" s="27" t="s">
        <v>363</v>
      </c>
      <c r="C65" s="27" t="s">
        <v>142</v>
      </c>
      <c r="D65" s="23" t="str">
        <f aca="false">IFERROR(bdp($B65,$C65),"")</f>
        <v/>
      </c>
      <c r="E65" s="44" t="n">
        <v>4.74</v>
      </c>
      <c r="F65" s="43" t="n">
        <f aca="false">IF(AND(Inputs!$B$3=1,ISNUMBER(D65)),D65,E65)</f>
        <v>4.74</v>
      </c>
      <c r="G65" s="41" t="s">
        <v>292</v>
      </c>
      <c r="H65" s="14" t="s">
        <v>364</v>
      </c>
    </row>
    <row r="66" customFormat="false" ht="15" hidden="false" customHeight="false" outlineLevel="0" collapsed="false">
      <c r="A66" s="33" t="s">
        <v>365</v>
      </c>
      <c r="B66" s="27" t="s">
        <v>366</v>
      </c>
      <c r="C66" s="27" t="s">
        <v>142</v>
      </c>
      <c r="D66" s="23" t="str">
        <f aca="false">IFERROR(bdp($B66,$C66),"")</f>
        <v/>
      </c>
      <c r="E66" s="44" t="n">
        <v>4.78</v>
      </c>
      <c r="F66" s="43" t="n">
        <f aca="false">IF(AND(Inputs!$B$3=1,ISNUMBER(D66)),D66,E66)</f>
        <v>4.78</v>
      </c>
      <c r="G66" s="41" t="s">
        <v>292</v>
      </c>
      <c r="H66" s="14"/>
    </row>
    <row r="67" customFormat="false" ht="15" hidden="false" customHeight="false" outlineLevel="0" collapsed="false">
      <c r="A67" s="33" t="s">
        <v>367</v>
      </c>
      <c r="B67" s="27" t="s">
        <v>368</v>
      </c>
      <c r="C67" s="27" t="s">
        <v>142</v>
      </c>
      <c r="D67" s="23" t="str">
        <f aca="false">IFERROR(bdp($B67,$C67),"")</f>
        <v/>
      </c>
      <c r="E67" s="44" t="n">
        <v>4.88</v>
      </c>
      <c r="F67" s="43" t="n">
        <f aca="false">IF(AND(Inputs!$B$3=1,ISNUMBER(D67)),D67,E67)</f>
        <v>4.88</v>
      </c>
      <c r="G67" s="41" t="s">
        <v>292</v>
      </c>
      <c r="H67" s="14"/>
    </row>
    <row r="68" customFormat="false" ht="15" hidden="false" customHeight="false" outlineLevel="0" collapsed="false">
      <c r="A68" s="33" t="s">
        <v>369</v>
      </c>
      <c r="B68" s="27" t="s">
        <v>370</v>
      </c>
      <c r="C68" s="27" t="s">
        <v>142</v>
      </c>
      <c r="D68" s="23" t="str">
        <f aca="false">IFERROR(bdp($B68,$C68),"")</f>
        <v/>
      </c>
      <c r="E68" s="44" t="n">
        <v>5</v>
      </c>
      <c r="F68" s="43" t="n">
        <f aca="false">IF(AND(Inputs!$B$3=1,ISNUMBER(D68)),D68,E68)</f>
        <v>5</v>
      </c>
      <c r="G68" s="41" t="s">
        <v>292</v>
      </c>
      <c r="H68" s="14" t="s">
        <v>371</v>
      </c>
    </row>
    <row r="69" customFormat="false" ht="15" hidden="false" customHeight="false" outlineLevel="0" collapsed="false">
      <c r="A69" s="33" t="s">
        <v>372</v>
      </c>
      <c r="B69" s="27" t="s">
        <v>373</v>
      </c>
      <c r="C69" s="27" t="s">
        <v>142</v>
      </c>
      <c r="D69" s="23" t="str">
        <f aca="false">IFERROR(bdp($B69,$C69),"")</f>
        <v/>
      </c>
      <c r="E69" s="44" t="n">
        <v>5.25</v>
      </c>
      <c r="F69" s="43" t="n">
        <f aca="false">IF(AND(Inputs!$B$3=1,ISNUMBER(D69)),D69,E69)</f>
        <v>5.25</v>
      </c>
      <c r="G69" s="41" t="s">
        <v>292</v>
      </c>
      <c r="H69" s="14"/>
    </row>
    <row r="70" customFormat="false" ht="15" hidden="false" customHeight="false" outlineLevel="0" collapsed="false">
      <c r="A70" s="33" t="s">
        <v>374</v>
      </c>
      <c r="B70" s="27" t="s">
        <v>375</v>
      </c>
      <c r="C70" s="27" t="s">
        <v>142</v>
      </c>
      <c r="D70" s="23" t="str">
        <f aca="false">IFERROR(bdp($B70,$C70),"")</f>
        <v/>
      </c>
      <c r="E70" s="44" t="n">
        <v>5.15</v>
      </c>
      <c r="F70" s="43" t="n">
        <f aca="false">IF(AND(Inputs!$B$3=1,ISNUMBER(D70)),D70,E70)</f>
        <v>5.15</v>
      </c>
      <c r="G70" s="41" t="s">
        <v>292</v>
      </c>
      <c r="H70" s="14"/>
    </row>
    <row r="71" customFormat="false" ht="15" hidden="false" customHeight="false" outlineLevel="0" collapsed="false">
      <c r="A71" s="3" t="s">
        <v>376</v>
      </c>
      <c r="B71" s="3"/>
      <c r="C71" s="3"/>
      <c r="D71" s="3"/>
      <c r="E71" s="3"/>
      <c r="F71" s="3"/>
      <c r="G71" s="3"/>
      <c r="H71" s="3"/>
    </row>
    <row r="72" customFormat="false" ht="15" hidden="false" customHeight="false" outlineLevel="0" collapsed="false">
      <c r="A72" s="33" t="s">
        <v>377</v>
      </c>
      <c r="B72" s="27" t="s">
        <v>378</v>
      </c>
      <c r="C72" s="27" t="s">
        <v>142</v>
      </c>
      <c r="D72" s="10" t="str">
        <f aca="false">IFERROR(bdp($B72,$C72),"")</f>
        <v/>
      </c>
      <c r="E72" s="40" t="n">
        <v>55</v>
      </c>
      <c r="F72" s="38" t="n">
        <f aca="false">IF(AND(Inputs!$B$3=1,ISNUMBER(D72)),D72,E72)</f>
        <v>55</v>
      </c>
      <c r="G72" s="41" t="s">
        <v>292</v>
      </c>
      <c r="H72" s="14"/>
    </row>
    <row r="73" customFormat="false" ht="15" hidden="false" customHeight="false" outlineLevel="0" collapsed="false">
      <c r="A73" s="33" t="s">
        <v>379</v>
      </c>
      <c r="B73" s="27" t="s">
        <v>146</v>
      </c>
      <c r="C73" s="27" t="s">
        <v>142</v>
      </c>
      <c r="D73" s="10" t="str">
        <f aca="false">IFERROR(bdp($B73,$C73),"")</f>
        <v/>
      </c>
      <c r="E73" s="40" t="n">
        <v>200</v>
      </c>
      <c r="F73" s="38" t="n">
        <f aca="false">IF(AND(Inputs!$B$3=1,ISNUMBER(D73)),D73,E73)</f>
        <v>200</v>
      </c>
      <c r="G73" s="41" t="s">
        <v>292</v>
      </c>
      <c r="H73" s="14"/>
    </row>
    <row r="74" customFormat="false" ht="15" hidden="false" customHeight="false" outlineLevel="0" collapsed="false">
      <c r="A74" s="33" t="s">
        <v>380</v>
      </c>
      <c r="B74" s="27" t="s">
        <v>381</v>
      </c>
      <c r="C74" s="27" t="s">
        <v>142</v>
      </c>
      <c r="D74" s="10" t="str">
        <f aca="false">IFERROR(bdp($B74,$C74),"")</f>
        <v/>
      </c>
      <c r="E74" s="40" t="n">
        <v>85</v>
      </c>
      <c r="F74" s="38" t="n">
        <f aca="false">IF(AND(Inputs!$B$3=1,ISNUMBER(D74)),D74,E74)</f>
        <v>85</v>
      </c>
      <c r="G74" s="41" t="s">
        <v>292</v>
      </c>
      <c r="H74" s="14"/>
    </row>
    <row r="75" customFormat="false" ht="15" hidden="false" customHeight="false" outlineLevel="0" collapsed="false">
      <c r="A75" s="33" t="s">
        <v>382</v>
      </c>
      <c r="B75" s="27" t="s">
        <v>383</v>
      </c>
      <c r="C75" s="27" t="s">
        <v>142</v>
      </c>
      <c r="D75" s="10" t="str">
        <f aca="false">IFERROR(bdp($B75,$C75),"")</f>
        <v/>
      </c>
      <c r="E75" s="40" t="n">
        <v>115</v>
      </c>
      <c r="F75" s="38" t="n">
        <f aca="false">IF(AND(Inputs!$B$3=1,ISNUMBER(D75)),D75,E75)</f>
        <v>115</v>
      </c>
      <c r="G75" s="41" t="s">
        <v>292</v>
      </c>
      <c r="H75" s="14"/>
    </row>
    <row r="76" customFormat="false" ht="15" hidden="false" customHeight="false" outlineLevel="0" collapsed="false">
      <c r="A76" s="33" t="s">
        <v>384</v>
      </c>
      <c r="B76" s="27" t="s">
        <v>385</v>
      </c>
      <c r="C76" s="27" t="s">
        <v>142</v>
      </c>
      <c r="D76" s="10" t="str">
        <f aca="false">IFERROR(bdp($B76,$C76),"")</f>
        <v/>
      </c>
      <c r="E76" s="40" t="n">
        <v>95</v>
      </c>
      <c r="F76" s="38" t="n">
        <f aca="false">IF(AND(Inputs!$B$3=1,ISNUMBER(D76)),D76,E76)</f>
        <v>95</v>
      </c>
      <c r="G76" s="41" t="s">
        <v>292</v>
      </c>
      <c r="H76" s="14" t="s">
        <v>386</v>
      </c>
    </row>
    <row r="77" customFormat="false" ht="15" hidden="false" customHeight="false" outlineLevel="0" collapsed="false">
      <c r="A77" s="33" t="s">
        <v>387</v>
      </c>
      <c r="B77" s="27" t="s">
        <v>388</v>
      </c>
      <c r="C77" s="27" t="s">
        <v>142</v>
      </c>
      <c r="D77" s="10" t="str">
        <f aca="false">IFERROR(bdp($B77,$C77),"")</f>
        <v/>
      </c>
      <c r="E77" s="40" t="n">
        <v>280</v>
      </c>
      <c r="F77" s="38" t="n">
        <f aca="false">IF(AND(Inputs!$B$3=1,ISNUMBER(D77)),D77,E77)</f>
        <v>280</v>
      </c>
      <c r="G77" s="41" t="s">
        <v>292</v>
      </c>
      <c r="H77" s="14"/>
    </row>
    <row r="78" customFormat="false" ht="15" hidden="false" customHeight="false" outlineLevel="0" collapsed="false">
      <c r="A78" s="33" t="s">
        <v>389</v>
      </c>
      <c r="B78" s="27" t="s">
        <v>390</v>
      </c>
      <c r="C78" s="27" t="s">
        <v>142</v>
      </c>
      <c r="D78" s="10" t="str">
        <f aca="false">IFERROR(bdp($B78,$C78),"")</f>
        <v/>
      </c>
      <c r="E78" s="40" t="n">
        <v>130</v>
      </c>
      <c r="F78" s="38" t="n">
        <f aca="false">IF(AND(Inputs!$B$3=1,ISNUMBER(D78)),D78,E78)</f>
        <v>130</v>
      </c>
      <c r="G78" s="41" t="s">
        <v>292</v>
      </c>
      <c r="H78" s="14"/>
    </row>
    <row r="79" customFormat="false" ht="15" hidden="false" customHeight="false" outlineLevel="0" collapsed="false">
      <c r="A79" s="33" t="s">
        <v>391</v>
      </c>
      <c r="B79" s="27" t="s">
        <v>392</v>
      </c>
      <c r="C79" s="27" t="s">
        <v>142</v>
      </c>
      <c r="D79" s="10" t="str">
        <f aca="false">IFERROR(bdp($B79,$C79),"")</f>
        <v/>
      </c>
      <c r="E79" s="40" t="n">
        <v>185</v>
      </c>
      <c r="F79" s="38" t="n">
        <f aca="false">IF(AND(Inputs!$B$3=1,ISNUMBER(D79)),D79,E79)</f>
        <v>185</v>
      </c>
      <c r="G79" s="41" t="s">
        <v>292</v>
      </c>
      <c r="H79" s="14"/>
    </row>
    <row r="80" customFormat="false" ht="15" hidden="false" customHeight="false" outlineLevel="0" collapsed="false">
      <c r="A80" s="33" t="s">
        <v>393</v>
      </c>
      <c r="E80" s="45" t="n">
        <v>0.25</v>
      </c>
      <c r="F80" s="46" t="n">
        <f aca="false">E80</f>
        <v>0.25</v>
      </c>
      <c r="G80" s="35" t="s">
        <v>236</v>
      </c>
      <c r="H80" s="14" t="s">
        <v>394</v>
      </c>
    </row>
    <row r="81" customFormat="false" ht="15" hidden="false" customHeight="false" outlineLevel="0" collapsed="false">
      <c r="A81" s="3" t="s">
        <v>395</v>
      </c>
      <c r="B81" s="3"/>
      <c r="C81" s="3"/>
      <c r="D81" s="3"/>
      <c r="E81" s="3"/>
      <c r="F81" s="3"/>
      <c r="G81" s="3"/>
      <c r="H81" s="3"/>
    </row>
    <row r="82" customFormat="false" ht="15" hidden="false" customHeight="false" outlineLevel="0" collapsed="false">
      <c r="A82" s="33" t="s">
        <v>396</v>
      </c>
      <c r="B82" s="27" t="s">
        <v>397</v>
      </c>
      <c r="C82" s="27" t="s">
        <v>142</v>
      </c>
      <c r="D82" s="10" t="str">
        <f aca="false">IFERROR(bdp($B82,$C82),"")</f>
        <v/>
      </c>
      <c r="E82" s="40" t="n">
        <v>70</v>
      </c>
      <c r="F82" s="38" t="n">
        <f aca="false">IF(AND(Inputs!$B$3=1,ISNUMBER(D82)),D82,E82)</f>
        <v>70</v>
      </c>
      <c r="G82" s="41" t="s">
        <v>292</v>
      </c>
      <c r="H82" s="14" t="s">
        <v>398</v>
      </c>
    </row>
    <row r="83" customFormat="false" ht="15" hidden="false" customHeight="false" outlineLevel="0" collapsed="false">
      <c r="A83" s="33" t="s">
        <v>399</v>
      </c>
      <c r="B83" s="27" t="s">
        <v>397</v>
      </c>
      <c r="C83" s="27" t="s">
        <v>400</v>
      </c>
      <c r="D83" s="10" t="str">
        <f aca="false">IFERROR(bdp($B83,$C83),"")</f>
        <v/>
      </c>
      <c r="E83" s="40" t="n">
        <v>32</v>
      </c>
      <c r="F83" s="38" t="n">
        <f aca="false">IF(AND(Inputs!$B$3=1,ISNUMBER(D83)),D83,E83)</f>
        <v>32</v>
      </c>
      <c r="G83" s="41" t="s">
        <v>292</v>
      </c>
      <c r="H83" s="14" t="s">
        <v>401</v>
      </c>
    </row>
    <row r="84" customFormat="false" ht="15" hidden="false" customHeight="false" outlineLevel="0" collapsed="false">
      <c r="A84" s="33" t="s">
        <v>402</v>
      </c>
      <c r="E84" s="45" t="n">
        <v>0.9</v>
      </c>
      <c r="F84" s="46" t="n">
        <f aca="false">E84</f>
        <v>0.9</v>
      </c>
      <c r="G84" s="35" t="s">
        <v>236</v>
      </c>
      <c r="H84" s="14" t="s">
        <v>403</v>
      </c>
    </row>
    <row r="85" customFormat="false" ht="15" hidden="false" customHeight="false" outlineLevel="0" collapsed="false">
      <c r="A85" s="33" t="s">
        <v>404</v>
      </c>
      <c r="E85" s="45" t="n">
        <v>0.75</v>
      </c>
      <c r="F85" s="46" t="n">
        <f aca="false">E85</f>
        <v>0.75</v>
      </c>
      <c r="G85" s="35" t="s">
        <v>236</v>
      </c>
      <c r="H85" s="14" t="s">
        <v>405</v>
      </c>
    </row>
    <row r="86" customFormat="false" ht="15" hidden="false" customHeight="false" outlineLevel="0" collapsed="false">
      <c r="A86" s="33" t="s">
        <v>406</v>
      </c>
      <c r="E86" s="40" t="n">
        <v>2.1</v>
      </c>
      <c r="F86" s="38" t="n">
        <f aca="false">E86</f>
        <v>2.1</v>
      </c>
      <c r="G86" s="41" t="s">
        <v>236</v>
      </c>
      <c r="H86" s="14" t="s">
        <v>407</v>
      </c>
    </row>
    <row r="87" customFormat="false" ht="15" hidden="false" customHeight="false" outlineLevel="0" collapsed="false">
      <c r="A87" s="33" t="s">
        <v>408</v>
      </c>
      <c r="E87" s="40" t="n">
        <v>0.55</v>
      </c>
      <c r="F87" s="38" t="n">
        <f aca="false">E87</f>
        <v>0.55</v>
      </c>
      <c r="G87" s="41" t="s">
        <v>236</v>
      </c>
      <c r="H87" s="14" t="s">
        <v>409</v>
      </c>
    </row>
    <row r="88" customFormat="false" ht="22.35" hidden="false" customHeight="false" outlineLevel="0" collapsed="false">
      <c r="A88" s="33" t="s">
        <v>410</v>
      </c>
      <c r="E88" s="40" t="n">
        <v>-0.25</v>
      </c>
      <c r="F88" s="38" t="n">
        <f aca="false">E88</f>
        <v>-0.25</v>
      </c>
      <c r="G88" s="41" t="s">
        <v>236</v>
      </c>
      <c r="H88" s="14" t="s">
        <v>411</v>
      </c>
    </row>
    <row r="89" customFormat="false" ht="15" hidden="false" customHeight="false" outlineLevel="0" collapsed="false">
      <c r="A89" s="33" t="s">
        <v>412</v>
      </c>
      <c r="E89" s="40" t="n">
        <v>-0.15</v>
      </c>
      <c r="F89" s="38" t="n">
        <f aca="false">E89</f>
        <v>-0.15</v>
      </c>
      <c r="G89" s="41" t="s">
        <v>236</v>
      </c>
      <c r="H89" s="14" t="s">
        <v>413</v>
      </c>
    </row>
    <row r="90" customFormat="false" ht="22.35" hidden="false" customHeight="false" outlineLevel="0" collapsed="false">
      <c r="A90" s="33" t="s">
        <v>414</v>
      </c>
      <c r="E90" s="40" t="n">
        <v>-1.5</v>
      </c>
      <c r="F90" s="38" t="n">
        <f aca="false">E90</f>
        <v>-1.5</v>
      </c>
      <c r="G90" s="41" t="s">
        <v>236</v>
      </c>
      <c r="H90" s="14" t="s">
        <v>415</v>
      </c>
    </row>
    <row r="91" customFormat="false" ht="15" hidden="false" customHeight="false" outlineLevel="0" collapsed="false">
      <c r="A91" s="33" t="s">
        <v>416</v>
      </c>
      <c r="E91" s="45" t="n">
        <v>-0.2</v>
      </c>
      <c r="F91" s="46" t="n">
        <f aca="false">E91</f>
        <v>-0.2</v>
      </c>
      <c r="G91" s="35" t="s">
        <v>236</v>
      </c>
      <c r="H91" s="14" t="s">
        <v>417</v>
      </c>
    </row>
    <row r="92" customFormat="false" ht="15" hidden="false" customHeight="false" outlineLevel="0" collapsed="false">
      <c r="A92" s="3" t="s">
        <v>418</v>
      </c>
      <c r="B92" s="3"/>
      <c r="C92" s="3"/>
      <c r="D92" s="3"/>
      <c r="E92" s="3"/>
      <c r="F92" s="3"/>
      <c r="G92" s="3"/>
      <c r="H92" s="3"/>
    </row>
    <row r="93" customFormat="false" ht="15" hidden="false" customHeight="false" outlineLevel="0" collapsed="false">
      <c r="A93" s="33" t="s">
        <v>419</v>
      </c>
      <c r="E93" s="47" t="n">
        <v>3000000</v>
      </c>
      <c r="F93" s="48" t="n">
        <f aca="false">E93</f>
        <v>3000000</v>
      </c>
      <c r="G93" s="35" t="s">
        <v>236</v>
      </c>
      <c r="H93" s="14"/>
    </row>
  </sheetData>
  <mergeCells count="11">
    <mergeCell ref="A1:H1"/>
    <mergeCell ref="A2:H2"/>
    <mergeCell ref="A6:H6"/>
    <mergeCell ref="A11:H11"/>
    <mergeCell ref="A35:H35"/>
    <mergeCell ref="A41:H41"/>
    <mergeCell ref="A53:H53"/>
    <mergeCell ref="A60:H60"/>
    <mergeCell ref="A71:H71"/>
    <mergeCell ref="A81:H81"/>
    <mergeCell ref="A92:H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420</v>
      </c>
      <c r="B1" s="1"/>
      <c r="C1" s="1"/>
    </row>
    <row r="2" customFormat="false" ht="30" hidden="false" customHeight="true" outlineLevel="0" collapsed="false">
      <c r="A2" s="2" t="s">
        <v>421</v>
      </c>
      <c r="B2" s="2"/>
      <c r="C2" s="2"/>
    </row>
    <row r="4" customFormat="false" ht="15" hidden="false" customHeight="false" outlineLevel="0" collapsed="false">
      <c r="A4" s="3" t="s">
        <v>4</v>
      </c>
      <c r="B4" s="3"/>
      <c r="C4" s="3"/>
    </row>
    <row r="5" customFormat="false" ht="45" hidden="false" customHeight="true" outlineLevel="0" collapsed="false">
      <c r="A5" s="17" t="s">
        <v>422</v>
      </c>
      <c r="B5" s="17"/>
      <c r="C5" s="17"/>
    </row>
    <row r="7" customFormat="false" ht="15" hidden="false" customHeight="false" outlineLevel="0" collapsed="false">
      <c r="A7" s="3" t="s">
        <v>423</v>
      </c>
      <c r="B7" s="3"/>
      <c r="C7" s="3"/>
    </row>
    <row r="8" customFormat="false" ht="15" hidden="false" customHeight="false" outlineLevel="0" collapsed="false">
      <c r="A8" s="13" t="s">
        <v>245</v>
      </c>
      <c r="B8" s="18" t="n">
        <f aca="false">Inputs!$F$12</f>
        <v>3184.71</v>
      </c>
    </row>
    <row r="9" customFormat="false" ht="15" hidden="false" customHeight="false" outlineLevel="0" collapsed="false">
      <c r="A9" s="13" t="s">
        <v>254</v>
      </c>
      <c r="B9" s="18" t="n">
        <f aca="false">Inputs!$F$15</f>
        <v>3243.54</v>
      </c>
    </row>
    <row r="10" customFormat="false" ht="15" hidden="false" customHeight="false" outlineLevel="0" collapsed="false">
      <c r="A10" s="13" t="s">
        <v>256</v>
      </c>
      <c r="B10" s="18" t="n">
        <f aca="false">Inputs!$F$16</f>
        <v>982.57</v>
      </c>
    </row>
    <row r="11" customFormat="false" ht="15" hidden="false" customHeight="false" outlineLevel="0" collapsed="false">
      <c r="A11" s="13" t="s">
        <v>263</v>
      </c>
      <c r="B11" s="18" t="n">
        <f aca="false">Inputs!$F$19</f>
        <v>981.7</v>
      </c>
    </row>
    <row r="12" customFormat="false" ht="15" hidden="false" customHeight="false" outlineLevel="0" collapsed="false">
      <c r="A12" s="13" t="s">
        <v>424</v>
      </c>
      <c r="B12" s="49" t="n">
        <f aca="false">Inputs!$F$10</f>
        <v>95</v>
      </c>
    </row>
    <row r="13" customFormat="false" ht="15" hidden="false" customHeight="false" outlineLevel="0" collapsed="false">
      <c r="A13" s="13" t="s">
        <v>425</v>
      </c>
      <c r="B13" s="20" t="n">
        <f aca="false">B10/B8</f>
        <v>0.308527307038946</v>
      </c>
      <c r="C13" s="14" t="s">
        <v>426</v>
      </c>
    </row>
    <row r="15" customFormat="false" ht="15" hidden="false" customHeight="false" outlineLevel="0" collapsed="false">
      <c r="A15" s="3" t="s">
        <v>427</v>
      </c>
      <c r="B15" s="3"/>
      <c r="C15" s="3"/>
    </row>
    <row r="16" customFormat="false" ht="22.35" hidden="false" customHeight="false" outlineLevel="0" collapsed="false">
      <c r="A16" s="13" t="s">
        <v>428</v>
      </c>
      <c r="B16" s="50" t="n">
        <f aca="false">(B9/B8-1)*365/B12</f>
        <v>0.0709738257585712</v>
      </c>
      <c r="C16" s="14" t="s">
        <v>429</v>
      </c>
    </row>
    <row r="17" customFormat="false" ht="22.35" hidden="false" customHeight="false" outlineLevel="0" collapsed="false">
      <c r="A17" s="13" t="s">
        <v>430</v>
      </c>
      <c r="B17" s="50" t="n">
        <f aca="false">(B10/B11-1)*365/B12</f>
        <v>0.0034049420178748</v>
      </c>
      <c r="C17" s="14" t="s">
        <v>431</v>
      </c>
    </row>
    <row r="18" customFormat="false" ht="15" hidden="false" customHeight="false" outlineLevel="0" collapsed="false">
      <c r="A18" s="13" t="s">
        <v>432</v>
      </c>
      <c r="B18" s="50" t="n">
        <f aca="false">B16+B17</f>
        <v>0.074378767776446</v>
      </c>
      <c r="C18" s="14" t="s">
        <v>433</v>
      </c>
    </row>
    <row r="20" customFormat="false" ht="15" hidden="false" customHeight="false" outlineLevel="0" collapsed="false">
      <c r="A20" s="3" t="s">
        <v>434</v>
      </c>
      <c r="B20" s="3"/>
      <c r="C20" s="3"/>
    </row>
    <row r="21" customFormat="false" ht="15" hidden="false" customHeight="false" outlineLevel="0" collapsed="false">
      <c r="A21" s="13" t="s">
        <v>435</v>
      </c>
      <c r="B21" s="24" t="n">
        <f aca="false">Inputs!$F$28</f>
        <v>14.7</v>
      </c>
    </row>
    <row r="22" customFormat="false" ht="15" hidden="false" customHeight="false" outlineLevel="0" collapsed="false">
      <c r="A22" s="13" t="s">
        <v>436</v>
      </c>
      <c r="B22" s="24" t="n">
        <f aca="false">Inputs!$F$29</f>
        <v>12.8</v>
      </c>
    </row>
    <row r="23" customFormat="false" ht="15" hidden="false" customHeight="false" outlineLevel="0" collapsed="false">
      <c r="A23" s="13" t="s">
        <v>437</v>
      </c>
      <c r="B23" s="24" t="n">
        <f aca="false">Inputs!$F$33</f>
        <v>0.55</v>
      </c>
      <c r="C23" s="14" t="s">
        <v>438</v>
      </c>
    </row>
    <row r="24" customFormat="false" ht="15" hidden="false" customHeight="false" outlineLevel="0" collapsed="false">
      <c r="A24" s="13" t="s">
        <v>439</v>
      </c>
      <c r="B24" s="51" t="n">
        <f aca="false">SQRT(B21^2+B22^2-2*B23*B21*B22)/100</f>
        <v>0.131511976640913</v>
      </c>
      <c r="C24" s="14" t="s">
        <v>440</v>
      </c>
    </row>
    <row r="25" customFormat="false" ht="15" hidden="false" customHeight="false" outlineLevel="0" collapsed="false">
      <c r="A25" s="13" t="s">
        <v>441</v>
      </c>
      <c r="B25" s="51" t="n">
        <f aca="false">B24*SQRT(B12/365)</f>
        <v>0.0670935352008927</v>
      </c>
      <c r="C25" s="14" t="s">
        <v>442</v>
      </c>
    </row>
    <row r="26" customFormat="false" ht="15" hidden="false" customHeight="false" outlineLevel="0" collapsed="false">
      <c r="A26" s="13" t="s">
        <v>443</v>
      </c>
      <c r="B26" s="8" t="n">
        <f aca="false">IF(B24=0,0,B18/B24)</f>
        <v>0.565566495738511</v>
      </c>
      <c r="C26" s="14" t="s">
        <v>444</v>
      </c>
    </row>
    <row r="28" customFormat="false" ht="15" hidden="false" customHeight="false" outlineLevel="0" collapsed="false">
      <c r="A28" s="3" t="s">
        <v>445</v>
      </c>
      <c r="B28" s="3"/>
      <c r="C28" s="3"/>
    </row>
    <row r="29" customFormat="false" ht="15" hidden="false" customHeight="false" outlineLevel="0" collapsed="false">
      <c r="A29" s="13" t="s">
        <v>446</v>
      </c>
      <c r="B29" s="47" t="n">
        <v>10000000</v>
      </c>
    </row>
    <row r="30" customFormat="false" ht="15" hidden="false" customHeight="false" outlineLevel="0" collapsed="false">
      <c r="A30" s="13" t="s">
        <v>447</v>
      </c>
      <c r="B30" s="25" t="n">
        <v>1.25</v>
      </c>
      <c r="C30" s="14" t="s">
        <v>448</v>
      </c>
    </row>
    <row r="31" customFormat="false" ht="15" hidden="false" customHeight="false" outlineLevel="0" collapsed="false">
      <c r="A31" s="13" t="s">
        <v>449</v>
      </c>
      <c r="B31" s="51" t="n">
        <f aca="false">B30*B25</f>
        <v>0.0838669190011158</v>
      </c>
    </row>
    <row r="32" customFormat="false" ht="15" hidden="false" customHeight="false" outlineLevel="0" collapsed="false">
      <c r="A32" s="13" t="s">
        <v>450</v>
      </c>
      <c r="B32" s="20" t="n">
        <f aca="false">B13*(1-B31)</f>
        <v>0.282652072369878</v>
      </c>
      <c r="C32" s="14" t="s">
        <v>451</v>
      </c>
    </row>
    <row r="33" customFormat="false" ht="15" hidden="false" customHeight="false" outlineLevel="0" collapsed="false">
      <c r="A33" s="13" t="s">
        <v>7</v>
      </c>
      <c r="B33" s="9" t="n">
        <f aca="false">B29*B31</f>
        <v>838669.190011159</v>
      </c>
    </row>
    <row r="34" customFormat="false" ht="15" hidden="false" customHeight="false" outlineLevel="0" collapsed="false">
      <c r="A34" s="13" t="s">
        <v>452</v>
      </c>
      <c r="B34" s="9" t="n">
        <f aca="false">B29*B18*B12/365</f>
        <v>193588.573664723</v>
      </c>
    </row>
    <row r="35" customFormat="false" ht="15" hidden="false" customHeight="false" outlineLevel="0" collapsed="false">
      <c r="A35" s="13" t="s">
        <v>453</v>
      </c>
      <c r="B35" s="9" t="n">
        <f aca="false">B29*B18</f>
        <v>743787.67776446</v>
      </c>
    </row>
    <row r="36" customFormat="false" ht="15" hidden="false" customHeight="false" outlineLevel="0" collapsed="false">
      <c r="A36" s="13" t="s">
        <v>454</v>
      </c>
      <c r="B36" s="50" t="n">
        <f aca="false">B18*B12/365</f>
        <v>0.0193588573664723</v>
      </c>
      <c r="C36" s="14" t="s">
        <v>455</v>
      </c>
    </row>
    <row r="38" customFormat="false" ht="15" hidden="false" customHeight="false" outlineLevel="0" collapsed="false">
      <c r="A38" s="3" t="s">
        <v>456</v>
      </c>
      <c r="B38" s="3"/>
      <c r="C38" s="3"/>
    </row>
    <row r="39" customFormat="false" ht="94.5" hidden="false" customHeight="true" outlineLevel="0" collapsed="false">
      <c r="A39" s="17" t="s">
        <v>457</v>
      </c>
      <c r="B39" s="17"/>
      <c r="C39" s="17"/>
    </row>
  </sheetData>
  <mergeCells count="10">
    <mergeCell ref="A1:C1"/>
    <mergeCell ref="A2:C2"/>
    <mergeCell ref="A4:C4"/>
    <mergeCell ref="A5:C5"/>
    <mergeCell ref="A7:C7"/>
    <mergeCell ref="A15:C15"/>
    <mergeCell ref="A20:C20"/>
    <mergeCell ref="A28:C28"/>
    <mergeCell ref="A38:C38"/>
    <mergeCell ref="A39:C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458</v>
      </c>
      <c r="B1" s="1"/>
      <c r="C1" s="1"/>
    </row>
    <row r="2" customFormat="false" ht="30" hidden="false" customHeight="true" outlineLevel="0" collapsed="false">
      <c r="A2" s="2" t="s">
        <v>459</v>
      </c>
      <c r="B2" s="2"/>
      <c r="C2" s="2"/>
    </row>
    <row r="4" customFormat="false" ht="15" hidden="false" customHeight="false" outlineLevel="0" collapsed="false">
      <c r="A4" s="3" t="s">
        <v>4</v>
      </c>
      <c r="B4" s="3"/>
      <c r="C4" s="3"/>
    </row>
    <row r="5" customFormat="false" ht="45" hidden="false" customHeight="true" outlineLevel="0" collapsed="false">
      <c r="A5" s="17" t="s">
        <v>460</v>
      </c>
      <c r="B5" s="17"/>
      <c r="C5" s="17"/>
    </row>
    <row r="7" customFormat="false" ht="15" hidden="false" customHeight="false" outlineLevel="0" collapsed="false">
      <c r="A7" s="3" t="s">
        <v>423</v>
      </c>
      <c r="B7" s="3"/>
      <c r="C7" s="3"/>
    </row>
    <row r="8" customFormat="false" ht="15" hidden="false" customHeight="false" outlineLevel="0" collapsed="false">
      <c r="A8" s="13" t="s">
        <v>265</v>
      </c>
      <c r="B8" s="18" t="n">
        <f aca="false">Inputs!$F$20</f>
        <v>5.02705</v>
      </c>
    </row>
    <row r="9" customFormat="false" ht="15" hidden="false" customHeight="false" outlineLevel="0" collapsed="false">
      <c r="A9" s="13" t="s">
        <v>271</v>
      </c>
      <c r="B9" s="18" t="n">
        <f aca="false">Inputs!$F$23</f>
        <v>5.113776</v>
      </c>
    </row>
    <row r="10" customFormat="false" ht="15" hidden="false" customHeight="false" outlineLevel="0" collapsed="false">
      <c r="A10" s="13" t="s">
        <v>273</v>
      </c>
      <c r="B10" s="18" t="n">
        <f aca="false">Inputs!$F$24</f>
        <v>18.3727</v>
      </c>
    </row>
    <row r="11" customFormat="false" ht="15" hidden="false" customHeight="false" outlineLevel="0" collapsed="false">
      <c r="A11" s="13" t="s">
        <v>278</v>
      </c>
      <c r="B11" s="18" t="n">
        <f aca="false">Inputs!$F$27</f>
        <v>18.492377</v>
      </c>
    </row>
    <row r="12" customFormat="false" ht="15" hidden="false" customHeight="false" outlineLevel="0" collapsed="false">
      <c r="A12" s="13" t="s">
        <v>424</v>
      </c>
      <c r="B12" s="49" t="n">
        <f aca="false">Inputs!$F$10</f>
        <v>95</v>
      </c>
    </row>
    <row r="13" customFormat="false" ht="15" hidden="false" customHeight="false" outlineLevel="0" collapsed="false">
      <c r="A13" s="13" t="s">
        <v>461</v>
      </c>
      <c r="B13" s="20" t="n">
        <f aca="false">B10/B8</f>
        <v>3.65476770670672</v>
      </c>
      <c r="C13" s="14" t="s">
        <v>462</v>
      </c>
    </row>
    <row r="15" customFormat="false" ht="15" hidden="false" customHeight="false" outlineLevel="0" collapsed="false">
      <c r="A15" s="3" t="s">
        <v>427</v>
      </c>
      <c r="B15" s="3"/>
      <c r="C15" s="3"/>
    </row>
    <row r="16" customFormat="false" ht="22.35" hidden="false" customHeight="false" outlineLevel="0" collapsed="false">
      <c r="A16" s="13" t="s">
        <v>463</v>
      </c>
      <c r="B16" s="50" t="n">
        <f aca="false">(B9/B8-1)*365/B12</f>
        <v>0.066283490526776</v>
      </c>
      <c r="C16" s="14" t="s">
        <v>464</v>
      </c>
    </row>
    <row r="17" customFormat="false" ht="22.35" hidden="false" customHeight="false" outlineLevel="0" collapsed="false">
      <c r="A17" s="13" t="s">
        <v>465</v>
      </c>
      <c r="B17" s="50" t="n">
        <f aca="false">(B10/B11-1)*365/B12</f>
        <v>-0.0248649284826361</v>
      </c>
      <c r="C17" s="14" t="s">
        <v>466</v>
      </c>
    </row>
    <row r="18" customFormat="false" ht="15" hidden="false" customHeight="false" outlineLevel="0" collapsed="false">
      <c r="A18" s="13" t="s">
        <v>432</v>
      </c>
      <c r="B18" s="50" t="n">
        <f aca="false">B16+B17</f>
        <v>0.0414185620441399</v>
      </c>
      <c r="C18" s="14" t="s">
        <v>433</v>
      </c>
    </row>
    <row r="20" customFormat="false" ht="15" hidden="false" customHeight="false" outlineLevel="0" collapsed="false">
      <c r="A20" s="3" t="s">
        <v>434</v>
      </c>
      <c r="B20" s="3"/>
      <c r="C20" s="3"/>
    </row>
    <row r="21" customFormat="false" ht="15" hidden="false" customHeight="false" outlineLevel="0" collapsed="false">
      <c r="A21" s="13" t="s">
        <v>467</v>
      </c>
      <c r="B21" s="24" t="n">
        <f aca="false">Inputs!$F$30</f>
        <v>15.2</v>
      </c>
    </row>
    <row r="22" customFormat="false" ht="15" hidden="false" customHeight="false" outlineLevel="0" collapsed="false">
      <c r="A22" s="13" t="s">
        <v>468</v>
      </c>
      <c r="B22" s="24" t="n">
        <f aca="false">Inputs!$F$31</f>
        <v>11.2</v>
      </c>
    </row>
    <row r="23" customFormat="false" ht="15" hidden="false" customHeight="false" outlineLevel="0" collapsed="false">
      <c r="A23" s="13" t="s">
        <v>437</v>
      </c>
      <c r="B23" s="24" t="n">
        <f aca="false">Inputs!$F$34</f>
        <v>0.6</v>
      </c>
      <c r="C23" s="14" t="s">
        <v>438</v>
      </c>
    </row>
    <row r="24" customFormat="false" ht="15" hidden="false" customHeight="false" outlineLevel="0" collapsed="false">
      <c r="A24" s="13" t="s">
        <v>439</v>
      </c>
      <c r="B24" s="51" t="n">
        <f aca="false">SQRT(B21^2+B22^2-2*B23*B21*B22)/100</f>
        <v>0.123366121767688</v>
      </c>
      <c r="C24" s="14" t="s">
        <v>440</v>
      </c>
    </row>
    <row r="25" customFormat="false" ht="15" hidden="false" customHeight="false" outlineLevel="0" collapsed="false">
      <c r="A25" s="13" t="s">
        <v>441</v>
      </c>
      <c r="B25" s="51" t="n">
        <f aca="false">B24*SQRT(B12/365)</f>
        <v>0.0629377600795867</v>
      </c>
      <c r="C25" s="14" t="s">
        <v>442</v>
      </c>
    </row>
    <row r="26" customFormat="false" ht="15" hidden="false" customHeight="false" outlineLevel="0" collapsed="false">
      <c r="A26" s="13" t="s">
        <v>443</v>
      </c>
      <c r="B26" s="8" t="n">
        <f aca="false">IF(B24=0,0,B18/B24)</f>
        <v>0.335736922346766</v>
      </c>
      <c r="C26" s="14" t="s">
        <v>444</v>
      </c>
    </row>
    <row r="28" customFormat="false" ht="15" hidden="false" customHeight="false" outlineLevel="0" collapsed="false">
      <c r="A28" s="3" t="s">
        <v>445</v>
      </c>
      <c r="B28" s="3"/>
      <c r="C28" s="3"/>
    </row>
    <row r="29" customFormat="false" ht="15" hidden="false" customHeight="false" outlineLevel="0" collapsed="false">
      <c r="A29" s="13" t="s">
        <v>446</v>
      </c>
      <c r="B29" s="47" t="n">
        <v>10000000</v>
      </c>
    </row>
    <row r="30" customFormat="false" ht="15" hidden="false" customHeight="false" outlineLevel="0" collapsed="false">
      <c r="A30" s="13" t="s">
        <v>447</v>
      </c>
      <c r="B30" s="25" t="n">
        <v>1.25</v>
      </c>
      <c r="C30" s="14" t="s">
        <v>448</v>
      </c>
    </row>
    <row r="31" customFormat="false" ht="15" hidden="false" customHeight="false" outlineLevel="0" collapsed="false">
      <c r="A31" s="13" t="s">
        <v>449</v>
      </c>
      <c r="B31" s="51" t="n">
        <f aca="false">B30*B25</f>
        <v>0.0786722000994834</v>
      </c>
    </row>
    <row r="32" customFormat="false" ht="15" hidden="false" customHeight="false" outlineLevel="0" collapsed="false">
      <c r="A32" s="13" t="s">
        <v>450</v>
      </c>
      <c r="B32" s="20" t="n">
        <f aca="false">B13*(1-B31)</f>
        <v>3.36723909036756</v>
      </c>
      <c r="C32" s="14" t="s">
        <v>451</v>
      </c>
    </row>
    <row r="33" customFormat="false" ht="15" hidden="false" customHeight="false" outlineLevel="0" collapsed="false">
      <c r="A33" s="13" t="s">
        <v>7</v>
      </c>
      <c r="B33" s="9" t="n">
        <f aca="false">B29*B31</f>
        <v>786722.000994834</v>
      </c>
    </row>
    <row r="34" customFormat="false" ht="15" hidden="false" customHeight="false" outlineLevel="0" collapsed="false">
      <c r="A34" s="13" t="s">
        <v>452</v>
      </c>
      <c r="B34" s="9" t="n">
        <f aca="false">B29*B18*B12/365</f>
        <v>107801.736827213</v>
      </c>
    </row>
    <row r="35" customFormat="false" ht="15" hidden="false" customHeight="false" outlineLevel="0" collapsed="false">
      <c r="A35" s="13" t="s">
        <v>453</v>
      </c>
      <c r="B35" s="9" t="n">
        <f aca="false">B29*B18</f>
        <v>414185.620441399</v>
      </c>
    </row>
    <row r="36" customFormat="false" ht="15" hidden="false" customHeight="false" outlineLevel="0" collapsed="false">
      <c r="A36" s="13" t="s">
        <v>454</v>
      </c>
      <c r="B36" s="50" t="n">
        <f aca="false">B18*B12/365</f>
        <v>0.0107801736827213</v>
      </c>
      <c r="C36" s="14" t="s">
        <v>455</v>
      </c>
    </row>
    <row r="38" customFormat="false" ht="15" hidden="false" customHeight="false" outlineLevel="0" collapsed="false">
      <c r="A38" s="3" t="s">
        <v>456</v>
      </c>
      <c r="B38" s="3"/>
      <c r="C38" s="3"/>
    </row>
    <row r="39" customFormat="false" ht="94.5" hidden="false" customHeight="true" outlineLevel="0" collapsed="false">
      <c r="A39" s="17" t="s">
        <v>469</v>
      </c>
      <c r="B39" s="17"/>
      <c r="C39" s="17"/>
    </row>
  </sheetData>
  <mergeCells count="10">
    <mergeCell ref="A1:C1"/>
    <mergeCell ref="A2:C2"/>
    <mergeCell ref="A4:C4"/>
    <mergeCell ref="A5:C5"/>
    <mergeCell ref="A7:C7"/>
    <mergeCell ref="A15:C15"/>
    <mergeCell ref="A20:C20"/>
    <mergeCell ref="A28:C28"/>
    <mergeCell ref="A38:C38"/>
    <mergeCell ref="A39:C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470</v>
      </c>
      <c r="B1" s="1"/>
      <c r="C1" s="1"/>
    </row>
    <row r="2" customFormat="false" ht="30" hidden="false" customHeight="true" outlineLevel="0" collapsed="false">
      <c r="A2" s="2" t="s">
        <v>471</v>
      </c>
      <c r="B2" s="2"/>
      <c r="C2" s="2"/>
    </row>
    <row r="4" customFormat="false" ht="15" hidden="false" customHeight="false" outlineLevel="0" collapsed="false">
      <c r="A4" s="3" t="s">
        <v>472</v>
      </c>
      <c r="B4" s="3"/>
      <c r="C4" s="3"/>
    </row>
    <row r="5" customFormat="false" ht="15" hidden="false" customHeight="false" outlineLevel="0" collapsed="false">
      <c r="A5" s="13" t="s">
        <v>473</v>
      </c>
      <c r="B5" s="21" t="n">
        <f aca="false">Inputs!$F$39</f>
        <v>6.5</v>
      </c>
    </row>
    <row r="6" customFormat="false" ht="15" hidden="false" customHeight="false" outlineLevel="0" collapsed="false">
      <c r="A6" s="13" t="s">
        <v>474</v>
      </c>
      <c r="B6" s="21" t="n">
        <f aca="false">Inputs!$F$54</f>
        <v>6.4647</v>
      </c>
      <c r="C6" s="14" t="s">
        <v>475</v>
      </c>
    </row>
    <row r="7" customFormat="false" ht="15" hidden="false" customHeight="false" outlineLevel="0" collapsed="false">
      <c r="A7" s="13" t="s">
        <v>476</v>
      </c>
      <c r="B7" s="21" t="n">
        <f aca="false">Inputs!$F$55</f>
        <v>6.6335</v>
      </c>
    </row>
    <row r="8" customFormat="false" ht="15" hidden="false" customHeight="false" outlineLevel="0" collapsed="false">
      <c r="A8" s="13" t="s">
        <v>477</v>
      </c>
      <c r="B8" s="21" t="n">
        <f aca="false">Inputs!$F$56</f>
        <v>7.0806</v>
      </c>
    </row>
    <row r="9" customFormat="false" ht="22.35" hidden="false" customHeight="false" outlineLevel="0" collapsed="false">
      <c r="A9" s="13" t="s">
        <v>478</v>
      </c>
      <c r="B9" s="23" t="n">
        <f aca="false">((1+B8/100)^2/(1+B7/100)-1)*100</f>
        <v>7.52957463048665</v>
      </c>
      <c r="C9" s="14" t="s">
        <v>479</v>
      </c>
    </row>
    <row r="10" customFormat="false" ht="15" hidden="false" customHeight="false" outlineLevel="0" collapsed="false">
      <c r="A10" s="13" t="s">
        <v>480</v>
      </c>
      <c r="B10" s="52" t="n">
        <f aca="false">(B9-B5)*100</f>
        <v>102.957463048665</v>
      </c>
      <c r="C10" s="14" t="s">
        <v>481</v>
      </c>
    </row>
    <row r="12" customFormat="false" ht="15" hidden="false" customHeight="false" outlineLevel="0" collapsed="false">
      <c r="A12" s="3" t="s">
        <v>482</v>
      </c>
      <c r="B12" s="3"/>
      <c r="C12" s="3"/>
    </row>
    <row r="13" customFormat="false" ht="15" hidden="false" customHeight="false" outlineLevel="0" collapsed="false">
      <c r="A13" s="13" t="s">
        <v>483</v>
      </c>
      <c r="B13" s="21" t="n">
        <f aca="false">Inputs!$F$62</f>
        <v>4.5</v>
      </c>
    </row>
    <row r="14" customFormat="false" ht="15" hidden="false" customHeight="false" outlineLevel="0" collapsed="false">
      <c r="A14" s="13" t="s">
        <v>484</v>
      </c>
      <c r="B14" s="21" t="n">
        <f aca="false">Inputs!$F$63</f>
        <v>4.6635</v>
      </c>
    </row>
    <row r="15" customFormat="false" ht="15" hidden="false" customHeight="false" outlineLevel="0" collapsed="false">
      <c r="A15" s="13" t="s">
        <v>485</v>
      </c>
      <c r="B15" s="21" t="n">
        <f aca="false">Inputs!$F$40</f>
        <v>3.87</v>
      </c>
    </row>
    <row r="16" customFormat="false" ht="15" hidden="false" customHeight="false" outlineLevel="0" collapsed="false">
      <c r="A16" s="13" t="s">
        <v>486</v>
      </c>
      <c r="B16" s="23" t="n">
        <f aca="false">((1+B14/100)^2/(1+B13/100)-1)*100</f>
        <v>4.82725581100481</v>
      </c>
    </row>
    <row r="17" customFormat="false" ht="22.35" hidden="false" customHeight="false" outlineLevel="0" collapsed="false">
      <c r="A17" s="13" t="s">
        <v>487</v>
      </c>
      <c r="B17" s="52" t="n">
        <f aca="false">(B16-B15)*100</f>
        <v>95.7255811004805</v>
      </c>
      <c r="C17" s="14" t="s">
        <v>488</v>
      </c>
    </row>
    <row r="19" customFormat="false" ht="15" hidden="false" customHeight="false" outlineLevel="0" collapsed="false">
      <c r="A19" s="3" t="s">
        <v>489</v>
      </c>
      <c r="B19" s="3"/>
      <c r="C19" s="3"/>
    </row>
    <row r="20" customFormat="false" ht="31.5" hidden="false" customHeight="true" outlineLevel="0" collapsed="false">
      <c r="A20" s="17" t="s">
        <v>490</v>
      </c>
      <c r="B20" s="17"/>
      <c r="C20" s="17"/>
    </row>
    <row r="21" customFormat="false" ht="15" hidden="false" customHeight="false" outlineLevel="0" collapsed="false">
      <c r="A21" s="13" t="s">
        <v>491</v>
      </c>
      <c r="B21" s="52" t="n">
        <f aca="false">(B9-B7)*100</f>
        <v>89.6074630486646</v>
      </c>
      <c r="C21" s="14" t="s">
        <v>492</v>
      </c>
    </row>
    <row r="22" customFormat="false" ht="15" hidden="false" customHeight="false" outlineLevel="0" collapsed="false">
      <c r="A22" s="13" t="s">
        <v>493</v>
      </c>
      <c r="B22" s="53" t="n">
        <f aca="false">B21/4</f>
        <v>22.4018657621662</v>
      </c>
      <c r="C22" s="14" t="s">
        <v>494</v>
      </c>
    </row>
    <row r="24" customFormat="false" ht="15" hidden="false" customHeight="false" outlineLevel="0" collapsed="false">
      <c r="A24" s="3" t="s">
        <v>495</v>
      </c>
      <c r="B24" s="3"/>
      <c r="C24" s="3"/>
    </row>
    <row r="25" customFormat="false" ht="15" hidden="false" customHeight="false" outlineLevel="0" collapsed="false">
      <c r="A25" s="13" t="s">
        <v>496</v>
      </c>
      <c r="B25" s="47" t="n">
        <v>15000</v>
      </c>
    </row>
    <row r="26" customFormat="false" ht="15" hidden="false" customHeight="false" outlineLevel="0" collapsed="false">
      <c r="A26" s="13" t="s">
        <v>497</v>
      </c>
      <c r="B26" s="54" t="n">
        <v>25</v>
      </c>
    </row>
    <row r="27" customFormat="false" ht="15" hidden="false" customHeight="false" outlineLevel="0" collapsed="false">
      <c r="A27" s="13" t="s">
        <v>498</v>
      </c>
      <c r="B27" s="23" t="n">
        <f aca="false">B9+B26/100</f>
        <v>7.77957463048665</v>
      </c>
    </row>
    <row r="28" customFormat="false" ht="15" hidden="false" customHeight="false" outlineLevel="0" collapsed="false">
      <c r="A28" s="13" t="s">
        <v>7</v>
      </c>
      <c r="B28" s="9" t="n">
        <f aca="false">B25*B26</f>
        <v>375000</v>
      </c>
    </row>
    <row r="29" customFormat="false" ht="15" hidden="false" customHeight="false" outlineLevel="0" collapsed="false">
      <c r="A29" s="13" t="s">
        <v>499</v>
      </c>
      <c r="B29" s="9" t="n">
        <f aca="false">B25*B21</f>
        <v>1344111.94572997</v>
      </c>
    </row>
    <row r="30" customFormat="false" ht="15" hidden="false" customHeight="false" outlineLevel="0" collapsed="false">
      <c r="A30" s="13" t="s">
        <v>500</v>
      </c>
      <c r="B30" s="9" t="n">
        <f aca="false">B25*B22</f>
        <v>336027.986432492</v>
      </c>
    </row>
    <row r="31" customFormat="false" ht="15" hidden="false" customHeight="false" outlineLevel="0" collapsed="false">
      <c r="A31" s="13" t="s">
        <v>501</v>
      </c>
      <c r="B31" s="8" t="n">
        <f aca="false">IF(B28=0,0,B29/B28)</f>
        <v>3.58429852194659</v>
      </c>
      <c r="C31" s="14" t="s">
        <v>502</v>
      </c>
    </row>
    <row r="33" customFormat="false" ht="15" hidden="false" customHeight="false" outlineLevel="0" collapsed="false">
      <c r="A33" s="3" t="s">
        <v>503</v>
      </c>
      <c r="B33" s="3"/>
      <c r="C33" s="3"/>
    </row>
    <row r="34" customFormat="false" ht="48" hidden="false" customHeight="true" outlineLevel="0" collapsed="false">
      <c r="A34" s="17" t="s">
        <v>504</v>
      </c>
      <c r="B34" s="17"/>
      <c r="C34" s="17"/>
    </row>
    <row r="35" customFormat="false" ht="15" hidden="false" customHeight="false" outlineLevel="0" collapsed="false">
      <c r="A35" s="13" t="s">
        <v>505</v>
      </c>
      <c r="B35" s="52" t="n">
        <f aca="false">-(B16-B13)*100</f>
        <v>-32.7255811004805</v>
      </c>
      <c r="C35" s="14" t="s">
        <v>506</v>
      </c>
    </row>
    <row r="36" customFormat="false" ht="15" hidden="false" customHeight="false" outlineLevel="0" collapsed="false">
      <c r="A36" s="13" t="s">
        <v>507</v>
      </c>
      <c r="B36" s="52" t="n">
        <f aca="false">B21+B35</f>
        <v>56.8818819481842</v>
      </c>
    </row>
    <row r="38" customFormat="false" ht="15" hidden="false" customHeight="false" outlineLevel="0" collapsed="false">
      <c r="A38" s="3" t="s">
        <v>456</v>
      </c>
      <c r="B38" s="3"/>
      <c r="C38" s="3"/>
    </row>
    <row r="39" customFormat="false" ht="79.5" hidden="false" customHeight="true" outlineLevel="0" collapsed="false">
      <c r="A39" s="17" t="s">
        <v>508</v>
      </c>
      <c r="B39" s="17"/>
      <c r="C39" s="17"/>
    </row>
  </sheetData>
  <mergeCells count="11">
    <mergeCell ref="A1:C1"/>
    <mergeCell ref="A2:C2"/>
    <mergeCell ref="A4:C4"/>
    <mergeCell ref="A12:C12"/>
    <mergeCell ref="A19:C19"/>
    <mergeCell ref="A20:C20"/>
    <mergeCell ref="A24:C24"/>
    <mergeCell ref="A33:C33"/>
    <mergeCell ref="A34:C34"/>
    <mergeCell ref="A38:C38"/>
    <mergeCell ref="A39:C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509</v>
      </c>
      <c r="B1" s="1"/>
      <c r="C1" s="1"/>
    </row>
    <row r="2" customFormat="false" ht="30" hidden="false" customHeight="true" outlineLevel="0" collapsed="false">
      <c r="A2" s="2" t="s">
        <v>510</v>
      </c>
      <c r="B2" s="2"/>
      <c r="C2" s="2"/>
    </row>
    <row r="4" customFormat="false" ht="15" hidden="false" customHeight="false" outlineLevel="0" collapsed="false">
      <c r="A4" s="3" t="s">
        <v>511</v>
      </c>
      <c r="B4" s="3"/>
      <c r="C4" s="3"/>
    </row>
    <row r="5" customFormat="false" ht="15" hidden="false" customHeight="false" outlineLevel="0" collapsed="false">
      <c r="A5" s="13" t="s">
        <v>512</v>
      </c>
      <c r="B5" s="21" t="n">
        <f aca="false">Inputs!$F$55</f>
        <v>6.6335</v>
      </c>
    </row>
    <row r="6" customFormat="false" ht="15" hidden="false" customHeight="false" outlineLevel="0" collapsed="false">
      <c r="A6" s="13" t="s">
        <v>513</v>
      </c>
      <c r="B6" s="21" t="n">
        <f aca="false">Inputs!$F$56</f>
        <v>7.0806</v>
      </c>
    </row>
    <row r="7" customFormat="false" ht="15" hidden="false" customHeight="false" outlineLevel="0" collapsed="false">
      <c r="A7" s="13" t="s">
        <v>514</v>
      </c>
      <c r="B7" s="21" t="n">
        <f aca="false">Inputs!$F$57</f>
        <v>7.4</v>
      </c>
    </row>
    <row r="8" customFormat="false" ht="15" hidden="false" customHeight="false" outlineLevel="0" collapsed="false">
      <c r="A8" s="13" t="s">
        <v>515</v>
      </c>
      <c r="B8" s="21" t="n">
        <f aca="false">Inputs!$F$58</f>
        <v>7.55</v>
      </c>
      <c r="C8" s="14" t="s">
        <v>516</v>
      </c>
    </row>
    <row r="9" customFormat="false" ht="15" hidden="false" customHeight="false" outlineLevel="0" collapsed="false">
      <c r="A9" s="13" t="s">
        <v>517</v>
      </c>
      <c r="B9" s="23" t="n">
        <f aca="false">(((1+B8/100)^4/(1+B6/100)^2)^(1/2)-1)*100</f>
        <v>8.0214576683358</v>
      </c>
      <c r="C9" s="14" t="s">
        <v>518</v>
      </c>
    </row>
    <row r="10" customFormat="false" ht="15" hidden="false" customHeight="false" outlineLevel="0" collapsed="false">
      <c r="A10" s="13" t="s">
        <v>519</v>
      </c>
      <c r="B10" s="23" t="n">
        <f aca="false">(((1+B7/100)^3/(1+B5/100))^(1/2)-1)*100</f>
        <v>7.78531368169471</v>
      </c>
      <c r="C10" s="14" t="s">
        <v>520</v>
      </c>
    </row>
    <row r="12" customFormat="false" ht="15" hidden="false" customHeight="false" outlineLevel="0" collapsed="false">
      <c r="A12" s="3" t="s">
        <v>521</v>
      </c>
      <c r="B12" s="3"/>
      <c r="C12" s="3"/>
    </row>
    <row r="13" customFormat="false" ht="15" hidden="false" customHeight="false" outlineLevel="0" collapsed="false">
      <c r="A13" s="13" t="s">
        <v>483</v>
      </c>
      <c r="B13" s="21" t="n">
        <f aca="false">Inputs!$F$62</f>
        <v>4.5</v>
      </c>
    </row>
    <row r="14" customFormat="false" ht="15" hidden="false" customHeight="false" outlineLevel="0" collapsed="false">
      <c r="A14" s="13" t="s">
        <v>484</v>
      </c>
      <c r="B14" s="21" t="n">
        <f aca="false">Inputs!$F$63</f>
        <v>4.6635</v>
      </c>
    </row>
    <row r="15" customFormat="false" ht="15" hidden="false" customHeight="false" outlineLevel="0" collapsed="false">
      <c r="A15" s="13" t="s">
        <v>522</v>
      </c>
      <c r="B15" s="21" t="n">
        <f aca="false">Inputs!$F$64</f>
        <v>4.7058</v>
      </c>
    </row>
    <row r="16" customFormat="false" ht="15" hidden="false" customHeight="false" outlineLevel="0" collapsed="false">
      <c r="A16" s="13" t="s">
        <v>523</v>
      </c>
      <c r="B16" s="21" t="n">
        <f aca="false">Inputs!$F$65</f>
        <v>4.74</v>
      </c>
      <c r="C16" s="14" t="s">
        <v>524</v>
      </c>
    </row>
    <row r="17" customFormat="false" ht="15" hidden="false" customHeight="false" outlineLevel="0" collapsed="false">
      <c r="A17" s="13" t="s">
        <v>525</v>
      </c>
      <c r="B17" s="23" t="n">
        <f aca="false">(((1+B16/100)^4/(1+B14/100)^2)^(1/2)-1)*100</f>
        <v>4.81655591490828</v>
      </c>
    </row>
    <row r="18" customFormat="false" ht="15" hidden="false" customHeight="false" outlineLevel="0" collapsed="false">
      <c r="A18" s="13" t="s">
        <v>526</v>
      </c>
      <c r="B18" s="23" t="n">
        <f aca="false">(((1+B15/100)^3/(1+B13/100))^(1/2)-1)*100</f>
        <v>4.80885193689666</v>
      </c>
    </row>
    <row r="20" customFormat="false" ht="15" hidden="false" customHeight="false" outlineLevel="0" collapsed="false">
      <c r="A20" s="3" t="s">
        <v>527</v>
      </c>
      <c r="B20" s="3"/>
      <c r="C20" s="3"/>
    </row>
    <row r="21" customFormat="false" ht="15" hidden="false" customHeight="false" outlineLevel="0" collapsed="false">
      <c r="A21" s="13" t="s">
        <v>528</v>
      </c>
      <c r="B21" s="52" t="n">
        <f aca="false">(Inputs!$F$39-Inputs!$F$40)*100</f>
        <v>263</v>
      </c>
      <c r="C21" s="14" t="s">
        <v>529</v>
      </c>
    </row>
    <row r="22" customFormat="false" ht="22.35" hidden="false" customHeight="false" outlineLevel="0" collapsed="false">
      <c r="A22" s="13" t="s">
        <v>530</v>
      </c>
      <c r="B22" s="52" t="n">
        <f aca="false">(B6-B14)*100</f>
        <v>241.71</v>
      </c>
      <c r="C22" s="14" t="s">
        <v>531</v>
      </c>
    </row>
    <row r="23" customFormat="false" ht="15" hidden="false" customHeight="false" outlineLevel="0" collapsed="false">
      <c r="A23" s="13" t="s">
        <v>532</v>
      </c>
      <c r="B23" s="52" t="n">
        <f aca="false">(B9-B17)*100</f>
        <v>320.490175342751</v>
      </c>
      <c r="C23" s="14" t="s">
        <v>533</v>
      </c>
    </row>
    <row r="25" customFormat="false" ht="15" hidden="false" customHeight="false" outlineLevel="0" collapsed="false">
      <c r="A25" s="3" t="s">
        <v>489</v>
      </c>
      <c r="B25" s="3"/>
      <c r="C25" s="3"/>
    </row>
    <row r="26" customFormat="false" ht="31.5" hidden="false" customHeight="true" outlineLevel="0" collapsed="false">
      <c r="A26" s="17" t="s">
        <v>534</v>
      </c>
      <c r="B26" s="17"/>
      <c r="C26" s="17"/>
    </row>
    <row r="27" customFormat="false" ht="15" hidden="false" customHeight="false" outlineLevel="0" collapsed="false">
      <c r="A27" s="13" t="s">
        <v>535</v>
      </c>
      <c r="B27" s="52" t="n">
        <f aca="false">(B9-B10)*100</f>
        <v>23.614398664109</v>
      </c>
    </row>
    <row r="28" customFormat="false" ht="15" hidden="false" customHeight="false" outlineLevel="0" collapsed="false">
      <c r="A28" s="13" t="s">
        <v>536</v>
      </c>
      <c r="B28" s="52" t="n">
        <f aca="false">-(B17-B18)*100</f>
        <v>-0.770397801161948</v>
      </c>
    </row>
    <row r="29" customFormat="false" ht="15" hidden="false" customHeight="false" outlineLevel="0" collapsed="false">
      <c r="A29" s="13" t="s">
        <v>537</v>
      </c>
      <c r="B29" s="52" t="n">
        <f aca="false">B27+B28</f>
        <v>22.844000862947</v>
      </c>
    </row>
    <row r="30" customFormat="false" ht="15" hidden="false" customHeight="false" outlineLevel="0" collapsed="false">
      <c r="A30" s="13" t="s">
        <v>538</v>
      </c>
      <c r="B30" s="53" t="n">
        <f aca="false">B29/4</f>
        <v>5.71100021573676</v>
      </c>
    </row>
    <row r="32" customFormat="false" ht="15" hidden="false" customHeight="false" outlineLevel="0" collapsed="false">
      <c r="A32" s="3" t="s">
        <v>495</v>
      </c>
      <c r="B32" s="3"/>
      <c r="C32" s="3"/>
    </row>
    <row r="33" customFormat="false" ht="15" hidden="false" customHeight="false" outlineLevel="0" collapsed="false">
      <c r="A33" s="13" t="s">
        <v>539</v>
      </c>
      <c r="B33" s="47" t="n">
        <v>10000</v>
      </c>
      <c r="C33" s="14" t="s">
        <v>540</v>
      </c>
    </row>
    <row r="34" customFormat="false" ht="15" hidden="false" customHeight="false" outlineLevel="0" collapsed="false">
      <c r="A34" s="13" t="s">
        <v>541</v>
      </c>
      <c r="B34" s="54" t="n">
        <v>25</v>
      </c>
    </row>
    <row r="35" customFormat="false" ht="15" hidden="false" customHeight="false" outlineLevel="0" collapsed="false">
      <c r="A35" s="13" t="s">
        <v>542</v>
      </c>
      <c r="B35" s="52" t="n">
        <f aca="false">B23+B34</f>
        <v>345.490175342751</v>
      </c>
    </row>
    <row r="36" customFormat="false" ht="15" hidden="false" customHeight="false" outlineLevel="0" collapsed="false">
      <c r="A36" s="13" t="s">
        <v>7</v>
      </c>
      <c r="B36" s="9" t="n">
        <f aca="false">B33*B34</f>
        <v>250000</v>
      </c>
    </row>
    <row r="37" customFormat="false" ht="15" hidden="false" customHeight="false" outlineLevel="0" collapsed="false">
      <c r="A37" s="13" t="s">
        <v>543</v>
      </c>
      <c r="B37" s="9" t="n">
        <f aca="false">B33*B29</f>
        <v>228440.00862947</v>
      </c>
    </row>
    <row r="39" customFormat="false" ht="15" hidden="false" customHeight="false" outlineLevel="0" collapsed="false">
      <c r="A39" s="3" t="s">
        <v>456</v>
      </c>
      <c r="B39" s="3"/>
      <c r="C39" s="3"/>
    </row>
    <row r="40" customFormat="false" ht="79.5" hidden="false" customHeight="true" outlineLevel="0" collapsed="false">
      <c r="A40" s="17" t="s">
        <v>544</v>
      </c>
      <c r="B40" s="17"/>
      <c r="C40" s="17"/>
    </row>
  </sheetData>
  <mergeCells count="10">
    <mergeCell ref="A1:C1"/>
    <mergeCell ref="A2:C2"/>
    <mergeCell ref="A4:C4"/>
    <mergeCell ref="A12:C12"/>
    <mergeCell ref="A20:C20"/>
    <mergeCell ref="A25:C25"/>
    <mergeCell ref="A26:C26"/>
    <mergeCell ref="A32:C32"/>
    <mergeCell ref="A39:C39"/>
    <mergeCell ref="A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545</v>
      </c>
      <c r="B1" s="1"/>
      <c r="C1" s="1"/>
    </row>
    <row r="2" customFormat="false" ht="30" hidden="false" customHeight="true" outlineLevel="0" collapsed="false">
      <c r="A2" s="2" t="s">
        <v>546</v>
      </c>
      <c r="B2" s="2"/>
      <c r="C2" s="2"/>
    </row>
    <row r="4" customFormat="false" ht="15" hidden="false" customHeight="false" outlineLevel="0" collapsed="false">
      <c r="A4" s="3" t="s">
        <v>547</v>
      </c>
      <c r="B4" s="3"/>
      <c r="C4" s="3"/>
    </row>
    <row r="5" customFormat="false" ht="15" hidden="false" customHeight="false" outlineLevel="0" collapsed="false">
      <c r="A5" s="13" t="s">
        <v>312</v>
      </c>
      <c r="B5" s="21" t="n">
        <f aca="false">Inputs!$F$42</f>
        <v>13.65</v>
      </c>
      <c r="C5" s="14" t="s">
        <v>548</v>
      </c>
    </row>
    <row r="6" customFormat="false" ht="15" hidden="false" customHeight="false" outlineLevel="0" collapsed="false">
      <c r="A6" s="13" t="s">
        <v>315</v>
      </c>
      <c r="B6" s="21" t="n">
        <f aca="false">Inputs!$F$43</f>
        <v>12.7225</v>
      </c>
    </row>
    <row r="7" customFormat="false" ht="15" hidden="false" customHeight="false" outlineLevel="0" collapsed="false">
      <c r="A7" s="13" t="s">
        <v>318</v>
      </c>
      <c r="B7" s="21" t="n">
        <f aca="false">Inputs!$F$44</f>
        <v>12.4425</v>
      </c>
    </row>
    <row r="8" customFormat="false" ht="15" hidden="false" customHeight="false" outlineLevel="0" collapsed="false">
      <c r="A8" s="13" t="s">
        <v>324</v>
      </c>
      <c r="B8" s="21" t="n">
        <f aca="false">Inputs!$F$46</f>
        <v>12.345</v>
      </c>
    </row>
    <row r="9" customFormat="false" ht="15" hidden="false" customHeight="false" outlineLevel="0" collapsed="false">
      <c r="A9" s="13" t="s">
        <v>327</v>
      </c>
      <c r="B9" s="21" t="n">
        <f aca="false">Inputs!$F$47</f>
        <v>12.45</v>
      </c>
      <c r="C9" s="14" t="s">
        <v>549</v>
      </c>
    </row>
    <row r="10" customFormat="false" ht="15" hidden="false" customHeight="false" outlineLevel="0" collapsed="false">
      <c r="A10" s="13" t="s">
        <v>235</v>
      </c>
      <c r="B10" s="55" t="n">
        <f aca="false">Inputs!$F$7</f>
        <v>46309</v>
      </c>
    </row>
    <row r="11" customFormat="false" ht="15" hidden="false" customHeight="false" outlineLevel="0" collapsed="false">
      <c r="A11" s="13" t="s">
        <v>550</v>
      </c>
      <c r="B11" s="10" t="n">
        <f aca="false">(Inputs!$F$49-B10)/365</f>
        <v>1.22191780821918</v>
      </c>
    </row>
    <row r="12" customFormat="false" ht="15" hidden="false" customHeight="false" outlineLevel="0" collapsed="false">
      <c r="A12" s="13" t="s">
        <v>551</v>
      </c>
      <c r="B12" s="10" t="n">
        <f aca="false">(Inputs!$F$50-B10)/365</f>
        <v>2.22191780821918</v>
      </c>
    </row>
    <row r="13" customFormat="false" ht="15" hidden="false" customHeight="false" outlineLevel="0" collapsed="false">
      <c r="A13" s="13" t="s">
        <v>552</v>
      </c>
      <c r="B13" s="10" t="n">
        <f aca="false">(Inputs!$F$51-B10)/365</f>
        <v>4.22191780821918</v>
      </c>
    </row>
    <row r="14" customFormat="false" ht="15" hidden="false" customHeight="false" outlineLevel="0" collapsed="false">
      <c r="A14" s="13" t="s">
        <v>553</v>
      </c>
      <c r="B14" s="10" t="n">
        <f aca="false">(Inputs!$F$52-B10)/365</f>
        <v>6.22739726027397</v>
      </c>
    </row>
    <row r="16" customFormat="false" ht="15" hidden="false" customHeight="false" outlineLevel="0" collapsed="false">
      <c r="A16" s="3" t="s">
        <v>554</v>
      </c>
      <c r="B16" s="3"/>
      <c r="C16" s="3"/>
    </row>
    <row r="17" customFormat="false" ht="48" hidden="false" customHeight="true" outlineLevel="0" collapsed="false">
      <c r="A17" s="17" t="s">
        <v>555</v>
      </c>
      <c r="B17" s="17"/>
      <c r="C17" s="17"/>
    </row>
    <row r="18" customFormat="false" ht="15" hidden="false" customHeight="false" outlineLevel="0" collapsed="false">
      <c r="A18" s="13" t="s">
        <v>556</v>
      </c>
      <c r="B18" s="47" t="n">
        <v>5000</v>
      </c>
    </row>
    <row r="19" customFormat="false" ht="15" hidden="false" customHeight="false" outlineLevel="0" collapsed="false">
      <c r="A19" s="13" t="s">
        <v>557</v>
      </c>
      <c r="B19" s="47" t="n">
        <v>5000</v>
      </c>
    </row>
    <row r="20" customFormat="false" ht="15" hidden="false" customHeight="false" outlineLevel="0" collapsed="false">
      <c r="A20" s="13" t="s">
        <v>558</v>
      </c>
      <c r="B20" s="53" t="n">
        <f aca="false">(B7-B5)*100/4</f>
        <v>-30.1875</v>
      </c>
      <c r="C20" s="14" t="s">
        <v>559</v>
      </c>
    </row>
    <row r="21" customFormat="false" ht="22.35" hidden="false" customHeight="false" outlineLevel="0" collapsed="false">
      <c r="A21" s="13" t="s">
        <v>560</v>
      </c>
      <c r="B21" s="53" t="n">
        <f aca="false">-((B6-B7)/(B12-B11))*100/4</f>
        <v>-6.99999999999998</v>
      </c>
      <c r="C21" s="14" t="s">
        <v>561</v>
      </c>
    </row>
    <row r="22" customFormat="false" ht="15" hidden="false" customHeight="false" outlineLevel="0" collapsed="false">
      <c r="A22" s="13" t="s">
        <v>562</v>
      </c>
      <c r="B22" s="53" t="n">
        <f aca="false">(B9-B5)*100/4</f>
        <v>-30</v>
      </c>
    </row>
    <row r="23" customFormat="false" ht="15" hidden="false" customHeight="false" outlineLevel="0" collapsed="false">
      <c r="A23" s="13" t="s">
        <v>563</v>
      </c>
      <c r="B23" s="53" t="n">
        <f aca="false">-((B8-B9)/(B14-B13))*100/4</f>
        <v>1.30891393442621</v>
      </c>
      <c r="C23" s="14" t="s">
        <v>564</v>
      </c>
    </row>
    <row r="24" customFormat="false" ht="15" hidden="false" customHeight="false" outlineLevel="0" collapsed="false">
      <c r="A24" s="13" t="s">
        <v>565</v>
      </c>
      <c r="B24" s="9" t="n">
        <f aca="false">B18*(B20+B21)+B19*(B22+B23)</f>
        <v>-329392.930327869</v>
      </c>
      <c r="C24" s="14" t="s">
        <v>566</v>
      </c>
    </row>
    <row r="25" customFormat="false" ht="15" hidden="false" customHeight="false" outlineLevel="0" collapsed="false">
      <c r="A25" s="13" t="s">
        <v>567</v>
      </c>
      <c r="B25" s="9" t="n">
        <f aca="false">B24*4</f>
        <v>-1317571.72131148</v>
      </c>
    </row>
    <row r="26" customFormat="false" ht="15" hidden="false" customHeight="false" outlineLevel="0" collapsed="false">
      <c r="A26" s="13" t="s">
        <v>568</v>
      </c>
      <c r="B26" s="53" t="n">
        <f aca="false">IF((B18+B19)=0,0,-B24/(B18+B19))</f>
        <v>32.9392930327869</v>
      </c>
      <c r="C26" s="14" t="s">
        <v>569</v>
      </c>
    </row>
    <row r="27" customFormat="false" ht="15" hidden="false" customHeight="false" outlineLevel="0" collapsed="false">
      <c r="A27" s="13" t="s">
        <v>570</v>
      </c>
      <c r="B27" s="54" t="n">
        <v>40</v>
      </c>
      <c r="C27" s="14" t="s">
        <v>571</v>
      </c>
    </row>
    <row r="28" customFormat="false" ht="15" hidden="false" customHeight="false" outlineLevel="0" collapsed="false">
      <c r="A28" s="13" t="s">
        <v>572</v>
      </c>
      <c r="B28" s="9" t="n">
        <f aca="false">(B18+B19)*B27</f>
        <v>400000</v>
      </c>
    </row>
    <row r="29" customFormat="false" ht="15" hidden="false" customHeight="false" outlineLevel="0" collapsed="false">
      <c r="A29" s="13" t="s">
        <v>573</v>
      </c>
      <c r="B29" s="23" t="n">
        <f aca="false">IF((B18+B19)=0,0,(B18*B7+B19*B9)/(B18+B19))</f>
        <v>12.44625</v>
      </c>
      <c r="C29" s="14" t="s">
        <v>574</v>
      </c>
    </row>
    <row r="31" customFormat="false" ht="15" hidden="false" customHeight="false" outlineLevel="0" collapsed="false">
      <c r="A31" s="3" t="s">
        <v>575</v>
      </c>
      <c r="B31" s="3"/>
      <c r="C31" s="3"/>
    </row>
    <row r="32" customFormat="false" ht="48" hidden="false" customHeight="true" outlineLevel="0" collapsed="false">
      <c r="A32" s="17" t="s">
        <v>576</v>
      </c>
      <c r="B32" s="17"/>
      <c r="C32" s="17"/>
    </row>
    <row r="33" customFormat="false" ht="15" hidden="false" customHeight="false" outlineLevel="0" collapsed="false">
      <c r="A33" s="13" t="s">
        <v>577</v>
      </c>
      <c r="B33" s="47" t="n">
        <v>10000</v>
      </c>
    </row>
    <row r="34" customFormat="false" ht="15" hidden="false" customHeight="false" outlineLevel="0" collapsed="false">
      <c r="A34" s="13" t="s">
        <v>578</v>
      </c>
      <c r="B34" s="53" t="n">
        <f aca="false">(B5-B6)*100/4</f>
        <v>23.1875</v>
      </c>
      <c r="C34" s="14" t="s">
        <v>579</v>
      </c>
    </row>
    <row r="35" customFormat="false" ht="15" hidden="false" customHeight="false" outlineLevel="0" collapsed="false">
      <c r="A35" s="13" t="s">
        <v>580</v>
      </c>
      <c r="B35" s="53" t="n">
        <f aca="false">((B5-B6)/B11)*100/4</f>
        <v>18.976317264574</v>
      </c>
      <c r="C35" s="14" t="s">
        <v>581</v>
      </c>
    </row>
    <row r="36" customFormat="false" ht="15" hidden="false" customHeight="false" outlineLevel="0" collapsed="false">
      <c r="A36" s="13" t="s">
        <v>582</v>
      </c>
      <c r="B36" s="9" t="n">
        <f aca="false">B33*(B34+B35+B22+B23)</f>
        <v>134727.311990002</v>
      </c>
    </row>
    <row r="37" customFormat="false" ht="15" hidden="false" customHeight="false" outlineLevel="0" collapsed="false">
      <c r="A37" s="13" t="s">
        <v>583</v>
      </c>
      <c r="B37" s="9" t="n">
        <f aca="false">B36*4</f>
        <v>538909.247960007</v>
      </c>
    </row>
    <row r="38" customFormat="false" ht="15" hidden="false" customHeight="false" outlineLevel="0" collapsed="false">
      <c r="A38" s="13" t="s">
        <v>584</v>
      </c>
      <c r="B38" s="54" t="n">
        <v>30</v>
      </c>
    </row>
    <row r="39" customFormat="false" ht="15" hidden="false" customHeight="false" outlineLevel="0" collapsed="false">
      <c r="A39" s="13" t="s">
        <v>585</v>
      </c>
      <c r="B39" s="9" t="n">
        <f aca="false">B33*B38</f>
        <v>300000</v>
      </c>
    </row>
    <row r="40" customFormat="false" ht="15" hidden="false" customHeight="false" outlineLevel="0" collapsed="false">
      <c r="A40" s="13" t="s">
        <v>586</v>
      </c>
      <c r="B40" s="52" t="n">
        <f aca="false">(B9-B6)*100</f>
        <v>-27.2500000000001</v>
      </c>
      <c r="C40" s="14" t="s">
        <v>587</v>
      </c>
    </row>
    <row r="42" customFormat="false" ht="15" hidden="false" customHeight="false" outlineLevel="0" collapsed="false">
      <c r="A42" s="3" t="s">
        <v>588</v>
      </c>
      <c r="B42" s="3"/>
      <c r="C42" s="3"/>
    </row>
    <row r="43" customFormat="false" ht="15" hidden="false" customHeight="false" outlineLevel="0" collapsed="false">
      <c r="A43" s="13" t="s">
        <v>589</v>
      </c>
      <c r="B43" s="32" t="s">
        <v>590</v>
      </c>
      <c r="C43" s="14" t="s">
        <v>591</v>
      </c>
    </row>
    <row r="44" customFormat="false" ht="15" hidden="false" customHeight="false" outlineLevel="0" collapsed="false">
      <c r="A44" s="13" t="s">
        <v>592</v>
      </c>
      <c r="B44" s="9" t="n">
        <f aca="false">IF(B43="A",B28,B39)</f>
        <v>400000</v>
      </c>
    </row>
    <row r="45" customFormat="false" ht="15" hidden="false" customHeight="false" outlineLevel="0" collapsed="false">
      <c r="A45" s="13" t="s">
        <v>593</v>
      </c>
      <c r="B45" s="9" t="n">
        <f aca="false">IF(B43="A",B25,B37)</f>
        <v>-1317571.72131148</v>
      </c>
    </row>
    <row r="46" customFormat="false" ht="15" hidden="false" customHeight="false" outlineLevel="0" collapsed="false">
      <c r="A46" s="13" t="s">
        <v>594</v>
      </c>
      <c r="B46" s="20" t="n">
        <f aca="false">IF(B43="A",B29,B40)</f>
        <v>12.44625</v>
      </c>
      <c r="C46" s="14" t="s">
        <v>595</v>
      </c>
    </row>
    <row r="47" customFormat="false" ht="15" hidden="false" customHeight="false" outlineLevel="0" collapsed="false">
      <c r="A47" s="13" t="s">
        <v>596</v>
      </c>
      <c r="B47" s="20" t="n">
        <f aca="false">IF(B43="A",B29+B27/100,B40+B38)</f>
        <v>12.84625</v>
      </c>
    </row>
    <row r="48" customFormat="false" ht="15" hidden="false" customHeight="false" outlineLevel="0" collapsed="false">
      <c r="A48" s="13" t="s">
        <v>597</v>
      </c>
      <c r="B48" s="9" t="n">
        <f aca="false">IF(B43="A",B18+B19,B33)</f>
        <v>10000</v>
      </c>
    </row>
    <row r="50" customFormat="false" ht="15" hidden="false" customHeight="false" outlineLevel="0" collapsed="false">
      <c r="A50" s="3" t="s">
        <v>456</v>
      </c>
      <c r="B50" s="3"/>
      <c r="C50" s="3"/>
    </row>
    <row r="51" customFormat="false" ht="109.5" hidden="false" customHeight="true" outlineLevel="0" collapsed="false">
      <c r="A51" s="17" t="s">
        <v>598</v>
      </c>
      <c r="B51" s="17"/>
      <c r="C51" s="17"/>
    </row>
  </sheetData>
  <mergeCells count="10">
    <mergeCell ref="A1:C1"/>
    <mergeCell ref="A2:C2"/>
    <mergeCell ref="A4:C4"/>
    <mergeCell ref="A16:C16"/>
    <mergeCell ref="A17:C17"/>
    <mergeCell ref="A31:C31"/>
    <mergeCell ref="A32:C32"/>
    <mergeCell ref="A42:C42"/>
    <mergeCell ref="A50:C50"/>
    <mergeCell ref="A51:C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599</v>
      </c>
      <c r="B1" s="1"/>
      <c r="C1" s="1"/>
    </row>
    <row r="2" customFormat="false" ht="30" hidden="false" customHeight="true" outlineLevel="0" collapsed="false">
      <c r="A2" s="2" t="s">
        <v>600</v>
      </c>
      <c r="B2" s="2"/>
      <c r="C2" s="2"/>
    </row>
    <row r="4" customFormat="false" ht="15" hidden="false" customHeight="false" outlineLevel="0" collapsed="false">
      <c r="A4" s="3" t="s">
        <v>547</v>
      </c>
      <c r="B4" s="3"/>
      <c r="C4" s="3"/>
    </row>
    <row r="5" customFormat="false" ht="15" hidden="false" customHeight="false" outlineLevel="0" collapsed="false">
      <c r="A5" s="13" t="s">
        <v>485</v>
      </c>
      <c r="B5" s="21" t="n">
        <f aca="false">Inputs!$F$40</f>
        <v>3.87</v>
      </c>
    </row>
    <row r="6" customFormat="false" ht="15" hidden="false" customHeight="false" outlineLevel="0" collapsed="false">
      <c r="A6" s="13" t="s">
        <v>601</v>
      </c>
      <c r="B6" s="21" t="n">
        <f aca="false">Inputs!$F$61</f>
        <v>4</v>
      </c>
      <c r="C6" s="14" t="s">
        <v>602</v>
      </c>
    </row>
    <row r="7" customFormat="false" ht="15" hidden="false" customHeight="false" outlineLevel="0" collapsed="false">
      <c r="A7" s="13" t="s">
        <v>483</v>
      </c>
      <c r="B7" s="21" t="n">
        <f aca="false">Inputs!$F$62</f>
        <v>4.5</v>
      </c>
    </row>
    <row r="8" customFormat="false" ht="15" hidden="false" customHeight="false" outlineLevel="0" collapsed="false">
      <c r="A8" s="13" t="s">
        <v>484</v>
      </c>
      <c r="B8" s="21" t="n">
        <f aca="false">Inputs!$F$63</f>
        <v>4.6635</v>
      </c>
    </row>
    <row r="9" customFormat="false" ht="15" hidden="false" customHeight="false" outlineLevel="0" collapsed="false">
      <c r="A9" s="13" t="s">
        <v>603</v>
      </c>
      <c r="B9" s="21" t="n">
        <f aca="false">Inputs!$F$66</f>
        <v>4.78</v>
      </c>
    </row>
    <row r="10" customFormat="false" ht="15" hidden="false" customHeight="false" outlineLevel="0" collapsed="false">
      <c r="A10" s="13" t="s">
        <v>604</v>
      </c>
      <c r="B10" s="21" t="n">
        <f aca="false">Inputs!$F$67</f>
        <v>4.88</v>
      </c>
    </row>
    <row r="11" customFormat="false" ht="15" hidden="false" customHeight="false" outlineLevel="0" collapsed="false">
      <c r="A11" s="13" t="s">
        <v>605</v>
      </c>
      <c r="B11" s="21" t="n">
        <f aca="false">Inputs!$F$68</f>
        <v>5</v>
      </c>
      <c r="C11" s="14" t="s">
        <v>606</v>
      </c>
    </row>
    <row r="12" customFormat="false" ht="15" hidden="false" customHeight="false" outlineLevel="0" collapsed="false">
      <c r="A12" s="13" t="s">
        <v>607</v>
      </c>
      <c r="B12" s="21" t="n">
        <f aca="false">Inputs!$F$70</f>
        <v>5.15</v>
      </c>
    </row>
    <row r="13" customFormat="false" ht="15" hidden="false" customHeight="false" outlineLevel="0" collapsed="false">
      <c r="A13" s="13" t="s">
        <v>608</v>
      </c>
      <c r="B13" s="52" t="n">
        <f aca="false">(B11-B8)*100</f>
        <v>33.65</v>
      </c>
    </row>
    <row r="15" customFormat="false" ht="15" hidden="false" customHeight="false" outlineLevel="0" collapsed="false">
      <c r="A15" s="3" t="s">
        <v>609</v>
      </c>
      <c r="B15" s="3"/>
      <c r="C15" s="3"/>
    </row>
    <row r="16" customFormat="false" ht="15" hidden="false" customHeight="false" outlineLevel="0" collapsed="false">
      <c r="A16" s="13" t="s">
        <v>610</v>
      </c>
      <c r="B16" s="47" t="n">
        <v>20000</v>
      </c>
    </row>
    <row r="17" customFormat="false" ht="22.35" hidden="false" customHeight="false" outlineLevel="0" collapsed="false">
      <c r="A17" s="13" t="s">
        <v>611</v>
      </c>
      <c r="B17" s="53" t="n">
        <f aca="false">(B11-B6)*100/4</f>
        <v>25</v>
      </c>
      <c r="C17" s="14" t="s">
        <v>612</v>
      </c>
    </row>
    <row r="18" customFormat="false" ht="22.35" hidden="false" customHeight="false" outlineLevel="0" collapsed="false">
      <c r="A18" s="13" t="s">
        <v>613</v>
      </c>
      <c r="B18" s="53" t="n">
        <f aca="false">((B11-B10)/3)*100/4</f>
        <v>1</v>
      </c>
      <c r="C18" s="14" t="s">
        <v>614</v>
      </c>
    </row>
    <row r="20" customFormat="false" ht="15" hidden="false" customHeight="false" outlineLevel="0" collapsed="false">
      <c r="A20" s="3" t="s">
        <v>615</v>
      </c>
      <c r="B20" s="3"/>
      <c r="C20" s="3"/>
    </row>
    <row r="21" customFormat="false" ht="22.35" hidden="false" customHeight="false" outlineLevel="0" collapsed="false">
      <c r="A21" s="13" t="s">
        <v>616</v>
      </c>
      <c r="B21" s="25" t="n">
        <v>0.5</v>
      </c>
      <c r="C21" s="14" t="s">
        <v>617</v>
      </c>
    </row>
    <row r="22" customFormat="false" ht="15" hidden="false" customHeight="false" outlineLevel="0" collapsed="false">
      <c r="A22" s="13" t="s">
        <v>618</v>
      </c>
      <c r="B22" s="9" t="n">
        <f aca="false">B21*B16</f>
        <v>10000</v>
      </c>
    </row>
    <row r="23" customFormat="false" ht="15" hidden="false" customHeight="false" outlineLevel="0" collapsed="false">
      <c r="A23" s="13" t="s">
        <v>619</v>
      </c>
      <c r="B23" s="53" t="n">
        <f aca="false">-(B8-B6)*100/4</f>
        <v>-16.5875</v>
      </c>
      <c r="C23" s="14" t="s">
        <v>620</v>
      </c>
    </row>
    <row r="24" customFormat="false" ht="15" hidden="false" customHeight="false" outlineLevel="0" collapsed="false">
      <c r="A24" s="13" t="s">
        <v>621</v>
      </c>
      <c r="B24" s="53" t="n">
        <f aca="false">-((B8-B7)/1)*100/4</f>
        <v>-4.0875</v>
      </c>
      <c r="C24" s="14" t="s">
        <v>622</v>
      </c>
    </row>
    <row r="26" customFormat="false" ht="15" hidden="false" customHeight="false" outlineLevel="0" collapsed="false">
      <c r="A26" s="3" t="s">
        <v>623</v>
      </c>
      <c r="B26" s="3"/>
      <c r="C26" s="3"/>
    </row>
    <row r="27" customFormat="false" ht="15" hidden="false" customHeight="false" outlineLevel="0" collapsed="false">
      <c r="A27" s="13" t="s">
        <v>624</v>
      </c>
      <c r="B27" s="9" t="n">
        <f aca="false">B16*(B17+B18)+B22*(B23+B24)</f>
        <v>313250</v>
      </c>
    </row>
    <row r="28" customFormat="false" ht="15" hidden="false" customHeight="false" outlineLevel="0" collapsed="false">
      <c r="A28" s="13" t="s">
        <v>625</v>
      </c>
      <c r="B28" s="9" t="n">
        <f aca="false">B27*4</f>
        <v>1253000</v>
      </c>
    </row>
    <row r="29" customFormat="false" ht="15" hidden="false" customHeight="false" outlineLevel="0" collapsed="false">
      <c r="A29" s="13" t="s">
        <v>626</v>
      </c>
      <c r="B29" s="9" t="n">
        <f aca="false">B16-B22</f>
        <v>10000</v>
      </c>
    </row>
    <row r="30" customFormat="false" ht="15" hidden="false" customHeight="false" outlineLevel="0" collapsed="false">
      <c r="A30" s="13" t="s">
        <v>627</v>
      </c>
      <c r="B30" s="54" t="n">
        <v>25</v>
      </c>
    </row>
    <row r="31" customFormat="false" ht="15" hidden="false" customHeight="false" outlineLevel="0" collapsed="false">
      <c r="A31" s="13" t="s">
        <v>628</v>
      </c>
      <c r="B31" s="23" t="n">
        <f aca="false">B11+B30/100</f>
        <v>5.25</v>
      </c>
    </row>
    <row r="32" customFormat="false" ht="15" hidden="false" customHeight="false" outlineLevel="0" collapsed="false">
      <c r="A32" s="13" t="s">
        <v>7</v>
      </c>
      <c r="B32" s="9" t="n">
        <f aca="false">B29*B30</f>
        <v>250000</v>
      </c>
      <c r="C32" s="14" t="s">
        <v>629</v>
      </c>
    </row>
    <row r="33" customFormat="false" ht="23.85" hidden="false" customHeight="false" outlineLevel="0" collapsed="false">
      <c r="A33" s="13" t="s">
        <v>630</v>
      </c>
      <c r="B33" s="53" t="n">
        <f aca="false">IF(B29=0,0,B27/B29)</f>
        <v>31.325</v>
      </c>
    </row>
    <row r="35" customFormat="false" ht="15" hidden="false" customHeight="false" outlineLevel="0" collapsed="false">
      <c r="A35" s="3" t="s">
        <v>631</v>
      </c>
      <c r="B35" s="3"/>
      <c r="C35" s="3"/>
    </row>
    <row r="36" customFormat="false" ht="39.75" hidden="false" customHeight="true" outlineLevel="0" collapsed="false">
      <c r="A36" s="17" t="s">
        <v>632</v>
      </c>
      <c r="B36" s="17"/>
      <c r="C36" s="17"/>
    </row>
    <row r="37" customFormat="false" ht="15" hidden="false" customHeight="false" outlineLevel="0" collapsed="false">
      <c r="A37" s="13" t="s">
        <v>633</v>
      </c>
      <c r="B37" s="47" t="n">
        <v>20000</v>
      </c>
    </row>
    <row r="38" customFormat="false" ht="15" hidden="false" customHeight="false" outlineLevel="0" collapsed="false">
      <c r="A38" s="13" t="s">
        <v>634</v>
      </c>
      <c r="B38" s="53" t="n">
        <f aca="false">-(B9-B6)*100/4-((B9-B8)/3)*100/4</f>
        <v>-20.4708333333333</v>
      </c>
    </row>
    <row r="39" customFormat="false" ht="15" hidden="false" customHeight="false" outlineLevel="0" collapsed="false">
      <c r="A39" s="13" t="s">
        <v>635</v>
      </c>
      <c r="B39" s="53" t="n">
        <f aca="false">-(B12-B6)*100/4-((B12-B11)/20)*100/4</f>
        <v>-28.9375</v>
      </c>
    </row>
    <row r="40" customFormat="false" ht="15" hidden="false" customHeight="false" outlineLevel="0" collapsed="false">
      <c r="A40" s="13" t="s">
        <v>636</v>
      </c>
      <c r="B40" s="9" t="n">
        <f aca="false">B37*(B17+B18)+B37/2*B38+B37/2*B39</f>
        <v>25916.6666666665</v>
      </c>
      <c r="C40" s="14" t="s">
        <v>637</v>
      </c>
    </row>
    <row r="42" customFormat="false" ht="15" hidden="false" customHeight="false" outlineLevel="0" collapsed="false">
      <c r="A42" s="3" t="s">
        <v>638</v>
      </c>
      <c r="B42" s="3"/>
      <c r="C42" s="3"/>
    </row>
    <row r="43" customFormat="false" ht="48" hidden="false" customHeight="true" outlineLevel="0" collapsed="false">
      <c r="A43" s="17" t="s">
        <v>639</v>
      </c>
      <c r="B43" s="17"/>
      <c r="C43" s="17"/>
    </row>
    <row r="44" customFormat="false" ht="15" hidden="false" customHeight="false" outlineLevel="0" collapsed="false">
      <c r="A44" s="13" t="s">
        <v>640</v>
      </c>
      <c r="B44" s="23" t="n">
        <f aca="false">B11</f>
        <v>5</v>
      </c>
      <c r="C44" s="14" t="s">
        <v>641</v>
      </c>
    </row>
    <row r="45" customFormat="false" ht="15" hidden="false" customHeight="false" outlineLevel="0" collapsed="false">
      <c r="A45" s="13" t="s">
        <v>642</v>
      </c>
      <c r="B45" s="22" t="n">
        <v>4.9</v>
      </c>
    </row>
    <row r="46" customFormat="false" ht="15" hidden="false" customHeight="false" outlineLevel="0" collapsed="false">
      <c r="A46" s="13" t="s">
        <v>643</v>
      </c>
      <c r="B46" s="56" t="n">
        <v>35</v>
      </c>
    </row>
    <row r="47" customFormat="false" ht="15" hidden="false" customHeight="false" outlineLevel="0" collapsed="false">
      <c r="A47" s="13" t="s">
        <v>644</v>
      </c>
      <c r="B47" s="22" t="n">
        <v>5.15</v>
      </c>
    </row>
    <row r="48" customFormat="false" ht="15" hidden="false" customHeight="false" outlineLevel="0" collapsed="false">
      <c r="A48" s="13" t="s">
        <v>645</v>
      </c>
      <c r="B48" s="56" t="n">
        <v>35</v>
      </c>
    </row>
    <row r="49" customFormat="false" ht="15" hidden="false" customHeight="false" outlineLevel="0" collapsed="false">
      <c r="A49" s="13" t="s">
        <v>646</v>
      </c>
      <c r="B49" s="53" t="n">
        <f aca="false">B48-B46</f>
        <v>0</v>
      </c>
    </row>
    <row r="51" customFormat="false" ht="15" hidden="false" customHeight="false" outlineLevel="0" collapsed="false">
      <c r="A51" s="3" t="s">
        <v>456</v>
      </c>
      <c r="B51" s="3"/>
      <c r="C51" s="3"/>
    </row>
    <row r="52" customFormat="false" ht="79.5" hidden="false" customHeight="true" outlineLevel="0" collapsed="false">
      <c r="A52" s="17" t="s">
        <v>647</v>
      </c>
      <c r="B52" s="17"/>
      <c r="C52" s="17"/>
    </row>
  </sheetData>
  <mergeCells count="12">
    <mergeCell ref="A1:C1"/>
    <mergeCell ref="A2:C2"/>
    <mergeCell ref="A4:C4"/>
    <mergeCell ref="A15:C15"/>
    <mergeCell ref="A20:C20"/>
    <mergeCell ref="A26:C26"/>
    <mergeCell ref="A35:C35"/>
    <mergeCell ref="A36:C36"/>
    <mergeCell ref="A42:C42"/>
    <mergeCell ref="A43:C43"/>
    <mergeCell ref="A51:C51"/>
    <mergeCell ref="A52:C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648</v>
      </c>
      <c r="B1" s="1"/>
      <c r="C1" s="1"/>
    </row>
    <row r="2" customFormat="false" ht="30" hidden="false" customHeight="true" outlineLevel="0" collapsed="false">
      <c r="A2" s="2" t="s">
        <v>649</v>
      </c>
      <c r="B2" s="2"/>
      <c r="C2" s="2"/>
    </row>
    <row r="4" customFormat="false" ht="15" hidden="false" customHeight="false" outlineLevel="0" collapsed="false">
      <c r="A4" s="3" t="s">
        <v>4</v>
      </c>
      <c r="B4" s="3"/>
      <c r="C4" s="3"/>
    </row>
    <row r="5" customFormat="false" ht="48" hidden="false" customHeight="true" outlineLevel="0" collapsed="false">
      <c r="A5" s="17" t="s">
        <v>650</v>
      </c>
      <c r="B5" s="17"/>
      <c r="C5" s="17"/>
    </row>
    <row r="7" customFormat="false" ht="15" hidden="false" customHeight="false" outlineLevel="0" collapsed="false">
      <c r="A7" s="3" t="s">
        <v>472</v>
      </c>
      <c r="B7" s="3"/>
      <c r="C7" s="3"/>
    </row>
    <row r="8" customFormat="false" ht="15" hidden="false" customHeight="false" outlineLevel="0" collapsed="false">
      <c r="A8" s="13" t="s">
        <v>377</v>
      </c>
      <c r="B8" s="24" t="n">
        <f aca="false">Inputs!$F$72</f>
        <v>55</v>
      </c>
      <c r="C8" s="14" t="s">
        <v>651</v>
      </c>
    </row>
    <row r="9" customFormat="false" ht="15" hidden="false" customHeight="false" outlineLevel="0" collapsed="false">
      <c r="A9" s="13" t="s">
        <v>379</v>
      </c>
      <c r="B9" s="24" t="n">
        <f aca="false">Inputs!$F$73</f>
        <v>200</v>
      </c>
    </row>
    <row r="10" customFormat="false" ht="15" hidden="false" customHeight="false" outlineLevel="0" collapsed="false">
      <c r="A10" s="13" t="s">
        <v>652</v>
      </c>
      <c r="B10" s="10" t="n">
        <f aca="false">B9-B8</f>
        <v>145</v>
      </c>
      <c r="C10" s="14" t="s">
        <v>653</v>
      </c>
    </row>
    <row r="11" customFormat="false" ht="15" hidden="false" customHeight="false" outlineLevel="0" collapsed="false">
      <c r="A11" s="13" t="s">
        <v>384</v>
      </c>
      <c r="B11" s="24" t="n">
        <f aca="false">Inputs!$F$76</f>
        <v>95</v>
      </c>
    </row>
    <row r="12" customFormat="false" ht="15" hidden="false" customHeight="false" outlineLevel="0" collapsed="false">
      <c r="A12" s="13" t="s">
        <v>387</v>
      </c>
      <c r="B12" s="24" t="n">
        <f aca="false">Inputs!$F$77</f>
        <v>280</v>
      </c>
    </row>
    <row r="13" customFormat="false" ht="15" hidden="false" customHeight="false" outlineLevel="0" collapsed="false">
      <c r="A13" s="13" t="s">
        <v>654</v>
      </c>
      <c r="B13" s="10" t="n">
        <f aca="false">B11-B8</f>
        <v>40</v>
      </c>
      <c r="C13" s="14" t="s">
        <v>655</v>
      </c>
    </row>
    <row r="14" customFormat="false" ht="15" hidden="false" customHeight="false" outlineLevel="0" collapsed="false">
      <c r="A14" s="13" t="s">
        <v>656</v>
      </c>
      <c r="B14" s="10" t="n">
        <f aca="false">B12-B9</f>
        <v>80</v>
      </c>
    </row>
    <row r="16" customFormat="false" ht="15" hidden="false" customHeight="false" outlineLevel="0" collapsed="false">
      <c r="A16" s="3" t="s">
        <v>657</v>
      </c>
      <c r="B16" s="3"/>
      <c r="C16" s="3"/>
    </row>
    <row r="17" customFormat="false" ht="15" hidden="false" customHeight="false" outlineLevel="0" collapsed="false">
      <c r="A17" s="13" t="s">
        <v>658</v>
      </c>
      <c r="B17" s="57" t="n">
        <f aca="false">Inputs!$F$80</f>
        <v>0.25</v>
      </c>
    </row>
    <row r="18" customFormat="false" ht="15" hidden="false" customHeight="false" outlineLevel="0" collapsed="false">
      <c r="A18" s="13" t="s">
        <v>659</v>
      </c>
      <c r="B18" s="21" t="n">
        <f aca="false">Inputs!$F$66</f>
        <v>4.78</v>
      </c>
    </row>
    <row r="19" customFormat="false" ht="15" hidden="false" customHeight="false" outlineLevel="0" collapsed="false">
      <c r="A19" s="13" t="s">
        <v>660</v>
      </c>
      <c r="B19" s="20" t="n">
        <f aca="false">B8/10000/(1-B17)</f>
        <v>0.00733333333333333</v>
      </c>
      <c r="C19" s="14" t="s">
        <v>661</v>
      </c>
    </row>
    <row r="20" customFormat="false" ht="15" hidden="false" customHeight="false" outlineLevel="0" collapsed="false">
      <c r="A20" s="13" t="s">
        <v>662</v>
      </c>
      <c r="B20" s="20" t="n">
        <f aca="false">B9/10000/(1-B17)</f>
        <v>0.0266666666666667</v>
      </c>
    </row>
    <row r="21" customFormat="false" ht="22.35" hidden="false" customHeight="false" outlineLevel="0" collapsed="false">
      <c r="A21" s="13" t="s">
        <v>663</v>
      </c>
      <c r="B21" s="10" t="n">
        <f aca="false">(1-EXP(-(B18/100+B19)*5))/(B18/100+B19)</f>
        <v>4.37002580594099</v>
      </c>
      <c r="C21" s="14" t="s">
        <v>664</v>
      </c>
    </row>
    <row r="22" customFormat="false" ht="15" hidden="false" customHeight="false" outlineLevel="0" collapsed="false">
      <c r="A22" s="13" t="s">
        <v>665</v>
      </c>
      <c r="B22" s="10" t="n">
        <f aca="false">(1-EXP(-(B18/100+B20)*5))/(B18/100+B20)</f>
        <v>4.17469342788831</v>
      </c>
      <c r="C22" s="14" t="s">
        <v>666</v>
      </c>
    </row>
    <row r="23" customFormat="false" ht="15" hidden="false" customHeight="false" outlineLevel="0" collapsed="false">
      <c r="A23" s="13" t="s">
        <v>667</v>
      </c>
      <c r="B23" s="47" t="n">
        <v>10000</v>
      </c>
    </row>
    <row r="24" customFormat="false" ht="15" hidden="false" customHeight="false" outlineLevel="0" collapsed="false">
      <c r="A24" s="13" t="s">
        <v>668</v>
      </c>
      <c r="B24" s="9" t="n">
        <f aca="false">B23/(B21/10000)</f>
        <v>22883160.063735</v>
      </c>
    </row>
    <row r="25" customFormat="false" ht="15" hidden="false" customHeight="false" outlineLevel="0" collapsed="false">
      <c r="A25" s="13" t="s">
        <v>669</v>
      </c>
      <c r="B25" s="9" t="n">
        <f aca="false">B23/(B22/10000)</f>
        <v>23953854.7506189</v>
      </c>
    </row>
    <row r="27" customFormat="false" ht="15" hidden="false" customHeight="false" outlineLevel="0" collapsed="false">
      <c r="A27" s="3" t="s">
        <v>670</v>
      </c>
      <c r="B27" s="3"/>
      <c r="C27" s="3"/>
    </row>
    <row r="28" customFormat="false" ht="15" hidden="false" customHeight="false" outlineLevel="0" collapsed="false">
      <c r="A28" s="13" t="s">
        <v>671</v>
      </c>
      <c r="B28" s="9" t="n">
        <f aca="false">B24*B8/10000</f>
        <v>125857.380350542</v>
      </c>
    </row>
    <row r="29" customFormat="false" ht="15" hidden="false" customHeight="false" outlineLevel="0" collapsed="false">
      <c r="A29" s="13" t="s">
        <v>672</v>
      </c>
      <c r="B29" s="9" t="n">
        <f aca="false">-B25*B9/10000</f>
        <v>-479077.095012379</v>
      </c>
    </row>
    <row r="30" customFormat="false" ht="15" hidden="false" customHeight="false" outlineLevel="0" collapsed="false">
      <c r="A30" s="13" t="s">
        <v>673</v>
      </c>
      <c r="B30" s="9" t="n">
        <f aca="false">B28+B29</f>
        <v>-353219.714661836</v>
      </c>
      <c r="C30" s="14" t="s">
        <v>674</v>
      </c>
    </row>
    <row r="31" customFormat="false" ht="22.35" hidden="false" customHeight="false" outlineLevel="0" collapsed="false">
      <c r="A31" s="13" t="s">
        <v>675</v>
      </c>
      <c r="B31" s="53" t="n">
        <f aca="false">IF(B23=0,0,-B30/B23)</f>
        <v>35.3219714661836</v>
      </c>
      <c r="C31" s="14" t="s">
        <v>676</v>
      </c>
    </row>
    <row r="33" customFormat="false" ht="15" hidden="false" customHeight="false" outlineLevel="0" collapsed="false">
      <c r="A33" s="3" t="s">
        <v>495</v>
      </c>
      <c r="B33" s="3"/>
      <c r="C33" s="3"/>
    </row>
    <row r="34" customFormat="false" ht="15" hidden="false" customHeight="false" outlineLevel="0" collapsed="false">
      <c r="A34" s="13" t="s">
        <v>677</v>
      </c>
      <c r="B34" s="54" t="n">
        <v>25</v>
      </c>
    </row>
    <row r="35" customFormat="false" ht="15" hidden="false" customHeight="false" outlineLevel="0" collapsed="false">
      <c r="A35" s="13" t="s">
        <v>678</v>
      </c>
      <c r="B35" s="10" t="n">
        <f aca="false">B10-B34</f>
        <v>120</v>
      </c>
    </row>
    <row r="36" customFormat="false" ht="15" hidden="false" customHeight="false" outlineLevel="0" collapsed="false">
      <c r="A36" s="13" t="s">
        <v>7</v>
      </c>
      <c r="B36" s="9" t="n">
        <f aca="false">B23*B34</f>
        <v>250000</v>
      </c>
    </row>
    <row r="38" customFormat="false" ht="15" hidden="false" customHeight="false" outlineLevel="0" collapsed="false">
      <c r="A38" s="3" t="s">
        <v>679</v>
      </c>
      <c r="B38" s="3"/>
      <c r="C38" s="3"/>
    </row>
    <row r="39" customFormat="false" ht="48" hidden="false" customHeight="true" outlineLevel="0" collapsed="false">
      <c r="A39" s="17" t="s">
        <v>680</v>
      </c>
      <c r="B39" s="17"/>
      <c r="C39" s="17"/>
    </row>
    <row r="41" customFormat="false" ht="15" hidden="false" customHeight="false" outlineLevel="0" collapsed="false">
      <c r="A41" s="3" t="s">
        <v>681</v>
      </c>
      <c r="B41" s="3"/>
      <c r="C41" s="3"/>
    </row>
    <row r="42" customFormat="false" ht="48" hidden="false" customHeight="true" outlineLevel="0" collapsed="false">
      <c r="A42" s="17" t="s">
        <v>682</v>
      </c>
      <c r="B42" s="17"/>
      <c r="C42" s="17"/>
    </row>
    <row r="43" customFormat="false" ht="15" hidden="false" customHeight="false" outlineLevel="0" collapsed="false">
      <c r="A43" s="3" t="s">
        <v>456</v>
      </c>
      <c r="B43" s="3"/>
      <c r="C43" s="3"/>
    </row>
    <row r="44" customFormat="false" ht="94.5" hidden="false" customHeight="true" outlineLevel="0" collapsed="false">
      <c r="A44" s="17" t="s">
        <v>683</v>
      </c>
      <c r="B44" s="17"/>
      <c r="C44" s="17"/>
    </row>
  </sheetData>
  <mergeCells count="14">
    <mergeCell ref="A1:C1"/>
    <mergeCell ref="A2:C2"/>
    <mergeCell ref="A4:C4"/>
    <mergeCell ref="A5:C5"/>
    <mergeCell ref="A7:C7"/>
    <mergeCell ref="A16:C16"/>
    <mergeCell ref="A27:C27"/>
    <mergeCell ref="A33:C33"/>
    <mergeCell ref="A38:C38"/>
    <mergeCell ref="A39:C39"/>
    <mergeCell ref="A41:C41"/>
    <mergeCell ref="A42:C42"/>
    <mergeCell ref="A43:C43"/>
    <mergeCell ref="A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684</v>
      </c>
      <c r="B1" s="1"/>
      <c r="C1" s="1"/>
    </row>
    <row r="2" customFormat="false" ht="30" hidden="false" customHeight="true" outlineLevel="0" collapsed="false">
      <c r="A2" s="2" t="s">
        <v>685</v>
      </c>
      <c r="B2" s="2"/>
      <c r="C2" s="2"/>
    </row>
    <row r="4" customFormat="false" ht="15" hidden="false" customHeight="false" outlineLevel="0" collapsed="false">
      <c r="A4" s="3" t="s">
        <v>4</v>
      </c>
      <c r="B4" s="3"/>
      <c r="C4" s="3"/>
    </row>
    <row r="5" customFormat="false" ht="48" hidden="false" customHeight="true" outlineLevel="0" collapsed="false">
      <c r="A5" s="17" t="s">
        <v>686</v>
      </c>
      <c r="B5" s="17"/>
      <c r="C5" s="17"/>
    </row>
    <row r="7" customFormat="false" ht="15" hidden="false" customHeight="false" outlineLevel="0" collapsed="false">
      <c r="A7" s="3" t="s">
        <v>472</v>
      </c>
      <c r="B7" s="3"/>
      <c r="C7" s="3"/>
    </row>
    <row r="8" customFormat="false" ht="15" hidden="false" customHeight="false" outlineLevel="0" collapsed="false">
      <c r="A8" s="13" t="s">
        <v>380</v>
      </c>
      <c r="B8" s="24" t="n">
        <f aca="false">Inputs!$F$74</f>
        <v>85</v>
      </c>
      <c r="C8" s="14" t="s">
        <v>651</v>
      </c>
    </row>
    <row r="9" customFormat="false" ht="15" hidden="false" customHeight="false" outlineLevel="0" collapsed="false">
      <c r="A9" s="13" t="s">
        <v>382</v>
      </c>
      <c r="B9" s="24" t="n">
        <f aca="false">Inputs!$F$75</f>
        <v>115</v>
      </c>
    </row>
    <row r="10" customFormat="false" ht="15" hidden="false" customHeight="false" outlineLevel="0" collapsed="false">
      <c r="A10" s="13" t="s">
        <v>687</v>
      </c>
      <c r="B10" s="10" t="n">
        <f aca="false">B9-B8</f>
        <v>30</v>
      </c>
      <c r="C10" s="14" t="s">
        <v>653</v>
      </c>
    </row>
    <row r="11" customFormat="false" ht="15" hidden="false" customHeight="false" outlineLevel="0" collapsed="false">
      <c r="A11" s="13" t="s">
        <v>389</v>
      </c>
      <c r="B11" s="24" t="n">
        <f aca="false">Inputs!$F$78</f>
        <v>130</v>
      </c>
    </row>
    <row r="12" customFormat="false" ht="15" hidden="false" customHeight="false" outlineLevel="0" collapsed="false">
      <c r="A12" s="13" t="s">
        <v>391</v>
      </c>
      <c r="B12" s="24" t="n">
        <f aca="false">Inputs!$F$79</f>
        <v>185</v>
      </c>
    </row>
    <row r="13" customFormat="false" ht="15" hidden="false" customHeight="false" outlineLevel="0" collapsed="false">
      <c r="A13" s="13" t="s">
        <v>688</v>
      </c>
      <c r="B13" s="10" t="n">
        <f aca="false">B11-B8</f>
        <v>45</v>
      </c>
      <c r="C13" s="14" t="s">
        <v>655</v>
      </c>
    </row>
    <row r="14" customFormat="false" ht="15" hidden="false" customHeight="false" outlineLevel="0" collapsed="false">
      <c r="A14" s="13" t="s">
        <v>689</v>
      </c>
      <c r="B14" s="10" t="n">
        <f aca="false">B12-B9</f>
        <v>70</v>
      </c>
    </row>
    <row r="16" customFormat="false" ht="15" hidden="false" customHeight="false" outlineLevel="0" collapsed="false">
      <c r="A16" s="3" t="s">
        <v>657</v>
      </c>
      <c r="B16" s="3"/>
      <c r="C16" s="3"/>
    </row>
    <row r="17" customFormat="false" ht="15" hidden="false" customHeight="false" outlineLevel="0" collapsed="false">
      <c r="A17" s="13" t="s">
        <v>658</v>
      </c>
      <c r="B17" s="57" t="n">
        <f aca="false">Inputs!$F$80</f>
        <v>0.25</v>
      </c>
    </row>
    <row r="18" customFormat="false" ht="15" hidden="false" customHeight="false" outlineLevel="0" collapsed="false">
      <c r="A18" s="13" t="s">
        <v>659</v>
      </c>
      <c r="B18" s="21" t="n">
        <f aca="false">Inputs!$F$66</f>
        <v>4.78</v>
      </c>
    </row>
    <row r="19" customFormat="false" ht="15" hidden="false" customHeight="false" outlineLevel="0" collapsed="false">
      <c r="A19" s="13" t="s">
        <v>690</v>
      </c>
      <c r="B19" s="20" t="n">
        <f aca="false">B8/10000/(1-B17)</f>
        <v>0.0113333333333333</v>
      </c>
      <c r="C19" s="14" t="s">
        <v>661</v>
      </c>
    </row>
    <row r="20" customFormat="false" ht="15" hidden="false" customHeight="false" outlineLevel="0" collapsed="false">
      <c r="A20" s="13" t="s">
        <v>691</v>
      </c>
      <c r="B20" s="20" t="n">
        <f aca="false">B9/10000/(1-B17)</f>
        <v>0.0153333333333333</v>
      </c>
    </row>
    <row r="21" customFormat="false" ht="22.35" hidden="false" customHeight="false" outlineLevel="0" collapsed="false">
      <c r="A21" s="13" t="s">
        <v>692</v>
      </c>
      <c r="B21" s="10" t="n">
        <f aca="false">(1-EXP(-(B18/100+B19)*5))/(B18/100+B19)</f>
        <v>4.32860092746953</v>
      </c>
      <c r="C21" s="14" t="s">
        <v>664</v>
      </c>
    </row>
    <row r="22" customFormat="false" ht="15" hidden="false" customHeight="false" outlineLevel="0" collapsed="false">
      <c r="A22" s="13" t="s">
        <v>693</v>
      </c>
      <c r="B22" s="10" t="n">
        <f aca="false">(1-EXP(-(B18/100+B20)*5))/(B18/100+B20)</f>
        <v>4.28771102705148</v>
      </c>
      <c r="C22" s="14" t="s">
        <v>666</v>
      </c>
    </row>
    <row r="23" customFormat="false" ht="15" hidden="false" customHeight="false" outlineLevel="0" collapsed="false">
      <c r="A23" s="13" t="s">
        <v>667</v>
      </c>
      <c r="B23" s="47" t="n">
        <v>10000</v>
      </c>
    </row>
    <row r="24" customFormat="false" ht="15" hidden="false" customHeight="false" outlineLevel="0" collapsed="false">
      <c r="A24" s="13" t="s">
        <v>694</v>
      </c>
      <c r="B24" s="9" t="n">
        <f aca="false">B23/(B21/10000)</f>
        <v>23102152.7915393</v>
      </c>
    </row>
    <row r="25" customFormat="false" ht="15" hidden="false" customHeight="false" outlineLevel="0" collapsed="false">
      <c r="A25" s="13" t="s">
        <v>695</v>
      </c>
      <c r="B25" s="9" t="n">
        <f aca="false">B23/(B22/10000)</f>
        <v>23322467.2486305</v>
      </c>
    </row>
    <row r="27" customFormat="false" ht="15" hidden="false" customHeight="false" outlineLevel="0" collapsed="false">
      <c r="A27" s="3" t="s">
        <v>670</v>
      </c>
      <c r="B27" s="3"/>
      <c r="C27" s="3"/>
    </row>
    <row r="28" customFormat="false" ht="15" hidden="false" customHeight="false" outlineLevel="0" collapsed="false">
      <c r="A28" s="13" t="s">
        <v>696</v>
      </c>
      <c r="B28" s="9" t="n">
        <f aca="false">B24*B8/10000</f>
        <v>196368.298728084</v>
      </c>
    </row>
    <row r="29" customFormat="false" ht="15" hidden="false" customHeight="false" outlineLevel="0" collapsed="false">
      <c r="A29" s="13" t="s">
        <v>697</v>
      </c>
      <c r="B29" s="9" t="n">
        <f aca="false">-B25*B9/10000</f>
        <v>-268208.373359251</v>
      </c>
    </row>
    <row r="30" customFormat="false" ht="15" hidden="false" customHeight="false" outlineLevel="0" collapsed="false">
      <c r="A30" s="13" t="s">
        <v>673</v>
      </c>
      <c r="B30" s="9" t="n">
        <f aca="false">B28+B29</f>
        <v>-71840.0746311664</v>
      </c>
      <c r="C30" s="14" t="s">
        <v>674</v>
      </c>
    </row>
    <row r="31" customFormat="false" ht="22.35" hidden="false" customHeight="false" outlineLevel="0" collapsed="false">
      <c r="A31" s="13" t="s">
        <v>675</v>
      </c>
      <c r="B31" s="53" t="n">
        <f aca="false">IF(B23=0,0,-B30/B23)</f>
        <v>7.18400746311664</v>
      </c>
      <c r="C31" s="14" t="s">
        <v>676</v>
      </c>
    </row>
    <row r="33" customFormat="false" ht="15" hidden="false" customHeight="false" outlineLevel="0" collapsed="false">
      <c r="A33" s="3" t="s">
        <v>495</v>
      </c>
      <c r="B33" s="3"/>
      <c r="C33" s="3"/>
    </row>
    <row r="34" customFormat="false" ht="15" hidden="false" customHeight="false" outlineLevel="0" collapsed="false">
      <c r="A34" s="13" t="s">
        <v>677</v>
      </c>
      <c r="B34" s="54" t="n">
        <v>25</v>
      </c>
    </row>
    <row r="35" customFormat="false" ht="15" hidden="false" customHeight="false" outlineLevel="0" collapsed="false">
      <c r="A35" s="13" t="s">
        <v>678</v>
      </c>
      <c r="B35" s="10" t="n">
        <f aca="false">B10-B34</f>
        <v>5</v>
      </c>
    </row>
    <row r="36" customFormat="false" ht="15" hidden="false" customHeight="false" outlineLevel="0" collapsed="false">
      <c r="A36" s="13" t="s">
        <v>7</v>
      </c>
      <c r="B36" s="9" t="n">
        <f aca="false">B23*B34</f>
        <v>250000</v>
      </c>
    </row>
    <row r="38" customFormat="false" ht="15" hidden="false" customHeight="false" outlineLevel="0" collapsed="false">
      <c r="A38" s="3" t="s">
        <v>679</v>
      </c>
      <c r="B38" s="3"/>
      <c r="C38" s="3"/>
    </row>
    <row r="39" customFormat="false" ht="48" hidden="false" customHeight="true" outlineLevel="0" collapsed="false">
      <c r="A39" s="17" t="s">
        <v>680</v>
      </c>
      <c r="B39" s="17"/>
      <c r="C39" s="17"/>
    </row>
    <row r="41" customFormat="false" ht="15" hidden="false" customHeight="false" outlineLevel="0" collapsed="false">
      <c r="A41" s="3" t="s">
        <v>681</v>
      </c>
      <c r="B41" s="3"/>
      <c r="C41" s="3"/>
    </row>
    <row r="42" customFormat="false" ht="48" hidden="false" customHeight="true" outlineLevel="0" collapsed="false">
      <c r="A42" s="17" t="s">
        <v>698</v>
      </c>
      <c r="B42" s="17"/>
      <c r="C42" s="17"/>
    </row>
    <row r="43" customFormat="false" ht="15" hidden="false" customHeight="false" outlineLevel="0" collapsed="false">
      <c r="A43" s="3" t="s">
        <v>456</v>
      </c>
      <c r="B43" s="3"/>
      <c r="C43" s="3"/>
    </row>
    <row r="44" customFormat="false" ht="94.5" hidden="false" customHeight="true" outlineLevel="0" collapsed="false">
      <c r="A44" s="17" t="s">
        <v>699</v>
      </c>
      <c r="B44" s="17"/>
      <c r="C44" s="17"/>
    </row>
  </sheetData>
  <mergeCells count="14">
    <mergeCell ref="A1:C1"/>
    <mergeCell ref="A2:C2"/>
    <mergeCell ref="A4:C4"/>
    <mergeCell ref="A5:C5"/>
    <mergeCell ref="A7:C7"/>
    <mergeCell ref="A16:C16"/>
    <mergeCell ref="A27:C27"/>
    <mergeCell ref="A33:C33"/>
    <mergeCell ref="A38:C38"/>
    <mergeCell ref="A39:C39"/>
    <mergeCell ref="A41:C41"/>
    <mergeCell ref="A42:C42"/>
    <mergeCell ref="A43:C43"/>
    <mergeCell ref="A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3" min="3" style="0" width="70"/>
  </cols>
  <sheetData>
    <row r="1" customFormat="false" ht="25.5" hidden="false" customHeight="true" outlineLevel="0" collapsed="false">
      <c r="A1" s="1" t="s">
        <v>700</v>
      </c>
      <c r="B1" s="1"/>
      <c r="C1" s="1"/>
    </row>
    <row r="2" customFormat="false" ht="30" hidden="false" customHeight="true" outlineLevel="0" collapsed="false">
      <c r="A2" s="2" t="s">
        <v>701</v>
      </c>
      <c r="B2" s="2"/>
      <c r="C2" s="2"/>
    </row>
    <row r="4" customFormat="false" ht="15" hidden="false" customHeight="false" outlineLevel="0" collapsed="false">
      <c r="A4" s="3" t="s">
        <v>702</v>
      </c>
      <c r="B4" s="3"/>
      <c r="C4" s="3"/>
    </row>
    <row r="5" customFormat="false" ht="31.5" hidden="false" customHeight="true" outlineLevel="0" collapsed="false">
      <c r="A5" s="17" t="s">
        <v>703</v>
      </c>
      <c r="B5" s="17"/>
      <c r="C5" s="17"/>
    </row>
    <row r="6" customFormat="false" ht="15" hidden="false" customHeight="false" outlineLevel="0" collapsed="false">
      <c r="A6" s="13" t="s">
        <v>704</v>
      </c>
      <c r="B6" s="57" t="n">
        <f aca="false">Inputs!$F$91</f>
        <v>-0.2</v>
      </c>
    </row>
    <row r="7" customFormat="false" ht="15" hidden="false" customHeight="false" outlineLevel="0" collapsed="false">
      <c r="A7" s="13" t="s">
        <v>705</v>
      </c>
      <c r="B7" s="24" t="n">
        <f aca="false">Inputs!$F$88</f>
        <v>-0.25</v>
      </c>
      <c r="C7" s="14" t="s">
        <v>706</v>
      </c>
    </row>
    <row r="8" customFormat="false" ht="15" hidden="false" customHeight="false" outlineLevel="0" collapsed="false">
      <c r="A8" s="13" t="s">
        <v>707</v>
      </c>
      <c r="B8" s="24" t="n">
        <f aca="false">Inputs!$F$89</f>
        <v>-0.15</v>
      </c>
    </row>
    <row r="9" customFormat="false" ht="15" hidden="false" customHeight="false" outlineLevel="0" collapsed="false">
      <c r="A9" s="13" t="s">
        <v>708</v>
      </c>
      <c r="B9" s="24" t="n">
        <f aca="false">Inputs!$F$90</f>
        <v>-1.5</v>
      </c>
    </row>
    <row r="10" customFormat="false" ht="15" hidden="false" customHeight="false" outlineLevel="0" collapsed="false">
      <c r="A10" s="13" t="s">
        <v>709</v>
      </c>
      <c r="B10" s="9" t="n">
        <f aca="false">-'FX COP-CLP'!B29*B7/100</f>
        <v>25000</v>
      </c>
      <c r="C10" s="14" t="s">
        <v>710</v>
      </c>
    </row>
    <row r="11" customFormat="false" ht="15" hidden="false" customHeight="false" outlineLevel="0" collapsed="false">
      <c r="A11" s="13" t="s">
        <v>711</v>
      </c>
      <c r="B11" s="9" t="n">
        <f aca="false">-'FX BRL-MXN'!B29*B8/100</f>
        <v>15000</v>
      </c>
    </row>
    <row r="12" customFormat="false" ht="15" hidden="false" customHeight="false" outlineLevel="0" collapsed="false">
      <c r="A12" s="13" t="s">
        <v>712</v>
      </c>
      <c r="B12" s="9" t="n">
        <f aca="false">'Credit CL-CO'!B23*B9</f>
        <v>-15000</v>
      </c>
      <c r="C12" s="14" t="s">
        <v>713</v>
      </c>
    </row>
    <row r="13" customFormat="false" ht="15" hidden="false" customHeight="false" outlineLevel="0" collapsed="false">
      <c r="A13" s="13" t="s">
        <v>714</v>
      </c>
      <c r="B13" s="9" t="n">
        <f aca="false">B10+B11+B12</f>
        <v>25000</v>
      </c>
    </row>
    <row r="14" customFormat="false" ht="15" hidden="false" customHeight="false" outlineLevel="0" collapsed="false">
      <c r="A14" s="13" t="s">
        <v>715</v>
      </c>
      <c r="B14" s="9" t="n">
        <f aca="false">B13*(-B6*100)</f>
        <v>500000</v>
      </c>
      <c r="C14" s="14" t="s">
        <v>716</v>
      </c>
    </row>
    <row r="16" customFormat="false" ht="15" hidden="false" customHeight="false" outlineLevel="0" collapsed="false">
      <c r="A16" s="3" t="s">
        <v>717</v>
      </c>
      <c r="B16" s="3"/>
      <c r="C16" s="3"/>
    </row>
    <row r="17" customFormat="false" ht="15" hidden="false" customHeight="false" outlineLevel="0" collapsed="false">
      <c r="A17" s="13" t="s">
        <v>718</v>
      </c>
      <c r="B17" s="24" t="n">
        <f aca="false">Inputs!$F$82</f>
        <v>70</v>
      </c>
      <c r="C17" s="14" t="s">
        <v>706</v>
      </c>
    </row>
    <row r="18" customFormat="false" ht="15" hidden="false" customHeight="false" outlineLevel="0" collapsed="false">
      <c r="A18" s="13" t="s">
        <v>719</v>
      </c>
      <c r="B18" s="24" t="n">
        <f aca="false">Inputs!$F$83</f>
        <v>32</v>
      </c>
    </row>
    <row r="19" customFormat="false" ht="15" hidden="false" customHeight="false" outlineLevel="0" collapsed="false">
      <c r="A19" s="13" t="s">
        <v>402</v>
      </c>
      <c r="B19" s="57" t="n">
        <f aca="false">Inputs!$F$84</f>
        <v>0.9</v>
      </c>
    </row>
    <row r="20" customFormat="false" ht="15" hidden="false" customHeight="false" outlineLevel="0" collapsed="false">
      <c r="A20" s="13" t="s">
        <v>404</v>
      </c>
      <c r="B20" s="57" t="n">
        <f aca="false">Inputs!$F$85</f>
        <v>0.75</v>
      </c>
    </row>
    <row r="21" customFormat="false" ht="15" hidden="false" customHeight="false" outlineLevel="0" collapsed="false">
      <c r="A21" s="13" t="s">
        <v>720</v>
      </c>
      <c r="B21" s="10" t="n">
        <f aca="false">B17*B19</f>
        <v>63</v>
      </c>
    </row>
    <row r="22" customFormat="false" ht="15" hidden="false" customHeight="false" outlineLevel="0" collapsed="false">
      <c r="A22" s="13" t="s">
        <v>721</v>
      </c>
      <c r="B22" s="10" t="n">
        <f aca="false">B17*B20</f>
        <v>52.5</v>
      </c>
    </row>
    <row r="23" customFormat="false" ht="15" hidden="false" customHeight="false" outlineLevel="0" collapsed="false">
      <c r="A23" s="13" t="s">
        <v>406</v>
      </c>
      <c r="B23" s="24" t="n">
        <f aca="false">Inputs!$F$86</f>
        <v>2.1</v>
      </c>
      <c r="C23" s="14" t="s">
        <v>722</v>
      </c>
    </row>
    <row r="24" customFormat="false" ht="15" hidden="false" customHeight="false" outlineLevel="0" collapsed="false">
      <c r="A24" s="13" t="s">
        <v>408</v>
      </c>
      <c r="B24" s="24" t="n">
        <f aca="false">Inputs!$F$87</f>
        <v>0.55</v>
      </c>
    </row>
    <row r="25" customFormat="false" ht="15" hidden="false" customHeight="false" outlineLevel="0" collapsed="false">
      <c r="A25" s="13" t="s">
        <v>723</v>
      </c>
      <c r="B25" s="10" t="n">
        <f aca="false">B23-B24</f>
        <v>1.55</v>
      </c>
      <c r="C25" s="14" t="s">
        <v>724</v>
      </c>
    </row>
    <row r="26" customFormat="false" ht="15" hidden="false" customHeight="false" outlineLevel="0" collapsed="false">
      <c r="A26" s="13" t="s">
        <v>725</v>
      </c>
      <c r="B26" s="10" t="n">
        <f aca="false">B21-B22</f>
        <v>10.5</v>
      </c>
      <c r="C26" s="14" t="s">
        <v>726</v>
      </c>
    </row>
    <row r="27" customFormat="false" ht="15" hidden="false" customHeight="false" outlineLevel="0" collapsed="false">
      <c r="A27" s="13" t="s">
        <v>727</v>
      </c>
      <c r="B27" s="8" t="n">
        <f aca="false">IF(B25=0,0,B26/B25)</f>
        <v>6.7741935483871</v>
      </c>
      <c r="C27" s="14" t="s">
        <v>728</v>
      </c>
    </row>
    <row r="28" customFormat="false" ht="15" hidden="false" customHeight="false" outlineLevel="0" collapsed="false">
      <c r="A28" s="13" t="s">
        <v>729</v>
      </c>
      <c r="B28" s="10" t="n">
        <f aca="false">B17*(1+B6)</f>
        <v>56</v>
      </c>
    </row>
    <row r="29" customFormat="false" ht="15" hidden="false" customHeight="false" outlineLevel="0" collapsed="false">
      <c r="A29" s="13" t="s">
        <v>730</v>
      </c>
      <c r="B29" s="10" t="n">
        <f aca="false">MAX(0,B21-MAX(B28,B22))</f>
        <v>7</v>
      </c>
      <c r="C29" s="14" t="s">
        <v>731</v>
      </c>
    </row>
    <row r="31" customFormat="false" ht="15" hidden="false" customHeight="false" outlineLevel="0" collapsed="false">
      <c r="A31" s="3" t="s">
        <v>732</v>
      </c>
      <c r="B31" s="3"/>
      <c r="C31" s="3"/>
    </row>
    <row r="32" customFormat="false" ht="15" hidden="false" customHeight="false" outlineLevel="0" collapsed="false">
      <c r="A32" s="13" t="s">
        <v>733</v>
      </c>
      <c r="B32" s="58" t="n">
        <f aca="false">IF(B29=0,0,B14/B29)</f>
        <v>71428.5714285714</v>
      </c>
      <c r="C32" s="14" t="s">
        <v>734</v>
      </c>
    </row>
    <row r="33" customFormat="false" ht="15" hidden="false" customHeight="false" outlineLevel="0" collapsed="false">
      <c r="A33" s="13" t="s">
        <v>735</v>
      </c>
      <c r="B33" s="58" t="n">
        <f aca="false">ROUND(B32/1000,0)</f>
        <v>71</v>
      </c>
      <c r="C33" s="14" t="s">
        <v>736</v>
      </c>
    </row>
    <row r="34" customFormat="false" ht="15" hidden="false" customHeight="false" outlineLevel="0" collapsed="false">
      <c r="A34" s="13" t="s">
        <v>737</v>
      </c>
      <c r="B34" s="9" t="n">
        <f aca="false">B33*1000*B25</f>
        <v>110050</v>
      </c>
      <c r="C34" s="14" t="s">
        <v>738</v>
      </c>
    </row>
    <row r="35" customFormat="false" ht="15" hidden="false" customHeight="false" outlineLevel="0" collapsed="false">
      <c r="A35" s="13" t="s">
        <v>739</v>
      </c>
      <c r="B35" s="9" t="n">
        <f aca="false">B34*4</f>
        <v>440200</v>
      </c>
    </row>
    <row r="36" customFormat="false" ht="15" hidden="false" customHeight="false" outlineLevel="0" collapsed="false">
      <c r="A36" s="13" t="s">
        <v>740</v>
      </c>
      <c r="B36" s="51" t="n">
        <f aca="false">IF(('FX COP-CLP'!B35+'FX BRL-MXN'!B35)=0,0,B35/('FX COP-CLP'!B35+'FX BRL-MXN'!B35))</f>
        <v>0.380146934892227</v>
      </c>
      <c r="C36" s="14" t="s">
        <v>741</v>
      </c>
    </row>
    <row r="37" customFormat="false" ht="15" hidden="false" customHeight="false" outlineLevel="0" collapsed="false">
      <c r="A37" s="13" t="s">
        <v>742</v>
      </c>
      <c r="B37" s="9" t="n">
        <f aca="false">B33*1000*B26</f>
        <v>745500</v>
      </c>
    </row>
    <row r="39" customFormat="false" ht="15" hidden="false" customHeight="false" outlineLevel="0" collapsed="false">
      <c r="A39" s="3" t="s">
        <v>456</v>
      </c>
      <c r="B39" s="3"/>
      <c r="C39" s="3"/>
    </row>
    <row r="40" customFormat="false" ht="94.5" hidden="false" customHeight="true" outlineLevel="0" collapsed="false">
      <c r="A40" s="17" t="s">
        <v>743</v>
      </c>
      <c r="B40" s="17"/>
      <c r="C40" s="17"/>
    </row>
  </sheetData>
  <mergeCells count="8">
    <mergeCell ref="A1:C1"/>
    <mergeCell ref="A2:C2"/>
    <mergeCell ref="A4:C4"/>
    <mergeCell ref="A5:C5"/>
    <mergeCell ref="A16:C16"/>
    <mergeCell ref="A31:C31"/>
    <mergeCell ref="A39:C39"/>
    <mergeCell ref="A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40"/>
  </cols>
  <sheetData>
    <row r="1" customFormat="false" ht="25.5" hidden="false" customHeight="true" outlineLevel="0" collapsed="false">
      <c r="A1" s="1" t="s">
        <v>744</v>
      </c>
      <c r="B1" s="1"/>
      <c r="C1" s="1"/>
    </row>
    <row r="2" customFormat="false" ht="30" hidden="false" customHeight="true" outlineLevel="0" collapsed="false">
      <c r="A2" s="2" t="s">
        <v>745</v>
      </c>
      <c r="B2" s="2"/>
      <c r="C2" s="2"/>
    </row>
    <row r="4" customFormat="false" ht="15" hidden="false" customHeight="false" outlineLevel="0" collapsed="false">
      <c r="A4" s="4" t="s">
        <v>746</v>
      </c>
      <c r="B4" s="4" t="s">
        <v>747</v>
      </c>
      <c r="C4" s="4" t="s">
        <v>748</v>
      </c>
    </row>
    <row r="5" customFormat="false" ht="30" hidden="false" customHeight="true" outlineLevel="0" collapsed="false">
      <c r="A5" s="5" t="s">
        <v>749</v>
      </c>
      <c r="B5" s="6" t="s">
        <v>750</v>
      </c>
      <c r="C5" s="6" t="s">
        <v>751</v>
      </c>
    </row>
    <row r="6" customFormat="false" ht="30" hidden="false" customHeight="true" outlineLevel="0" collapsed="false">
      <c r="A6" s="5" t="s">
        <v>752</v>
      </c>
      <c r="B6" s="6" t="s">
        <v>753</v>
      </c>
      <c r="C6" s="6" t="s">
        <v>754</v>
      </c>
    </row>
    <row r="7" customFormat="false" ht="30" hidden="false" customHeight="true" outlineLevel="0" collapsed="false">
      <c r="A7" s="5" t="s">
        <v>755</v>
      </c>
      <c r="B7" s="6" t="s">
        <v>756</v>
      </c>
      <c r="C7" s="6" t="s">
        <v>757</v>
      </c>
    </row>
    <row r="8" customFormat="false" ht="30" hidden="false" customHeight="true" outlineLevel="0" collapsed="false">
      <c r="A8" s="5" t="s">
        <v>758</v>
      </c>
      <c r="B8" s="6" t="s">
        <v>759</v>
      </c>
      <c r="C8" s="6" t="s">
        <v>760</v>
      </c>
    </row>
    <row r="9" customFormat="false" ht="30" hidden="false" customHeight="true" outlineLevel="0" collapsed="false">
      <c r="A9" s="5" t="s">
        <v>761</v>
      </c>
      <c r="B9" s="6" t="s">
        <v>762</v>
      </c>
      <c r="C9" s="6" t="s">
        <v>763</v>
      </c>
    </row>
    <row r="10" customFormat="false" ht="30" hidden="false" customHeight="true" outlineLevel="0" collapsed="false">
      <c r="A10" s="5" t="s">
        <v>764</v>
      </c>
      <c r="B10" s="6" t="s">
        <v>765</v>
      </c>
      <c r="C10" s="6" t="s">
        <v>766</v>
      </c>
    </row>
    <row r="11" customFormat="false" ht="30" hidden="false" customHeight="true" outlineLevel="0" collapsed="false">
      <c r="A11" s="5" t="s">
        <v>767</v>
      </c>
      <c r="B11" s="6" t="s">
        <v>768</v>
      </c>
      <c r="C11" s="6" t="s">
        <v>769</v>
      </c>
    </row>
    <row r="12" customFormat="false" ht="30" hidden="false" customHeight="true" outlineLevel="0" collapsed="false">
      <c r="A12" s="5" t="s">
        <v>770</v>
      </c>
      <c r="B12" s="6" t="s">
        <v>771</v>
      </c>
      <c r="C12" s="6" t="s">
        <v>772</v>
      </c>
    </row>
    <row r="13" customFormat="false" ht="30" hidden="false" customHeight="true" outlineLevel="0" collapsed="false">
      <c r="A13" s="5" t="s">
        <v>773</v>
      </c>
      <c r="B13" s="6" t="s">
        <v>774</v>
      </c>
      <c r="C13" s="6" t="s">
        <v>775</v>
      </c>
    </row>
    <row r="14" customFormat="false" ht="30" hidden="false" customHeight="true" outlineLevel="0" collapsed="false">
      <c r="A14" s="5" t="s">
        <v>776</v>
      </c>
      <c r="B14" s="6" t="s">
        <v>777</v>
      </c>
      <c r="C14" s="6" t="s">
        <v>778</v>
      </c>
    </row>
    <row r="15" customFormat="false" ht="30" hidden="false" customHeight="true" outlineLevel="0" collapsed="false">
      <c r="A15" s="5" t="s">
        <v>779</v>
      </c>
      <c r="B15" s="6" t="s">
        <v>780</v>
      </c>
      <c r="C15" s="6" t="s">
        <v>781</v>
      </c>
    </row>
    <row r="17" customFormat="false" ht="15" hidden="false" customHeight="false" outlineLevel="0" collapsed="false">
      <c r="A17" s="3" t="s">
        <v>782</v>
      </c>
      <c r="B17" s="3"/>
      <c r="C17" s="3"/>
    </row>
    <row r="18" customFormat="false" ht="48" hidden="false" customHeight="true" outlineLevel="0" collapsed="false">
      <c r="A18" s="17" t="s">
        <v>783</v>
      </c>
      <c r="B18" s="17"/>
      <c r="C18" s="17"/>
    </row>
  </sheetData>
  <mergeCells count="4">
    <mergeCell ref="A1:C1"/>
    <mergeCell ref="A2:C2"/>
    <mergeCell ref="A17:C17"/>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2026-10-14T16:54:29Z</dcterms:created>
  <dc:creator>openpyxl</dc:creator>
  <dc:description/>
  <dc:language>en-US</dc:language>
  <cp:lastModifiedBy/>
  <dcterms:modified xsi:type="dcterms:W3CDTF">2026-10-14T16:54:29Z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