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ME" sheetId="1" state="visible" r:id="rId3"/>
    <sheet name="Settings" sheetId="2" state="visible" r:id="rId4"/>
    <sheet name="Calendar" sheetId="3" state="visible" r:id="rId5"/>
    <sheet name="Watchlist" sheetId="4" state="visible" r:id="rId6"/>
    <sheet name="BDP_Underlying" sheetId="5" state="visible" r:id="rId7"/>
    <sheet name="BDP_Options" sheetId="6" state="visible" r:id="rId8"/>
    <sheet name="Spreads" sheetId="7" state="visible" r:id="rId9"/>
    <sheet name="Monitor" sheetId="8" state="visible" r:id="rId10"/>
    <sheet name="Position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<sst xmlns="http://schemas.openxmlformats.org/spreadsheetml/2006/main" count="744" uniqueCount="212">
  <si>
    <t xml:space="preserve">BBG OPTIONS MONITOR — rolling 60–120 DTE window, transparent BDP</t>
  </si>
  <si>
    <t xml:space="preserve">WHAT THIS DOES</t>
  </si>
  <si>
    <t xml:space="preserve">Pulls live Bloomberg prices for 10 broad-based ETFs across TWO expirations (third Fridays of +2 and +3 months from today). Computes 4 candidate spreads per ticker (bull-put front, bull-put back, bear-call front, bear-call back) — 40 candidates total. Ranks them by Expected Value ÷ Max Loss. Monitor shows top 3 spreads + 1 UVXY hedge with full sizing and an explicit GO/WAIT signal.</t>
  </si>
  <si>
    <t xml:space="preserve">THE CALENDAR ROLLS AUTOMATICALLY</t>
  </si>
  <si>
    <t xml:space="preserve">The Calendar tab computes the third Fridays of months +1 through +5 from TODAY(). Front_Exp = third Friday of +2 months. Back_Exp = third Friday of +3 months. Every other tab pulls these two dates, so the file always reflects today's 60–120 DTE window. Open it next month and the expirations have shifted forward by one month — no manual edits.</t>
  </si>
  <si>
    <t xml:space="preserve">TABS</t>
  </si>
  <si>
    <t xml:space="preserve">Settings        — All tunables (account size, risk caps, gates).</t>
  </si>
  <si>
    <t xml:space="preserve">Calendar        — Rolling third-Friday dates and DTE windows.</t>
  </si>
  <si>
    <t xml:space="preserve">Watchlist       — 10 tickers + target OTM% per direction. Spot/IVR pulled from BDP.</t>
  </si>
  <si>
    <t xml:space="preserve">BDP_Underlying  — Spot + IV Rank per ticker via =BDP(&lt;ticker cell&gt;, &lt;field cell&gt;).</t>
  </si>
  <si>
    <t xml:space="preserve">BDP_Options     — 80 option contracts (4 legs × 2 expirations × 10 tickers) + 1 UVXY hedge call.</t>
  </si>
  <si>
    <t xml:space="preserve">                  Column G shows the constructed BBG ticker. Row 3 holds field literals.</t>
  </si>
  <si>
    <t xml:space="preserve">Spreads         — 40 candidate spreads (4 per ticker). All math + 7 gates.</t>
  </si>
  <si>
    <t xml:space="preserve">Monitor         — TOP 3 trades + UVXY hedge with sizing and GO/WAIT signal. Read this tab.</t>
  </si>
  <si>
    <t xml:space="preserve">PositionLog     — Log trades you actually open/close.</t>
  </si>
  <si>
    <t xml:space="preserve">HOW TO REFRESH</t>
  </si>
  <si>
    <t xml:space="preserve">Open on a Bloomberg workstation. Press F9 (or Bloomberg menu &gt; Refresh &gt; Refresh Workbook).</t>
  </si>
  <si>
    <t xml:space="preserve">HOW TO FIX A BAD TICKER</t>
  </si>
  <si>
    <t xml:space="preserve">If any BDP cell returns an error: go to BDP_Options, look at column G (the BBG ticker the BDP</t>
  </si>
  <si>
    <t xml:space="preserve">call is hitting). Compare against what you see in the Bloomberg terminal. If it looks wrong,</t>
  </si>
  <si>
    <t xml:space="preserve">the fix is usually in Watchlist (Width or Short_K computation) or in Calendar (date).</t>
  </si>
  <si>
    <t xml:space="preserve">HOW TO CHANGE A BDP FIELD</t>
  </si>
  <si>
    <t xml:space="preserve">Field names live in row 3 of BDP_Options (cells H3..L3) and BDP_Underlying (cells C3..D3).</t>
  </si>
  <si>
    <t xml:space="preserve">Edit those cells to use different Bloomberg mnemonics (e.g., OPT_DELTA_BID instead of DELTA_MID_RT).</t>
  </si>
  <si>
    <t xml:space="preserve">STRATEGY RULES (UBS-compliant)</t>
  </si>
  <si>
    <t xml:space="preserve">•  Broad-based ETFs only. 30-day minimum hold via exit at 60 DTE.</t>
  </si>
  <si>
    <t xml:space="preserve">•  2–4 short-premium spreads per month + 1 UVXY long-call hedge.</t>
  </si>
  <si>
    <t xml:space="preserve">•  Take profit at 50% credit. Cut loser at 2× credit. Mandatory close at 60 DTE.</t>
  </si>
  <si>
    <t xml:space="preserve">•  Don't trade unless IV Rank ≥ 30 AND bid-ask ≤ 10% of mid AND credit/width ≥ 10%.</t>
  </si>
  <si>
    <t xml:space="preserve">•  Sizing = min(equal split of book risk, ¼-Kelly cap on account equity).</t>
  </si>
  <si>
    <t xml:space="preserve">HONEST RISK NOTE</t>
  </si>
  <si>
    <t xml:space="preserve">Credit spreads are not free money. Max loss IS realized in full when it happens. The 'GO' signal means the structural gates pass — it is not a guarantee. This workbook is a screener, not investment advice.</t>
  </si>
  <si>
    <t xml:space="preserve">SETTINGS — edit blue cells</t>
  </si>
  <si>
    <t xml:space="preserve">Account equity ($)</t>
  </si>
  <si>
    <t xml:space="preserve">Used by ¼-Kelly sizing.</t>
  </si>
  <si>
    <t xml:space="preserve">Trades per month target</t>
  </si>
  <si>
    <t xml:space="preserve">2–4 short-premium spreads + 1 hedge.</t>
  </si>
  <si>
    <t xml:space="preserve">Book risk cap ($)</t>
  </si>
  <si>
    <t xml:space="preserve">Total max loss across all open spreads.</t>
  </si>
  <si>
    <t xml:space="preserve">Max book as % of account</t>
  </si>
  <si>
    <t xml:space="preserve">Hard cap on book vs equity.</t>
  </si>
  <si>
    <t xml:space="preserve">Kelly fraction</t>
  </si>
  <si>
    <t xml:space="preserve">¼ Kelly. Don't go above 0.50.</t>
  </si>
  <si>
    <t xml:space="preserve">Min IV Rank to enter</t>
  </si>
  <si>
    <t xml:space="preserve">Don't sell premium when IV is cheap.</t>
  </si>
  <si>
    <t xml:space="preserve">Min credit/width ratio</t>
  </si>
  <si>
    <t xml:space="preserve">Skip thin trades.</t>
  </si>
  <si>
    <t xml:space="preserve">Min credit ($)</t>
  </si>
  <si>
    <t xml:space="preserve">Skip if mid credit below this.</t>
  </si>
  <si>
    <t xml:space="preserve">Max bid-ask % of mid</t>
  </si>
  <si>
    <t xml:space="preserve">Liquidity gate.</t>
  </si>
  <si>
    <t xml:space="preserve">Short-strike |delta| min</t>
  </si>
  <si>
    <t xml:space="preserve">If short delta outside this band, WAIT.</t>
  </si>
  <si>
    <t xml:space="preserve">Short-strike |delta| max</t>
  </si>
  <si>
    <t xml:space="preserve">                                       </t>
  </si>
  <si>
    <t xml:space="preserve">Entry DTE — minimum</t>
  </si>
  <si>
    <t xml:space="preserve">Don't open inside this floor.</t>
  </si>
  <si>
    <t xml:space="preserve">Entry DTE — maximum</t>
  </si>
  <si>
    <t xml:space="preserve">Don't open beyond this cap.</t>
  </si>
  <si>
    <t xml:space="preserve">Mandatory exit DTE</t>
  </si>
  <si>
    <t xml:space="preserve">Hard close (gives the 30-day UBS hold).</t>
  </si>
  <si>
    <t xml:space="preserve">Take-profit (% of credit)</t>
  </si>
  <si>
    <t xml:space="preserve">Close at 50% of credit.</t>
  </si>
  <si>
    <t xml:space="preserve">Stop-loss × credit</t>
  </si>
  <si>
    <t xml:space="preserve">Cut when spread value reaches this × credit.</t>
  </si>
  <si>
    <t xml:space="preserve">Min strike buffer (% of spot)</t>
  </si>
  <si>
    <t xml:space="preserve">Skip if short strike within X% of spot.</t>
  </si>
  <si>
    <t xml:space="preserve">Hedge budget — % of book risk</t>
  </si>
  <si>
    <t xml:space="preserve">Cash for UVXY long calls.</t>
  </si>
  <si>
    <t xml:space="preserve">UVXY OTM %</t>
  </si>
  <si>
    <t xml:space="preserve">UVXY hedge call strike = spot × (1+this).</t>
  </si>
  <si>
    <t xml:space="preserve">Front expiration offset (months)</t>
  </si>
  <si>
    <t xml:space="preserve">Months from today to the FRONT 3rd-Friday.</t>
  </si>
  <si>
    <t xml:space="preserve">Back expiration offset (months)</t>
  </si>
  <si>
    <t xml:space="preserve">Months from today to the BACK 3rd-Friday.</t>
  </si>
  <si>
    <t xml:space="preserve">CALENDAR — third Fridays roll forward automatically from TODAY()</t>
  </si>
  <si>
    <t xml:space="preserve">Label</t>
  </si>
  <si>
    <t xml:space="preserve">Third_Friday</t>
  </si>
  <si>
    <t xml:space="preserve">DTE</t>
  </si>
  <si>
    <t xml:space="preserve">Note</t>
  </si>
  <si>
    <t xml:space="preserve">Today + 1 months → 3rd Fri</t>
  </si>
  <si>
    <t xml:space="preserve">Today + 2 months → 3rd Fri</t>
  </si>
  <si>
    <t xml:space="preserve">Today + 3 months → 3rd Fri</t>
  </si>
  <si>
    <t xml:space="preserve">Today + 4 months → 3rd Fri</t>
  </si>
  <si>
    <t xml:space="preserve">Today + 5 months → 3rd Fri</t>
  </si>
  <si>
    <t xml:space="preserve">SELECTED EXPIRATIONS (used by Watchlist / BDP_Options / Spreads)</t>
  </si>
  <si>
    <t xml:space="preserve">Front_Exp (3rd Fri at +Front_Offset months)</t>
  </si>
  <si>
    <t xml:space="preserve">Back_Exp (3rd Fri at +Back_Offset months)</t>
  </si>
  <si>
    <t xml:space="preserve">WATCHLIST — blue cells are inputs. Spot/IVR from BDP_Underlying. Strikes default to OTM% rounded to the nearest width. Long strikes = Short ± Width.</t>
  </si>
  <si>
    <t xml:space="preserve">Underlying</t>
  </si>
  <si>
    <t xml:space="preserve">BBG_Ticker</t>
  </si>
  <si>
    <t xml:space="preserve">Spot</t>
  </si>
  <si>
    <t xml:space="preserve">IV_Rank</t>
  </si>
  <si>
    <t xml:space="preserve">Width</t>
  </si>
  <si>
    <t xml:space="preserve">BP_Short_K</t>
  </si>
  <si>
    <t xml:space="preserve">BC_Short_K</t>
  </si>
  <si>
    <t xml:space="preserve">BP_Long_K (auto)</t>
  </si>
  <si>
    <t xml:space="preserve">BC_Long_K (auto)</t>
  </si>
  <si>
    <t xml:space="preserve">SPY</t>
  </si>
  <si>
    <t xml:space="preserve">SPY US Equity</t>
  </si>
  <si>
    <t xml:space="preserve">IWM</t>
  </si>
  <si>
    <t xml:space="preserve">IWM US Equity</t>
  </si>
  <si>
    <t xml:space="preserve">QQQ</t>
  </si>
  <si>
    <t xml:space="preserve">QQQ US Equity</t>
  </si>
  <si>
    <t xml:space="preserve">GLD</t>
  </si>
  <si>
    <t xml:space="preserve">GLD US Equity</t>
  </si>
  <si>
    <t xml:space="preserve">GDX</t>
  </si>
  <si>
    <t xml:space="preserve">GDX US Equity</t>
  </si>
  <si>
    <t xml:space="preserve">TLT</t>
  </si>
  <si>
    <t xml:space="preserve">TLT US Equity</t>
  </si>
  <si>
    <t xml:space="preserve">EEM</t>
  </si>
  <si>
    <t xml:space="preserve">EEM US Equity</t>
  </si>
  <si>
    <t xml:space="preserve">EWZ</t>
  </si>
  <si>
    <t xml:space="preserve">EWZ US Equity</t>
  </si>
  <si>
    <t xml:space="preserve">XLF</t>
  </si>
  <si>
    <t xml:space="preserve">XLF US Equity</t>
  </si>
  <si>
    <t xml:space="preserve">XLE</t>
  </si>
  <si>
    <t xml:space="preserve">XLE US Equity</t>
  </si>
  <si>
    <t xml:space="preserve">BDP_UNDERLYING — every value cell is =BDP(&lt;ticker&gt;, &lt;field&gt;). Field names live in row 3. To change a field, edit C3 or D3.</t>
  </si>
  <si>
    <t xml:space="preserve">↓ edit these cells if you need a different mnemonic</t>
  </si>
  <si>
    <t xml:space="preserve">PX_LAST</t>
  </si>
  <si>
    <t xml:space="preserve">IVOL_RANK</t>
  </si>
  <si>
    <t xml:space="preserve">Spot_value</t>
  </si>
  <si>
    <t xml:space="preserve">IVR_value</t>
  </si>
  <si>
    <t xml:space="preserve">UVXY</t>
  </si>
  <si>
    <t xml:space="preserve">UVXY US Equity</t>
  </si>
  <si>
    <t xml:space="preserve">BDP_OPTIONS — 80 contracts (4 legs × 2 expirations × 10 tickers) + 1 UVXY hedge call. Column H shows the BBG ticker being queried. Row 3 holds the field names — edit those if needed.</t>
  </si>
  <si>
    <t xml:space="preserve">↓ field names — BDP uses these. Edit if you prefer different mnemonics.</t>
  </si>
  <si>
    <t xml:space="preserve">Expiration_Label</t>
  </si>
  <si>
    <t xml:space="preserve">Strategy</t>
  </si>
  <si>
    <t xml:space="preserve">Leg</t>
  </si>
  <si>
    <t xml:space="preserve">Type</t>
  </si>
  <si>
    <t xml:space="preserve">Strike</t>
  </si>
  <si>
    <t xml:space="preserve">Expiration</t>
  </si>
  <si>
    <t xml:space="preserve">BBG_Option_Ticker</t>
  </si>
  <si>
    <t xml:space="preserve">BID</t>
  </si>
  <si>
    <t xml:space="preserve">ASK</t>
  </si>
  <si>
    <t xml:space="preserve">IVOL_MID</t>
  </si>
  <si>
    <t xml:space="preserve">DELTA_MID_RT</t>
  </si>
  <si>
    <t xml:space="preserve">Front</t>
  </si>
  <si>
    <t xml:space="preserve">BullPut</t>
  </si>
  <si>
    <t xml:space="preserve">Short</t>
  </si>
  <si>
    <t xml:space="preserve">P</t>
  </si>
  <si>
    <t xml:space="preserve">Long</t>
  </si>
  <si>
    <t xml:space="preserve">BearCall</t>
  </si>
  <si>
    <t xml:space="preserve">C</t>
  </si>
  <si>
    <t xml:space="preserve">Back</t>
  </si>
  <si>
    <t xml:space="preserve">Hedge</t>
  </si>
  <si>
    <t xml:space="preserve">SPREADS — 40 candidates. Each row is one (underlying, expiration, strategy). Gates flag what's failing.</t>
  </si>
  <si>
    <t xml:space="preserve">Exp_Label</t>
  </si>
  <si>
    <t xml:space="preserve">IVR</t>
  </si>
  <si>
    <t xml:space="preserve">Short_K</t>
  </si>
  <si>
    <t xml:space="preserve">Long_K</t>
  </si>
  <si>
    <t xml:space="preserve">Short_Bid</t>
  </si>
  <si>
    <t xml:space="preserve">Short_Ask</t>
  </si>
  <si>
    <t xml:space="preserve">Short_Mid</t>
  </si>
  <si>
    <t xml:space="preserve">Short_IV</t>
  </si>
  <si>
    <t xml:space="preserve">Short_Delta</t>
  </si>
  <si>
    <t xml:space="preserve">Long_Bid</t>
  </si>
  <si>
    <t xml:space="preserve">Long_Ask</t>
  </si>
  <si>
    <t xml:space="preserve">Long_Mid</t>
  </si>
  <si>
    <t xml:space="preserve">Long_IV</t>
  </si>
  <si>
    <t xml:space="preserve">Long_Delta</t>
  </si>
  <si>
    <t xml:space="preserve">Credit</t>
  </si>
  <si>
    <t xml:space="preserve">MaxLoss</t>
  </si>
  <si>
    <t xml:space="preserve">Credit/Width</t>
  </si>
  <si>
    <t xml:space="preserve">BidAsk%</t>
  </si>
  <si>
    <t xml:space="preserve">BufferPct</t>
  </si>
  <si>
    <t xml:space="preserve">POP</t>
  </si>
  <si>
    <t xml:space="preserve">EV</t>
  </si>
  <si>
    <t xml:space="preserve">EV/MaxLoss</t>
  </si>
  <si>
    <t xml:space="preserve">Gate_DTE</t>
  </si>
  <si>
    <t xml:space="preserve">Gate_Delta</t>
  </si>
  <si>
    <t xml:space="preserve">Gate_IVR</t>
  </si>
  <si>
    <t xml:space="preserve">Gate_Credit</t>
  </si>
  <si>
    <t xml:space="preserve">Gate_CW</t>
  </si>
  <si>
    <t xml:space="preserve">Gate_Liq</t>
  </si>
  <si>
    <t xml:space="preserve">Gate_Buffer</t>
  </si>
  <si>
    <t xml:space="preserve">EntrySignal</t>
  </si>
  <si>
    <t xml:space="preserve">Score</t>
  </si>
  <si>
    <t xml:space="preserve">TRADING RECOMMENDATIONS — refresh BBG (F9), then read top-to-bottom</t>
  </si>
  <si>
    <t xml:space="preserve">As of:</t>
  </si>
  <si>
    <t xml:space="preserve">Action:</t>
  </si>
  <si>
    <t xml:space="preserve">Short leg:</t>
  </si>
  <si>
    <t xml:space="preserve">Long leg:</t>
  </si>
  <si>
    <t xml:space="preserve">How many:</t>
  </si>
  <si>
    <t xml:space="preserve">Credit (premium IN):</t>
  </si>
  <si>
    <t xml:space="preserve">Max loss if wrong:</t>
  </si>
  <si>
    <t xml:space="preserve">Take profit at:</t>
  </si>
  <si>
    <t xml:space="preserve">Cut loss at:</t>
  </si>
  <si>
    <t xml:space="preserve">Return per unit of risk:</t>
  </si>
  <si>
    <t xml:space="preserve">Why:</t>
  </si>
  <si>
    <t xml:space="preserve">Total cost:</t>
  </si>
  <si>
    <t xml:space="preserve">Purpose:</t>
  </si>
  <si>
    <t xml:space="preserve">THE WHOLE BOOK (top 3 spreads + hedge combined)</t>
  </si>
  <si>
    <t xml:space="preserve">If you open all 3 spreads:</t>
  </si>
  <si>
    <t xml:space="preserve">If all 3 hit 50% TP:</t>
  </si>
  <si>
    <t xml:space="preserve">After paying for hedge:</t>
  </si>
  <si>
    <t xml:space="preserve">Book risk used:</t>
  </si>
  <si>
    <t xml:space="preserve">% of account at risk:</t>
  </si>
  <si>
    <t xml:space="preserve">POSITION LOG — Status: Open / Closed. Track your real trades here.</t>
  </si>
  <si>
    <t xml:space="preserve">Open_Date</t>
  </si>
  <si>
    <t xml:space="preserve">Ticker</t>
  </si>
  <si>
    <t xml:space="preserve">Contracts</t>
  </si>
  <si>
    <t xml:space="preserve">Credit_per</t>
  </si>
  <si>
    <t xml:space="preserve">Total_Credit</t>
  </si>
  <si>
    <t xml:space="preserve">Max_Loss_per</t>
  </si>
  <si>
    <t xml:space="preserve">Total_MaxLoss</t>
  </si>
  <si>
    <t xml:space="preserve">Status</t>
  </si>
  <si>
    <t xml:space="preserve">Close_Date</t>
  </si>
  <si>
    <t xml:space="preserve">Realized_PnL</t>
  </si>
  <si>
    <t xml:space="preserve">Notes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</si>
</sst>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"/>
    <numFmt numFmtId="166" formatCode="0"/>
    <numFmt numFmtId="167" formatCode="0%"/>
    <numFmt numFmtId="168" formatCode="0.00"/>
    <numFmt numFmtId="169" formatCode="\$0.00"/>
    <numFmt numFmtId="170" formatCode="0.0"/>
    <numFmt numFmtId="171" formatCode="m/d/yyyy\ ddd"/>
    <numFmt numFmtId="172" formatCode="\$#,##0.00"/>
    <numFmt numFmtId="173" formatCode="\$0"/>
    <numFmt numFmtId="174" formatCode="m/d/yyyy"/>
    <numFmt numFmtId="175" formatCode="0.0%"/>
    <numFmt numFmtId="176" formatCode="0.000"/>
    <numFmt numFmtId="177" formatCode="dddd&quot;, &quot;mmm\ d&quot;, &quot;yyyy"/>
    <numFmt numFmtId="178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Calibr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5"/>
  </cols>
  <sheetData>
    <row r="1" customFormat="false" ht="21.75" hidden="false" customHeight="true" outlineLevel="0" collapsed="false">
      <c r="A1" s="1" t="s">
        <v>0</v>
      </c>
    </row>
    <row r="2" customFormat="false" ht="18" hidden="false" customHeight="true" outlineLevel="0" collapsed="false">
      <c r="A2" s="2"/>
    </row>
    <row r="3" customFormat="false" ht="21.75" hidden="false" customHeight="true" outlineLevel="0" collapsed="false">
      <c r="A3" s="3" t="s">
        <v>1</v>
      </c>
    </row>
    <row r="4" customFormat="false" ht="18" hidden="false" customHeight="true" outlineLevel="0" collapsed="false">
      <c r="A4" s="2" t="s">
        <v>2</v>
      </c>
    </row>
    <row r="5" customFormat="false" ht="18" hidden="false" customHeight="true" outlineLevel="0" collapsed="false">
      <c r="A5" s="2"/>
    </row>
    <row r="6" customFormat="false" ht="21.75" hidden="false" customHeight="true" outlineLevel="0" collapsed="false">
      <c r="A6" s="3" t="s">
        <v>3</v>
      </c>
    </row>
    <row r="7" customFormat="false" ht="18" hidden="false" customHeight="true" outlineLevel="0" collapsed="false">
      <c r="A7" s="2" t="s">
        <v>4</v>
      </c>
    </row>
    <row r="8" customFormat="false" ht="18" hidden="false" customHeight="true" outlineLevel="0" collapsed="false">
      <c r="A8" s="2"/>
    </row>
    <row r="9" customFormat="false" ht="21.75" hidden="false" customHeight="true" outlineLevel="0" collapsed="false">
      <c r="A9" s="3" t="s">
        <v>5</v>
      </c>
    </row>
    <row r="10" customFormat="false" ht="18" hidden="false" customHeight="true" outlineLevel="0" collapsed="false">
      <c r="A10" s="2" t="s">
        <v>6</v>
      </c>
    </row>
    <row r="11" customFormat="false" ht="18" hidden="false" customHeight="true" outlineLevel="0" collapsed="false">
      <c r="A11" s="2" t="s">
        <v>7</v>
      </c>
    </row>
    <row r="12" customFormat="false" ht="18" hidden="false" customHeight="true" outlineLevel="0" collapsed="false">
      <c r="A12" s="2" t="s">
        <v>8</v>
      </c>
    </row>
    <row r="13" customFormat="false" ht="18" hidden="false" customHeight="true" outlineLevel="0" collapsed="false">
      <c r="A13" s="2" t="s">
        <v>9</v>
      </c>
    </row>
    <row r="14" customFormat="false" ht="18" hidden="false" customHeight="true" outlineLevel="0" collapsed="false">
      <c r="A14" s="2" t="s">
        <v>10</v>
      </c>
    </row>
    <row r="15" customFormat="false" ht="18" hidden="false" customHeight="true" outlineLevel="0" collapsed="false">
      <c r="A15" s="2" t="s">
        <v>11</v>
      </c>
    </row>
    <row r="16" customFormat="false" ht="18" hidden="false" customHeight="true" outlineLevel="0" collapsed="false">
      <c r="A16" s="2" t="s">
        <v>12</v>
      </c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14</v>
      </c>
    </row>
    <row r="19" customFormat="false" ht="18" hidden="false" customHeight="true" outlineLevel="0" collapsed="false">
      <c r="A19" s="2"/>
    </row>
    <row r="20" customFormat="false" ht="21.75" hidden="false" customHeight="true" outlineLevel="0" collapsed="false">
      <c r="A20" s="3" t="s">
        <v>15</v>
      </c>
    </row>
    <row r="21" customFormat="false" ht="18" hidden="false" customHeight="true" outlineLevel="0" collapsed="false">
      <c r="A21" s="2" t="s">
        <v>16</v>
      </c>
    </row>
    <row r="22" customFormat="false" ht="18" hidden="false" customHeight="true" outlineLevel="0" collapsed="false">
      <c r="A22" s="2"/>
    </row>
    <row r="23" customFormat="false" ht="21.75" hidden="false" customHeight="true" outlineLevel="0" collapsed="false">
      <c r="A23" s="3" t="s">
        <v>17</v>
      </c>
    </row>
    <row r="24" customFormat="false" ht="18" hidden="false" customHeight="true" outlineLevel="0" collapsed="false">
      <c r="A24" s="2" t="s">
        <v>18</v>
      </c>
    </row>
    <row r="25" customFormat="false" ht="18" hidden="false" customHeight="true" outlineLevel="0" collapsed="false">
      <c r="A25" s="2" t="s">
        <v>19</v>
      </c>
    </row>
    <row r="26" customFormat="false" ht="18" hidden="false" customHeight="true" outlineLevel="0" collapsed="false">
      <c r="A26" s="2" t="s">
        <v>20</v>
      </c>
    </row>
    <row r="27" customFormat="false" ht="18" hidden="false" customHeight="true" outlineLevel="0" collapsed="false">
      <c r="A27" s="2"/>
    </row>
    <row r="28" customFormat="false" ht="21.75" hidden="false" customHeight="true" outlineLevel="0" collapsed="false">
      <c r="A28" s="3" t="s">
        <v>21</v>
      </c>
    </row>
    <row r="29" customFormat="false" ht="18" hidden="false" customHeight="true" outlineLevel="0" collapsed="false">
      <c r="A29" s="2" t="s">
        <v>22</v>
      </c>
    </row>
    <row r="30" customFormat="false" ht="18" hidden="false" customHeight="true" outlineLevel="0" collapsed="false">
      <c r="A30" s="2" t="s">
        <v>23</v>
      </c>
    </row>
    <row r="31" customFormat="false" ht="18" hidden="false" customHeight="true" outlineLevel="0" collapsed="false">
      <c r="A31" s="2"/>
    </row>
    <row r="32" customFormat="false" ht="21.75" hidden="false" customHeight="true" outlineLevel="0" collapsed="false">
      <c r="A32" s="3" t="s">
        <v>24</v>
      </c>
    </row>
    <row r="33" customFormat="false" ht="18" hidden="false" customHeight="true" outlineLevel="0" collapsed="false">
      <c r="A33" s="2" t="s">
        <v>25</v>
      </c>
    </row>
    <row r="34" customFormat="false" ht="18" hidden="false" customHeight="true" outlineLevel="0" collapsed="false">
      <c r="A34" s="2" t="s">
        <v>26</v>
      </c>
    </row>
    <row r="35" customFormat="false" ht="18" hidden="false" customHeight="true" outlineLevel="0" collapsed="false">
      <c r="A35" s="2" t="s">
        <v>27</v>
      </c>
    </row>
    <row r="36" customFormat="false" ht="18" hidden="false" customHeight="true" outlineLevel="0" collapsed="false">
      <c r="A36" s="2" t="s">
        <v>28</v>
      </c>
    </row>
    <row r="37" customFormat="false" ht="18" hidden="false" customHeight="true" outlineLevel="0" collapsed="false">
      <c r="A37" s="2" t="s">
        <v>29</v>
      </c>
    </row>
    <row r="38" customFormat="false" ht="18" hidden="false" customHeight="true" outlineLevel="0" collapsed="false">
      <c r="A38" s="2"/>
    </row>
    <row r="39" customFormat="false" ht="21.75" hidden="false" customHeight="true" outlineLevel="0" collapsed="false">
      <c r="A39" s="4" t="s">
        <v>30</v>
      </c>
    </row>
    <row r="40" customFormat="false" ht="18" hidden="false" customHeight="true" outlineLevel="0" collapsed="false">
      <c r="A40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true" outlineLevel="0" collapsed="false">
      <c r="A1" s="5" t="s">
        <v>32</v>
      </c>
      <c r="B1" s="5"/>
      <c r="C1" s="5"/>
    </row>
    <row r="3" customFormat="false" ht="15" hidden="false" customHeight="false" outlineLevel="0" collapsed="false">
      <c r="A3" s="6" t="s">
        <v>33</v>
      </c>
      <c r="B3" s="7" t="n">
        <v>50000</v>
      </c>
      <c r="C3" s="8" t="s">
        <v>34</v>
      </c>
    </row>
    <row r="4" customFormat="false" ht="15" hidden="false" customHeight="false" outlineLevel="0" collapsed="false">
      <c r="A4" s="6" t="s">
        <v>35</v>
      </c>
      <c r="B4" s="9" t="n">
        <v>3</v>
      </c>
      <c r="C4" s="8" t="s">
        <v>36</v>
      </c>
    </row>
    <row r="5" customFormat="false" ht="15" hidden="false" customHeight="false" outlineLevel="0" collapsed="false">
      <c r="A5" s="6" t="s">
        <v>37</v>
      </c>
      <c r="B5" s="7" t="n">
        <v>5500</v>
      </c>
      <c r="C5" s="8" t="s">
        <v>38</v>
      </c>
    </row>
    <row r="6" customFormat="false" ht="15" hidden="false" customHeight="false" outlineLevel="0" collapsed="false">
      <c r="A6" s="6" t="s">
        <v>39</v>
      </c>
      <c r="B6" s="10" t="n">
        <v>0.12</v>
      </c>
      <c r="C6" s="8" t="s">
        <v>40</v>
      </c>
    </row>
    <row r="7" customFormat="false" ht="15" hidden="false" customHeight="false" outlineLevel="0" collapsed="false">
      <c r="A7" s="6" t="s">
        <v>41</v>
      </c>
      <c r="B7" s="11" t="n">
        <v>0.25</v>
      </c>
      <c r="C7" s="8" t="s">
        <v>42</v>
      </c>
    </row>
    <row r="8" customFormat="false" ht="15" hidden="false" customHeight="false" outlineLevel="0" collapsed="false">
      <c r="A8" s="6" t="s">
        <v>43</v>
      </c>
      <c r="B8" s="9" t="n">
        <v>30</v>
      </c>
      <c r="C8" s="8" t="s">
        <v>44</v>
      </c>
    </row>
    <row r="9" customFormat="false" ht="15" hidden="false" customHeight="false" outlineLevel="0" collapsed="false">
      <c r="A9" s="6" t="s">
        <v>45</v>
      </c>
      <c r="B9" s="10" t="n">
        <v>0.1</v>
      </c>
      <c r="C9" s="8" t="s">
        <v>46</v>
      </c>
    </row>
    <row r="10" customFormat="false" ht="15" hidden="false" customHeight="false" outlineLevel="0" collapsed="false">
      <c r="A10" s="6" t="s">
        <v>47</v>
      </c>
      <c r="B10" s="12" t="n">
        <v>0.3</v>
      </c>
      <c r="C10" s="8" t="s">
        <v>48</v>
      </c>
    </row>
    <row r="11" customFormat="false" ht="15" hidden="false" customHeight="false" outlineLevel="0" collapsed="false">
      <c r="A11" s="6" t="s">
        <v>49</v>
      </c>
      <c r="B11" s="10" t="n">
        <v>0.1</v>
      </c>
      <c r="C11" s="8" t="s">
        <v>50</v>
      </c>
    </row>
    <row r="12" customFormat="false" ht="15" hidden="false" customHeight="false" outlineLevel="0" collapsed="false">
      <c r="A12" s="6" t="s">
        <v>51</v>
      </c>
      <c r="B12" s="11" t="n">
        <v>0.15</v>
      </c>
      <c r="C12" s="8" t="s">
        <v>52</v>
      </c>
    </row>
    <row r="13" customFormat="false" ht="15" hidden="false" customHeight="false" outlineLevel="0" collapsed="false">
      <c r="A13" s="6" t="s">
        <v>53</v>
      </c>
      <c r="B13" s="11" t="n">
        <v>0.25</v>
      </c>
      <c r="C13" s="8" t="s">
        <v>54</v>
      </c>
    </row>
    <row r="14" customFormat="false" ht="15" hidden="false" customHeight="false" outlineLevel="0" collapsed="false">
      <c r="A14" s="6" t="s">
        <v>55</v>
      </c>
      <c r="B14" s="9" t="n">
        <v>60</v>
      </c>
      <c r="C14" s="8" t="s">
        <v>56</v>
      </c>
    </row>
    <row r="15" customFormat="false" ht="15" hidden="false" customHeight="false" outlineLevel="0" collapsed="false">
      <c r="A15" s="6" t="s">
        <v>57</v>
      </c>
      <c r="B15" s="9" t="n">
        <v>120</v>
      </c>
      <c r="C15" s="8" t="s">
        <v>58</v>
      </c>
    </row>
    <row r="16" customFormat="false" ht="15" hidden="false" customHeight="false" outlineLevel="0" collapsed="false">
      <c r="A16" s="6" t="s">
        <v>59</v>
      </c>
      <c r="B16" s="9" t="n">
        <v>60</v>
      </c>
      <c r="C16" s="8" t="s">
        <v>60</v>
      </c>
    </row>
    <row r="17" customFormat="false" ht="15" hidden="false" customHeight="false" outlineLevel="0" collapsed="false">
      <c r="A17" s="6" t="s">
        <v>61</v>
      </c>
      <c r="B17" s="10" t="n">
        <v>0.5</v>
      </c>
      <c r="C17" s="8" t="s">
        <v>62</v>
      </c>
    </row>
    <row r="18" customFormat="false" ht="15" hidden="false" customHeight="false" outlineLevel="0" collapsed="false">
      <c r="A18" s="6" t="s">
        <v>63</v>
      </c>
      <c r="B18" s="13" t="n">
        <v>2</v>
      </c>
      <c r="C18" s="8" t="s">
        <v>64</v>
      </c>
    </row>
    <row r="19" customFormat="false" ht="15" hidden="false" customHeight="false" outlineLevel="0" collapsed="false">
      <c r="A19" s="6" t="s">
        <v>65</v>
      </c>
      <c r="B19" s="10" t="n">
        <v>0.03</v>
      </c>
      <c r="C19" s="8" t="s">
        <v>66</v>
      </c>
    </row>
    <row r="20" customFormat="false" ht="15" hidden="false" customHeight="false" outlineLevel="0" collapsed="false">
      <c r="A20" s="6" t="s">
        <v>67</v>
      </c>
      <c r="B20" s="10" t="n">
        <v>0.08</v>
      </c>
      <c r="C20" s="8" t="s">
        <v>68</v>
      </c>
    </row>
    <row r="21" customFormat="false" ht="15" hidden="false" customHeight="false" outlineLevel="0" collapsed="false">
      <c r="A21" s="6" t="s">
        <v>69</v>
      </c>
      <c r="B21" s="10" t="n">
        <v>0.3</v>
      </c>
      <c r="C21" s="8" t="s">
        <v>70</v>
      </c>
    </row>
    <row r="22" customFormat="false" ht="15" hidden="false" customHeight="false" outlineLevel="0" collapsed="false">
      <c r="A22" s="6" t="s">
        <v>71</v>
      </c>
      <c r="B22" s="9" t="n">
        <v>2</v>
      </c>
      <c r="C22" s="8" t="s">
        <v>72</v>
      </c>
    </row>
    <row r="23" customFormat="false" ht="15" hidden="false" customHeight="false" outlineLevel="0" collapsed="false">
      <c r="A23" s="6" t="s">
        <v>73</v>
      </c>
      <c r="B23" s="9" t="n">
        <v>3</v>
      </c>
      <c r="C23" s="8" t="s">
        <v>74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22"/>
  </cols>
  <sheetData>
    <row r="1" customFormat="false" ht="15" hidden="false" customHeight="true" outlineLevel="0" collapsed="false">
      <c r="A1" s="5" t="s">
        <v>75</v>
      </c>
      <c r="B1" s="5"/>
      <c r="C1" s="5"/>
      <c r="D1" s="5"/>
    </row>
    <row r="3" customFormat="false" ht="15" hidden="false" customHeight="false" outlineLevel="0" collapsed="false">
      <c r="A3" s="14" t="s">
        <v>76</v>
      </c>
      <c r="B3" s="14" t="s">
        <v>77</v>
      </c>
      <c r="C3" s="14" t="s">
        <v>78</v>
      </c>
      <c r="D3" s="14" t="s">
        <v>79</v>
      </c>
    </row>
    <row r="4" customFormat="false" ht="23.85" hidden="false" customHeight="false" outlineLevel="0" collapsed="false">
      <c r="A4" s="15" t="s">
        <v>80</v>
      </c>
      <c r="B4" s="16" t="n">
        <f aca="true">DATE(YEAR(EDATE(TODAY(),1)),MONTH(EDATE(TODAY(),1)),1)+MOD(5-WEEKDAY(DATE(YEAR(EDATE(TODAY(),1)),MONTH(EDATE(TODAY(),1)),1),2)+7,7)+14</f>
        <v>46192</v>
      </c>
      <c r="C4" s="17" t="n">
        <f aca="true">B4-TODAY()</f>
        <v>39</v>
      </c>
      <c r="D4" s="18" t="str">
        <f aca="false">IF(AND(C4&gt;=Settings!$B$14,C4&lt;=Settings!$B$15),"in 60-120 window","outside window")</f>
        <v>outside window</v>
      </c>
    </row>
    <row r="5" customFormat="false" ht="23.85" hidden="false" customHeight="false" outlineLevel="0" collapsed="false">
      <c r="A5" s="15" t="s">
        <v>81</v>
      </c>
      <c r="B5" s="16" t="n">
        <f aca="true">DATE(YEAR(EDATE(TODAY(),2)),MONTH(EDATE(TODAY(),2)),1)+MOD(5-WEEKDAY(DATE(YEAR(EDATE(TODAY(),2)),MONTH(EDATE(TODAY(),2)),1),2)+7,7)+14</f>
        <v>46220</v>
      </c>
      <c r="C5" s="17" t="n">
        <f aca="true">B5-TODAY()</f>
        <v>67</v>
      </c>
      <c r="D5" s="18" t="str">
        <f aca="false">IF(AND(C5&gt;=Settings!$B$14,C5&lt;=Settings!$B$15),"in 60-120 window","outside window")</f>
        <v>in 60-120 window</v>
      </c>
    </row>
    <row r="6" customFormat="false" ht="23.85" hidden="false" customHeight="false" outlineLevel="0" collapsed="false">
      <c r="A6" s="15" t="s">
        <v>82</v>
      </c>
      <c r="B6" s="16" t="n">
        <f aca="true">DATE(YEAR(EDATE(TODAY(),3)),MONTH(EDATE(TODAY(),3)),1)+MOD(5-WEEKDAY(DATE(YEAR(EDATE(TODAY(),3)),MONTH(EDATE(TODAY(),3)),1),2)+7,7)+14</f>
        <v>46255</v>
      </c>
      <c r="C6" s="17" t="n">
        <f aca="true">B6-TODAY()</f>
        <v>102</v>
      </c>
      <c r="D6" s="18" t="str">
        <f aca="false">IF(AND(C6&gt;=Settings!$B$14,C6&lt;=Settings!$B$15),"in 60-120 window","outside window")</f>
        <v>in 60-120 window</v>
      </c>
    </row>
    <row r="7" customFormat="false" ht="23.85" hidden="false" customHeight="false" outlineLevel="0" collapsed="false">
      <c r="A7" s="15" t="s">
        <v>83</v>
      </c>
      <c r="B7" s="16" t="n">
        <f aca="true">DATE(YEAR(EDATE(TODAY(),4)),MONTH(EDATE(TODAY(),4)),1)+MOD(5-WEEKDAY(DATE(YEAR(EDATE(TODAY(),4)),MONTH(EDATE(TODAY(),4)),1),2)+7,7)+14</f>
        <v>46283</v>
      </c>
      <c r="C7" s="17" t="n">
        <f aca="true">B7-TODAY()</f>
        <v>130</v>
      </c>
      <c r="D7" s="18" t="str">
        <f aca="false">IF(AND(C7&gt;=Settings!$B$14,C7&lt;=Settings!$B$15),"in 60-120 window","outside window")</f>
        <v>outside window</v>
      </c>
    </row>
    <row r="8" customFormat="false" ht="23.85" hidden="false" customHeight="false" outlineLevel="0" collapsed="false">
      <c r="A8" s="15" t="s">
        <v>84</v>
      </c>
      <c r="B8" s="16" t="n">
        <f aca="true">DATE(YEAR(EDATE(TODAY(),5)),MONTH(EDATE(TODAY(),5)),1)+MOD(5-WEEKDAY(DATE(YEAR(EDATE(TODAY(),5)),MONTH(EDATE(TODAY(),5)),1),2)+7,7)+14</f>
        <v>46311</v>
      </c>
      <c r="C8" s="17" t="n">
        <f aca="true">B8-TODAY()</f>
        <v>158</v>
      </c>
      <c r="D8" s="18" t="str">
        <f aca="false">IF(AND(C8&gt;=Settings!$B$14,C8&lt;=Settings!$B$15),"in 60-120 window","outside window")</f>
        <v>outside window</v>
      </c>
    </row>
    <row r="10" customFormat="false" ht="15" hidden="false" customHeight="true" outlineLevel="0" collapsed="false">
      <c r="A10" s="5" t="s">
        <v>85</v>
      </c>
      <c r="B10" s="5"/>
      <c r="C10" s="5"/>
      <c r="D10" s="5"/>
    </row>
    <row r="11" customFormat="false" ht="23.85" hidden="false" customHeight="false" outlineLevel="0" collapsed="false">
      <c r="A11" s="15" t="s">
        <v>86</v>
      </c>
      <c r="B11" s="16" t="n">
        <f aca="true">DATE(YEAR(EDATE(TODAY(),Settings!$B$22)),MONTH(EDATE(TODAY(),Settings!$B$22)),1)+MOD(5-WEEKDAY(DATE(YEAR(EDATE(TODAY(),Settings!$B$22)),MONTH(EDATE(TODAY(),Settings!$B$22)),1),2)+7,7)+14</f>
        <v>46220</v>
      </c>
      <c r="C11" s="17" t="n">
        <f aca="true">B11-TODAY()</f>
        <v>67</v>
      </c>
    </row>
    <row r="12" customFormat="false" ht="23.85" hidden="false" customHeight="false" outlineLevel="0" collapsed="false">
      <c r="A12" s="15" t="s">
        <v>87</v>
      </c>
      <c r="B12" s="16" t="n">
        <f aca="true">DATE(YEAR(EDATE(TODAY(),Settings!$B$23)),MONTH(EDATE(TODAY(),Settings!$B$23)),1)+MOD(5-WEEKDAY(DATE(YEAR(EDATE(TODAY(),Settings!$B$23)),MONTH(EDATE(TODAY(),Settings!$B$23)),1),2)+7,7)+14</f>
        <v>46255</v>
      </c>
      <c r="C12" s="17" t="n">
        <f aca="true">B12-TODAY()</f>
        <v>102</v>
      </c>
    </row>
  </sheetData>
  <mergeCells count="2">
    <mergeCell ref="A1:D1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7" min="6" style="0" width="12"/>
    <col collapsed="false" customWidth="true" hidden="false" outlineLevel="0" max="9" min="8" style="0" width="14"/>
  </cols>
  <sheetData>
    <row r="1" customFormat="false" ht="23.85" hidden="false" customHeight="true" outlineLevel="0" collapsed="false">
      <c r="A1" s="5" t="s">
        <v>88</v>
      </c>
      <c r="B1" s="5"/>
      <c r="C1" s="5"/>
      <c r="D1" s="5"/>
      <c r="E1" s="5"/>
      <c r="F1" s="5"/>
      <c r="G1" s="5"/>
      <c r="H1" s="5"/>
      <c r="I1" s="5"/>
    </row>
    <row r="3" customFormat="false" ht="23.85" hidden="false" customHeight="false" outlineLevel="0" collapsed="false">
      <c r="A3" s="14" t="s">
        <v>89</v>
      </c>
      <c r="B3" s="14" t="s">
        <v>90</v>
      </c>
      <c r="C3" s="14" t="s">
        <v>91</v>
      </c>
      <c r="D3" s="14" t="s">
        <v>92</v>
      </c>
      <c r="E3" s="14" t="s">
        <v>93</v>
      </c>
      <c r="F3" s="14" t="s">
        <v>94</v>
      </c>
      <c r="G3" s="14" t="s">
        <v>95</v>
      </c>
      <c r="H3" s="14" t="s">
        <v>96</v>
      </c>
      <c r="I3" s="14" t="s">
        <v>97</v>
      </c>
    </row>
    <row r="4" customFormat="false" ht="15" hidden="false" customHeight="false" outlineLevel="0" collapsed="false">
      <c r="A4" s="19" t="s">
        <v>98</v>
      </c>
      <c r="B4" s="19" t="s">
        <v>99</v>
      </c>
      <c r="C4" s="20" t="n">
        <f aca="false">IFERROR(VLOOKUP(A4,BDP_Underlying!$A$4:$F$30,5,FALSE()),0)</f>
        <v>0</v>
      </c>
      <c r="D4" s="17" t="n">
        <f aca="false">IFERROR(VLOOKUP(A4,BDP_Underlying!$A$4:$F$30,6,FALSE()),0)</f>
        <v>0</v>
      </c>
      <c r="E4" s="21" t="n">
        <v>5</v>
      </c>
      <c r="F4" s="22" t="n">
        <f aca="false">IF(C4=0,0,FLOOR(C4*(1-0.05)/E4,1)*E4)</f>
        <v>0</v>
      </c>
      <c r="G4" s="22" t="n">
        <f aca="false">IF(C4=0,0,CEILING(C4*(1+0.05)/E4,1)*E4)</f>
        <v>0</v>
      </c>
      <c r="H4" s="20" t="n">
        <f aca="false">F4-E4</f>
        <v>-5</v>
      </c>
      <c r="I4" s="20" t="n">
        <f aca="false">G4+E4</f>
        <v>5</v>
      </c>
    </row>
    <row r="5" customFormat="false" ht="15" hidden="false" customHeight="false" outlineLevel="0" collapsed="false">
      <c r="A5" s="19" t="s">
        <v>100</v>
      </c>
      <c r="B5" s="19" t="s">
        <v>101</v>
      </c>
      <c r="C5" s="20" t="n">
        <f aca="false">IFERROR(VLOOKUP(A5,BDP_Underlying!$A$4:$F$30,5,FALSE()),0)</f>
        <v>0</v>
      </c>
      <c r="D5" s="17" t="n">
        <f aca="false">IFERROR(VLOOKUP(A5,BDP_Underlying!$A$4:$F$30,6,FALSE()),0)</f>
        <v>0</v>
      </c>
      <c r="E5" s="21" t="n">
        <v>2</v>
      </c>
      <c r="F5" s="22" t="n">
        <f aca="false">IF(C5=0,0,FLOOR(C5*(1-0.06)/E5,1)*E5)</f>
        <v>0</v>
      </c>
      <c r="G5" s="22" t="n">
        <f aca="false">IF(C5=0,0,CEILING(C5*(1+0.06)/E5,1)*E5)</f>
        <v>0</v>
      </c>
      <c r="H5" s="20" t="n">
        <f aca="false">F5-E5</f>
        <v>-2</v>
      </c>
      <c r="I5" s="20" t="n">
        <f aca="false">G5+E5</f>
        <v>2</v>
      </c>
    </row>
    <row r="6" customFormat="false" ht="15" hidden="false" customHeight="false" outlineLevel="0" collapsed="false">
      <c r="A6" s="19" t="s">
        <v>102</v>
      </c>
      <c r="B6" s="19" t="s">
        <v>103</v>
      </c>
      <c r="C6" s="20" t="n">
        <f aca="false">IFERROR(VLOOKUP(A6,BDP_Underlying!$A$4:$F$30,5,FALSE()),0)</f>
        <v>0</v>
      </c>
      <c r="D6" s="17" t="n">
        <f aca="false">IFERROR(VLOOKUP(A6,BDP_Underlying!$A$4:$F$30,6,FALSE()),0)</f>
        <v>0</v>
      </c>
      <c r="E6" s="21" t="n">
        <v>5</v>
      </c>
      <c r="F6" s="22" t="n">
        <f aca="false">IF(C6=0,0,FLOOR(C6*(1-0.06)/E6,1)*E6)</f>
        <v>0</v>
      </c>
      <c r="G6" s="22" t="n">
        <f aca="false">IF(C6=0,0,CEILING(C6*(1+0.06)/E6,1)*E6)</f>
        <v>0</v>
      </c>
      <c r="H6" s="20" t="n">
        <f aca="false">F6-E6</f>
        <v>-5</v>
      </c>
      <c r="I6" s="20" t="n">
        <f aca="false">G6+E6</f>
        <v>5</v>
      </c>
    </row>
    <row r="7" customFormat="false" ht="15" hidden="false" customHeight="false" outlineLevel="0" collapsed="false">
      <c r="A7" s="19" t="s">
        <v>104</v>
      </c>
      <c r="B7" s="19" t="s">
        <v>105</v>
      </c>
      <c r="C7" s="20" t="n">
        <f aca="false">IFERROR(VLOOKUP(A7,BDP_Underlying!$A$4:$F$30,5,FALSE()),0)</f>
        <v>0</v>
      </c>
      <c r="D7" s="17" t="n">
        <f aca="false">IFERROR(VLOOKUP(A7,BDP_Underlying!$A$4:$F$30,6,FALSE()),0)</f>
        <v>0</v>
      </c>
      <c r="E7" s="21" t="n">
        <v>5</v>
      </c>
      <c r="F7" s="22" t="n">
        <f aca="false">IF(C7=0,0,FLOOR(C7*(1-0.05)/E7,1)*E7)</f>
        <v>0</v>
      </c>
      <c r="G7" s="22" t="n">
        <f aca="false">IF(C7=0,0,CEILING(C7*(1+0.05)/E7,1)*E7)</f>
        <v>0</v>
      </c>
      <c r="H7" s="20" t="n">
        <f aca="false">F7-E7</f>
        <v>-5</v>
      </c>
      <c r="I7" s="20" t="n">
        <f aca="false">G7+E7</f>
        <v>5</v>
      </c>
    </row>
    <row r="8" customFormat="false" ht="15" hidden="false" customHeight="false" outlineLevel="0" collapsed="false">
      <c r="A8" s="19" t="s">
        <v>106</v>
      </c>
      <c r="B8" s="19" t="s">
        <v>107</v>
      </c>
      <c r="C8" s="20" t="n">
        <f aca="false">IFERROR(VLOOKUP(A8,BDP_Underlying!$A$4:$F$30,5,FALSE()),0)</f>
        <v>0</v>
      </c>
      <c r="D8" s="17" t="n">
        <f aca="false">IFERROR(VLOOKUP(A8,BDP_Underlying!$A$4:$F$30,6,FALSE()),0)</f>
        <v>0</v>
      </c>
      <c r="E8" s="21" t="n">
        <v>1</v>
      </c>
      <c r="F8" s="22" t="n">
        <f aca="false">IF(C8=0,0,FLOOR(C8*(1-0.07)/E8,1)*E8)</f>
        <v>0</v>
      </c>
      <c r="G8" s="22" t="n">
        <f aca="false">IF(C8=0,0,CEILING(C8*(1+0.07)/E8,1)*E8)</f>
        <v>0</v>
      </c>
      <c r="H8" s="20" t="n">
        <f aca="false">F8-E8</f>
        <v>-1</v>
      </c>
      <c r="I8" s="20" t="n">
        <f aca="false">G8+E8</f>
        <v>1</v>
      </c>
    </row>
    <row r="9" customFormat="false" ht="15" hidden="false" customHeight="false" outlineLevel="0" collapsed="false">
      <c r="A9" s="19" t="s">
        <v>108</v>
      </c>
      <c r="B9" s="19" t="s">
        <v>109</v>
      </c>
      <c r="C9" s="20" t="n">
        <f aca="false">IFERROR(VLOOKUP(A9,BDP_Underlying!$A$4:$F$30,5,FALSE()),0)</f>
        <v>0</v>
      </c>
      <c r="D9" s="17" t="n">
        <f aca="false">IFERROR(VLOOKUP(A9,BDP_Underlying!$A$4:$F$30,6,FALSE()),0)</f>
        <v>0</v>
      </c>
      <c r="E9" s="21" t="n">
        <v>2</v>
      </c>
      <c r="F9" s="22" t="n">
        <f aca="false">IF(C9=0,0,FLOOR(C9*(1-0.05)/E9,1)*E9)</f>
        <v>0</v>
      </c>
      <c r="G9" s="22" t="n">
        <f aca="false">IF(C9=0,0,CEILING(C9*(1+0.05)/E9,1)*E9)</f>
        <v>0</v>
      </c>
      <c r="H9" s="20" t="n">
        <f aca="false">F9-E9</f>
        <v>-2</v>
      </c>
      <c r="I9" s="20" t="n">
        <f aca="false">G9+E9</f>
        <v>2</v>
      </c>
    </row>
    <row r="10" customFormat="false" ht="15" hidden="false" customHeight="false" outlineLevel="0" collapsed="false">
      <c r="A10" s="19" t="s">
        <v>110</v>
      </c>
      <c r="B10" s="19" t="s">
        <v>111</v>
      </c>
      <c r="C10" s="20" t="n">
        <f aca="false">IFERROR(VLOOKUP(A10,BDP_Underlying!$A$4:$F$30,5,FALSE()),0)</f>
        <v>0</v>
      </c>
      <c r="D10" s="17" t="n">
        <f aca="false">IFERROR(VLOOKUP(A10,BDP_Underlying!$A$4:$F$30,6,FALSE()),0)</f>
        <v>0</v>
      </c>
      <c r="E10" s="21" t="n">
        <v>1</v>
      </c>
      <c r="F10" s="22" t="n">
        <f aca="false">IF(C10=0,0,FLOOR(C10*(1-0.05)/E10,1)*E10)</f>
        <v>0</v>
      </c>
      <c r="G10" s="22" t="n">
        <f aca="false">IF(C10=0,0,CEILING(C10*(1+0.05)/E10,1)*E10)</f>
        <v>0</v>
      </c>
      <c r="H10" s="20" t="n">
        <f aca="false">F10-E10</f>
        <v>-1</v>
      </c>
      <c r="I10" s="20" t="n">
        <f aca="false">G10+E10</f>
        <v>1</v>
      </c>
    </row>
    <row r="11" customFormat="false" ht="15" hidden="false" customHeight="false" outlineLevel="0" collapsed="false">
      <c r="A11" s="19" t="s">
        <v>112</v>
      </c>
      <c r="B11" s="19" t="s">
        <v>113</v>
      </c>
      <c r="C11" s="20" t="n">
        <f aca="false">IFERROR(VLOOKUP(A11,BDP_Underlying!$A$4:$F$30,5,FALSE()),0)</f>
        <v>0</v>
      </c>
      <c r="D11" s="17" t="n">
        <f aca="false">IFERROR(VLOOKUP(A11,BDP_Underlying!$A$4:$F$30,6,FALSE()),0)</f>
        <v>0</v>
      </c>
      <c r="E11" s="21" t="n">
        <v>1</v>
      </c>
      <c r="F11" s="22" t="n">
        <f aca="false">IF(C11=0,0,FLOOR(C11*(1-0.07)/E11,1)*E11)</f>
        <v>0</v>
      </c>
      <c r="G11" s="22" t="n">
        <f aca="false">IF(C11=0,0,CEILING(C11*(1+0.07)/E11,1)*E11)</f>
        <v>0</v>
      </c>
      <c r="H11" s="20" t="n">
        <f aca="false">F11-E11</f>
        <v>-1</v>
      </c>
      <c r="I11" s="20" t="n">
        <f aca="false">G11+E11</f>
        <v>1</v>
      </c>
    </row>
    <row r="12" customFormat="false" ht="15" hidden="false" customHeight="false" outlineLevel="0" collapsed="false">
      <c r="A12" s="19" t="s">
        <v>114</v>
      </c>
      <c r="B12" s="19" t="s">
        <v>115</v>
      </c>
      <c r="C12" s="20" t="n">
        <f aca="false">IFERROR(VLOOKUP(A12,BDP_Underlying!$A$4:$F$30,5,FALSE()),0)</f>
        <v>0</v>
      </c>
      <c r="D12" s="17" t="n">
        <f aca="false">IFERROR(VLOOKUP(A12,BDP_Underlying!$A$4:$F$30,6,FALSE()),0)</f>
        <v>0</v>
      </c>
      <c r="E12" s="21" t="n">
        <v>2</v>
      </c>
      <c r="F12" s="22" t="n">
        <f aca="false">IF(C12=0,0,FLOOR(C12*(1-0.05)/E12,1)*E12)</f>
        <v>0</v>
      </c>
      <c r="G12" s="22" t="n">
        <f aca="false">IF(C12=0,0,CEILING(C12*(1+0.05)/E12,1)*E12)</f>
        <v>0</v>
      </c>
      <c r="H12" s="20" t="n">
        <f aca="false">F12-E12</f>
        <v>-2</v>
      </c>
      <c r="I12" s="20" t="n">
        <f aca="false">G12+E12</f>
        <v>2</v>
      </c>
    </row>
    <row r="13" customFormat="false" ht="15" hidden="false" customHeight="false" outlineLevel="0" collapsed="false">
      <c r="A13" s="19" t="s">
        <v>116</v>
      </c>
      <c r="B13" s="19" t="s">
        <v>117</v>
      </c>
      <c r="C13" s="20" t="n">
        <f aca="false">IFERROR(VLOOKUP(A13,BDP_Underlying!$A$4:$F$30,5,FALSE()),0)</f>
        <v>0</v>
      </c>
      <c r="D13" s="17" t="n">
        <f aca="false">IFERROR(VLOOKUP(A13,BDP_Underlying!$A$4:$F$30,6,FALSE()),0)</f>
        <v>0</v>
      </c>
      <c r="E13" s="21" t="n">
        <v>2</v>
      </c>
      <c r="F13" s="22" t="n">
        <f aca="false">IF(C13=0,0,FLOOR(C13*(1-0.06)/E13,1)*E13)</f>
        <v>0</v>
      </c>
      <c r="G13" s="22" t="n">
        <f aca="false">IF(C13=0,0,CEILING(C13*(1+0.06)/E13,1)*E13)</f>
        <v>0</v>
      </c>
      <c r="H13" s="20" t="n">
        <f aca="false">F13-E13</f>
        <v>-2</v>
      </c>
      <c r="I13" s="20" t="n">
        <f aca="false">G13+E13</f>
        <v>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6" min="3" style="0" width="14"/>
  </cols>
  <sheetData>
    <row r="1" customFormat="false" ht="23.85" hidden="false" customHeight="true" outlineLevel="0" collapsed="false">
      <c r="A1" s="5" t="s">
        <v>118</v>
      </c>
      <c r="B1" s="5"/>
      <c r="C1" s="5"/>
      <c r="D1" s="5"/>
      <c r="E1" s="5"/>
      <c r="F1" s="5"/>
    </row>
    <row r="2" customFormat="false" ht="23.85" hidden="false" customHeight="true" outlineLevel="0" collapsed="false">
      <c r="C2" s="23" t="s">
        <v>119</v>
      </c>
      <c r="D2" s="23"/>
    </row>
    <row r="3" customFormat="false" ht="15" hidden="false" customHeight="false" outlineLevel="0" collapsed="false">
      <c r="A3" s="14" t="s">
        <v>89</v>
      </c>
      <c r="B3" s="14" t="s">
        <v>90</v>
      </c>
      <c r="C3" s="14" t="s">
        <v>120</v>
      </c>
      <c r="D3" s="14" t="s">
        <v>121</v>
      </c>
      <c r="E3" s="14" t="s">
        <v>122</v>
      </c>
      <c r="F3" s="14" t="s">
        <v>123</v>
      </c>
    </row>
    <row r="4" customFormat="false" ht="15" hidden="false" customHeight="false" outlineLevel="0" collapsed="false">
      <c r="A4" s="19" t="s">
        <v>98</v>
      </c>
      <c r="B4" s="19" t="s">
        <v>99</v>
      </c>
      <c r="C4" s="18" t="str">
        <f aca="false">C$3</f>
        <v>PX_LAST</v>
      </c>
      <c r="D4" s="18" t="str">
        <f aca="false">D$3</f>
        <v>IVOL_RANK</v>
      </c>
      <c r="E4" s="20" t="n">
        <f aca="false">IFERROR(bdp(B4,C4),0)</f>
        <v>0</v>
      </c>
      <c r="F4" s="17" t="n">
        <f aca="false">IFERROR(bdp(B4,D4),0)</f>
        <v>0</v>
      </c>
    </row>
    <row r="5" customFormat="false" ht="15" hidden="false" customHeight="false" outlineLevel="0" collapsed="false">
      <c r="A5" s="19" t="s">
        <v>100</v>
      </c>
      <c r="B5" s="19" t="s">
        <v>101</v>
      </c>
      <c r="C5" s="18" t="str">
        <f aca="false">C$3</f>
        <v>PX_LAST</v>
      </c>
      <c r="D5" s="18" t="str">
        <f aca="false">D$3</f>
        <v>IVOL_RANK</v>
      </c>
      <c r="E5" s="20" t="n">
        <f aca="false">IFERROR(bdp(B5,C5),0)</f>
        <v>0</v>
      </c>
      <c r="F5" s="17" t="n">
        <f aca="false">IFERROR(bdp(B5,D5),0)</f>
        <v>0</v>
      </c>
    </row>
    <row r="6" customFormat="false" ht="15" hidden="false" customHeight="false" outlineLevel="0" collapsed="false">
      <c r="A6" s="19" t="s">
        <v>102</v>
      </c>
      <c r="B6" s="19" t="s">
        <v>103</v>
      </c>
      <c r="C6" s="18" t="str">
        <f aca="false">C$3</f>
        <v>PX_LAST</v>
      </c>
      <c r="D6" s="18" t="str">
        <f aca="false">D$3</f>
        <v>IVOL_RANK</v>
      </c>
      <c r="E6" s="20" t="n">
        <f aca="false">IFERROR(bdp(B6,C6),0)</f>
        <v>0</v>
      </c>
      <c r="F6" s="17" t="n">
        <f aca="false">IFERROR(bdp(B6,D6),0)</f>
        <v>0</v>
      </c>
    </row>
    <row r="7" customFormat="false" ht="15" hidden="false" customHeight="false" outlineLevel="0" collapsed="false">
      <c r="A7" s="19" t="s">
        <v>104</v>
      </c>
      <c r="B7" s="19" t="s">
        <v>105</v>
      </c>
      <c r="C7" s="18" t="str">
        <f aca="false">C$3</f>
        <v>PX_LAST</v>
      </c>
      <c r="D7" s="18" t="str">
        <f aca="false">D$3</f>
        <v>IVOL_RANK</v>
      </c>
      <c r="E7" s="20" t="n">
        <f aca="false">IFERROR(bdp(B7,C7),0)</f>
        <v>0</v>
      </c>
      <c r="F7" s="17" t="n">
        <f aca="false">IFERROR(bdp(B7,D7),0)</f>
        <v>0</v>
      </c>
    </row>
    <row r="8" customFormat="false" ht="15" hidden="false" customHeight="false" outlineLevel="0" collapsed="false">
      <c r="A8" s="19" t="s">
        <v>106</v>
      </c>
      <c r="B8" s="19" t="s">
        <v>107</v>
      </c>
      <c r="C8" s="18" t="str">
        <f aca="false">C$3</f>
        <v>PX_LAST</v>
      </c>
      <c r="D8" s="18" t="str">
        <f aca="false">D$3</f>
        <v>IVOL_RANK</v>
      </c>
      <c r="E8" s="20" t="n">
        <f aca="false">IFERROR(bdp(B8,C8),0)</f>
        <v>0</v>
      </c>
      <c r="F8" s="17" t="n">
        <f aca="false">IFERROR(bdp(B8,D8),0)</f>
        <v>0</v>
      </c>
    </row>
    <row r="9" customFormat="false" ht="15" hidden="false" customHeight="false" outlineLevel="0" collapsed="false">
      <c r="A9" s="19" t="s">
        <v>108</v>
      </c>
      <c r="B9" s="19" t="s">
        <v>109</v>
      </c>
      <c r="C9" s="18" t="str">
        <f aca="false">C$3</f>
        <v>PX_LAST</v>
      </c>
      <c r="D9" s="18" t="str">
        <f aca="false">D$3</f>
        <v>IVOL_RANK</v>
      </c>
      <c r="E9" s="20" t="n">
        <f aca="false">IFERROR(bdp(B9,C9),0)</f>
        <v>0</v>
      </c>
      <c r="F9" s="17" t="n">
        <f aca="false">IFERROR(bdp(B9,D9),0)</f>
        <v>0</v>
      </c>
    </row>
    <row r="10" customFormat="false" ht="15" hidden="false" customHeight="false" outlineLevel="0" collapsed="false">
      <c r="A10" s="19" t="s">
        <v>110</v>
      </c>
      <c r="B10" s="19" t="s">
        <v>111</v>
      </c>
      <c r="C10" s="18" t="str">
        <f aca="false">C$3</f>
        <v>PX_LAST</v>
      </c>
      <c r="D10" s="18" t="str">
        <f aca="false">D$3</f>
        <v>IVOL_RANK</v>
      </c>
      <c r="E10" s="20" t="n">
        <f aca="false">IFERROR(bdp(B10,C10),0)</f>
        <v>0</v>
      </c>
      <c r="F10" s="17" t="n">
        <f aca="false">IFERROR(bdp(B10,D10),0)</f>
        <v>0</v>
      </c>
    </row>
    <row r="11" customFormat="false" ht="15" hidden="false" customHeight="false" outlineLevel="0" collapsed="false">
      <c r="A11" s="19" t="s">
        <v>112</v>
      </c>
      <c r="B11" s="19" t="s">
        <v>113</v>
      </c>
      <c r="C11" s="18" t="str">
        <f aca="false">C$3</f>
        <v>PX_LAST</v>
      </c>
      <c r="D11" s="18" t="str">
        <f aca="false">D$3</f>
        <v>IVOL_RANK</v>
      </c>
      <c r="E11" s="20" t="n">
        <f aca="false">IFERROR(bdp(B11,C11),0)</f>
        <v>0</v>
      </c>
      <c r="F11" s="17" t="n">
        <f aca="false">IFERROR(bdp(B11,D11),0)</f>
        <v>0</v>
      </c>
    </row>
    <row r="12" customFormat="false" ht="15" hidden="false" customHeight="false" outlineLevel="0" collapsed="false">
      <c r="A12" s="19" t="s">
        <v>114</v>
      </c>
      <c r="B12" s="19" t="s">
        <v>115</v>
      </c>
      <c r="C12" s="18" t="str">
        <f aca="false">C$3</f>
        <v>PX_LAST</v>
      </c>
      <c r="D12" s="18" t="str">
        <f aca="false">D$3</f>
        <v>IVOL_RANK</v>
      </c>
      <c r="E12" s="20" t="n">
        <f aca="false">IFERROR(bdp(B12,C12),0)</f>
        <v>0</v>
      </c>
      <c r="F12" s="17" t="n">
        <f aca="false">IFERROR(bdp(B12,D12),0)</f>
        <v>0</v>
      </c>
    </row>
    <row r="13" customFormat="false" ht="15" hidden="false" customHeight="false" outlineLevel="0" collapsed="false">
      <c r="A13" s="19" t="s">
        <v>116</v>
      </c>
      <c r="B13" s="19" t="s">
        <v>117</v>
      </c>
      <c r="C13" s="18" t="str">
        <f aca="false">C$3</f>
        <v>PX_LAST</v>
      </c>
      <c r="D13" s="18" t="str">
        <f aca="false">D$3</f>
        <v>IVOL_RANK</v>
      </c>
      <c r="E13" s="20" t="n">
        <f aca="false">IFERROR(bdp(B13,C13),0)</f>
        <v>0</v>
      </c>
      <c r="F13" s="17" t="n">
        <f aca="false">IFERROR(bdp(B13,D13),0)</f>
        <v>0</v>
      </c>
    </row>
    <row r="14" customFormat="false" ht="15" hidden="false" customHeight="false" outlineLevel="0" collapsed="false">
      <c r="A14" s="19" t="s">
        <v>124</v>
      </c>
      <c r="B14" s="19" t="s">
        <v>125</v>
      </c>
      <c r="C14" s="18" t="str">
        <f aca="false">C$3</f>
        <v>PX_LAST</v>
      </c>
      <c r="D14" s="18" t="str">
        <f aca="false">D$3</f>
        <v>IVOL_RANK</v>
      </c>
      <c r="E14" s="20" t="n">
        <f aca="false">IFERROR(bdp(B14,C14),0)</f>
        <v>0</v>
      </c>
      <c r="F14" s="17" t="n">
        <f aca="false">IFERROR(bdp(B14,D14),0)</f>
        <v>0</v>
      </c>
    </row>
  </sheetData>
  <mergeCells count="2">
    <mergeCell ref="A1:F1"/>
    <mergeCell ref="C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0"/>
    <col collapsed="false" customWidth="true" hidden="false" outlineLevel="0" max="5" min="4" style="0" width="7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3"/>
    <col collapsed="false" customWidth="true" hidden="false" outlineLevel="0" max="12" min="9" style="0" width="11"/>
    <col collapsed="false" customWidth="true" hidden="false" outlineLevel="0" max="13" min="13" style="0" width="14"/>
  </cols>
  <sheetData>
    <row r="1" customFormat="false" ht="23.85" hidden="false" customHeight="true" outlineLevel="0" collapsed="false">
      <c r="A1" s="5" t="s">
        <v>126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23.85" hidden="false" customHeight="true" outlineLevel="0" collapsed="false">
      <c r="I2" s="23" t="s">
        <v>127</v>
      </c>
      <c r="J2" s="23"/>
      <c r="K2" s="23"/>
      <c r="L2" s="23"/>
      <c r="M2" s="23"/>
    </row>
    <row r="3" customFormat="false" ht="23.85" hidden="false" customHeight="false" outlineLevel="0" collapsed="false">
      <c r="A3" s="14" t="s">
        <v>89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132</v>
      </c>
      <c r="G3" s="14" t="s">
        <v>133</v>
      </c>
      <c r="H3" s="14" t="s">
        <v>134</v>
      </c>
      <c r="I3" s="14" t="s">
        <v>120</v>
      </c>
      <c r="J3" s="14" t="s">
        <v>135</v>
      </c>
      <c r="K3" s="14" t="s">
        <v>136</v>
      </c>
      <c r="L3" s="14" t="s">
        <v>137</v>
      </c>
      <c r="M3" s="14" t="s">
        <v>138</v>
      </c>
    </row>
    <row r="4" customFormat="false" ht="15" hidden="false" customHeight="false" outlineLevel="0" collapsed="false">
      <c r="A4" s="19" t="s">
        <v>98</v>
      </c>
      <c r="B4" s="24" t="s">
        <v>139</v>
      </c>
      <c r="C4" s="24" t="s">
        <v>140</v>
      </c>
      <c r="D4" s="24" t="s">
        <v>141</v>
      </c>
      <c r="E4" s="24" t="s">
        <v>142</v>
      </c>
      <c r="F4" s="25" t="n">
        <f aca="false">Watchlist!$F$4</f>
        <v>0</v>
      </c>
      <c r="G4" s="26" t="n">
        <f aca="false">Calendar!$B$11</f>
        <v>46220</v>
      </c>
      <c r="H4" s="18" t="str">
        <f aca="false">$A$4&amp;" US "&amp;TEXT($G$4,"mm/dd/yy")&amp;" "&amp;"P"&amp;IF($F$4=INT($F$4),INT($F$4),$F$4)&amp;" Equity"</f>
        <v>SPY US 07/17/26 P0 Equity</v>
      </c>
      <c r="I4" s="27" t="n">
        <f aca="false">IFERROR(bdp($H4, I$3), 0)</f>
        <v>0</v>
      </c>
      <c r="J4" s="27" t="n">
        <f aca="false">IFERROR(bdp($H4, J$3), 0)</f>
        <v>0</v>
      </c>
      <c r="K4" s="27" t="n">
        <f aca="false">IFERROR(bdp($H4, K$3), 0)</f>
        <v>0</v>
      </c>
      <c r="L4" s="28" t="n">
        <f aca="false">IFERROR(bdp($H4, L$3), 0)</f>
        <v>0</v>
      </c>
      <c r="M4" s="29" t="n">
        <f aca="false">IFERROR(bdp($H4, M$3), 0)</f>
        <v>0</v>
      </c>
    </row>
    <row r="5" customFormat="false" ht="15" hidden="false" customHeight="false" outlineLevel="0" collapsed="false">
      <c r="A5" s="19" t="s">
        <v>98</v>
      </c>
      <c r="B5" s="24" t="s">
        <v>139</v>
      </c>
      <c r="C5" s="24" t="s">
        <v>140</v>
      </c>
      <c r="D5" s="24" t="s">
        <v>143</v>
      </c>
      <c r="E5" s="24" t="s">
        <v>142</v>
      </c>
      <c r="F5" s="25" t="n">
        <f aca="false">Watchlist!$H$4</f>
        <v>-5</v>
      </c>
      <c r="G5" s="26" t="n">
        <f aca="false">Calendar!$B$11</f>
        <v>46220</v>
      </c>
      <c r="H5" s="18" t="str">
        <f aca="false">$A$5&amp;" US "&amp;TEXT($G$5,"mm/dd/yy")&amp;" "&amp;"P"&amp;IF($F$5=INT($F$5),INT($F$5),$F$5)&amp;" Equity"</f>
        <v>SPY US 07/17/26 P-5 Equity</v>
      </c>
      <c r="I5" s="27" t="n">
        <f aca="false">IFERROR(bdp($H5, I$3), 0)</f>
        <v>0</v>
      </c>
      <c r="J5" s="27" t="n">
        <f aca="false">IFERROR(bdp($H5, J$3), 0)</f>
        <v>0</v>
      </c>
      <c r="K5" s="27" t="n">
        <f aca="false">IFERROR(bdp($H5, K$3), 0)</f>
        <v>0</v>
      </c>
      <c r="L5" s="28" t="n">
        <f aca="false">IFERROR(bdp($H5, L$3), 0)</f>
        <v>0</v>
      </c>
      <c r="M5" s="29" t="n">
        <f aca="false">IFERROR(bdp($H5, M$3), 0)</f>
        <v>0</v>
      </c>
    </row>
    <row r="6" customFormat="false" ht="15" hidden="false" customHeight="false" outlineLevel="0" collapsed="false">
      <c r="A6" s="19" t="s">
        <v>98</v>
      </c>
      <c r="B6" s="24" t="s">
        <v>139</v>
      </c>
      <c r="C6" s="24" t="s">
        <v>144</v>
      </c>
      <c r="D6" s="24" t="s">
        <v>141</v>
      </c>
      <c r="E6" s="24" t="s">
        <v>145</v>
      </c>
      <c r="F6" s="25" t="n">
        <f aca="false">Watchlist!$G$4</f>
        <v>0</v>
      </c>
      <c r="G6" s="26" t="n">
        <f aca="false">Calendar!$B$11</f>
        <v>46220</v>
      </c>
      <c r="H6" s="18" t="str">
        <f aca="false">$A$6&amp;" US "&amp;TEXT($G$6,"mm/dd/yy")&amp;" "&amp;"C"&amp;IF($F$6=INT($F$6),INT($F$6),$F$6)&amp;" Equity"</f>
        <v>SPY US 07/17/26 C0 Equity</v>
      </c>
      <c r="I6" s="27" t="n">
        <f aca="false">IFERROR(bdp($H6, I$3), 0)</f>
        <v>0</v>
      </c>
      <c r="J6" s="27" t="n">
        <f aca="false">IFERROR(bdp($H6, J$3), 0)</f>
        <v>0</v>
      </c>
      <c r="K6" s="27" t="n">
        <f aca="false">IFERROR(bdp($H6, K$3), 0)</f>
        <v>0</v>
      </c>
      <c r="L6" s="28" t="n">
        <f aca="false">IFERROR(bdp($H6, L$3), 0)</f>
        <v>0</v>
      </c>
      <c r="M6" s="29" t="n">
        <f aca="false">IFERROR(bdp($H6, M$3), 0)</f>
        <v>0</v>
      </c>
    </row>
    <row r="7" customFormat="false" ht="15" hidden="false" customHeight="false" outlineLevel="0" collapsed="false">
      <c r="A7" s="19" t="s">
        <v>98</v>
      </c>
      <c r="B7" s="24" t="s">
        <v>139</v>
      </c>
      <c r="C7" s="24" t="s">
        <v>144</v>
      </c>
      <c r="D7" s="24" t="s">
        <v>143</v>
      </c>
      <c r="E7" s="24" t="s">
        <v>145</v>
      </c>
      <c r="F7" s="25" t="n">
        <f aca="false">Watchlist!$I$4</f>
        <v>5</v>
      </c>
      <c r="G7" s="26" t="n">
        <f aca="false">Calendar!$B$11</f>
        <v>46220</v>
      </c>
      <c r="H7" s="18" t="str">
        <f aca="false">$A$7&amp;" US "&amp;TEXT($G$7,"mm/dd/yy")&amp;" "&amp;"C"&amp;IF($F$7=INT($F$7),INT($F$7),$F$7)&amp;" Equity"</f>
        <v>SPY US 07/17/26 C5 Equity</v>
      </c>
      <c r="I7" s="27" t="n">
        <f aca="false">IFERROR(bdp($H7, I$3), 0)</f>
        <v>0</v>
      </c>
      <c r="J7" s="27" t="n">
        <f aca="false">IFERROR(bdp($H7, J$3), 0)</f>
        <v>0</v>
      </c>
      <c r="K7" s="27" t="n">
        <f aca="false">IFERROR(bdp($H7, K$3), 0)</f>
        <v>0</v>
      </c>
      <c r="L7" s="28" t="n">
        <f aca="false">IFERROR(bdp($H7, L$3), 0)</f>
        <v>0</v>
      </c>
      <c r="M7" s="29" t="n">
        <f aca="false">IFERROR(bdp($H7, M$3), 0)</f>
        <v>0</v>
      </c>
    </row>
    <row r="8" customFormat="false" ht="15" hidden="false" customHeight="false" outlineLevel="0" collapsed="false">
      <c r="A8" s="19" t="s">
        <v>98</v>
      </c>
      <c r="B8" s="24" t="s">
        <v>146</v>
      </c>
      <c r="C8" s="24" t="s">
        <v>140</v>
      </c>
      <c r="D8" s="24" t="s">
        <v>141</v>
      </c>
      <c r="E8" s="24" t="s">
        <v>142</v>
      </c>
      <c r="F8" s="25" t="n">
        <f aca="false">Watchlist!$F$4</f>
        <v>0</v>
      </c>
      <c r="G8" s="26" t="n">
        <f aca="false">Calendar!$B$12</f>
        <v>46255</v>
      </c>
      <c r="H8" s="18" t="str">
        <f aca="false">$A$8&amp;" US "&amp;TEXT($G$8,"mm/dd/yy")&amp;" "&amp;"P"&amp;IF($F$8=INT($F$8),INT($F$8),$F$8)&amp;" Equity"</f>
        <v>SPY US 08/21/26 P0 Equity</v>
      </c>
      <c r="I8" s="27" t="n">
        <f aca="false">IFERROR(bdp($H8, I$3), 0)</f>
        <v>0</v>
      </c>
      <c r="J8" s="27" t="n">
        <f aca="false">IFERROR(bdp($H8, J$3), 0)</f>
        <v>0</v>
      </c>
      <c r="K8" s="27" t="n">
        <f aca="false">IFERROR(bdp($H8, K$3), 0)</f>
        <v>0</v>
      </c>
      <c r="L8" s="28" t="n">
        <f aca="false">IFERROR(bdp($H8, L$3), 0)</f>
        <v>0</v>
      </c>
      <c r="M8" s="29" t="n">
        <f aca="false">IFERROR(bdp($H8, M$3), 0)</f>
        <v>0</v>
      </c>
    </row>
    <row r="9" customFormat="false" ht="15" hidden="false" customHeight="false" outlineLevel="0" collapsed="false">
      <c r="A9" s="19" t="s">
        <v>98</v>
      </c>
      <c r="B9" s="24" t="s">
        <v>146</v>
      </c>
      <c r="C9" s="24" t="s">
        <v>140</v>
      </c>
      <c r="D9" s="24" t="s">
        <v>143</v>
      </c>
      <c r="E9" s="24" t="s">
        <v>142</v>
      </c>
      <c r="F9" s="25" t="n">
        <f aca="false">Watchlist!$H$4</f>
        <v>-5</v>
      </c>
      <c r="G9" s="26" t="n">
        <f aca="false">Calendar!$B$12</f>
        <v>46255</v>
      </c>
      <c r="H9" s="18" t="str">
        <f aca="false">$A$9&amp;" US "&amp;TEXT($G$9,"mm/dd/yy")&amp;" "&amp;"P"&amp;IF($F$9=INT($F$9),INT($F$9),$F$9)&amp;" Equity"</f>
        <v>SPY US 08/21/26 P-5 Equity</v>
      </c>
      <c r="I9" s="27" t="n">
        <f aca="false">IFERROR(bdp($H9, I$3), 0)</f>
        <v>0</v>
      </c>
      <c r="J9" s="27" t="n">
        <f aca="false">IFERROR(bdp($H9, J$3), 0)</f>
        <v>0</v>
      </c>
      <c r="K9" s="27" t="n">
        <f aca="false">IFERROR(bdp($H9, K$3), 0)</f>
        <v>0</v>
      </c>
      <c r="L9" s="28" t="n">
        <f aca="false">IFERROR(bdp($H9, L$3), 0)</f>
        <v>0</v>
      </c>
      <c r="M9" s="29" t="n">
        <f aca="false">IFERROR(bdp($H9, M$3), 0)</f>
        <v>0</v>
      </c>
    </row>
    <row r="10" customFormat="false" ht="15" hidden="false" customHeight="false" outlineLevel="0" collapsed="false">
      <c r="A10" s="19" t="s">
        <v>98</v>
      </c>
      <c r="B10" s="24" t="s">
        <v>146</v>
      </c>
      <c r="C10" s="24" t="s">
        <v>144</v>
      </c>
      <c r="D10" s="24" t="s">
        <v>141</v>
      </c>
      <c r="E10" s="24" t="s">
        <v>145</v>
      </c>
      <c r="F10" s="25" t="n">
        <f aca="false">Watchlist!$G$4</f>
        <v>0</v>
      </c>
      <c r="G10" s="26" t="n">
        <f aca="false">Calendar!$B$12</f>
        <v>46255</v>
      </c>
      <c r="H10" s="18" t="str">
        <f aca="false">$A$10&amp;" US "&amp;TEXT($G$10,"mm/dd/yy")&amp;" "&amp;"C"&amp;IF($F$10=INT($F$10),INT($F$10),$F$10)&amp;" Equity"</f>
        <v>SPY US 08/21/26 C0 Equity</v>
      </c>
      <c r="I10" s="27" t="n">
        <f aca="false">IFERROR(bdp($H10, I$3), 0)</f>
        <v>0</v>
      </c>
      <c r="J10" s="27" t="n">
        <f aca="false">IFERROR(bdp($H10, J$3), 0)</f>
        <v>0</v>
      </c>
      <c r="K10" s="27" t="n">
        <f aca="false">IFERROR(bdp($H10, K$3), 0)</f>
        <v>0</v>
      </c>
      <c r="L10" s="28" t="n">
        <f aca="false">IFERROR(bdp($H10, L$3), 0)</f>
        <v>0</v>
      </c>
      <c r="M10" s="29" t="n">
        <f aca="false">IFERROR(bdp($H10, M$3), 0)</f>
        <v>0</v>
      </c>
    </row>
    <row r="11" customFormat="false" ht="15" hidden="false" customHeight="false" outlineLevel="0" collapsed="false">
      <c r="A11" s="19" t="s">
        <v>98</v>
      </c>
      <c r="B11" s="24" t="s">
        <v>146</v>
      </c>
      <c r="C11" s="24" t="s">
        <v>144</v>
      </c>
      <c r="D11" s="24" t="s">
        <v>143</v>
      </c>
      <c r="E11" s="24" t="s">
        <v>145</v>
      </c>
      <c r="F11" s="25" t="n">
        <f aca="false">Watchlist!$I$4</f>
        <v>5</v>
      </c>
      <c r="G11" s="26" t="n">
        <f aca="false">Calendar!$B$12</f>
        <v>46255</v>
      </c>
      <c r="H11" s="18" t="str">
        <f aca="false">$A$11&amp;" US "&amp;TEXT($G$11,"mm/dd/yy")&amp;" "&amp;"C"&amp;IF($F$11=INT($F$11),INT($F$11),$F$11)&amp;" Equity"</f>
        <v>SPY US 08/21/26 C5 Equity</v>
      </c>
      <c r="I11" s="27" t="n">
        <f aca="false">IFERROR(bdp($H11, I$3), 0)</f>
        <v>0</v>
      </c>
      <c r="J11" s="27" t="n">
        <f aca="false">IFERROR(bdp($H11, J$3), 0)</f>
        <v>0</v>
      </c>
      <c r="K11" s="27" t="n">
        <f aca="false">IFERROR(bdp($H11, K$3), 0)</f>
        <v>0</v>
      </c>
      <c r="L11" s="28" t="n">
        <f aca="false">IFERROR(bdp($H11, L$3), 0)</f>
        <v>0</v>
      </c>
      <c r="M11" s="29" t="n">
        <f aca="false">IFERROR(bdp($H11, M$3), 0)</f>
        <v>0</v>
      </c>
    </row>
    <row r="12" customFormat="false" ht="15" hidden="false" customHeight="false" outlineLevel="0" collapsed="false">
      <c r="A12" s="19" t="s">
        <v>100</v>
      </c>
      <c r="B12" s="24" t="s">
        <v>139</v>
      </c>
      <c r="C12" s="24" t="s">
        <v>140</v>
      </c>
      <c r="D12" s="24" t="s">
        <v>141</v>
      </c>
      <c r="E12" s="24" t="s">
        <v>142</v>
      </c>
      <c r="F12" s="25" t="n">
        <f aca="false">Watchlist!$F$5</f>
        <v>0</v>
      </c>
      <c r="G12" s="26" t="n">
        <f aca="false">Calendar!$B$11</f>
        <v>46220</v>
      </c>
      <c r="H12" s="18" t="str">
        <f aca="false">$A$12&amp;" US "&amp;TEXT($G$12,"mm/dd/yy")&amp;" "&amp;"P"&amp;IF($F$12=INT($F$12),INT($F$12),$F$12)&amp;" Equity"</f>
        <v>IWM US 07/17/26 P0 Equity</v>
      </c>
      <c r="I12" s="27" t="n">
        <f aca="false">IFERROR(bdp($H12, I$3), 0)</f>
        <v>0</v>
      </c>
      <c r="J12" s="27" t="n">
        <f aca="false">IFERROR(bdp($H12, J$3), 0)</f>
        <v>0</v>
      </c>
      <c r="K12" s="27" t="n">
        <f aca="false">IFERROR(bdp($H12, K$3), 0)</f>
        <v>0</v>
      </c>
      <c r="L12" s="28" t="n">
        <f aca="false">IFERROR(bdp($H12, L$3), 0)</f>
        <v>0</v>
      </c>
      <c r="M12" s="29" t="n">
        <f aca="false">IFERROR(bdp($H12, M$3), 0)</f>
        <v>0</v>
      </c>
    </row>
    <row r="13" customFormat="false" ht="15" hidden="false" customHeight="false" outlineLevel="0" collapsed="false">
      <c r="A13" s="19" t="s">
        <v>100</v>
      </c>
      <c r="B13" s="24" t="s">
        <v>139</v>
      </c>
      <c r="C13" s="24" t="s">
        <v>140</v>
      </c>
      <c r="D13" s="24" t="s">
        <v>143</v>
      </c>
      <c r="E13" s="24" t="s">
        <v>142</v>
      </c>
      <c r="F13" s="25" t="n">
        <f aca="false">Watchlist!$H$5</f>
        <v>-2</v>
      </c>
      <c r="G13" s="26" t="n">
        <f aca="false">Calendar!$B$11</f>
        <v>46220</v>
      </c>
      <c r="H13" s="18" t="str">
        <f aca="false">$A$13&amp;" US "&amp;TEXT($G$13,"mm/dd/yy")&amp;" "&amp;"P"&amp;IF($F$13=INT($F$13),INT($F$13),$F$13)&amp;" Equity"</f>
        <v>IWM US 07/17/26 P-2 Equity</v>
      </c>
      <c r="I13" s="27" t="n">
        <f aca="false">IFERROR(bdp($H13, I$3), 0)</f>
        <v>0</v>
      </c>
      <c r="J13" s="27" t="n">
        <f aca="false">IFERROR(bdp($H13, J$3), 0)</f>
        <v>0</v>
      </c>
      <c r="K13" s="27" t="n">
        <f aca="false">IFERROR(bdp($H13, K$3), 0)</f>
        <v>0</v>
      </c>
      <c r="L13" s="28" t="n">
        <f aca="false">IFERROR(bdp($H13, L$3), 0)</f>
        <v>0</v>
      </c>
      <c r="M13" s="29" t="n">
        <f aca="false">IFERROR(bdp($H13, M$3), 0)</f>
        <v>0</v>
      </c>
    </row>
    <row r="14" customFormat="false" ht="15" hidden="false" customHeight="false" outlineLevel="0" collapsed="false">
      <c r="A14" s="19" t="s">
        <v>100</v>
      </c>
      <c r="B14" s="24" t="s">
        <v>139</v>
      </c>
      <c r="C14" s="24" t="s">
        <v>144</v>
      </c>
      <c r="D14" s="24" t="s">
        <v>141</v>
      </c>
      <c r="E14" s="24" t="s">
        <v>145</v>
      </c>
      <c r="F14" s="25" t="n">
        <f aca="false">Watchlist!$G$5</f>
        <v>0</v>
      </c>
      <c r="G14" s="26" t="n">
        <f aca="false">Calendar!$B$11</f>
        <v>46220</v>
      </c>
      <c r="H14" s="18" t="str">
        <f aca="false">$A$14&amp;" US "&amp;TEXT($G$14,"mm/dd/yy")&amp;" "&amp;"C"&amp;IF($F$14=INT($F$14),INT($F$14),$F$14)&amp;" Equity"</f>
        <v>IWM US 07/17/26 C0 Equity</v>
      </c>
      <c r="I14" s="27" t="n">
        <f aca="false">IFERROR(bdp($H14, I$3), 0)</f>
        <v>0</v>
      </c>
      <c r="J14" s="27" t="n">
        <f aca="false">IFERROR(bdp($H14, J$3), 0)</f>
        <v>0</v>
      </c>
      <c r="K14" s="27" t="n">
        <f aca="false">IFERROR(bdp($H14, K$3), 0)</f>
        <v>0</v>
      </c>
      <c r="L14" s="28" t="n">
        <f aca="false">IFERROR(bdp($H14, L$3), 0)</f>
        <v>0</v>
      </c>
      <c r="M14" s="29" t="n">
        <f aca="false">IFERROR(bdp($H14, M$3), 0)</f>
        <v>0</v>
      </c>
    </row>
    <row r="15" customFormat="false" ht="15" hidden="false" customHeight="false" outlineLevel="0" collapsed="false">
      <c r="A15" s="19" t="s">
        <v>100</v>
      </c>
      <c r="B15" s="24" t="s">
        <v>139</v>
      </c>
      <c r="C15" s="24" t="s">
        <v>144</v>
      </c>
      <c r="D15" s="24" t="s">
        <v>143</v>
      </c>
      <c r="E15" s="24" t="s">
        <v>145</v>
      </c>
      <c r="F15" s="25" t="n">
        <f aca="false">Watchlist!$I$5</f>
        <v>2</v>
      </c>
      <c r="G15" s="26" t="n">
        <f aca="false">Calendar!$B$11</f>
        <v>46220</v>
      </c>
      <c r="H15" s="18" t="str">
        <f aca="false">$A$15&amp;" US "&amp;TEXT($G$15,"mm/dd/yy")&amp;" "&amp;"C"&amp;IF($F$15=INT($F$15),INT($F$15),$F$15)&amp;" Equity"</f>
        <v>IWM US 07/17/26 C2 Equity</v>
      </c>
      <c r="I15" s="27" t="n">
        <f aca="false">IFERROR(bdp($H15, I$3), 0)</f>
        <v>0</v>
      </c>
      <c r="J15" s="27" t="n">
        <f aca="false">IFERROR(bdp($H15, J$3), 0)</f>
        <v>0</v>
      </c>
      <c r="K15" s="27" t="n">
        <f aca="false">IFERROR(bdp($H15, K$3), 0)</f>
        <v>0</v>
      </c>
      <c r="L15" s="28" t="n">
        <f aca="false">IFERROR(bdp($H15, L$3), 0)</f>
        <v>0</v>
      </c>
      <c r="M15" s="29" t="n">
        <f aca="false">IFERROR(bdp($H15, M$3), 0)</f>
        <v>0</v>
      </c>
    </row>
    <row r="16" customFormat="false" ht="15" hidden="false" customHeight="false" outlineLevel="0" collapsed="false">
      <c r="A16" s="19" t="s">
        <v>100</v>
      </c>
      <c r="B16" s="24" t="s">
        <v>146</v>
      </c>
      <c r="C16" s="24" t="s">
        <v>140</v>
      </c>
      <c r="D16" s="24" t="s">
        <v>141</v>
      </c>
      <c r="E16" s="24" t="s">
        <v>142</v>
      </c>
      <c r="F16" s="25" t="n">
        <f aca="false">Watchlist!$F$5</f>
        <v>0</v>
      </c>
      <c r="G16" s="26" t="n">
        <f aca="false">Calendar!$B$12</f>
        <v>46255</v>
      </c>
      <c r="H16" s="18" t="str">
        <f aca="false">$A$16&amp;" US "&amp;TEXT($G$16,"mm/dd/yy")&amp;" "&amp;"P"&amp;IF($F$16=INT($F$16),INT($F$16),$F$16)&amp;" Equity"</f>
        <v>IWM US 08/21/26 P0 Equity</v>
      </c>
      <c r="I16" s="27" t="n">
        <f aca="false">IFERROR(bdp($H16, I$3), 0)</f>
        <v>0</v>
      </c>
      <c r="J16" s="27" t="n">
        <f aca="false">IFERROR(bdp($H16, J$3), 0)</f>
        <v>0</v>
      </c>
      <c r="K16" s="27" t="n">
        <f aca="false">IFERROR(bdp($H16, K$3), 0)</f>
        <v>0</v>
      </c>
      <c r="L16" s="28" t="n">
        <f aca="false">IFERROR(bdp($H16, L$3), 0)</f>
        <v>0</v>
      </c>
      <c r="M16" s="29" t="n">
        <f aca="false">IFERROR(bdp($H16, M$3), 0)</f>
        <v>0</v>
      </c>
    </row>
    <row r="17" customFormat="false" ht="15" hidden="false" customHeight="false" outlineLevel="0" collapsed="false">
      <c r="A17" s="19" t="s">
        <v>100</v>
      </c>
      <c r="B17" s="24" t="s">
        <v>146</v>
      </c>
      <c r="C17" s="24" t="s">
        <v>140</v>
      </c>
      <c r="D17" s="24" t="s">
        <v>143</v>
      </c>
      <c r="E17" s="24" t="s">
        <v>142</v>
      </c>
      <c r="F17" s="25" t="n">
        <f aca="false">Watchlist!$H$5</f>
        <v>-2</v>
      </c>
      <c r="G17" s="26" t="n">
        <f aca="false">Calendar!$B$12</f>
        <v>46255</v>
      </c>
      <c r="H17" s="18" t="str">
        <f aca="false">$A$17&amp;" US "&amp;TEXT($G$17,"mm/dd/yy")&amp;" "&amp;"P"&amp;IF($F$17=INT($F$17),INT($F$17),$F$17)&amp;" Equity"</f>
        <v>IWM US 08/21/26 P-2 Equity</v>
      </c>
      <c r="I17" s="27" t="n">
        <f aca="false">IFERROR(bdp($H17, I$3), 0)</f>
        <v>0</v>
      </c>
      <c r="J17" s="27" t="n">
        <f aca="false">IFERROR(bdp($H17, J$3), 0)</f>
        <v>0</v>
      </c>
      <c r="K17" s="27" t="n">
        <f aca="false">IFERROR(bdp($H17, K$3), 0)</f>
        <v>0</v>
      </c>
      <c r="L17" s="28" t="n">
        <f aca="false">IFERROR(bdp($H17, L$3), 0)</f>
        <v>0</v>
      </c>
      <c r="M17" s="29" t="n">
        <f aca="false">IFERROR(bdp($H17, M$3), 0)</f>
        <v>0</v>
      </c>
    </row>
    <row r="18" customFormat="false" ht="15" hidden="false" customHeight="false" outlineLevel="0" collapsed="false">
      <c r="A18" s="19" t="s">
        <v>100</v>
      </c>
      <c r="B18" s="24" t="s">
        <v>146</v>
      </c>
      <c r="C18" s="24" t="s">
        <v>144</v>
      </c>
      <c r="D18" s="24" t="s">
        <v>141</v>
      </c>
      <c r="E18" s="24" t="s">
        <v>145</v>
      </c>
      <c r="F18" s="25" t="n">
        <f aca="false">Watchlist!$G$5</f>
        <v>0</v>
      </c>
      <c r="G18" s="26" t="n">
        <f aca="false">Calendar!$B$12</f>
        <v>46255</v>
      </c>
      <c r="H18" s="18" t="str">
        <f aca="false">$A$18&amp;" US "&amp;TEXT($G$18,"mm/dd/yy")&amp;" "&amp;"C"&amp;IF($F$18=INT($F$18),INT($F$18),$F$18)&amp;" Equity"</f>
        <v>IWM US 08/21/26 C0 Equity</v>
      </c>
      <c r="I18" s="27" t="n">
        <f aca="false">IFERROR(bdp($H18, I$3), 0)</f>
        <v>0</v>
      </c>
      <c r="J18" s="27" t="n">
        <f aca="false">IFERROR(bdp($H18, J$3), 0)</f>
        <v>0</v>
      </c>
      <c r="K18" s="27" t="n">
        <f aca="false">IFERROR(bdp($H18, K$3), 0)</f>
        <v>0</v>
      </c>
      <c r="L18" s="28" t="n">
        <f aca="false">IFERROR(bdp($H18, L$3), 0)</f>
        <v>0</v>
      </c>
      <c r="M18" s="29" t="n">
        <f aca="false">IFERROR(bdp($H18, M$3), 0)</f>
        <v>0</v>
      </c>
    </row>
    <row r="19" customFormat="false" ht="15" hidden="false" customHeight="false" outlineLevel="0" collapsed="false">
      <c r="A19" s="19" t="s">
        <v>100</v>
      </c>
      <c r="B19" s="24" t="s">
        <v>146</v>
      </c>
      <c r="C19" s="24" t="s">
        <v>144</v>
      </c>
      <c r="D19" s="24" t="s">
        <v>143</v>
      </c>
      <c r="E19" s="24" t="s">
        <v>145</v>
      </c>
      <c r="F19" s="25" t="n">
        <f aca="false">Watchlist!$I$5</f>
        <v>2</v>
      </c>
      <c r="G19" s="26" t="n">
        <f aca="false">Calendar!$B$12</f>
        <v>46255</v>
      </c>
      <c r="H19" s="18" t="str">
        <f aca="false">$A$19&amp;" US "&amp;TEXT($G$19,"mm/dd/yy")&amp;" "&amp;"C"&amp;IF($F$19=INT($F$19),INT($F$19),$F$19)&amp;" Equity"</f>
        <v>IWM US 08/21/26 C2 Equity</v>
      </c>
      <c r="I19" s="27" t="n">
        <f aca="false">IFERROR(bdp($H19, I$3), 0)</f>
        <v>0</v>
      </c>
      <c r="J19" s="27" t="n">
        <f aca="false">IFERROR(bdp($H19, J$3), 0)</f>
        <v>0</v>
      </c>
      <c r="K19" s="27" t="n">
        <f aca="false">IFERROR(bdp($H19, K$3), 0)</f>
        <v>0</v>
      </c>
      <c r="L19" s="28" t="n">
        <f aca="false">IFERROR(bdp($H19, L$3), 0)</f>
        <v>0</v>
      </c>
      <c r="M19" s="29" t="n">
        <f aca="false">IFERROR(bdp($H19, M$3), 0)</f>
        <v>0</v>
      </c>
    </row>
    <row r="20" customFormat="false" ht="15" hidden="false" customHeight="false" outlineLevel="0" collapsed="false">
      <c r="A20" s="19" t="s">
        <v>102</v>
      </c>
      <c r="B20" s="24" t="s">
        <v>139</v>
      </c>
      <c r="C20" s="24" t="s">
        <v>140</v>
      </c>
      <c r="D20" s="24" t="s">
        <v>141</v>
      </c>
      <c r="E20" s="24" t="s">
        <v>142</v>
      </c>
      <c r="F20" s="25" t="n">
        <f aca="false">Watchlist!$F$6</f>
        <v>0</v>
      </c>
      <c r="G20" s="26" t="n">
        <f aca="false">Calendar!$B$11</f>
        <v>46220</v>
      </c>
      <c r="H20" s="18" t="str">
        <f aca="false">$A$20&amp;" US "&amp;TEXT($G$20,"mm/dd/yy")&amp;" "&amp;"P"&amp;IF($F$20=INT($F$20),INT($F$20),$F$20)&amp;" Equity"</f>
        <v>QQQ US 07/17/26 P0 Equity</v>
      </c>
      <c r="I20" s="27" t="n">
        <f aca="false">IFERROR(bdp($H20, I$3), 0)</f>
        <v>0</v>
      </c>
      <c r="J20" s="27" t="n">
        <f aca="false">IFERROR(bdp($H20, J$3), 0)</f>
        <v>0</v>
      </c>
      <c r="K20" s="27" t="n">
        <f aca="false">IFERROR(bdp($H20, K$3), 0)</f>
        <v>0</v>
      </c>
      <c r="L20" s="28" t="n">
        <f aca="false">IFERROR(bdp($H20, L$3), 0)</f>
        <v>0</v>
      </c>
      <c r="M20" s="29" t="n">
        <f aca="false">IFERROR(bdp($H20, M$3), 0)</f>
        <v>0</v>
      </c>
    </row>
    <row r="21" customFormat="false" ht="15" hidden="false" customHeight="false" outlineLevel="0" collapsed="false">
      <c r="A21" s="19" t="s">
        <v>102</v>
      </c>
      <c r="B21" s="24" t="s">
        <v>139</v>
      </c>
      <c r="C21" s="24" t="s">
        <v>140</v>
      </c>
      <c r="D21" s="24" t="s">
        <v>143</v>
      </c>
      <c r="E21" s="24" t="s">
        <v>142</v>
      </c>
      <c r="F21" s="25" t="n">
        <f aca="false">Watchlist!$H$6</f>
        <v>-5</v>
      </c>
      <c r="G21" s="26" t="n">
        <f aca="false">Calendar!$B$11</f>
        <v>46220</v>
      </c>
      <c r="H21" s="18" t="str">
        <f aca="false">$A$21&amp;" US "&amp;TEXT($G$21,"mm/dd/yy")&amp;" "&amp;"P"&amp;IF($F$21=INT($F$21),INT($F$21),$F$21)&amp;" Equity"</f>
        <v>QQQ US 07/17/26 P-5 Equity</v>
      </c>
      <c r="I21" s="27" t="n">
        <f aca="false">IFERROR(bdp($H21, I$3), 0)</f>
        <v>0</v>
      </c>
      <c r="J21" s="27" t="n">
        <f aca="false">IFERROR(bdp($H21, J$3), 0)</f>
        <v>0</v>
      </c>
      <c r="K21" s="27" t="n">
        <f aca="false">IFERROR(bdp($H21, K$3), 0)</f>
        <v>0</v>
      </c>
      <c r="L21" s="28" t="n">
        <f aca="false">IFERROR(bdp($H21, L$3), 0)</f>
        <v>0</v>
      </c>
      <c r="M21" s="29" t="n">
        <f aca="false">IFERROR(bdp($H21, M$3), 0)</f>
        <v>0</v>
      </c>
    </row>
    <row r="22" customFormat="false" ht="15" hidden="false" customHeight="false" outlineLevel="0" collapsed="false">
      <c r="A22" s="19" t="s">
        <v>102</v>
      </c>
      <c r="B22" s="24" t="s">
        <v>139</v>
      </c>
      <c r="C22" s="24" t="s">
        <v>144</v>
      </c>
      <c r="D22" s="24" t="s">
        <v>141</v>
      </c>
      <c r="E22" s="24" t="s">
        <v>145</v>
      </c>
      <c r="F22" s="25" t="n">
        <f aca="false">Watchlist!$G$6</f>
        <v>0</v>
      </c>
      <c r="G22" s="26" t="n">
        <f aca="false">Calendar!$B$11</f>
        <v>46220</v>
      </c>
      <c r="H22" s="18" t="str">
        <f aca="false">$A$22&amp;" US "&amp;TEXT($G$22,"mm/dd/yy")&amp;" "&amp;"C"&amp;IF($F$22=INT($F$22),INT($F$22),$F$22)&amp;" Equity"</f>
        <v>QQQ US 07/17/26 C0 Equity</v>
      </c>
      <c r="I22" s="27" t="n">
        <f aca="false">IFERROR(bdp($H22, I$3), 0)</f>
        <v>0</v>
      </c>
      <c r="J22" s="27" t="n">
        <f aca="false">IFERROR(bdp($H22, J$3), 0)</f>
        <v>0</v>
      </c>
      <c r="K22" s="27" t="n">
        <f aca="false">IFERROR(bdp($H22, K$3), 0)</f>
        <v>0</v>
      </c>
      <c r="L22" s="28" t="n">
        <f aca="false">IFERROR(bdp($H22, L$3), 0)</f>
        <v>0</v>
      </c>
      <c r="M22" s="29" t="n">
        <f aca="false">IFERROR(bdp($H22, M$3), 0)</f>
        <v>0</v>
      </c>
    </row>
    <row r="23" customFormat="false" ht="15" hidden="false" customHeight="false" outlineLevel="0" collapsed="false">
      <c r="A23" s="19" t="s">
        <v>102</v>
      </c>
      <c r="B23" s="24" t="s">
        <v>139</v>
      </c>
      <c r="C23" s="24" t="s">
        <v>144</v>
      </c>
      <c r="D23" s="24" t="s">
        <v>143</v>
      </c>
      <c r="E23" s="24" t="s">
        <v>145</v>
      </c>
      <c r="F23" s="25" t="n">
        <f aca="false">Watchlist!$I$6</f>
        <v>5</v>
      </c>
      <c r="G23" s="26" t="n">
        <f aca="false">Calendar!$B$11</f>
        <v>46220</v>
      </c>
      <c r="H23" s="18" t="str">
        <f aca="false">$A$23&amp;" US "&amp;TEXT($G$23,"mm/dd/yy")&amp;" "&amp;"C"&amp;IF($F$23=INT($F$23),INT($F$23),$F$23)&amp;" Equity"</f>
        <v>QQQ US 07/17/26 C5 Equity</v>
      </c>
      <c r="I23" s="27" t="n">
        <f aca="false">IFERROR(bdp($H23, I$3), 0)</f>
        <v>0</v>
      </c>
      <c r="J23" s="27" t="n">
        <f aca="false">IFERROR(bdp($H23, J$3), 0)</f>
        <v>0</v>
      </c>
      <c r="K23" s="27" t="n">
        <f aca="false">IFERROR(bdp($H23, K$3), 0)</f>
        <v>0</v>
      </c>
      <c r="L23" s="28" t="n">
        <f aca="false">IFERROR(bdp($H23, L$3), 0)</f>
        <v>0</v>
      </c>
      <c r="M23" s="29" t="n">
        <f aca="false">IFERROR(bdp($H23, M$3), 0)</f>
        <v>0</v>
      </c>
    </row>
    <row r="24" customFormat="false" ht="15" hidden="false" customHeight="false" outlineLevel="0" collapsed="false">
      <c r="A24" s="19" t="s">
        <v>102</v>
      </c>
      <c r="B24" s="24" t="s">
        <v>146</v>
      </c>
      <c r="C24" s="24" t="s">
        <v>140</v>
      </c>
      <c r="D24" s="24" t="s">
        <v>141</v>
      </c>
      <c r="E24" s="24" t="s">
        <v>142</v>
      </c>
      <c r="F24" s="25" t="n">
        <f aca="false">Watchlist!$F$6</f>
        <v>0</v>
      </c>
      <c r="G24" s="26" t="n">
        <f aca="false">Calendar!$B$12</f>
        <v>46255</v>
      </c>
      <c r="H24" s="18" t="str">
        <f aca="false">$A$24&amp;" US "&amp;TEXT($G$24,"mm/dd/yy")&amp;" "&amp;"P"&amp;IF($F$24=INT($F$24),INT($F$24),$F$24)&amp;" Equity"</f>
        <v>QQQ US 08/21/26 P0 Equity</v>
      </c>
      <c r="I24" s="27" t="n">
        <f aca="false">IFERROR(bdp($H24, I$3), 0)</f>
        <v>0</v>
      </c>
      <c r="J24" s="27" t="n">
        <f aca="false">IFERROR(bdp($H24, J$3), 0)</f>
        <v>0</v>
      </c>
      <c r="K24" s="27" t="n">
        <f aca="false">IFERROR(bdp($H24, K$3), 0)</f>
        <v>0</v>
      </c>
      <c r="L24" s="28" t="n">
        <f aca="false">IFERROR(bdp($H24, L$3), 0)</f>
        <v>0</v>
      </c>
      <c r="M24" s="29" t="n">
        <f aca="false">IFERROR(bdp($H24, M$3), 0)</f>
        <v>0</v>
      </c>
    </row>
    <row r="25" customFormat="false" ht="15" hidden="false" customHeight="false" outlineLevel="0" collapsed="false">
      <c r="A25" s="19" t="s">
        <v>102</v>
      </c>
      <c r="B25" s="24" t="s">
        <v>146</v>
      </c>
      <c r="C25" s="24" t="s">
        <v>140</v>
      </c>
      <c r="D25" s="24" t="s">
        <v>143</v>
      </c>
      <c r="E25" s="24" t="s">
        <v>142</v>
      </c>
      <c r="F25" s="25" t="n">
        <f aca="false">Watchlist!$H$6</f>
        <v>-5</v>
      </c>
      <c r="G25" s="26" t="n">
        <f aca="false">Calendar!$B$12</f>
        <v>46255</v>
      </c>
      <c r="H25" s="18" t="str">
        <f aca="false">$A$25&amp;" US "&amp;TEXT($G$25,"mm/dd/yy")&amp;" "&amp;"P"&amp;IF($F$25=INT($F$25),INT($F$25),$F$25)&amp;" Equity"</f>
        <v>QQQ US 08/21/26 P-5 Equity</v>
      </c>
      <c r="I25" s="27" t="n">
        <f aca="false">IFERROR(bdp($H25, I$3), 0)</f>
        <v>0</v>
      </c>
      <c r="J25" s="27" t="n">
        <f aca="false">IFERROR(bdp($H25, J$3), 0)</f>
        <v>0</v>
      </c>
      <c r="K25" s="27" t="n">
        <f aca="false">IFERROR(bdp($H25, K$3), 0)</f>
        <v>0</v>
      </c>
      <c r="L25" s="28" t="n">
        <f aca="false">IFERROR(bdp($H25, L$3), 0)</f>
        <v>0</v>
      </c>
      <c r="M25" s="29" t="n">
        <f aca="false">IFERROR(bdp($H25, M$3), 0)</f>
        <v>0</v>
      </c>
    </row>
    <row r="26" customFormat="false" ht="15" hidden="false" customHeight="false" outlineLevel="0" collapsed="false">
      <c r="A26" s="19" t="s">
        <v>102</v>
      </c>
      <c r="B26" s="24" t="s">
        <v>146</v>
      </c>
      <c r="C26" s="24" t="s">
        <v>144</v>
      </c>
      <c r="D26" s="24" t="s">
        <v>141</v>
      </c>
      <c r="E26" s="24" t="s">
        <v>145</v>
      </c>
      <c r="F26" s="25" t="n">
        <f aca="false">Watchlist!$G$6</f>
        <v>0</v>
      </c>
      <c r="G26" s="26" t="n">
        <f aca="false">Calendar!$B$12</f>
        <v>46255</v>
      </c>
      <c r="H26" s="18" t="str">
        <f aca="false">$A$26&amp;" US "&amp;TEXT($G$26,"mm/dd/yy")&amp;" "&amp;"C"&amp;IF($F$26=INT($F$26),INT($F$26),$F$26)&amp;" Equity"</f>
        <v>QQQ US 08/21/26 C0 Equity</v>
      </c>
      <c r="I26" s="27" t="n">
        <f aca="false">IFERROR(bdp($H26, I$3), 0)</f>
        <v>0</v>
      </c>
      <c r="J26" s="27" t="n">
        <f aca="false">IFERROR(bdp($H26, J$3), 0)</f>
        <v>0</v>
      </c>
      <c r="K26" s="27" t="n">
        <f aca="false">IFERROR(bdp($H26, K$3), 0)</f>
        <v>0</v>
      </c>
      <c r="L26" s="28" t="n">
        <f aca="false">IFERROR(bdp($H26, L$3), 0)</f>
        <v>0</v>
      </c>
      <c r="M26" s="29" t="n">
        <f aca="false">IFERROR(bdp($H26, M$3), 0)</f>
        <v>0</v>
      </c>
    </row>
    <row r="27" customFormat="false" ht="15" hidden="false" customHeight="false" outlineLevel="0" collapsed="false">
      <c r="A27" s="19" t="s">
        <v>102</v>
      </c>
      <c r="B27" s="24" t="s">
        <v>146</v>
      </c>
      <c r="C27" s="24" t="s">
        <v>144</v>
      </c>
      <c r="D27" s="24" t="s">
        <v>143</v>
      </c>
      <c r="E27" s="24" t="s">
        <v>145</v>
      </c>
      <c r="F27" s="25" t="n">
        <f aca="false">Watchlist!$I$6</f>
        <v>5</v>
      </c>
      <c r="G27" s="26" t="n">
        <f aca="false">Calendar!$B$12</f>
        <v>46255</v>
      </c>
      <c r="H27" s="18" t="str">
        <f aca="false">$A$27&amp;" US "&amp;TEXT($G$27,"mm/dd/yy")&amp;" "&amp;"C"&amp;IF($F$27=INT($F$27),INT($F$27),$F$27)&amp;" Equity"</f>
        <v>QQQ US 08/21/26 C5 Equity</v>
      </c>
      <c r="I27" s="27" t="n">
        <f aca="false">IFERROR(bdp($H27, I$3), 0)</f>
        <v>0</v>
      </c>
      <c r="J27" s="27" t="n">
        <f aca="false">IFERROR(bdp($H27, J$3), 0)</f>
        <v>0</v>
      </c>
      <c r="K27" s="27" t="n">
        <f aca="false">IFERROR(bdp($H27, K$3), 0)</f>
        <v>0</v>
      </c>
      <c r="L27" s="28" t="n">
        <f aca="false">IFERROR(bdp($H27, L$3), 0)</f>
        <v>0</v>
      </c>
      <c r="M27" s="29" t="n">
        <f aca="false">IFERROR(bdp($H27, M$3), 0)</f>
        <v>0</v>
      </c>
    </row>
    <row r="28" customFormat="false" ht="15" hidden="false" customHeight="false" outlineLevel="0" collapsed="false">
      <c r="A28" s="19" t="s">
        <v>104</v>
      </c>
      <c r="B28" s="24" t="s">
        <v>139</v>
      </c>
      <c r="C28" s="24" t="s">
        <v>140</v>
      </c>
      <c r="D28" s="24" t="s">
        <v>141</v>
      </c>
      <c r="E28" s="24" t="s">
        <v>142</v>
      </c>
      <c r="F28" s="25" t="n">
        <f aca="false">Watchlist!$F$7</f>
        <v>0</v>
      </c>
      <c r="G28" s="26" t="n">
        <f aca="false">Calendar!$B$11</f>
        <v>46220</v>
      </c>
      <c r="H28" s="18" t="str">
        <f aca="false">$A$28&amp;" US "&amp;TEXT($G$28,"mm/dd/yy")&amp;" "&amp;"P"&amp;IF($F$28=INT($F$28),INT($F$28),$F$28)&amp;" Equity"</f>
        <v>GLD US 07/17/26 P0 Equity</v>
      </c>
      <c r="I28" s="27" t="n">
        <f aca="false">IFERROR(bdp($H28, I$3), 0)</f>
        <v>0</v>
      </c>
      <c r="J28" s="27" t="n">
        <f aca="false">IFERROR(bdp($H28, J$3), 0)</f>
        <v>0</v>
      </c>
      <c r="K28" s="27" t="n">
        <f aca="false">IFERROR(bdp($H28, K$3), 0)</f>
        <v>0</v>
      </c>
      <c r="L28" s="28" t="n">
        <f aca="false">IFERROR(bdp($H28, L$3), 0)</f>
        <v>0</v>
      </c>
      <c r="M28" s="29" t="n">
        <f aca="false">IFERROR(bdp($H28, M$3), 0)</f>
        <v>0</v>
      </c>
    </row>
    <row r="29" customFormat="false" ht="15" hidden="false" customHeight="false" outlineLevel="0" collapsed="false">
      <c r="A29" s="19" t="s">
        <v>104</v>
      </c>
      <c r="B29" s="24" t="s">
        <v>139</v>
      </c>
      <c r="C29" s="24" t="s">
        <v>140</v>
      </c>
      <c r="D29" s="24" t="s">
        <v>143</v>
      </c>
      <c r="E29" s="24" t="s">
        <v>142</v>
      </c>
      <c r="F29" s="25" t="n">
        <f aca="false">Watchlist!$H$7</f>
        <v>-5</v>
      </c>
      <c r="G29" s="26" t="n">
        <f aca="false">Calendar!$B$11</f>
        <v>46220</v>
      </c>
      <c r="H29" s="18" t="str">
        <f aca="false">$A$29&amp;" US "&amp;TEXT($G$29,"mm/dd/yy")&amp;" "&amp;"P"&amp;IF($F$29=INT($F$29),INT($F$29),$F$29)&amp;" Equity"</f>
        <v>GLD US 07/17/26 P-5 Equity</v>
      </c>
      <c r="I29" s="27" t="n">
        <f aca="false">IFERROR(bdp($H29, I$3), 0)</f>
        <v>0</v>
      </c>
      <c r="J29" s="27" t="n">
        <f aca="false">IFERROR(bdp($H29, J$3), 0)</f>
        <v>0</v>
      </c>
      <c r="K29" s="27" t="n">
        <f aca="false">IFERROR(bdp($H29, K$3), 0)</f>
        <v>0</v>
      </c>
      <c r="L29" s="28" t="n">
        <f aca="false">IFERROR(bdp($H29, L$3), 0)</f>
        <v>0</v>
      </c>
      <c r="M29" s="29" t="n">
        <f aca="false">IFERROR(bdp($H29, M$3), 0)</f>
        <v>0</v>
      </c>
    </row>
    <row r="30" customFormat="false" ht="15" hidden="false" customHeight="false" outlineLevel="0" collapsed="false">
      <c r="A30" s="19" t="s">
        <v>104</v>
      </c>
      <c r="B30" s="24" t="s">
        <v>139</v>
      </c>
      <c r="C30" s="24" t="s">
        <v>144</v>
      </c>
      <c r="D30" s="24" t="s">
        <v>141</v>
      </c>
      <c r="E30" s="24" t="s">
        <v>145</v>
      </c>
      <c r="F30" s="25" t="n">
        <f aca="false">Watchlist!$G$7</f>
        <v>0</v>
      </c>
      <c r="G30" s="26" t="n">
        <f aca="false">Calendar!$B$11</f>
        <v>46220</v>
      </c>
      <c r="H30" s="18" t="str">
        <f aca="false">$A$30&amp;" US "&amp;TEXT($G$30,"mm/dd/yy")&amp;" "&amp;"C"&amp;IF($F$30=INT($F$30),INT($F$30),$F$30)&amp;" Equity"</f>
        <v>GLD US 07/17/26 C0 Equity</v>
      </c>
      <c r="I30" s="27" t="n">
        <f aca="false">IFERROR(bdp($H30, I$3), 0)</f>
        <v>0</v>
      </c>
      <c r="J30" s="27" t="n">
        <f aca="false">IFERROR(bdp($H30, J$3), 0)</f>
        <v>0</v>
      </c>
      <c r="K30" s="27" t="n">
        <f aca="false">IFERROR(bdp($H30, K$3), 0)</f>
        <v>0</v>
      </c>
      <c r="L30" s="28" t="n">
        <f aca="false">IFERROR(bdp($H30, L$3), 0)</f>
        <v>0</v>
      </c>
      <c r="M30" s="29" t="n">
        <f aca="false">IFERROR(bdp($H30, M$3), 0)</f>
        <v>0</v>
      </c>
    </row>
    <row r="31" customFormat="false" ht="15" hidden="false" customHeight="false" outlineLevel="0" collapsed="false">
      <c r="A31" s="19" t="s">
        <v>104</v>
      </c>
      <c r="B31" s="24" t="s">
        <v>139</v>
      </c>
      <c r="C31" s="24" t="s">
        <v>144</v>
      </c>
      <c r="D31" s="24" t="s">
        <v>143</v>
      </c>
      <c r="E31" s="24" t="s">
        <v>145</v>
      </c>
      <c r="F31" s="25" t="n">
        <f aca="false">Watchlist!$I$7</f>
        <v>5</v>
      </c>
      <c r="G31" s="26" t="n">
        <f aca="false">Calendar!$B$11</f>
        <v>46220</v>
      </c>
      <c r="H31" s="18" t="str">
        <f aca="false">$A$31&amp;" US "&amp;TEXT($G$31,"mm/dd/yy")&amp;" "&amp;"C"&amp;IF($F$31=INT($F$31),INT($F$31),$F$31)&amp;" Equity"</f>
        <v>GLD US 07/17/26 C5 Equity</v>
      </c>
      <c r="I31" s="27" t="n">
        <f aca="false">IFERROR(bdp($H31, I$3), 0)</f>
        <v>0</v>
      </c>
      <c r="J31" s="27" t="n">
        <f aca="false">IFERROR(bdp($H31, J$3), 0)</f>
        <v>0</v>
      </c>
      <c r="K31" s="27" t="n">
        <f aca="false">IFERROR(bdp($H31, K$3), 0)</f>
        <v>0</v>
      </c>
      <c r="L31" s="28" t="n">
        <f aca="false">IFERROR(bdp($H31, L$3), 0)</f>
        <v>0</v>
      </c>
      <c r="M31" s="29" t="n">
        <f aca="false">IFERROR(bdp($H31, M$3), 0)</f>
        <v>0</v>
      </c>
    </row>
    <row r="32" customFormat="false" ht="15" hidden="false" customHeight="false" outlineLevel="0" collapsed="false">
      <c r="A32" s="19" t="s">
        <v>104</v>
      </c>
      <c r="B32" s="24" t="s">
        <v>146</v>
      </c>
      <c r="C32" s="24" t="s">
        <v>140</v>
      </c>
      <c r="D32" s="24" t="s">
        <v>141</v>
      </c>
      <c r="E32" s="24" t="s">
        <v>142</v>
      </c>
      <c r="F32" s="25" t="n">
        <f aca="false">Watchlist!$F$7</f>
        <v>0</v>
      </c>
      <c r="G32" s="26" t="n">
        <f aca="false">Calendar!$B$12</f>
        <v>46255</v>
      </c>
      <c r="H32" s="18" t="str">
        <f aca="false">$A$32&amp;" US "&amp;TEXT($G$32,"mm/dd/yy")&amp;" "&amp;"P"&amp;IF($F$32=INT($F$32),INT($F$32),$F$32)&amp;" Equity"</f>
        <v>GLD US 08/21/26 P0 Equity</v>
      </c>
      <c r="I32" s="27" t="n">
        <f aca="false">IFERROR(bdp($H32, I$3), 0)</f>
        <v>0</v>
      </c>
      <c r="J32" s="27" t="n">
        <f aca="false">IFERROR(bdp($H32, J$3), 0)</f>
        <v>0</v>
      </c>
      <c r="K32" s="27" t="n">
        <f aca="false">IFERROR(bdp($H32, K$3), 0)</f>
        <v>0</v>
      </c>
      <c r="L32" s="28" t="n">
        <f aca="false">IFERROR(bdp($H32, L$3), 0)</f>
        <v>0</v>
      </c>
      <c r="M32" s="29" t="n">
        <f aca="false">IFERROR(bdp($H32, M$3), 0)</f>
        <v>0</v>
      </c>
    </row>
    <row r="33" customFormat="false" ht="15" hidden="false" customHeight="false" outlineLevel="0" collapsed="false">
      <c r="A33" s="19" t="s">
        <v>104</v>
      </c>
      <c r="B33" s="24" t="s">
        <v>146</v>
      </c>
      <c r="C33" s="24" t="s">
        <v>140</v>
      </c>
      <c r="D33" s="24" t="s">
        <v>143</v>
      </c>
      <c r="E33" s="24" t="s">
        <v>142</v>
      </c>
      <c r="F33" s="25" t="n">
        <f aca="false">Watchlist!$H$7</f>
        <v>-5</v>
      </c>
      <c r="G33" s="26" t="n">
        <f aca="false">Calendar!$B$12</f>
        <v>46255</v>
      </c>
      <c r="H33" s="18" t="str">
        <f aca="false">$A$33&amp;" US "&amp;TEXT($G$33,"mm/dd/yy")&amp;" "&amp;"P"&amp;IF($F$33=INT($F$33),INT($F$33),$F$33)&amp;" Equity"</f>
        <v>GLD US 08/21/26 P-5 Equity</v>
      </c>
      <c r="I33" s="27" t="n">
        <f aca="false">IFERROR(bdp($H33, I$3), 0)</f>
        <v>0</v>
      </c>
      <c r="J33" s="27" t="n">
        <f aca="false">IFERROR(bdp($H33, J$3), 0)</f>
        <v>0</v>
      </c>
      <c r="K33" s="27" t="n">
        <f aca="false">IFERROR(bdp($H33, K$3), 0)</f>
        <v>0</v>
      </c>
      <c r="L33" s="28" t="n">
        <f aca="false">IFERROR(bdp($H33, L$3), 0)</f>
        <v>0</v>
      </c>
      <c r="M33" s="29" t="n">
        <f aca="false">IFERROR(bdp($H33, M$3), 0)</f>
        <v>0</v>
      </c>
    </row>
    <row r="34" customFormat="false" ht="15" hidden="false" customHeight="false" outlineLevel="0" collapsed="false">
      <c r="A34" s="19" t="s">
        <v>104</v>
      </c>
      <c r="B34" s="24" t="s">
        <v>146</v>
      </c>
      <c r="C34" s="24" t="s">
        <v>144</v>
      </c>
      <c r="D34" s="24" t="s">
        <v>141</v>
      </c>
      <c r="E34" s="24" t="s">
        <v>145</v>
      </c>
      <c r="F34" s="25" t="n">
        <f aca="false">Watchlist!$G$7</f>
        <v>0</v>
      </c>
      <c r="G34" s="26" t="n">
        <f aca="false">Calendar!$B$12</f>
        <v>46255</v>
      </c>
      <c r="H34" s="18" t="str">
        <f aca="false">$A$34&amp;" US "&amp;TEXT($G$34,"mm/dd/yy")&amp;" "&amp;"C"&amp;IF($F$34=INT($F$34),INT($F$34),$F$34)&amp;" Equity"</f>
        <v>GLD US 08/21/26 C0 Equity</v>
      </c>
      <c r="I34" s="27" t="n">
        <f aca="false">IFERROR(bdp($H34, I$3), 0)</f>
        <v>0</v>
      </c>
      <c r="J34" s="27" t="n">
        <f aca="false">IFERROR(bdp($H34, J$3), 0)</f>
        <v>0</v>
      </c>
      <c r="K34" s="27" t="n">
        <f aca="false">IFERROR(bdp($H34, K$3), 0)</f>
        <v>0</v>
      </c>
      <c r="L34" s="28" t="n">
        <f aca="false">IFERROR(bdp($H34, L$3), 0)</f>
        <v>0</v>
      </c>
      <c r="M34" s="29" t="n">
        <f aca="false">IFERROR(bdp($H34, M$3), 0)</f>
        <v>0</v>
      </c>
    </row>
    <row r="35" customFormat="false" ht="15" hidden="false" customHeight="false" outlineLevel="0" collapsed="false">
      <c r="A35" s="19" t="s">
        <v>104</v>
      </c>
      <c r="B35" s="24" t="s">
        <v>146</v>
      </c>
      <c r="C35" s="24" t="s">
        <v>144</v>
      </c>
      <c r="D35" s="24" t="s">
        <v>143</v>
      </c>
      <c r="E35" s="24" t="s">
        <v>145</v>
      </c>
      <c r="F35" s="25" t="n">
        <f aca="false">Watchlist!$I$7</f>
        <v>5</v>
      </c>
      <c r="G35" s="26" t="n">
        <f aca="false">Calendar!$B$12</f>
        <v>46255</v>
      </c>
      <c r="H35" s="18" t="str">
        <f aca="false">$A$35&amp;" US "&amp;TEXT($G$35,"mm/dd/yy")&amp;" "&amp;"C"&amp;IF($F$35=INT($F$35),INT($F$35),$F$35)&amp;" Equity"</f>
        <v>GLD US 08/21/26 C5 Equity</v>
      </c>
      <c r="I35" s="27" t="n">
        <f aca="false">IFERROR(bdp($H35, I$3), 0)</f>
        <v>0</v>
      </c>
      <c r="J35" s="27" t="n">
        <f aca="false">IFERROR(bdp($H35, J$3), 0)</f>
        <v>0</v>
      </c>
      <c r="K35" s="27" t="n">
        <f aca="false">IFERROR(bdp($H35, K$3), 0)</f>
        <v>0</v>
      </c>
      <c r="L35" s="28" t="n">
        <f aca="false">IFERROR(bdp($H35, L$3), 0)</f>
        <v>0</v>
      </c>
      <c r="M35" s="29" t="n">
        <f aca="false">IFERROR(bdp($H35, M$3), 0)</f>
        <v>0</v>
      </c>
    </row>
    <row r="36" customFormat="false" ht="15" hidden="false" customHeight="false" outlineLevel="0" collapsed="false">
      <c r="A36" s="19" t="s">
        <v>106</v>
      </c>
      <c r="B36" s="24" t="s">
        <v>139</v>
      </c>
      <c r="C36" s="24" t="s">
        <v>140</v>
      </c>
      <c r="D36" s="24" t="s">
        <v>141</v>
      </c>
      <c r="E36" s="24" t="s">
        <v>142</v>
      </c>
      <c r="F36" s="25" t="n">
        <f aca="false">Watchlist!$F$8</f>
        <v>0</v>
      </c>
      <c r="G36" s="26" t="n">
        <f aca="false">Calendar!$B$11</f>
        <v>46220</v>
      </c>
      <c r="H36" s="18" t="str">
        <f aca="false">$A$36&amp;" US "&amp;TEXT($G$36,"mm/dd/yy")&amp;" "&amp;"P"&amp;IF($F$36=INT($F$36),INT($F$36),$F$36)&amp;" Equity"</f>
        <v>GDX US 07/17/26 P0 Equity</v>
      </c>
      <c r="I36" s="27" t="n">
        <f aca="false">IFERROR(bdp($H36, I$3), 0)</f>
        <v>0</v>
      </c>
      <c r="J36" s="27" t="n">
        <f aca="false">IFERROR(bdp($H36, J$3), 0)</f>
        <v>0</v>
      </c>
      <c r="K36" s="27" t="n">
        <f aca="false">IFERROR(bdp($H36, K$3), 0)</f>
        <v>0</v>
      </c>
      <c r="L36" s="28" t="n">
        <f aca="false">IFERROR(bdp($H36, L$3), 0)</f>
        <v>0</v>
      </c>
      <c r="M36" s="29" t="n">
        <f aca="false">IFERROR(bdp($H36, M$3), 0)</f>
        <v>0</v>
      </c>
    </row>
    <row r="37" customFormat="false" ht="15" hidden="false" customHeight="false" outlineLevel="0" collapsed="false">
      <c r="A37" s="19" t="s">
        <v>106</v>
      </c>
      <c r="B37" s="24" t="s">
        <v>139</v>
      </c>
      <c r="C37" s="24" t="s">
        <v>140</v>
      </c>
      <c r="D37" s="24" t="s">
        <v>143</v>
      </c>
      <c r="E37" s="24" t="s">
        <v>142</v>
      </c>
      <c r="F37" s="25" t="n">
        <f aca="false">Watchlist!$H$8</f>
        <v>-1</v>
      </c>
      <c r="G37" s="26" t="n">
        <f aca="false">Calendar!$B$11</f>
        <v>46220</v>
      </c>
      <c r="H37" s="18" t="str">
        <f aca="false">$A$37&amp;" US "&amp;TEXT($G$37,"mm/dd/yy")&amp;" "&amp;"P"&amp;IF($F$37=INT($F$37),INT($F$37),$F$37)&amp;" Equity"</f>
        <v>GDX US 07/17/26 P-1 Equity</v>
      </c>
      <c r="I37" s="27" t="n">
        <f aca="false">IFERROR(bdp($H37, I$3), 0)</f>
        <v>0</v>
      </c>
      <c r="J37" s="27" t="n">
        <f aca="false">IFERROR(bdp($H37, J$3), 0)</f>
        <v>0</v>
      </c>
      <c r="K37" s="27" t="n">
        <f aca="false">IFERROR(bdp($H37, K$3), 0)</f>
        <v>0</v>
      </c>
      <c r="L37" s="28" t="n">
        <f aca="false">IFERROR(bdp($H37, L$3), 0)</f>
        <v>0</v>
      </c>
      <c r="M37" s="29" t="n">
        <f aca="false">IFERROR(bdp($H37, M$3), 0)</f>
        <v>0</v>
      </c>
    </row>
    <row r="38" customFormat="false" ht="15" hidden="false" customHeight="false" outlineLevel="0" collapsed="false">
      <c r="A38" s="19" t="s">
        <v>106</v>
      </c>
      <c r="B38" s="24" t="s">
        <v>139</v>
      </c>
      <c r="C38" s="24" t="s">
        <v>144</v>
      </c>
      <c r="D38" s="24" t="s">
        <v>141</v>
      </c>
      <c r="E38" s="24" t="s">
        <v>145</v>
      </c>
      <c r="F38" s="25" t="n">
        <f aca="false">Watchlist!$G$8</f>
        <v>0</v>
      </c>
      <c r="G38" s="26" t="n">
        <f aca="false">Calendar!$B$11</f>
        <v>46220</v>
      </c>
      <c r="H38" s="18" t="str">
        <f aca="false">$A$38&amp;" US "&amp;TEXT($G$38,"mm/dd/yy")&amp;" "&amp;"C"&amp;IF($F$38=INT($F$38),INT($F$38),$F$38)&amp;" Equity"</f>
        <v>GDX US 07/17/26 C0 Equity</v>
      </c>
      <c r="I38" s="27" t="n">
        <f aca="false">IFERROR(bdp($H38, I$3), 0)</f>
        <v>0</v>
      </c>
      <c r="J38" s="27" t="n">
        <f aca="false">IFERROR(bdp($H38, J$3), 0)</f>
        <v>0</v>
      </c>
      <c r="K38" s="27" t="n">
        <f aca="false">IFERROR(bdp($H38, K$3), 0)</f>
        <v>0</v>
      </c>
      <c r="L38" s="28" t="n">
        <f aca="false">IFERROR(bdp($H38, L$3), 0)</f>
        <v>0</v>
      </c>
      <c r="M38" s="29" t="n">
        <f aca="false">IFERROR(bdp($H38, M$3), 0)</f>
        <v>0</v>
      </c>
    </row>
    <row r="39" customFormat="false" ht="15" hidden="false" customHeight="false" outlineLevel="0" collapsed="false">
      <c r="A39" s="19" t="s">
        <v>106</v>
      </c>
      <c r="B39" s="24" t="s">
        <v>139</v>
      </c>
      <c r="C39" s="24" t="s">
        <v>144</v>
      </c>
      <c r="D39" s="24" t="s">
        <v>143</v>
      </c>
      <c r="E39" s="24" t="s">
        <v>145</v>
      </c>
      <c r="F39" s="25" t="n">
        <f aca="false">Watchlist!$I$8</f>
        <v>1</v>
      </c>
      <c r="G39" s="26" t="n">
        <f aca="false">Calendar!$B$11</f>
        <v>46220</v>
      </c>
      <c r="H39" s="18" t="str">
        <f aca="false">$A$39&amp;" US "&amp;TEXT($G$39,"mm/dd/yy")&amp;" "&amp;"C"&amp;IF($F$39=INT($F$39),INT($F$39),$F$39)&amp;" Equity"</f>
        <v>GDX US 07/17/26 C1 Equity</v>
      </c>
      <c r="I39" s="27" t="n">
        <f aca="false">IFERROR(bdp($H39, I$3), 0)</f>
        <v>0</v>
      </c>
      <c r="J39" s="27" t="n">
        <f aca="false">IFERROR(bdp($H39, J$3), 0)</f>
        <v>0</v>
      </c>
      <c r="K39" s="27" t="n">
        <f aca="false">IFERROR(bdp($H39, K$3), 0)</f>
        <v>0</v>
      </c>
      <c r="L39" s="28" t="n">
        <f aca="false">IFERROR(bdp($H39, L$3), 0)</f>
        <v>0</v>
      </c>
      <c r="M39" s="29" t="n">
        <f aca="false">IFERROR(bdp($H39, M$3), 0)</f>
        <v>0</v>
      </c>
    </row>
    <row r="40" customFormat="false" ht="15" hidden="false" customHeight="false" outlineLevel="0" collapsed="false">
      <c r="A40" s="19" t="s">
        <v>106</v>
      </c>
      <c r="B40" s="24" t="s">
        <v>146</v>
      </c>
      <c r="C40" s="24" t="s">
        <v>140</v>
      </c>
      <c r="D40" s="24" t="s">
        <v>141</v>
      </c>
      <c r="E40" s="24" t="s">
        <v>142</v>
      </c>
      <c r="F40" s="25" t="n">
        <f aca="false">Watchlist!$F$8</f>
        <v>0</v>
      </c>
      <c r="G40" s="26" t="n">
        <f aca="false">Calendar!$B$12</f>
        <v>46255</v>
      </c>
      <c r="H40" s="18" t="str">
        <f aca="false">$A$40&amp;" US "&amp;TEXT($G$40,"mm/dd/yy")&amp;" "&amp;"P"&amp;IF($F$40=INT($F$40),INT($F$40),$F$40)&amp;" Equity"</f>
        <v>GDX US 08/21/26 P0 Equity</v>
      </c>
      <c r="I40" s="27" t="n">
        <f aca="false">IFERROR(bdp($H40, I$3), 0)</f>
        <v>0</v>
      </c>
      <c r="J40" s="27" t="n">
        <f aca="false">IFERROR(bdp($H40, J$3), 0)</f>
        <v>0</v>
      </c>
      <c r="K40" s="27" t="n">
        <f aca="false">IFERROR(bdp($H40, K$3), 0)</f>
        <v>0</v>
      </c>
      <c r="L40" s="28" t="n">
        <f aca="false">IFERROR(bdp($H40, L$3), 0)</f>
        <v>0</v>
      </c>
      <c r="M40" s="29" t="n">
        <f aca="false">IFERROR(bdp($H40, M$3), 0)</f>
        <v>0</v>
      </c>
    </row>
    <row r="41" customFormat="false" ht="15" hidden="false" customHeight="false" outlineLevel="0" collapsed="false">
      <c r="A41" s="19" t="s">
        <v>106</v>
      </c>
      <c r="B41" s="24" t="s">
        <v>146</v>
      </c>
      <c r="C41" s="24" t="s">
        <v>140</v>
      </c>
      <c r="D41" s="24" t="s">
        <v>143</v>
      </c>
      <c r="E41" s="24" t="s">
        <v>142</v>
      </c>
      <c r="F41" s="25" t="n">
        <f aca="false">Watchlist!$H$8</f>
        <v>-1</v>
      </c>
      <c r="G41" s="26" t="n">
        <f aca="false">Calendar!$B$12</f>
        <v>46255</v>
      </c>
      <c r="H41" s="18" t="str">
        <f aca="false">$A$41&amp;" US "&amp;TEXT($G$41,"mm/dd/yy")&amp;" "&amp;"P"&amp;IF($F$41=INT($F$41),INT($F$41),$F$41)&amp;" Equity"</f>
        <v>GDX US 08/21/26 P-1 Equity</v>
      </c>
      <c r="I41" s="27" t="n">
        <f aca="false">IFERROR(bdp($H41, I$3), 0)</f>
        <v>0</v>
      </c>
      <c r="J41" s="27" t="n">
        <f aca="false">IFERROR(bdp($H41, J$3), 0)</f>
        <v>0</v>
      </c>
      <c r="K41" s="27" t="n">
        <f aca="false">IFERROR(bdp($H41, K$3), 0)</f>
        <v>0</v>
      </c>
      <c r="L41" s="28" t="n">
        <f aca="false">IFERROR(bdp($H41, L$3), 0)</f>
        <v>0</v>
      </c>
      <c r="M41" s="29" t="n">
        <f aca="false">IFERROR(bdp($H41, M$3), 0)</f>
        <v>0</v>
      </c>
    </row>
    <row r="42" customFormat="false" ht="15" hidden="false" customHeight="false" outlineLevel="0" collapsed="false">
      <c r="A42" s="19" t="s">
        <v>106</v>
      </c>
      <c r="B42" s="24" t="s">
        <v>146</v>
      </c>
      <c r="C42" s="24" t="s">
        <v>144</v>
      </c>
      <c r="D42" s="24" t="s">
        <v>141</v>
      </c>
      <c r="E42" s="24" t="s">
        <v>145</v>
      </c>
      <c r="F42" s="25" t="n">
        <f aca="false">Watchlist!$G$8</f>
        <v>0</v>
      </c>
      <c r="G42" s="26" t="n">
        <f aca="false">Calendar!$B$12</f>
        <v>46255</v>
      </c>
      <c r="H42" s="18" t="str">
        <f aca="false">$A$42&amp;" US "&amp;TEXT($G$42,"mm/dd/yy")&amp;" "&amp;"C"&amp;IF($F$42=INT($F$42),INT($F$42),$F$42)&amp;" Equity"</f>
        <v>GDX US 08/21/26 C0 Equity</v>
      </c>
      <c r="I42" s="27" t="n">
        <f aca="false">IFERROR(bdp($H42, I$3), 0)</f>
        <v>0</v>
      </c>
      <c r="J42" s="27" t="n">
        <f aca="false">IFERROR(bdp($H42, J$3), 0)</f>
        <v>0</v>
      </c>
      <c r="K42" s="27" t="n">
        <f aca="false">IFERROR(bdp($H42, K$3), 0)</f>
        <v>0</v>
      </c>
      <c r="L42" s="28" t="n">
        <f aca="false">IFERROR(bdp($H42, L$3), 0)</f>
        <v>0</v>
      </c>
      <c r="M42" s="29" t="n">
        <f aca="false">IFERROR(bdp($H42, M$3), 0)</f>
        <v>0</v>
      </c>
    </row>
    <row r="43" customFormat="false" ht="15" hidden="false" customHeight="false" outlineLevel="0" collapsed="false">
      <c r="A43" s="19" t="s">
        <v>106</v>
      </c>
      <c r="B43" s="24" t="s">
        <v>146</v>
      </c>
      <c r="C43" s="24" t="s">
        <v>144</v>
      </c>
      <c r="D43" s="24" t="s">
        <v>143</v>
      </c>
      <c r="E43" s="24" t="s">
        <v>145</v>
      </c>
      <c r="F43" s="25" t="n">
        <f aca="false">Watchlist!$I$8</f>
        <v>1</v>
      </c>
      <c r="G43" s="26" t="n">
        <f aca="false">Calendar!$B$12</f>
        <v>46255</v>
      </c>
      <c r="H43" s="18" t="str">
        <f aca="false">$A$43&amp;" US "&amp;TEXT($G$43,"mm/dd/yy")&amp;" "&amp;"C"&amp;IF($F$43=INT($F$43),INT($F$43),$F$43)&amp;" Equity"</f>
        <v>GDX US 08/21/26 C1 Equity</v>
      </c>
      <c r="I43" s="27" t="n">
        <f aca="false">IFERROR(bdp($H43, I$3), 0)</f>
        <v>0</v>
      </c>
      <c r="J43" s="27" t="n">
        <f aca="false">IFERROR(bdp($H43, J$3), 0)</f>
        <v>0</v>
      </c>
      <c r="K43" s="27" t="n">
        <f aca="false">IFERROR(bdp($H43, K$3), 0)</f>
        <v>0</v>
      </c>
      <c r="L43" s="28" t="n">
        <f aca="false">IFERROR(bdp($H43, L$3), 0)</f>
        <v>0</v>
      </c>
      <c r="M43" s="29" t="n">
        <f aca="false">IFERROR(bdp($H43, M$3), 0)</f>
        <v>0</v>
      </c>
    </row>
    <row r="44" customFormat="false" ht="15" hidden="false" customHeight="false" outlineLevel="0" collapsed="false">
      <c r="A44" s="19" t="s">
        <v>108</v>
      </c>
      <c r="B44" s="24" t="s">
        <v>139</v>
      </c>
      <c r="C44" s="24" t="s">
        <v>140</v>
      </c>
      <c r="D44" s="24" t="s">
        <v>141</v>
      </c>
      <c r="E44" s="24" t="s">
        <v>142</v>
      </c>
      <c r="F44" s="25" t="n">
        <f aca="false">Watchlist!$F$9</f>
        <v>0</v>
      </c>
      <c r="G44" s="26" t="n">
        <f aca="false">Calendar!$B$11</f>
        <v>46220</v>
      </c>
      <c r="H44" s="18" t="str">
        <f aca="false">$A$44&amp;" US "&amp;TEXT($G$44,"mm/dd/yy")&amp;" "&amp;"P"&amp;IF($F$44=INT($F$44),INT($F$44),$F$44)&amp;" Equity"</f>
        <v>TLT US 07/17/26 P0 Equity</v>
      </c>
      <c r="I44" s="27" t="n">
        <f aca="false">IFERROR(bdp($H44, I$3), 0)</f>
        <v>0</v>
      </c>
      <c r="J44" s="27" t="n">
        <f aca="false">IFERROR(bdp($H44, J$3), 0)</f>
        <v>0</v>
      </c>
      <c r="K44" s="27" t="n">
        <f aca="false">IFERROR(bdp($H44, K$3), 0)</f>
        <v>0</v>
      </c>
      <c r="L44" s="28" t="n">
        <f aca="false">IFERROR(bdp($H44, L$3), 0)</f>
        <v>0</v>
      </c>
      <c r="M44" s="29" t="n">
        <f aca="false">IFERROR(bdp($H44, M$3), 0)</f>
        <v>0</v>
      </c>
    </row>
    <row r="45" customFormat="false" ht="15" hidden="false" customHeight="false" outlineLevel="0" collapsed="false">
      <c r="A45" s="19" t="s">
        <v>108</v>
      </c>
      <c r="B45" s="24" t="s">
        <v>139</v>
      </c>
      <c r="C45" s="24" t="s">
        <v>140</v>
      </c>
      <c r="D45" s="24" t="s">
        <v>143</v>
      </c>
      <c r="E45" s="24" t="s">
        <v>142</v>
      </c>
      <c r="F45" s="25" t="n">
        <f aca="false">Watchlist!$H$9</f>
        <v>-2</v>
      </c>
      <c r="G45" s="26" t="n">
        <f aca="false">Calendar!$B$11</f>
        <v>46220</v>
      </c>
      <c r="H45" s="18" t="str">
        <f aca="false">$A$45&amp;" US "&amp;TEXT($G$45,"mm/dd/yy")&amp;" "&amp;"P"&amp;IF($F$45=INT($F$45),INT($F$45),$F$45)&amp;" Equity"</f>
        <v>TLT US 07/17/26 P-2 Equity</v>
      </c>
      <c r="I45" s="27" t="n">
        <f aca="false">IFERROR(bdp($H45, I$3), 0)</f>
        <v>0</v>
      </c>
      <c r="J45" s="27" t="n">
        <f aca="false">IFERROR(bdp($H45, J$3), 0)</f>
        <v>0</v>
      </c>
      <c r="K45" s="27" t="n">
        <f aca="false">IFERROR(bdp($H45, K$3), 0)</f>
        <v>0</v>
      </c>
      <c r="L45" s="28" t="n">
        <f aca="false">IFERROR(bdp($H45, L$3), 0)</f>
        <v>0</v>
      </c>
      <c r="M45" s="29" t="n">
        <f aca="false">IFERROR(bdp($H45, M$3), 0)</f>
        <v>0</v>
      </c>
    </row>
    <row r="46" customFormat="false" ht="15" hidden="false" customHeight="false" outlineLevel="0" collapsed="false">
      <c r="A46" s="19" t="s">
        <v>108</v>
      </c>
      <c r="B46" s="24" t="s">
        <v>139</v>
      </c>
      <c r="C46" s="24" t="s">
        <v>144</v>
      </c>
      <c r="D46" s="24" t="s">
        <v>141</v>
      </c>
      <c r="E46" s="24" t="s">
        <v>145</v>
      </c>
      <c r="F46" s="25" t="n">
        <f aca="false">Watchlist!$G$9</f>
        <v>0</v>
      </c>
      <c r="G46" s="26" t="n">
        <f aca="false">Calendar!$B$11</f>
        <v>46220</v>
      </c>
      <c r="H46" s="18" t="str">
        <f aca="false">$A$46&amp;" US "&amp;TEXT($G$46,"mm/dd/yy")&amp;" "&amp;"C"&amp;IF($F$46=INT($F$46),INT($F$46),$F$46)&amp;" Equity"</f>
        <v>TLT US 07/17/26 C0 Equity</v>
      </c>
      <c r="I46" s="27" t="n">
        <f aca="false">IFERROR(bdp($H46, I$3), 0)</f>
        <v>0</v>
      </c>
      <c r="J46" s="27" t="n">
        <f aca="false">IFERROR(bdp($H46, J$3), 0)</f>
        <v>0</v>
      </c>
      <c r="K46" s="27" t="n">
        <f aca="false">IFERROR(bdp($H46, K$3), 0)</f>
        <v>0</v>
      </c>
      <c r="L46" s="28" t="n">
        <f aca="false">IFERROR(bdp($H46, L$3), 0)</f>
        <v>0</v>
      </c>
      <c r="M46" s="29" t="n">
        <f aca="false">IFERROR(bdp($H46, M$3), 0)</f>
        <v>0</v>
      </c>
    </row>
    <row r="47" customFormat="false" ht="15" hidden="false" customHeight="false" outlineLevel="0" collapsed="false">
      <c r="A47" s="19" t="s">
        <v>108</v>
      </c>
      <c r="B47" s="24" t="s">
        <v>139</v>
      </c>
      <c r="C47" s="24" t="s">
        <v>144</v>
      </c>
      <c r="D47" s="24" t="s">
        <v>143</v>
      </c>
      <c r="E47" s="24" t="s">
        <v>145</v>
      </c>
      <c r="F47" s="25" t="n">
        <f aca="false">Watchlist!$I$9</f>
        <v>2</v>
      </c>
      <c r="G47" s="26" t="n">
        <f aca="false">Calendar!$B$11</f>
        <v>46220</v>
      </c>
      <c r="H47" s="18" t="str">
        <f aca="false">$A$47&amp;" US "&amp;TEXT($G$47,"mm/dd/yy")&amp;" "&amp;"C"&amp;IF($F$47=INT($F$47),INT($F$47),$F$47)&amp;" Equity"</f>
        <v>TLT US 07/17/26 C2 Equity</v>
      </c>
      <c r="I47" s="27" t="n">
        <f aca="false">IFERROR(bdp($H47, I$3), 0)</f>
        <v>0</v>
      </c>
      <c r="J47" s="27" t="n">
        <f aca="false">IFERROR(bdp($H47, J$3), 0)</f>
        <v>0</v>
      </c>
      <c r="K47" s="27" t="n">
        <f aca="false">IFERROR(bdp($H47, K$3), 0)</f>
        <v>0</v>
      </c>
      <c r="L47" s="28" t="n">
        <f aca="false">IFERROR(bdp($H47, L$3), 0)</f>
        <v>0</v>
      </c>
      <c r="M47" s="29" t="n">
        <f aca="false">IFERROR(bdp($H47, M$3), 0)</f>
        <v>0</v>
      </c>
    </row>
    <row r="48" customFormat="false" ht="15" hidden="false" customHeight="false" outlineLevel="0" collapsed="false">
      <c r="A48" s="19" t="s">
        <v>108</v>
      </c>
      <c r="B48" s="24" t="s">
        <v>146</v>
      </c>
      <c r="C48" s="24" t="s">
        <v>140</v>
      </c>
      <c r="D48" s="24" t="s">
        <v>141</v>
      </c>
      <c r="E48" s="24" t="s">
        <v>142</v>
      </c>
      <c r="F48" s="25" t="n">
        <f aca="false">Watchlist!$F$9</f>
        <v>0</v>
      </c>
      <c r="G48" s="26" t="n">
        <f aca="false">Calendar!$B$12</f>
        <v>46255</v>
      </c>
      <c r="H48" s="18" t="str">
        <f aca="false">$A$48&amp;" US "&amp;TEXT($G$48,"mm/dd/yy")&amp;" "&amp;"P"&amp;IF($F$48=INT($F$48),INT($F$48),$F$48)&amp;" Equity"</f>
        <v>TLT US 08/21/26 P0 Equity</v>
      </c>
      <c r="I48" s="27" t="n">
        <f aca="false">IFERROR(bdp($H48, I$3), 0)</f>
        <v>0</v>
      </c>
      <c r="J48" s="27" t="n">
        <f aca="false">IFERROR(bdp($H48, J$3), 0)</f>
        <v>0</v>
      </c>
      <c r="K48" s="27" t="n">
        <f aca="false">IFERROR(bdp($H48, K$3), 0)</f>
        <v>0</v>
      </c>
      <c r="L48" s="28" t="n">
        <f aca="false">IFERROR(bdp($H48, L$3), 0)</f>
        <v>0</v>
      </c>
      <c r="M48" s="29" t="n">
        <f aca="false">IFERROR(bdp($H48, M$3), 0)</f>
        <v>0</v>
      </c>
    </row>
    <row r="49" customFormat="false" ht="15" hidden="false" customHeight="false" outlineLevel="0" collapsed="false">
      <c r="A49" s="19" t="s">
        <v>108</v>
      </c>
      <c r="B49" s="24" t="s">
        <v>146</v>
      </c>
      <c r="C49" s="24" t="s">
        <v>140</v>
      </c>
      <c r="D49" s="24" t="s">
        <v>143</v>
      </c>
      <c r="E49" s="24" t="s">
        <v>142</v>
      </c>
      <c r="F49" s="25" t="n">
        <f aca="false">Watchlist!$H$9</f>
        <v>-2</v>
      </c>
      <c r="G49" s="26" t="n">
        <f aca="false">Calendar!$B$12</f>
        <v>46255</v>
      </c>
      <c r="H49" s="18" t="str">
        <f aca="false">$A$49&amp;" US "&amp;TEXT($G$49,"mm/dd/yy")&amp;" "&amp;"P"&amp;IF($F$49=INT($F$49),INT($F$49),$F$49)&amp;" Equity"</f>
        <v>TLT US 08/21/26 P-2 Equity</v>
      </c>
      <c r="I49" s="27" t="n">
        <f aca="false">IFERROR(bdp($H49, I$3), 0)</f>
        <v>0</v>
      </c>
      <c r="J49" s="27" t="n">
        <f aca="false">IFERROR(bdp($H49, J$3), 0)</f>
        <v>0</v>
      </c>
      <c r="K49" s="27" t="n">
        <f aca="false">IFERROR(bdp($H49, K$3), 0)</f>
        <v>0</v>
      </c>
      <c r="L49" s="28" t="n">
        <f aca="false">IFERROR(bdp($H49, L$3), 0)</f>
        <v>0</v>
      </c>
      <c r="M49" s="29" t="n">
        <f aca="false">IFERROR(bdp($H49, M$3), 0)</f>
        <v>0</v>
      </c>
    </row>
    <row r="50" customFormat="false" ht="15" hidden="false" customHeight="false" outlineLevel="0" collapsed="false">
      <c r="A50" s="19" t="s">
        <v>108</v>
      </c>
      <c r="B50" s="24" t="s">
        <v>146</v>
      </c>
      <c r="C50" s="24" t="s">
        <v>144</v>
      </c>
      <c r="D50" s="24" t="s">
        <v>141</v>
      </c>
      <c r="E50" s="24" t="s">
        <v>145</v>
      </c>
      <c r="F50" s="25" t="n">
        <f aca="false">Watchlist!$G$9</f>
        <v>0</v>
      </c>
      <c r="G50" s="26" t="n">
        <f aca="false">Calendar!$B$12</f>
        <v>46255</v>
      </c>
      <c r="H50" s="18" t="str">
        <f aca="false">$A$50&amp;" US "&amp;TEXT($G$50,"mm/dd/yy")&amp;" "&amp;"C"&amp;IF($F$50=INT($F$50),INT($F$50),$F$50)&amp;" Equity"</f>
        <v>TLT US 08/21/26 C0 Equity</v>
      </c>
      <c r="I50" s="27" t="n">
        <f aca="false">IFERROR(bdp($H50, I$3), 0)</f>
        <v>0</v>
      </c>
      <c r="J50" s="27" t="n">
        <f aca="false">IFERROR(bdp($H50, J$3), 0)</f>
        <v>0</v>
      </c>
      <c r="K50" s="27" t="n">
        <f aca="false">IFERROR(bdp($H50, K$3), 0)</f>
        <v>0</v>
      </c>
      <c r="L50" s="28" t="n">
        <f aca="false">IFERROR(bdp($H50, L$3), 0)</f>
        <v>0</v>
      </c>
      <c r="M50" s="29" t="n">
        <f aca="false">IFERROR(bdp($H50, M$3), 0)</f>
        <v>0</v>
      </c>
    </row>
    <row r="51" customFormat="false" ht="15" hidden="false" customHeight="false" outlineLevel="0" collapsed="false">
      <c r="A51" s="19" t="s">
        <v>108</v>
      </c>
      <c r="B51" s="24" t="s">
        <v>146</v>
      </c>
      <c r="C51" s="24" t="s">
        <v>144</v>
      </c>
      <c r="D51" s="24" t="s">
        <v>143</v>
      </c>
      <c r="E51" s="24" t="s">
        <v>145</v>
      </c>
      <c r="F51" s="25" t="n">
        <f aca="false">Watchlist!$I$9</f>
        <v>2</v>
      </c>
      <c r="G51" s="26" t="n">
        <f aca="false">Calendar!$B$12</f>
        <v>46255</v>
      </c>
      <c r="H51" s="18" t="str">
        <f aca="false">$A$51&amp;" US "&amp;TEXT($G$51,"mm/dd/yy")&amp;" "&amp;"C"&amp;IF($F$51=INT($F$51),INT($F$51),$F$51)&amp;" Equity"</f>
        <v>TLT US 08/21/26 C2 Equity</v>
      </c>
      <c r="I51" s="27" t="n">
        <f aca="false">IFERROR(bdp($H51, I$3), 0)</f>
        <v>0</v>
      </c>
      <c r="J51" s="27" t="n">
        <f aca="false">IFERROR(bdp($H51, J$3), 0)</f>
        <v>0</v>
      </c>
      <c r="K51" s="27" t="n">
        <f aca="false">IFERROR(bdp($H51, K$3), 0)</f>
        <v>0</v>
      </c>
      <c r="L51" s="28" t="n">
        <f aca="false">IFERROR(bdp($H51, L$3), 0)</f>
        <v>0</v>
      </c>
      <c r="M51" s="29" t="n">
        <f aca="false">IFERROR(bdp($H51, M$3), 0)</f>
        <v>0</v>
      </c>
    </row>
    <row r="52" customFormat="false" ht="15" hidden="false" customHeight="false" outlineLevel="0" collapsed="false">
      <c r="A52" s="19" t="s">
        <v>110</v>
      </c>
      <c r="B52" s="24" t="s">
        <v>139</v>
      </c>
      <c r="C52" s="24" t="s">
        <v>140</v>
      </c>
      <c r="D52" s="24" t="s">
        <v>141</v>
      </c>
      <c r="E52" s="24" t="s">
        <v>142</v>
      </c>
      <c r="F52" s="25" t="n">
        <f aca="false">Watchlist!$F$10</f>
        <v>0</v>
      </c>
      <c r="G52" s="26" t="n">
        <f aca="false">Calendar!$B$11</f>
        <v>46220</v>
      </c>
      <c r="H52" s="18" t="str">
        <f aca="false">$A$52&amp;" US "&amp;TEXT($G$52,"mm/dd/yy")&amp;" "&amp;"P"&amp;IF($F$52=INT($F$52),INT($F$52),$F$52)&amp;" Equity"</f>
        <v>EEM US 07/17/26 P0 Equity</v>
      </c>
      <c r="I52" s="27" t="n">
        <f aca="false">IFERROR(bdp($H52, I$3), 0)</f>
        <v>0</v>
      </c>
      <c r="J52" s="27" t="n">
        <f aca="false">IFERROR(bdp($H52, J$3), 0)</f>
        <v>0</v>
      </c>
      <c r="K52" s="27" t="n">
        <f aca="false">IFERROR(bdp($H52, K$3), 0)</f>
        <v>0</v>
      </c>
      <c r="L52" s="28" t="n">
        <f aca="false">IFERROR(bdp($H52, L$3), 0)</f>
        <v>0</v>
      </c>
      <c r="M52" s="29" t="n">
        <f aca="false">IFERROR(bdp($H52, M$3), 0)</f>
        <v>0</v>
      </c>
    </row>
    <row r="53" customFormat="false" ht="15" hidden="false" customHeight="false" outlineLevel="0" collapsed="false">
      <c r="A53" s="19" t="s">
        <v>110</v>
      </c>
      <c r="B53" s="24" t="s">
        <v>139</v>
      </c>
      <c r="C53" s="24" t="s">
        <v>140</v>
      </c>
      <c r="D53" s="24" t="s">
        <v>143</v>
      </c>
      <c r="E53" s="24" t="s">
        <v>142</v>
      </c>
      <c r="F53" s="25" t="n">
        <f aca="false">Watchlist!$H$10</f>
        <v>-1</v>
      </c>
      <c r="G53" s="26" t="n">
        <f aca="false">Calendar!$B$11</f>
        <v>46220</v>
      </c>
      <c r="H53" s="18" t="str">
        <f aca="false">$A$53&amp;" US "&amp;TEXT($G$53,"mm/dd/yy")&amp;" "&amp;"P"&amp;IF($F$53=INT($F$53),INT($F$53),$F$53)&amp;" Equity"</f>
        <v>EEM US 07/17/26 P-1 Equity</v>
      </c>
      <c r="I53" s="27" t="n">
        <f aca="false">IFERROR(bdp($H53, I$3), 0)</f>
        <v>0</v>
      </c>
      <c r="J53" s="27" t="n">
        <f aca="false">IFERROR(bdp($H53, J$3), 0)</f>
        <v>0</v>
      </c>
      <c r="K53" s="27" t="n">
        <f aca="false">IFERROR(bdp($H53, K$3), 0)</f>
        <v>0</v>
      </c>
      <c r="L53" s="28" t="n">
        <f aca="false">IFERROR(bdp($H53, L$3), 0)</f>
        <v>0</v>
      </c>
      <c r="M53" s="29" t="n">
        <f aca="false">IFERROR(bdp($H53, M$3), 0)</f>
        <v>0</v>
      </c>
    </row>
    <row r="54" customFormat="false" ht="15" hidden="false" customHeight="false" outlineLevel="0" collapsed="false">
      <c r="A54" s="19" t="s">
        <v>110</v>
      </c>
      <c r="B54" s="24" t="s">
        <v>139</v>
      </c>
      <c r="C54" s="24" t="s">
        <v>144</v>
      </c>
      <c r="D54" s="24" t="s">
        <v>141</v>
      </c>
      <c r="E54" s="24" t="s">
        <v>145</v>
      </c>
      <c r="F54" s="25" t="n">
        <f aca="false">Watchlist!$G$10</f>
        <v>0</v>
      </c>
      <c r="G54" s="26" t="n">
        <f aca="false">Calendar!$B$11</f>
        <v>46220</v>
      </c>
      <c r="H54" s="18" t="str">
        <f aca="false">$A$54&amp;" US "&amp;TEXT($G$54,"mm/dd/yy")&amp;" "&amp;"C"&amp;IF($F$54=INT($F$54),INT($F$54),$F$54)&amp;" Equity"</f>
        <v>EEM US 07/17/26 C0 Equity</v>
      </c>
      <c r="I54" s="27" t="n">
        <f aca="false">IFERROR(bdp($H54, I$3), 0)</f>
        <v>0</v>
      </c>
      <c r="J54" s="27" t="n">
        <f aca="false">IFERROR(bdp($H54, J$3), 0)</f>
        <v>0</v>
      </c>
      <c r="K54" s="27" t="n">
        <f aca="false">IFERROR(bdp($H54, K$3), 0)</f>
        <v>0</v>
      </c>
      <c r="L54" s="28" t="n">
        <f aca="false">IFERROR(bdp($H54, L$3), 0)</f>
        <v>0</v>
      </c>
      <c r="M54" s="29" t="n">
        <f aca="false">IFERROR(bdp($H54, M$3), 0)</f>
        <v>0</v>
      </c>
    </row>
    <row r="55" customFormat="false" ht="15" hidden="false" customHeight="false" outlineLevel="0" collapsed="false">
      <c r="A55" s="19" t="s">
        <v>110</v>
      </c>
      <c r="B55" s="24" t="s">
        <v>139</v>
      </c>
      <c r="C55" s="24" t="s">
        <v>144</v>
      </c>
      <c r="D55" s="24" t="s">
        <v>143</v>
      </c>
      <c r="E55" s="24" t="s">
        <v>145</v>
      </c>
      <c r="F55" s="25" t="n">
        <f aca="false">Watchlist!$I$10</f>
        <v>1</v>
      </c>
      <c r="G55" s="26" t="n">
        <f aca="false">Calendar!$B$11</f>
        <v>46220</v>
      </c>
      <c r="H55" s="18" t="str">
        <f aca="false">$A$55&amp;" US "&amp;TEXT($G$55,"mm/dd/yy")&amp;" "&amp;"C"&amp;IF($F$55=INT($F$55),INT($F$55),$F$55)&amp;" Equity"</f>
        <v>EEM US 07/17/26 C1 Equity</v>
      </c>
      <c r="I55" s="27" t="n">
        <f aca="false">IFERROR(bdp($H55, I$3), 0)</f>
        <v>0</v>
      </c>
      <c r="J55" s="27" t="n">
        <f aca="false">IFERROR(bdp($H55, J$3), 0)</f>
        <v>0</v>
      </c>
      <c r="K55" s="27" t="n">
        <f aca="false">IFERROR(bdp($H55, K$3), 0)</f>
        <v>0</v>
      </c>
      <c r="L55" s="28" t="n">
        <f aca="false">IFERROR(bdp($H55, L$3), 0)</f>
        <v>0</v>
      </c>
      <c r="M55" s="29" t="n">
        <f aca="false">IFERROR(bdp($H55, M$3), 0)</f>
        <v>0</v>
      </c>
    </row>
    <row r="56" customFormat="false" ht="15" hidden="false" customHeight="false" outlineLevel="0" collapsed="false">
      <c r="A56" s="19" t="s">
        <v>110</v>
      </c>
      <c r="B56" s="24" t="s">
        <v>146</v>
      </c>
      <c r="C56" s="24" t="s">
        <v>140</v>
      </c>
      <c r="D56" s="24" t="s">
        <v>141</v>
      </c>
      <c r="E56" s="24" t="s">
        <v>142</v>
      </c>
      <c r="F56" s="25" t="n">
        <f aca="false">Watchlist!$F$10</f>
        <v>0</v>
      </c>
      <c r="G56" s="26" t="n">
        <f aca="false">Calendar!$B$12</f>
        <v>46255</v>
      </c>
      <c r="H56" s="18" t="str">
        <f aca="false">$A$56&amp;" US "&amp;TEXT($G$56,"mm/dd/yy")&amp;" "&amp;"P"&amp;IF($F$56=INT($F$56),INT($F$56),$F$56)&amp;" Equity"</f>
        <v>EEM US 08/21/26 P0 Equity</v>
      </c>
      <c r="I56" s="27" t="n">
        <f aca="false">IFERROR(bdp($H56, I$3), 0)</f>
        <v>0</v>
      </c>
      <c r="J56" s="27" t="n">
        <f aca="false">IFERROR(bdp($H56, J$3), 0)</f>
        <v>0</v>
      </c>
      <c r="K56" s="27" t="n">
        <f aca="false">IFERROR(bdp($H56, K$3), 0)</f>
        <v>0</v>
      </c>
      <c r="L56" s="28" t="n">
        <f aca="false">IFERROR(bdp($H56, L$3), 0)</f>
        <v>0</v>
      </c>
      <c r="M56" s="29" t="n">
        <f aca="false">IFERROR(bdp($H56, M$3), 0)</f>
        <v>0</v>
      </c>
    </row>
    <row r="57" customFormat="false" ht="15" hidden="false" customHeight="false" outlineLevel="0" collapsed="false">
      <c r="A57" s="19" t="s">
        <v>110</v>
      </c>
      <c r="B57" s="24" t="s">
        <v>146</v>
      </c>
      <c r="C57" s="24" t="s">
        <v>140</v>
      </c>
      <c r="D57" s="24" t="s">
        <v>143</v>
      </c>
      <c r="E57" s="24" t="s">
        <v>142</v>
      </c>
      <c r="F57" s="25" t="n">
        <f aca="false">Watchlist!$H$10</f>
        <v>-1</v>
      </c>
      <c r="G57" s="26" t="n">
        <f aca="false">Calendar!$B$12</f>
        <v>46255</v>
      </c>
      <c r="H57" s="18" t="str">
        <f aca="false">$A$57&amp;" US "&amp;TEXT($G$57,"mm/dd/yy")&amp;" "&amp;"P"&amp;IF($F$57=INT($F$57),INT($F$57),$F$57)&amp;" Equity"</f>
        <v>EEM US 08/21/26 P-1 Equity</v>
      </c>
      <c r="I57" s="27" t="n">
        <f aca="false">IFERROR(bdp($H57, I$3), 0)</f>
        <v>0</v>
      </c>
      <c r="J57" s="27" t="n">
        <f aca="false">IFERROR(bdp($H57, J$3), 0)</f>
        <v>0</v>
      </c>
      <c r="K57" s="27" t="n">
        <f aca="false">IFERROR(bdp($H57, K$3), 0)</f>
        <v>0</v>
      </c>
      <c r="L57" s="28" t="n">
        <f aca="false">IFERROR(bdp($H57, L$3), 0)</f>
        <v>0</v>
      </c>
      <c r="M57" s="29" t="n">
        <f aca="false">IFERROR(bdp($H57, M$3), 0)</f>
        <v>0</v>
      </c>
    </row>
    <row r="58" customFormat="false" ht="15" hidden="false" customHeight="false" outlineLevel="0" collapsed="false">
      <c r="A58" s="19" t="s">
        <v>110</v>
      </c>
      <c r="B58" s="24" t="s">
        <v>146</v>
      </c>
      <c r="C58" s="24" t="s">
        <v>144</v>
      </c>
      <c r="D58" s="24" t="s">
        <v>141</v>
      </c>
      <c r="E58" s="24" t="s">
        <v>145</v>
      </c>
      <c r="F58" s="25" t="n">
        <f aca="false">Watchlist!$G$10</f>
        <v>0</v>
      </c>
      <c r="G58" s="26" t="n">
        <f aca="false">Calendar!$B$12</f>
        <v>46255</v>
      </c>
      <c r="H58" s="18" t="str">
        <f aca="false">$A$58&amp;" US "&amp;TEXT($G$58,"mm/dd/yy")&amp;" "&amp;"C"&amp;IF($F$58=INT($F$58),INT($F$58),$F$58)&amp;" Equity"</f>
        <v>EEM US 08/21/26 C0 Equity</v>
      </c>
      <c r="I58" s="27" t="n">
        <f aca="false">IFERROR(bdp($H58, I$3), 0)</f>
        <v>0</v>
      </c>
      <c r="J58" s="27" t="n">
        <f aca="false">IFERROR(bdp($H58, J$3), 0)</f>
        <v>0</v>
      </c>
      <c r="K58" s="27" t="n">
        <f aca="false">IFERROR(bdp($H58, K$3), 0)</f>
        <v>0</v>
      </c>
      <c r="L58" s="28" t="n">
        <f aca="false">IFERROR(bdp($H58, L$3), 0)</f>
        <v>0</v>
      </c>
      <c r="M58" s="29" t="n">
        <f aca="false">IFERROR(bdp($H58, M$3), 0)</f>
        <v>0</v>
      </c>
    </row>
    <row r="59" customFormat="false" ht="15" hidden="false" customHeight="false" outlineLevel="0" collapsed="false">
      <c r="A59" s="19" t="s">
        <v>110</v>
      </c>
      <c r="B59" s="24" t="s">
        <v>146</v>
      </c>
      <c r="C59" s="24" t="s">
        <v>144</v>
      </c>
      <c r="D59" s="24" t="s">
        <v>143</v>
      </c>
      <c r="E59" s="24" t="s">
        <v>145</v>
      </c>
      <c r="F59" s="25" t="n">
        <f aca="false">Watchlist!$I$10</f>
        <v>1</v>
      </c>
      <c r="G59" s="26" t="n">
        <f aca="false">Calendar!$B$12</f>
        <v>46255</v>
      </c>
      <c r="H59" s="18" t="str">
        <f aca="false">$A$59&amp;" US "&amp;TEXT($G$59,"mm/dd/yy")&amp;" "&amp;"C"&amp;IF($F$59=INT($F$59),INT($F$59),$F$59)&amp;" Equity"</f>
        <v>EEM US 08/21/26 C1 Equity</v>
      </c>
      <c r="I59" s="27" t="n">
        <f aca="false">IFERROR(bdp($H59, I$3), 0)</f>
        <v>0</v>
      </c>
      <c r="J59" s="27" t="n">
        <f aca="false">IFERROR(bdp($H59, J$3), 0)</f>
        <v>0</v>
      </c>
      <c r="K59" s="27" t="n">
        <f aca="false">IFERROR(bdp($H59, K$3), 0)</f>
        <v>0</v>
      </c>
      <c r="L59" s="28" t="n">
        <f aca="false">IFERROR(bdp($H59, L$3), 0)</f>
        <v>0</v>
      </c>
      <c r="M59" s="29" t="n">
        <f aca="false">IFERROR(bdp($H59, M$3), 0)</f>
        <v>0</v>
      </c>
    </row>
    <row r="60" customFormat="false" ht="15" hidden="false" customHeight="false" outlineLevel="0" collapsed="false">
      <c r="A60" s="19" t="s">
        <v>112</v>
      </c>
      <c r="B60" s="24" t="s">
        <v>139</v>
      </c>
      <c r="C60" s="24" t="s">
        <v>140</v>
      </c>
      <c r="D60" s="24" t="s">
        <v>141</v>
      </c>
      <c r="E60" s="24" t="s">
        <v>142</v>
      </c>
      <c r="F60" s="25" t="n">
        <f aca="false">Watchlist!$F$11</f>
        <v>0</v>
      </c>
      <c r="G60" s="26" t="n">
        <f aca="false">Calendar!$B$11</f>
        <v>46220</v>
      </c>
      <c r="H60" s="18" t="str">
        <f aca="false">$A$60&amp;" US "&amp;TEXT($G$60,"mm/dd/yy")&amp;" "&amp;"P"&amp;IF($F$60=INT($F$60),INT($F$60),$F$60)&amp;" Equity"</f>
        <v>EWZ US 07/17/26 P0 Equity</v>
      </c>
      <c r="I60" s="27" t="n">
        <f aca="false">IFERROR(bdp($H60, I$3), 0)</f>
        <v>0</v>
      </c>
      <c r="J60" s="27" t="n">
        <f aca="false">IFERROR(bdp($H60, J$3), 0)</f>
        <v>0</v>
      </c>
      <c r="K60" s="27" t="n">
        <f aca="false">IFERROR(bdp($H60, K$3), 0)</f>
        <v>0</v>
      </c>
      <c r="L60" s="28" t="n">
        <f aca="false">IFERROR(bdp($H60, L$3), 0)</f>
        <v>0</v>
      </c>
      <c r="M60" s="29" t="n">
        <f aca="false">IFERROR(bdp($H60, M$3), 0)</f>
        <v>0</v>
      </c>
    </row>
    <row r="61" customFormat="false" ht="15" hidden="false" customHeight="false" outlineLevel="0" collapsed="false">
      <c r="A61" s="19" t="s">
        <v>112</v>
      </c>
      <c r="B61" s="24" t="s">
        <v>139</v>
      </c>
      <c r="C61" s="24" t="s">
        <v>140</v>
      </c>
      <c r="D61" s="24" t="s">
        <v>143</v>
      </c>
      <c r="E61" s="24" t="s">
        <v>142</v>
      </c>
      <c r="F61" s="25" t="n">
        <f aca="false">Watchlist!$H$11</f>
        <v>-1</v>
      </c>
      <c r="G61" s="26" t="n">
        <f aca="false">Calendar!$B$11</f>
        <v>46220</v>
      </c>
      <c r="H61" s="18" t="str">
        <f aca="false">$A$61&amp;" US "&amp;TEXT($G$61,"mm/dd/yy")&amp;" "&amp;"P"&amp;IF($F$61=INT($F$61),INT($F$61),$F$61)&amp;" Equity"</f>
        <v>EWZ US 07/17/26 P-1 Equity</v>
      </c>
      <c r="I61" s="27" t="n">
        <f aca="false">IFERROR(bdp($H61, I$3), 0)</f>
        <v>0</v>
      </c>
      <c r="J61" s="27" t="n">
        <f aca="false">IFERROR(bdp($H61, J$3), 0)</f>
        <v>0</v>
      </c>
      <c r="K61" s="27" t="n">
        <f aca="false">IFERROR(bdp($H61, K$3), 0)</f>
        <v>0</v>
      </c>
      <c r="L61" s="28" t="n">
        <f aca="false">IFERROR(bdp($H61, L$3), 0)</f>
        <v>0</v>
      </c>
      <c r="M61" s="29" t="n">
        <f aca="false">IFERROR(bdp($H61, M$3), 0)</f>
        <v>0</v>
      </c>
    </row>
    <row r="62" customFormat="false" ht="15" hidden="false" customHeight="false" outlineLevel="0" collapsed="false">
      <c r="A62" s="19" t="s">
        <v>112</v>
      </c>
      <c r="B62" s="24" t="s">
        <v>139</v>
      </c>
      <c r="C62" s="24" t="s">
        <v>144</v>
      </c>
      <c r="D62" s="24" t="s">
        <v>141</v>
      </c>
      <c r="E62" s="24" t="s">
        <v>145</v>
      </c>
      <c r="F62" s="25" t="n">
        <f aca="false">Watchlist!$G$11</f>
        <v>0</v>
      </c>
      <c r="G62" s="26" t="n">
        <f aca="false">Calendar!$B$11</f>
        <v>46220</v>
      </c>
      <c r="H62" s="18" t="str">
        <f aca="false">$A$62&amp;" US "&amp;TEXT($G$62,"mm/dd/yy")&amp;" "&amp;"C"&amp;IF($F$62=INT($F$62),INT($F$62),$F$62)&amp;" Equity"</f>
        <v>EWZ US 07/17/26 C0 Equity</v>
      </c>
      <c r="I62" s="27" t="n">
        <f aca="false">IFERROR(bdp($H62, I$3), 0)</f>
        <v>0</v>
      </c>
      <c r="J62" s="27" t="n">
        <f aca="false">IFERROR(bdp($H62, J$3), 0)</f>
        <v>0</v>
      </c>
      <c r="K62" s="27" t="n">
        <f aca="false">IFERROR(bdp($H62, K$3), 0)</f>
        <v>0</v>
      </c>
      <c r="L62" s="28" t="n">
        <f aca="false">IFERROR(bdp($H62, L$3), 0)</f>
        <v>0</v>
      </c>
      <c r="M62" s="29" t="n">
        <f aca="false">IFERROR(bdp($H62, M$3), 0)</f>
        <v>0</v>
      </c>
    </row>
    <row r="63" customFormat="false" ht="15" hidden="false" customHeight="false" outlineLevel="0" collapsed="false">
      <c r="A63" s="19" t="s">
        <v>112</v>
      </c>
      <c r="B63" s="24" t="s">
        <v>139</v>
      </c>
      <c r="C63" s="24" t="s">
        <v>144</v>
      </c>
      <c r="D63" s="24" t="s">
        <v>143</v>
      </c>
      <c r="E63" s="24" t="s">
        <v>145</v>
      </c>
      <c r="F63" s="25" t="n">
        <f aca="false">Watchlist!$I$11</f>
        <v>1</v>
      </c>
      <c r="G63" s="26" t="n">
        <f aca="false">Calendar!$B$11</f>
        <v>46220</v>
      </c>
      <c r="H63" s="18" t="str">
        <f aca="false">$A$63&amp;" US "&amp;TEXT($G$63,"mm/dd/yy")&amp;" "&amp;"C"&amp;IF($F$63=INT($F$63),INT($F$63),$F$63)&amp;" Equity"</f>
        <v>EWZ US 07/17/26 C1 Equity</v>
      </c>
      <c r="I63" s="27" t="n">
        <f aca="false">IFERROR(bdp($H63, I$3), 0)</f>
        <v>0</v>
      </c>
      <c r="J63" s="27" t="n">
        <f aca="false">IFERROR(bdp($H63, J$3), 0)</f>
        <v>0</v>
      </c>
      <c r="K63" s="27" t="n">
        <f aca="false">IFERROR(bdp($H63, K$3), 0)</f>
        <v>0</v>
      </c>
      <c r="L63" s="28" t="n">
        <f aca="false">IFERROR(bdp($H63, L$3), 0)</f>
        <v>0</v>
      </c>
      <c r="M63" s="29" t="n">
        <f aca="false">IFERROR(bdp($H63, M$3), 0)</f>
        <v>0</v>
      </c>
    </row>
    <row r="64" customFormat="false" ht="15" hidden="false" customHeight="false" outlineLevel="0" collapsed="false">
      <c r="A64" s="19" t="s">
        <v>112</v>
      </c>
      <c r="B64" s="24" t="s">
        <v>146</v>
      </c>
      <c r="C64" s="24" t="s">
        <v>140</v>
      </c>
      <c r="D64" s="24" t="s">
        <v>141</v>
      </c>
      <c r="E64" s="24" t="s">
        <v>142</v>
      </c>
      <c r="F64" s="25" t="n">
        <f aca="false">Watchlist!$F$11</f>
        <v>0</v>
      </c>
      <c r="G64" s="26" t="n">
        <f aca="false">Calendar!$B$12</f>
        <v>46255</v>
      </c>
      <c r="H64" s="18" t="str">
        <f aca="false">$A$64&amp;" US "&amp;TEXT($G$64,"mm/dd/yy")&amp;" "&amp;"P"&amp;IF($F$64=INT($F$64),INT($F$64),$F$64)&amp;" Equity"</f>
        <v>EWZ US 08/21/26 P0 Equity</v>
      </c>
      <c r="I64" s="27" t="n">
        <f aca="false">IFERROR(bdp($H64, I$3), 0)</f>
        <v>0</v>
      </c>
      <c r="J64" s="27" t="n">
        <f aca="false">IFERROR(bdp($H64, J$3), 0)</f>
        <v>0</v>
      </c>
      <c r="K64" s="27" t="n">
        <f aca="false">IFERROR(bdp($H64, K$3), 0)</f>
        <v>0</v>
      </c>
      <c r="L64" s="28" t="n">
        <f aca="false">IFERROR(bdp($H64, L$3), 0)</f>
        <v>0</v>
      </c>
      <c r="M64" s="29" t="n">
        <f aca="false">IFERROR(bdp($H64, M$3), 0)</f>
        <v>0</v>
      </c>
    </row>
    <row r="65" customFormat="false" ht="15" hidden="false" customHeight="false" outlineLevel="0" collapsed="false">
      <c r="A65" s="19" t="s">
        <v>112</v>
      </c>
      <c r="B65" s="24" t="s">
        <v>146</v>
      </c>
      <c r="C65" s="24" t="s">
        <v>140</v>
      </c>
      <c r="D65" s="24" t="s">
        <v>143</v>
      </c>
      <c r="E65" s="24" t="s">
        <v>142</v>
      </c>
      <c r="F65" s="25" t="n">
        <f aca="false">Watchlist!$H$11</f>
        <v>-1</v>
      </c>
      <c r="G65" s="26" t="n">
        <f aca="false">Calendar!$B$12</f>
        <v>46255</v>
      </c>
      <c r="H65" s="18" t="str">
        <f aca="false">$A$65&amp;" US "&amp;TEXT($G$65,"mm/dd/yy")&amp;" "&amp;"P"&amp;IF($F$65=INT($F$65),INT($F$65),$F$65)&amp;" Equity"</f>
        <v>EWZ US 08/21/26 P-1 Equity</v>
      </c>
      <c r="I65" s="27" t="n">
        <f aca="false">IFERROR(bdp($H65, I$3), 0)</f>
        <v>0</v>
      </c>
      <c r="J65" s="27" t="n">
        <f aca="false">IFERROR(bdp($H65, J$3), 0)</f>
        <v>0</v>
      </c>
      <c r="K65" s="27" t="n">
        <f aca="false">IFERROR(bdp($H65, K$3), 0)</f>
        <v>0</v>
      </c>
      <c r="L65" s="28" t="n">
        <f aca="false">IFERROR(bdp($H65, L$3), 0)</f>
        <v>0</v>
      </c>
      <c r="M65" s="29" t="n">
        <f aca="false">IFERROR(bdp($H65, M$3), 0)</f>
        <v>0</v>
      </c>
    </row>
    <row r="66" customFormat="false" ht="15" hidden="false" customHeight="false" outlineLevel="0" collapsed="false">
      <c r="A66" s="19" t="s">
        <v>112</v>
      </c>
      <c r="B66" s="24" t="s">
        <v>146</v>
      </c>
      <c r="C66" s="24" t="s">
        <v>144</v>
      </c>
      <c r="D66" s="24" t="s">
        <v>141</v>
      </c>
      <c r="E66" s="24" t="s">
        <v>145</v>
      </c>
      <c r="F66" s="25" t="n">
        <f aca="false">Watchlist!$G$11</f>
        <v>0</v>
      </c>
      <c r="G66" s="26" t="n">
        <f aca="false">Calendar!$B$12</f>
        <v>46255</v>
      </c>
      <c r="H66" s="18" t="str">
        <f aca="false">$A$66&amp;" US "&amp;TEXT($G$66,"mm/dd/yy")&amp;" "&amp;"C"&amp;IF($F$66=INT($F$66),INT($F$66),$F$66)&amp;" Equity"</f>
        <v>EWZ US 08/21/26 C0 Equity</v>
      </c>
      <c r="I66" s="27" t="n">
        <f aca="false">IFERROR(bdp($H66, I$3), 0)</f>
        <v>0</v>
      </c>
      <c r="J66" s="27" t="n">
        <f aca="false">IFERROR(bdp($H66, J$3), 0)</f>
        <v>0</v>
      </c>
      <c r="K66" s="27" t="n">
        <f aca="false">IFERROR(bdp($H66, K$3), 0)</f>
        <v>0</v>
      </c>
      <c r="L66" s="28" t="n">
        <f aca="false">IFERROR(bdp($H66, L$3), 0)</f>
        <v>0</v>
      </c>
      <c r="M66" s="29" t="n">
        <f aca="false">IFERROR(bdp($H66, M$3), 0)</f>
        <v>0</v>
      </c>
    </row>
    <row r="67" customFormat="false" ht="15" hidden="false" customHeight="false" outlineLevel="0" collapsed="false">
      <c r="A67" s="19" t="s">
        <v>112</v>
      </c>
      <c r="B67" s="24" t="s">
        <v>146</v>
      </c>
      <c r="C67" s="24" t="s">
        <v>144</v>
      </c>
      <c r="D67" s="24" t="s">
        <v>143</v>
      </c>
      <c r="E67" s="24" t="s">
        <v>145</v>
      </c>
      <c r="F67" s="25" t="n">
        <f aca="false">Watchlist!$I$11</f>
        <v>1</v>
      </c>
      <c r="G67" s="26" t="n">
        <f aca="false">Calendar!$B$12</f>
        <v>46255</v>
      </c>
      <c r="H67" s="18" t="str">
        <f aca="false">$A$67&amp;" US "&amp;TEXT($G$67,"mm/dd/yy")&amp;" "&amp;"C"&amp;IF($F$67=INT($F$67),INT($F$67),$F$67)&amp;" Equity"</f>
        <v>EWZ US 08/21/26 C1 Equity</v>
      </c>
      <c r="I67" s="27" t="n">
        <f aca="false">IFERROR(bdp($H67, I$3), 0)</f>
        <v>0</v>
      </c>
      <c r="J67" s="27" t="n">
        <f aca="false">IFERROR(bdp($H67, J$3), 0)</f>
        <v>0</v>
      </c>
      <c r="K67" s="27" t="n">
        <f aca="false">IFERROR(bdp($H67, K$3), 0)</f>
        <v>0</v>
      </c>
      <c r="L67" s="28" t="n">
        <f aca="false">IFERROR(bdp($H67, L$3), 0)</f>
        <v>0</v>
      </c>
      <c r="M67" s="29" t="n">
        <f aca="false">IFERROR(bdp($H67, M$3), 0)</f>
        <v>0</v>
      </c>
    </row>
    <row r="68" customFormat="false" ht="15" hidden="false" customHeight="false" outlineLevel="0" collapsed="false">
      <c r="A68" s="19" t="s">
        <v>114</v>
      </c>
      <c r="B68" s="24" t="s">
        <v>139</v>
      </c>
      <c r="C68" s="24" t="s">
        <v>140</v>
      </c>
      <c r="D68" s="24" t="s">
        <v>141</v>
      </c>
      <c r="E68" s="24" t="s">
        <v>142</v>
      </c>
      <c r="F68" s="25" t="n">
        <f aca="false">Watchlist!$F$12</f>
        <v>0</v>
      </c>
      <c r="G68" s="26" t="n">
        <f aca="false">Calendar!$B$11</f>
        <v>46220</v>
      </c>
      <c r="H68" s="18" t="str">
        <f aca="false">$A$68&amp;" US "&amp;TEXT($G$68,"mm/dd/yy")&amp;" "&amp;"P"&amp;IF($F$68=INT($F$68),INT($F$68),$F$68)&amp;" Equity"</f>
        <v>XLF US 07/17/26 P0 Equity</v>
      </c>
      <c r="I68" s="27" t="n">
        <f aca="false">IFERROR(bdp($H68, I$3), 0)</f>
        <v>0</v>
      </c>
      <c r="J68" s="27" t="n">
        <f aca="false">IFERROR(bdp($H68, J$3), 0)</f>
        <v>0</v>
      </c>
      <c r="K68" s="27" t="n">
        <f aca="false">IFERROR(bdp($H68, K$3), 0)</f>
        <v>0</v>
      </c>
      <c r="L68" s="28" t="n">
        <f aca="false">IFERROR(bdp($H68, L$3), 0)</f>
        <v>0</v>
      </c>
      <c r="M68" s="29" t="n">
        <f aca="false">IFERROR(bdp($H68, M$3), 0)</f>
        <v>0</v>
      </c>
    </row>
    <row r="69" customFormat="false" ht="15" hidden="false" customHeight="false" outlineLevel="0" collapsed="false">
      <c r="A69" s="19" t="s">
        <v>114</v>
      </c>
      <c r="B69" s="24" t="s">
        <v>139</v>
      </c>
      <c r="C69" s="24" t="s">
        <v>140</v>
      </c>
      <c r="D69" s="24" t="s">
        <v>143</v>
      </c>
      <c r="E69" s="24" t="s">
        <v>142</v>
      </c>
      <c r="F69" s="25" t="n">
        <f aca="false">Watchlist!$H$12</f>
        <v>-2</v>
      </c>
      <c r="G69" s="26" t="n">
        <f aca="false">Calendar!$B$11</f>
        <v>46220</v>
      </c>
      <c r="H69" s="18" t="str">
        <f aca="false">$A$69&amp;" US "&amp;TEXT($G$69,"mm/dd/yy")&amp;" "&amp;"P"&amp;IF($F$69=INT($F$69),INT($F$69),$F$69)&amp;" Equity"</f>
        <v>XLF US 07/17/26 P-2 Equity</v>
      </c>
      <c r="I69" s="27" t="n">
        <f aca="false">IFERROR(bdp($H69, I$3), 0)</f>
        <v>0</v>
      </c>
      <c r="J69" s="27" t="n">
        <f aca="false">IFERROR(bdp($H69, J$3), 0)</f>
        <v>0</v>
      </c>
      <c r="K69" s="27" t="n">
        <f aca="false">IFERROR(bdp($H69, K$3), 0)</f>
        <v>0</v>
      </c>
      <c r="L69" s="28" t="n">
        <f aca="false">IFERROR(bdp($H69, L$3), 0)</f>
        <v>0</v>
      </c>
      <c r="M69" s="29" t="n">
        <f aca="false">IFERROR(bdp($H69, M$3), 0)</f>
        <v>0</v>
      </c>
    </row>
    <row r="70" customFormat="false" ht="15" hidden="false" customHeight="false" outlineLevel="0" collapsed="false">
      <c r="A70" s="19" t="s">
        <v>114</v>
      </c>
      <c r="B70" s="24" t="s">
        <v>139</v>
      </c>
      <c r="C70" s="24" t="s">
        <v>144</v>
      </c>
      <c r="D70" s="24" t="s">
        <v>141</v>
      </c>
      <c r="E70" s="24" t="s">
        <v>145</v>
      </c>
      <c r="F70" s="25" t="n">
        <f aca="false">Watchlist!$G$12</f>
        <v>0</v>
      </c>
      <c r="G70" s="26" t="n">
        <f aca="false">Calendar!$B$11</f>
        <v>46220</v>
      </c>
      <c r="H70" s="18" t="str">
        <f aca="false">$A$70&amp;" US "&amp;TEXT($G$70,"mm/dd/yy")&amp;" "&amp;"C"&amp;IF($F$70=INT($F$70),INT($F$70),$F$70)&amp;" Equity"</f>
        <v>XLF US 07/17/26 C0 Equity</v>
      </c>
      <c r="I70" s="27" t="n">
        <f aca="false">IFERROR(bdp($H70, I$3), 0)</f>
        <v>0</v>
      </c>
      <c r="J70" s="27" t="n">
        <f aca="false">IFERROR(bdp($H70, J$3), 0)</f>
        <v>0</v>
      </c>
      <c r="K70" s="27" t="n">
        <f aca="false">IFERROR(bdp($H70, K$3), 0)</f>
        <v>0</v>
      </c>
      <c r="L70" s="28" t="n">
        <f aca="false">IFERROR(bdp($H70, L$3), 0)</f>
        <v>0</v>
      </c>
      <c r="M70" s="29" t="n">
        <f aca="false">IFERROR(bdp($H70, M$3), 0)</f>
        <v>0</v>
      </c>
    </row>
    <row r="71" customFormat="false" ht="15" hidden="false" customHeight="false" outlineLevel="0" collapsed="false">
      <c r="A71" s="19" t="s">
        <v>114</v>
      </c>
      <c r="B71" s="24" t="s">
        <v>139</v>
      </c>
      <c r="C71" s="24" t="s">
        <v>144</v>
      </c>
      <c r="D71" s="24" t="s">
        <v>143</v>
      </c>
      <c r="E71" s="24" t="s">
        <v>145</v>
      </c>
      <c r="F71" s="25" t="n">
        <f aca="false">Watchlist!$I$12</f>
        <v>2</v>
      </c>
      <c r="G71" s="26" t="n">
        <f aca="false">Calendar!$B$11</f>
        <v>46220</v>
      </c>
      <c r="H71" s="18" t="str">
        <f aca="false">$A$71&amp;" US "&amp;TEXT($G$71,"mm/dd/yy")&amp;" "&amp;"C"&amp;IF($F$71=INT($F$71),INT($F$71),$F$71)&amp;" Equity"</f>
        <v>XLF US 07/17/26 C2 Equity</v>
      </c>
      <c r="I71" s="27" t="n">
        <f aca="false">IFERROR(bdp($H71, I$3), 0)</f>
        <v>0</v>
      </c>
      <c r="J71" s="27" t="n">
        <f aca="false">IFERROR(bdp($H71, J$3), 0)</f>
        <v>0</v>
      </c>
      <c r="K71" s="27" t="n">
        <f aca="false">IFERROR(bdp($H71, K$3), 0)</f>
        <v>0</v>
      </c>
      <c r="L71" s="28" t="n">
        <f aca="false">IFERROR(bdp($H71, L$3), 0)</f>
        <v>0</v>
      </c>
      <c r="M71" s="29" t="n">
        <f aca="false">IFERROR(bdp($H71, M$3), 0)</f>
        <v>0</v>
      </c>
    </row>
    <row r="72" customFormat="false" ht="15" hidden="false" customHeight="false" outlineLevel="0" collapsed="false">
      <c r="A72" s="19" t="s">
        <v>114</v>
      </c>
      <c r="B72" s="24" t="s">
        <v>146</v>
      </c>
      <c r="C72" s="24" t="s">
        <v>140</v>
      </c>
      <c r="D72" s="24" t="s">
        <v>141</v>
      </c>
      <c r="E72" s="24" t="s">
        <v>142</v>
      </c>
      <c r="F72" s="25" t="n">
        <f aca="false">Watchlist!$F$12</f>
        <v>0</v>
      </c>
      <c r="G72" s="26" t="n">
        <f aca="false">Calendar!$B$12</f>
        <v>46255</v>
      </c>
      <c r="H72" s="18" t="str">
        <f aca="false">$A$72&amp;" US "&amp;TEXT($G$72,"mm/dd/yy")&amp;" "&amp;"P"&amp;IF($F$72=INT($F$72),INT($F$72),$F$72)&amp;" Equity"</f>
        <v>XLF US 08/21/26 P0 Equity</v>
      </c>
      <c r="I72" s="27" t="n">
        <f aca="false">IFERROR(bdp($H72, I$3), 0)</f>
        <v>0</v>
      </c>
      <c r="J72" s="27" t="n">
        <f aca="false">IFERROR(bdp($H72, J$3), 0)</f>
        <v>0</v>
      </c>
      <c r="K72" s="27" t="n">
        <f aca="false">IFERROR(bdp($H72, K$3), 0)</f>
        <v>0</v>
      </c>
      <c r="L72" s="28" t="n">
        <f aca="false">IFERROR(bdp($H72, L$3), 0)</f>
        <v>0</v>
      </c>
      <c r="M72" s="29" t="n">
        <f aca="false">IFERROR(bdp($H72, M$3), 0)</f>
        <v>0</v>
      </c>
    </row>
    <row r="73" customFormat="false" ht="15" hidden="false" customHeight="false" outlineLevel="0" collapsed="false">
      <c r="A73" s="19" t="s">
        <v>114</v>
      </c>
      <c r="B73" s="24" t="s">
        <v>146</v>
      </c>
      <c r="C73" s="24" t="s">
        <v>140</v>
      </c>
      <c r="D73" s="24" t="s">
        <v>143</v>
      </c>
      <c r="E73" s="24" t="s">
        <v>142</v>
      </c>
      <c r="F73" s="25" t="n">
        <f aca="false">Watchlist!$H$12</f>
        <v>-2</v>
      </c>
      <c r="G73" s="26" t="n">
        <f aca="false">Calendar!$B$12</f>
        <v>46255</v>
      </c>
      <c r="H73" s="18" t="str">
        <f aca="false">$A$73&amp;" US "&amp;TEXT($G$73,"mm/dd/yy")&amp;" "&amp;"P"&amp;IF($F$73=INT($F$73),INT($F$73),$F$73)&amp;" Equity"</f>
        <v>XLF US 08/21/26 P-2 Equity</v>
      </c>
      <c r="I73" s="27" t="n">
        <f aca="false">IFERROR(bdp($H73, I$3), 0)</f>
        <v>0</v>
      </c>
      <c r="J73" s="27" t="n">
        <f aca="false">IFERROR(bdp($H73, J$3), 0)</f>
        <v>0</v>
      </c>
      <c r="K73" s="27" t="n">
        <f aca="false">IFERROR(bdp($H73, K$3), 0)</f>
        <v>0</v>
      </c>
      <c r="L73" s="28" t="n">
        <f aca="false">IFERROR(bdp($H73, L$3), 0)</f>
        <v>0</v>
      </c>
      <c r="M73" s="29" t="n">
        <f aca="false">IFERROR(bdp($H73, M$3), 0)</f>
        <v>0</v>
      </c>
    </row>
    <row r="74" customFormat="false" ht="15" hidden="false" customHeight="false" outlineLevel="0" collapsed="false">
      <c r="A74" s="19" t="s">
        <v>114</v>
      </c>
      <c r="B74" s="24" t="s">
        <v>146</v>
      </c>
      <c r="C74" s="24" t="s">
        <v>144</v>
      </c>
      <c r="D74" s="24" t="s">
        <v>141</v>
      </c>
      <c r="E74" s="24" t="s">
        <v>145</v>
      </c>
      <c r="F74" s="25" t="n">
        <f aca="false">Watchlist!$G$12</f>
        <v>0</v>
      </c>
      <c r="G74" s="26" t="n">
        <f aca="false">Calendar!$B$12</f>
        <v>46255</v>
      </c>
      <c r="H74" s="18" t="str">
        <f aca="false">$A$74&amp;" US "&amp;TEXT($G$74,"mm/dd/yy")&amp;" "&amp;"C"&amp;IF($F$74=INT($F$74),INT($F$74),$F$74)&amp;" Equity"</f>
        <v>XLF US 08/21/26 C0 Equity</v>
      </c>
      <c r="I74" s="27" t="n">
        <f aca="false">IFERROR(bdp($H74, I$3), 0)</f>
        <v>0</v>
      </c>
      <c r="J74" s="27" t="n">
        <f aca="false">IFERROR(bdp($H74, J$3), 0)</f>
        <v>0</v>
      </c>
      <c r="K74" s="27" t="n">
        <f aca="false">IFERROR(bdp($H74, K$3), 0)</f>
        <v>0</v>
      </c>
      <c r="L74" s="28" t="n">
        <f aca="false">IFERROR(bdp($H74, L$3), 0)</f>
        <v>0</v>
      </c>
      <c r="M74" s="29" t="n">
        <f aca="false">IFERROR(bdp($H74, M$3), 0)</f>
        <v>0</v>
      </c>
    </row>
    <row r="75" customFormat="false" ht="15" hidden="false" customHeight="false" outlineLevel="0" collapsed="false">
      <c r="A75" s="19" t="s">
        <v>114</v>
      </c>
      <c r="B75" s="24" t="s">
        <v>146</v>
      </c>
      <c r="C75" s="24" t="s">
        <v>144</v>
      </c>
      <c r="D75" s="24" t="s">
        <v>143</v>
      </c>
      <c r="E75" s="24" t="s">
        <v>145</v>
      </c>
      <c r="F75" s="25" t="n">
        <f aca="false">Watchlist!$I$12</f>
        <v>2</v>
      </c>
      <c r="G75" s="26" t="n">
        <f aca="false">Calendar!$B$12</f>
        <v>46255</v>
      </c>
      <c r="H75" s="18" t="str">
        <f aca="false">$A$75&amp;" US "&amp;TEXT($G$75,"mm/dd/yy")&amp;" "&amp;"C"&amp;IF($F$75=INT($F$75),INT($F$75),$F$75)&amp;" Equity"</f>
        <v>XLF US 08/21/26 C2 Equity</v>
      </c>
      <c r="I75" s="27" t="n">
        <f aca="false">IFERROR(bdp($H75, I$3), 0)</f>
        <v>0</v>
      </c>
      <c r="J75" s="27" t="n">
        <f aca="false">IFERROR(bdp($H75, J$3), 0)</f>
        <v>0</v>
      </c>
      <c r="K75" s="27" t="n">
        <f aca="false">IFERROR(bdp($H75, K$3), 0)</f>
        <v>0</v>
      </c>
      <c r="L75" s="28" t="n">
        <f aca="false">IFERROR(bdp($H75, L$3), 0)</f>
        <v>0</v>
      </c>
      <c r="M75" s="29" t="n">
        <f aca="false">IFERROR(bdp($H75, M$3), 0)</f>
        <v>0</v>
      </c>
    </row>
    <row r="76" customFormat="false" ht="15" hidden="false" customHeight="false" outlineLevel="0" collapsed="false">
      <c r="A76" s="19" t="s">
        <v>116</v>
      </c>
      <c r="B76" s="24" t="s">
        <v>139</v>
      </c>
      <c r="C76" s="24" t="s">
        <v>140</v>
      </c>
      <c r="D76" s="24" t="s">
        <v>141</v>
      </c>
      <c r="E76" s="24" t="s">
        <v>142</v>
      </c>
      <c r="F76" s="25" t="n">
        <f aca="false">Watchlist!$F$13</f>
        <v>0</v>
      </c>
      <c r="G76" s="26" t="n">
        <f aca="false">Calendar!$B$11</f>
        <v>46220</v>
      </c>
      <c r="H76" s="18" t="str">
        <f aca="false">$A$76&amp;" US "&amp;TEXT($G$76,"mm/dd/yy")&amp;" "&amp;"P"&amp;IF($F$76=INT($F$76),INT($F$76),$F$76)&amp;" Equity"</f>
        <v>XLE US 07/17/26 P0 Equity</v>
      </c>
      <c r="I76" s="27" t="n">
        <f aca="false">IFERROR(bdp($H76, I$3), 0)</f>
        <v>0</v>
      </c>
      <c r="J76" s="27" t="n">
        <f aca="false">IFERROR(bdp($H76, J$3), 0)</f>
        <v>0</v>
      </c>
      <c r="K76" s="27" t="n">
        <f aca="false">IFERROR(bdp($H76, K$3), 0)</f>
        <v>0</v>
      </c>
      <c r="L76" s="28" t="n">
        <f aca="false">IFERROR(bdp($H76, L$3), 0)</f>
        <v>0</v>
      </c>
      <c r="M76" s="29" t="n">
        <f aca="false">IFERROR(bdp($H76, M$3), 0)</f>
        <v>0</v>
      </c>
    </row>
    <row r="77" customFormat="false" ht="15" hidden="false" customHeight="false" outlineLevel="0" collapsed="false">
      <c r="A77" s="19" t="s">
        <v>116</v>
      </c>
      <c r="B77" s="24" t="s">
        <v>139</v>
      </c>
      <c r="C77" s="24" t="s">
        <v>140</v>
      </c>
      <c r="D77" s="24" t="s">
        <v>143</v>
      </c>
      <c r="E77" s="24" t="s">
        <v>142</v>
      </c>
      <c r="F77" s="25" t="n">
        <f aca="false">Watchlist!$H$13</f>
        <v>-2</v>
      </c>
      <c r="G77" s="26" t="n">
        <f aca="false">Calendar!$B$11</f>
        <v>46220</v>
      </c>
      <c r="H77" s="18" t="str">
        <f aca="false">$A$77&amp;" US "&amp;TEXT($G$77,"mm/dd/yy")&amp;" "&amp;"P"&amp;IF($F$77=INT($F$77),INT($F$77),$F$77)&amp;" Equity"</f>
        <v>XLE US 07/17/26 P-2 Equity</v>
      </c>
      <c r="I77" s="27" t="n">
        <f aca="false">IFERROR(bdp($H77, I$3), 0)</f>
        <v>0</v>
      </c>
      <c r="J77" s="27" t="n">
        <f aca="false">IFERROR(bdp($H77, J$3), 0)</f>
        <v>0</v>
      </c>
      <c r="K77" s="27" t="n">
        <f aca="false">IFERROR(bdp($H77, K$3), 0)</f>
        <v>0</v>
      </c>
      <c r="L77" s="28" t="n">
        <f aca="false">IFERROR(bdp($H77, L$3), 0)</f>
        <v>0</v>
      </c>
      <c r="M77" s="29" t="n">
        <f aca="false">IFERROR(bdp($H77, M$3), 0)</f>
        <v>0</v>
      </c>
    </row>
    <row r="78" customFormat="false" ht="15" hidden="false" customHeight="false" outlineLevel="0" collapsed="false">
      <c r="A78" s="19" t="s">
        <v>116</v>
      </c>
      <c r="B78" s="24" t="s">
        <v>139</v>
      </c>
      <c r="C78" s="24" t="s">
        <v>144</v>
      </c>
      <c r="D78" s="24" t="s">
        <v>141</v>
      </c>
      <c r="E78" s="24" t="s">
        <v>145</v>
      </c>
      <c r="F78" s="25" t="n">
        <f aca="false">Watchlist!$G$13</f>
        <v>0</v>
      </c>
      <c r="G78" s="26" t="n">
        <f aca="false">Calendar!$B$11</f>
        <v>46220</v>
      </c>
      <c r="H78" s="18" t="str">
        <f aca="false">$A$78&amp;" US "&amp;TEXT($G$78,"mm/dd/yy")&amp;" "&amp;"C"&amp;IF($F$78=INT($F$78),INT($F$78),$F$78)&amp;" Equity"</f>
        <v>XLE US 07/17/26 C0 Equity</v>
      </c>
      <c r="I78" s="27" t="n">
        <f aca="false">IFERROR(bdp($H78, I$3), 0)</f>
        <v>0</v>
      </c>
      <c r="J78" s="27" t="n">
        <f aca="false">IFERROR(bdp($H78, J$3), 0)</f>
        <v>0</v>
      </c>
      <c r="K78" s="27" t="n">
        <f aca="false">IFERROR(bdp($H78, K$3), 0)</f>
        <v>0</v>
      </c>
      <c r="L78" s="28" t="n">
        <f aca="false">IFERROR(bdp($H78, L$3), 0)</f>
        <v>0</v>
      </c>
      <c r="M78" s="29" t="n">
        <f aca="false">IFERROR(bdp($H78, M$3), 0)</f>
        <v>0</v>
      </c>
    </row>
    <row r="79" customFormat="false" ht="15" hidden="false" customHeight="false" outlineLevel="0" collapsed="false">
      <c r="A79" s="19" t="s">
        <v>116</v>
      </c>
      <c r="B79" s="24" t="s">
        <v>139</v>
      </c>
      <c r="C79" s="24" t="s">
        <v>144</v>
      </c>
      <c r="D79" s="24" t="s">
        <v>143</v>
      </c>
      <c r="E79" s="24" t="s">
        <v>145</v>
      </c>
      <c r="F79" s="25" t="n">
        <f aca="false">Watchlist!$I$13</f>
        <v>2</v>
      </c>
      <c r="G79" s="26" t="n">
        <f aca="false">Calendar!$B$11</f>
        <v>46220</v>
      </c>
      <c r="H79" s="18" t="str">
        <f aca="false">$A$79&amp;" US "&amp;TEXT($G$79,"mm/dd/yy")&amp;" "&amp;"C"&amp;IF($F$79=INT($F$79),INT($F$79),$F$79)&amp;" Equity"</f>
        <v>XLE US 07/17/26 C2 Equity</v>
      </c>
      <c r="I79" s="27" t="n">
        <f aca="false">IFERROR(bdp($H79, I$3), 0)</f>
        <v>0</v>
      </c>
      <c r="J79" s="27" t="n">
        <f aca="false">IFERROR(bdp($H79, J$3), 0)</f>
        <v>0</v>
      </c>
      <c r="K79" s="27" t="n">
        <f aca="false">IFERROR(bdp($H79, K$3), 0)</f>
        <v>0</v>
      </c>
      <c r="L79" s="28" t="n">
        <f aca="false">IFERROR(bdp($H79, L$3), 0)</f>
        <v>0</v>
      </c>
      <c r="M79" s="29" t="n">
        <f aca="false">IFERROR(bdp($H79, M$3), 0)</f>
        <v>0</v>
      </c>
    </row>
    <row r="80" customFormat="false" ht="15" hidden="false" customHeight="false" outlineLevel="0" collapsed="false">
      <c r="A80" s="19" t="s">
        <v>116</v>
      </c>
      <c r="B80" s="24" t="s">
        <v>146</v>
      </c>
      <c r="C80" s="24" t="s">
        <v>140</v>
      </c>
      <c r="D80" s="24" t="s">
        <v>141</v>
      </c>
      <c r="E80" s="24" t="s">
        <v>142</v>
      </c>
      <c r="F80" s="25" t="n">
        <f aca="false">Watchlist!$F$13</f>
        <v>0</v>
      </c>
      <c r="G80" s="26" t="n">
        <f aca="false">Calendar!$B$12</f>
        <v>46255</v>
      </c>
      <c r="H80" s="18" t="str">
        <f aca="false">$A$80&amp;" US "&amp;TEXT($G$80,"mm/dd/yy")&amp;" "&amp;"P"&amp;IF($F$80=INT($F$80),INT($F$80),$F$80)&amp;" Equity"</f>
        <v>XLE US 08/21/26 P0 Equity</v>
      </c>
      <c r="I80" s="27" t="n">
        <f aca="false">IFERROR(bdp($H80, I$3), 0)</f>
        <v>0</v>
      </c>
      <c r="J80" s="27" t="n">
        <f aca="false">IFERROR(bdp($H80, J$3), 0)</f>
        <v>0</v>
      </c>
      <c r="K80" s="27" t="n">
        <f aca="false">IFERROR(bdp($H80, K$3), 0)</f>
        <v>0</v>
      </c>
      <c r="L80" s="28" t="n">
        <f aca="false">IFERROR(bdp($H80, L$3), 0)</f>
        <v>0</v>
      </c>
      <c r="M80" s="29" t="n">
        <f aca="false">IFERROR(bdp($H80, M$3), 0)</f>
        <v>0</v>
      </c>
    </row>
    <row r="81" customFormat="false" ht="15" hidden="false" customHeight="false" outlineLevel="0" collapsed="false">
      <c r="A81" s="19" t="s">
        <v>116</v>
      </c>
      <c r="B81" s="24" t="s">
        <v>146</v>
      </c>
      <c r="C81" s="24" t="s">
        <v>140</v>
      </c>
      <c r="D81" s="24" t="s">
        <v>143</v>
      </c>
      <c r="E81" s="24" t="s">
        <v>142</v>
      </c>
      <c r="F81" s="25" t="n">
        <f aca="false">Watchlist!$H$13</f>
        <v>-2</v>
      </c>
      <c r="G81" s="26" t="n">
        <f aca="false">Calendar!$B$12</f>
        <v>46255</v>
      </c>
      <c r="H81" s="18" t="str">
        <f aca="false">$A$81&amp;" US "&amp;TEXT($G$81,"mm/dd/yy")&amp;" "&amp;"P"&amp;IF($F$81=INT($F$81),INT($F$81),$F$81)&amp;" Equity"</f>
        <v>XLE US 08/21/26 P-2 Equity</v>
      </c>
      <c r="I81" s="27" t="n">
        <f aca="false">IFERROR(bdp($H81, I$3), 0)</f>
        <v>0</v>
      </c>
      <c r="J81" s="27" t="n">
        <f aca="false">IFERROR(bdp($H81, J$3), 0)</f>
        <v>0</v>
      </c>
      <c r="K81" s="27" t="n">
        <f aca="false">IFERROR(bdp($H81, K$3), 0)</f>
        <v>0</v>
      </c>
      <c r="L81" s="28" t="n">
        <f aca="false">IFERROR(bdp($H81, L$3), 0)</f>
        <v>0</v>
      </c>
      <c r="M81" s="29" t="n">
        <f aca="false">IFERROR(bdp($H81, M$3), 0)</f>
        <v>0</v>
      </c>
    </row>
    <row r="82" customFormat="false" ht="15" hidden="false" customHeight="false" outlineLevel="0" collapsed="false">
      <c r="A82" s="19" t="s">
        <v>116</v>
      </c>
      <c r="B82" s="24" t="s">
        <v>146</v>
      </c>
      <c r="C82" s="24" t="s">
        <v>144</v>
      </c>
      <c r="D82" s="24" t="s">
        <v>141</v>
      </c>
      <c r="E82" s="24" t="s">
        <v>145</v>
      </c>
      <c r="F82" s="25" t="n">
        <f aca="false">Watchlist!$G$13</f>
        <v>0</v>
      </c>
      <c r="G82" s="26" t="n">
        <f aca="false">Calendar!$B$12</f>
        <v>46255</v>
      </c>
      <c r="H82" s="18" t="str">
        <f aca="false">$A$82&amp;" US "&amp;TEXT($G$82,"mm/dd/yy")&amp;" "&amp;"C"&amp;IF($F$82=INT($F$82),INT($F$82),$F$82)&amp;" Equity"</f>
        <v>XLE US 08/21/26 C0 Equity</v>
      </c>
      <c r="I82" s="27" t="n">
        <f aca="false">IFERROR(bdp($H82, I$3), 0)</f>
        <v>0</v>
      </c>
      <c r="J82" s="27" t="n">
        <f aca="false">IFERROR(bdp($H82, J$3), 0)</f>
        <v>0</v>
      </c>
      <c r="K82" s="27" t="n">
        <f aca="false">IFERROR(bdp($H82, K$3), 0)</f>
        <v>0</v>
      </c>
      <c r="L82" s="28" t="n">
        <f aca="false">IFERROR(bdp($H82, L$3), 0)</f>
        <v>0</v>
      </c>
      <c r="M82" s="29" t="n">
        <f aca="false">IFERROR(bdp($H82, M$3), 0)</f>
        <v>0</v>
      </c>
    </row>
    <row r="83" customFormat="false" ht="15" hidden="false" customHeight="false" outlineLevel="0" collapsed="false">
      <c r="A83" s="19" t="s">
        <v>116</v>
      </c>
      <c r="B83" s="24" t="s">
        <v>146</v>
      </c>
      <c r="C83" s="24" t="s">
        <v>144</v>
      </c>
      <c r="D83" s="24" t="s">
        <v>143</v>
      </c>
      <c r="E83" s="24" t="s">
        <v>145</v>
      </c>
      <c r="F83" s="25" t="n">
        <f aca="false">Watchlist!$I$13</f>
        <v>2</v>
      </c>
      <c r="G83" s="26" t="n">
        <f aca="false">Calendar!$B$12</f>
        <v>46255</v>
      </c>
      <c r="H83" s="18" t="str">
        <f aca="false">$A$83&amp;" US "&amp;TEXT($G$83,"mm/dd/yy")&amp;" "&amp;"C"&amp;IF($F$83=INT($F$83),INT($F$83),$F$83)&amp;" Equity"</f>
        <v>XLE US 08/21/26 C2 Equity</v>
      </c>
      <c r="I83" s="27" t="n">
        <f aca="false">IFERROR(bdp($H83, I$3), 0)</f>
        <v>0</v>
      </c>
      <c r="J83" s="27" t="n">
        <f aca="false">IFERROR(bdp($H83, J$3), 0)</f>
        <v>0</v>
      </c>
      <c r="K83" s="27" t="n">
        <f aca="false">IFERROR(bdp($H83, K$3), 0)</f>
        <v>0</v>
      </c>
      <c r="L83" s="28" t="n">
        <f aca="false">IFERROR(bdp($H83, L$3), 0)</f>
        <v>0</v>
      </c>
      <c r="M83" s="29" t="n">
        <f aca="false">IFERROR(bdp($H83, M$3), 0)</f>
        <v>0</v>
      </c>
    </row>
    <row r="84" customFormat="false" ht="15" hidden="false" customHeight="false" outlineLevel="0" collapsed="false">
      <c r="A84" s="19" t="s">
        <v>124</v>
      </c>
      <c r="B84" s="24" t="s">
        <v>139</v>
      </c>
      <c r="C84" s="24" t="s">
        <v>147</v>
      </c>
      <c r="D84" s="24" t="s">
        <v>143</v>
      </c>
      <c r="E84" s="24" t="s">
        <v>145</v>
      </c>
      <c r="F84" s="25" t="n">
        <f aca="false">IFERROR(CEILING(VLOOKUP("UVXY",BDP_Underlying!$A$4:$F$30,5,FALSE())*(1+Settings!$B$21),1),0)</f>
        <v>0</v>
      </c>
      <c r="G84" s="26" t="n">
        <f aca="false">Calendar!$B$11</f>
        <v>46220</v>
      </c>
      <c r="H84" s="24" t="str">
        <f aca="false">$A$84&amp;" US "&amp;TEXT($G$84,"mm/dd/yy")&amp;" "&amp;"C"&amp;IF($F$84=INT($F$84),INT($F$84),$F$84)&amp;" Equity"</f>
        <v>UVXY US 07/17/26 C0 Equity</v>
      </c>
      <c r="I84" s="30" t="n">
        <f aca="false">IFERROR(bdp($H84, I$3), 0)</f>
        <v>0</v>
      </c>
      <c r="J84" s="30" t="n">
        <f aca="false">IFERROR(bdp($H84, J$3), 0)</f>
        <v>0</v>
      </c>
      <c r="K84" s="30" t="n">
        <f aca="false">IFERROR(bdp($H84, K$3), 0)</f>
        <v>0</v>
      </c>
      <c r="L84" s="31" t="n">
        <f aca="false">IFERROR(bdp($H84, L$3), 0)</f>
        <v>0</v>
      </c>
      <c r="M84" s="32" t="n">
        <f aca="false">IFERROR(bdp($H84, M$3), 0)</f>
        <v>0</v>
      </c>
    </row>
  </sheetData>
  <mergeCells count="2">
    <mergeCell ref="A1:M1"/>
    <mergeCell ref="I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7"/>
    <col collapsed="false" customWidth="true" hidden="false" outlineLevel="0" max="13" min="11" style="0" width="9"/>
    <col collapsed="false" customWidth="true" hidden="false" outlineLevel="0" max="14" min="14" style="0" width="8"/>
    <col collapsed="false" customWidth="true" hidden="false" outlineLevel="0" max="18" min="15" style="0" width="9"/>
    <col collapsed="false" customWidth="true" hidden="false" outlineLevel="0" max="19" min="19" style="0" width="8"/>
    <col collapsed="false" customWidth="true" hidden="false" outlineLevel="0" max="21" min="20" style="0" width="9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4" min="24" style="0" width="8"/>
    <col collapsed="false" customWidth="true" hidden="false" outlineLevel="0" max="25" min="25" style="0" width="9"/>
    <col collapsed="false" customWidth="true" hidden="false" outlineLevel="0" max="26" min="26" style="0" width="7"/>
    <col collapsed="false" customWidth="true" hidden="false" outlineLevel="0" max="27" min="27" style="0" width="9"/>
    <col collapsed="false" customWidth="true" hidden="false" outlineLevel="0" max="28" min="28" style="0" width="11"/>
    <col collapsed="false" customWidth="true" hidden="false" outlineLevel="0" max="31" min="29" style="0" width="8"/>
    <col collapsed="false" customWidth="true" hidden="false" outlineLevel="0" max="32" min="32" style="0" width="9"/>
    <col collapsed="false" customWidth="true" hidden="false" outlineLevel="0" max="34" min="33" style="0" width="8"/>
    <col collapsed="false" customWidth="true" hidden="false" outlineLevel="0" max="35" min="35" style="0" width="9"/>
    <col collapsed="false" customWidth="true" hidden="false" outlineLevel="0" max="36" min="36" style="0" width="13"/>
    <col collapsed="false" customWidth="true" hidden="false" outlineLevel="0" max="37" min="37" style="0" width="9"/>
  </cols>
  <sheetData>
    <row r="1" customFormat="false" ht="15" hidden="false" customHeight="true" outlineLevel="0" collapsed="false">
      <c r="A1" s="5" t="s">
        <v>148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3" customFormat="false" ht="23.85" hidden="false" customHeight="false" outlineLevel="0" collapsed="false">
      <c r="A3" s="14" t="s">
        <v>89</v>
      </c>
      <c r="B3" s="14" t="s">
        <v>149</v>
      </c>
      <c r="C3" s="14" t="s">
        <v>129</v>
      </c>
      <c r="D3" s="14" t="s">
        <v>91</v>
      </c>
      <c r="E3" s="14" t="s">
        <v>150</v>
      </c>
      <c r="F3" s="14" t="s">
        <v>133</v>
      </c>
      <c r="G3" s="14" t="s">
        <v>78</v>
      </c>
      <c r="H3" s="14" t="s">
        <v>151</v>
      </c>
      <c r="I3" s="14" t="s">
        <v>152</v>
      </c>
      <c r="J3" s="14" t="s">
        <v>93</v>
      </c>
      <c r="K3" s="14" t="s">
        <v>153</v>
      </c>
      <c r="L3" s="14" t="s">
        <v>154</v>
      </c>
      <c r="M3" s="14" t="s">
        <v>155</v>
      </c>
      <c r="N3" s="14" t="s">
        <v>156</v>
      </c>
      <c r="O3" s="14" t="s">
        <v>157</v>
      </c>
      <c r="P3" s="14" t="s">
        <v>158</v>
      </c>
      <c r="Q3" s="14" t="s">
        <v>159</v>
      </c>
      <c r="R3" s="14" t="s">
        <v>160</v>
      </c>
      <c r="S3" s="14" t="s">
        <v>161</v>
      </c>
      <c r="T3" s="14" t="s">
        <v>162</v>
      </c>
      <c r="U3" s="14" t="s">
        <v>163</v>
      </c>
      <c r="V3" s="14" t="s">
        <v>164</v>
      </c>
      <c r="W3" s="14" t="s">
        <v>165</v>
      </c>
      <c r="X3" s="14" t="s">
        <v>166</v>
      </c>
      <c r="Y3" s="14" t="s">
        <v>167</v>
      </c>
      <c r="Z3" s="14" t="s">
        <v>168</v>
      </c>
      <c r="AA3" s="14" t="s">
        <v>169</v>
      </c>
      <c r="AB3" s="14" t="s">
        <v>170</v>
      </c>
      <c r="AC3" s="14" t="s">
        <v>171</v>
      </c>
      <c r="AD3" s="14" t="s">
        <v>172</v>
      </c>
      <c r="AE3" s="14" t="s">
        <v>173</v>
      </c>
      <c r="AF3" s="14" t="s">
        <v>174</v>
      </c>
      <c r="AG3" s="14" t="s">
        <v>175</v>
      </c>
      <c r="AH3" s="14" t="s">
        <v>176</v>
      </c>
      <c r="AI3" s="14" t="s">
        <v>177</v>
      </c>
      <c r="AJ3" s="14" t="s">
        <v>178</v>
      </c>
      <c r="AK3" s="14" t="s">
        <v>179</v>
      </c>
    </row>
    <row r="4" customFormat="false" ht="15" hidden="false" customHeight="false" outlineLevel="0" collapsed="false">
      <c r="A4" s="18" t="str">
        <f aca="false">Watchlist!$A$4</f>
        <v>SPY</v>
      </c>
      <c r="B4" s="18" t="s">
        <v>139</v>
      </c>
      <c r="C4" s="18" t="s">
        <v>140</v>
      </c>
      <c r="D4" s="20" t="n">
        <f aca="false">Watchlist!$C$4</f>
        <v>0</v>
      </c>
      <c r="E4" s="17" t="n">
        <f aca="false">Watchlist!$D$4</f>
        <v>0</v>
      </c>
      <c r="F4" s="33" t="n">
        <f aca="false">Calendar!$B$11</f>
        <v>46220</v>
      </c>
      <c r="G4" s="17" t="n">
        <f aca="true">F4-TODAY()</f>
        <v>67</v>
      </c>
      <c r="H4" s="20" t="n">
        <f aca="false">Watchlist!$F$4</f>
        <v>0</v>
      </c>
      <c r="I4" s="20" t="n">
        <f aca="false">Watchlist!$H$4</f>
        <v>-5</v>
      </c>
      <c r="J4" s="34" t="n">
        <f aca="false">ABS(H4-I4)</f>
        <v>5</v>
      </c>
      <c r="K4" s="27" t="n">
        <f aca="false">BDP_Options!J4</f>
        <v>0</v>
      </c>
      <c r="L4" s="27" t="n">
        <f aca="false">BDP_Options!K4</f>
        <v>0</v>
      </c>
      <c r="M4" s="27" t="n">
        <f aca="false">IFERROR((K4+L4)/2,0)</f>
        <v>0</v>
      </c>
      <c r="N4" s="28" t="n">
        <f aca="false">BDP_Options!L4</f>
        <v>0</v>
      </c>
      <c r="O4" s="29" t="n">
        <f aca="false">BDP_Options!M4</f>
        <v>0</v>
      </c>
      <c r="P4" s="27" t="n">
        <f aca="false">BDP_Options!J5</f>
        <v>0</v>
      </c>
      <c r="Q4" s="27" t="n">
        <f aca="false">BDP_Options!K5</f>
        <v>0</v>
      </c>
      <c r="R4" s="27" t="n">
        <f aca="false">IFERROR((P4+Q4)/2,0)</f>
        <v>0</v>
      </c>
      <c r="S4" s="28" t="n">
        <f aca="false">BDP_Options!L5</f>
        <v>0</v>
      </c>
      <c r="T4" s="29" t="n">
        <f aca="false">BDP_Options!M5</f>
        <v>0</v>
      </c>
      <c r="U4" s="27" t="n">
        <f aca="false">M4-R4</f>
        <v>0</v>
      </c>
      <c r="V4" s="27" t="n">
        <f aca="false">J4-U4</f>
        <v>5</v>
      </c>
      <c r="W4" s="28" t="n">
        <f aca="false">IFERROR(U4/J4,0)</f>
        <v>0</v>
      </c>
      <c r="X4" s="28" t="n">
        <f aca="false">IFERROR((L4-K4)/M4,1)</f>
        <v>1</v>
      </c>
      <c r="Y4" s="28" t="n">
        <f aca="false">IFERROR(IF(C4="BullPut",(D4-H4)/D4,(H4-D4)/D4),0)</f>
        <v>0</v>
      </c>
      <c r="Z4" s="28" t="n">
        <f aca="false">IFERROR(1-ABS(O4),0)</f>
        <v>1</v>
      </c>
      <c r="AA4" s="27" t="n">
        <f aca="false">Z4*U4-(1-Z4)*V4</f>
        <v>0</v>
      </c>
      <c r="AB4" s="29" t="n">
        <f aca="false">IFERROR(AA4/V4,0)</f>
        <v>0</v>
      </c>
      <c r="AC4" s="35" t="b">
        <f aca="false">AND(G4&gt;=Settings!$B$14,G4&lt;=Settings!$B$15)</f>
        <v>1</v>
      </c>
      <c r="AD4" s="35" t="b">
        <f aca="false">AND(ABS(O4)&gt;=Settings!$B$12,ABS(O4)&lt;=Settings!$B$13)</f>
        <v>0</v>
      </c>
      <c r="AE4" s="35" t="b">
        <f aca="false">E4&gt;=Settings!$B$8</f>
        <v>0</v>
      </c>
      <c r="AF4" s="35" t="b">
        <f aca="false">U4&gt;=Settings!$B$10</f>
        <v>0</v>
      </c>
      <c r="AG4" s="35" t="b">
        <f aca="false">W4&gt;=Settings!$B$9</f>
        <v>0</v>
      </c>
      <c r="AH4" s="35" t="b">
        <f aca="false">AND(X4&lt;=Settings!$B$11,K4&gt;0,L4&gt;0,P4&gt;0,Q4&gt;0)</f>
        <v>0</v>
      </c>
      <c r="AI4" s="35" t="b">
        <f aca="false">Y4&gt;=Settings!$B$19</f>
        <v>0</v>
      </c>
      <c r="AJ4" s="18" t="str">
        <f aca="false">IF(NOT(AC4),"WAIT - DTE",IF(NOT(AD4),"WAIT - DELTA",IF(NOT(AE4),"WAIT - IVR",IF(NOT(AF4),"WAIT - CREDIT",IF(NOT(AG4),"WAIT - C/W",IF(NOT(AH4),"WAIT - LIQUIDITY",IF(NOT(AI4),"WAIT - BUFFER","GO")))))))</f>
        <v>WAIT - DELTA</v>
      </c>
      <c r="AK4" s="29" t="n">
        <f aca="false">IF(AJ4="GO",AB4,-1000000000)</f>
        <v>-1000000000</v>
      </c>
    </row>
    <row r="5" customFormat="false" ht="15" hidden="false" customHeight="false" outlineLevel="0" collapsed="false">
      <c r="A5" s="18" t="str">
        <f aca="false">Watchlist!$A$4</f>
        <v>SPY</v>
      </c>
      <c r="B5" s="18" t="s">
        <v>139</v>
      </c>
      <c r="C5" s="18" t="s">
        <v>144</v>
      </c>
      <c r="D5" s="20" t="n">
        <f aca="false">Watchlist!$C$4</f>
        <v>0</v>
      </c>
      <c r="E5" s="17" t="n">
        <f aca="false">Watchlist!$D$4</f>
        <v>0</v>
      </c>
      <c r="F5" s="33" t="n">
        <f aca="false">Calendar!$B$11</f>
        <v>46220</v>
      </c>
      <c r="G5" s="17" t="n">
        <f aca="true">F5-TODAY()</f>
        <v>67</v>
      </c>
      <c r="H5" s="20" t="n">
        <f aca="false">Watchlist!$G$4</f>
        <v>0</v>
      </c>
      <c r="I5" s="20" t="n">
        <f aca="false">Watchlist!$I$4</f>
        <v>5</v>
      </c>
      <c r="J5" s="34" t="n">
        <f aca="false">ABS(H5-I5)</f>
        <v>5</v>
      </c>
      <c r="K5" s="27" t="n">
        <f aca="false">BDP_Options!J6</f>
        <v>0</v>
      </c>
      <c r="L5" s="27" t="n">
        <f aca="false">BDP_Options!K6</f>
        <v>0</v>
      </c>
      <c r="M5" s="27" t="n">
        <f aca="false">IFERROR((K5+L5)/2,0)</f>
        <v>0</v>
      </c>
      <c r="N5" s="28" t="n">
        <f aca="false">BDP_Options!L6</f>
        <v>0</v>
      </c>
      <c r="O5" s="29" t="n">
        <f aca="false">BDP_Options!M6</f>
        <v>0</v>
      </c>
      <c r="P5" s="27" t="n">
        <f aca="false">BDP_Options!J7</f>
        <v>0</v>
      </c>
      <c r="Q5" s="27" t="n">
        <f aca="false">BDP_Options!K7</f>
        <v>0</v>
      </c>
      <c r="R5" s="27" t="n">
        <f aca="false">IFERROR((P5+Q5)/2,0)</f>
        <v>0</v>
      </c>
      <c r="S5" s="28" t="n">
        <f aca="false">BDP_Options!L7</f>
        <v>0</v>
      </c>
      <c r="T5" s="29" t="n">
        <f aca="false">BDP_Options!M7</f>
        <v>0</v>
      </c>
      <c r="U5" s="27" t="n">
        <f aca="false">M5-R5</f>
        <v>0</v>
      </c>
      <c r="V5" s="27" t="n">
        <f aca="false">J5-U5</f>
        <v>5</v>
      </c>
      <c r="W5" s="28" t="n">
        <f aca="false">IFERROR(U5/J5,0)</f>
        <v>0</v>
      </c>
      <c r="X5" s="28" t="n">
        <f aca="false">IFERROR((L5-K5)/M5,1)</f>
        <v>1</v>
      </c>
      <c r="Y5" s="28" t="n">
        <f aca="false">IFERROR(IF(C5="BullPut",(D5-H5)/D5,(H5-D5)/D5),0)</f>
        <v>0</v>
      </c>
      <c r="Z5" s="28" t="n">
        <f aca="false">IFERROR(1-ABS(O5),0)</f>
        <v>1</v>
      </c>
      <c r="AA5" s="27" t="n">
        <f aca="false">Z5*U5-(1-Z5)*V5</f>
        <v>0</v>
      </c>
      <c r="AB5" s="29" t="n">
        <f aca="false">IFERROR(AA5/V5,0)</f>
        <v>0</v>
      </c>
      <c r="AC5" s="35" t="b">
        <f aca="false">AND(G5&gt;=Settings!$B$14,G5&lt;=Settings!$B$15)</f>
        <v>1</v>
      </c>
      <c r="AD5" s="35" t="b">
        <f aca="false">AND(ABS(O5)&gt;=Settings!$B$12,ABS(O5)&lt;=Settings!$B$13)</f>
        <v>0</v>
      </c>
      <c r="AE5" s="35" t="b">
        <f aca="false">E5&gt;=Settings!$B$8</f>
        <v>0</v>
      </c>
      <c r="AF5" s="35" t="b">
        <f aca="false">U5&gt;=Settings!$B$10</f>
        <v>0</v>
      </c>
      <c r="AG5" s="35" t="b">
        <f aca="false">W5&gt;=Settings!$B$9</f>
        <v>0</v>
      </c>
      <c r="AH5" s="35" t="b">
        <f aca="false">AND(X5&lt;=Settings!$B$11,K5&gt;0,L5&gt;0,P5&gt;0,Q5&gt;0)</f>
        <v>0</v>
      </c>
      <c r="AI5" s="35" t="b">
        <f aca="false">Y5&gt;=Settings!$B$19</f>
        <v>0</v>
      </c>
      <c r="AJ5" s="18" t="str">
        <f aca="false">IF(NOT(AC5),"WAIT - DTE",IF(NOT(AD5),"WAIT - DELTA",IF(NOT(AE5),"WAIT - IVR",IF(NOT(AF5),"WAIT - CREDIT",IF(NOT(AG5),"WAIT - C/W",IF(NOT(AH5),"WAIT - LIQUIDITY",IF(NOT(AI5),"WAIT - BUFFER","GO")))))))</f>
        <v>WAIT - DELTA</v>
      </c>
      <c r="AK5" s="29" t="n">
        <f aca="false">IF(AJ5="GO",AB5,-1000000000)</f>
        <v>-1000000000</v>
      </c>
    </row>
    <row r="6" customFormat="false" ht="15" hidden="false" customHeight="false" outlineLevel="0" collapsed="false">
      <c r="A6" s="18" t="str">
        <f aca="false">Watchlist!$A$4</f>
        <v>SPY</v>
      </c>
      <c r="B6" s="18" t="s">
        <v>146</v>
      </c>
      <c r="C6" s="18" t="s">
        <v>140</v>
      </c>
      <c r="D6" s="20" t="n">
        <f aca="false">Watchlist!$C$4</f>
        <v>0</v>
      </c>
      <c r="E6" s="17" t="n">
        <f aca="false">Watchlist!$D$4</f>
        <v>0</v>
      </c>
      <c r="F6" s="33" t="n">
        <f aca="false">Calendar!$B$12</f>
        <v>46255</v>
      </c>
      <c r="G6" s="17" t="n">
        <f aca="true">F6-TODAY()</f>
        <v>102</v>
      </c>
      <c r="H6" s="20" t="n">
        <f aca="false">Watchlist!$F$4</f>
        <v>0</v>
      </c>
      <c r="I6" s="20" t="n">
        <f aca="false">Watchlist!$H$4</f>
        <v>-5</v>
      </c>
      <c r="J6" s="34" t="n">
        <f aca="false">ABS(H6-I6)</f>
        <v>5</v>
      </c>
      <c r="K6" s="27" t="n">
        <f aca="false">BDP_Options!J8</f>
        <v>0</v>
      </c>
      <c r="L6" s="27" t="n">
        <f aca="false">BDP_Options!K8</f>
        <v>0</v>
      </c>
      <c r="M6" s="27" t="n">
        <f aca="false">IFERROR((K6+L6)/2,0)</f>
        <v>0</v>
      </c>
      <c r="N6" s="28" t="n">
        <f aca="false">BDP_Options!L8</f>
        <v>0</v>
      </c>
      <c r="O6" s="29" t="n">
        <f aca="false">BDP_Options!M8</f>
        <v>0</v>
      </c>
      <c r="P6" s="27" t="n">
        <f aca="false">BDP_Options!J9</f>
        <v>0</v>
      </c>
      <c r="Q6" s="27" t="n">
        <f aca="false">BDP_Options!K9</f>
        <v>0</v>
      </c>
      <c r="R6" s="27" t="n">
        <f aca="false">IFERROR((P6+Q6)/2,0)</f>
        <v>0</v>
      </c>
      <c r="S6" s="28" t="n">
        <f aca="false">BDP_Options!L9</f>
        <v>0</v>
      </c>
      <c r="T6" s="29" t="n">
        <f aca="false">BDP_Options!M9</f>
        <v>0</v>
      </c>
      <c r="U6" s="27" t="n">
        <f aca="false">M6-R6</f>
        <v>0</v>
      </c>
      <c r="V6" s="27" t="n">
        <f aca="false">J6-U6</f>
        <v>5</v>
      </c>
      <c r="W6" s="28" t="n">
        <f aca="false">IFERROR(U6/J6,0)</f>
        <v>0</v>
      </c>
      <c r="X6" s="28" t="n">
        <f aca="false">IFERROR((L6-K6)/M6,1)</f>
        <v>1</v>
      </c>
      <c r="Y6" s="28" t="n">
        <f aca="false">IFERROR(IF(C6="BullPut",(D6-H6)/D6,(H6-D6)/D6),0)</f>
        <v>0</v>
      </c>
      <c r="Z6" s="28" t="n">
        <f aca="false">IFERROR(1-ABS(O6),0)</f>
        <v>1</v>
      </c>
      <c r="AA6" s="27" t="n">
        <f aca="false">Z6*U6-(1-Z6)*V6</f>
        <v>0</v>
      </c>
      <c r="AB6" s="29" t="n">
        <f aca="false">IFERROR(AA6/V6,0)</f>
        <v>0</v>
      </c>
      <c r="AC6" s="35" t="b">
        <f aca="false">AND(G6&gt;=Settings!$B$14,G6&lt;=Settings!$B$15)</f>
        <v>1</v>
      </c>
      <c r="AD6" s="35" t="b">
        <f aca="false">AND(ABS(O6)&gt;=Settings!$B$12,ABS(O6)&lt;=Settings!$B$13)</f>
        <v>0</v>
      </c>
      <c r="AE6" s="35" t="b">
        <f aca="false">E6&gt;=Settings!$B$8</f>
        <v>0</v>
      </c>
      <c r="AF6" s="35" t="b">
        <f aca="false">U6&gt;=Settings!$B$10</f>
        <v>0</v>
      </c>
      <c r="AG6" s="35" t="b">
        <f aca="false">W6&gt;=Settings!$B$9</f>
        <v>0</v>
      </c>
      <c r="AH6" s="35" t="b">
        <f aca="false">AND(X6&lt;=Settings!$B$11,K6&gt;0,L6&gt;0,P6&gt;0,Q6&gt;0)</f>
        <v>0</v>
      </c>
      <c r="AI6" s="35" t="b">
        <f aca="false">Y6&gt;=Settings!$B$19</f>
        <v>0</v>
      </c>
      <c r="AJ6" s="18" t="str">
        <f aca="false">IF(NOT(AC6),"WAIT - DTE",IF(NOT(AD6),"WAIT - DELTA",IF(NOT(AE6),"WAIT - IVR",IF(NOT(AF6),"WAIT - CREDIT",IF(NOT(AG6),"WAIT - C/W",IF(NOT(AH6),"WAIT - LIQUIDITY",IF(NOT(AI6),"WAIT - BUFFER","GO")))))))</f>
        <v>WAIT - DELTA</v>
      </c>
      <c r="AK6" s="29" t="n">
        <f aca="false">IF(AJ6="GO",AB6,-1000000000)</f>
        <v>-1000000000</v>
      </c>
    </row>
    <row r="7" customFormat="false" ht="15" hidden="false" customHeight="false" outlineLevel="0" collapsed="false">
      <c r="A7" s="18" t="str">
        <f aca="false">Watchlist!$A$4</f>
        <v>SPY</v>
      </c>
      <c r="B7" s="18" t="s">
        <v>146</v>
      </c>
      <c r="C7" s="18" t="s">
        <v>144</v>
      </c>
      <c r="D7" s="20" t="n">
        <f aca="false">Watchlist!$C$4</f>
        <v>0</v>
      </c>
      <c r="E7" s="17" t="n">
        <f aca="false">Watchlist!$D$4</f>
        <v>0</v>
      </c>
      <c r="F7" s="33" t="n">
        <f aca="false">Calendar!$B$12</f>
        <v>46255</v>
      </c>
      <c r="G7" s="17" t="n">
        <f aca="true">F7-TODAY()</f>
        <v>102</v>
      </c>
      <c r="H7" s="20" t="n">
        <f aca="false">Watchlist!$G$4</f>
        <v>0</v>
      </c>
      <c r="I7" s="20" t="n">
        <f aca="false">Watchlist!$I$4</f>
        <v>5</v>
      </c>
      <c r="J7" s="34" t="n">
        <f aca="false">ABS(H7-I7)</f>
        <v>5</v>
      </c>
      <c r="K7" s="27" t="n">
        <f aca="false">BDP_Options!J10</f>
        <v>0</v>
      </c>
      <c r="L7" s="27" t="n">
        <f aca="false">BDP_Options!K10</f>
        <v>0</v>
      </c>
      <c r="M7" s="27" t="n">
        <f aca="false">IFERROR((K7+L7)/2,0)</f>
        <v>0</v>
      </c>
      <c r="N7" s="28" t="n">
        <f aca="false">BDP_Options!L10</f>
        <v>0</v>
      </c>
      <c r="O7" s="29" t="n">
        <f aca="false">BDP_Options!M10</f>
        <v>0</v>
      </c>
      <c r="P7" s="27" t="n">
        <f aca="false">BDP_Options!J11</f>
        <v>0</v>
      </c>
      <c r="Q7" s="27" t="n">
        <f aca="false">BDP_Options!K11</f>
        <v>0</v>
      </c>
      <c r="R7" s="27" t="n">
        <f aca="false">IFERROR((P7+Q7)/2,0)</f>
        <v>0</v>
      </c>
      <c r="S7" s="28" t="n">
        <f aca="false">BDP_Options!L11</f>
        <v>0</v>
      </c>
      <c r="T7" s="29" t="n">
        <f aca="false">BDP_Options!M11</f>
        <v>0</v>
      </c>
      <c r="U7" s="27" t="n">
        <f aca="false">M7-R7</f>
        <v>0</v>
      </c>
      <c r="V7" s="27" t="n">
        <f aca="false">J7-U7</f>
        <v>5</v>
      </c>
      <c r="W7" s="28" t="n">
        <f aca="false">IFERROR(U7/J7,0)</f>
        <v>0</v>
      </c>
      <c r="X7" s="28" t="n">
        <f aca="false">IFERROR((L7-K7)/M7,1)</f>
        <v>1</v>
      </c>
      <c r="Y7" s="28" t="n">
        <f aca="false">IFERROR(IF(C7="BullPut",(D7-H7)/D7,(H7-D7)/D7),0)</f>
        <v>0</v>
      </c>
      <c r="Z7" s="28" t="n">
        <f aca="false">IFERROR(1-ABS(O7),0)</f>
        <v>1</v>
      </c>
      <c r="AA7" s="27" t="n">
        <f aca="false">Z7*U7-(1-Z7)*V7</f>
        <v>0</v>
      </c>
      <c r="AB7" s="29" t="n">
        <f aca="false">IFERROR(AA7/V7,0)</f>
        <v>0</v>
      </c>
      <c r="AC7" s="35" t="b">
        <f aca="false">AND(G7&gt;=Settings!$B$14,G7&lt;=Settings!$B$15)</f>
        <v>1</v>
      </c>
      <c r="AD7" s="35" t="b">
        <f aca="false">AND(ABS(O7)&gt;=Settings!$B$12,ABS(O7)&lt;=Settings!$B$13)</f>
        <v>0</v>
      </c>
      <c r="AE7" s="35" t="b">
        <f aca="false">E7&gt;=Settings!$B$8</f>
        <v>0</v>
      </c>
      <c r="AF7" s="35" t="b">
        <f aca="false">U7&gt;=Settings!$B$10</f>
        <v>0</v>
      </c>
      <c r="AG7" s="35" t="b">
        <f aca="false">W7&gt;=Settings!$B$9</f>
        <v>0</v>
      </c>
      <c r="AH7" s="35" t="b">
        <f aca="false">AND(X7&lt;=Settings!$B$11,K7&gt;0,L7&gt;0,P7&gt;0,Q7&gt;0)</f>
        <v>0</v>
      </c>
      <c r="AI7" s="35" t="b">
        <f aca="false">Y7&gt;=Settings!$B$19</f>
        <v>0</v>
      </c>
      <c r="AJ7" s="18" t="str">
        <f aca="false">IF(NOT(AC7),"WAIT - DTE",IF(NOT(AD7),"WAIT - DELTA",IF(NOT(AE7),"WAIT - IVR",IF(NOT(AF7),"WAIT - CREDIT",IF(NOT(AG7),"WAIT - C/W",IF(NOT(AH7),"WAIT - LIQUIDITY",IF(NOT(AI7),"WAIT - BUFFER","GO")))))))</f>
        <v>WAIT - DELTA</v>
      </c>
      <c r="AK7" s="29" t="n">
        <f aca="false">IF(AJ7="GO",AB7,-1000000000)</f>
        <v>-1000000000</v>
      </c>
    </row>
    <row r="8" customFormat="false" ht="15" hidden="false" customHeight="false" outlineLevel="0" collapsed="false">
      <c r="A8" s="18" t="str">
        <f aca="false">Watchlist!$A$5</f>
        <v>IWM</v>
      </c>
      <c r="B8" s="18" t="s">
        <v>139</v>
      </c>
      <c r="C8" s="18" t="s">
        <v>140</v>
      </c>
      <c r="D8" s="20" t="n">
        <f aca="false">Watchlist!$C$5</f>
        <v>0</v>
      </c>
      <c r="E8" s="17" t="n">
        <f aca="false">Watchlist!$D$5</f>
        <v>0</v>
      </c>
      <c r="F8" s="33" t="n">
        <f aca="false">Calendar!$B$11</f>
        <v>46220</v>
      </c>
      <c r="G8" s="17" t="n">
        <f aca="true">F8-TODAY()</f>
        <v>67</v>
      </c>
      <c r="H8" s="20" t="n">
        <f aca="false">Watchlist!$F$5</f>
        <v>0</v>
      </c>
      <c r="I8" s="20" t="n">
        <f aca="false">Watchlist!$H$5</f>
        <v>-2</v>
      </c>
      <c r="J8" s="34" t="n">
        <f aca="false">ABS(H8-I8)</f>
        <v>2</v>
      </c>
      <c r="K8" s="27" t="n">
        <f aca="false">BDP_Options!J12</f>
        <v>0</v>
      </c>
      <c r="L8" s="27" t="n">
        <f aca="false">BDP_Options!K12</f>
        <v>0</v>
      </c>
      <c r="M8" s="27" t="n">
        <f aca="false">IFERROR((K8+L8)/2,0)</f>
        <v>0</v>
      </c>
      <c r="N8" s="28" t="n">
        <f aca="false">BDP_Options!L12</f>
        <v>0</v>
      </c>
      <c r="O8" s="29" t="n">
        <f aca="false">BDP_Options!M12</f>
        <v>0</v>
      </c>
      <c r="P8" s="27" t="n">
        <f aca="false">BDP_Options!J13</f>
        <v>0</v>
      </c>
      <c r="Q8" s="27" t="n">
        <f aca="false">BDP_Options!K13</f>
        <v>0</v>
      </c>
      <c r="R8" s="27" t="n">
        <f aca="false">IFERROR((P8+Q8)/2,0)</f>
        <v>0</v>
      </c>
      <c r="S8" s="28" t="n">
        <f aca="false">BDP_Options!L13</f>
        <v>0</v>
      </c>
      <c r="T8" s="29" t="n">
        <f aca="false">BDP_Options!M13</f>
        <v>0</v>
      </c>
      <c r="U8" s="27" t="n">
        <f aca="false">M8-R8</f>
        <v>0</v>
      </c>
      <c r="V8" s="27" t="n">
        <f aca="false">J8-U8</f>
        <v>2</v>
      </c>
      <c r="W8" s="28" t="n">
        <f aca="false">IFERROR(U8/J8,0)</f>
        <v>0</v>
      </c>
      <c r="X8" s="28" t="n">
        <f aca="false">IFERROR((L8-K8)/M8,1)</f>
        <v>1</v>
      </c>
      <c r="Y8" s="28" t="n">
        <f aca="false">IFERROR(IF(C8="BullPut",(D8-H8)/D8,(H8-D8)/D8),0)</f>
        <v>0</v>
      </c>
      <c r="Z8" s="28" t="n">
        <f aca="false">IFERROR(1-ABS(O8),0)</f>
        <v>1</v>
      </c>
      <c r="AA8" s="27" t="n">
        <f aca="false">Z8*U8-(1-Z8)*V8</f>
        <v>0</v>
      </c>
      <c r="AB8" s="29" t="n">
        <f aca="false">IFERROR(AA8/V8,0)</f>
        <v>0</v>
      </c>
      <c r="AC8" s="35" t="b">
        <f aca="false">AND(G8&gt;=Settings!$B$14,G8&lt;=Settings!$B$15)</f>
        <v>1</v>
      </c>
      <c r="AD8" s="35" t="b">
        <f aca="false">AND(ABS(O8)&gt;=Settings!$B$12,ABS(O8)&lt;=Settings!$B$13)</f>
        <v>0</v>
      </c>
      <c r="AE8" s="35" t="b">
        <f aca="false">E8&gt;=Settings!$B$8</f>
        <v>0</v>
      </c>
      <c r="AF8" s="35" t="b">
        <f aca="false">U8&gt;=Settings!$B$10</f>
        <v>0</v>
      </c>
      <c r="AG8" s="35" t="b">
        <f aca="false">W8&gt;=Settings!$B$9</f>
        <v>0</v>
      </c>
      <c r="AH8" s="35" t="b">
        <f aca="false">AND(X8&lt;=Settings!$B$11,K8&gt;0,L8&gt;0,P8&gt;0,Q8&gt;0)</f>
        <v>0</v>
      </c>
      <c r="AI8" s="35" t="b">
        <f aca="false">Y8&gt;=Settings!$B$19</f>
        <v>0</v>
      </c>
      <c r="AJ8" s="18" t="str">
        <f aca="false">IF(NOT(AC8),"WAIT - DTE",IF(NOT(AD8),"WAIT - DELTA",IF(NOT(AE8),"WAIT - IVR",IF(NOT(AF8),"WAIT - CREDIT",IF(NOT(AG8),"WAIT - C/W",IF(NOT(AH8),"WAIT - LIQUIDITY",IF(NOT(AI8),"WAIT - BUFFER","GO")))))))</f>
        <v>WAIT - DELTA</v>
      </c>
      <c r="AK8" s="29" t="n">
        <f aca="false">IF(AJ8="GO",AB8,-1000000000)</f>
        <v>-1000000000</v>
      </c>
    </row>
    <row r="9" customFormat="false" ht="15" hidden="false" customHeight="false" outlineLevel="0" collapsed="false">
      <c r="A9" s="18" t="str">
        <f aca="false">Watchlist!$A$5</f>
        <v>IWM</v>
      </c>
      <c r="B9" s="18" t="s">
        <v>139</v>
      </c>
      <c r="C9" s="18" t="s">
        <v>144</v>
      </c>
      <c r="D9" s="20" t="n">
        <f aca="false">Watchlist!$C$5</f>
        <v>0</v>
      </c>
      <c r="E9" s="17" t="n">
        <f aca="false">Watchlist!$D$5</f>
        <v>0</v>
      </c>
      <c r="F9" s="33" t="n">
        <f aca="false">Calendar!$B$11</f>
        <v>46220</v>
      </c>
      <c r="G9" s="17" t="n">
        <f aca="true">F9-TODAY()</f>
        <v>67</v>
      </c>
      <c r="H9" s="20" t="n">
        <f aca="false">Watchlist!$G$5</f>
        <v>0</v>
      </c>
      <c r="I9" s="20" t="n">
        <f aca="false">Watchlist!$I$5</f>
        <v>2</v>
      </c>
      <c r="J9" s="34" t="n">
        <f aca="false">ABS(H9-I9)</f>
        <v>2</v>
      </c>
      <c r="K9" s="27" t="n">
        <f aca="false">BDP_Options!J14</f>
        <v>0</v>
      </c>
      <c r="L9" s="27" t="n">
        <f aca="false">BDP_Options!K14</f>
        <v>0</v>
      </c>
      <c r="M9" s="27" t="n">
        <f aca="false">IFERROR((K9+L9)/2,0)</f>
        <v>0</v>
      </c>
      <c r="N9" s="28" t="n">
        <f aca="false">BDP_Options!L14</f>
        <v>0</v>
      </c>
      <c r="O9" s="29" t="n">
        <f aca="false">BDP_Options!M14</f>
        <v>0</v>
      </c>
      <c r="P9" s="27" t="n">
        <f aca="false">BDP_Options!J15</f>
        <v>0</v>
      </c>
      <c r="Q9" s="27" t="n">
        <f aca="false">BDP_Options!K15</f>
        <v>0</v>
      </c>
      <c r="R9" s="27" t="n">
        <f aca="false">IFERROR((P9+Q9)/2,0)</f>
        <v>0</v>
      </c>
      <c r="S9" s="28" t="n">
        <f aca="false">BDP_Options!L15</f>
        <v>0</v>
      </c>
      <c r="T9" s="29" t="n">
        <f aca="false">BDP_Options!M15</f>
        <v>0</v>
      </c>
      <c r="U9" s="27" t="n">
        <f aca="false">M9-R9</f>
        <v>0</v>
      </c>
      <c r="V9" s="27" t="n">
        <f aca="false">J9-U9</f>
        <v>2</v>
      </c>
      <c r="W9" s="28" t="n">
        <f aca="false">IFERROR(U9/J9,0)</f>
        <v>0</v>
      </c>
      <c r="X9" s="28" t="n">
        <f aca="false">IFERROR((L9-K9)/M9,1)</f>
        <v>1</v>
      </c>
      <c r="Y9" s="28" t="n">
        <f aca="false">IFERROR(IF(C9="BullPut",(D9-H9)/D9,(H9-D9)/D9),0)</f>
        <v>0</v>
      </c>
      <c r="Z9" s="28" t="n">
        <f aca="false">IFERROR(1-ABS(O9),0)</f>
        <v>1</v>
      </c>
      <c r="AA9" s="27" t="n">
        <f aca="false">Z9*U9-(1-Z9)*V9</f>
        <v>0</v>
      </c>
      <c r="AB9" s="29" t="n">
        <f aca="false">IFERROR(AA9/V9,0)</f>
        <v>0</v>
      </c>
      <c r="AC9" s="35" t="b">
        <f aca="false">AND(G9&gt;=Settings!$B$14,G9&lt;=Settings!$B$15)</f>
        <v>1</v>
      </c>
      <c r="AD9" s="35" t="b">
        <f aca="false">AND(ABS(O9)&gt;=Settings!$B$12,ABS(O9)&lt;=Settings!$B$13)</f>
        <v>0</v>
      </c>
      <c r="AE9" s="35" t="b">
        <f aca="false">E9&gt;=Settings!$B$8</f>
        <v>0</v>
      </c>
      <c r="AF9" s="35" t="b">
        <f aca="false">U9&gt;=Settings!$B$10</f>
        <v>0</v>
      </c>
      <c r="AG9" s="35" t="b">
        <f aca="false">W9&gt;=Settings!$B$9</f>
        <v>0</v>
      </c>
      <c r="AH9" s="35" t="b">
        <f aca="false">AND(X9&lt;=Settings!$B$11,K9&gt;0,L9&gt;0,P9&gt;0,Q9&gt;0)</f>
        <v>0</v>
      </c>
      <c r="AI9" s="35" t="b">
        <f aca="false">Y9&gt;=Settings!$B$19</f>
        <v>0</v>
      </c>
      <c r="AJ9" s="18" t="str">
        <f aca="false">IF(NOT(AC9),"WAIT - DTE",IF(NOT(AD9),"WAIT - DELTA",IF(NOT(AE9),"WAIT - IVR",IF(NOT(AF9),"WAIT - CREDIT",IF(NOT(AG9),"WAIT - C/W",IF(NOT(AH9),"WAIT - LIQUIDITY",IF(NOT(AI9),"WAIT - BUFFER","GO")))))))</f>
        <v>WAIT - DELTA</v>
      </c>
      <c r="AK9" s="29" t="n">
        <f aca="false">IF(AJ9="GO",AB9,-1000000000)</f>
        <v>-1000000000</v>
      </c>
    </row>
    <row r="10" customFormat="false" ht="15" hidden="false" customHeight="false" outlineLevel="0" collapsed="false">
      <c r="A10" s="18" t="str">
        <f aca="false">Watchlist!$A$5</f>
        <v>IWM</v>
      </c>
      <c r="B10" s="18" t="s">
        <v>146</v>
      </c>
      <c r="C10" s="18" t="s">
        <v>140</v>
      </c>
      <c r="D10" s="20" t="n">
        <f aca="false">Watchlist!$C$5</f>
        <v>0</v>
      </c>
      <c r="E10" s="17" t="n">
        <f aca="false">Watchlist!$D$5</f>
        <v>0</v>
      </c>
      <c r="F10" s="33" t="n">
        <f aca="false">Calendar!$B$12</f>
        <v>46255</v>
      </c>
      <c r="G10" s="17" t="n">
        <f aca="true">F10-TODAY()</f>
        <v>102</v>
      </c>
      <c r="H10" s="20" t="n">
        <f aca="false">Watchlist!$F$5</f>
        <v>0</v>
      </c>
      <c r="I10" s="20" t="n">
        <f aca="false">Watchlist!$H$5</f>
        <v>-2</v>
      </c>
      <c r="J10" s="34" t="n">
        <f aca="false">ABS(H10-I10)</f>
        <v>2</v>
      </c>
      <c r="K10" s="27" t="n">
        <f aca="false">BDP_Options!J16</f>
        <v>0</v>
      </c>
      <c r="L10" s="27" t="n">
        <f aca="false">BDP_Options!K16</f>
        <v>0</v>
      </c>
      <c r="M10" s="27" t="n">
        <f aca="false">IFERROR((K10+L10)/2,0)</f>
        <v>0</v>
      </c>
      <c r="N10" s="28" t="n">
        <f aca="false">BDP_Options!L16</f>
        <v>0</v>
      </c>
      <c r="O10" s="29" t="n">
        <f aca="false">BDP_Options!M16</f>
        <v>0</v>
      </c>
      <c r="P10" s="27" t="n">
        <f aca="false">BDP_Options!J17</f>
        <v>0</v>
      </c>
      <c r="Q10" s="27" t="n">
        <f aca="false">BDP_Options!K17</f>
        <v>0</v>
      </c>
      <c r="R10" s="27" t="n">
        <f aca="false">IFERROR((P10+Q10)/2,0)</f>
        <v>0</v>
      </c>
      <c r="S10" s="28" t="n">
        <f aca="false">BDP_Options!L17</f>
        <v>0</v>
      </c>
      <c r="T10" s="29" t="n">
        <f aca="false">BDP_Options!M17</f>
        <v>0</v>
      </c>
      <c r="U10" s="27" t="n">
        <f aca="false">M10-R10</f>
        <v>0</v>
      </c>
      <c r="V10" s="27" t="n">
        <f aca="false">J10-U10</f>
        <v>2</v>
      </c>
      <c r="W10" s="28" t="n">
        <f aca="false">IFERROR(U10/J10,0)</f>
        <v>0</v>
      </c>
      <c r="X10" s="28" t="n">
        <f aca="false">IFERROR((L10-K10)/M10,1)</f>
        <v>1</v>
      </c>
      <c r="Y10" s="28" t="n">
        <f aca="false">IFERROR(IF(C10="BullPut",(D10-H10)/D10,(H10-D10)/D10),0)</f>
        <v>0</v>
      </c>
      <c r="Z10" s="28" t="n">
        <f aca="false">IFERROR(1-ABS(O10),0)</f>
        <v>1</v>
      </c>
      <c r="AA10" s="27" t="n">
        <f aca="false">Z10*U10-(1-Z10)*V10</f>
        <v>0</v>
      </c>
      <c r="AB10" s="29" t="n">
        <f aca="false">IFERROR(AA10/V10,0)</f>
        <v>0</v>
      </c>
      <c r="AC10" s="35" t="b">
        <f aca="false">AND(G10&gt;=Settings!$B$14,G10&lt;=Settings!$B$15)</f>
        <v>1</v>
      </c>
      <c r="AD10" s="35" t="b">
        <f aca="false">AND(ABS(O10)&gt;=Settings!$B$12,ABS(O10)&lt;=Settings!$B$13)</f>
        <v>0</v>
      </c>
      <c r="AE10" s="35" t="b">
        <f aca="false">E10&gt;=Settings!$B$8</f>
        <v>0</v>
      </c>
      <c r="AF10" s="35" t="b">
        <f aca="false">U10&gt;=Settings!$B$10</f>
        <v>0</v>
      </c>
      <c r="AG10" s="35" t="b">
        <f aca="false">W10&gt;=Settings!$B$9</f>
        <v>0</v>
      </c>
      <c r="AH10" s="35" t="b">
        <f aca="false">AND(X10&lt;=Settings!$B$11,K10&gt;0,L10&gt;0,P10&gt;0,Q10&gt;0)</f>
        <v>0</v>
      </c>
      <c r="AI10" s="35" t="b">
        <f aca="false">Y10&gt;=Settings!$B$19</f>
        <v>0</v>
      </c>
      <c r="AJ10" s="18" t="str">
        <f aca="false">IF(NOT(AC10),"WAIT - DTE",IF(NOT(AD10),"WAIT - DELTA",IF(NOT(AE10),"WAIT - IVR",IF(NOT(AF10),"WAIT - CREDIT",IF(NOT(AG10),"WAIT - C/W",IF(NOT(AH10),"WAIT - LIQUIDITY",IF(NOT(AI10),"WAIT - BUFFER","GO")))))))</f>
        <v>WAIT - DELTA</v>
      </c>
      <c r="AK10" s="29" t="n">
        <f aca="false">IF(AJ10="GO",AB10,-1000000000)</f>
        <v>-1000000000</v>
      </c>
    </row>
    <row r="11" customFormat="false" ht="15" hidden="false" customHeight="false" outlineLevel="0" collapsed="false">
      <c r="A11" s="18" t="str">
        <f aca="false">Watchlist!$A$5</f>
        <v>IWM</v>
      </c>
      <c r="B11" s="18" t="s">
        <v>146</v>
      </c>
      <c r="C11" s="18" t="s">
        <v>144</v>
      </c>
      <c r="D11" s="20" t="n">
        <f aca="false">Watchlist!$C$5</f>
        <v>0</v>
      </c>
      <c r="E11" s="17" t="n">
        <f aca="false">Watchlist!$D$5</f>
        <v>0</v>
      </c>
      <c r="F11" s="33" t="n">
        <f aca="false">Calendar!$B$12</f>
        <v>46255</v>
      </c>
      <c r="G11" s="17" t="n">
        <f aca="true">F11-TODAY()</f>
        <v>102</v>
      </c>
      <c r="H11" s="20" t="n">
        <f aca="false">Watchlist!$G$5</f>
        <v>0</v>
      </c>
      <c r="I11" s="20" t="n">
        <f aca="false">Watchlist!$I$5</f>
        <v>2</v>
      </c>
      <c r="J11" s="34" t="n">
        <f aca="false">ABS(H11-I11)</f>
        <v>2</v>
      </c>
      <c r="K11" s="27" t="n">
        <f aca="false">BDP_Options!J18</f>
        <v>0</v>
      </c>
      <c r="L11" s="27" t="n">
        <f aca="false">BDP_Options!K18</f>
        <v>0</v>
      </c>
      <c r="M11" s="27" t="n">
        <f aca="false">IFERROR((K11+L11)/2,0)</f>
        <v>0</v>
      </c>
      <c r="N11" s="28" t="n">
        <f aca="false">BDP_Options!L18</f>
        <v>0</v>
      </c>
      <c r="O11" s="29" t="n">
        <f aca="false">BDP_Options!M18</f>
        <v>0</v>
      </c>
      <c r="P11" s="27" t="n">
        <f aca="false">BDP_Options!J19</f>
        <v>0</v>
      </c>
      <c r="Q11" s="27" t="n">
        <f aca="false">BDP_Options!K19</f>
        <v>0</v>
      </c>
      <c r="R11" s="27" t="n">
        <f aca="false">IFERROR((P11+Q11)/2,0)</f>
        <v>0</v>
      </c>
      <c r="S11" s="28" t="n">
        <f aca="false">BDP_Options!L19</f>
        <v>0</v>
      </c>
      <c r="T11" s="29" t="n">
        <f aca="false">BDP_Options!M19</f>
        <v>0</v>
      </c>
      <c r="U11" s="27" t="n">
        <f aca="false">M11-R11</f>
        <v>0</v>
      </c>
      <c r="V11" s="27" t="n">
        <f aca="false">J11-U11</f>
        <v>2</v>
      </c>
      <c r="W11" s="28" t="n">
        <f aca="false">IFERROR(U11/J11,0)</f>
        <v>0</v>
      </c>
      <c r="X11" s="28" t="n">
        <f aca="false">IFERROR((L11-K11)/M11,1)</f>
        <v>1</v>
      </c>
      <c r="Y11" s="28" t="n">
        <f aca="false">IFERROR(IF(C11="BullPut",(D11-H11)/D11,(H11-D11)/D11),0)</f>
        <v>0</v>
      </c>
      <c r="Z11" s="28" t="n">
        <f aca="false">IFERROR(1-ABS(O11),0)</f>
        <v>1</v>
      </c>
      <c r="AA11" s="27" t="n">
        <f aca="false">Z11*U11-(1-Z11)*V11</f>
        <v>0</v>
      </c>
      <c r="AB11" s="29" t="n">
        <f aca="false">IFERROR(AA11/V11,0)</f>
        <v>0</v>
      </c>
      <c r="AC11" s="35" t="b">
        <f aca="false">AND(G11&gt;=Settings!$B$14,G11&lt;=Settings!$B$15)</f>
        <v>1</v>
      </c>
      <c r="AD11" s="35" t="b">
        <f aca="false">AND(ABS(O11)&gt;=Settings!$B$12,ABS(O11)&lt;=Settings!$B$13)</f>
        <v>0</v>
      </c>
      <c r="AE11" s="35" t="b">
        <f aca="false">E11&gt;=Settings!$B$8</f>
        <v>0</v>
      </c>
      <c r="AF11" s="35" t="b">
        <f aca="false">U11&gt;=Settings!$B$10</f>
        <v>0</v>
      </c>
      <c r="AG11" s="35" t="b">
        <f aca="false">W11&gt;=Settings!$B$9</f>
        <v>0</v>
      </c>
      <c r="AH11" s="35" t="b">
        <f aca="false">AND(X11&lt;=Settings!$B$11,K11&gt;0,L11&gt;0,P11&gt;0,Q11&gt;0)</f>
        <v>0</v>
      </c>
      <c r="AI11" s="35" t="b">
        <f aca="false">Y11&gt;=Settings!$B$19</f>
        <v>0</v>
      </c>
      <c r="AJ11" s="18" t="str">
        <f aca="false">IF(NOT(AC11),"WAIT - DTE",IF(NOT(AD11),"WAIT - DELTA",IF(NOT(AE11),"WAIT - IVR",IF(NOT(AF11),"WAIT - CREDIT",IF(NOT(AG11),"WAIT - C/W",IF(NOT(AH11),"WAIT - LIQUIDITY",IF(NOT(AI11),"WAIT - BUFFER","GO")))))))</f>
        <v>WAIT - DELTA</v>
      </c>
      <c r="AK11" s="29" t="n">
        <f aca="false">IF(AJ11="GO",AB11,-1000000000)</f>
        <v>-1000000000</v>
      </c>
    </row>
    <row r="12" customFormat="false" ht="15" hidden="false" customHeight="false" outlineLevel="0" collapsed="false">
      <c r="A12" s="18" t="str">
        <f aca="false">Watchlist!$A$6</f>
        <v>QQQ</v>
      </c>
      <c r="B12" s="18" t="s">
        <v>139</v>
      </c>
      <c r="C12" s="18" t="s">
        <v>140</v>
      </c>
      <c r="D12" s="20" t="n">
        <f aca="false">Watchlist!$C$6</f>
        <v>0</v>
      </c>
      <c r="E12" s="17" t="n">
        <f aca="false">Watchlist!$D$6</f>
        <v>0</v>
      </c>
      <c r="F12" s="33" t="n">
        <f aca="false">Calendar!$B$11</f>
        <v>46220</v>
      </c>
      <c r="G12" s="17" t="n">
        <f aca="true">F12-TODAY()</f>
        <v>67</v>
      </c>
      <c r="H12" s="20" t="n">
        <f aca="false">Watchlist!$F$6</f>
        <v>0</v>
      </c>
      <c r="I12" s="20" t="n">
        <f aca="false">Watchlist!$H$6</f>
        <v>-5</v>
      </c>
      <c r="J12" s="34" t="n">
        <f aca="false">ABS(H12-I12)</f>
        <v>5</v>
      </c>
      <c r="K12" s="27" t="n">
        <f aca="false">BDP_Options!J20</f>
        <v>0</v>
      </c>
      <c r="L12" s="27" t="n">
        <f aca="false">BDP_Options!K20</f>
        <v>0</v>
      </c>
      <c r="M12" s="27" t="n">
        <f aca="false">IFERROR((K12+L12)/2,0)</f>
        <v>0</v>
      </c>
      <c r="N12" s="28" t="n">
        <f aca="false">BDP_Options!L20</f>
        <v>0</v>
      </c>
      <c r="O12" s="29" t="n">
        <f aca="false">BDP_Options!M20</f>
        <v>0</v>
      </c>
      <c r="P12" s="27" t="n">
        <f aca="false">BDP_Options!J21</f>
        <v>0</v>
      </c>
      <c r="Q12" s="27" t="n">
        <f aca="false">BDP_Options!K21</f>
        <v>0</v>
      </c>
      <c r="R12" s="27" t="n">
        <f aca="false">IFERROR((P12+Q12)/2,0)</f>
        <v>0</v>
      </c>
      <c r="S12" s="28" t="n">
        <f aca="false">BDP_Options!L21</f>
        <v>0</v>
      </c>
      <c r="T12" s="29" t="n">
        <f aca="false">BDP_Options!M21</f>
        <v>0</v>
      </c>
      <c r="U12" s="27" t="n">
        <f aca="false">M12-R12</f>
        <v>0</v>
      </c>
      <c r="V12" s="27" t="n">
        <f aca="false">J12-U12</f>
        <v>5</v>
      </c>
      <c r="W12" s="28" t="n">
        <f aca="false">IFERROR(U12/J12,0)</f>
        <v>0</v>
      </c>
      <c r="X12" s="28" t="n">
        <f aca="false">IFERROR((L12-K12)/M12,1)</f>
        <v>1</v>
      </c>
      <c r="Y12" s="28" t="n">
        <f aca="false">IFERROR(IF(C12="BullPut",(D12-H12)/D12,(H12-D12)/D12),0)</f>
        <v>0</v>
      </c>
      <c r="Z12" s="28" t="n">
        <f aca="false">IFERROR(1-ABS(O12),0)</f>
        <v>1</v>
      </c>
      <c r="AA12" s="27" t="n">
        <f aca="false">Z12*U12-(1-Z12)*V12</f>
        <v>0</v>
      </c>
      <c r="AB12" s="29" t="n">
        <f aca="false">IFERROR(AA12/V12,0)</f>
        <v>0</v>
      </c>
      <c r="AC12" s="35" t="b">
        <f aca="false">AND(G12&gt;=Settings!$B$14,G12&lt;=Settings!$B$15)</f>
        <v>1</v>
      </c>
      <c r="AD12" s="35" t="b">
        <f aca="false">AND(ABS(O12)&gt;=Settings!$B$12,ABS(O12)&lt;=Settings!$B$13)</f>
        <v>0</v>
      </c>
      <c r="AE12" s="35" t="b">
        <f aca="false">E12&gt;=Settings!$B$8</f>
        <v>0</v>
      </c>
      <c r="AF12" s="35" t="b">
        <f aca="false">U12&gt;=Settings!$B$10</f>
        <v>0</v>
      </c>
      <c r="AG12" s="35" t="b">
        <f aca="false">W12&gt;=Settings!$B$9</f>
        <v>0</v>
      </c>
      <c r="AH12" s="35" t="b">
        <f aca="false">AND(X12&lt;=Settings!$B$11,K12&gt;0,L12&gt;0,P12&gt;0,Q12&gt;0)</f>
        <v>0</v>
      </c>
      <c r="AI12" s="35" t="b">
        <f aca="false">Y12&gt;=Settings!$B$19</f>
        <v>0</v>
      </c>
      <c r="AJ12" s="18" t="str">
        <f aca="false">IF(NOT(AC12),"WAIT - DTE",IF(NOT(AD12),"WAIT - DELTA",IF(NOT(AE12),"WAIT - IVR",IF(NOT(AF12),"WAIT - CREDIT",IF(NOT(AG12),"WAIT - C/W",IF(NOT(AH12),"WAIT - LIQUIDITY",IF(NOT(AI12),"WAIT - BUFFER","GO")))))))</f>
        <v>WAIT - DELTA</v>
      </c>
      <c r="AK12" s="29" t="n">
        <f aca="false">IF(AJ12="GO",AB12,-1000000000)</f>
        <v>-1000000000</v>
      </c>
    </row>
    <row r="13" customFormat="false" ht="15" hidden="false" customHeight="false" outlineLevel="0" collapsed="false">
      <c r="A13" s="18" t="str">
        <f aca="false">Watchlist!$A$6</f>
        <v>QQQ</v>
      </c>
      <c r="B13" s="18" t="s">
        <v>139</v>
      </c>
      <c r="C13" s="18" t="s">
        <v>144</v>
      </c>
      <c r="D13" s="20" t="n">
        <f aca="false">Watchlist!$C$6</f>
        <v>0</v>
      </c>
      <c r="E13" s="17" t="n">
        <f aca="false">Watchlist!$D$6</f>
        <v>0</v>
      </c>
      <c r="F13" s="33" t="n">
        <f aca="false">Calendar!$B$11</f>
        <v>46220</v>
      </c>
      <c r="G13" s="17" t="n">
        <f aca="true">F13-TODAY()</f>
        <v>67</v>
      </c>
      <c r="H13" s="20" t="n">
        <f aca="false">Watchlist!$G$6</f>
        <v>0</v>
      </c>
      <c r="I13" s="20" t="n">
        <f aca="false">Watchlist!$I$6</f>
        <v>5</v>
      </c>
      <c r="J13" s="34" t="n">
        <f aca="false">ABS(H13-I13)</f>
        <v>5</v>
      </c>
      <c r="K13" s="27" t="n">
        <f aca="false">BDP_Options!J22</f>
        <v>0</v>
      </c>
      <c r="L13" s="27" t="n">
        <f aca="false">BDP_Options!K22</f>
        <v>0</v>
      </c>
      <c r="M13" s="27" t="n">
        <f aca="false">IFERROR((K13+L13)/2,0)</f>
        <v>0</v>
      </c>
      <c r="N13" s="28" t="n">
        <f aca="false">BDP_Options!L22</f>
        <v>0</v>
      </c>
      <c r="O13" s="29" t="n">
        <f aca="false">BDP_Options!M22</f>
        <v>0</v>
      </c>
      <c r="P13" s="27" t="n">
        <f aca="false">BDP_Options!J23</f>
        <v>0</v>
      </c>
      <c r="Q13" s="27" t="n">
        <f aca="false">BDP_Options!K23</f>
        <v>0</v>
      </c>
      <c r="R13" s="27" t="n">
        <f aca="false">IFERROR((P13+Q13)/2,0)</f>
        <v>0</v>
      </c>
      <c r="S13" s="28" t="n">
        <f aca="false">BDP_Options!L23</f>
        <v>0</v>
      </c>
      <c r="T13" s="29" t="n">
        <f aca="false">BDP_Options!M23</f>
        <v>0</v>
      </c>
      <c r="U13" s="27" t="n">
        <f aca="false">M13-R13</f>
        <v>0</v>
      </c>
      <c r="V13" s="27" t="n">
        <f aca="false">J13-U13</f>
        <v>5</v>
      </c>
      <c r="W13" s="28" t="n">
        <f aca="false">IFERROR(U13/J13,0)</f>
        <v>0</v>
      </c>
      <c r="X13" s="28" t="n">
        <f aca="false">IFERROR((L13-K13)/M13,1)</f>
        <v>1</v>
      </c>
      <c r="Y13" s="28" t="n">
        <f aca="false">IFERROR(IF(C13="BullPut",(D13-H13)/D13,(H13-D13)/D13),0)</f>
        <v>0</v>
      </c>
      <c r="Z13" s="28" t="n">
        <f aca="false">IFERROR(1-ABS(O13),0)</f>
        <v>1</v>
      </c>
      <c r="AA13" s="27" t="n">
        <f aca="false">Z13*U13-(1-Z13)*V13</f>
        <v>0</v>
      </c>
      <c r="AB13" s="29" t="n">
        <f aca="false">IFERROR(AA13/V13,0)</f>
        <v>0</v>
      </c>
      <c r="AC13" s="35" t="b">
        <f aca="false">AND(G13&gt;=Settings!$B$14,G13&lt;=Settings!$B$15)</f>
        <v>1</v>
      </c>
      <c r="AD13" s="35" t="b">
        <f aca="false">AND(ABS(O13)&gt;=Settings!$B$12,ABS(O13)&lt;=Settings!$B$13)</f>
        <v>0</v>
      </c>
      <c r="AE13" s="35" t="b">
        <f aca="false">E13&gt;=Settings!$B$8</f>
        <v>0</v>
      </c>
      <c r="AF13" s="35" t="b">
        <f aca="false">U13&gt;=Settings!$B$10</f>
        <v>0</v>
      </c>
      <c r="AG13" s="35" t="b">
        <f aca="false">W13&gt;=Settings!$B$9</f>
        <v>0</v>
      </c>
      <c r="AH13" s="35" t="b">
        <f aca="false">AND(X13&lt;=Settings!$B$11,K13&gt;0,L13&gt;0,P13&gt;0,Q13&gt;0)</f>
        <v>0</v>
      </c>
      <c r="AI13" s="35" t="b">
        <f aca="false">Y13&gt;=Settings!$B$19</f>
        <v>0</v>
      </c>
      <c r="AJ13" s="18" t="str">
        <f aca="false">IF(NOT(AC13),"WAIT - DTE",IF(NOT(AD13),"WAIT - DELTA",IF(NOT(AE13),"WAIT - IVR",IF(NOT(AF13),"WAIT - CREDIT",IF(NOT(AG13),"WAIT - C/W",IF(NOT(AH13),"WAIT - LIQUIDITY",IF(NOT(AI13),"WAIT - BUFFER","GO")))))))</f>
        <v>WAIT - DELTA</v>
      </c>
      <c r="AK13" s="29" t="n">
        <f aca="false">IF(AJ13="GO",AB13,-1000000000)</f>
        <v>-1000000000</v>
      </c>
    </row>
    <row r="14" customFormat="false" ht="15" hidden="false" customHeight="false" outlineLevel="0" collapsed="false">
      <c r="A14" s="18" t="str">
        <f aca="false">Watchlist!$A$6</f>
        <v>QQQ</v>
      </c>
      <c r="B14" s="18" t="s">
        <v>146</v>
      </c>
      <c r="C14" s="18" t="s">
        <v>140</v>
      </c>
      <c r="D14" s="20" t="n">
        <f aca="false">Watchlist!$C$6</f>
        <v>0</v>
      </c>
      <c r="E14" s="17" t="n">
        <f aca="false">Watchlist!$D$6</f>
        <v>0</v>
      </c>
      <c r="F14" s="33" t="n">
        <f aca="false">Calendar!$B$12</f>
        <v>46255</v>
      </c>
      <c r="G14" s="17" t="n">
        <f aca="true">F14-TODAY()</f>
        <v>102</v>
      </c>
      <c r="H14" s="20" t="n">
        <f aca="false">Watchlist!$F$6</f>
        <v>0</v>
      </c>
      <c r="I14" s="20" t="n">
        <f aca="false">Watchlist!$H$6</f>
        <v>-5</v>
      </c>
      <c r="J14" s="34" t="n">
        <f aca="false">ABS(H14-I14)</f>
        <v>5</v>
      </c>
      <c r="K14" s="27" t="n">
        <f aca="false">BDP_Options!J24</f>
        <v>0</v>
      </c>
      <c r="L14" s="27" t="n">
        <f aca="false">BDP_Options!K24</f>
        <v>0</v>
      </c>
      <c r="M14" s="27" t="n">
        <f aca="false">IFERROR((K14+L14)/2,0)</f>
        <v>0</v>
      </c>
      <c r="N14" s="28" t="n">
        <f aca="false">BDP_Options!L24</f>
        <v>0</v>
      </c>
      <c r="O14" s="29" t="n">
        <f aca="false">BDP_Options!M24</f>
        <v>0</v>
      </c>
      <c r="P14" s="27" t="n">
        <f aca="false">BDP_Options!J25</f>
        <v>0</v>
      </c>
      <c r="Q14" s="27" t="n">
        <f aca="false">BDP_Options!K25</f>
        <v>0</v>
      </c>
      <c r="R14" s="27" t="n">
        <f aca="false">IFERROR((P14+Q14)/2,0)</f>
        <v>0</v>
      </c>
      <c r="S14" s="28" t="n">
        <f aca="false">BDP_Options!L25</f>
        <v>0</v>
      </c>
      <c r="T14" s="29" t="n">
        <f aca="false">BDP_Options!M25</f>
        <v>0</v>
      </c>
      <c r="U14" s="27" t="n">
        <f aca="false">M14-R14</f>
        <v>0</v>
      </c>
      <c r="V14" s="27" t="n">
        <f aca="false">J14-U14</f>
        <v>5</v>
      </c>
      <c r="W14" s="28" t="n">
        <f aca="false">IFERROR(U14/J14,0)</f>
        <v>0</v>
      </c>
      <c r="X14" s="28" t="n">
        <f aca="false">IFERROR((L14-K14)/M14,1)</f>
        <v>1</v>
      </c>
      <c r="Y14" s="28" t="n">
        <f aca="false">IFERROR(IF(C14="BullPut",(D14-H14)/D14,(H14-D14)/D14),0)</f>
        <v>0</v>
      </c>
      <c r="Z14" s="28" t="n">
        <f aca="false">IFERROR(1-ABS(O14),0)</f>
        <v>1</v>
      </c>
      <c r="AA14" s="27" t="n">
        <f aca="false">Z14*U14-(1-Z14)*V14</f>
        <v>0</v>
      </c>
      <c r="AB14" s="29" t="n">
        <f aca="false">IFERROR(AA14/V14,0)</f>
        <v>0</v>
      </c>
      <c r="AC14" s="35" t="b">
        <f aca="false">AND(G14&gt;=Settings!$B$14,G14&lt;=Settings!$B$15)</f>
        <v>1</v>
      </c>
      <c r="AD14" s="35" t="b">
        <f aca="false">AND(ABS(O14)&gt;=Settings!$B$12,ABS(O14)&lt;=Settings!$B$13)</f>
        <v>0</v>
      </c>
      <c r="AE14" s="35" t="b">
        <f aca="false">E14&gt;=Settings!$B$8</f>
        <v>0</v>
      </c>
      <c r="AF14" s="35" t="b">
        <f aca="false">U14&gt;=Settings!$B$10</f>
        <v>0</v>
      </c>
      <c r="AG14" s="35" t="b">
        <f aca="false">W14&gt;=Settings!$B$9</f>
        <v>0</v>
      </c>
      <c r="AH14" s="35" t="b">
        <f aca="false">AND(X14&lt;=Settings!$B$11,K14&gt;0,L14&gt;0,P14&gt;0,Q14&gt;0)</f>
        <v>0</v>
      </c>
      <c r="AI14" s="35" t="b">
        <f aca="false">Y14&gt;=Settings!$B$19</f>
        <v>0</v>
      </c>
      <c r="AJ14" s="18" t="str">
        <f aca="false">IF(NOT(AC14),"WAIT - DTE",IF(NOT(AD14),"WAIT - DELTA",IF(NOT(AE14),"WAIT - IVR",IF(NOT(AF14),"WAIT - CREDIT",IF(NOT(AG14),"WAIT - C/W",IF(NOT(AH14),"WAIT - LIQUIDITY",IF(NOT(AI14),"WAIT - BUFFER","GO")))))))</f>
        <v>WAIT - DELTA</v>
      </c>
      <c r="AK14" s="29" t="n">
        <f aca="false">IF(AJ14="GO",AB14,-1000000000)</f>
        <v>-1000000000</v>
      </c>
    </row>
    <row r="15" customFormat="false" ht="15" hidden="false" customHeight="false" outlineLevel="0" collapsed="false">
      <c r="A15" s="18" t="str">
        <f aca="false">Watchlist!$A$6</f>
        <v>QQQ</v>
      </c>
      <c r="B15" s="18" t="s">
        <v>146</v>
      </c>
      <c r="C15" s="18" t="s">
        <v>144</v>
      </c>
      <c r="D15" s="20" t="n">
        <f aca="false">Watchlist!$C$6</f>
        <v>0</v>
      </c>
      <c r="E15" s="17" t="n">
        <f aca="false">Watchlist!$D$6</f>
        <v>0</v>
      </c>
      <c r="F15" s="33" t="n">
        <f aca="false">Calendar!$B$12</f>
        <v>46255</v>
      </c>
      <c r="G15" s="17" t="n">
        <f aca="true">F15-TODAY()</f>
        <v>102</v>
      </c>
      <c r="H15" s="20" t="n">
        <f aca="false">Watchlist!$G$6</f>
        <v>0</v>
      </c>
      <c r="I15" s="20" t="n">
        <f aca="false">Watchlist!$I$6</f>
        <v>5</v>
      </c>
      <c r="J15" s="34" t="n">
        <f aca="false">ABS(H15-I15)</f>
        <v>5</v>
      </c>
      <c r="K15" s="27" t="n">
        <f aca="false">BDP_Options!J26</f>
        <v>0</v>
      </c>
      <c r="L15" s="27" t="n">
        <f aca="false">BDP_Options!K26</f>
        <v>0</v>
      </c>
      <c r="M15" s="27" t="n">
        <f aca="false">IFERROR((K15+L15)/2,0)</f>
        <v>0</v>
      </c>
      <c r="N15" s="28" t="n">
        <f aca="false">BDP_Options!L26</f>
        <v>0</v>
      </c>
      <c r="O15" s="29" t="n">
        <f aca="false">BDP_Options!M26</f>
        <v>0</v>
      </c>
      <c r="P15" s="27" t="n">
        <f aca="false">BDP_Options!J27</f>
        <v>0</v>
      </c>
      <c r="Q15" s="27" t="n">
        <f aca="false">BDP_Options!K27</f>
        <v>0</v>
      </c>
      <c r="R15" s="27" t="n">
        <f aca="false">IFERROR((P15+Q15)/2,0)</f>
        <v>0</v>
      </c>
      <c r="S15" s="28" t="n">
        <f aca="false">BDP_Options!L27</f>
        <v>0</v>
      </c>
      <c r="T15" s="29" t="n">
        <f aca="false">BDP_Options!M27</f>
        <v>0</v>
      </c>
      <c r="U15" s="27" t="n">
        <f aca="false">M15-R15</f>
        <v>0</v>
      </c>
      <c r="V15" s="27" t="n">
        <f aca="false">J15-U15</f>
        <v>5</v>
      </c>
      <c r="W15" s="28" t="n">
        <f aca="false">IFERROR(U15/J15,0)</f>
        <v>0</v>
      </c>
      <c r="X15" s="28" t="n">
        <f aca="false">IFERROR((L15-K15)/M15,1)</f>
        <v>1</v>
      </c>
      <c r="Y15" s="28" t="n">
        <f aca="false">IFERROR(IF(C15="BullPut",(D15-H15)/D15,(H15-D15)/D15),0)</f>
        <v>0</v>
      </c>
      <c r="Z15" s="28" t="n">
        <f aca="false">IFERROR(1-ABS(O15),0)</f>
        <v>1</v>
      </c>
      <c r="AA15" s="27" t="n">
        <f aca="false">Z15*U15-(1-Z15)*V15</f>
        <v>0</v>
      </c>
      <c r="AB15" s="29" t="n">
        <f aca="false">IFERROR(AA15/V15,0)</f>
        <v>0</v>
      </c>
      <c r="AC15" s="35" t="b">
        <f aca="false">AND(G15&gt;=Settings!$B$14,G15&lt;=Settings!$B$15)</f>
        <v>1</v>
      </c>
      <c r="AD15" s="35" t="b">
        <f aca="false">AND(ABS(O15)&gt;=Settings!$B$12,ABS(O15)&lt;=Settings!$B$13)</f>
        <v>0</v>
      </c>
      <c r="AE15" s="35" t="b">
        <f aca="false">E15&gt;=Settings!$B$8</f>
        <v>0</v>
      </c>
      <c r="AF15" s="35" t="b">
        <f aca="false">U15&gt;=Settings!$B$10</f>
        <v>0</v>
      </c>
      <c r="AG15" s="35" t="b">
        <f aca="false">W15&gt;=Settings!$B$9</f>
        <v>0</v>
      </c>
      <c r="AH15" s="35" t="b">
        <f aca="false">AND(X15&lt;=Settings!$B$11,K15&gt;0,L15&gt;0,P15&gt;0,Q15&gt;0)</f>
        <v>0</v>
      </c>
      <c r="AI15" s="35" t="b">
        <f aca="false">Y15&gt;=Settings!$B$19</f>
        <v>0</v>
      </c>
      <c r="AJ15" s="18" t="str">
        <f aca="false">IF(NOT(AC15),"WAIT - DTE",IF(NOT(AD15),"WAIT - DELTA",IF(NOT(AE15),"WAIT - IVR",IF(NOT(AF15),"WAIT - CREDIT",IF(NOT(AG15),"WAIT - C/W",IF(NOT(AH15),"WAIT - LIQUIDITY",IF(NOT(AI15),"WAIT - BUFFER","GO")))))))</f>
        <v>WAIT - DELTA</v>
      </c>
      <c r="AK15" s="29" t="n">
        <f aca="false">IF(AJ15="GO",AB15,-1000000000)</f>
        <v>-1000000000</v>
      </c>
    </row>
    <row r="16" customFormat="false" ht="15" hidden="false" customHeight="false" outlineLevel="0" collapsed="false">
      <c r="A16" s="18" t="str">
        <f aca="false">Watchlist!$A$7</f>
        <v>GLD</v>
      </c>
      <c r="B16" s="18" t="s">
        <v>139</v>
      </c>
      <c r="C16" s="18" t="s">
        <v>140</v>
      </c>
      <c r="D16" s="20" t="n">
        <f aca="false">Watchlist!$C$7</f>
        <v>0</v>
      </c>
      <c r="E16" s="17" t="n">
        <f aca="false">Watchlist!$D$7</f>
        <v>0</v>
      </c>
      <c r="F16" s="33" t="n">
        <f aca="false">Calendar!$B$11</f>
        <v>46220</v>
      </c>
      <c r="G16" s="17" t="n">
        <f aca="true">F16-TODAY()</f>
        <v>67</v>
      </c>
      <c r="H16" s="20" t="n">
        <f aca="false">Watchlist!$F$7</f>
        <v>0</v>
      </c>
      <c r="I16" s="20" t="n">
        <f aca="false">Watchlist!$H$7</f>
        <v>-5</v>
      </c>
      <c r="J16" s="34" t="n">
        <f aca="false">ABS(H16-I16)</f>
        <v>5</v>
      </c>
      <c r="K16" s="27" t="n">
        <f aca="false">BDP_Options!J28</f>
        <v>0</v>
      </c>
      <c r="L16" s="27" t="n">
        <f aca="false">BDP_Options!K28</f>
        <v>0</v>
      </c>
      <c r="M16" s="27" t="n">
        <f aca="false">IFERROR((K16+L16)/2,0)</f>
        <v>0</v>
      </c>
      <c r="N16" s="28" t="n">
        <f aca="false">BDP_Options!L28</f>
        <v>0</v>
      </c>
      <c r="O16" s="29" t="n">
        <f aca="false">BDP_Options!M28</f>
        <v>0</v>
      </c>
      <c r="P16" s="27" t="n">
        <f aca="false">BDP_Options!J29</f>
        <v>0</v>
      </c>
      <c r="Q16" s="27" t="n">
        <f aca="false">BDP_Options!K29</f>
        <v>0</v>
      </c>
      <c r="R16" s="27" t="n">
        <f aca="false">IFERROR((P16+Q16)/2,0)</f>
        <v>0</v>
      </c>
      <c r="S16" s="28" t="n">
        <f aca="false">BDP_Options!L29</f>
        <v>0</v>
      </c>
      <c r="T16" s="29" t="n">
        <f aca="false">BDP_Options!M29</f>
        <v>0</v>
      </c>
      <c r="U16" s="27" t="n">
        <f aca="false">M16-R16</f>
        <v>0</v>
      </c>
      <c r="V16" s="27" t="n">
        <f aca="false">J16-U16</f>
        <v>5</v>
      </c>
      <c r="W16" s="28" t="n">
        <f aca="false">IFERROR(U16/J16,0)</f>
        <v>0</v>
      </c>
      <c r="X16" s="28" t="n">
        <f aca="false">IFERROR((L16-K16)/M16,1)</f>
        <v>1</v>
      </c>
      <c r="Y16" s="28" t="n">
        <f aca="false">IFERROR(IF(C16="BullPut",(D16-H16)/D16,(H16-D16)/D16),0)</f>
        <v>0</v>
      </c>
      <c r="Z16" s="28" t="n">
        <f aca="false">IFERROR(1-ABS(O16),0)</f>
        <v>1</v>
      </c>
      <c r="AA16" s="27" t="n">
        <f aca="false">Z16*U16-(1-Z16)*V16</f>
        <v>0</v>
      </c>
      <c r="AB16" s="29" t="n">
        <f aca="false">IFERROR(AA16/V16,0)</f>
        <v>0</v>
      </c>
      <c r="AC16" s="35" t="b">
        <f aca="false">AND(G16&gt;=Settings!$B$14,G16&lt;=Settings!$B$15)</f>
        <v>1</v>
      </c>
      <c r="AD16" s="35" t="b">
        <f aca="false">AND(ABS(O16)&gt;=Settings!$B$12,ABS(O16)&lt;=Settings!$B$13)</f>
        <v>0</v>
      </c>
      <c r="AE16" s="35" t="b">
        <f aca="false">E16&gt;=Settings!$B$8</f>
        <v>0</v>
      </c>
      <c r="AF16" s="35" t="b">
        <f aca="false">U16&gt;=Settings!$B$10</f>
        <v>0</v>
      </c>
      <c r="AG16" s="35" t="b">
        <f aca="false">W16&gt;=Settings!$B$9</f>
        <v>0</v>
      </c>
      <c r="AH16" s="35" t="b">
        <f aca="false">AND(X16&lt;=Settings!$B$11,K16&gt;0,L16&gt;0,P16&gt;0,Q16&gt;0)</f>
        <v>0</v>
      </c>
      <c r="AI16" s="35" t="b">
        <f aca="false">Y16&gt;=Settings!$B$19</f>
        <v>0</v>
      </c>
      <c r="AJ16" s="18" t="str">
        <f aca="false">IF(NOT(AC16),"WAIT - DTE",IF(NOT(AD16),"WAIT - DELTA",IF(NOT(AE16),"WAIT - IVR",IF(NOT(AF16),"WAIT - CREDIT",IF(NOT(AG16),"WAIT - C/W",IF(NOT(AH16),"WAIT - LIQUIDITY",IF(NOT(AI16),"WAIT - BUFFER","GO")))))))</f>
        <v>WAIT - DELTA</v>
      </c>
      <c r="AK16" s="29" t="n">
        <f aca="false">IF(AJ16="GO",AB16,-1000000000)</f>
        <v>-1000000000</v>
      </c>
    </row>
    <row r="17" customFormat="false" ht="15" hidden="false" customHeight="false" outlineLevel="0" collapsed="false">
      <c r="A17" s="18" t="str">
        <f aca="false">Watchlist!$A$7</f>
        <v>GLD</v>
      </c>
      <c r="B17" s="18" t="s">
        <v>139</v>
      </c>
      <c r="C17" s="18" t="s">
        <v>144</v>
      </c>
      <c r="D17" s="20" t="n">
        <f aca="false">Watchlist!$C$7</f>
        <v>0</v>
      </c>
      <c r="E17" s="17" t="n">
        <f aca="false">Watchlist!$D$7</f>
        <v>0</v>
      </c>
      <c r="F17" s="33" t="n">
        <f aca="false">Calendar!$B$11</f>
        <v>46220</v>
      </c>
      <c r="G17" s="17" t="n">
        <f aca="true">F17-TODAY()</f>
        <v>67</v>
      </c>
      <c r="H17" s="20" t="n">
        <f aca="false">Watchlist!$G$7</f>
        <v>0</v>
      </c>
      <c r="I17" s="20" t="n">
        <f aca="false">Watchlist!$I$7</f>
        <v>5</v>
      </c>
      <c r="J17" s="34" t="n">
        <f aca="false">ABS(H17-I17)</f>
        <v>5</v>
      </c>
      <c r="K17" s="27" t="n">
        <f aca="false">BDP_Options!J30</f>
        <v>0</v>
      </c>
      <c r="L17" s="27" t="n">
        <f aca="false">BDP_Options!K30</f>
        <v>0</v>
      </c>
      <c r="M17" s="27" t="n">
        <f aca="false">IFERROR((K17+L17)/2,0)</f>
        <v>0</v>
      </c>
      <c r="N17" s="28" t="n">
        <f aca="false">BDP_Options!L30</f>
        <v>0</v>
      </c>
      <c r="O17" s="29" t="n">
        <f aca="false">BDP_Options!M30</f>
        <v>0</v>
      </c>
      <c r="P17" s="27" t="n">
        <f aca="false">BDP_Options!J31</f>
        <v>0</v>
      </c>
      <c r="Q17" s="27" t="n">
        <f aca="false">BDP_Options!K31</f>
        <v>0</v>
      </c>
      <c r="R17" s="27" t="n">
        <f aca="false">IFERROR((P17+Q17)/2,0)</f>
        <v>0</v>
      </c>
      <c r="S17" s="28" t="n">
        <f aca="false">BDP_Options!L31</f>
        <v>0</v>
      </c>
      <c r="T17" s="29" t="n">
        <f aca="false">BDP_Options!M31</f>
        <v>0</v>
      </c>
      <c r="U17" s="27" t="n">
        <f aca="false">M17-R17</f>
        <v>0</v>
      </c>
      <c r="V17" s="27" t="n">
        <f aca="false">J17-U17</f>
        <v>5</v>
      </c>
      <c r="W17" s="28" t="n">
        <f aca="false">IFERROR(U17/J17,0)</f>
        <v>0</v>
      </c>
      <c r="X17" s="28" t="n">
        <f aca="false">IFERROR((L17-K17)/M17,1)</f>
        <v>1</v>
      </c>
      <c r="Y17" s="28" t="n">
        <f aca="false">IFERROR(IF(C17="BullPut",(D17-H17)/D17,(H17-D17)/D17),0)</f>
        <v>0</v>
      </c>
      <c r="Z17" s="28" t="n">
        <f aca="false">IFERROR(1-ABS(O17),0)</f>
        <v>1</v>
      </c>
      <c r="AA17" s="27" t="n">
        <f aca="false">Z17*U17-(1-Z17)*V17</f>
        <v>0</v>
      </c>
      <c r="AB17" s="29" t="n">
        <f aca="false">IFERROR(AA17/V17,0)</f>
        <v>0</v>
      </c>
      <c r="AC17" s="35" t="b">
        <f aca="false">AND(G17&gt;=Settings!$B$14,G17&lt;=Settings!$B$15)</f>
        <v>1</v>
      </c>
      <c r="AD17" s="35" t="b">
        <f aca="false">AND(ABS(O17)&gt;=Settings!$B$12,ABS(O17)&lt;=Settings!$B$13)</f>
        <v>0</v>
      </c>
      <c r="AE17" s="35" t="b">
        <f aca="false">E17&gt;=Settings!$B$8</f>
        <v>0</v>
      </c>
      <c r="AF17" s="35" t="b">
        <f aca="false">U17&gt;=Settings!$B$10</f>
        <v>0</v>
      </c>
      <c r="AG17" s="35" t="b">
        <f aca="false">W17&gt;=Settings!$B$9</f>
        <v>0</v>
      </c>
      <c r="AH17" s="35" t="b">
        <f aca="false">AND(X17&lt;=Settings!$B$11,K17&gt;0,L17&gt;0,P17&gt;0,Q17&gt;0)</f>
        <v>0</v>
      </c>
      <c r="AI17" s="35" t="b">
        <f aca="false">Y17&gt;=Settings!$B$19</f>
        <v>0</v>
      </c>
      <c r="AJ17" s="18" t="str">
        <f aca="false">IF(NOT(AC17),"WAIT - DTE",IF(NOT(AD17),"WAIT - DELTA",IF(NOT(AE17),"WAIT - IVR",IF(NOT(AF17),"WAIT - CREDIT",IF(NOT(AG17),"WAIT - C/W",IF(NOT(AH17),"WAIT - LIQUIDITY",IF(NOT(AI17),"WAIT - BUFFER","GO")))))))</f>
        <v>WAIT - DELTA</v>
      </c>
      <c r="AK17" s="29" t="n">
        <f aca="false">IF(AJ17="GO",AB17,-1000000000)</f>
        <v>-1000000000</v>
      </c>
    </row>
    <row r="18" customFormat="false" ht="15" hidden="false" customHeight="false" outlineLevel="0" collapsed="false">
      <c r="A18" s="18" t="str">
        <f aca="false">Watchlist!$A$7</f>
        <v>GLD</v>
      </c>
      <c r="B18" s="18" t="s">
        <v>146</v>
      </c>
      <c r="C18" s="18" t="s">
        <v>140</v>
      </c>
      <c r="D18" s="20" t="n">
        <f aca="false">Watchlist!$C$7</f>
        <v>0</v>
      </c>
      <c r="E18" s="17" t="n">
        <f aca="false">Watchlist!$D$7</f>
        <v>0</v>
      </c>
      <c r="F18" s="33" t="n">
        <f aca="false">Calendar!$B$12</f>
        <v>46255</v>
      </c>
      <c r="G18" s="17" t="n">
        <f aca="true">F18-TODAY()</f>
        <v>102</v>
      </c>
      <c r="H18" s="20" t="n">
        <f aca="false">Watchlist!$F$7</f>
        <v>0</v>
      </c>
      <c r="I18" s="20" t="n">
        <f aca="false">Watchlist!$H$7</f>
        <v>-5</v>
      </c>
      <c r="J18" s="34" t="n">
        <f aca="false">ABS(H18-I18)</f>
        <v>5</v>
      </c>
      <c r="K18" s="27" t="n">
        <f aca="false">BDP_Options!J32</f>
        <v>0</v>
      </c>
      <c r="L18" s="27" t="n">
        <f aca="false">BDP_Options!K32</f>
        <v>0</v>
      </c>
      <c r="M18" s="27" t="n">
        <f aca="false">IFERROR((K18+L18)/2,0)</f>
        <v>0</v>
      </c>
      <c r="N18" s="28" t="n">
        <f aca="false">BDP_Options!L32</f>
        <v>0</v>
      </c>
      <c r="O18" s="29" t="n">
        <f aca="false">BDP_Options!M32</f>
        <v>0</v>
      </c>
      <c r="P18" s="27" t="n">
        <f aca="false">BDP_Options!J33</f>
        <v>0</v>
      </c>
      <c r="Q18" s="27" t="n">
        <f aca="false">BDP_Options!K33</f>
        <v>0</v>
      </c>
      <c r="R18" s="27" t="n">
        <f aca="false">IFERROR((P18+Q18)/2,0)</f>
        <v>0</v>
      </c>
      <c r="S18" s="28" t="n">
        <f aca="false">BDP_Options!L33</f>
        <v>0</v>
      </c>
      <c r="T18" s="29" t="n">
        <f aca="false">BDP_Options!M33</f>
        <v>0</v>
      </c>
      <c r="U18" s="27" t="n">
        <f aca="false">M18-R18</f>
        <v>0</v>
      </c>
      <c r="V18" s="27" t="n">
        <f aca="false">J18-U18</f>
        <v>5</v>
      </c>
      <c r="W18" s="28" t="n">
        <f aca="false">IFERROR(U18/J18,0)</f>
        <v>0</v>
      </c>
      <c r="X18" s="28" t="n">
        <f aca="false">IFERROR((L18-K18)/M18,1)</f>
        <v>1</v>
      </c>
      <c r="Y18" s="28" t="n">
        <f aca="false">IFERROR(IF(C18="BullPut",(D18-H18)/D18,(H18-D18)/D18),0)</f>
        <v>0</v>
      </c>
      <c r="Z18" s="28" t="n">
        <f aca="false">IFERROR(1-ABS(O18),0)</f>
        <v>1</v>
      </c>
      <c r="AA18" s="27" t="n">
        <f aca="false">Z18*U18-(1-Z18)*V18</f>
        <v>0</v>
      </c>
      <c r="AB18" s="29" t="n">
        <f aca="false">IFERROR(AA18/V18,0)</f>
        <v>0</v>
      </c>
      <c r="AC18" s="35" t="b">
        <f aca="false">AND(G18&gt;=Settings!$B$14,G18&lt;=Settings!$B$15)</f>
        <v>1</v>
      </c>
      <c r="AD18" s="35" t="b">
        <f aca="false">AND(ABS(O18)&gt;=Settings!$B$12,ABS(O18)&lt;=Settings!$B$13)</f>
        <v>0</v>
      </c>
      <c r="AE18" s="35" t="b">
        <f aca="false">E18&gt;=Settings!$B$8</f>
        <v>0</v>
      </c>
      <c r="AF18" s="35" t="b">
        <f aca="false">U18&gt;=Settings!$B$10</f>
        <v>0</v>
      </c>
      <c r="AG18" s="35" t="b">
        <f aca="false">W18&gt;=Settings!$B$9</f>
        <v>0</v>
      </c>
      <c r="AH18" s="35" t="b">
        <f aca="false">AND(X18&lt;=Settings!$B$11,K18&gt;0,L18&gt;0,P18&gt;0,Q18&gt;0)</f>
        <v>0</v>
      </c>
      <c r="AI18" s="35" t="b">
        <f aca="false">Y18&gt;=Settings!$B$19</f>
        <v>0</v>
      </c>
      <c r="AJ18" s="18" t="str">
        <f aca="false">IF(NOT(AC18),"WAIT - DTE",IF(NOT(AD18),"WAIT - DELTA",IF(NOT(AE18),"WAIT - IVR",IF(NOT(AF18),"WAIT - CREDIT",IF(NOT(AG18),"WAIT - C/W",IF(NOT(AH18),"WAIT - LIQUIDITY",IF(NOT(AI18),"WAIT - BUFFER","GO")))))))</f>
        <v>WAIT - DELTA</v>
      </c>
      <c r="AK18" s="29" t="n">
        <f aca="false">IF(AJ18="GO",AB18,-1000000000)</f>
        <v>-1000000000</v>
      </c>
    </row>
    <row r="19" customFormat="false" ht="15" hidden="false" customHeight="false" outlineLevel="0" collapsed="false">
      <c r="A19" s="18" t="str">
        <f aca="false">Watchlist!$A$7</f>
        <v>GLD</v>
      </c>
      <c r="B19" s="18" t="s">
        <v>146</v>
      </c>
      <c r="C19" s="18" t="s">
        <v>144</v>
      </c>
      <c r="D19" s="20" t="n">
        <f aca="false">Watchlist!$C$7</f>
        <v>0</v>
      </c>
      <c r="E19" s="17" t="n">
        <f aca="false">Watchlist!$D$7</f>
        <v>0</v>
      </c>
      <c r="F19" s="33" t="n">
        <f aca="false">Calendar!$B$12</f>
        <v>46255</v>
      </c>
      <c r="G19" s="17" t="n">
        <f aca="true">F19-TODAY()</f>
        <v>102</v>
      </c>
      <c r="H19" s="20" t="n">
        <f aca="false">Watchlist!$G$7</f>
        <v>0</v>
      </c>
      <c r="I19" s="20" t="n">
        <f aca="false">Watchlist!$I$7</f>
        <v>5</v>
      </c>
      <c r="J19" s="34" t="n">
        <f aca="false">ABS(H19-I19)</f>
        <v>5</v>
      </c>
      <c r="K19" s="27" t="n">
        <f aca="false">BDP_Options!J34</f>
        <v>0</v>
      </c>
      <c r="L19" s="27" t="n">
        <f aca="false">BDP_Options!K34</f>
        <v>0</v>
      </c>
      <c r="M19" s="27" t="n">
        <f aca="false">IFERROR((K19+L19)/2,0)</f>
        <v>0</v>
      </c>
      <c r="N19" s="28" t="n">
        <f aca="false">BDP_Options!L34</f>
        <v>0</v>
      </c>
      <c r="O19" s="29" t="n">
        <f aca="false">BDP_Options!M34</f>
        <v>0</v>
      </c>
      <c r="P19" s="27" t="n">
        <f aca="false">BDP_Options!J35</f>
        <v>0</v>
      </c>
      <c r="Q19" s="27" t="n">
        <f aca="false">BDP_Options!K35</f>
        <v>0</v>
      </c>
      <c r="R19" s="27" t="n">
        <f aca="false">IFERROR((P19+Q19)/2,0)</f>
        <v>0</v>
      </c>
      <c r="S19" s="28" t="n">
        <f aca="false">BDP_Options!L35</f>
        <v>0</v>
      </c>
      <c r="T19" s="29" t="n">
        <f aca="false">BDP_Options!M35</f>
        <v>0</v>
      </c>
      <c r="U19" s="27" t="n">
        <f aca="false">M19-R19</f>
        <v>0</v>
      </c>
      <c r="V19" s="27" t="n">
        <f aca="false">J19-U19</f>
        <v>5</v>
      </c>
      <c r="W19" s="28" t="n">
        <f aca="false">IFERROR(U19/J19,0)</f>
        <v>0</v>
      </c>
      <c r="X19" s="28" t="n">
        <f aca="false">IFERROR((L19-K19)/M19,1)</f>
        <v>1</v>
      </c>
      <c r="Y19" s="28" t="n">
        <f aca="false">IFERROR(IF(C19="BullPut",(D19-H19)/D19,(H19-D19)/D19),0)</f>
        <v>0</v>
      </c>
      <c r="Z19" s="28" t="n">
        <f aca="false">IFERROR(1-ABS(O19),0)</f>
        <v>1</v>
      </c>
      <c r="AA19" s="27" t="n">
        <f aca="false">Z19*U19-(1-Z19)*V19</f>
        <v>0</v>
      </c>
      <c r="AB19" s="29" t="n">
        <f aca="false">IFERROR(AA19/V19,0)</f>
        <v>0</v>
      </c>
      <c r="AC19" s="35" t="b">
        <f aca="false">AND(G19&gt;=Settings!$B$14,G19&lt;=Settings!$B$15)</f>
        <v>1</v>
      </c>
      <c r="AD19" s="35" t="b">
        <f aca="false">AND(ABS(O19)&gt;=Settings!$B$12,ABS(O19)&lt;=Settings!$B$13)</f>
        <v>0</v>
      </c>
      <c r="AE19" s="35" t="b">
        <f aca="false">E19&gt;=Settings!$B$8</f>
        <v>0</v>
      </c>
      <c r="AF19" s="35" t="b">
        <f aca="false">U19&gt;=Settings!$B$10</f>
        <v>0</v>
      </c>
      <c r="AG19" s="35" t="b">
        <f aca="false">W19&gt;=Settings!$B$9</f>
        <v>0</v>
      </c>
      <c r="AH19" s="35" t="b">
        <f aca="false">AND(X19&lt;=Settings!$B$11,K19&gt;0,L19&gt;0,P19&gt;0,Q19&gt;0)</f>
        <v>0</v>
      </c>
      <c r="AI19" s="35" t="b">
        <f aca="false">Y19&gt;=Settings!$B$19</f>
        <v>0</v>
      </c>
      <c r="AJ19" s="18" t="str">
        <f aca="false">IF(NOT(AC19),"WAIT - DTE",IF(NOT(AD19),"WAIT - DELTA",IF(NOT(AE19),"WAIT - IVR",IF(NOT(AF19),"WAIT - CREDIT",IF(NOT(AG19),"WAIT - C/W",IF(NOT(AH19),"WAIT - LIQUIDITY",IF(NOT(AI19),"WAIT - BUFFER","GO")))))))</f>
        <v>WAIT - DELTA</v>
      </c>
      <c r="AK19" s="29" t="n">
        <f aca="false">IF(AJ19="GO",AB19,-1000000000)</f>
        <v>-1000000000</v>
      </c>
    </row>
    <row r="20" customFormat="false" ht="15" hidden="false" customHeight="false" outlineLevel="0" collapsed="false">
      <c r="A20" s="18" t="str">
        <f aca="false">Watchlist!$A$8</f>
        <v>GDX</v>
      </c>
      <c r="B20" s="18" t="s">
        <v>139</v>
      </c>
      <c r="C20" s="18" t="s">
        <v>140</v>
      </c>
      <c r="D20" s="20" t="n">
        <f aca="false">Watchlist!$C$8</f>
        <v>0</v>
      </c>
      <c r="E20" s="17" t="n">
        <f aca="false">Watchlist!$D$8</f>
        <v>0</v>
      </c>
      <c r="F20" s="33" t="n">
        <f aca="false">Calendar!$B$11</f>
        <v>46220</v>
      </c>
      <c r="G20" s="17" t="n">
        <f aca="true">F20-TODAY()</f>
        <v>67</v>
      </c>
      <c r="H20" s="20" t="n">
        <f aca="false">Watchlist!$F$8</f>
        <v>0</v>
      </c>
      <c r="I20" s="20" t="n">
        <f aca="false">Watchlist!$H$8</f>
        <v>-1</v>
      </c>
      <c r="J20" s="34" t="n">
        <f aca="false">ABS(H20-I20)</f>
        <v>1</v>
      </c>
      <c r="K20" s="27" t="n">
        <f aca="false">BDP_Options!J36</f>
        <v>0</v>
      </c>
      <c r="L20" s="27" t="n">
        <f aca="false">BDP_Options!K36</f>
        <v>0</v>
      </c>
      <c r="M20" s="27" t="n">
        <f aca="false">IFERROR((K20+L20)/2,0)</f>
        <v>0</v>
      </c>
      <c r="N20" s="28" t="n">
        <f aca="false">BDP_Options!L36</f>
        <v>0</v>
      </c>
      <c r="O20" s="29" t="n">
        <f aca="false">BDP_Options!M36</f>
        <v>0</v>
      </c>
      <c r="P20" s="27" t="n">
        <f aca="false">BDP_Options!J37</f>
        <v>0</v>
      </c>
      <c r="Q20" s="27" t="n">
        <f aca="false">BDP_Options!K37</f>
        <v>0</v>
      </c>
      <c r="R20" s="27" t="n">
        <f aca="false">IFERROR((P20+Q20)/2,0)</f>
        <v>0</v>
      </c>
      <c r="S20" s="28" t="n">
        <f aca="false">BDP_Options!L37</f>
        <v>0</v>
      </c>
      <c r="T20" s="29" t="n">
        <f aca="false">BDP_Options!M37</f>
        <v>0</v>
      </c>
      <c r="U20" s="27" t="n">
        <f aca="false">M20-R20</f>
        <v>0</v>
      </c>
      <c r="V20" s="27" t="n">
        <f aca="false">J20-U20</f>
        <v>1</v>
      </c>
      <c r="W20" s="28" t="n">
        <f aca="false">IFERROR(U20/J20,0)</f>
        <v>0</v>
      </c>
      <c r="X20" s="28" t="n">
        <f aca="false">IFERROR((L20-K20)/M20,1)</f>
        <v>1</v>
      </c>
      <c r="Y20" s="28" t="n">
        <f aca="false">IFERROR(IF(C20="BullPut",(D20-H20)/D20,(H20-D20)/D20),0)</f>
        <v>0</v>
      </c>
      <c r="Z20" s="28" t="n">
        <f aca="false">IFERROR(1-ABS(O20),0)</f>
        <v>1</v>
      </c>
      <c r="AA20" s="27" t="n">
        <f aca="false">Z20*U20-(1-Z20)*V20</f>
        <v>0</v>
      </c>
      <c r="AB20" s="29" t="n">
        <f aca="false">IFERROR(AA20/V20,0)</f>
        <v>0</v>
      </c>
      <c r="AC20" s="35" t="b">
        <f aca="false">AND(G20&gt;=Settings!$B$14,G20&lt;=Settings!$B$15)</f>
        <v>1</v>
      </c>
      <c r="AD20" s="35" t="b">
        <f aca="false">AND(ABS(O20)&gt;=Settings!$B$12,ABS(O20)&lt;=Settings!$B$13)</f>
        <v>0</v>
      </c>
      <c r="AE20" s="35" t="b">
        <f aca="false">E20&gt;=Settings!$B$8</f>
        <v>0</v>
      </c>
      <c r="AF20" s="35" t="b">
        <f aca="false">U20&gt;=Settings!$B$10</f>
        <v>0</v>
      </c>
      <c r="AG20" s="35" t="b">
        <f aca="false">W20&gt;=Settings!$B$9</f>
        <v>0</v>
      </c>
      <c r="AH20" s="35" t="b">
        <f aca="false">AND(X20&lt;=Settings!$B$11,K20&gt;0,L20&gt;0,P20&gt;0,Q20&gt;0)</f>
        <v>0</v>
      </c>
      <c r="AI20" s="35" t="b">
        <f aca="false">Y20&gt;=Settings!$B$19</f>
        <v>0</v>
      </c>
      <c r="AJ20" s="18" t="str">
        <f aca="false">IF(NOT(AC20),"WAIT - DTE",IF(NOT(AD20),"WAIT - DELTA",IF(NOT(AE20),"WAIT - IVR",IF(NOT(AF20),"WAIT - CREDIT",IF(NOT(AG20),"WAIT - C/W",IF(NOT(AH20),"WAIT - LIQUIDITY",IF(NOT(AI20),"WAIT - BUFFER","GO")))))))</f>
        <v>WAIT - DELTA</v>
      </c>
      <c r="AK20" s="29" t="n">
        <f aca="false">IF(AJ20="GO",AB20,-1000000000)</f>
        <v>-1000000000</v>
      </c>
    </row>
    <row r="21" customFormat="false" ht="15" hidden="false" customHeight="false" outlineLevel="0" collapsed="false">
      <c r="A21" s="18" t="str">
        <f aca="false">Watchlist!$A$8</f>
        <v>GDX</v>
      </c>
      <c r="B21" s="18" t="s">
        <v>139</v>
      </c>
      <c r="C21" s="18" t="s">
        <v>144</v>
      </c>
      <c r="D21" s="20" t="n">
        <f aca="false">Watchlist!$C$8</f>
        <v>0</v>
      </c>
      <c r="E21" s="17" t="n">
        <f aca="false">Watchlist!$D$8</f>
        <v>0</v>
      </c>
      <c r="F21" s="33" t="n">
        <f aca="false">Calendar!$B$11</f>
        <v>46220</v>
      </c>
      <c r="G21" s="17" t="n">
        <f aca="true">F21-TODAY()</f>
        <v>67</v>
      </c>
      <c r="H21" s="20" t="n">
        <f aca="false">Watchlist!$G$8</f>
        <v>0</v>
      </c>
      <c r="I21" s="20" t="n">
        <f aca="false">Watchlist!$I$8</f>
        <v>1</v>
      </c>
      <c r="J21" s="34" t="n">
        <f aca="false">ABS(H21-I21)</f>
        <v>1</v>
      </c>
      <c r="K21" s="27" t="n">
        <f aca="false">BDP_Options!J38</f>
        <v>0</v>
      </c>
      <c r="L21" s="27" t="n">
        <f aca="false">BDP_Options!K38</f>
        <v>0</v>
      </c>
      <c r="M21" s="27" t="n">
        <f aca="false">IFERROR((K21+L21)/2,0)</f>
        <v>0</v>
      </c>
      <c r="N21" s="28" t="n">
        <f aca="false">BDP_Options!L38</f>
        <v>0</v>
      </c>
      <c r="O21" s="29" t="n">
        <f aca="false">BDP_Options!M38</f>
        <v>0</v>
      </c>
      <c r="P21" s="27" t="n">
        <f aca="false">BDP_Options!J39</f>
        <v>0</v>
      </c>
      <c r="Q21" s="27" t="n">
        <f aca="false">BDP_Options!K39</f>
        <v>0</v>
      </c>
      <c r="R21" s="27" t="n">
        <f aca="false">IFERROR((P21+Q21)/2,0)</f>
        <v>0</v>
      </c>
      <c r="S21" s="28" t="n">
        <f aca="false">BDP_Options!L39</f>
        <v>0</v>
      </c>
      <c r="T21" s="29" t="n">
        <f aca="false">BDP_Options!M39</f>
        <v>0</v>
      </c>
      <c r="U21" s="27" t="n">
        <f aca="false">M21-R21</f>
        <v>0</v>
      </c>
      <c r="V21" s="27" t="n">
        <f aca="false">J21-U21</f>
        <v>1</v>
      </c>
      <c r="W21" s="28" t="n">
        <f aca="false">IFERROR(U21/J21,0)</f>
        <v>0</v>
      </c>
      <c r="X21" s="28" t="n">
        <f aca="false">IFERROR((L21-K21)/M21,1)</f>
        <v>1</v>
      </c>
      <c r="Y21" s="28" t="n">
        <f aca="false">IFERROR(IF(C21="BullPut",(D21-H21)/D21,(H21-D21)/D21),0)</f>
        <v>0</v>
      </c>
      <c r="Z21" s="28" t="n">
        <f aca="false">IFERROR(1-ABS(O21),0)</f>
        <v>1</v>
      </c>
      <c r="AA21" s="27" t="n">
        <f aca="false">Z21*U21-(1-Z21)*V21</f>
        <v>0</v>
      </c>
      <c r="AB21" s="29" t="n">
        <f aca="false">IFERROR(AA21/V21,0)</f>
        <v>0</v>
      </c>
      <c r="AC21" s="35" t="b">
        <f aca="false">AND(G21&gt;=Settings!$B$14,G21&lt;=Settings!$B$15)</f>
        <v>1</v>
      </c>
      <c r="AD21" s="35" t="b">
        <f aca="false">AND(ABS(O21)&gt;=Settings!$B$12,ABS(O21)&lt;=Settings!$B$13)</f>
        <v>0</v>
      </c>
      <c r="AE21" s="35" t="b">
        <f aca="false">E21&gt;=Settings!$B$8</f>
        <v>0</v>
      </c>
      <c r="AF21" s="35" t="b">
        <f aca="false">U21&gt;=Settings!$B$10</f>
        <v>0</v>
      </c>
      <c r="AG21" s="35" t="b">
        <f aca="false">W21&gt;=Settings!$B$9</f>
        <v>0</v>
      </c>
      <c r="AH21" s="35" t="b">
        <f aca="false">AND(X21&lt;=Settings!$B$11,K21&gt;0,L21&gt;0,P21&gt;0,Q21&gt;0)</f>
        <v>0</v>
      </c>
      <c r="AI21" s="35" t="b">
        <f aca="false">Y21&gt;=Settings!$B$19</f>
        <v>0</v>
      </c>
      <c r="AJ21" s="18" t="str">
        <f aca="false">IF(NOT(AC21),"WAIT - DTE",IF(NOT(AD21),"WAIT - DELTA",IF(NOT(AE21),"WAIT - IVR",IF(NOT(AF21),"WAIT - CREDIT",IF(NOT(AG21),"WAIT - C/W",IF(NOT(AH21),"WAIT - LIQUIDITY",IF(NOT(AI21),"WAIT - BUFFER","GO")))))))</f>
        <v>WAIT - DELTA</v>
      </c>
      <c r="AK21" s="29" t="n">
        <f aca="false">IF(AJ21="GO",AB21,-1000000000)</f>
        <v>-1000000000</v>
      </c>
    </row>
    <row r="22" customFormat="false" ht="15" hidden="false" customHeight="false" outlineLevel="0" collapsed="false">
      <c r="A22" s="18" t="str">
        <f aca="false">Watchlist!$A$8</f>
        <v>GDX</v>
      </c>
      <c r="B22" s="18" t="s">
        <v>146</v>
      </c>
      <c r="C22" s="18" t="s">
        <v>140</v>
      </c>
      <c r="D22" s="20" t="n">
        <f aca="false">Watchlist!$C$8</f>
        <v>0</v>
      </c>
      <c r="E22" s="17" t="n">
        <f aca="false">Watchlist!$D$8</f>
        <v>0</v>
      </c>
      <c r="F22" s="33" t="n">
        <f aca="false">Calendar!$B$12</f>
        <v>46255</v>
      </c>
      <c r="G22" s="17" t="n">
        <f aca="true">F22-TODAY()</f>
        <v>102</v>
      </c>
      <c r="H22" s="20" t="n">
        <f aca="false">Watchlist!$F$8</f>
        <v>0</v>
      </c>
      <c r="I22" s="20" t="n">
        <f aca="false">Watchlist!$H$8</f>
        <v>-1</v>
      </c>
      <c r="J22" s="34" t="n">
        <f aca="false">ABS(H22-I22)</f>
        <v>1</v>
      </c>
      <c r="K22" s="27" t="n">
        <f aca="false">BDP_Options!J40</f>
        <v>0</v>
      </c>
      <c r="L22" s="27" t="n">
        <f aca="false">BDP_Options!K40</f>
        <v>0</v>
      </c>
      <c r="M22" s="27" t="n">
        <f aca="false">IFERROR((K22+L22)/2,0)</f>
        <v>0</v>
      </c>
      <c r="N22" s="28" t="n">
        <f aca="false">BDP_Options!L40</f>
        <v>0</v>
      </c>
      <c r="O22" s="29" t="n">
        <f aca="false">BDP_Options!M40</f>
        <v>0</v>
      </c>
      <c r="P22" s="27" t="n">
        <f aca="false">BDP_Options!J41</f>
        <v>0</v>
      </c>
      <c r="Q22" s="27" t="n">
        <f aca="false">BDP_Options!K41</f>
        <v>0</v>
      </c>
      <c r="R22" s="27" t="n">
        <f aca="false">IFERROR((P22+Q22)/2,0)</f>
        <v>0</v>
      </c>
      <c r="S22" s="28" t="n">
        <f aca="false">BDP_Options!L41</f>
        <v>0</v>
      </c>
      <c r="T22" s="29" t="n">
        <f aca="false">BDP_Options!M41</f>
        <v>0</v>
      </c>
      <c r="U22" s="27" t="n">
        <f aca="false">M22-R22</f>
        <v>0</v>
      </c>
      <c r="V22" s="27" t="n">
        <f aca="false">J22-U22</f>
        <v>1</v>
      </c>
      <c r="W22" s="28" t="n">
        <f aca="false">IFERROR(U22/J22,0)</f>
        <v>0</v>
      </c>
      <c r="X22" s="28" t="n">
        <f aca="false">IFERROR((L22-K22)/M22,1)</f>
        <v>1</v>
      </c>
      <c r="Y22" s="28" t="n">
        <f aca="false">IFERROR(IF(C22="BullPut",(D22-H22)/D22,(H22-D22)/D22),0)</f>
        <v>0</v>
      </c>
      <c r="Z22" s="28" t="n">
        <f aca="false">IFERROR(1-ABS(O22),0)</f>
        <v>1</v>
      </c>
      <c r="AA22" s="27" t="n">
        <f aca="false">Z22*U22-(1-Z22)*V22</f>
        <v>0</v>
      </c>
      <c r="AB22" s="29" t="n">
        <f aca="false">IFERROR(AA22/V22,0)</f>
        <v>0</v>
      </c>
      <c r="AC22" s="35" t="b">
        <f aca="false">AND(G22&gt;=Settings!$B$14,G22&lt;=Settings!$B$15)</f>
        <v>1</v>
      </c>
      <c r="AD22" s="35" t="b">
        <f aca="false">AND(ABS(O22)&gt;=Settings!$B$12,ABS(O22)&lt;=Settings!$B$13)</f>
        <v>0</v>
      </c>
      <c r="AE22" s="35" t="b">
        <f aca="false">E22&gt;=Settings!$B$8</f>
        <v>0</v>
      </c>
      <c r="AF22" s="35" t="b">
        <f aca="false">U22&gt;=Settings!$B$10</f>
        <v>0</v>
      </c>
      <c r="AG22" s="35" t="b">
        <f aca="false">W22&gt;=Settings!$B$9</f>
        <v>0</v>
      </c>
      <c r="AH22" s="35" t="b">
        <f aca="false">AND(X22&lt;=Settings!$B$11,K22&gt;0,L22&gt;0,P22&gt;0,Q22&gt;0)</f>
        <v>0</v>
      </c>
      <c r="AI22" s="35" t="b">
        <f aca="false">Y22&gt;=Settings!$B$19</f>
        <v>0</v>
      </c>
      <c r="AJ22" s="18" t="str">
        <f aca="false">IF(NOT(AC22),"WAIT - DTE",IF(NOT(AD22),"WAIT - DELTA",IF(NOT(AE22),"WAIT - IVR",IF(NOT(AF22),"WAIT - CREDIT",IF(NOT(AG22),"WAIT - C/W",IF(NOT(AH22),"WAIT - LIQUIDITY",IF(NOT(AI22),"WAIT - BUFFER","GO")))))))</f>
        <v>WAIT - DELTA</v>
      </c>
      <c r="AK22" s="29" t="n">
        <f aca="false">IF(AJ22="GO",AB22,-1000000000)</f>
        <v>-1000000000</v>
      </c>
    </row>
    <row r="23" customFormat="false" ht="15" hidden="false" customHeight="false" outlineLevel="0" collapsed="false">
      <c r="A23" s="18" t="str">
        <f aca="false">Watchlist!$A$8</f>
        <v>GDX</v>
      </c>
      <c r="B23" s="18" t="s">
        <v>146</v>
      </c>
      <c r="C23" s="18" t="s">
        <v>144</v>
      </c>
      <c r="D23" s="20" t="n">
        <f aca="false">Watchlist!$C$8</f>
        <v>0</v>
      </c>
      <c r="E23" s="17" t="n">
        <f aca="false">Watchlist!$D$8</f>
        <v>0</v>
      </c>
      <c r="F23" s="33" t="n">
        <f aca="false">Calendar!$B$12</f>
        <v>46255</v>
      </c>
      <c r="G23" s="17" t="n">
        <f aca="true">F23-TODAY()</f>
        <v>102</v>
      </c>
      <c r="H23" s="20" t="n">
        <f aca="false">Watchlist!$G$8</f>
        <v>0</v>
      </c>
      <c r="I23" s="20" t="n">
        <f aca="false">Watchlist!$I$8</f>
        <v>1</v>
      </c>
      <c r="J23" s="34" t="n">
        <f aca="false">ABS(H23-I23)</f>
        <v>1</v>
      </c>
      <c r="K23" s="27" t="n">
        <f aca="false">BDP_Options!J42</f>
        <v>0</v>
      </c>
      <c r="L23" s="27" t="n">
        <f aca="false">BDP_Options!K42</f>
        <v>0</v>
      </c>
      <c r="M23" s="27" t="n">
        <f aca="false">IFERROR((K23+L23)/2,0)</f>
        <v>0</v>
      </c>
      <c r="N23" s="28" t="n">
        <f aca="false">BDP_Options!L42</f>
        <v>0</v>
      </c>
      <c r="O23" s="29" t="n">
        <f aca="false">BDP_Options!M42</f>
        <v>0</v>
      </c>
      <c r="P23" s="27" t="n">
        <f aca="false">BDP_Options!J43</f>
        <v>0</v>
      </c>
      <c r="Q23" s="27" t="n">
        <f aca="false">BDP_Options!K43</f>
        <v>0</v>
      </c>
      <c r="R23" s="27" t="n">
        <f aca="false">IFERROR((P23+Q23)/2,0)</f>
        <v>0</v>
      </c>
      <c r="S23" s="28" t="n">
        <f aca="false">BDP_Options!L43</f>
        <v>0</v>
      </c>
      <c r="T23" s="29" t="n">
        <f aca="false">BDP_Options!M43</f>
        <v>0</v>
      </c>
      <c r="U23" s="27" t="n">
        <f aca="false">M23-R23</f>
        <v>0</v>
      </c>
      <c r="V23" s="27" t="n">
        <f aca="false">J23-U23</f>
        <v>1</v>
      </c>
      <c r="W23" s="28" t="n">
        <f aca="false">IFERROR(U23/J23,0)</f>
        <v>0</v>
      </c>
      <c r="X23" s="28" t="n">
        <f aca="false">IFERROR((L23-K23)/M23,1)</f>
        <v>1</v>
      </c>
      <c r="Y23" s="28" t="n">
        <f aca="false">IFERROR(IF(C23="BullPut",(D23-H23)/D23,(H23-D23)/D23),0)</f>
        <v>0</v>
      </c>
      <c r="Z23" s="28" t="n">
        <f aca="false">IFERROR(1-ABS(O23),0)</f>
        <v>1</v>
      </c>
      <c r="AA23" s="27" t="n">
        <f aca="false">Z23*U23-(1-Z23)*V23</f>
        <v>0</v>
      </c>
      <c r="AB23" s="29" t="n">
        <f aca="false">IFERROR(AA23/V23,0)</f>
        <v>0</v>
      </c>
      <c r="AC23" s="35" t="b">
        <f aca="false">AND(G23&gt;=Settings!$B$14,G23&lt;=Settings!$B$15)</f>
        <v>1</v>
      </c>
      <c r="AD23" s="35" t="b">
        <f aca="false">AND(ABS(O23)&gt;=Settings!$B$12,ABS(O23)&lt;=Settings!$B$13)</f>
        <v>0</v>
      </c>
      <c r="AE23" s="35" t="b">
        <f aca="false">E23&gt;=Settings!$B$8</f>
        <v>0</v>
      </c>
      <c r="AF23" s="35" t="b">
        <f aca="false">U23&gt;=Settings!$B$10</f>
        <v>0</v>
      </c>
      <c r="AG23" s="35" t="b">
        <f aca="false">W23&gt;=Settings!$B$9</f>
        <v>0</v>
      </c>
      <c r="AH23" s="35" t="b">
        <f aca="false">AND(X23&lt;=Settings!$B$11,K23&gt;0,L23&gt;0,P23&gt;0,Q23&gt;0)</f>
        <v>0</v>
      </c>
      <c r="AI23" s="35" t="b">
        <f aca="false">Y23&gt;=Settings!$B$19</f>
        <v>0</v>
      </c>
      <c r="AJ23" s="18" t="str">
        <f aca="false">IF(NOT(AC23),"WAIT - DTE",IF(NOT(AD23),"WAIT - DELTA",IF(NOT(AE23),"WAIT - IVR",IF(NOT(AF23),"WAIT - CREDIT",IF(NOT(AG23),"WAIT - C/W",IF(NOT(AH23),"WAIT - LIQUIDITY",IF(NOT(AI23),"WAIT - BUFFER","GO")))))))</f>
        <v>WAIT - DELTA</v>
      </c>
      <c r="AK23" s="29" t="n">
        <f aca="false">IF(AJ23="GO",AB23,-1000000000)</f>
        <v>-1000000000</v>
      </c>
    </row>
    <row r="24" customFormat="false" ht="15" hidden="false" customHeight="false" outlineLevel="0" collapsed="false">
      <c r="A24" s="18" t="str">
        <f aca="false">Watchlist!$A$9</f>
        <v>TLT</v>
      </c>
      <c r="B24" s="18" t="s">
        <v>139</v>
      </c>
      <c r="C24" s="18" t="s">
        <v>140</v>
      </c>
      <c r="D24" s="20" t="n">
        <f aca="false">Watchlist!$C$9</f>
        <v>0</v>
      </c>
      <c r="E24" s="17" t="n">
        <f aca="false">Watchlist!$D$9</f>
        <v>0</v>
      </c>
      <c r="F24" s="33" t="n">
        <f aca="false">Calendar!$B$11</f>
        <v>46220</v>
      </c>
      <c r="G24" s="17" t="n">
        <f aca="true">F24-TODAY()</f>
        <v>67</v>
      </c>
      <c r="H24" s="20" t="n">
        <f aca="false">Watchlist!$F$9</f>
        <v>0</v>
      </c>
      <c r="I24" s="20" t="n">
        <f aca="false">Watchlist!$H$9</f>
        <v>-2</v>
      </c>
      <c r="J24" s="34" t="n">
        <f aca="false">ABS(H24-I24)</f>
        <v>2</v>
      </c>
      <c r="K24" s="27" t="n">
        <f aca="false">BDP_Options!J44</f>
        <v>0</v>
      </c>
      <c r="L24" s="27" t="n">
        <f aca="false">BDP_Options!K44</f>
        <v>0</v>
      </c>
      <c r="M24" s="27" t="n">
        <f aca="false">IFERROR((K24+L24)/2,0)</f>
        <v>0</v>
      </c>
      <c r="N24" s="28" t="n">
        <f aca="false">BDP_Options!L44</f>
        <v>0</v>
      </c>
      <c r="O24" s="29" t="n">
        <f aca="false">BDP_Options!M44</f>
        <v>0</v>
      </c>
      <c r="P24" s="27" t="n">
        <f aca="false">BDP_Options!J45</f>
        <v>0</v>
      </c>
      <c r="Q24" s="27" t="n">
        <f aca="false">BDP_Options!K45</f>
        <v>0</v>
      </c>
      <c r="R24" s="27" t="n">
        <f aca="false">IFERROR((P24+Q24)/2,0)</f>
        <v>0</v>
      </c>
      <c r="S24" s="28" t="n">
        <f aca="false">BDP_Options!L45</f>
        <v>0</v>
      </c>
      <c r="T24" s="29" t="n">
        <f aca="false">BDP_Options!M45</f>
        <v>0</v>
      </c>
      <c r="U24" s="27" t="n">
        <f aca="false">M24-R24</f>
        <v>0</v>
      </c>
      <c r="V24" s="27" t="n">
        <f aca="false">J24-U24</f>
        <v>2</v>
      </c>
      <c r="W24" s="28" t="n">
        <f aca="false">IFERROR(U24/J24,0)</f>
        <v>0</v>
      </c>
      <c r="X24" s="28" t="n">
        <f aca="false">IFERROR((L24-K24)/M24,1)</f>
        <v>1</v>
      </c>
      <c r="Y24" s="28" t="n">
        <f aca="false">IFERROR(IF(C24="BullPut",(D24-H24)/D24,(H24-D24)/D24),0)</f>
        <v>0</v>
      </c>
      <c r="Z24" s="28" t="n">
        <f aca="false">IFERROR(1-ABS(O24),0)</f>
        <v>1</v>
      </c>
      <c r="AA24" s="27" t="n">
        <f aca="false">Z24*U24-(1-Z24)*V24</f>
        <v>0</v>
      </c>
      <c r="AB24" s="29" t="n">
        <f aca="false">IFERROR(AA24/V24,0)</f>
        <v>0</v>
      </c>
      <c r="AC24" s="35" t="b">
        <f aca="false">AND(G24&gt;=Settings!$B$14,G24&lt;=Settings!$B$15)</f>
        <v>1</v>
      </c>
      <c r="AD24" s="35" t="b">
        <f aca="false">AND(ABS(O24)&gt;=Settings!$B$12,ABS(O24)&lt;=Settings!$B$13)</f>
        <v>0</v>
      </c>
      <c r="AE24" s="35" t="b">
        <f aca="false">E24&gt;=Settings!$B$8</f>
        <v>0</v>
      </c>
      <c r="AF24" s="35" t="b">
        <f aca="false">U24&gt;=Settings!$B$10</f>
        <v>0</v>
      </c>
      <c r="AG24" s="35" t="b">
        <f aca="false">W24&gt;=Settings!$B$9</f>
        <v>0</v>
      </c>
      <c r="AH24" s="35" t="b">
        <f aca="false">AND(X24&lt;=Settings!$B$11,K24&gt;0,L24&gt;0,P24&gt;0,Q24&gt;0)</f>
        <v>0</v>
      </c>
      <c r="AI24" s="35" t="b">
        <f aca="false">Y24&gt;=Settings!$B$19</f>
        <v>0</v>
      </c>
      <c r="AJ24" s="18" t="str">
        <f aca="false">IF(NOT(AC24),"WAIT - DTE",IF(NOT(AD24),"WAIT - DELTA",IF(NOT(AE24),"WAIT - IVR",IF(NOT(AF24),"WAIT - CREDIT",IF(NOT(AG24),"WAIT - C/W",IF(NOT(AH24),"WAIT - LIQUIDITY",IF(NOT(AI24),"WAIT - BUFFER","GO")))))))</f>
        <v>WAIT - DELTA</v>
      </c>
      <c r="AK24" s="29" t="n">
        <f aca="false">IF(AJ24="GO",AB24,-1000000000)</f>
        <v>-1000000000</v>
      </c>
    </row>
    <row r="25" customFormat="false" ht="15" hidden="false" customHeight="false" outlineLevel="0" collapsed="false">
      <c r="A25" s="18" t="str">
        <f aca="false">Watchlist!$A$9</f>
        <v>TLT</v>
      </c>
      <c r="B25" s="18" t="s">
        <v>139</v>
      </c>
      <c r="C25" s="18" t="s">
        <v>144</v>
      </c>
      <c r="D25" s="20" t="n">
        <f aca="false">Watchlist!$C$9</f>
        <v>0</v>
      </c>
      <c r="E25" s="17" t="n">
        <f aca="false">Watchlist!$D$9</f>
        <v>0</v>
      </c>
      <c r="F25" s="33" t="n">
        <f aca="false">Calendar!$B$11</f>
        <v>46220</v>
      </c>
      <c r="G25" s="17" t="n">
        <f aca="true">F25-TODAY()</f>
        <v>67</v>
      </c>
      <c r="H25" s="20" t="n">
        <f aca="false">Watchlist!$G$9</f>
        <v>0</v>
      </c>
      <c r="I25" s="20" t="n">
        <f aca="false">Watchlist!$I$9</f>
        <v>2</v>
      </c>
      <c r="J25" s="34" t="n">
        <f aca="false">ABS(H25-I25)</f>
        <v>2</v>
      </c>
      <c r="K25" s="27" t="n">
        <f aca="false">BDP_Options!J46</f>
        <v>0</v>
      </c>
      <c r="L25" s="27" t="n">
        <f aca="false">BDP_Options!K46</f>
        <v>0</v>
      </c>
      <c r="M25" s="27" t="n">
        <f aca="false">IFERROR((K25+L25)/2,0)</f>
        <v>0</v>
      </c>
      <c r="N25" s="28" t="n">
        <f aca="false">BDP_Options!L46</f>
        <v>0</v>
      </c>
      <c r="O25" s="29" t="n">
        <f aca="false">BDP_Options!M46</f>
        <v>0</v>
      </c>
      <c r="P25" s="27" t="n">
        <f aca="false">BDP_Options!J47</f>
        <v>0</v>
      </c>
      <c r="Q25" s="27" t="n">
        <f aca="false">BDP_Options!K47</f>
        <v>0</v>
      </c>
      <c r="R25" s="27" t="n">
        <f aca="false">IFERROR((P25+Q25)/2,0)</f>
        <v>0</v>
      </c>
      <c r="S25" s="28" t="n">
        <f aca="false">BDP_Options!L47</f>
        <v>0</v>
      </c>
      <c r="T25" s="29" t="n">
        <f aca="false">BDP_Options!M47</f>
        <v>0</v>
      </c>
      <c r="U25" s="27" t="n">
        <f aca="false">M25-R25</f>
        <v>0</v>
      </c>
      <c r="V25" s="27" t="n">
        <f aca="false">J25-U25</f>
        <v>2</v>
      </c>
      <c r="W25" s="28" t="n">
        <f aca="false">IFERROR(U25/J25,0)</f>
        <v>0</v>
      </c>
      <c r="X25" s="28" t="n">
        <f aca="false">IFERROR((L25-K25)/M25,1)</f>
        <v>1</v>
      </c>
      <c r="Y25" s="28" t="n">
        <f aca="false">IFERROR(IF(C25="BullPut",(D25-H25)/D25,(H25-D25)/D25),0)</f>
        <v>0</v>
      </c>
      <c r="Z25" s="28" t="n">
        <f aca="false">IFERROR(1-ABS(O25),0)</f>
        <v>1</v>
      </c>
      <c r="AA25" s="27" t="n">
        <f aca="false">Z25*U25-(1-Z25)*V25</f>
        <v>0</v>
      </c>
      <c r="AB25" s="29" t="n">
        <f aca="false">IFERROR(AA25/V25,0)</f>
        <v>0</v>
      </c>
      <c r="AC25" s="35" t="b">
        <f aca="false">AND(G25&gt;=Settings!$B$14,G25&lt;=Settings!$B$15)</f>
        <v>1</v>
      </c>
      <c r="AD25" s="35" t="b">
        <f aca="false">AND(ABS(O25)&gt;=Settings!$B$12,ABS(O25)&lt;=Settings!$B$13)</f>
        <v>0</v>
      </c>
      <c r="AE25" s="35" t="b">
        <f aca="false">E25&gt;=Settings!$B$8</f>
        <v>0</v>
      </c>
      <c r="AF25" s="35" t="b">
        <f aca="false">U25&gt;=Settings!$B$10</f>
        <v>0</v>
      </c>
      <c r="AG25" s="35" t="b">
        <f aca="false">W25&gt;=Settings!$B$9</f>
        <v>0</v>
      </c>
      <c r="AH25" s="35" t="b">
        <f aca="false">AND(X25&lt;=Settings!$B$11,K25&gt;0,L25&gt;0,P25&gt;0,Q25&gt;0)</f>
        <v>0</v>
      </c>
      <c r="AI25" s="35" t="b">
        <f aca="false">Y25&gt;=Settings!$B$19</f>
        <v>0</v>
      </c>
      <c r="AJ25" s="18" t="str">
        <f aca="false">IF(NOT(AC25),"WAIT - DTE",IF(NOT(AD25),"WAIT - DELTA",IF(NOT(AE25),"WAIT - IVR",IF(NOT(AF25),"WAIT - CREDIT",IF(NOT(AG25),"WAIT - C/W",IF(NOT(AH25),"WAIT - LIQUIDITY",IF(NOT(AI25),"WAIT - BUFFER","GO")))))))</f>
        <v>WAIT - DELTA</v>
      </c>
      <c r="AK25" s="29" t="n">
        <f aca="false">IF(AJ25="GO",AB25,-1000000000)</f>
        <v>-1000000000</v>
      </c>
    </row>
    <row r="26" customFormat="false" ht="15" hidden="false" customHeight="false" outlineLevel="0" collapsed="false">
      <c r="A26" s="18" t="str">
        <f aca="false">Watchlist!$A$9</f>
        <v>TLT</v>
      </c>
      <c r="B26" s="18" t="s">
        <v>146</v>
      </c>
      <c r="C26" s="18" t="s">
        <v>140</v>
      </c>
      <c r="D26" s="20" t="n">
        <f aca="false">Watchlist!$C$9</f>
        <v>0</v>
      </c>
      <c r="E26" s="17" t="n">
        <f aca="false">Watchlist!$D$9</f>
        <v>0</v>
      </c>
      <c r="F26" s="33" t="n">
        <f aca="false">Calendar!$B$12</f>
        <v>46255</v>
      </c>
      <c r="G26" s="17" t="n">
        <f aca="true">F26-TODAY()</f>
        <v>102</v>
      </c>
      <c r="H26" s="20" t="n">
        <f aca="false">Watchlist!$F$9</f>
        <v>0</v>
      </c>
      <c r="I26" s="20" t="n">
        <f aca="false">Watchlist!$H$9</f>
        <v>-2</v>
      </c>
      <c r="J26" s="34" t="n">
        <f aca="false">ABS(H26-I26)</f>
        <v>2</v>
      </c>
      <c r="K26" s="27" t="n">
        <f aca="false">BDP_Options!J48</f>
        <v>0</v>
      </c>
      <c r="L26" s="27" t="n">
        <f aca="false">BDP_Options!K48</f>
        <v>0</v>
      </c>
      <c r="M26" s="27" t="n">
        <f aca="false">IFERROR((K26+L26)/2,0)</f>
        <v>0</v>
      </c>
      <c r="N26" s="28" t="n">
        <f aca="false">BDP_Options!L48</f>
        <v>0</v>
      </c>
      <c r="O26" s="29" t="n">
        <f aca="false">BDP_Options!M48</f>
        <v>0</v>
      </c>
      <c r="P26" s="27" t="n">
        <f aca="false">BDP_Options!J49</f>
        <v>0</v>
      </c>
      <c r="Q26" s="27" t="n">
        <f aca="false">BDP_Options!K49</f>
        <v>0</v>
      </c>
      <c r="R26" s="27" t="n">
        <f aca="false">IFERROR((P26+Q26)/2,0)</f>
        <v>0</v>
      </c>
      <c r="S26" s="28" t="n">
        <f aca="false">BDP_Options!L49</f>
        <v>0</v>
      </c>
      <c r="T26" s="29" t="n">
        <f aca="false">BDP_Options!M49</f>
        <v>0</v>
      </c>
      <c r="U26" s="27" t="n">
        <f aca="false">M26-R26</f>
        <v>0</v>
      </c>
      <c r="V26" s="27" t="n">
        <f aca="false">J26-U26</f>
        <v>2</v>
      </c>
      <c r="W26" s="28" t="n">
        <f aca="false">IFERROR(U26/J26,0)</f>
        <v>0</v>
      </c>
      <c r="X26" s="28" t="n">
        <f aca="false">IFERROR((L26-K26)/M26,1)</f>
        <v>1</v>
      </c>
      <c r="Y26" s="28" t="n">
        <f aca="false">IFERROR(IF(C26="BullPut",(D26-H26)/D26,(H26-D26)/D26),0)</f>
        <v>0</v>
      </c>
      <c r="Z26" s="28" t="n">
        <f aca="false">IFERROR(1-ABS(O26),0)</f>
        <v>1</v>
      </c>
      <c r="AA26" s="27" t="n">
        <f aca="false">Z26*U26-(1-Z26)*V26</f>
        <v>0</v>
      </c>
      <c r="AB26" s="29" t="n">
        <f aca="false">IFERROR(AA26/V26,0)</f>
        <v>0</v>
      </c>
      <c r="AC26" s="35" t="b">
        <f aca="false">AND(G26&gt;=Settings!$B$14,G26&lt;=Settings!$B$15)</f>
        <v>1</v>
      </c>
      <c r="AD26" s="35" t="b">
        <f aca="false">AND(ABS(O26)&gt;=Settings!$B$12,ABS(O26)&lt;=Settings!$B$13)</f>
        <v>0</v>
      </c>
      <c r="AE26" s="35" t="b">
        <f aca="false">E26&gt;=Settings!$B$8</f>
        <v>0</v>
      </c>
      <c r="AF26" s="35" t="b">
        <f aca="false">U26&gt;=Settings!$B$10</f>
        <v>0</v>
      </c>
      <c r="AG26" s="35" t="b">
        <f aca="false">W26&gt;=Settings!$B$9</f>
        <v>0</v>
      </c>
      <c r="AH26" s="35" t="b">
        <f aca="false">AND(X26&lt;=Settings!$B$11,K26&gt;0,L26&gt;0,P26&gt;0,Q26&gt;0)</f>
        <v>0</v>
      </c>
      <c r="AI26" s="35" t="b">
        <f aca="false">Y26&gt;=Settings!$B$19</f>
        <v>0</v>
      </c>
      <c r="AJ26" s="18" t="str">
        <f aca="false">IF(NOT(AC26),"WAIT - DTE",IF(NOT(AD26),"WAIT - DELTA",IF(NOT(AE26),"WAIT - IVR",IF(NOT(AF26),"WAIT - CREDIT",IF(NOT(AG26),"WAIT - C/W",IF(NOT(AH26),"WAIT - LIQUIDITY",IF(NOT(AI26),"WAIT - BUFFER","GO")))))))</f>
        <v>WAIT - DELTA</v>
      </c>
      <c r="AK26" s="29" t="n">
        <f aca="false">IF(AJ26="GO",AB26,-1000000000)</f>
        <v>-1000000000</v>
      </c>
    </row>
    <row r="27" customFormat="false" ht="15" hidden="false" customHeight="false" outlineLevel="0" collapsed="false">
      <c r="A27" s="18" t="str">
        <f aca="false">Watchlist!$A$9</f>
        <v>TLT</v>
      </c>
      <c r="B27" s="18" t="s">
        <v>146</v>
      </c>
      <c r="C27" s="18" t="s">
        <v>144</v>
      </c>
      <c r="D27" s="20" t="n">
        <f aca="false">Watchlist!$C$9</f>
        <v>0</v>
      </c>
      <c r="E27" s="17" t="n">
        <f aca="false">Watchlist!$D$9</f>
        <v>0</v>
      </c>
      <c r="F27" s="33" t="n">
        <f aca="false">Calendar!$B$12</f>
        <v>46255</v>
      </c>
      <c r="G27" s="17" t="n">
        <f aca="true">F27-TODAY()</f>
        <v>102</v>
      </c>
      <c r="H27" s="20" t="n">
        <f aca="false">Watchlist!$G$9</f>
        <v>0</v>
      </c>
      <c r="I27" s="20" t="n">
        <f aca="false">Watchlist!$I$9</f>
        <v>2</v>
      </c>
      <c r="J27" s="34" t="n">
        <f aca="false">ABS(H27-I27)</f>
        <v>2</v>
      </c>
      <c r="K27" s="27" t="n">
        <f aca="false">BDP_Options!J50</f>
        <v>0</v>
      </c>
      <c r="L27" s="27" t="n">
        <f aca="false">BDP_Options!K50</f>
        <v>0</v>
      </c>
      <c r="M27" s="27" t="n">
        <f aca="false">IFERROR((K27+L27)/2,0)</f>
        <v>0</v>
      </c>
      <c r="N27" s="28" t="n">
        <f aca="false">BDP_Options!L50</f>
        <v>0</v>
      </c>
      <c r="O27" s="29" t="n">
        <f aca="false">BDP_Options!M50</f>
        <v>0</v>
      </c>
      <c r="P27" s="27" t="n">
        <f aca="false">BDP_Options!J51</f>
        <v>0</v>
      </c>
      <c r="Q27" s="27" t="n">
        <f aca="false">BDP_Options!K51</f>
        <v>0</v>
      </c>
      <c r="R27" s="27" t="n">
        <f aca="false">IFERROR((P27+Q27)/2,0)</f>
        <v>0</v>
      </c>
      <c r="S27" s="28" t="n">
        <f aca="false">BDP_Options!L51</f>
        <v>0</v>
      </c>
      <c r="T27" s="29" t="n">
        <f aca="false">BDP_Options!M51</f>
        <v>0</v>
      </c>
      <c r="U27" s="27" t="n">
        <f aca="false">M27-R27</f>
        <v>0</v>
      </c>
      <c r="V27" s="27" t="n">
        <f aca="false">J27-U27</f>
        <v>2</v>
      </c>
      <c r="W27" s="28" t="n">
        <f aca="false">IFERROR(U27/J27,0)</f>
        <v>0</v>
      </c>
      <c r="X27" s="28" t="n">
        <f aca="false">IFERROR((L27-K27)/M27,1)</f>
        <v>1</v>
      </c>
      <c r="Y27" s="28" t="n">
        <f aca="false">IFERROR(IF(C27="BullPut",(D27-H27)/D27,(H27-D27)/D27),0)</f>
        <v>0</v>
      </c>
      <c r="Z27" s="28" t="n">
        <f aca="false">IFERROR(1-ABS(O27),0)</f>
        <v>1</v>
      </c>
      <c r="AA27" s="27" t="n">
        <f aca="false">Z27*U27-(1-Z27)*V27</f>
        <v>0</v>
      </c>
      <c r="AB27" s="29" t="n">
        <f aca="false">IFERROR(AA27/V27,0)</f>
        <v>0</v>
      </c>
      <c r="AC27" s="35" t="b">
        <f aca="false">AND(G27&gt;=Settings!$B$14,G27&lt;=Settings!$B$15)</f>
        <v>1</v>
      </c>
      <c r="AD27" s="35" t="b">
        <f aca="false">AND(ABS(O27)&gt;=Settings!$B$12,ABS(O27)&lt;=Settings!$B$13)</f>
        <v>0</v>
      </c>
      <c r="AE27" s="35" t="b">
        <f aca="false">E27&gt;=Settings!$B$8</f>
        <v>0</v>
      </c>
      <c r="AF27" s="35" t="b">
        <f aca="false">U27&gt;=Settings!$B$10</f>
        <v>0</v>
      </c>
      <c r="AG27" s="35" t="b">
        <f aca="false">W27&gt;=Settings!$B$9</f>
        <v>0</v>
      </c>
      <c r="AH27" s="35" t="b">
        <f aca="false">AND(X27&lt;=Settings!$B$11,K27&gt;0,L27&gt;0,P27&gt;0,Q27&gt;0)</f>
        <v>0</v>
      </c>
      <c r="AI27" s="35" t="b">
        <f aca="false">Y27&gt;=Settings!$B$19</f>
        <v>0</v>
      </c>
      <c r="AJ27" s="18" t="str">
        <f aca="false">IF(NOT(AC27),"WAIT - DTE",IF(NOT(AD27),"WAIT - DELTA",IF(NOT(AE27),"WAIT - IVR",IF(NOT(AF27),"WAIT - CREDIT",IF(NOT(AG27),"WAIT - C/W",IF(NOT(AH27),"WAIT - LIQUIDITY",IF(NOT(AI27),"WAIT - BUFFER","GO")))))))</f>
        <v>WAIT - DELTA</v>
      </c>
      <c r="AK27" s="29" t="n">
        <f aca="false">IF(AJ27="GO",AB27,-1000000000)</f>
        <v>-1000000000</v>
      </c>
    </row>
    <row r="28" customFormat="false" ht="15" hidden="false" customHeight="false" outlineLevel="0" collapsed="false">
      <c r="A28" s="18" t="str">
        <f aca="false">Watchlist!$A$10</f>
        <v>EEM</v>
      </c>
      <c r="B28" s="18" t="s">
        <v>139</v>
      </c>
      <c r="C28" s="18" t="s">
        <v>140</v>
      </c>
      <c r="D28" s="20" t="n">
        <f aca="false">Watchlist!$C$10</f>
        <v>0</v>
      </c>
      <c r="E28" s="17" t="n">
        <f aca="false">Watchlist!$D$10</f>
        <v>0</v>
      </c>
      <c r="F28" s="33" t="n">
        <f aca="false">Calendar!$B$11</f>
        <v>46220</v>
      </c>
      <c r="G28" s="17" t="n">
        <f aca="true">F28-TODAY()</f>
        <v>67</v>
      </c>
      <c r="H28" s="20" t="n">
        <f aca="false">Watchlist!$F$10</f>
        <v>0</v>
      </c>
      <c r="I28" s="20" t="n">
        <f aca="false">Watchlist!$H$10</f>
        <v>-1</v>
      </c>
      <c r="J28" s="34" t="n">
        <f aca="false">ABS(H28-I28)</f>
        <v>1</v>
      </c>
      <c r="K28" s="27" t="n">
        <f aca="false">BDP_Options!J52</f>
        <v>0</v>
      </c>
      <c r="L28" s="27" t="n">
        <f aca="false">BDP_Options!K52</f>
        <v>0</v>
      </c>
      <c r="M28" s="27" t="n">
        <f aca="false">IFERROR((K28+L28)/2,0)</f>
        <v>0</v>
      </c>
      <c r="N28" s="28" t="n">
        <f aca="false">BDP_Options!L52</f>
        <v>0</v>
      </c>
      <c r="O28" s="29" t="n">
        <f aca="false">BDP_Options!M52</f>
        <v>0</v>
      </c>
      <c r="P28" s="27" t="n">
        <f aca="false">BDP_Options!J53</f>
        <v>0</v>
      </c>
      <c r="Q28" s="27" t="n">
        <f aca="false">BDP_Options!K53</f>
        <v>0</v>
      </c>
      <c r="R28" s="27" t="n">
        <f aca="false">IFERROR((P28+Q28)/2,0)</f>
        <v>0</v>
      </c>
      <c r="S28" s="28" t="n">
        <f aca="false">BDP_Options!L53</f>
        <v>0</v>
      </c>
      <c r="T28" s="29" t="n">
        <f aca="false">BDP_Options!M53</f>
        <v>0</v>
      </c>
      <c r="U28" s="27" t="n">
        <f aca="false">M28-R28</f>
        <v>0</v>
      </c>
      <c r="V28" s="27" t="n">
        <f aca="false">J28-U28</f>
        <v>1</v>
      </c>
      <c r="W28" s="28" t="n">
        <f aca="false">IFERROR(U28/J28,0)</f>
        <v>0</v>
      </c>
      <c r="X28" s="28" t="n">
        <f aca="false">IFERROR((L28-K28)/M28,1)</f>
        <v>1</v>
      </c>
      <c r="Y28" s="28" t="n">
        <f aca="false">IFERROR(IF(C28="BullPut",(D28-H28)/D28,(H28-D28)/D28),0)</f>
        <v>0</v>
      </c>
      <c r="Z28" s="28" t="n">
        <f aca="false">IFERROR(1-ABS(O28),0)</f>
        <v>1</v>
      </c>
      <c r="AA28" s="27" t="n">
        <f aca="false">Z28*U28-(1-Z28)*V28</f>
        <v>0</v>
      </c>
      <c r="AB28" s="29" t="n">
        <f aca="false">IFERROR(AA28/V28,0)</f>
        <v>0</v>
      </c>
      <c r="AC28" s="35" t="b">
        <f aca="false">AND(G28&gt;=Settings!$B$14,G28&lt;=Settings!$B$15)</f>
        <v>1</v>
      </c>
      <c r="AD28" s="35" t="b">
        <f aca="false">AND(ABS(O28)&gt;=Settings!$B$12,ABS(O28)&lt;=Settings!$B$13)</f>
        <v>0</v>
      </c>
      <c r="AE28" s="35" t="b">
        <f aca="false">E28&gt;=Settings!$B$8</f>
        <v>0</v>
      </c>
      <c r="AF28" s="35" t="b">
        <f aca="false">U28&gt;=Settings!$B$10</f>
        <v>0</v>
      </c>
      <c r="AG28" s="35" t="b">
        <f aca="false">W28&gt;=Settings!$B$9</f>
        <v>0</v>
      </c>
      <c r="AH28" s="35" t="b">
        <f aca="false">AND(X28&lt;=Settings!$B$11,K28&gt;0,L28&gt;0,P28&gt;0,Q28&gt;0)</f>
        <v>0</v>
      </c>
      <c r="AI28" s="35" t="b">
        <f aca="false">Y28&gt;=Settings!$B$19</f>
        <v>0</v>
      </c>
      <c r="AJ28" s="18" t="str">
        <f aca="false">IF(NOT(AC28),"WAIT - DTE",IF(NOT(AD28),"WAIT - DELTA",IF(NOT(AE28),"WAIT - IVR",IF(NOT(AF28),"WAIT - CREDIT",IF(NOT(AG28),"WAIT - C/W",IF(NOT(AH28),"WAIT - LIQUIDITY",IF(NOT(AI28),"WAIT - BUFFER","GO")))))))</f>
        <v>WAIT - DELTA</v>
      </c>
      <c r="AK28" s="29" t="n">
        <f aca="false">IF(AJ28="GO",AB28,-1000000000)</f>
        <v>-1000000000</v>
      </c>
    </row>
    <row r="29" customFormat="false" ht="15" hidden="false" customHeight="false" outlineLevel="0" collapsed="false">
      <c r="A29" s="18" t="str">
        <f aca="false">Watchlist!$A$10</f>
        <v>EEM</v>
      </c>
      <c r="B29" s="18" t="s">
        <v>139</v>
      </c>
      <c r="C29" s="18" t="s">
        <v>144</v>
      </c>
      <c r="D29" s="20" t="n">
        <f aca="false">Watchlist!$C$10</f>
        <v>0</v>
      </c>
      <c r="E29" s="17" t="n">
        <f aca="false">Watchlist!$D$10</f>
        <v>0</v>
      </c>
      <c r="F29" s="33" t="n">
        <f aca="false">Calendar!$B$11</f>
        <v>46220</v>
      </c>
      <c r="G29" s="17" t="n">
        <f aca="true">F29-TODAY()</f>
        <v>67</v>
      </c>
      <c r="H29" s="20" t="n">
        <f aca="false">Watchlist!$G$10</f>
        <v>0</v>
      </c>
      <c r="I29" s="20" t="n">
        <f aca="false">Watchlist!$I$10</f>
        <v>1</v>
      </c>
      <c r="J29" s="34" t="n">
        <f aca="false">ABS(H29-I29)</f>
        <v>1</v>
      </c>
      <c r="K29" s="27" t="n">
        <f aca="false">BDP_Options!J54</f>
        <v>0</v>
      </c>
      <c r="L29" s="27" t="n">
        <f aca="false">BDP_Options!K54</f>
        <v>0</v>
      </c>
      <c r="M29" s="27" t="n">
        <f aca="false">IFERROR((K29+L29)/2,0)</f>
        <v>0</v>
      </c>
      <c r="N29" s="28" t="n">
        <f aca="false">BDP_Options!L54</f>
        <v>0</v>
      </c>
      <c r="O29" s="29" t="n">
        <f aca="false">BDP_Options!M54</f>
        <v>0</v>
      </c>
      <c r="P29" s="27" t="n">
        <f aca="false">BDP_Options!J55</f>
        <v>0</v>
      </c>
      <c r="Q29" s="27" t="n">
        <f aca="false">BDP_Options!K55</f>
        <v>0</v>
      </c>
      <c r="R29" s="27" t="n">
        <f aca="false">IFERROR((P29+Q29)/2,0)</f>
        <v>0</v>
      </c>
      <c r="S29" s="28" t="n">
        <f aca="false">BDP_Options!L55</f>
        <v>0</v>
      </c>
      <c r="T29" s="29" t="n">
        <f aca="false">BDP_Options!M55</f>
        <v>0</v>
      </c>
      <c r="U29" s="27" t="n">
        <f aca="false">M29-R29</f>
        <v>0</v>
      </c>
      <c r="V29" s="27" t="n">
        <f aca="false">J29-U29</f>
        <v>1</v>
      </c>
      <c r="W29" s="28" t="n">
        <f aca="false">IFERROR(U29/J29,0)</f>
        <v>0</v>
      </c>
      <c r="X29" s="28" t="n">
        <f aca="false">IFERROR((L29-K29)/M29,1)</f>
        <v>1</v>
      </c>
      <c r="Y29" s="28" t="n">
        <f aca="false">IFERROR(IF(C29="BullPut",(D29-H29)/D29,(H29-D29)/D29),0)</f>
        <v>0</v>
      </c>
      <c r="Z29" s="28" t="n">
        <f aca="false">IFERROR(1-ABS(O29),0)</f>
        <v>1</v>
      </c>
      <c r="AA29" s="27" t="n">
        <f aca="false">Z29*U29-(1-Z29)*V29</f>
        <v>0</v>
      </c>
      <c r="AB29" s="29" t="n">
        <f aca="false">IFERROR(AA29/V29,0)</f>
        <v>0</v>
      </c>
      <c r="AC29" s="35" t="b">
        <f aca="false">AND(G29&gt;=Settings!$B$14,G29&lt;=Settings!$B$15)</f>
        <v>1</v>
      </c>
      <c r="AD29" s="35" t="b">
        <f aca="false">AND(ABS(O29)&gt;=Settings!$B$12,ABS(O29)&lt;=Settings!$B$13)</f>
        <v>0</v>
      </c>
      <c r="AE29" s="35" t="b">
        <f aca="false">E29&gt;=Settings!$B$8</f>
        <v>0</v>
      </c>
      <c r="AF29" s="35" t="b">
        <f aca="false">U29&gt;=Settings!$B$10</f>
        <v>0</v>
      </c>
      <c r="AG29" s="35" t="b">
        <f aca="false">W29&gt;=Settings!$B$9</f>
        <v>0</v>
      </c>
      <c r="AH29" s="35" t="b">
        <f aca="false">AND(X29&lt;=Settings!$B$11,K29&gt;0,L29&gt;0,P29&gt;0,Q29&gt;0)</f>
        <v>0</v>
      </c>
      <c r="AI29" s="35" t="b">
        <f aca="false">Y29&gt;=Settings!$B$19</f>
        <v>0</v>
      </c>
      <c r="AJ29" s="18" t="str">
        <f aca="false">IF(NOT(AC29),"WAIT - DTE",IF(NOT(AD29),"WAIT - DELTA",IF(NOT(AE29),"WAIT - IVR",IF(NOT(AF29),"WAIT - CREDIT",IF(NOT(AG29),"WAIT - C/W",IF(NOT(AH29),"WAIT - LIQUIDITY",IF(NOT(AI29),"WAIT - BUFFER","GO")))))))</f>
        <v>WAIT - DELTA</v>
      </c>
      <c r="AK29" s="29" t="n">
        <f aca="false">IF(AJ29="GO",AB29,-1000000000)</f>
        <v>-1000000000</v>
      </c>
    </row>
    <row r="30" customFormat="false" ht="15" hidden="false" customHeight="false" outlineLevel="0" collapsed="false">
      <c r="A30" s="18" t="str">
        <f aca="false">Watchlist!$A$10</f>
        <v>EEM</v>
      </c>
      <c r="B30" s="18" t="s">
        <v>146</v>
      </c>
      <c r="C30" s="18" t="s">
        <v>140</v>
      </c>
      <c r="D30" s="20" t="n">
        <f aca="false">Watchlist!$C$10</f>
        <v>0</v>
      </c>
      <c r="E30" s="17" t="n">
        <f aca="false">Watchlist!$D$10</f>
        <v>0</v>
      </c>
      <c r="F30" s="33" t="n">
        <f aca="false">Calendar!$B$12</f>
        <v>46255</v>
      </c>
      <c r="G30" s="17" t="n">
        <f aca="true">F30-TODAY()</f>
        <v>102</v>
      </c>
      <c r="H30" s="20" t="n">
        <f aca="false">Watchlist!$F$10</f>
        <v>0</v>
      </c>
      <c r="I30" s="20" t="n">
        <f aca="false">Watchlist!$H$10</f>
        <v>-1</v>
      </c>
      <c r="J30" s="34" t="n">
        <f aca="false">ABS(H30-I30)</f>
        <v>1</v>
      </c>
      <c r="K30" s="27" t="n">
        <f aca="false">BDP_Options!J56</f>
        <v>0</v>
      </c>
      <c r="L30" s="27" t="n">
        <f aca="false">BDP_Options!K56</f>
        <v>0</v>
      </c>
      <c r="M30" s="27" t="n">
        <f aca="false">IFERROR((K30+L30)/2,0)</f>
        <v>0</v>
      </c>
      <c r="N30" s="28" t="n">
        <f aca="false">BDP_Options!L56</f>
        <v>0</v>
      </c>
      <c r="O30" s="29" t="n">
        <f aca="false">BDP_Options!M56</f>
        <v>0</v>
      </c>
      <c r="P30" s="27" t="n">
        <f aca="false">BDP_Options!J57</f>
        <v>0</v>
      </c>
      <c r="Q30" s="27" t="n">
        <f aca="false">BDP_Options!K57</f>
        <v>0</v>
      </c>
      <c r="R30" s="27" t="n">
        <f aca="false">IFERROR((P30+Q30)/2,0)</f>
        <v>0</v>
      </c>
      <c r="S30" s="28" t="n">
        <f aca="false">BDP_Options!L57</f>
        <v>0</v>
      </c>
      <c r="T30" s="29" t="n">
        <f aca="false">BDP_Options!M57</f>
        <v>0</v>
      </c>
      <c r="U30" s="27" t="n">
        <f aca="false">M30-R30</f>
        <v>0</v>
      </c>
      <c r="V30" s="27" t="n">
        <f aca="false">J30-U30</f>
        <v>1</v>
      </c>
      <c r="W30" s="28" t="n">
        <f aca="false">IFERROR(U30/J30,0)</f>
        <v>0</v>
      </c>
      <c r="X30" s="28" t="n">
        <f aca="false">IFERROR((L30-K30)/M30,1)</f>
        <v>1</v>
      </c>
      <c r="Y30" s="28" t="n">
        <f aca="false">IFERROR(IF(C30="BullPut",(D30-H30)/D30,(H30-D30)/D30),0)</f>
        <v>0</v>
      </c>
      <c r="Z30" s="28" t="n">
        <f aca="false">IFERROR(1-ABS(O30),0)</f>
        <v>1</v>
      </c>
      <c r="AA30" s="27" t="n">
        <f aca="false">Z30*U30-(1-Z30)*V30</f>
        <v>0</v>
      </c>
      <c r="AB30" s="29" t="n">
        <f aca="false">IFERROR(AA30/V30,0)</f>
        <v>0</v>
      </c>
      <c r="AC30" s="35" t="b">
        <f aca="false">AND(G30&gt;=Settings!$B$14,G30&lt;=Settings!$B$15)</f>
        <v>1</v>
      </c>
      <c r="AD30" s="35" t="b">
        <f aca="false">AND(ABS(O30)&gt;=Settings!$B$12,ABS(O30)&lt;=Settings!$B$13)</f>
        <v>0</v>
      </c>
      <c r="AE30" s="35" t="b">
        <f aca="false">E30&gt;=Settings!$B$8</f>
        <v>0</v>
      </c>
      <c r="AF30" s="35" t="b">
        <f aca="false">U30&gt;=Settings!$B$10</f>
        <v>0</v>
      </c>
      <c r="AG30" s="35" t="b">
        <f aca="false">W30&gt;=Settings!$B$9</f>
        <v>0</v>
      </c>
      <c r="AH30" s="35" t="b">
        <f aca="false">AND(X30&lt;=Settings!$B$11,K30&gt;0,L30&gt;0,P30&gt;0,Q30&gt;0)</f>
        <v>0</v>
      </c>
      <c r="AI30" s="35" t="b">
        <f aca="false">Y30&gt;=Settings!$B$19</f>
        <v>0</v>
      </c>
      <c r="AJ30" s="18" t="str">
        <f aca="false">IF(NOT(AC30),"WAIT - DTE",IF(NOT(AD30),"WAIT - DELTA",IF(NOT(AE30),"WAIT - IVR",IF(NOT(AF30),"WAIT - CREDIT",IF(NOT(AG30),"WAIT - C/W",IF(NOT(AH30),"WAIT - LIQUIDITY",IF(NOT(AI30),"WAIT - BUFFER","GO")))))))</f>
        <v>WAIT - DELTA</v>
      </c>
      <c r="AK30" s="29" t="n">
        <f aca="false">IF(AJ30="GO",AB30,-1000000000)</f>
        <v>-1000000000</v>
      </c>
    </row>
    <row r="31" customFormat="false" ht="15" hidden="false" customHeight="false" outlineLevel="0" collapsed="false">
      <c r="A31" s="18" t="str">
        <f aca="false">Watchlist!$A$10</f>
        <v>EEM</v>
      </c>
      <c r="B31" s="18" t="s">
        <v>146</v>
      </c>
      <c r="C31" s="18" t="s">
        <v>144</v>
      </c>
      <c r="D31" s="20" t="n">
        <f aca="false">Watchlist!$C$10</f>
        <v>0</v>
      </c>
      <c r="E31" s="17" t="n">
        <f aca="false">Watchlist!$D$10</f>
        <v>0</v>
      </c>
      <c r="F31" s="33" t="n">
        <f aca="false">Calendar!$B$12</f>
        <v>46255</v>
      </c>
      <c r="G31" s="17" t="n">
        <f aca="true">F31-TODAY()</f>
        <v>102</v>
      </c>
      <c r="H31" s="20" t="n">
        <f aca="false">Watchlist!$G$10</f>
        <v>0</v>
      </c>
      <c r="I31" s="20" t="n">
        <f aca="false">Watchlist!$I$10</f>
        <v>1</v>
      </c>
      <c r="J31" s="34" t="n">
        <f aca="false">ABS(H31-I31)</f>
        <v>1</v>
      </c>
      <c r="K31" s="27" t="n">
        <f aca="false">BDP_Options!J58</f>
        <v>0</v>
      </c>
      <c r="L31" s="27" t="n">
        <f aca="false">BDP_Options!K58</f>
        <v>0</v>
      </c>
      <c r="M31" s="27" t="n">
        <f aca="false">IFERROR((K31+L31)/2,0)</f>
        <v>0</v>
      </c>
      <c r="N31" s="28" t="n">
        <f aca="false">BDP_Options!L58</f>
        <v>0</v>
      </c>
      <c r="O31" s="29" t="n">
        <f aca="false">BDP_Options!M58</f>
        <v>0</v>
      </c>
      <c r="P31" s="27" t="n">
        <f aca="false">BDP_Options!J59</f>
        <v>0</v>
      </c>
      <c r="Q31" s="27" t="n">
        <f aca="false">BDP_Options!K59</f>
        <v>0</v>
      </c>
      <c r="R31" s="27" t="n">
        <f aca="false">IFERROR((P31+Q31)/2,0)</f>
        <v>0</v>
      </c>
      <c r="S31" s="28" t="n">
        <f aca="false">BDP_Options!L59</f>
        <v>0</v>
      </c>
      <c r="T31" s="29" t="n">
        <f aca="false">BDP_Options!M59</f>
        <v>0</v>
      </c>
      <c r="U31" s="27" t="n">
        <f aca="false">M31-R31</f>
        <v>0</v>
      </c>
      <c r="V31" s="27" t="n">
        <f aca="false">J31-U31</f>
        <v>1</v>
      </c>
      <c r="W31" s="28" t="n">
        <f aca="false">IFERROR(U31/J31,0)</f>
        <v>0</v>
      </c>
      <c r="X31" s="28" t="n">
        <f aca="false">IFERROR((L31-K31)/M31,1)</f>
        <v>1</v>
      </c>
      <c r="Y31" s="28" t="n">
        <f aca="false">IFERROR(IF(C31="BullPut",(D31-H31)/D31,(H31-D31)/D31),0)</f>
        <v>0</v>
      </c>
      <c r="Z31" s="28" t="n">
        <f aca="false">IFERROR(1-ABS(O31),0)</f>
        <v>1</v>
      </c>
      <c r="AA31" s="27" t="n">
        <f aca="false">Z31*U31-(1-Z31)*V31</f>
        <v>0</v>
      </c>
      <c r="AB31" s="29" t="n">
        <f aca="false">IFERROR(AA31/V31,0)</f>
        <v>0</v>
      </c>
      <c r="AC31" s="35" t="b">
        <f aca="false">AND(G31&gt;=Settings!$B$14,G31&lt;=Settings!$B$15)</f>
        <v>1</v>
      </c>
      <c r="AD31" s="35" t="b">
        <f aca="false">AND(ABS(O31)&gt;=Settings!$B$12,ABS(O31)&lt;=Settings!$B$13)</f>
        <v>0</v>
      </c>
      <c r="AE31" s="35" t="b">
        <f aca="false">E31&gt;=Settings!$B$8</f>
        <v>0</v>
      </c>
      <c r="AF31" s="35" t="b">
        <f aca="false">U31&gt;=Settings!$B$10</f>
        <v>0</v>
      </c>
      <c r="AG31" s="35" t="b">
        <f aca="false">W31&gt;=Settings!$B$9</f>
        <v>0</v>
      </c>
      <c r="AH31" s="35" t="b">
        <f aca="false">AND(X31&lt;=Settings!$B$11,K31&gt;0,L31&gt;0,P31&gt;0,Q31&gt;0)</f>
        <v>0</v>
      </c>
      <c r="AI31" s="35" t="b">
        <f aca="false">Y31&gt;=Settings!$B$19</f>
        <v>0</v>
      </c>
      <c r="AJ31" s="18" t="str">
        <f aca="false">IF(NOT(AC31),"WAIT - DTE",IF(NOT(AD31),"WAIT - DELTA",IF(NOT(AE31),"WAIT - IVR",IF(NOT(AF31),"WAIT - CREDIT",IF(NOT(AG31),"WAIT - C/W",IF(NOT(AH31),"WAIT - LIQUIDITY",IF(NOT(AI31),"WAIT - BUFFER","GO")))))))</f>
        <v>WAIT - DELTA</v>
      </c>
      <c r="AK31" s="29" t="n">
        <f aca="false">IF(AJ31="GO",AB31,-1000000000)</f>
        <v>-1000000000</v>
      </c>
    </row>
    <row r="32" customFormat="false" ht="15" hidden="false" customHeight="false" outlineLevel="0" collapsed="false">
      <c r="A32" s="18" t="str">
        <f aca="false">Watchlist!$A$11</f>
        <v>EWZ</v>
      </c>
      <c r="B32" s="18" t="s">
        <v>139</v>
      </c>
      <c r="C32" s="18" t="s">
        <v>140</v>
      </c>
      <c r="D32" s="20" t="n">
        <f aca="false">Watchlist!$C$11</f>
        <v>0</v>
      </c>
      <c r="E32" s="17" t="n">
        <f aca="false">Watchlist!$D$11</f>
        <v>0</v>
      </c>
      <c r="F32" s="33" t="n">
        <f aca="false">Calendar!$B$11</f>
        <v>46220</v>
      </c>
      <c r="G32" s="17" t="n">
        <f aca="true">F32-TODAY()</f>
        <v>67</v>
      </c>
      <c r="H32" s="20" t="n">
        <f aca="false">Watchlist!$F$11</f>
        <v>0</v>
      </c>
      <c r="I32" s="20" t="n">
        <f aca="false">Watchlist!$H$11</f>
        <v>-1</v>
      </c>
      <c r="J32" s="34" t="n">
        <f aca="false">ABS(H32-I32)</f>
        <v>1</v>
      </c>
      <c r="K32" s="27" t="n">
        <f aca="false">BDP_Options!J60</f>
        <v>0</v>
      </c>
      <c r="L32" s="27" t="n">
        <f aca="false">BDP_Options!K60</f>
        <v>0</v>
      </c>
      <c r="M32" s="27" t="n">
        <f aca="false">IFERROR((K32+L32)/2,0)</f>
        <v>0</v>
      </c>
      <c r="N32" s="28" t="n">
        <f aca="false">BDP_Options!L60</f>
        <v>0</v>
      </c>
      <c r="O32" s="29" t="n">
        <f aca="false">BDP_Options!M60</f>
        <v>0</v>
      </c>
      <c r="P32" s="27" t="n">
        <f aca="false">BDP_Options!J61</f>
        <v>0</v>
      </c>
      <c r="Q32" s="27" t="n">
        <f aca="false">BDP_Options!K61</f>
        <v>0</v>
      </c>
      <c r="R32" s="27" t="n">
        <f aca="false">IFERROR((P32+Q32)/2,0)</f>
        <v>0</v>
      </c>
      <c r="S32" s="28" t="n">
        <f aca="false">BDP_Options!L61</f>
        <v>0</v>
      </c>
      <c r="T32" s="29" t="n">
        <f aca="false">BDP_Options!M61</f>
        <v>0</v>
      </c>
      <c r="U32" s="27" t="n">
        <f aca="false">M32-R32</f>
        <v>0</v>
      </c>
      <c r="V32" s="27" t="n">
        <f aca="false">J32-U32</f>
        <v>1</v>
      </c>
      <c r="W32" s="28" t="n">
        <f aca="false">IFERROR(U32/J32,0)</f>
        <v>0</v>
      </c>
      <c r="X32" s="28" t="n">
        <f aca="false">IFERROR((L32-K32)/M32,1)</f>
        <v>1</v>
      </c>
      <c r="Y32" s="28" t="n">
        <f aca="false">IFERROR(IF(C32="BullPut",(D32-H32)/D32,(H32-D32)/D32),0)</f>
        <v>0</v>
      </c>
      <c r="Z32" s="28" t="n">
        <f aca="false">IFERROR(1-ABS(O32),0)</f>
        <v>1</v>
      </c>
      <c r="AA32" s="27" t="n">
        <f aca="false">Z32*U32-(1-Z32)*V32</f>
        <v>0</v>
      </c>
      <c r="AB32" s="29" t="n">
        <f aca="false">IFERROR(AA32/V32,0)</f>
        <v>0</v>
      </c>
      <c r="AC32" s="35" t="b">
        <f aca="false">AND(G32&gt;=Settings!$B$14,G32&lt;=Settings!$B$15)</f>
        <v>1</v>
      </c>
      <c r="AD32" s="35" t="b">
        <f aca="false">AND(ABS(O32)&gt;=Settings!$B$12,ABS(O32)&lt;=Settings!$B$13)</f>
        <v>0</v>
      </c>
      <c r="AE32" s="35" t="b">
        <f aca="false">E32&gt;=Settings!$B$8</f>
        <v>0</v>
      </c>
      <c r="AF32" s="35" t="b">
        <f aca="false">U32&gt;=Settings!$B$10</f>
        <v>0</v>
      </c>
      <c r="AG32" s="35" t="b">
        <f aca="false">W32&gt;=Settings!$B$9</f>
        <v>0</v>
      </c>
      <c r="AH32" s="35" t="b">
        <f aca="false">AND(X32&lt;=Settings!$B$11,K32&gt;0,L32&gt;0,P32&gt;0,Q32&gt;0)</f>
        <v>0</v>
      </c>
      <c r="AI32" s="35" t="b">
        <f aca="false">Y32&gt;=Settings!$B$19</f>
        <v>0</v>
      </c>
      <c r="AJ32" s="18" t="str">
        <f aca="false">IF(NOT(AC32),"WAIT - DTE",IF(NOT(AD32),"WAIT - DELTA",IF(NOT(AE32),"WAIT - IVR",IF(NOT(AF32),"WAIT - CREDIT",IF(NOT(AG32),"WAIT - C/W",IF(NOT(AH32),"WAIT - LIQUIDITY",IF(NOT(AI32),"WAIT - BUFFER","GO")))))))</f>
        <v>WAIT - DELTA</v>
      </c>
      <c r="AK32" s="29" t="n">
        <f aca="false">IF(AJ32="GO",AB32,-1000000000)</f>
        <v>-1000000000</v>
      </c>
    </row>
    <row r="33" customFormat="false" ht="15" hidden="false" customHeight="false" outlineLevel="0" collapsed="false">
      <c r="A33" s="18" t="str">
        <f aca="false">Watchlist!$A$11</f>
        <v>EWZ</v>
      </c>
      <c r="B33" s="18" t="s">
        <v>139</v>
      </c>
      <c r="C33" s="18" t="s">
        <v>144</v>
      </c>
      <c r="D33" s="20" t="n">
        <f aca="false">Watchlist!$C$11</f>
        <v>0</v>
      </c>
      <c r="E33" s="17" t="n">
        <f aca="false">Watchlist!$D$11</f>
        <v>0</v>
      </c>
      <c r="F33" s="33" t="n">
        <f aca="false">Calendar!$B$11</f>
        <v>46220</v>
      </c>
      <c r="G33" s="17" t="n">
        <f aca="true">F33-TODAY()</f>
        <v>67</v>
      </c>
      <c r="H33" s="20" t="n">
        <f aca="false">Watchlist!$G$11</f>
        <v>0</v>
      </c>
      <c r="I33" s="20" t="n">
        <f aca="false">Watchlist!$I$11</f>
        <v>1</v>
      </c>
      <c r="J33" s="34" t="n">
        <f aca="false">ABS(H33-I33)</f>
        <v>1</v>
      </c>
      <c r="K33" s="27" t="n">
        <f aca="false">BDP_Options!J62</f>
        <v>0</v>
      </c>
      <c r="L33" s="27" t="n">
        <f aca="false">BDP_Options!K62</f>
        <v>0</v>
      </c>
      <c r="M33" s="27" t="n">
        <f aca="false">IFERROR((K33+L33)/2,0)</f>
        <v>0</v>
      </c>
      <c r="N33" s="28" t="n">
        <f aca="false">BDP_Options!L62</f>
        <v>0</v>
      </c>
      <c r="O33" s="29" t="n">
        <f aca="false">BDP_Options!M62</f>
        <v>0</v>
      </c>
      <c r="P33" s="27" t="n">
        <f aca="false">BDP_Options!J63</f>
        <v>0</v>
      </c>
      <c r="Q33" s="27" t="n">
        <f aca="false">BDP_Options!K63</f>
        <v>0</v>
      </c>
      <c r="R33" s="27" t="n">
        <f aca="false">IFERROR((P33+Q33)/2,0)</f>
        <v>0</v>
      </c>
      <c r="S33" s="28" t="n">
        <f aca="false">BDP_Options!L63</f>
        <v>0</v>
      </c>
      <c r="T33" s="29" t="n">
        <f aca="false">BDP_Options!M63</f>
        <v>0</v>
      </c>
      <c r="U33" s="27" t="n">
        <f aca="false">M33-R33</f>
        <v>0</v>
      </c>
      <c r="V33" s="27" t="n">
        <f aca="false">J33-U33</f>
        <v>1</v>
      </c>
      <c r="W33" s="28" t="n">
        <f aca="false">IFERROR(U33/J33,0)</f>
        <v>0</v>
      </c>
      <c r="X33" s="28" t="n">
        <f aca="false">IFERROR((L33-K33)/M33,1)</f>
        <v>1</v>
      </c>
      <c r="Y33" s="28" t="n">
        <f aca="false">IFERROR(IF(C33="BullPut",(D33-H33)/D33,(H33-D33)/D33),0)</f>
        <v>0</v>
      </c>
      <c r="Z33" s="28" t="n">
        <f aca="false">IFERROR(1-ABS(O33),0)</f>
        <v>1</v>
      </c>
      <c r="AA33" s="27" t="n">
        <f aca="false">Z33*U33-(1-Z33)*V33</f>
        <v>0</v>
      </c>
      <c r="AB33" s="29" t="n">
        <f aca="false">IFERROR(AA33/V33,0)</f>
        <v>0</v>
      </c>
      <c r="AC33" s="35" t="b">
        <f aca="false">AND(G33&gt;=Settings!$B$14,G33&lt;=Settings!$B$15)</f>
        <v>1</v>
      </c>
      <c r="AD33" s="35" t="b">
        <f aca="false">AND(ABS(O33)&gt;=Settings!$B$12,ABS(O33)&lt;=Settings!$B$13)</f>
        <v>0</v>
      </c>
      <c r="AE33" s="35" t="b">
        <f aca="false">E33&gt;=Settings!$B$8</f>
        <v>0</v>
      </c>
      <c r="AF33" s="35" t="b">
        <f aca="false">U33&gt;=Settings!$B$10</f>
        <v>0</v>
      </c>
      <c r="AG33" s="35" t="b">
        <f aca="false">W33&gt;=Settings!$B$9</f>
        <v>0</v>
      </c>
      <c r="AH33" s="35" t="b">
        <f aca="false">AND(X33&lt;=Settings!$B$11,K33&gt;0,L33&gt;0,P33&gt;0,Q33&gt;0)</f>
        <v>0</v>
      </c>
      <c r="AI33" s="35" t="b">
        <f aca="false">Y33&gt;=Settings!$B$19</f>
        <v>0</v>
      </c>
      <c r="AJ33" s="18" t="str">
        <f aca="false">IF(NOT(AC33),"WAIT - DTE",IF(NOT(AD33),"WAIT - DELTA",IF(NOT(AE33),"WAIT - IVR",IF(NOT(AF33),"WAIT - CREDIT",IF(NOT(AG33),"WAIT - C/W",IF(NOT(AH33),"WAIT - LIQUIDITY",IF(NOT(AI33),"WAIT - BUFFER","GO")))))))</f>
        <v>WAIT - DELTA</v>
      </c>
      <c r="AK33" s="29" t="n">
        <f aca="false">IF(AJ33="GO",AB33,-1000000000)</f>
        <v>-1000000000</v>
      </c>
    </row>
    <row r="34" customFormat="false" ht="15" hidden="false" customHeight="false" outlineLevel="0" collapsed="false">
      <c r="A34" s="18" t="str">
        <f aca="false">Watchlist!$A$11</f>
        <v>EWZ</v>
      </c>
      <c r="B34" s="18" t="s">
        <v>146</v>
      </c>
      <c r="C34" s="18" t="s">
        <v>140</v>
      </c>
      <c r="D34" s="20" t="n">
        <f aca="false">Watchlist!$C$11</f>
        <v>0</v>
      </c>
      <c r="E34" s="17" t="n">
        <f aca="false">Watchlist!$D$11</f>
        <v>0</v>
      </c>
      <c r="F34" s="33" t="n">
        <f aca="false">Calendar!$B$12</f>
        <v>46255</v>
      </c>
      <c r="G34" s="17" t="n">
        <f aca="true">F34-TODAY()</f>
        <v>102</v>
      </c>
      <c r="H34" s="20" t="n">
        <f aca="false">Watchlist!$F$11</f>
        <v>0</v>
      </c>
      <c r="I34" s="20" t="n">
        <f aca="false">Watchlist!$H$11</f>
        <v>-1</v>
      </c>
      <c r="J34" s="34" t="n">
        <f aca="false">ABS(H34-I34)</f>
        <v>1</v>
      </c>
      <c r="K34" s="27" t="n">
        <f aca="false">BDP_Options!J64</f>
        <v>0</v>
      </c>
      <c r="L34" s="27" t="n">
        <f aca="false">BDP_Options!K64</f>
        <v>0</v>
      </c>
      <c r="M34" s="27" t="n">
        <f aca="false">IFERROR((K34+L34)/2,0)</f>
        <v>0</v>
      </c>
      <c r="N34" s="28" t="n">
        <f aca="false">BDP_Options!L64</f>
        <v>0</v>
      </c>
      <c r="O34" s="29" t="n">
        <f aca="false">BDP_Options!M64</f>
        <v>0</v>
      </c>
      <c r="P34" s="27" t="n">
        <f aca="false">BDP_Options!J65</f>
        <v>0</v>
      </c>
      <c r="Q34" s="27" t="n">
        <f aca="false">BDP_Options!K65</f>
        <v>0</v>
      </c>
      <c r="R34" s="27" t="n">
        <f aca="false">IFERROR((P34+Q34)/2,0)</f>
        <v>0</v>
      </c>
      <c r="S34" s="28" t="n">
        <f aca="false">BDP_Options!L65</f>
        <v>0</v>
      </c>
      <c r="T34" s="29" t="n">
        <f aca="false">BDP_Options!M65</f>
        <v>0</v>
      </c>
      <c r="U34" s="27" t="n">
        <f aca="false">M34-R34</f>
        <v>0</v>
      </c>
      <c r="V34" s="27" t="n">
        <f aca="false">J34-U34</f>
        <v>1</v>
      </c>
      <c r="W34" s="28" t="n">
        <f aca="false">IFERROR(U34/J34,0)</f>
        <v>0</v>
      </c>
      <c r="X34" s="28" t="n">
        <f aca="false">IFERROR((L34-K34)/M34,1)</f>
        <v>1</v>
      </c>
      <c r="Y34" s="28" t="n">
        <f aca="false">IFERROR(IF(C34="BullPut",(D34-H34)/D34,(H34-D34)/D34),0)</f>
        <v>0</v>
      </c>
      <c r="Z34" s="28" t="n">
        <f aca="false">IFERROR(1-ABS(O34),0)</f>
        <v>1</v>
      </c>
      <c r="AA34" s="27" t="n">
        <f aca="false">Z34*U34-(1-Z34)*V34</f>
        <v>0</v>
      </c>
      <c r="AB34" s="29" t="n">
        <f aca="false">IFERROR(AA34/V34,0)</f>
        <v>0</v>
      </c>
      <c r="AC34" s="35" t="b">
        <f aca="false">AND(G34&gt;=Settings!$B$14,G34&lt;=Settings!$B$15)</f>
        <v>1</v>
      </c>
      <c r="AD34" s="35" t="b">
        <f aca="false">AND(ABS(O34)&gt;=Settings!$B$12,ABS(O34)&lt;=Settings!$B$13)</f>
        <v>0</v>
      </c>
      <c r="AE34" s="35" t="b">
        <f aca="false">E34&gt;=Settings!$B$8</f>
        <v>0</v>
      </c>
      <c r="AF34" s="35" t="b">
        <f aca="false">U34&gt;=Settings!$B$10</f>
        <v>0</v>
      </c>
      <c r="AG34" s="35" t="b">
        <f aca="false">W34&gt;=Settings!$B$9</f>
        <v>0</v>
      </c>
      <c r="AH34" s="35" t="b">
        <f aca="false">AND(X34&lt;=Settings!$B$11,K34&gt;0,L34&gt;0,P34&gt;0,Q34&gt;0)</f>
        <v>0</v>
      </c>
      <c r="AI34" s="35" t="b">
        <f aca="false">Y34&gt;=Settings!$B$19</f>
        <v>0</v>
      </c>
      <c r="AJ34" s="18" t="str">
        <f aca="false">IF(NOT(AC34),"WAIT - DTE",IF(NOT(AD34),"WAIT - DELTA",IF(NOT(AE34),"WAIT - IVR",IF(NOT(AF34),"WAIT - CREDIT",IF(NOT(AG34),"WAIT - C/W",IF(NOT(AH34),"WAIT - LIQUIDITY",IF(NOT(AI34),"WAIT - BUFFER","GO")))))))</f>
        <v>WAIT - DELTA</v>
      </c>
      <c r="AK34" s="29" t="n">
        <f aca="false">IF(AJ34="GO",AB34,-1000000000)</f>
        <v>-1000000000</v>
      </c>
    </row>
    <row r="35" customFormat="false" ht="15" hidden="false" customHeight="false" outlineLevel="0" collapsed="false">
      <c r="A35" s="18" t="str">
        <f aca="false">Watchlist!$A$11</f>
        <v>EWZ</v>
      </c>
      <c r="B35" s="18" t="s">
        <v>146</v>
      </c>
      <c r="C35" s="18" t="s">
        <v>144</v>
      </c>
      <c r="D35" s="20" t="n">
        <f aca="false">Watchlist!$C$11</f>
        <v>0</v>
      </c>
      <c r="E35" s="17" t="n">
        <f aca="false">Watchlist!$D$11</f>
        <v>0</v>
      </c>
      <c r="F35" s="33" t="n">
        <f aca="false">Calendar!$B$12</f>
        <v>46255</v>
      </c>
      <c r="G35" s="17" t="n">
        <f aca="true">F35-TODAY()</f>
        <v>102</v>
      </c>
      <c r="H35" s="20" t="n">
        <f aca="false">Watchlist!$G$11</f>
        <v>0</v>
      </c>
      <c r="I35" s="20" t="n">
        <f aca="false">Watchlist!$I$11</f>
        <v>1</v>
      </c>
      <c r="J35" s="34" t="n">
        <f aca="false">ABS(H35-I35)</f>
        <v>1</v>
      </c>
      <c r="K35" s="27" t="n">
        <f aca="false">BDP_Options!J66</f>
        <v>0</v>
      </c>
      <c r="L35" s="27" t="n">
        <f aca="false">BDP_Options!K66</f>
        <v>0</v>
      </c>
      <c r="M35" s="27" t="n">
        <f aca="false">IFERROR((K35+L35)/2,0)</f>
        <v>0</v>
      </c>
      <c r="N35" s="28" t="n">
        <f aca="false">BDP_Options!L66</f>
        <v>0</v>
      </c>
      <c r="O35" s="29" t="n">
        <f aca="false">BDP_Options!M66</f>
        <v>0</v>
      </c>
      <c r="P35" s="27" t="n">
        <f aca="false">BDP_Options!J67</f>
        <v>0</v>
      </c>
      <c r="Q35" s="27" t="n">
        <f aca="false">BDP_Options!K67</f>
        <v>0</v>
      </c>
      <c r="R35" s="27" t="n">
        <f aca="false">IFERROR((P35+Q35)/2,0)</f>
        <v>0</v>
      </c>
      <c r="S35" s="28" t="n">
        <f aca="false">BDP_Options!L67</f>
        <v>0</v>
      </c>
      <c r="T35" s="29" t="n">
        <f aca="false">BDP_Options!M67</f>
        <v>0</v>
      </c>
      <c r="U35" s="27" t="n">
        <f aca="false">M35-R35</f>
        <v>0</v>
      </c>
      <c r="V35" s="27" t="n">
        <f aca="false">J35-U35</f>
        <v>1</v>
      </c>
      <c r="W35" s="28" t="n">
        <f aca="false">IFERROR(U35/J35,0)</f>
        <v>0</v>
      </c>
      <c r="X35" s="28" t="n">
        <f aca="false">IFERROR((L35-K35)/M35,1)</f>
        <v>1</v>
      </c>
      <c r="Y35" s="28" t="n">
        <f aca="false">IFERROR(IF(C35="BullPut",(D35-H35)/D35,(H35-D35)/D35),0)</f>
        <v>0</v>
      </c>
      <c r="Z35" s="28" t="n">
        <f aca="false">IFERROR(1-ABS(O35),0)</f>
        <v>1</v>
      </c>
      <c r="AA35" s="27" t="n">
        <f aca="false">Z35*U35-(1-Z35)*V35</f>
        <v>0</v>
      </c>
      <c r="AB35" s="29" t="n">
        <f aca="false">IFERROR(AA35/V35,0)</f>
        <v>0</v>
      </c>
      <c r="AC35" s="35" t="b">
        <f aca="false">AND(G35&gt;=Settings!$B$14,G35&lt;=Settings!$B$15)</f>
        <v>1</v>
      </c>
      <c r="AD35" s="35" t="b">
        <f aca="false">AND(ABS(O35)&gt;=Settings!$B$12,ABS(O35)&lt;=Settings!$B$13)</f>
        <v>0</v>
      </c>
      <c r="AE35" s="35" t="b">
        <f aca="false">E35&gt;=Settings!$B$8</f>
        <v>0</v>
      </c>
      <c r="AF35" s="35" t="b">
        <f aca="false">U35&gt;=Settings!$B$10</f>
        <v>0</v>
      </c>
      <c r="AG35" s="35" t="b">
        <f aca="false">W35&gt;=Settings!$B$9</f>
        <v>0</v>
      </c>
      <c r="AH35" s="35" t="b">
        <f aca="false">AND(X35&lt;=Settings!$B$11,K35&gt;0,L35&gt;0,P35&gt;0,Q35&gt;0)</f>
        <v>0</v>
      </c>
      <c r="AI35" s="35" t="b">
        <f aca="false">Y35&gt;=Settings!$B$19</f>
        <v>0</v>
      </c>
      <c r="AJ35" s="18" t="str">
        <f aca="false">IF(NOT(AC35),"WAIT - DTE",IF(NOT(AD35),"WAIT - DELTA",IF(NOT(AE35),"WAIT - IVR",IF(NOT(AF35),"WAIT - CREDIT",IF(NOT(AG35),"WAIT - C/W",IF(NOT(AH35),"WAIT - LIQUIDITY",IF(NOT(AI35),"WAIT - BUFFER","GO")))))))</f>
        <v>WAIT - DELTA</v>
      </c>
      <c r="AK35" s="29" t="n">
        <f aca="false">IF(AJ35="GO",AB35,-1000000000)</f>
        <v>-1000000000</v>
      </c>
    </row>
    <row r="36" customFormat="false" ht="15" hidden="false" customHeight="false" outlineLevel="0" collapsed="false">
      <c r="A36" s="18" t="str">
        <f aca="false">Watchlist!$A$12</f>
        <v>XLF</v>
      </c>
      <c r="B36" s="18" t="s">
        <v>139</v>
      </c>
      <c r="C36" s="18" t="s">
        <v>140</v>
      </c>
      <c r="D36" s="20" t="n">
        <f aca="false">Watchlist!$C$12</f>
        <v>0</v>
      </c>
      <c r="E36" s="17" t="n">
        <f aca="false">Watchlist!$D$12</f>
        <v>0</v>
      </c>
      <c r="F36" s="33" t="n">
        <f aca="false">Calendar!$B$11</f>
        <v>46220</v>
      </c>
      <c r="G36" s="17" t="n">
        <f aca="true">F36-TODAY()</f>
        <v>67</v>
      </c>
      <c r="H36" s="20" t="n">
        <f aca="false">Watchlist!$F$12</f>
        <v>0</v>
      </c>
      <c r="I36" s="20" t="n">
        <f aca="false">Watchlist!$H$12</f>
        <v>-2</v>
      </c>
      <c r="J36" s="34" t="n">
        <f aca="false">ABS(H36-I36)</f>
        <v>2</v>
      </c>
      <c r="K36" s="27" t="n">
        <f aca="false">BDP_Options!J68</f>
        <v>0</v>
      </c>
      <c r="L36" s="27" t="n">
        <f aca="false">BDP_Options!K68</f>
        <v>0</v>
      </c>
      <c r="M36" s="27" t="n">
        <f aca="false">IFERROR((K36+L36)/2,0)</f>
        <v>0</v>
      </c>
      <c r="N36" s="28" t="n">
        <f aca="false">BDP_Options!L68</f>
        <v>0</v>
      </c>
      <c r="O36" s="29" t="n">
        <f aca="false">BDP_Options!M68</f>
        <v>0</v>
      </c>
      <c r="P36" s="27" t="n">
        <f aca="false">BDP_Options!J69</f>
        <v>0</v>
      </c>
      <c r="Q36" s="27" t="n">
        <f aca="false">BDP_Options!K69</f>
        <v>0</v>
      </c>
      <c r="R36" s="27" t="n">
        <f aca="false">IFERROR((P36+Q36)/2,0)</f>
        <v>0</v>
      </c>
      <c r="S36" s="28" t="n">
        <f aca="false">BDP_Options!L69</f>
        <v>0</v>
      </c>
      <c r="T36" s="29" t="n">
        <f aca="false">BDP_Options!M69</f>
        <v>0</v>
      </c>
      <c r="U36" s="27" t="n">
        <f aca="false">M36-R36</f>
        <v>0</v>
      </c>
      <c r="V36" s="27" t="n">
        <f aca="false">J36-U36</f>
        <v>2</v>
      </c>
      <c r="W36" s="28" t="n">
        <f aca="false">IFERROR(U36/J36,0)</f>
        <v>0</v>
      </c>
      <c r="X36" s="28" t="n">
        <f aca="false">IFERROR((L36-K36)/M36,1)</f>
        <v>1</v>
      </c>
      <c r="Y36" s="28" t="n">
        <f aca="false">IFERROR(IF(C36="BullPut",(D36-H36)/D36,(H36-D36)/D36),0)</f>
        <v>0</v>
      </c>
      <c r="Z36" s="28" t="n">
        <f aca="false">IFERROR(1-ABS(O36),0)</f>
        <v>1</v>
      </c>
      <c r="AA36" s="27" t="n">
        <f aca="false">Z36*U36-(1-Z36)*V36</f>
        <v>0</v>
      </c>
      <c r="AB36" s="29" t="n">
        <f aca="false">IFERROR(AA36/V36,0)</f>
        <v>0</v>
      </c>
      <c r="AC36" s="35" t="b">
        <f aca="false">AND(G36&gt;=Settings!$B$14,G36&lt;=Settings!$B$15)</f>
        <v>1</v>
      </c>
      <c r="AD36" s="35" t="b">
        <f aca="false">AND(ABS(O36)&gt;=Settings!$B$12,ABS(O36)&lt;=Settings!$B$13)</f>
        <v>0</v>
      </c>
      <c r="AE36" s="35" t="b">
        <f aca="false">E36&gt;=Settings!$B$8</f>
        <v>0</v>
      </c>
      <c r="AF36" s="35" t="b">
        <f aca="false">U36&gt;=Settings!$B$10</f>
        <v>0</v>
      </c>
      <c r="AG36" s="35" t="b">
        <f aca="false">W36&gt;=Settings!$B$9</f>
        <v>0</v>
      </c>
      <c r="AH36" s="35" t="b">
        <f aca="false">AND(X36&lt;=Settings!$B$11,K36&gt;0,L36&gt;0,P36&gt;0,Q36&gt;0)</f>
        <v>0</v>
      </c>
      <c r="AI36" s="35" t="b">
        <f aca="false">Y36&gt;=Settings!$B$19</f>
        <v>0</v>
      </c>
      <c r="AJ36" s="18" t="str">
        <f aca="false">IF(NOT(AC36),"WAIT - DTE",IF(NOT(AD36),"WAIT - DELTA",IF(NOT(AE36),"WAIT - IVR",IF(NOT(AF36),"WAIT - CREDIT",IF(NOT(AG36),"WAIT - C/W",IF(NOT(AH36),"WAIT - LIQUIDITY",IF(NOT(AI36),"WAIT - BUFFER","GO")))))))</f>
        <v>WAIT - DELTA</v>
      </c>
      <c r="AK36" s="29" t="n">
        <f aca="false">IF(AJ36="GO",AB36,-1000000000)</f>
        <v>-1000000000</v>
      </c>
    </row>
    <row r="37" customFormat="false" ht="15" hidden="false" customHeight="false" outlineLevel="0" collapsed="false">
      <c r="A37" s="18" t="str">
        <f aca="false">Watchlist!$A$12</f>
        <v>XLF</v>
      </c>
      <c r="B37" s="18" t="s">
        <v>139</v>
      </c>
      <c r="C37" s="18" t="s">
        <v>144</v>
      </c>
      <c r="D37" s="20" t="n">
        <f aca="false">Watchlist!$C$12</f>
        <v>0</v>
      </c>
      <c r="E37" s="17" t="n">
        <f aca="false">Watchlist!$D$12</f>
        <v>0</v>
      </c>
      <c r="F37" s="33" t="n">
        <f aca="false">Calendar!$B$11</f>
        <v>46220</v>
      </c>
      <c r="G37" s="17" t="n">
        <f aca="true">F37-TODAY()</f>
        <v>67</v>
      </c>
      <c r="H37" s="20" t="n">
        <f aca="false">Watchlist!$G$12</f>
        <v>0</v>
      </c>
      <c r="I37" s="20" t="n">
        <f aca="false">Watchlist!$I$12</f>
        <v>2</v>
      </c>
      <c r="J37" s="34" t="n">
        <f aca="false">ABS(H37-I37)</f>
        <v>2</v>
      </c>
      <c r="K37" s="27" t="n">
        <f aca="false">BDP_Options!J70</f>
        <v>0</v>
      </c>
      <c r="L37" s="27" t="n">
        <f aca="false">BDP_Options!K70</f>
        <v>0</v>
      </c>
      <c r="M37" s="27" t="n">
        <f aca="false">IFERROR((K37+L37)/2,0)</f>
        <v>0</v>
      </c>
      <c r="N37" s="28" t="n">
        <f aca="false">BDP_Options!L70</f>
        <v>0</v>
      </c>
      <c r="O37" s="29" t="n">
        <f aca="false">BDP_Options!M70</f>
        <v>0</v>
      </c>
      <c r="P37" s="27" t="n">
        <f aca="false">BDP_Options!J71</f>
        <v>0</v>
      </c>
      <c r="Q37" s="27" t="n">
        <f aca="false">BDP_Options!K71</f>
        <v>0</v>
      </c>
      <c r="R37" s="27" t="n">
        <f aca="false">IFERROR((P37+Q37)/2,0)</f>
        <v>0</v>
      </c>
      <c r="S37" s="28" t="n">
        <f aca="false">BDP_Options!L71</f>
        <v>0</v>
      </c>
      <c r="T37" s="29" t="n">
        <f aca="false">BDP_Options!M71</f>
        <v>0</v>
      </c>
      <c r="U37" s="27" t="n">
        <f aca="false">M37-R37</f>
        <v>0</v>
      </c>
      <c r="V37" s="27" t="n">
        <f aca="false">J37-U37</f>
        <v>2</v>
      </c>
      <c r="W37" s="28" t="n">
        <f aca="false">IFERROR(U37/J37,0)</f>
        <v>0</v>
      </c>
      <c r="X37" s="28" t="n">
        <f aca="false">IFERROR((L37-K37)/M37,1)</f>
        <v>1</v>
      </c>
      <c r="Y37" s="28" t="n">
        <f aca="false">IFERROR(IF(C37="BullPut",(D37-H37)/D37,(H37-D37)/D37),0)</f>
        <v>0</v>
      </c>
      <c r="Z37" s="28" t="n">
        <f aca="false">IFERROR(1-ABS(O37),0)</f>
        <v>1</v>
      </c>
      <c r="AA37" s="27" t="n">
        <f aca="false">Z37*U37-(1-Z37)*V37</f>
        <v>0</v>
      </c>
      <c r="AB37" s="29" t="n">
        <f aca="false">IFERROR(AA37/V37,0)</f>
        <v>0</v>
      </c>
      <c r="AC37" s="35" t="b">
        <f aca="false">AND(G37&gt;=Settings!$B$14,G37&lt;=Settings!$B$15)</f>
        <v>1</v>
      </c>
      <c r="AD37" s="35" t="b">
        <f aca="false">AND(ABS(O37)&gt;=Settings!$B$12,ABS(O37)&lt;=Settings!$B$13)</f>
        <v>0</v>
      </c>
      <c r="AE37" s="35" t="b">
        <f aca="false">E37&gt;=Settings!$B$8</f>
        <v>0</v>
      </c>
      <c r="AF37" s="35" t="b">
        <f aca="false">U37&gt;=Settings!$B$10</f>
        <v>0</v>
      </c>
      <c r="AG37" s="35" t="b">
        <f aca="false">W37&gt;=Settings!$B$9</f>
        <v>0</v>
      </c>
      <c r="AH37" s="35" t="b">
        <f aca="false">AND(X37&lt;=Settings!$B$11,K37&gt;0,L37&gt;0,P37&gt;0,Q37&gt;0)</f>
        <v>0</v>
      </c>
      <c r="AI37" s="35" t="b">
        <f aca="false">Y37&gt;=Settings!$B$19</f>
        <v>0</v>
      </c>
      <c r="AJ37" s="18" t="str">
        <f aca="false">IF(NOT(AC37),"WAIT - DTE",IF(NOT(AD37),"WAIT - DELTA",IF(NOT(AE37),"WAIT - IVR",IF(NOT(AF37),"WAIT - CREDIT",IF(NOT(AG37),"WAIT - C/W",IF(NOT(AH37),"WAIT - LIQUIDITY",IF(NOT(AI37),"WAIT - BUFFER","GO")))))))</f>
        <v>WAIT - DELTA</v>
      </c>
      <c r="AK37" s="29" t="n">
        <f aca="false">IF(AJ37="GO",AB37,-1000000000)</f>
        <v>-1000000000</v>
      </c>
    </row>
    <row r="38" customFormat="false" ht="15" hidden="false" customHeight="false" outlineLevel="0" collapsed="false">
      <c r="A38" s="18" t="str">
        <f aca="false">Watchlist!$A$12</f>
        <v>XLF</v>
      </c>
      <c r="B38" s="18" t="s">
        <v>146</v>
      </c>
      <c r="C38" s="18" t="s">
        <v>140</v>
      </c>
      <c r="D38" s="20" t="n">
        <f aca="false">Watchlist!$C$12</f>
        <v>0</v>
      </c>
      <c r="E38" s="17" t="n">
        <f aca="false">Watchlist!$D$12</f>
        <v>0</v>
      </c>
      <c r="F38" s="33" t="n">
        <f aca="false">Calendar!$B$12</f>
        <v>46255</v>
      </c>
      <c r="G38" s="17" t="n">
        <f aca="true">F38-TODAY()</f>
        <v>102</v>
      </c>
      <c r="H38" s="20" t="n">
        <f aca="false">Watchlist!$F$12</f>
        <v>0</v>
      </c>
      <c r="I38" s="20" t="n">
        <f aca="false">Watchlist!$H$12</f>
        <v>-2</v>
      </c>
      <c r="J38" s="34" t="n">
        <f aca="false">ABS(H38-I38)</f>
        <v>2</v>
      </c>
      <c r="K38" s="27" t="n">
        <f aca="false">BDP_Options!J72</f>
        <v>0</v>
      </c>
      <c r="L38" s="27" t="n">
        <f aca="false">BDP_Options!K72</f>
        <v>0</v>
      </c>
      <c r="M38" s="27" t="n">
        <f aca="false">IFERROR((K38+L38)/2,0)</f>
        <v>0</v>
      </c>
      <c r="N38" s="28" t="n">
        <f aca="false">BDP_Options!L72</f>
        <v>0</v>
      </c>
      <c r="O38" s="29" t="n">
        <f aca="false">BDP_Options!M72</f>
        <v>0</v>
      </c>
      <c r="P38" s="27" t="n">
        <f aca="false">BDP_Options!J73</f>
        <v>0</v>
      </c>
      <c r="Q38" s="27" t="n">
        <f aca="false">BDP_Options!K73</f>
        <v>0</v>
      </c>
      <c r="R38" s="27" t="n">
        <f aca="false">IFERROR((P38+Q38)/2,0)</f>
        <v>0</v>
      </c>
      <c r="S38" s="28" t="n">
        <f aca="false">BDP_Options!L73</f>
        <v>0</v>
      </c>
      <c r="T38" s="29" t="n">
        <f aca="false">BDP_Options!M73</f>
        <v>0</v>
      </c>
      <c r="U38" s="27" t="n">
        <f aca="false">M38-R38</f>
        <v>0</v>
      </c>
      <c r="V38" s="27" t="n">
        <f aca="false">J38-U38</f>
        <v>2</v>
      </c>
      <c r="W38" s="28" t="n">
        <f aca="false">IFERROR(U38/J38,0)</f>
        <v>0</v>
      </c>
      <c r="X38" s="28" t="n">
        <f aca="false">IFERROR((L38-K38)/M38,1)</f>
        <v>1</v>
      </c>
      <c r="Y38" s="28" t="n">
        <f aca="false">IFERROR(IF(C38="BullPut",(D38-H38)/D38,(H38-D38)/D38),0)</f>
        <v>0</v>
      </c>
      <c r="Z38" s="28" t="n">
        <f aca="false">IFERROR(1-ABS(O38),0)</f>
        <v>1</v>
      </c>
      <c r="AA38" s="27" t="n">
        <f aca="false">Z38*U38-(1-Z38)*V38</f>
        <v>0</v>
      </c>
      <c r="AB38" s="29" t="n">
        <f aca="false">IFERROR(AA38/V38,0)</f>
        <v>0</v>
      </c>
      <c r="AC38" s="35" t="b">
        <f aca="false">AND(G38&gt;=Settings!$B$14,G38&lt;=Settings!$B$15)</f>
        <v>1</v>
      </c>
      <c r="AD38" s="35" t="b">
        <f aca="false">AND(ABS(O38)&gt;=Settings!$B$12,ABS(O38)&lt;=Settings!$B$13)</f>
        <v>0</v>
      </c>
      <c r="AE38" s="35" t="b">
        <f aca="false">E38&gt;=Settings!$B$8</f>
        <v>0</v>
      </c>
      <c r="AF38" s="35" t="b">
        <f aca="false">U38&gt;=Settings!$B$10</f>
        <v>0</v>
      </c>
      <c r="AG38" s="35" t="b">
        <f aca="false">W38&gt;=Settings!$B$9</f>
        <v>0</v>
      </c>
      <c r="AH38" s="35" t="b">
        <f aca="false">AND(X38&lt;=Settings!$B$11,K38&gt;0,L38&gt;0,P38&gt;0,Q38&gt;0)</f>
        <v>0</v>
      </c>
      <c r="AI38" s="35" t="b">
        <f aca="false">Y38&gt;=Settings!$B$19</f>
        <v>0</v>
      </c>
      <c r="AJ38" s="18" t="str">
        <f aca="false">IF(NOT(AC38),"WAIT - DTE",IF(NOT(AD38),"WAIT - DELTA",IF(NOT(AE38),"WAIT - IVR",IF(NOT(AF38),"WAIT - CREDIT",IF(NOT(AG38),"WAIT - C/W",IF(NOT(AH38),"WAIT - LIQUIDITY",IF(NOT(AI38),"WAIT - BUFFER","GO")))))))</f>
        <v>WAIT - DELTA</v>
      </c>
      <c r="AK38" s="29" t="n">
        <f aca="false">IF(AJ38="GO",AB38,-1000000000)</f>
        <v>-1000000000</v>
      </c>
    </row>
    <row r="39" customFormat="false" ht="15" hidden="false" customHeight="false" outlineLevel="0" collapsed="false">
      <c r="A39" s="18" t="str">
        <f aca="false">Watchlist!$A$12</f>
        <v>XLF</v>
      </c>
      <c r="B39" s="18" t="s">
        <v>146</v>
      </c>
      <c r="C39" s="18" t="s">
        <v>144</v>
      </c>
      <c r="D39" s="20" t="n">
        <f aca="false">Watchlist!$C$12</f>
        <v>0</v>
      </c>
      <c r="E39" s="17" t="n">
        <f aca="false">Watchlist!$D$12</f>
        <v>0</v>
      </c>
      <c r="F39" s="33" t="n">
        <f aca="false">Calendar!$B$12</f>
        <v>46255</v>
      </c>
      <c r="G39" s="17" t="n">
        <f aca="true">F39-TODAY()</f>
        <v>102</v>
      </c>
      <c r="H39" s="20" t="n">
        <f aca="false">Watchlist!$G$12</f>
        <v>0</v>
      </c>
      <c r="I39" s="20" t="n">
        <f aca="false">Watchlist!$I$12</f>
        <v>2</v>
      </c>
      <c r="J39" s="34" t="n">
        <f aca="false">ABS(H39-I39)</f>
        <v>2</v>
      </c>
      <c r="K39" s="27" t="n">
        <f aca="false">BDP_Options!J74</f>
        <v>0</v>
      </c>
      <c r="L39" s="27" t="n">
        <f aca="false">BDP_Options!K74</f>
        <v>0</v>
      </c>
      <c r="M39" s="27" t="n">
        <f aca="false">IFERROR((K39+L39)/2,0)</f>
        <v>0</v>
      </c>
      <c r="N39" s="28" t="n">
        <f aca="false">BDP_Options!L74</f>
        <v>0</v>
      </c>
      <c r="O39" s="29" t="n">
        <f aca="false">BDP_Options!M74</f>
        <v>0</v>
      </c>
      <c r="P39" s="27" t="n">
        <f aca="false">BDP_Options!J75</f>
        <v>0</v>
      </c>
      <c r="Q39" s="27" t="n">
        <f aca="false">BDP_Options!K75</f>
        <v>0</v>
      </c>
      <c r="R39" s="27" t="n">
        <f aca="false">IFERROR((P39+Q39)/2,0)</f>
        <v>0</v>
      </c>
      <c r="S39" s="28" t="n">
        <f aca="false">BDP_Options!L75</f>
        <v>0</v>
      </c>
      <c r="T39" s="29" t="n">
        <f aca="false">BDP_Options!M75</f>
        <v>0</v>
      </c>
      <c r="U39" s="27" t="n">
        <f aca="false">M39-R39</f>
        <v>0</v>
      </c>
      <c r="V39" s="27" t="n">
        <f aca="false">J39-U39</f>
        <v>2</v>
      </c>
      <c r="W39" s="28" t="n">
        <f aca="false">IFERROR(U39/J39,0)</f>
        <v>0</v>
      </c>
      <c r="X39" s="28" t="n">
        <f aca="false">IFERROR((L39-K39)/M39,1)</f>
        <v>1</v>
      </c>
      <c r="Y39" s="28" t="n">
        <f aca="false">IFERROR(IF(C39="BullPut",(D39-H39)/D39,(H39-D39)/D39),0)</f>
        <v>0</v>
      </c>
      <c r="Z39" s="28" t="n">
        <f aca="false">IFERROR(1-ABS(O39),0)</f>
        <v>1</v>
      </c>
      <c r="AA39" s="27" t="n">
        <f aca="false">Z39*U39-(1-Z39)*V39</f>
        <v>0</v>
      </c>
      <c r="AB39" s="29" t="n">
        <f aca="false">IFERROR(AA39/V39,0)</f>
        <v>0</v>
      </c>
      <c r="AC39" s="35" t="b">
        <f aca="false">AND(G39&gt;=Settings!$B$14,G39&lt;=Settings!$B$15)</f>
        <v>1</v>
      </c>
      <c r="AD39" s="35" t="b">
        <f aca="false">AND(ABS(O39)&gt;=Settings!$B$12,ABS(O39)&lt;=Settings!$B$13)</f>
        <v>0</v>
      </c>
      <c r="AE39" s="35" t="b">
        <f aca="false">E39&gt;=Settings!$B$8</f>
        <v>0</v>
      </c>
      <c r="AF39" s="35" t="b">
        <f aca="false">U39&gt;=Settings!$B$10</f>
        <v>0</v>
      </c>
      <c r="AG39" s="35" t="b">
        <f aca="false">W39&gt;=Settings!$B$9</f>
        <v>0</v>
      </c>
      <c r="AH39" s="35" t="b">
        <f aca="false">AND(X39&lt;=Settings!$B$11,K39&gt;0,L39&gt;0,P39&gt;0,Q39&gt;0)</f>
        <v>0</v>
      </c>
      <c r="AI39" s="35" t="b">
        <f aca="false">Y39&gt;=Settings!$B$19</f>
        <v>0</v>
      </c>
      <c r="AJ39" s="18" t="str">
        <f aca="false">IF(NOT(AC39),"WAIT - DTE",IF(NOT(AD39),"WAIT - DELTA",IF(NOT(AE39),"WAIT - IVR",IF(NOT(AF39),"WAIT - CREDIT",IF(NOT(AG39),"WAIT - C/W",IF(NOT(AH39),"WAIT - LIQUIDITY",IF(NOT(AI39),"WAIT - BUFFER","GO")))))))</f>
        <v>WAIT - DELTA</v>
      </c>
      <c r="AK39" s="29" t="n">
        <f aca="false">IF(AJ39="GO",AB39,-1000000000)</f>
        <v>-1000000000</v>
      </c>
    </row>
    <row r="40" customFormat="false" ht="15" hidden="false" customHeight="false" outlineLevel="0" collapsed="false">
      <c r="A40" s="18" t="str">
        <f aca="false">Watchlist!$A$13</f>
        <v>XLE</v>
      </c>
      <c r="B40" s="18" t="s">
        <v>139</v>
      </c>
      <c r="C40" s="18" t="s">
        <v>140</v>
      </c>
      <c r="D40" s="20" t="n">
        <f aca="false">Watchlist!$C$13</f>
        <v>0</v>
      </c>
      <c r="E40" s="17" t="n">
        <f aca="false">Watchlist!$D$13</f>
        <v>0</v>
      </c>
      <c r="F40" s="33" t="n">
        <f aca="false">Calendar!$B$11</f>
        <v>46220</v>
      </c>
      <c r="G40" s="17" t="n">
        <f aca="true">F40-TODAY()</f>
        <v>67</v>
      </c>
      <c r="H40" s="20" t="n">
        <f aca="false">Watchlist!$F$13</f>
        <v>0</v>
      </c>
      <c r="I40" s="20" t="n">
        <f aca="false">Watchlist!$H$13</f>
        <v>-2</v>
      </c>
      <c r="J40" s="34" t="n">
        <f aca="false">ABS(H40-I40)</f>
        <v>2</v>
      </c>
      <c r="K40" s="27" t="n">
        <f aca="false">BDP_Options!J76</f>
        <v>0</v>
      </c>
      <c r="L40" s="27" t="n">
        <f aca="false">BDP_Options!K76</f>
        <v>0</v>
      </c>
      <c r="M40" s="27" t="n">
        <f aca="false">IFERROR((K40+L40)/2,0)</f>
        <v>0</v>
      </c>
      <c r="N40" s="28" t="n">
        <f aca="false">BDP_Options!L76</f>
        <v>0</v>
      </c>
      <c r="O40" s="29" t="n">
        <f aca="false">BDP_Options!M76</f>
        <v>0</v>
      </c>
      <c r="P40" s="27" t="n">
        <f aca="false">BDP_Options!J77</f>
        <v>0</v>
      </c>
      <c r="Q40" s="27" t="n">
        <f aca="false">BDP_Options!K77</f>
        <v>0</v>
      </c>
      <c r="R40" s="27" t="n">
        <f aca="false">IFERROR((P40+Q40)/2,0)</f>
        <v>0</v>
      </c>
      <c r="S40" s="28" t="n">
        <f aca="false">BDP_Options!L77</f>
        <v>0</v>
      </c>
      <c r="T40" s="29" t="n">
        <f aca="false">BDP_Options!M77</f>
        <v>0</v>
      </c>
      <c r="U40" s="27" t="n">
        <f aca="false">M40-R40</f>
        <v>0</v>
      </c>
      <c r="V40" s="27" t="n">
        <f aca="false">J40-U40</f>
        <v>2</v>
      </c>
      <c r="W40" s="28" t="n">
        <f aca="false">IFERROR(U40/J40,0)</f>
        <v>0</v>
      </c>
      <c r="X40" s="28" t="n">
        <f aca="false">IFERROR((L40-K40)/M40,1)</f>
        <v>1</v>
      </c>
      <c r="Y40" s="28" t="n">
        <f aca="false">IFERROR(IF(C40="BullPut",(D40-H40)/D40,(H40-D40)/D40),0)</f>
        <v>0</v>
      </c>
      <c r="Z40" s="28" t="n">
        <f aca="false">IFERROR(1-ABS(O40),0)</f>
        <v>1</v>
      </c>
      <c r="AA40" s="27" t="n">
        <f aca="false">Z40*U40-(1-Z40)*V40</f>
        <v>0</v>
      </c>
      <c r="AB40" s="29" t="n">
        <f aca="false">IFERROR(AA40/V40,0)</f>
        <v>0</v>
      </c>
      <c r="AC40" s="35" t="b">
        <f aca="false">AND(G40&gt;=Settings!$B$14,G40&lt;=Settings!$B$15)</f>
        <v>1</v>
      </c>
      <c r="AD40" s="35" t="b">
        <f aca="false">AND(ABS(O40)&gt;=Settings!$B$12,ABS(O40)&lt;=Settings!$B$13)</f>
        <v>0</v>
      </c>
      <c r="AE40" s="35" t="b">
        <f aca="false">E40&gt;=Settings!$B$8</f>
        <v>0</v>
      </c>
      <c r="AF40" s="35" t="b">
        <f aca="false">U40&gt;=Settings!$B$10</f>
        <v>0</v>
      </c>
      <c r="AG40" s="35" t="b">
        <f aca="false">W40&gt;=Settings!$B$9</f>
        <v>0</v>
      </c>
      <c r="AH40" s="35" t="b">
        <f aca="false">AND(X40&lt;=Settings!$B$11,K40&gt;0,L40&gt;0,P40&gt;0,Q40&gt;0)</f>
        <v>0</v>
      </c>
      <c r="AI40" s="35" t="b">
        <f aca="false">Y40&gt;=Settings!$B$19</f>
        <v>0</v>
      </c>
      <c r="AJ40" s="18" t="str">
        <f aca="false">IF(NOT(AC40),"WAIT - DTE",IF(NOT(AD40),"WAIT - DELTA",IF(NOT(AE40),"WAIT - IVR",IF(NOT(AF40),"WAIT - CREDIT",IF(NOT(AG40),"WAIT - C/W",IF(NOT(AH40),"WAIT - LIQUIDITY",IF(NOT(AI40),"WAIT - BUFFER","GO")))))))</f>
        <v>WAIT - DELTA</v>
      </c>
      <c r="AK40" s="29" t="n">
        <f aca="false">IF(AJ40="GO",AB40,-1000000000)</f>
        <v>-1000000000</v>
      </c>
    </row>
    <row r="41" customFormat="false" ht="15" hidden="false" customHeight="false" outlineLevel="0" collapsed="false">
      <c r="A41" s="18" t="str">
        <f aca="false">Watchlist!$A$13</f>
        <v>XLE</v>
      </c>
      <c r="B41" s="18" t="s">
        <v>139</v>
      </c>
      <c r="C41" s="18" t="s">
        <v>144</v>
      </c>
      <c r="D41" s="20" t="n">
        <f aca="false">Watchlist!$C$13</f>
        <v>0</v>
      </c>
      <c r="E41" s="17" t="n">
        <f aca="false">Watchlist!$D$13</f>
        <v>0</v>
      </c>
      <c r="F41" s="33" t="n">
        <f aca="false">Calendar!$B$11</f>
        <v>46220</v>
      </c>
      <c r="G41" s="17" t="n">
        <f aca="true">F41-TODAY()</f>
        <v>67</v>
      </c>
      <c r="H41" s="20" t="n">
        <f aca="false">Watchlist!$G$13</f>
        <v>0</v>
      </c>
      <c r="I41" s="20" t="n">
        <f aca="false">Watchlist!$I$13</f>
        <v>2</v>
      </c>
      <c r="J41" s="34" t="n">
        <f aca="false">ABS(H41-I41)</f>
        <v>2</v>
      </c>
      <c r="K41" s="27" t="n">
        <f aca="false">BDP_Options!J78</f>
        <v>0</v>
      </c>
      <c r="L41" s="27" t="n">
        <f aca="false">BDP_Options!K78</f>
        <v>0</v>
      </c>
      <c r="M41" s="27" t="n">
        <f aca="false">IFERROR((K41+L41)/2,0)</f>
        <v>0</v>
      </c>
      <c r="N41" s="28" t="n">
        <f aca="false">BDP_Options!L78</f>
        <v>0</v>
      </c>
      <c r="O41" s="29" t="n">
        <f aca="false">BDP_Options!M78</f>
        <v>0</v>
      </c>
      <c r="P41" s="27" t="n">
        <f aca="false">BDP_Options!J79</f>
        <v>0</v>
      </c>
      <c r="Q41" s="27" t="n">
        <f aca="false">BDP_Options!K79</f>
        <v>0</v>
      </c>
      <c r="R41" s="27" t="n">
        <f aca="false">IFERROR((P41+Q41)/2,0)</f>
        <v>0</v>
      </c>
      <c r="S41" s="28" t="n">
        <f aca="false">BDP_Options!L79</f>
        <v>0</v>
      </c>
      <c r="T41" s="29" t="n">
        <f aca="false">BDP_Options!M79</f>
        <v>0</v>
      </c>
      <c r="U41" s="27" t="n">
        <f aca="false">M41-R41</f>
        <v>0</v>
      </c>
      <c r="V41" s="27" t="n">
        <f aca="false">J41-U41</f>
        <v>2</v>
      </c>
      <c r="W41" s="28" t="n">
        <f aca="false">IFERROR(U41/J41,0)</f>
        <v>0</v>
      </c>
      <c r="X41" s="28" t="n">
        <f aca="false">IFERROR((L41-K41)/M41,1)</f>
        <v>1</v>
      </c>
      <c r="Y41" s="28" t="n">
        <f aca="false">IFERROR(IF(C41="BullPut",(D41-H41)/D41,(H41-D41)/D41),0)</f>
        <v>0</v>
      </c>
      <c r="Z41" s="28" t="n">
        <f aca="false">IFERROR(1-ABS(O41),0)</f>
        <v>1</v>
      </c>
      <c r="AA41" s="27" t="n">
        <f aca="false">Z41*U41-(1-Z41)*V41</f>
        <v>0</v>
      </c>
      <c r="AB41" s="29" t="n">
        <f aca="false">IFERROR(AA41/V41,0)</f>
        <v>0</v>
      </c>
      <c r="AC41" s="35" t="b">
        <f aca="false">AND(G41&gt;=Settings!$B$14,G41&lt;=Settings!$B$15)</f>
        <v>1</v>
      </c>
      <c r="AD41" s="35" t="b">
        <f aca="false">AND(ABS(O41)&gt;=Settings!$B$12,ABS(O41)&lt;=Settings!$B$13)</f>
        <v>0</v>
      </c>
      <c r="AE41" s="35" t="b">
        <f aca="false">E41&gt;=Settings!$B$8</f>
        <v>0</v>
      </c>
      <c r="AF41" s="35" t="b">
        <f aca="false">U41&gt;=Settings!$B$10</f>
        <v>0</v>
      </c>
      <c r="AG41" s="35" t="b">
        <f aca="false">W41&gt;=Settings!$B$9</f>
        <v>0</v>
      </c>
      <c r="AH41" s="35" t="b">
        <f aca="false">AND(X41&lt;=Settings!$B$11,K41&gt;0,L41&gt;0,P41&gt;0,Q41&gt;0)</f>
        <v>0</v>
      </c>
      <c r="AI41" s="35" t="b">
        <f aca="false">Y41&gt;=Settings!$B$19</f>
        <v>0</v>
      </c>
      <c r="AJ41" s="18" t="str">
        <f aca="false">IF(NOT(AC41),"WAIT - DTE",IF(NOT(AD41),"WAIT - DELTA",IF(NOT(AE41),"WAIT - IVR",IF(NOT(AF41),"WAIT - CREDIT",IF(NOT(AG41),"WAIT - C/W",IF(NOT(AH41),"WAIT - LIQUIDITY",IF(NOT(AI41),"WAIT - BUFFER","GO")))))))</f>
        <v>WAIT - DELTA</v>
      </c>
      <c r="AK41" s="29" t="n">
        <f aca="false">IF(AJ41="GO",AB41,-1000000000)</f>
        <v>-1000000000</v>
      </c>
    </row>
    <row r="42" customFormat="false" ht="15" hidden="false" customHeight="false" outlineLevel="0" collapsed="false">
      <c r="A42" s="18" t="str">
        <f aca="false">Watchlist!$A$13</f>
        <v>XLE</v>
      </c>
      <c r="B42" s="18" t="s">
        <v>146</v>
      </c>
      <c r="C42" s="18" t="s">
        <v>140</v>
      </c>
      <c r="D42" s="20" t="n">
        <f aca="false">Watchlist!$C$13</f>
        <v>0</v>
      </c>
      <c r="E42" s="17" t="n">
        <f aca="false">Watchlist!$D$13</f>
        <v>0</v>
      </c>
      <c r="F42" s="33" t="n">
        <f aca="false">Calendar!$B$12</f>
        <v>46255</v>
      </c>
      <c r="G42" s="17" t="n">
        <f aca="true">F42-TODAY()</f>
        <v>102</v>
      </c>
      <c r="H42" s="20" t="n">
        <f aca="false">Watchlist!$F$13</f>
        <v>0</v>
      </c>
      <c r="I42" s="20" t="n">
        <f aca="false">Watchlist!$H$13</f>
        <v>-2</v>
      </c>
      <c r="J42" s="34" t="n">
        <f aca="false">ABS(H42-I42)</f>
        <v>2</v>
      </c>
      <c r="K42" s="27" t="n">
        <f aca="false">BDP_Options!J80</f>
        <v>0</v>
      </c>
      <c r="L42" s="27" t="n">
        <f aca="false">BDP_Options!K80</f>
        <v>0</v>
      </c>
      <c r="M42" s="27" t="n">
        <f aca="false">IFERROR((K42+L42)/2,0)</f>
        <v>0</v>
      </c>
      <c r="N42" s="28" t="n">
        <f aca="false">BDP_Options!L80</f>
        <v>0</v>
      </c>
      <c r="O42" s="29" t="n">
        <f aca="false">BDP_Options!M80</f>
        <v>0</v>
      </c>
      <c r="P42" s="27" t="n">
        <f aca="false">BDP_Options!J81</f>
        <v>0</v>
      </c>
      <c r="Q42" s="27" t="n">
        <f aca="false">BDP_Options!K81</f>
        <v>0</v>
      </c>
      <c r="R42" s="27" t="n">
        <f aca="false">IFERROR((P42+Q42)/2,0)</f>
        <v>0</v>
      </c>
      <c r="S42" s="28" t="n">
        <f aca="false">BDP_Options!L81</f>
        <v>0</v>
      </c>
      <c r="T42" s="29" t="n">
        <f aca="false">BDP_Options!M81</f>
        <v>0</v>
      </c>
      <c r="U42" s="27" t="n">
        <f aca="false">M42-R42</f>
        <v>0</v>
      </c>
      <c r="V42" s="27" t="n">
        <f aca="false">J42-U42</f>
        <v>2</v>
      </c>
      <c r="W42" s="28" t="n">
        <f aca="false">IFERROR(U42/J42,0)</f>
        <v>0</v>
      </c>
      <c r="X42" s="28" t="n">
        <f aca="false">IFERROR((L42-K42)/M42,1)</f>
        <v>1</v>
      </c>
      <c r="Y42" s="28" t="n">
        <f aca="false">IFERROR(IF(C42="BullPut",(D42-H42)/D42,(H42-D42)/D42),0)</f>
        <v>0</v>
      </c>
      <c r="Z42" s="28" t="n">
        <f aca="false">IFERROR(1-ABS(O42),0)</f>
        <v>1</v>
      </c>
      <c r="AA42" s="27" t="n">
        <f aca="false">Z42*U42-(1-Z42)*V42</f>
        <v>0</v>
      </c>
      <c r="AB42" s="29" t="n">
        <f aca="false">IFERROR(AA42/V42,0)</f>
        <v>0</v>
      </c>
      <c r="AC42" s="35" t="b">
        <f aca="false">AND(G42&gt;=Settings!$B$14,G42&lt;=Settings!$B$15)</f>
        <v>1</v>
      </c>
      <c r="AD42" s="35" t="b">
        <f aca="false">AND(ABS(O42)&gt;=Settings!$B$12,ABS(O42)&lt;=Settings!$B$13)</f>
        <v>0</v>
      </c>
      <c r="AE42" s="35" t="b">
        <f aca="false">E42&gt;=Settings!$B$8</f>
        <v>0</v>
      </c>
      <c r="AF42" s="35" t="b">
        <f aca="false">U42&gt;=Settings!$B$10</f>
        <v>0</v>
      </c>
      <c r="AG42" s="35" t="b">
        <f aca="false">W42&gt;=Settings!$B$9</f>
        <v>0</v>
      </c>
      <c r="AH42" s="35" t="b">
        <f aca="false">AND(X42&lt;=Settings!$B$11,K42&gt;0,L42&gt;0,P42&gt;0,Q42&gt;0)</f>
        <v>0</v>
      </c>
      <c r="AI42" s="35" t="b">
        <f aca="false">Y42&gt;=Settings!$B$19</f>
        <v>0</v>
      </c>
      <c r="AJ42" s="18" t="str">
        <f aca="false">IF(NOT(AC42),"WAIT - DTE",IF(NOT(AD42),"WAIT - DELTA",IF(NOT(AE42),"WAIT - IVR",IF(NOT(AF42),"WAIT - CREDIT",IF(NOT(AG42),"WAIT - C/W",IF(NOT(AH42),"WAIT - LIQUIDITY",IF(NOT(AI42),"WAIT - BUFFER","GO")))))))</f>
        <v>WAIT - DELTA</v>
      </c>
      <c r="AK42" s="29" t="n">
        <f aca="false">IF(AJ42="GO",AB42,-1000000000)</f>
        <v>-1000000000</v>
      </c>
    </row>
    <row r="43" customFormat="false" ht="15" hidden="false" customHeight="false" outlineLevel="0" collapsed="false">
      <c r="A43" s="18" t="str">
        <f aca="false">Watchlist!$A$13</f>
        <v>XLE</v>
      </c>
      <c r="B43" s="18" t="s">
        <v>146</v>
      </c>
      <c r="C43" s="18" t="s">
        <v>144</v>
      </c>
      <c r="D43" s="20" t="n">
        <f aca="false">Watchlist!$C$13</f>
        <v>0</v>
      </c>
      <c r="E43" s="17" t="n">
        <f aca="false">Watchlist!$D$13</f>
        <v>0</v>
      </c>
      <c r="F43" s="33" t="n">
        <f aca="false">Calendar!$B$12</f>
        <v>46255</v>
      </c>
      <c r="G43" s="17" t="n">
        <f aca="true">F43-TODAY()</f>
        <v>102</v>
      </c>
      <c r="H43" s="20" t="n">
        <f aca="false">Watchlist!$G$13</f>
        <v>0</v>
      </c>
      <c r="I43" s="20" t="n">
        <f aca="false">Watchlist!$I$13</f>
        <v>2</v>
      </c>
      <c r="J43" s="34" t="n">
        <f aca="false">ABS(H43-I43)</f>
        <v>2</v>
      </c>
      <c r="K43" s="27" t="n">
        <f aca="false">BDP_Options!J82</f>
        <v>0</v>
      </c>
      <c r="L43" s="27" t="n">
        <f aca="false">BDP_Options!K82</f>
        <v>0</v>
      </c>
      <c r="M43" s="27" t="n">
        <f aca="false">IFERROR((K43+L43)/2,0)</f>
        <v>0</v>
      </c>
      <c r="N43" s="28" t="n">
        <f aca="false">BDP_Options!L82</f>
        <v>0</v>
      </c>
      <c r="O43" s="29" t="n">
        <f aca="false">BDP_Options!M82</f>
        <v>0</v>
      </c>
      <c r="P43" s="27" t="n">
        <f aca="false">BDP_Options!J83</f>
        <v>0</v>
      </c>
      <c r="Q43" s="27" t="n">
        <f aca="false">BDP_Options!K83</f>
        <v>0</v>
      </c>
      <c r="R43" s="27" t="n">
        <f aca="false">IFERROR((P43+Q43)/2,0)</f>
        <v>0</v>
      </c>
      <c r="S43" s="28" t="n">
        <f aca="false">BDP_Options!L83</f>
        <v>0</v>
      </c>
      <c r="T43" s="29" t="n">
        <f aca="false">BDP_Options!M83</f>
        <v>0</v>
      </c>
      <c r="U43" s="27" t="n">
        <f aca="false">M43-R43</f>
        <v>0</v>
      </c>
      <c r="V43" s="27" t="n">
        <f aca="false">J43-U43</f>
        <v>2</v>
      </c>
      <c r="W43" s="28" t="n">
        <f aca="false">IFERROR(U43/J43,0)</f>
        <v>0</v>
      </c>
      <c r="X43" s="28" t="n">
        <f aca="false">IFERROR((L43-K43)/M43,1)</f>
        <v>1</v>
      </c>
      <c r="Y43" s="28" t="n">
        <f aca="false">IFERROR(IF(C43="BullPut",(D43-H43)/D43,(H43-D43)/D43),0)</f>
        <v>0</v>
      </c>
      <c r="Z43" s="28" t="n">
        <f aca="false">IFERROR(1-ABS(O43),0)</f>
        <v>1</v>
      </c>
      <c r="AA43" s="27" t="n">
        <f aca="false">Z43*U43-(1-Z43)*V43</f>
        <v>0</v>
      </c>
      <c r="AB43" s="29" t="n">
        <f aca="false">IFERROR(AA43/V43,0)</f>
        <v>0</v>
      </c>
      <c r="AC43" s="35" t="b">
        <f aca="false">AND(G43&gt;=Settings!$B$14,G43&lt;=Settings!$B$15)</f>
        <v>1</v>
      </c>
      <c r="AD43" s="35" t="b">
        <f aca="false">AND(ABS(O43)&gt;=Settings!$B$12,ABS(O43)&lt;=Settings!$B$13)</f>
        <v>0</v>
      </c>
      <c r="AE43" s="35" t="b">
        <f aca="false">E43&gt;=Settings!$B$8</f>
        <v>0</v>
      </c>
      <c r="AF43" s="35" t="b">
        <f aca="false">U43&gt;=Settings!$B$10</f>
        <v>0</v>
      </c>
      <c r="AG43" s="35" t="b">
        <f aca="false">W43&gt;=Settings!$B$9</f>
        <v>0</v>
      </c>
      <c r="AH43" s="35" t="b">
        <f aca="false">AND(X43&lt;=Settings!$B$11,K43&gt;0,L43&gt;0,P43&gt;0,Q43&gt;0)</f>
        <v>0</v>
      </c>
      <c r="AI43" s="35" t="b">
        <f aca="false">Y43&gt;=Settings!$B$19</f>
        <v>0</v>
      </c>
      <c r="AJ43" s="18" t="str">
        <f aca="false">IF(NOT(AC43),"WAIT - DTE",IF(NOT(AD43),"WAIT - DELTA",IF(NOT(AE43),"WAIT - IVR",IF(NOT(AF43),"WAIT - CREDIT",IF(NOT(AG43),"WAIT - C/W",IF(NOT(AH43),"WAIT - LIQUIDITY",IF(NOT(AI43),"WAIT - BUFFER","GO")))))))</f>
        <v>WAIT - DELTA</v>
      </c>
      <c r="AK43" s="29" t="n">
        <f aca="false">IF(AJ43="GO",AB43,-1000000000)</f>
        <v>-1000000000</v>
      </c>
    </row>
  </sheetData>
  <mergeCells count="1">
    <mergeCell ref="A1:AK1"/>
  </mergeCells>
  <conditionalFormatting sqref="AJ4:AJ43">
    <cfRule type="expression" priority="2" aboveAverage="0" equalAverage="0" bottom="0" percent="0" rank="0" text="" dxfId="0">
      <formula>AJ4="GO"</formula>
    </cfRule>
    <cfRule type="expression" priority="3" aboveAverage="0" equalAverage="0" bottom="0" percent="0" rank="0" text="" dxfId="1">
      <formula>LEFT(AJ4,4)="WAIT"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27.75" hidden="false" customHeight="true" outlineLevel="0" collapsed="false">
      <c r="A1" s="5" t="s">
        <v>180</v>
      </c>
      <c r="B1" s="5"/>
    </row>
    <row r="2" customFormat="false" ht="15" hidden="false" customHeight="false" outlineLevel="0" collapsed="false">
      <c r="A2" s="36" t="s">
        <v>181</v>
      </c>
      <c r="B2" s="37" t="n">
        <f aca="true">TODAY()</f>
        <v>46153</v>
      </c>
    </row>
    <row r="4" customFormat="false" ht="25.5" hidden="false" customHeight="true" outlineLevel="0" collapsed="false">
      <c r="A4" s="5" t="str">
        <f aca="false">IF((LARGE(Spreads!$AK$4:$AK$43,1)&gt;0),"TRADE #1:  "&amp;IF(INDEX(Spreads!$AJ$4:$AJ$43,MATCH(LARGE(Spreads!$AK$4:$AK$43,1),Spreads!$AK$4:$AK$43,0))="GO","✓ GO","✗ "&amp;INDEX(Spreads!$AJ$4:$AJ$43,MATCH(LARGE(Spreads!$AK$4:$AK$43,1),Spreads!$AK$4:$AK$43,0)))&amp;"   —   "&amp;INDEX(Spreads!$A$4:$A$43,MATCH(LARGE(Spreads!$AK$4:$AK$43,1),Spreads!$AK$4:$AK$43,0))&amp;"  "&amp;INDEX(Spreads!$C$4:$C$43,MATCH(LARGE(Spreads!$AK$4:$AK$43,1),Spreads!$AK$4:$AK$43,0))&amp;"  "&amp;TEXT(INDEX(Spreads!$H$4:$H$43,MATCH(LARGE(Spreads!$AK$4:$AK$43,1),Spreads!$AK$4:$AK$43,0)),"$0")&amp;"/"&amp;TEXT(INDEX(Spreads!$I$4:$I$43,MATCH(LARGE(Spreads!$AK$4:$AK$43,1),Spreads!$AK$4:$AK$43,0)),"$0")&amp;"   —   "&amp;INDEX(Spreads!$B$4:$B$43,MATCH(LARGE(Spreads!$AK$4:$AK$43,1),Spreads!$AK$4:$AK$43,0))&amp;"  exp "&amp;TEXT(INDEX(Spreads!$F$4:$F$43,MATCH(LARGE(Spreads!$AK$4:$AK$43,1),Spreads!$AK$4:$AK$43,0)),"m/d/yyyy"),"TRADE #1:  — no recommendation today (nothing passes all gates)")</f>
        <v>TRADE #1:  — no recommendation today (nothing passes all gates)</v>
      </c>
      <c r="B4" s="5"/>
    </row>
    <row r="5" customFormat="false" ht="30" hidden="false" customHeight="true" outlineLevel="0" collapsed="false">
      <c r="A5" s="6" t="s">
        <v>182</v>
      </c>
      <c r="B5" s="38" t="str">
        <f aca="false">IF((LARGE(Spreads!$AK$4:$AK$43,1)&gt;0),"SELL the "&amp;INDEX(Spreads!$C$4:$C$43,MATCH(LARGE(Spreads!$AK$4:$AK$43,1),Spreads!$AK$4:$AK$43,0))&amp;" credit spread on "&amp;INDEX(Spreads!$A$4:$A$43,MATCH(LARGE(Spreads!$AK$4:$AK$43,1),Spreads!$AK$4:$AK$43,0))&amp;" — short the "&amp;IF(INDEX(Spreads!$C$4:$C$43,MATCH(LARGE(Spreads!$AK$4:$AK$43,1),Spreads!$AK$4:$AK$43,0))="BullPut","PUT","CALL")&amp;" at "&amp;TEXT(INDEX(Spreads!$H$4:$H$43,MATCH(LARGE(Spreads!$AK$4:$AK$43,1),Spreads!$AK$4:$AK$43,0)),"$0")&amp;" and buy the protective "&amp;IF(INDEX(Spreads!$C$4:$C$43,MATCH(LARGE(Spreads!$AK$4:$AK$43,1),Spreads!$AK$4:$AK$43,0))="BullPut","PUT","CALL")&amp;" at "&amp;TEXT(INDEX(Spreads!$I$4:$I$43,MATCH(LARGE(Spreads!$AK$4:$AK$43,1),Spreads!$AK$4:$AK$43,0)),"$0")&amp;".   Expires "&amp;TEXT(INDEX(Spreads!$F$4:$F$43,MATCH(LARGE(Spreads!$AK$4:$AK$43,1),Spreads!$AK$4:$AK$43,0)),"m/d/yyyy")&amp;" ("&amp;TEXT(INDEX(Spreads!$G$4:$G$43,MATCH(LARGE(Spreads!$AK$4:$AK$43,1),Spreads!$AK$4:$AK$43,0)),"0")&amp;" DTE).","—")</f>
        <v>—</v>
      </c>
    </row>
    <row r="6" customFormat="false" ht="15" hidden="false" customHeight="false" outlineLevel="0" collapsed="false">
      <c r="A6" s="6" t="s">
        <v>183</v>
      </c>
      <c r="B6" s="39" t="str">
        <f aca="false">IF((LARGE(Spreads!$AK$4:$AK$43,1)&gt;0),"Sell "&amp;IF(INDEX(Spreads!$C$4:$C$43,MATCH(LARGE(Spreads!$AK$4:$AK$43,1),Spreads!$AK$4:$AK$43,0))="BullPut","PUT","CALL")&amp;" "&amp;TEXT(INDEX(Spreads!$H$4:$H$43,MATCH(LARGE(Spreads!$AK$4:$AK$43,1),Spreads!$AK$4:$AK$43,0)),"$0")&amp;"   (mid ≈ "&amp;TEXT(INDEX(Spreads!$M$4:$M$43,MATCH(LARGE(Spreads!$AK$4:$AK$43,1),Spreads!$AK$4:$AK$43,0)),"$0.00")&amp;", delta ≈ "&amp;TEXT(INDEX(Spreads!$O$4:$O$43,MATCH(LARGE(Spreads!$AK$4:$AK$43,1),Spreads!$AK$4:$AK$43,0)),"0.000")&amp;")","—")</f>
        <v>—</v>
      </c>
    </row>
    <row r="7" customFormat="false" ht="15" hidden="false" customHeight="false" outlineLevel="0" collapsed="false">
      <c r="A7" s="6" t="s">
        <v>184</v>
      </c>
      <c r="B7" s="39" t="str">
        <f aca="false">IF((LARGE(Spreads!$AK$4:$AK$43,1)&gt;0),"Buy  "&amp;IF(INDEX(Spreads!$C$4:$C$43,MATCH(LARGE(Spreads!$AK$4:$AK$43,1),Spreads!$AK$4:$AK$43,0))="BullPut","PUT","CALL")&amp;" "&amp;TEXT(INDEX(Spreads!$I$4:$I$43,MATCH(LARGE(Spreads!$AK$4:$AK$43,1),Spreads!$AK$4:$AK$43,0)),"$0")&amp;"   (mid ≈ "&amp;TEXT(INDEX(Spreads!$R$4:$R$43,MATCH(LARGE(Spreads!$AK$4:$AK$43,1),Spreads!$AK$4:$AK$43,0)),"$0.00")&amp;")","—")</f>
        <v>—</v>
      </c>
    </row>
    <row r="8" customFormat="false" ht="15" hidden="false" customHeight="false" outlineLevel="0" collapsed="false">
      <c r="A8" s="6" t="s">
        <v>185</v>
      </c>
      <c r="B8" s="39" t="str">
        <f aca="false">IF((LARGE(Spreads!$AK$4:$AK$43,1)&gt;0),"Put on 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,"0")&amp;"  contract"&amp;IF(IFERROR(IF(INDEX(Spreads!$V$4:$V$43,MATCH(LARGE(Spreads!$AK$4:$AK$43,1),Spreads!$AK$4:$AK$43,0))&gt;0,FLOOR(MIN(MIN(Settings!$B$5,Settings!$B$6*Settings!$B$3)/Settings!$B$4,IFERROR(MAX(0,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=1,"","s")&amp;"   (book-risk slot ≈ "&amp;TEXT(MIN(MIN(Settings!$B$5,Settings!$B$6*Settings!$B$3)/Settings!$B$4,IFERROR(MAX(0,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(INDEX(Spreads!$U$4:$U$43,MATCH(LARGE(Spreads!$AK$4:$AK$43,1),Spreads!$AK$4:$AK$43,0))/INDEX(Spreads!$V$4:$V$43,MATCH(LARGE(Spreads!$AK$4:$AK$43,1),Spreads!$AK$4:$AK$43,0))))*Settings!$B$7*Settings!$B$3,0)),"$#,##0")&amp;" of max-loss budget)","—")</f>
        <v>—</v>
      </c>
    </row>
    <row r="9" customFormat="false" ht="15" hidden="false" customHeight="false" outlineLevel="0" collapsed="false">
      <c r="A9" s="6" t="s">
        <v>186</v>
      </c>
      <c r="B9" s="39" t="str">
        <f aca="false">IF((LARGE(Spreads!$AK$4:$AK$43,1)&gt;0),"You receive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U$4:$U$43,MATCH(LARGE(Spreads!$AK$4:$AK$43,1),Spreads!$AK$4:$AK$43,0))*100,"$#,##0")&amp;"  upfront  ("&amp;TEXT(IFERROR(IF(INDEX(Spreads!$V$4:$V$43,MATCH(LARGE(Spreads!$AK$4:$AK$43,1),Spreads!$AK$4:$AK$43,0))&gt;0,FLOOR(MIN(MIN(Settings!$B$5,Settings!$B$6*Settings!$B$3)/Settings!$B$4,IFERROR(MAX(0,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,"0")&amp;" × $"&amp;TEXT(INDEX(Spreads!$U$4:$U$43,MATCH(LARGE(Spreads!$AK$4:$AK$43,1),Spreads!$AK$4:$AK$43,0)),"0.00")&amp;" credit × 100).","—")</f>
        <v>—</v>
      </c>
    </row>
    <row r="10" customFormat="false" ht="27.75" hidden="false" customHeight="true" outlineLevel="0" collapsed="false">
      <c r="A10" s="6" t="s">
        <v>187</v>
      </c>
      <c r="B10" s="38" t="str">
        <f aca="false">IF((LARGE(Spreads!$AK$4:$AK$43,1)&gt;0),"At worst, you lose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V$4:$V$43,MATCH(LARGE(Spreads!$AK$4:$AK$43,1),Spreads!$AK$4:$AK$43,0))*100,"$#,##0")&amp;"  ("&amp;TEXT(IFERROR(IF(INDEX(Spreads!$V$4:$V$43,MATCH(LARGE(Spreads!$AK$4:$AK$43,1),Spreads!$AK$4:$AK$43,0))&gt;0,FLOOR(MIN(MIN(Settings!$B$5,Settings!$B$6*Settings!$B$3)/Settings!$B$4,IFERROR(MAX(0,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,"0")&amp;" × $"&amp;TEXT(INDEX(Spreads!$V$4:$V$43,MATCH(LARGE(Spreads!$AK$4:$AK$43,1),Spreads!$AK$4:$AK$43,0)),"0.00")&amp;" max loss × 100). This number IS realized in full when the trade goes against you.","—")</f>
        <v>—</v>
      </c>
    </row>
    <row r="11" customFormat="false" ht="30" hidden="false" customHeight="true" outlineLevel="0" collapsed="false">
      <c r="A11" s="6" t="s">
        <v>188</v>
      </c>
      <c r="B11" s="38" t="str">
        <f aca="false">IF((LARGE(Spreads!$AK$4:$AK$43,1)&gt;0),"Close the spread when its value drops to about "&amp;TEXT(INDEX(Spreads!$U$4:$U$43,MATCH(LARGE(Spreads!$AK$4:$AK$43,1),Spreads!$AK$4:$AK$43,0))*(1-Settings!$B$17),"$0.00")&amp;" per contract  "&amp;"(≈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U$4:$U$43,MATCH(LARGE(Spreads!$AK$4:$AK$43,1),Spreads!$AK$4:$AK$43,0))*(1-Settings!$B$17)*100,"$#,##0")&amp;" total to buy back).  Profit: ≈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(INDEX(Spreads!$U$4:$U$43,MATCH(LARGE(Spreads!$AK$4:$AK$43,1),Spreads!$AK$4:$AK$43,0))-INDEX(Spreads!$U$4:$U$43,MATCH(LARGE(Spreads!$AK$4:$AK$43,1),Spreads!$AK$4:$AK$43,0))*(1-Settings!$B$17))*100,"$#,##0")&amp;"  ("&amp;TEXT(Settings!$B$17,"0%")&amp;" of credit).","—")</f>
        <v>—</v>
      </c>
    </row>
    <row r="12" customFormat="false" ht="30" hidden="false" customHeight="true" outlineLevel="0" collapsed="false">
      <c r="A12" s="6" t="s">
        <v>189</v>
      </c>
      <c r="B12" s="38" t="str">
        <f aca="false">IF((LARGE(Spreads!$AK$4:$AK$43,1)&gt;0),"Cut the trade if its value rises to "&amp;TEXT(INDEX(Spreads!$U$4:$U$43,MATCH(LARGE(Spreads!$AK$4:$AK$43,1),Spreads!$AK$4:$AK$43,0))*Settings!$B$18,"$0.00")&amp;" per contract  "&amp;"(≈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U$4:$U$43,MATCH(LARGE(Spreads!$AK$4:$AK$43,1),Spreads!$AK$4:$AK$43,0))*Settings!$B$18*100,"$#,##0")&amp;" total to buy back).  Loss capped at ≈ "&amp;TEXT(IFERROR(IF(INDEX(Spreads!$V$4:$V$43,MATCH(LARGE(Spreads!$AK$4:$AK$43,1),Spreads!$AK$4:$AK$43,0))&gt;0,FLOOR(MIN(MIN(Settings!$B$5,Settings!$B$6*Settings!$B$3)/Settings!$B$4,IFERROR(MAX(0,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(INDEX(Spreads!$U$4:$U$43,MATCH(LARGE(Spreads!$AK$4:$AK$43,1),Spreads!$AK$4:$AK$43,0))*Settings!$B$18-INDEX(Spreads!$U$4:$U$43,MATCH(LARGE(Spreads!$AK$4:$AK$43,1),Spreads!$AK$4:$AK$43,0)))*100,"$#,##0")&amp;"  ("&amp;TEXT(Settings!$B$18,"0.0")&amp;"× credit).","—")</f>
        <v>—</v>
      </c>
    </row>
    <row r="13" customFormat="false" ht="15" hidden="false" customHeight="false" outlineLevel="0" collapsed="false">
      <c r="A13" s="6" t="s">
        <v>190</v>
      </c>
      <c r="B13" s="39" t="str">
        <f aca="false">IF((LARGE(Spreads!$AK$4:$AK$43,1)&gt;0),TEXT(INDEX(Spreads!$AB$4:$AB$43,MATCH(LARGE(Spreads!$AK$4:$AK$43,1),Spreads!$AK$4:$AK$43,0)),"0.000")&amp;"   (= EV ÷ MaxLoss.  &gt;0.10 is decent, &gt;0.15 is good, &lt;0.05 means weak.)","—")</f>
        <v>—</v>
      </c>
    </row>
    <row r="14" customFormat="false" ht="31.5" hidden="false" customHeight="true" outlineLevel="0" collapsed="false">
      <c r="A14" s="6" t="s">
        <v>191</v>
      </c>
      <c r="B14" s="38" t="str">
        <f aca="false">IF((LARGE(Spreads!$AK$4:$AK$43,1)&gt;0),IF(INDEX(Spreads!$AJ$4:$AJ$43,MATCH(LARGE(Spreads!$AK$4:$AK$43,1),Spreads!$AK$4:$AK$43,0))="GO","All gates pass.  IVR="&amp;TEXT(INDEX(Spreads!$E$4:$E$43,MATCH(LARGE(Spreads!$AK$4:$AK$43,1),Spreads!$AK$4:$AK$43,0)),"0")&amp;"  |  short delta="&amp;TEXT(INDEX(Spreads!$O$4:$O$43,MATCH(LARGE(Spreads!$AK$4:$AK$43,1),Spreads!$AK$4:$AK$43,0)),"0.000")&amp;"  |  bid-ask="&amp;TEXT(INDEX(Spreads!$X$4:$X$43,MATCH(LARGE(Spreads!$AK$4:$AK$43,1),Spreads!$AK$4:$AK$43,0)),"0.0%")&amp;"  |  buffer to strike="&amp;TEXT(INDEX(Spreads!$Y$4:$Y$43,MATCH(LARGE(Spreads!$AK$4:$AK$43,1),Spreads!$AK$4:$AK$43,0)),"0.0%")&amp;".","Gate failing: "&amp;INDEX(Spreads!$AJ$4:$AJ$43,MATCH(LARGE(Spreads!$AK$4:$AK$43,1),Spreads!$AK$4:$AK$43,0))&amp;".  See Spreads tab for the specific column."),"No spread passes all gates today — wait.  IVR may be too low across the board, or bid-ask too wide.")</f>
        <v>No spread passes all gates today — wait.  IVR may be too low across the board, or bid-ask too wide.</v>
      </c>
    </row>
    <row r="16" customFormat="false" ht="25.5" hidden="false" customHeight="true" outlineLevel="0" collapsed="false">
      <c r="A16" s="5" t="str">
        <f aca="false">IF((LARGE(Spreads!$AK$4:$AK$43,2)&gt;0),"TRADE #2:  "&amp;IF(INDEX(Spreads!$AJ$4:$AJ$43,MATCH(LARGE(Spreads!$AK$4:$AK$43,2),Spreads!$AK$4:$AK$43,0))="GO","✓ GO","✗ "&amp;INDEX(Spreads!$AJ$4:$AJ$43,MATCH(LARGE(Spreads!$AK$4:$AK$43,2),Spreads!$AK$4:$AK$43,0)))&amp;"   —   "&amp;INDEX(Spreads!$A$4:$A$43,MATCH(LARGE(Spreads!$AK$4:$AK$43,2),Spreads!$AK$4:$AK$43,0))&amp;"  "&amp;INDEX(Spreads!$C$4:$C$43,MATCH(LARGE(Spreads!$AK$4:$AK$43,2),Spreads!$AK$4:$AK$43,0))&amp;"  "&amp;TEXT(INDEX(Spreads!$H$4:$H$43,MATCH(LARGE(Spreads!$AK$4:$AK$43,2),Spreads!$AK$4:$AK$43,0)),"$0")&amp;"/"&amp;TEXT(INDEX(Spreads!$I$4:$I$43,MATCH(LARGE(Spreads!$AK$4:$AK$43,2),Spreads!$AK$4:$AK$43,0)),"$0")&amp;"   —   "&amp;INDEX(Spreads!$B$4:$B$43,MATCH(LARGE(Spreads!$AK$4:$AK$43,2),Spreads!$AK$4:$AK$43,0))&amp;"  exp "&amp;TEXT(INDEX(Spreads!$F$4:$F$43,MATCH(LARGE(Spreads!$AK$4:$AK$43,2),Spreads!$AK$4:$AK$43,0)),"m/d/yyyy"),"TRADE #2:  — no recommendation today (nothing passes all gates)")</f>
        <v>TRADE #2:  — no recommendation today (nothing passes all gates)</v>
      </c>
      <c r="B16" s="5"/>
    </row>
    <row r="17" customFormat="false" ht="30" hidden="false" customHeight="true" outlineLevel="0" collapsed="false">
      <c r="A17" s="6" t="s">
        <v>182</v>
      </c>
      <c r="B17" s="38" t="str">
        <f aca="false">IF((LARGE(Spreads!$AK$4:$AK$43,2)&gt;0),"SELL the "&amp;INDEX(Spreads!$C$4:$C$43,MATCH(LARGE(Spreads!$AK$4:$AK$43,2),Spreads!$AK$4:$AK$43,0))&amp;" credit spread on "&amp;INDEX(Spreads!$A$4:$A$43,MATCH(LARGE(Spreads!$AK$4:$AK$43,2),Spreads!$AK$4:$AK$43,0))&amp;" — short the "&amp;IF(INDEX(Spreads!$C$4:$C$43,MATCH(LARGE(Spreads!$AK$4:$AK$43,2),Spreads!$AK$4:$AK$43,0))="BullPut","PUT","CALL")&amp;" at "&amp;TEXT(INDEX(Spreads!$H$4:$H$43,MATCH(LARGE(Spreads!$AK$4:$AK$43,2),Spreads!$AK$4:$AK$43,0)),"$0")&amp;" and buy the protective "&amp;IF(INDEX(Spreads!$C$4:$C$43,MATCH(LARGE(Spreads!$AK$4:$AK$43,2),Spreads!$AK$4:$AK$43,0))="BullPut","PUT","CALL")&amp;" at "&amp;TEXT(INDEX(Spreads!$I$4:$I$43,MATCH(LARGE(Spreads!$AK$4:$AK$43,2),Spreads!$AK$4:$AK$43,0)),"$0")&amp;".   Expires "&amp;TEXT(INDEX(Spreads!$F$4:$F$43,MATCH(LARGE(Spreads!$AK$4:$AK$43,2),Spreads!$AK$4:$AK$43,0)),"m/d/yyyy")&amp;" ("&amp;TEXT(INDEX(Spreads!$G$4:$G$43,MATCH(LARGE(Spreads!$AK$4:$AK$43,2),Spreads!$AK$4:$AK$43,0)),"0")&amp;" DTE).","—")</f>
        <v>—</v>
      </c>
    </row>
    <row r="18" customFormat="false" ht="15" hidden="false" customHeight="false" outlineLevel="0" collapsed="false">
      <c r="A18" s="6" t="s">
        <v>183</v>
      </c>
      <c r="B18" s="39" t="str">
        <f aca="false">IF((LARGE(Spreads!$AK$4:$AK$43,2)&gt;0),"Sell "&amp;IF(INDEX(Spreads!$C$4:$C$43,MATCH(LARGE(Spreads!$AK$4:$AK$43,2),Spreads!$AK$4:$AK$43,0))="BullPut","PUT","CALL")&amp;" "&amp;TEXT(INDEX(Spreads!$H$4:$H$43,MATCH(LARGE(Spreads!$AK$4:$AK$43,2),Spreads!$AK$4:$AK$43,0)),"$0")&amp;"   (mid ≈ "&amp;TEXT(INDEX(Spreads!$M$4:$M$43,MATCH(LARGE(Spreads!$AK$4:$AK$43,2),Spreads!$AK$4:$AK$43,0)),"$0.00")&amp;", delta ≈ "&amp;TEXT(INDEX(Spreads!$O$4:$O$43,MATCH(LARGE(Spreads!$AK$4:$AK$43,2),Spreads!$AK$4:$AK$43,0)),"0.000")&amp;")","—")</f>
        <v>—</v>
      </c>
    </row>
    <row r="19" customFormat="false" ht="15" hidden="false" customHeight="false" outlineLevel="0" collapsed="false">
      <c r="A19" s="6" t="s">
        <v>184</v>
      </c>
      <c r="B19" s="39" t="str">
        <f aca="false">IF((LARGE(Spreads!$AK$4:$AK$43,2)&gt;0),"Buy  "&amp;IF(INDEX(Spreads!$C$4:$C$43,MATCH(LARGE(Spreads!$AK$4:$AK$43,2),Spreads!$AK$4:$AK$43,0))="BullPut","PUT","CALL")&amp;" "&amp;TEXT(INDEX(Spreads!$I$4:$I$43,MATCH(LARGE(Spreads!$AK$4:$AK$43,2),Spreads!$AK$4:$AK$43,0)),"$0")&amp;"   (mid ≈ "&amp;TEXT(INDEX(Spreads!$R$4:$R$43,MATCH(LARGE(Spreads!$AK$4:$AK$43,2),Spreads!$AK$4:$AK$43,0)),"$0.00")&amp;")","—")</f>
        <v>—</v>
      </c>
    </row>
    <row r="20" customFormat="false" ht="15" hidden="false" customHeight="false" outlineLevel="0" collapsed="false">
      <c r="A20" s="6" t="s">
        <v>185</v>
      </c>
      <c r="B20" s="39" t="str">
        <f aca="false">IF((LARGE(Spreads!$AK$4:$AK$43,2)&gt;0),"Put on 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,"0")&amp;"  contract"&amp;IF(IFERROR(IF(INDEX(Spreads!$V$4:$V$43,MATCH(LARGE(Spreads!$AK$4:$AK$43,2),Spreads!$AK$4:$AK$43,0))&gt;0,FLOOR(MIN(MIN(Settings!$B$5,Settings!$B$6*Settings!$B$3)/Settings!$B$4,IFERROR(MAX(0,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=1,"","s")&amp;"   (book-risk slot ≈ "&amp;TEXT(MIN(MIN(Settings!$B$5,Settings!$B$6*Settings!$B$3)/Settings!$B$4,IFERROR(MAX(0,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(INDEX(Spreads!$U$4:$U$43,MATCH(LARGE(Spreads!$AK$4:$AK$43,2),Spreads!$AK$4:$AK$43,0))/INDEX(Spreads!$V$4:$V$43,MATCH(LARGE(Spreads!$AK$4:$AK$43,2),Spreads!$AK$4:$AK$43,0))))*Settings!$B$7*Settings!$B$3,0)),"$#,##0")&amp;" of max-loss budget)","—")</f>
        <v>—</v>
      </c>
    </row>
    <row r="21" customFormat="false" ht="15" hidden="false" customHeight="false" outlineLevel="0" collapsed="false">
      <c r="A21" s="6" t="s">
        <v>186</v>
      </c>
      <c r="B21" s="39" t="str">
        <f aca="false">IF((LARGE(Spreads!$AK$4:$AK$43,2)&gt;0),"You receive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U$4:$U$43,MATCH(LARGE(Spreads!$AK$4:$AK$43,2),Spreads!$AK$4:$AK$43,0))*100,"$#,##0")&amp;"  upfront  ("&amp;TEXT(IFERROR(IF(INDEX(Spreads!$V$4:$V$43,MATCH(LARGE(Spreads!$AK$4:$AK$43,2),Spreads!$AK$4:$AK$43,0))&gt;0,FLOOR(MIN(MIN(Settings!$B$5,Settings!$B$6*Settings!$B$3)/Settings!$B$4,IFERROR(MAX(0,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,"0")&amp;" × $"&amp;TEXT(INDEX(Spreads!$U$4:$U$43,MATCH(LARGE(Spreads!$AK$4:$AK$43,2),Spreads!$AK$4:$AK$43,0)),"0.00")&amp;" credit × 100).","—")</f>
        <v>—</v>
      </c>
    </row>
    <row r="22" customFormat="false" ht="27.75" hidden="false" customHeight="true" outlineLevel="0" collapsed="false">
      <c r="A22" s="6" t="s">
        <v>187</v>
      </c>
      <c r="B22" s="38" t="str">
        <f aca="false">IF((LARGE(Spreads!$AK$4:$AK$43,2)&gt;0),"At worst, you lose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V$4:$V$43,MATCH(LARGE(Spreads!$AK$4:$AK$43,2),Spreads!$AK$4:$AK$43,0))*100,"$#,##0")&amp;"  ("&amp;TEXT(IFERROR(IF(INDEX(Spreads!$V$4:$V$43,MATCH(LARGE(Spreads!$AK$4:$AK$43,2),Spreads!$AK$4:$AK$43,0))&gt;0,FLOOR(MIN(MIN(Settings!$B$5,Settings!$B$6*Settings!$B$3)/Settings!$B$4,IFERROR(MAX(0,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,"0")&amp;" × $"&amp;TEXT(INDEX(Spreads!$V$4:$V$43,MATCH(LARGE(Spreads!$AK$4:$AK$43,2),Spreads!$AK$4:$AK$43,0)),"0.00")&amp;" max loss × 100). This number IS realized in full when the trade goes against you.","—")</f>
        <v>—</v>
      </c>
    </row>
    <row r="23" customFormat="false" ht="30" hidden="false" customHeight="true" outlineLevel="0" collapsed="false">
      <c r="A23" s="6" t="s">
        <v>188</v>
      </c>
      <c r="B23" s="38" t="str">
        <f aca="false">IF((LARGE(Spreads!$AK$4:$AK$43,2)&gt;0),"Close the spread when its value drops to about "&amp;TEXT(INDEX(Spreads!$U$4:$U$43,MATCH(LARGE(Spreads!$AK$4:$AK$43,2),Spreads!$AK$4:$AK$43,0))*(1-Settings!$B$17),"$0.00")&amp;" per contract  "&amp;"(≈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U$4:$U$43,MATCH(LARGE(Spreads!$AK$4:$AK$43,2),Spreads!$AK$4:$AK$43,0))*(1-Settings!$B$17)*100,"$#,##0")&amp;" total to buy back).  Profit: ≈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(INDEX(Spreads!$U$4:$U$43,MATCH(LARGE(Spreads!$AK$4:$AK$43,2),Spreads!$AK$4:$AK$43,0))-INDEX(Spreads!$U$4:$U$43,MATCH(LARGE(Spreads!$AK$4:$AK$43,2),Spreads!$AK$4:$AK$43,0))*(1-Settings!$B$17))*100,"$#,##0")&amp;"  ("&amp;TEXT(Settings!$B$17,"0%")&amp;" of credit).","—")</f>
        <v>—</v>
      </c>
    </row>
    <row r="24" customFormat="false" ht="30" hidden="false" customHeight="true" outlineLevel="0" collapsed="false">
      <c r="A24" s="6" t="s">
        <v>189</v>
      </c>
      <c r="B24" s="38" t="str">
        <f aca="false">IF((LARGE(Spreads!$AK$4:$AK$43,2)&gt;0),"Cut the trade if its value rises to "&amp;TEXT(INDEX(Spreads!$U$4:$U$43,MATCH(LARGE(Spreads!$AK$4:$AK$43,2),Spreads!$AK$4:$AK$43,0))*Settings!$B$18,"$0.00")&amp;" per contract  "&amp;"(≈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U$4:$U$43,MATCH(LARGE(Spreads!$AK$4:$AK$43,2),Spreads!$AK$4:$AK$43,0))*Settings!$B$18*100,"$#,##0")&amp;" total to buy back).  Loss capped at ≈ "&amp;TEXT(IFERROR(IF(INDEX(Spreads!$V$4:$V$43,MATCH(LARGE(Spreads!$AK$4:$AK$43,2),Spreads!$AK$4:$AK$43,0))&gt;0,FLOOR(MIN(MIN(Settings!$B$5,Settings!$B$6*Settings!$B$3)/Settings!$B$4,IFERROR(MAX(0,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(INDEX(Spreads!$U$4:$U$43,MATCH(LARGE(Spreads!$AK$4:$AK$43,2),Spreads!$AK$4:$AK$43,0))*Settings!$B$18-INDEX(Spreads!$U$4:$U$43,MATCH(LARGE(Spreads!$AK$4:$AK$43,2),Spreads!$AK$4:$AK$43,0)))*100,"$#,##0")&amp;"  ("&amp;TEXT(Settings!$B$18,"0.0")&amp;"× credit).","—")</f>
        <v>—</v>
      </c>
    </row>
    <row r="25" customFormat="false" ht="15" hidden="false" customHeight="false" outlineLevel="0" collapsed="false">
      <c r="A25" s="6" t="s">
        <v>190</v>
      </c>
      <c r="B25" s="39" t="str">
        <f aca="false">IF((LARGE(Spreads!$AK$4:$AK$43,2)&gt;0),TEXT(INDEX(Spreads!$AB$4:$AB$43,MATCH(LARGE(Spreads!$AK$4:$AK$43,2),Spreads!$AK$4:$AK$43,0)),"0.000")&amp;"   (= EV ÷ MaxLoss.  &gt;0.10 is decent, &gt;0.15 is good, &lt;0.05 means weak.)","—")</f>
        <v>—</v>
      </c>
    </row>
    <row r="26" customFormat="false" ht="31.5" hidden="false" customHeight="true" outlineLevel="0" collapsed="false">
      <c r="A26" s="6" t="s">
        <v>191</v>
      </c>
      <c r="B26" s="38" t="str">
        <f aca="false">IF((LARGE(Spreads!$AK$4:$AK$43,2)&gt;0),IF(INDEX(Spreads!$AJ$4:$AJ$43,MATCH(LARGE(Spreads!$AK$4:$AK$43,2),Spreads!$AK$4:$AK$43,0))="GO","All gates pass.  IVR="&amp;TEXT(INDEX(Spreads!$E$4:$E$43,MATCH(LARGE(Spreads!$AK$4:$AK$43,2),Spreads!$AK$4:$AK$43,0)),"0")&amp;"  |  short delta="&amp;TEXT(INDEX(Spreads!$O$4:$O$43,MATCH(LARGE(Spreads!$AK$4:$AK$43,2),Spreads!$AK$4:$AK$43,0)),"0.000")&amp;"  |  bid-ask="&amp;TEXT(INDEX(Spreads!$X$4:$X$43,MATCH(LARGE(Spreads!$AK$4:$AK$43,2),Spreads!$AK$4:$AK$43,0)),"0.0%")&amp;"  |  buffer to strike="&amp;TEXT(INDEX(Spreads!$Y$4:$Y$43,MATCH(LARGE(Spreads!$AK$4:$AK$43,2),Spreads!$AK$4:$AK$43,0)),"0.0%")&amp;".","Gate failing: "&amp;INDEX(Spreads!$AJ$4:$AJ$43,MATCH(LARGE(Spreads!$AK$4:$AK$43,2),Spreads!$AK$4:$AK$43,0))&amp;".  See Spreads tab for the specific column."),"No spread passes all gates today — wait.  IVR may be too low across the board, or bid-ask too wide.")</f>
        <v>No spread passes all gates today — wait.  IVR may be too low across the board, or bid-ask too wide.</v>
      </c>
    </row>
    <row r="28" customFormat="false" ht="25.5" hidden="false" customHeight="true" outlineLevel="0" collapsed="false">
      <c r="A28" s="5" t="str">
        <f aca="false">IF((LARGE(Spreads!$AK$4:$AK$43,3)&gt;0),"TRADE #3:  "&amp;IF(INDEX(Spreads!$AJ$4:$AJ$43,MATCH(LARGE(Spreads!$AK$4:$AK$43,3),Spreads!$AK$4:$AK$43,0))="GO","✓ GO","✗ "&amp;INDEX(Spreads!$AJ$4:$AJ$43,MATCH(LARGE(Spreads!$AK$4:$AK$43,3),Spreads!$AK$4:$AK$43,0)))&amp;"   —   "&amp;INDEX(Spreads!$A$4:$A$43,MATCH(LARGE(Spreads!$AK$4:$AK$43,3),Spreads!$AK$4:$AK$43,0))&amp;"  "&amp;INDEX(Spreads!$C$4:$C$43,MATCH(LARGE(Spreads!$AK$4:$AK$43,3),Spreads!$AK$4:$AK$43,0))&amp;"  "&amp;TEXT(INDEX(Spreads!$H$4:$H$43,MATCH(LARGE(Spreads!$AK$4:$AK$43,3),Spreads!$AK$4:$AK$43,0)),"$0")&amp;"/"&amp;TEXT(INDEX(Spreads!$I$4:$I$43,MATCH(LARGE(Spreads!$AK$4:$AK$43,3),Spreads!$AK$4:$AK$43,0)),"$0")&amp;"   —   "&amp;INDEX(Spreads!$B$4:$B$43,MATCH(LARGE(Spreads!$AK$4:$AK$43,3),Spreads!$AK$4:$AK$43,0))&amp;"  exp "&amp;TEXT(INDEX(Spreads!$F$4:$F$43,MATCH(LARGE(Spreads!$AK$4:$AK$43,3),Spreads!$AK$4:$AK$43,0)),"m/d/yyyy"),"TRADE #3:  — no recommendation today (nothing passes all gates)")</f>
        <v>TRADE #3:  — no recommendation today (nothing passes all gates)</v>
      </c>
      <c r="B28" s="5"/>
    </row>
    <row r="29" customFormat="false" ht="30" hidden="false" customHeight="true" outlineLevel="0" collapsed="false">
      <c r="A29" s="6" t="s">
        <v>182</v>
      </c>
      <c r="B29" s="38" t="str">
        <f aca="false">IF((LARGE(Spreads!$AK$4:$AK$43,3)&gt;0),"SELL the "&amp;INDEX(Spreads!$C$4:$C$43,MATCH(LARGE(Spreads!$AK$4:$AK$43,3),Spreads!$AK$4:$AK$43,0))&amp;" credit spread on "&amp;INDEX(Spreads!$A$4:$A$43,MATCH(LARGE(Spreads!$AK$4:$AK$43,3),Spreads!$AK$4:$AK$43,0))&amp;" — short the "&amp;IF(INDEX(Spreads!$C$4:$C$43,MATCH(LARGE(Spreads!$AK$4:$AK$43,3),Spreads!$AK$4:$AK$43,0))="BullPut","PUT","CALL")&amp;" at "&amp;TEXT(INDEX(Spreads!$H$4:$H$43,MATCH(LARGE(Spreads!$AK$4:$AK$43,3),Spreads!$AK$4:$AK$43,0)),"$0")&amp;" and buy the protective "&amp;IF(INDEX(Spreads!$C$4:$C$43,MATCH(LARGE(Spreads!$AK$4:$AK$43,3),Spreads!$AK$4:$AK$43,0))="BullPut","PUT","CALL")&amp;" at "&amp;TEXT(INDEX(Spreads!$I$4:$I$43,MATCH(LARGE(Spreads!$AK$4:$AK$43,3),Spreads!$AK$4:$AK$43,0)),"$0")&amp;".   Expires "&amp;TEXT(INDEX(Spreads!$F$4:$F$43,MATCH(LARGE(Spreads!$AK$4:$AK$43,3),Spreads!$AK$4:$AK$43,0)),"m/d/yyyy")&amp;" ("&amp;TEXT(INDEX(Spreads!$G$4:$G$43,MATCH(LARGE(Spreads!$AK$4:$AK$43,3),Spreads!$AK$4:$AK$43,0)),"0")&amp;" DTE).","—")</f>
        <v>—</v>
      </c>
    </row>
    <row r="30" customFormat="false" ht="15" hidden="false" customHeight="false" outlineLevel="0" collapsed="false">
      <c r="A30" s="6" t="s">
        <v>183</v>
      </c>
      <c r="B30" s="39" t="str">
        <f aca="false">IF((LARGE(Spreads!$AK$4:$AK$43,3)&gt;0),"Sell "&amp;IF(INDEX(Spreads!$C$4:$C$43,MATCH(LARGE(Spreads!$AK$4:$AK$43,3),Spreads!$AK$4:$AK$43,0))="BullPut","PUT","CALL")&amp;" "&amp;TEXT(INDEX(Spreads!$H$4:$H$43,MATCH(LARGE(Spreads!$AK$4:$AK$43,3),Spreads!$AK$4:$AK$43,0)),"$0")&amp;"   (mid ≈ "&amp;TEXT(INDEX(Spreads!$M$4:$M$43,MATCH(LARGE(Spreads!$AK$4:$AK$43,3),Spreads!$AK$4:$AK$43,0)),"$0.00")&amp;", delta ≈ "&amp;TEXT(INDEX(Spreads!$O$4:$O$43,MATCH(LARGE(Spreads!$AK$4:$AK$43,3),Spreads!$AK$4:$AK$43,0)),"0.000")&amp;")","—")</f>
        <v>—</v>
      </c>
    </row>
    <row r="31" customFormat="false" ht="15" hidden="false" customHeight="false" outlineLevel="0" collapsed="false">
      <c r="A31" s="6" t="s">
        <v>184</v>
      </c>
      <c r="B31" s="39" t="str">
        <f aca="false">IF((LARGE(Spreads!$AK$4:$AK$43,3)&gt;0),"Buy  "&amp;IF(INDEX(Spreads!$C$4:$C$43,MATCH(LARGE(Spreads!$AK$4:$AK$43,3),Spreads!$AK$4:$AK$43,0))="BullPut","PUT","CALL")&amp;" "&amp;TEXT(INDEX(Spreads!$I$4:$I$43,MATCH(LARGE(Spreads!$AK$4:$AK$43,3),Spreads!$AK$4:$AK$43,0)),"$0")&amp;"   (mid ≈ "&amp;TEXT(INDEX(Spreads!$R$4:$R$43,MATCH(LARGE(Spreads!$AK$4:$AK$43,3),Spreads!$AK$4:$AK$43,0)),"$0.00")&amp;")","—")</f>
        <v>—</v>
      </c>
    </row>
    <row r="32" customFormat="false" ht="15" hidden="false" customHeight="false" outlineLevel="0" collapsed="false">
      <c r="A32" s="6" t="s">
        <v>185</v>
      </c>
      <c r="B32" s="39" t="str">
        <f aca="false">IF((LARGE(Spreads!$AK$4:$AK$43,3)&gt;0),"Put on 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,"0")&amp;"  contract"&amp;IF(IFERROR(IF(INDEX(Spreads!$V$4:$V$43,MATCH(LARGE(Spreads!$AK$4:$AK$43,3),Spreads!$AK$4:$AK$43,0))&gt;0,FLOOR(MIN(MIN(Settings!$B$5,Settings!$B$6*Settings!$B$3)/Settings!$B$4,IFERROR(MAX(0,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=1,"","s")&amp;"   (book-risk slot ≈ "&amp;TEXT(MIN(MIN(Settings!$B$5,Settings!$B$6*Settings!$B$3)/Settings!$B$4,IFERROR(MAX(0,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(INDEX(Spreads!$U$4:$U$43,MATCH(LARGE(Spreads!$AK$4:$AK$43,3),Spreads!$AK$4:$AK$43,0))/INDEX(Spreads!$V$4:$V$43,MATCH(LARGE(Spreads!$AK$4:$AK$43,3),Spreads!$AK$4:$AK$43,0))))*Settings!$B$7*Settings!$B$3,0)),"$#,##0")&amp;" of max-loss budget)","—")</f>
        <v>—</v>
      </c>
    </row>
    <row r="33" customFormat="false" ht="15" hidden="false" customHeight="false" outlineLevel="0" collapsed="false">
      <c r="A33" s="6" t="s">
        <v>186</v>
      </c>
      <c r="B33" s="39" t="str">
        <f aca="false">IF((LARGE(Spreads!$AK$4:$AK$43,3)&gt;0),"You receive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U$4:$U$43,MATCH(LARGE(Spreads!$AK$4:$AK$43,3),Spreads!$AK$4:$AK$43,0))*100,"$#,##0")&amp;"  upfront  ("&amp;TEXT(IFERROR(IF(INDEX(Spreads!$V$4:$V$43,MATCH(LARGE(Spreads!$AK$4:$AK$43,3),Spreads!$AK$4:$AK$43,0))&gt;0,FLOOR(MIN(MIN(Settings!$B$5,Settings!$B$6*Settings!$B$3)/Settings!$B$4,IFERROR(MAX(0,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,"0")&amp;" × $"&amp;TEXT(INDEX(Spreads!$U$4:$U$43,MATCH(LARGE(Spreads!$AK$4:$AK$43,3),Spreads!$AK$4:$AK$43,0)),"0.00")&amp;" credit × 100).","—")</f>
        <v>—</v>
      </c>
    </row>
    <row r="34" customFormat="false" ht="27.75" hidden="false" customHeight="true" outlineLevel="0" collapsed="false">
      <c r="A34" s="6" t="s">
        <v>187</v>
      </c>
      <c r="B34" s="38" t="str">
        <f aca="false">IF((LARGE(Spreads!$AK$4:$AK$43,3)&gt;0),"At worst, you lose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V$4:$V$43,MATCH(LARGE(Spreads!$AK$4:$AK$43,3),Spreads!$AK$4:$AK$43,0))*100,"$#,##0")&amp;"  ("&amp;TEXT(IFERROR(IF(INDEX(Spreads!$V$4:$V$43,MATCH(LARGE(Spreads!$AK$4:$AK$43,3),Spreads!$AK$4:$AK$43,0))&gt;0,FLOOR(MIN(MIN(Settings!$B$5,Settings!$B$6*Settings!$B$3)/Settings!$B$4,IFERROR(MAX(0,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,"0")&amp;" × $"&amp;TEXT(INDEX(Spreads!$V$4:$V$43,MATCH(LARGE(Spreads!$AK$4:$AK$43,3),Spreads!$AK$4:$AK$43,0)),"0.00")&amp;" max loss × 100). This number IS realized in full when the trade goes against you.","—")</f>
        <v>—</v>
      </c>
    </row>
    <row r="35" customFormat="false" ht="30" hidden="false" customHeight="true" outlineLevel="0" collapsed="false">
      <c r="A35" s="6" t="s">
        <v>188</v>
      </c>
      <c r="B35" s="38" t="str">
        <f aca="false">IF((LARGE(Spreads!$AK$4:$AK$43,3)&gt;0),"Close the spread when its value drops to about "&amp;TEXT(INDEX(Spreads!$U$4:$U$43,MATCH(LARGE(Spreads!$AK$4:$AK$43,3),Spreads!$AK$4:$AK$43,0))*(1-Settings!$B$17),"$0.00")&amp;" per contract  "&amp;"(≈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U$4:$U$43,MATCH(LARGE(Spreads!$AK$4:$AK$43,3),Spreads!$AK$4:$AK$43,0))*(1-Settings!$B$17)*100,"$#,##0")&amp;" total to buy back).  Profit: ≈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(INDEX(Spreads!$U$4:$U$43,MATCH(LARGE(Spreads!$AK$4:$AK$43,3),Spreads!$AK$4:$AK$43,0))-INDEX(Spreads!$U$4:$U$43,MATCH(LARGE(Spreads!$AK$4:$AK$43,3),Spreads!$AK$4:$AK$43,0))*(1-Settings!$B$17))*100,"$#,##0")&amp;"  ("&amp;TEXT(Settings!$B$17,"0%")&amp;" of credit).","—")</f>
        <v>—</v>
      </c>
    </row>
    <row r="36" customFormat="false" ht="30" hidden="false" customHeight="true" outlineLevel="0" collapsed="false">
      <c r="A36" s="6" t="s">
        <v>189</v>
      </c>
      <c r="B36" s="38" t="str">
        <f aca="false">IF((LARGE(Spreads!$AK$4:$AK$43,3)&gt;0),"Cut the trade if its value rises to "&amp;TEXT(INDEX(Spreads!$U$4:$U$43,MATCH(LARGE(Spreads!$AK$4:$AK$43,3),Spreads!$AK$4:$AK$43,0))*Settings!$B$18,"$0.00")&amp;" per contract  "&amp;"(≈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U$4:$U$43,MATCH(LARGE(Spreads!$AK$4:$AK$43,3),Spreads!$AK$4:$AK$43,0))*Settings!$B$18*100,"$#,##0")&amp;" total to buy back).  Loss capped at ≈ "&amp;TEXT(IFERROR(IF(INDEX(Spreads!$V$4:$V$43,MATCH(LARGE(Spreads!$AK$4:$AK$43,3),Spreads!$AK$4:$AK$43,0))&gt;0,FLOOR(MIN(MIN(Settings!$B$5,Settings!$B$6*Settings!$B$3)/Settings!$B$4,IFERROR(MAX(0,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(INDEX(Spreads!$U$4:$U$43,MATCH(LARGE(Spreads!$AK$4:$AK$43,3),Spreads!$AK$4:$AK$43,0))*Settings!$B$18-INDEX(Spreads!$U$4:$U$43,MATCH(LARGE(Spreads!$AK$4:$AK$43,3),Spreads!$AK$4:$AK$43,0)))*100,"$#,##0")&amp;"  ("&amp;TEXT(Settings!$B$18,"0.0")&amp;"× credit).","—")</f>
        <v>—</v>
      </c>
    </row>
    <row r="37" customFormat="false" ht="15" hidden="false" customHeight="false" outlineLevel="0" collapsed="false">
      <c r="A37" s="6" t="s">
        <v>190</v>
      </c>
      <c r="B37" s="39" t="str">
        <f aca="false">IF((LARGE(Spreads!$AK$4:$AK$43,3)&gt;0),TEXT(INDEX(Spreads!$AB$4:$AB$43,MATCH(LARGE(Spreads!$AK$4:$AK$43,3),Spreads!$AK$4:$AK$43,0)),"0.000")&amp;"   (= EV ÷ MaxLoss.  &gt;0.10 is decent, &gt;0.15 is good, &lt;0.05 means weak.)","—")</f>
        <v>—</v>
      </c>
    </row>
    <row r="38" customFormat="false" ht="31.5" hidden="false" customHeight="true" outlineLevel="0" collapsed="false">
      <c r="A38" s="6" t="s">
        <v>191</v>
      </c>
      <c r="B38" s="38" t="str">
        <f aca="false">IF((LARGE(Spreads!$AK$4:$AK$43,3)&gt;0),IF(INDEX(Spreads!$AJ$4:$AJ$43,MATCH(LARGE(Spreads!$AK$4:$AK$43,3),Spreads!$AK$4:$AK$43,0))="GO","All gates pass.  IVR="&amp;TEXT(INDEX(Spreads!$E$4:$E$43,MATCH(LARGE(Spreads!$AK$4:$AK$43,3),Spreads!$AK$4:$AK$43,0)),"0")&amp;"  |  short delta="&amp;TEXT(INDEX(Spreads!$O$4:$O$43,MATCH(LARGE(Spreads!$AK$4:$AK$43,3),Spreads!$AK$4:$AK$43,0)),"0.000")&amp;"  |  bid-ask="&amp;TEXT(INDEX(Spreads!$X$4:$X$43,MATCH(LARGE(Spreads!$AK$4:$AK$43,3),Spreads!$AK$4:$AK$43,0)),"0.0%")&amp;"  |  buffer to strike="&amp;TEXT(INDEX(Spreads!$Y$4:$Y$43,MATCH(LARGE(Spreads!$AK$4:$AK$43,3),Spreads!$AK$4:$AK$43,0)),"0.0%")&amp;".","Gate failing: "&amp;INDEX(Spreads!$AJ$4:$AJ$43,MATCH(LARGE(Spreads!$AK$4:$AK$43,3),Spreads!$AK$4:$AK$43,0))&amp;".  See Spreads tab for the specific column."),"No spread passes all gates today — wait.  IVR may be too low across the board, or bid-ask too wide.")</f>
        <v>No spread passes all gates today — wait.  IVR may be too low across the board, or bid-ask too wide.</v>
      </c>
    </row>
    <row r="40" customFormat="false" ht="25.5" hidden="false" customHeight="true" outlineLevel="0" collapsed="false">
      <c r="A40" s="5" t="str">
        <f aca="false">IF((IFERROR((BDP_Options!J84+BDP_Options!K84)/2,0)&gt;0),"HEDGE:  BUY  — UVXY call "&amp;TEXT(BDP_Options!F84,"$0")&amp;"  exp "&amp;TEXT(BDP_Options!G84,"m/d/yyyy"),"HEDGE:  WAIT — no UVXY quote available")</f>
        <v>HEDGE:  WAIT — no UVXY quote available</v>
      </c>
      <c r="B40" s="5"/>
    </row>
    <row r="41" customFormat="false" ht="27.75" hidden="false" customHeight="true" outlineLevel="0" collapsed="false">
      <c r="A41" s="6" t="s">
        <v>182</v>
      </c>
      <c r="B41" s="38" t="str">
        <f aca="false">IF((IFERROR((BDP_Options!J84+BDP_Options!K84)/2,0)&gt;0),"BUY  "&amp;TEXT(IFERROR(IF(IFERROR((BDP_Options!J84+BDP_Options!K84)/2,0)&gt;0,FLOOR(MIN(Settings!$B$5,Settings!$B$6*Settings!$B$3)*Settings!$B$20/(IFERROR((BDP_Options!J84+BDP_Options!K84)/2,0)*100),1),0),0),"0")&amp;"  UVXY  "&amp;TEXT(BDP_Options!F84,"$0")&amp;"  CALL"&amp;IF(IFERROR(IF(IFERROR((BDP_Options!J84+BDP_Options!K84)/2,0)&gt;0,FLOOR(MIN(Settings!$B$5,Settings!$B$6*Settings!$B$3)*Settings!$B$20/(IFERROR((BDP_Options!J84+BDP_Options!K84)/2,0)*100),1),0),0)=1,"","s")&amp;"  expiring "&amp;TEXT(BDP_Options!G84,"m/d/yyyy")&amp;".  Each call ≈ "&amp;TEXT(IFERROR((BDP_Options!J84+BDP_Options!K84)/2,0),"$0.00")&amp;" mid.","—")</f>
        <v>—</v>
      </c>
    </row>
    <row r="42" customFormat="false" ht="30" hidden="false" customHeight="true" outlineLevel="0" collapsed="false">
      <c r="A42" s="6" t="s">
        <v>192</v>
      </c>
      <c r="B42" s="38" t="str">
        <f aca="false">IF((IFERROR((BDP_Options!J84+BDP_Options!K84)/2,0)&gt;0),TEXT(IFERROR(IF(IFERROR((BDP_Options!J84+BDP_Options!K84)/2,0)&gt;0,FLOOR(MIN(Settings!$B$5,Settings!$B$6*Settings!$B$3)*Settings!$B$20/(IFERROR((BDP_Options!J84+BDP_Options!K84)/2,0)*100),1),0),0)*IFERROR((BDP_Options!J84+BDP_Options!K84)/2,0)*100,"$#,##0")&amp;"  ("&amp;TEXT(IFERROR(IF(IFERROR((BDP_Options!J84+BDP_Options!K84)/2,0)&gt;0,FLOOR(MIN(Settings!$B$5,Settings!$B$6*Settings!$B$3)*Settings!$B$20/(IFERROR((BDP_Options!J84+BDP_Options!K84)/2,0)*100),1),0),0),"0")&amp;" × "&amp;TEXT(IFERROR((BDP_Options!J84+BDP_Options!K84)/2,0),"$0.00")&amp;" × 100). Budget for hedge: "&amp;TEXT(MIN(Settings!$B$5,Settings!$B$6*Settings!$B$3)*Settings!$B$20,"$#,##0")&amp;" ("&amp;TEXT(Settings!$B$20,"0%")&amp;" of book risk).","—")</f>
        <v>—</v>
      </c>
    </row>
    <row r="43" customFormat="false" ht="36" hidden="false" customHeight="true" outlineLevel="0" collapsed="false">
      <c r="A43" s="6" t="s">
        <v>193</v>
      </c>
      <c r="B43" s="38" t="str">
        <f aca="false">"Convex offset against the 3 short-premium spreads above. In calm months this premium DECAYS (it is the price of insurance). In a vol spike it can 5-10× and meaningfully cover book losses."</f>
        <v>Convex offset against the 3 short-premium spreads above. In calm months this premium DECAYS (it is the price of insurance). In a vol spike it can 5-10× and meaningfully cover book losses.</v>
      </c>
    </row>
    <row r="46" customFormat="false" ht="25.5" hidden="false" customHeight="true" outlineLevel="0" collapsed="false">
      <c r="A46" s="5" t="s">
        <v>194</v>
      </c>
      <c r="B46" s="5"/>
    </row>
    <row r="47" customFormat="false" ht="27.75" hidden="false" customHeight="true" outlineLevel="0" collapsed="false">
      <c r="A47" s="6" t="s">
        <v>195</v>
      </c>
      <c r="B47" s="38" t="str">
        <f aca="false">"You collect "&amp;TEXT((IF((LARGE(Spreads!$AK$4:$AK$43,1)&gt;0),IFERROR(IF(INDEX(Spreads!$V$4:$V$43,MATCH(LARGE(Spreads!$AK$4:$AK$43,1),Spreads!$AK$4:$AK$43,0))&gt;0,FLOOR(MIN(MIN(Settings!$B$5,Settings!$B$6*Settings!$B$3)/Settings!$B$4,IFERROR(MAX(0,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U$4:$U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U$4:$U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U$4:$U$43,MATCH(LARGE(Spreads!$AK$4:$AK$43,3),Spreads!$AK$4:$AK$43,0))*100,0)),"$#,##0")&amp;"  in premium  AND  risk "&amp;TEXT((IF((LARGE(Spreads!$AK$4:$AK$43,1)&gt;0),IFERROR(IF(INDEX(Spreads!$V$4:$V$43,MATCH(LARGE(Spreads!$AK$4:$AK$43,1),Spreads!$AK$4:$AK$43,0))&gt;0,FLOOR(MIN(MIN(Settings!$B$5,Settings!$B$6*Settings!$B$3)/Settings!$B$4,IFERROR(MAX(0,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V$4:$V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V$4:$V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V$4:$V$43,MATCH(LARGE(Spreads!$AK$4:$AK$43,3),Spreads!$AK$4:$AK$43,0))*100,0)),"$#,##0")&amp;"  worst-case max loss across the book."</f>
        <v>You collect $0  in premium  AND  risk $0  worst-case max loss across the book.</v>
      </c>
    </row>
    <row r="48" customFormat="false" ht="27.75" hidden="false" customHeight="true" outlineLevel="0" collapsed="false">
      <c r="A48" s="6" t="s">
        <v>196</v>
      </c>
      <c r="B48" s="38" t="str">
        <f aca="false">"Net profit on the spreads ≈ "&amp;TEXT((IF((LARGE(Spreads!$AK$4:$AK$43,1)&gt;0),IFERROR(IF(INDEX(Spreads!$V$4:$V$43,MATCH(LARGE(Spreads!$AK$4:$AK$43,1),Spreads!$AK$4:$AK$43,0))&gt;0,FLOOR(MIN(MIN(Settings!$B$5,Settings!$B$6*Settings!$B$3)/Settings!$B$4,IFERROR(MAX(0,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U$4:$U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U$4:$U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U$4:$U$43,MATCH(LARGE(Spreads!$AK$4:$AK$43,3),Spreads!$AK$4:$AK$43,0))*100,0))*0.5,"$#,##0")&amp;".  This is the calm-regime monthly target."</f>
        <v>Net profit on the spreads ≈ $0.  This is the calm-regime monthly target.</v>
      </c>
    </row>
    <row r="49" customFormat="false" ht="27.75" hidden="false" customHeight="true" outlineLevel="0" collapsed="false">
      <c r="A49" s="6" t="s">
        <v>197</v>
      </c>
      <c r="B49" s="38" t="str">
        <f aca="false">"Net target this month ≈ "&amp;TEXT((IF((LARGE(Spreads!$AK$4:$AK$43,1)&gt;0),IFERROR(IF(INDEX(Spreads!$V$4:$V$43,MATCH(LARGE(Spreads!$AK$4:$AK$43,1),Spreads!$AK$4:$AK$43,0))&gt;0,FLOOR(MIN(MIN(Settings!$B$5,Settings!$B$6*Settings!$B$3)/Settings!$B$4,IFERROR(MAX(0,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U$4:$U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U$4:$U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U$4:$U$43,MATCH(LARGE(Spreads!$AK$4:$AK$43,3),Spreads!$AK$4:$AK$43,0))*100,0))*0.5 - IFERROR(IF(IFERROR((BDP_Options!J84+BDP_Options!K84)/2,0)&gt;0,FLOOR(MIN(Settings!$B$5,Settings!$B$6*Settings!$B$3)*Settings!$B$20/(IFERROR((BDP_Options!J84+BDP_Options!K84)/2,0)*100),1),0),0)*IFERROR((BDP_Options!J84+BDP_Options!K84)/2,0)*100,"$#,##0")&amp;".  Hedge costs "&amp;TEXT(IFERROR(IF(IFERROR((BDP_Options!J84+BDP_Options!K84)/2,0)&gt;0,FLOOR(MIN(Settings!$B$5,Settings!$B$6*Settings!$B$3)*Settings!$B$20/(IFERROR((BDP_Options!J84+BDP_Options!K84)/2,0)*100),1),0),0)*IFERROR((BDP_Options!J84+BDP_Options!K84)/2,0)*100,"$#,##0")&amp;" upfront and is what protects you from the bad month."</f>
        <v>Net target this month ≈ $0.  Hedge costs $0 upfront and is what protects you from the bad month.</v>
      </c>
    </row>
    <row r="50" customFormat="false" ht="27.75" hidden="false" customHeight="true" outlineLevel="0" collapsed="false">
      <c r="A50" s="6" t="s">
        <v>198</v>
      </c>
      <c r="B50" s="38" t="str">
        <f aca="false">TEXT((IF((LARGE(Spreads!$AK$4:$AK$43,1)&gt;0),IFERROR(IF(INDEX(Spreads!$V$4:$V$43,MATCH(LARGE(Spreads!$AK$4:$AK$43,1),Spreads!$AK$4:$AK$43,0))&gt;0,FLOOR(MIN(MIN(Settings!$B$5,Settings!$B$6*Settings!$B$3)/Settings!$B$4,IFERROR(MAX(0,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V$4:$V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V$4:$V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V$4:$V$43,MATCH(LARGE(Spreads!$AK$4:$AK$43,3),Spreads!$AK$4:$AK$43,0))*100,0)),"$#,##0")&amp;"  of  "&amp;TEXT(MIN(Settings!$B$5,Settings!$B$6*Settings!$B$3),"$#,##0")&amp;"  cap  ("&amp;TEXT(IFERROR((IF((LARGE(Spreads!$AK$4:$AK$43,1)&gt;0),IFERROR(IF(INDEX(Spreads!$V$4:$V$43,MATCH(LARGE(Spreads!$AK$4:$AK$43,1),Spreads!$AK$4:$AK$43,0))&gt;0,FLOOR(MIN(MIN(Settings!$B$5,Settings!$B$6*Settings!$B$3)/Settings!$B$4,IFERROR(MAX(0,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V$4:$V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V$4:$V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V$4:$V$43,MATCH(LARGE(Spreads!$AK$4:$AK$43,3),Spreads!$AK$4:$AK$43,0))*100,0))/MIN(Settings!$B$5,Settings!$B$6*Settings!$B$3),0),"0.0%")&amp;" utilization).  Stay below 100%."</f>
        <v>$0  of  $5,500  cap  (0.0% utilization).  Stay below 100%.</v>
      </c>
    </row>
    <row r="51" customFormat="false" ht="31.5" hidden="false" customHeight="true" outlineLevel="0" collapsed="false">
      <c r="A51" s="6" t="s">
        <v>199</v>
      </c>
      <c r="B51" s="38" t="str">
        <f aca="false">TEXT(IFERROR((IF((LARGE(Spreads!$AK$4:$AK$43,1)&gt;0),IFERROR(IF(INDEX(Spreads!$V$4:$V$43,MATCH(LARGE(Spreads!$AK$4:$AK$43,1),Spreads!$AK$4:$AK$43,0))&gt;0,FLOOR(MIN(MIN(Settings!$B$5,Settings!$B$6*Settings!$B$3)/Settings!$B$4,IFERROR(MAX(0, INDEX(Spreads!$Z$4:$Z$43,MATCH(LARGE(Spreads!$AK$4:$AK$43,1),Spreads!$AK$4:$AK$43,0)) - (1-INDEX(Spreads!$Z$4:$Z$43,MATCH(LARGE(Spreads!$AK$4:$AK$43,1),Spreads!$AK$4:$AK$43,0))) / (INDEX(Spreads!$U$4:$U$43,MATCH(LARGE(Spreads!$AK$4:$AK$43,1),Spreads!$AK$4:$AK$43,0))/INDEX(Spreads!$V$4:$V$43,MATCH(LARGE(Spreads!$AK$4:$AK$43,1),Spreads!$AK$4:$AK$43,0))))*Settings!$B$7*Settings!$B$3,0))/(INDEX(Spreads!$V$4:$V$43,MATCH(LARGE(Spreads!$AK$4:$AK$43,1),Spreads!$AK$4:$AK$43,0))*100),1),0),0)*INDEX(Spreads!$V$4:$V$43,MATCH(LARGE(Spreads!$AK$4:$AK$43,1),Spreads!$AK$4:$AK$43,0))*100,0)+IF((LARGE(Spreads!$AK$4:$AK$43,2)&gt;0),IFERROR(IF(INDEX(Spreads!$V$4:$V$43,MATCH(LARGE(Spreads!$AK$4:$AK$43,2),Spreads!$AK$4:$AK$43,0))&gt;0,FLOOR(MIN(MIN(Settings!$B$5,Settings!$B$6*Settings!$B$3)/Settings!$B$4,IFERROR(MAX(0, INDEX(Spreads!$Z$4:$Z$43,MATCH(LARGE(Spreads!$AK$4:$AK$43,2),Spreads!$AK$4:$AK$43,0)) - (1-INDEX(Spreads!$Z$4:$Z$43,MATCH(LARGE(Spreads!$AK$4:$AK$43,2),Spreads!$AK$4:$AK$43,0))) / (INDEX(Spreads!$U$4:$U$43,MATCH(LARGE(Spreads!$AK$4:$AK$43,2),Spreads!$AK$4:$AK$43,0))/INDEX(Spreads!$V$4:$V$43,MATCH(LARGE(Spreads!$AK$4:$AK$43,2),Spreads!$AK$4:$AK$43,0))))*Settings!$B$7*Settings!$B$3,0))/(INDEX(Spreads!$V$4:$V$43,MATCH(LARGE(Spreads!$AK$4:$AK$43,2),Spreads!$AK$4:$AK$43,0))*100),1),0),0)*INDEX(Spreads!$V$4:$V$43,MATCH(LARGE(Spreads!$AK$4:$AK$43,2),Spreads!$AK$4:$AK$43,0))*100,0)+IF((LARGE(Spreads!$AK$4:$AK$43,3)&gt;0),IFERROR(IF(INDEX(Spreads!$V$4:$V$43,MATCH(LARGE(Spreads!$AK$4:$AK$43,3),Spreads!$AK$4:$AK$43,0))&gt;0,FLOOR(MIN(MIN(Settings!$B$5,Settings!$B$6*Settings!$B$3)/Settings!$B$4,IFERROR(MAX(0, INDEX(Spreads!$Z$4:$Z$43,MATCH(LARGE(Spreads!$AK$4:$AK$43,3),Spreads!$AK$4:$AK$43,0)) - (1-INDEX(Spreads!$Z$4:$Z$43,MATCH(LARGE(Spreads!$AK$4:$AK$43,3),Spreads!$AK$4:$AK$43,0))) / (INDEX(Spreads!$U$4:$U$43,MATCH(LARGE(Spreads!$AK$4:$AK$43,3),Spreads!$AK$4:$AK$43,0))/INDEX(Spreads!$V$4:$V$43,MATCH(LARGE(Spreads!$AK$4:$AK$43,3),Spreads!$AK$4:$AK$43,0))))*Settings!$B$7*Settings!$B$3,0))/(INDEX(Spreads!$V$4:$V$43,MATCH(LARGE(Spreads!$AK$4:$AK$43,3),Spreads!$AK$4:$AK$43,0))*100),1),0),0)*INDEX(Spreads!$V$4:$V$43,MATCH(LARGE(Spreads!$AK$4:$AK$43,3),Spreads!$AK$4:$AK$43,0))*100,0))/Settings!$B$3,0),"0.0%")&amp;"  of your "&amp;TEXT(Settings!$B$3,"$#,##0")&amp;" account.  In a worst case this is what you would lose across the spreads (before hedge offset)."</f>
        <v>0.0%  of your $50,000 account.  In a worst case this is what you would lose across the spreads (before hedge offset).</v>
      </c>
    </row>
  </sheetData>
  <mergeCells count="6">
    <mergeCell ref="A1:B1"/>
    <mergeCell ref="A4:B4"/>
    <mergeCell ref="A16:B16"/>
    <mergeCell ref="A28:B28"/>
    <mergeCell ref="A40:B40"/>
    <mergeCell ref="A46:B46"/>
  </mergeCells>
  <conditionalFormatting sqref="A4:B4">
    <cfRule type="expression" priority="2" aboveAverage="0" equalAverage="0" bottom="0" percent="0" rank="0" text="" dxfId="2">
      <formula>AND((LARGE(Spreads!$AK$4:$AK$43,1)&gt;0),INDEX(Spreads!$AJ$4:$AJ$43,MATCH(LARGE(Spreads!$AK$4:$AK$43,1),Spreads!$AK$4:$AK$43,0))="GO")</formula>
    </cfRule>
    <cfRule type="expression" priority="3" aboveAverage="0" equalAverage="0" bottom="0" percent="0" rank="0" text="" dxfId="3">
      <formula>AND((LARGE(Spreads!$AK$4:$AK$43,1)&gt;0),INDEX(Spreads!$AJ$4:$AJ$43,MATCH(LARGE(Spreads!$AK$4:$AK$43,1),Spreads!$AK$4:$AK$43,0))&lt;&gt;"GO")</formula>
    </cfRule>
  </conditionalFormatting>
  <conditionalFormatting sqref="A16:B16">
    <cfRule type="expression" priority="4" aboveAverage="0" equalAverage="0" bottom="0" percent="0" rank="0" text="" dxfId="2">
      <formula>AND((LARGE(Spreads!$AK$4:$AK$43,2)&gt;0),INDEX(Spreads!$AJ$4:$AJ$43,MATCH(LARGE(Spreads!$AK$4:$AK$43,2),Spreads!$AK$4:$AK$43,0))="GO")</formula>
    </cfRule>
    <cfRule type="expression" priority="5" aboveAverage="0" equalAverage="0" bottom="0" percent="0" rank="0" text="" dxfId="3">
      <formula>AND((LARGE(Spreads!$AK$4:$AK$43,2)&gt;0),INDEX(Spreads!$AJ$4:$AJ$43,MATCH(LARGE(Spreads!$AK$4:$AK$43,2),Spreads!$AK$4:$AK$43,0))&lt;&gt;"GO")</formula>
    </cfRule>
  </conditionalFormatting>
  <conditionalFormatting sqref="A28:B28">
    <cfRule type="expression" priority="6" aboveAverage="0" equalAverage="0" bottom="0" percent="0" rank="0" text="" dxfId="2">
      <formula>AND((LARGE(Spreads!$AK$4:$AK$43,3)&gt;0),INDEX(Spreads!$AJ$4:$AJ$43,MATCH(LARGE(Spreads!$AK$4:$AK$43,3),Spreads!$AK$4:$AK$43,0))="GO")</formula>
    </cfRule>
    <cfRule type="expression" priority="7" aboveAverage="0" equalAverage="0" bottom="0" percent="0" rank="0" text="" dxfId="3">
      <formula>AND((LARGE(Spreads!$AK$4:$AK$43,3)&gt;0),INDEX(Spreads!$AJ$4:$AJ$43,MATCH(LARGE(Spreads!$AK$4:$AK$43,3),Spreads!$AK$4:$AK$43,0))&lt;&gt;"GO")</formula>
    </cfRule>
  </conditionalFormatting>
  <conditionalFormatting sqref="A40:B40">
    <cfRule type="expression" priority="8" aboveAverage="0" equalAverage="0" bottom="0" percent="0" rank="0" text="" dxfId="2">
      <formula>(IFERROR((BDP_Options!J84+BDP_Options!K84)/2,0)&gt;0)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40"/>
  </cols>
  <sheetData>
    <row r="1" customFormat="false" ht="15" hidden="false" customHeight="true" outlineLevel="0" collapsed="false">
      <c r="A1" s="5" t="s">
        <v>200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customFormat="false" ht="23.85" hidden="false" customHeight="false" outlineLevel="0" collapsed="false">
      <c r="A3" s="14" t="s">
        <v>201</v>
      </c>
      <c r="B3" s="14" t="s">
        <v>129</v>
      </c>
      <c r="C3" s="14" t="s">
        <v>202</v>
      </c>
      <c r="D3" s="14" t="s">
        <v>133</v>
      </c>
      <c r="E3" s="14" t="s">
        <v>151</v>
      </c>
      <c r="F3" s="14" t="s">
        <v>152</v>
      </c>
      <c r="G3" s="14" t="s">
        <v>93</v>
      </c>
      <c r="H3" s="14" t="s">
        <v>203</v>
      </c>
      <c r="I3" s="14" t="s">
        <v>204</v>
      </c>
      <c r="J3" s="14" t="s">
        <v>205</v>
      </c>
      <c r="K3" s="14" t="s">
        <v>206</v>
      </c>
      <c r="L3" s="14" t="s">
        <v>207</v>
      </c>
      <c r="M3" s="14" t="s">
        <v>208</v>
      </c>
      <c r="N3" s="14" t="s">
        <v>209</v>
      </c>
      <c r="O3" s="14" t="s">
        <v>210</v>
      </c>
      <c r="P3" s="14" t="s">
        <v>211</v>
      </c>
    </row>
    <row r="4" customFormat="false" ht="15" hidden="false" customHeight="false" outlineLevel="0" collapsed="false">
      <c r="A4" s="40"/>
      <c r="B4" s="19"/>
      <c r="C4" s="19"/>
      <c r="D4" s="40"/>
      <c r="E4" s="19"/>
      <c r="F4" s="19"/>
      <c r="G4" s="21"/>
      <c r="H4" s="19"/>
      <c r="I4" s="12"/>
      <c r="J4" s="7"/>
      <c r="K4" s="12"/>
      <c r="L4" s="7"/>
      <c r="M4" s="19"/>
      <c r="N4" s="40"/>
      <c r="O4" s="7"/>
      <c r="P4" s="19"/>
    </row>
    <row r="5" customFormat="false" ht="15" hidden="false" customHeight="false" outlineLevel="0" collapsed="false">
      <c r="A5" s="40"/>
      <c r="B5" s="19"/>
      <c r="C5" s="19"/>
      <c r="D5" s="40"/>
      <c r="E5" s="19"/>
      <c r="F5" s="19"/>
      <c r="G5" s="21"/>
      <c r="H5" s="19"/>
      <c r="I5" s="12"/>
      <c r="J5" s="7"/>
      <c r="K5" s="12"/>
      <c r="L5" s="7"/>
      <c r="M5" s="19"/>
      <c r="N5" s="40"/>
      <c r="O5" s="7"/>
      <c r="P5" s="19"/>
    </row>
    <row r="6" customFormat="false" ht="15" hidden="false" customHeight="false" outlineLevel="0" collapsed="false">
      <c r="A6" s="40"/>
      <c r="B6" s="19"/>
      <c r="C6" s="19"/>
      <c r="D6" s="40"/>
      <c r="E6" s="19"/>
      <c r="F6" s="19"/>
      <c r="G6" s="21"/>
      <c r="H6" s="19"/>
      <c r="I6" s="12"/>
      <c r="J6" s="7"/>
      <c r="K6" s="12"/>
      <c r="L6" s="7"/>
      <c r="M6" s="19"/>
      <c r="N6" s="40"/>
      <c r="O6" s="7"/>
      <c r="P6" s="19"/>
    </row>
    <row r="7" customFormat="false" ht="15" hidden="false" customHeight="false" outlineLevel="0" collapsed="false">
      <c r="A7" s="40"/>
      <c r="B7" s="19"/>
      <c r="C7" s="19"/>
      <c r="D7" s="40"/>
      <c r="E7" s="19"/>
      <c r="F7" s="19"/>
      <c r="G7" s="21"/>
      <c r="H7" s="19"/>
      <c r="I7" s="12"/>
      <c r="J7" s="7"/>
      <c r="K7" s="12"/>
      <c r="L7" s="7"/>
      <c r="M7" s="19"/>
      <c r="N7" s="40"/>
      <c r="O7" s="7"/>
      <c r="P7" s="19"/>
    </row>
    <row r="8" customFormat="false" ht="15" hidden="false" customHeight="false" outlineLevel="0" collapsed="false">
      <c r="A8" s="40"/>
      <c r="B8" s="19"/>
      <c r="C8" s="19"/>
      <c r="D8" s="40"/>
      <c r="E8" s="19"/>
      <c r="F8" s="19"/>
      <c r="G8" s="21"/>
      <c r="H8" s="19"/>
      <c r="I8" s="12"/>
      <c r="J8" s="7"/>
      <c r="K8" s="12"/>
      <c r="L8" s="7"/>
      <c r="M8" s="19"/>
      <c r="N8" s="40"/>
      <c r="O8" s="7"/>
      <c r="P8" s="19"/>
    </row>
    <row r="9" customFormat="false" ht="15" hidden="false" customHeight="false" outlineLevel="0" collapsed="false">
      <c r="A9" s="40"/>
      <c r="B9" s="19"/>
      <c r="C9" s="19"/>
      <c r="D9" s="40"/>
      <c r="E9" s="19"/>
      <c r="F9" s="19"/>
      <c r="G9" s="21"/>
      <c r="H9" s="19"/>
      <c r="I9" s="12"/>
      <c r="J9" s="7"/>
      <c r="K9" s="12"/>
      <c r="L9" s="7"/>
      <c r="M9" s="19"/>
      <c r="N9" s="40"/>
      <c r="O9" s="7"/>
      <c r="P9" s="19"/>
    </row>
    <row r="10" customFormat="false" ht="15" hidden="false" customHeight="false" outlineLevel="0" collapsed="false">
      <c r="A10" s="40"/>
      <c r="B10" s="19"/>
      <c r="C10" s="19"/>
      <c r="D10" s="40"/>
      <c r="E10" s="19"/>
      <c r="F10" s="19"/>
      <c r="G10" s="21"/>
      <c r="H10" s="19"/>
      <c r="I10" s="12"/>
      <c r="J10" s="7"/>
      <c r="K10" s="12"/>
      <c r="L10" s="7"/>
      <c r="M10" s="19"/>
      <c r="N10" s="40"/>
      <c r="O10" s="7"/>
      <c r="P10" s="19"/>
    </row>
    <row r="11" customFormat="false" ht="15" hidden="false" customHeight="false" outlineLevel="0" collapsed="false">
      <c r="A11" s="40"/>
      <c r="B11" s="19"/>
      <c r="C11" s="19"/>
      <c r="D11" s="40"/>
      <c r="E11" s="19"/>
      <c r="F11" s="19"/>
      <c r="G11" s="21"/>
      <c r="H11" s="19"/>
      <c r="I11" s="12"/>
      <c r="J11" s="7"/>
      <c r="K11" s="12"/>
      <c r="L11" s="7"/>
      <c r="M11" s="19"/>
      <c r="N11" s="40"/>
      <c r="O11" s="7"/>
      <c r="P11" s="19"/>
    </row>
    <row r="12" customFormat="false" ht="15" hidden="false" customHeight="false" outlineLevel="0" collapsed="false">
      <c r="A12" s="40"/>
      <c r="B12" s="19"/>
      <c r="C12" s="19"/>
      <c r="D12" s="40"/>
      <c r="E12" s="19"/>
      <c r="F12" s="19"/>
      <c r="G12" s="21"/>
      <c r="H12" s="19"/>
      <c r="I12" s="12"/>
      <c r="J12" s="7"/>
      <c r="K12" s="12"/>
      <c r="L12" s="7"/>
      <c r="M12" s="19"/>
      <c r="N12" s="40"/>
      <c r="O12" s="7"/>
      <c r="P12" s="19"/>
    </row>
    <row r="13" customFormat="false" ht="15" hidden="false" customHeight="false" outlineLevel="0" collapsed="false">
      <c r="A13" s="40"/>
      <c r="B13" s="19"/>
      <c r="C13" s="19"/>
      <c r="D13" s="40"/>
      <c r="E13" s="19"/>
      <c r="F13" s="19"/>
      <c r="G13" s="21"/>
      <c r="H13" s="19"/>
      <c r="I13" s="12"/>
      <c r="J13" s="7"/>
      <c r="K13" s="12"/>
      <c r="L13" s="7"/>
      <c r="M13" s="19"/>
      <c r="N13" s="40"/>
      <c r="O13" s="7"/>
      <c r="P13" s="19"/>
    </row>
    <row r="14" customFormat="false" ht="15" hidden="false" customHeight="false" outlineLevel="0" collapsed="false">
      <c r="A14" s="40"/>
      <c r="B14" s="19"/>
      <c r="C14" s="19"/>
      <c r="D14" s="40"/>
      <c r="E14" s="19"/>
      <c r="F14" s="19"/>
      <c r="G14" s="21"/>
      <c r="H14" s="19"/>
      <c r="I14" s="12"/>
      <c r="J14" s="7"/>
      <c r="K14" s="12"/>
      <c r="L14" s="7"/>
      <c r="M14" s="19"/>
      <c r="N14" s="40"/>
      <c r="O14" s="7"/>
      <c r="P14" s="19"/>
    </row>
    <row r="15" customFormat="false" ht="15" hidden="false" customHeight="false" outlineLevel="0" collapsed="false">
      <c r="A15" s="40"/>
      <c r="B15" s="19"/>
      <c r="C15" s="19"/>
      <c r="D15" s="40"/>
      <c r="E15" s="19"/>
      <c r="F15" s="19"/>
      <c r="G15" s="21"/>
      <c r="H15" s="19"/>
      <c r="I15" s="12"/>
      <c r="J15" s="7"/>
      <c r="K15" s="12"/>
      <c r="L15" s="7"/>
      <c r="M15" s="19"/>
      <c r="N15" s="40"/>
      <c r="O15" s="7"/>
      <c r="P15" s="19"/>
    </row>
    <row r="16" customFormat="false" ht="15" hidden="false" customHeight="false" outlineLevel="0" collapsed="false">
      <c r="A16" s="40"/>
      <c r="B16" s="19"/>
      <c r="C16" s="19"/>
      <c r="D16" s="40"/>
      <c r="E16" s="19"/>
      <c r="F16" s="19"/>
      <c r="G16" s="21"/>
      <c r="H16" s="19"/>
      <c r="I16" s="12"/>
      <c r="J16" s="7"/>
      <c r="K16" s="12"/>
      <c r="L16" s="7"/>
      <c r="M16" s="19"/>
      <c r="N16" s="40"/>
      <c r="O16" s="7"/>
      <c r="P16" s="19"/>
    </row>
    <row r="17" customFormat="false" ht="15" hidden="false" customHeight="false" outlineLevel="0" collapsed="false">
      <c r="A17" s="40"/>
      <c r="B17" s="19"/>
      <c r="C17" s="19"/>
      <c r="D17" s="40"/>
      <c r="E17" s="19"/>
      <c r="F17" s="19"/>
      <c r="G17" s="21"/>
      <c r="H17" s="19"/>
      <c r="I17" s="12"/>
      <c r="J17" s="7"/>
      <c r="K17" s="12"/>
      <c r="L17" s="7"/>
      <c r="M17" s="19"/>
      <c r="N17" s="40"/>
      <c r="O17" s="7"/>
      <c r="P17" s="19"/>
    </row>
    <row r="18" customFormat="false" ht="15" hidden="false" customHeight="false" outlineLevel="0" collapsed="false">
      <c r="A18" s="40"/>
      <c r="B18" s="19"/>
      <c r="C18" s="19"/>
      <c r="D18" s="40"/>
      <c r="E18" s="19"/>
      <c r="F18" s="19"/>
      <c r="G18" s="21"/>
      <c r="H18" s="19"/>
      <c r="I18" s="12"/>
      <c r="J18" s="7"/>
      <c r="K18" s="12"/>
      <c r="L18" s="7"/>
      <c r="M18" s="19"/>
      <c r="N18" s="40"/>
      <c r="O18" s="7"/>
      <c r="P18" s="19"/>
    </row>
    <row r="19" customFormat="false" ht="15" hidden="false" customHeight="false" outlineLevel="0" collapsed="false">
      <c r="A19" s="40"/>
      <c r="B19" s="19"/>
      <c r="C19" s="19"/>
      <c r="D19" s="40"/>
      <c r="E19" s="19"/>
      <c r="F19" s="19"/>
      <c r="G19" s="21"/>
      <c r="H19" s="19"/>
      <c r="I19" s="12"/>
      <c r="J19" s="7"/>
      <c r="K19" s="12"/>
      <c r="L19" s="7"/>
      <c r="M19" s="19"/>
      <c r="N19" s="40"/>
      <c r="O19" s="7"/>
      <c r="P19" s="19"/>
    </row>
    <row r="20" customFormat="false" ht="15" hidden="false" customHeight="false" outlineLevel="0" collapsed="false">
      <c r="A20" s="40"/>
      <c r="B20" s="19"/>
      <c r="C20" s="19"/>
      <c r="D20" s="40"/>
      <c r="E20" s="19"/>
      <c r="F20" s="19"/>
      <c r="G20" s="21"/>
      <c r="H20" s="19"/>
      <c r="I20" s="12"/>
      <c r="J20" s="7"/>
      <c r="K20" s="12"/>
      <c r="L20" s="7"/>
      <c r="M20" s="19"/>
      <c r="N20" s="40"/>
      <c r="O20" s="7"/>
      <c r="P20" s="19"/>
    </row>
    <row r="21" customFormat="false" ht="15" hidden="false" customHeight="false" outlineLevel="0" collapsed="false">
      <c r="A21" s="40"/>
      <c r="B21" s="19"/>
      <c r="C21" s="19"/>
      <c r="D21" s="40"/>
      <c r="E21" s="19"/>
      <c r="F21" s="19"/>
      <c r="G21" s="21"/>
      <c r="H21" s="19"/>
      <c r="I21" s="12"/>
      <c r="J21" s="7"/>
      <c r="K21" s="12"/>
      <c r="L21" s="7"/>
      <c r="M21" s="19"/>
      <c r="N21" s="40"/>
      <c r="O21" s="7"/>
      <c r="P21" s="19"/>
    </row>
    <row r="22" customFormat="false" ht="15" hidden="false" customHeight="false" outlineLevel="0" collapsed="false">
      <c r="A22" s="40"/>
      <c r="B22" s="19"/>
      <c r="C22" s="19"/>
      <c r="D22" s="40"/>
      <c r="E22" s="19"/>
      <c r="F22" s="19"/>
      <c r="G22" s="21"/>
      <c r="H22" s="19"/>
      <c r="I22" s="12"/>
      <c r="J22" s="7"/>
      <c r="K22" s="12"/>
      <c r="L22" s="7"/>
      <c r="M22" s="19"/>
      <c r="N22" s="40"/>
      <c r="O22" s="7"/>
      <c r="P22" s="19"/>
    </row>
    <row r="23" customFormat="false" ht="15" hidden="false" customHeight="false" outlineLevel="0" collapsed="false">
      <c r="A23" s="40"/>
      <c r="B23" s="19"/>
      <c r="C23" s="19"/>
      <c r="D23" s="40"/>
      <c r="E23" s="19"/>
      <c r="F23" s="19"/>
      <c r="G23" s="21"/>
      <c r="H23" s="19"/>
      <c r="I23" s="12"/>
      <c r="J23" s="7"/>
      <c r="K23" s="12"/>
      <c r="L23" s="7"/>
      <c r="M23" s="19"/>
      <c r="N23" s="40"/>
      <c r="O23" s="7"/>
      <c r="P23" s="19"/>
    </row>
    <row r="24" customFormat="false" ht="15" hidden="false" customHeight="false" outlineLevel="0" collapsed="false">
      <c r="A24" s="40"/>
      <c r="B24" s="19"/>
      <c r="C24" s="19"/>
      <c r="D24" s="40"/>
      <c r="E24" s="19"/>
      <c r="F24" s="19"/>
      <c r="G24" s="21"/>
      <c r="H24" s="19"/>
      <c r="I24" s="12"/>
      <c r="J24" s="7"/>
      <c r="K24" s="12"/>
      <c r="L24" s="7"/>
      <c r="M24" s="19"/>
      <c r="N24" s="40"/>
      <c r="O24" s="7"/>
      <c r="P24" s="19"/>
    </row>
    <row r="25" customFormat="false" ht="15" hidden="false" customHeight="false" outlineLevel="0" collapsed="false">
      <c r="A25" s="40"/>
      <c r="B25" s="19"/>
      <c r="C25" s="19"/>
      <c r="D25" s="40"/>
      <c r="E25" s="19"/>
      <c r="F25" s="19"/>
      <c r="G25" s="21"/>
      <c r="H25" s="19"/>
      <c r="I25" s="12"/>
      <c r="J25" s="7"/>
      <c r="K25" s="12"/>
      <c r="L25" s="7"/>
      <c r="M25" s="19"/>
      <c r="N25" s="40"/>
      <c r="O25" s="7"/>
      <c r="P25" s="19"/>
    </row>
    <row r="26" customFormat="false" ht="15" hidden="false" customHeight="false" outlineLevel="0" collapsed="false">
      <c r="A26" s="40"/>
      <c r="B26" s="19"/>
      <c r="C26" s="19"/>
      <c r="D26" s="40"/>
      <c r="E26" s="19"/>
      <c r="F26" s="19"/>
      <c r="G26" s="21"/>
      <c r="H26" s="19"/>
      <c r="I26" s="12"/>
      <c r="J26" s="7"/>
      <c r="K26" s="12"/>
      <c r="L26" s="7"/>
      <c r="M26" s="19"/>
      <c r="N26" s="40"/>
      <c r="O26" s="7"/>
      <c r="P26" s="19"/>
    </row>
    <row r="27" customFormat="false" ht="15" hidden="false" customHeight="false" outlineLevel="0" collapsed="false">
      <c r="A27" s="40"/>
      <c r="B27" s="19"/>
      <c r="C27" s="19"/>
      <c r="D27" s="40"/>
      <c r="E27" s="19"/>
      <c r="F27" s="19"/>
      <c r="G27" s="21"/>
      <c r="H27" s="19"/>
      <c r="I27" s="12"/>
      <c r="J27" s="7"/>
      <c r="K27" s="12"/>
      <c r="L27" s="7"/>
      <c r="M27" s="19"/>
      <c r="N27" s="40"/>
      <c r="O27" s="7"/>
      <c r="P27" s="19"/>
    </row>
    <row r="28" customFormat="false" ht="15" hidden="false" customHeight="false" outlineLevel="0" collapsed="false">
      <c r="A28" s="40"/>
      <c r="B28" s="19"/>
      <c r="C28" s="19"/>
      <c r="D28" s="40"/>
      <c r="E28" s="19"/>
      <c r="F28" s="19"/>
      <c r="G28" s="21"/>
      <c r="H28" s="19"/>
      <c r="I28" s="12"/>
      <c r="J28" s="7"/>
      <c r="K28" s="12"/>
      <c r="L28" s="7"/>
      <c r="M28" s="19"/>
      <c r="N28" s="40"/>
      <c r="O28" s="7"/>
      <c r="P28" s="19"/>
    </row>
    <row r="29" customFormat="false" ht="15" hidden="false" customHeight="false" outlineLevel="0" collapsed="false">
      <c r="A29" s="40"/>
      <c r="B29" s="19"/>
      <c r="C29" s="19"/>
      <c r="D29" s="40"/>
      <c r="E29" s="19"/>
      <c r="F29" s="19"/>
      <c r="G29" s="21"/>
      <c r="H29" s="19"/>
      <c r="I29" s="12"/>
      <c r="J29" s="7"/>
      <c r="K29" s="12"/>
      <c r="L29" s="7"/>
      <c r="M29" s="19"/>
      <c r="N29" s="40"/>
      <c r="O29" s="7"/>
      <c r="P29" s="19"/>
    </row>
    <row r="30" customFormat="false" ht="15" hidden="false" customHeight="false" outlineLevel="0" collapsed="false">
      <c r="A30" s="40"/>
      <c r="B30" s="19"/>
      <c r="C30" s="19"/>
      <c r="D30" s="40"/>
      <c r="E30" s="19"/>
      <c r="F30" s="19"/>
      <c r="G30" s="21"/>
      <c r="H30" s="19"/>
      <c r="I30" s="12"/>
      <c r="J30" s="7"/>
      <c r="K30" s="12"/>
      <c r="L30" s="7"/>
      <c r="M30" s="19"/>
      <c r="N30" s="40"/>
      <c r="O30" s="7"/>
      <c r="P30" s="19"/>
    </row>
    <row r="31" customFormat="false" ht="15" hidden="false" customHeight="false" outlineLevel="0" collapsed="false">
      <c r="A31" s="40"/>
      <c r="B31" s="19"/>
      <c r="C31" s="19"/>
      <c r="D31" s="40"/>
      <c r="E31" s="19"/>
      <c r="F31" s="19"/>
      <c r="G31" s="21"/>
      <c r="H31" s="19"/>
      <c r="I31" s="12"/>
      <c r="J31" s="7"/>
      <c r="K31" s="12"/>
      <c r="L31" s="7"/>
      <c r="M31" s="19"/>
      <c r="N31" s="40"/>
      <c r="O31" s="7"/>
      <c r="P31" s="19"/>
    </row>
    <row r="32" customFormat="false" ht="15" hidden="false" customHeight="false" outlineLevel="0" collapsed="false">
      <c r="A32" s="40"/>
      <c r="B32" s="19"/>
      <c r="C32" s="19"/>
      <c r="D32" s="40"/>
      <c r="E32" s="19"/>
      <c r="F32" s="19"/>
      <c r="G32" s="21"/>
      <c r="H32" s="19"/>
      <c r="I32" s="12"/>
      <c r="J32" s="7"/>
      <c r="K32" s="12"/>
      <c r="L32" s="7"/>
      <c r="M32" s="19"/>
      <c r="N32" s="40"/>
      <c r="O32" s="7"/>
      <c r="P32" s="19"/>
    </row>
    <row r="33" customFormat="false" ht="15" hidden="false" customHeight="false" outlineLevel="0" collapsed="false">
      <c r="A33" s="40"/>
      <c r="B33" s="19"/>
      <c r="C33" s="19"/>
      <c r="D33" s="40"/>
      <c r="E33" s="19"/>
      <c r="F33" s="19"/>
      <c r="G33" s="21"/>
      <c r="H33" s="19"/>
      <c r="I33" s="12"/>
      <c r="J33" s="7"/>
      <c r="K33" s="12"/>
      <c r="L33" s="7"/>
      <c r="M33" s="19"/>
      <c r="N33" s="40"/>
      <c r="O33" s="7"/>
      <c r="P33" s="19"/>
    </row>
    <row r="34" customFormat="false" ht="15" hidden="false" customHeight="false" outlineLevel="0" collapsed="false">
      <c r="A34" s="40"/>
      <c r="B34" s="19"/>
      <c r="C34" s="19"/>
      <c r="D34" s="40"/>
      <c r="E34" s="19"/>
      <c r="F34" s="19"/>
      <c r="G34" s="21"/>
      <c r="H34" s="19"/>
      <c r="I34" s="12"/>
      <c r="J34" s="7"/>
      <c r="K34" s="12"/>
      <c r="L34" s="7"/>
      <c r="M34" s="19"/>
      <c r="N34" s="40"/>
      <c r="O34" s="7"/>
      <c r="P34" s="19"/>
    </row>
    <row r="35" customFormat="false" ht="15" hidden="false" customHeight="false" outlineLevel="0" collapsed="false">
      <c r="A35" s="40"/>
      <c r="B35" s="19"/>
      <c r="C35" s="19"/>
      <c r="D35" s="40"/>
      <c r="E35" s="19"/>
      <c r="F35" s="19"/>
      <c r="G35" s="21"/>
      <c r="H35" s="19"/>
      <c r="I35" s="12"/>
      <c r="J35" s="7"/>
      <c r="K35" s="12"/>
      <c r="L35" s="7"/>
      <c r="M35" s="19"/>
      <c r="N35" s="40"/>
      <c r="O35" s="7"/>
      <c r="P35" s="19"/>
    </row>
    <row r="36" customFormat="false" ht="15" hidden="false" customHeight="false" outlineLevel="0" collapsed="false">
      <c r="A36" s="40"/>
      <c r="B36" s="19"/>
      <c r="C36" s="19"/>
      <c r="D36" s="40"/>
      <c r="E36" s="19"/>
      <c r="F36" s="19"/>
      <c r="G36" s="21"/>
      <c r="H36" s="19"/>
      <c r="I36" s="12"/>
      <c r="J36" s="7"/>
      <c r="K36" s="12"/>
      <c r="L36" s="7"/>
      <c r="M36" s="19"/>
      <c r="N36" s="40"/>
      <c r="O36" s="7"/>
      <c r="P36" s="19"/>
    </row>
    <row r="37" customFormat="false" ht="15" hidden="false" customHeight="false" outlineLevel="0" collapsed="false">
      <c r="A37" s="40"/>
      <c r="B37" s="19"/>
      <c r="C37" s="19"/>
      <c r="D37" s="40"/>
      <c r="E37" s="19"/>
      <c r="F37" s="19"/>
      <c r="G37" s="21"/>
      <c r="H37" s="19"/>
      <c r="I37" s="12"/>
      <c r="J37" s="7"/>
      <c r="K37" s="12"/>
      <c r="L37" s="7"/>
      <c r="M37" s="19"/>
      <c r="N37" s="40"/>
      <c r="O37" s="7"/>
      <c r="P37" s="19"/>
    </row>
    <row r="38" customFormat="false" ht="15" hidden="false" customHeight="false" outlineLevel="0" collapsed="false">
      <c r="A38" s="40"/>
      <c r="B38" s="19"/>
      <c r="C38" s="19"/>
      <c r="D38" s="40"/>
      <c r="E38" s="19"/>
      <c r="F38" s="19"/>
      <c r="G38" s="21"/>
      <c r="H38" s="19"/>
      <c r="I38" s="12"/>
      <c r="J38" s="7"/>
      <c r="K38" s="12"/>
      <c r="L38" s="7"/>
      <c r="M38" s="19"/>
      <c r="N38" s="40"/>
      <c r="O38" s="7"/>
      <c r="P38" s="19"/>
    </row>
    <row r="39" customFormat="false" ht="15" hidden="false" customHeight="false" outlineLevel="0" collapsed="false">
      <c r="A39" s="40"/>
      <c r="B39" s="19"/>
      <c r="C39" s="19"/>
      <c r="D39" s="40"/>
      <c r="E39" s="19"/>
      <c r="F39" s="19"/>
      <c r="G39" s="21"/>
      <c r="H39" s="19"/>
      <c r="I39" s="12"/>
      <c r="J39" s="7"/>
      <c r="K39" s="12"/>
      <c r="L39" s="7"/>
      <c r="M39" s="19"/>
      <c r="N39" s="40"/>
      <c r="O39" s="7"/>
      <c r="P39" s="19"/>
    </row>
    <row r="40" customFormat="false" ht="15" hidden="false" customHeight="false" outlineLevel="0" collapsed="false">
      <c r="A40" s="40"/>
      <c r="B40" s="19"/>
      <c r="C40" s="19"/>
      <c r="D40" s="40"/>
      <c r="E40" s="19"/>
      <c r="F40" s="19"/>
      <c r="G40" s="21"/>
      <c r="H40" s="19"/>
      <c r="I40" s="12"/>
      <c r="J40" s="7"/>
      <c r="K40" s="12"/>
      <c r="L40" s="7"/>
      <c r="M40" s="19"/>
      <c r="N40" s="40"/>
      <c r="O40" s="7"/>
      <c r="P40" s="19"/>
    </row>
    <row r="41" customFormat="false" ht="15" hidden="false" customHeight="false" outlineLevel="0" collapsed="false">
      <c r="A41" s="40"/>
      <c r="B41" s="19"/>
      <c r="C41" s="19"/>
      <c r="D41" s="40"/>
      <c r="E41" s="19"/>
      <c r="F41" s="19"/>
      <c r="G41" s="21"/>
      <c r="H41" s="19"/>
      <c r="I41" s="12"/>
      <c r="J41" s="7"/>
      <c r="K41" s="12"/>
      <c r="L41" s="7"/>
      <c r="M41" s="19"/>
      <c r="N41" s="40"/>
      <c r="O41" s="7"/>
      <c r="P41" s="19"/>
    </row>
    <row r="42" customFormat="false" ht="15" hidden="false" customHeight="false" outlineLevel="0" collapsed="false">
      <c r="A42" s="40"/>
      <c r="B42" s="19"/>
      <c r="C42" s="19"/>
      <c r="D42" s="40"/>
      <c r="E42" s="19"/>
      <c r="F42" s="19"/>
      <c r="G42" s="21"/>
      <c r="H42" s="19"/>
      <c r="I42" s="12"/>
      <c r="J42" s="7"/>
      <c r="K42" s="12"/>
      <c r="L42" s="7"/>
      <c r="M42" s="19"/>
      <c r="N42" s="40"/>
      <c r="O42" s="7"/>
      <c r="P42" s="19"/>
    </row>
    <row r="43" customFormat="false" ht="15" hidden="false" customHeight="false" outlineLevel="0" collapsed="false">
      <c r="A43" s="40"/>
      <c r="B43" s="19"/>
      <c r="C43" s="19"/>
      <c r="D43" s="40"/>
      <c r="E43" s="19"/>
      <c r="F43" s="19"/>
      <c r="G43" s="21"/>
      <c r="H43" s="19"/>
      <c r="I43" s="12"/>
      <c r="J43" s="7"/>
      <c r="K43" s="12"/>
      <c r="L43" s="7"/>
      <c r="M43" s="19"/>
      <c r="N43" s="40"/>
      <c r="O43" s="7"/>
      <c r="P43" s="19"/>
    </row>
    <row r="44" customFormat="false" ht="15" hidden="false" customHeight="false" outlineLevel="0" collapsed="false">
      <c r="A44" s="40"/>
      <c r="B44" s="19"/>
      <c r="C44" s="19"/>
      <c r="D44" s="40"/>
      <c r="E44" s="19"/>
      <c r="F44" s="19"/>
      <c r="G44" s="21"/>
      <c r="H44" s="19"/>
      <c r="I44" s="12"/>
      <c r="J44" s="7"/>
      <c r="K44" s="12"/>
      <c r="L44" s="7"/>
      <c r="M44" s="19"/>
      <c r="N44" s="40"/>
      <c r="O44" s="7"/>
      <c r="P44" s="19"/>
    </row>
    <row r="45" customFormat="false" ht="15" hidden="false" customHeight="false" outlineLevel="0" collapsed="false">
      <c r="A45" s="40"/>
      <c r="B45" s="19"/>
      <c r="C45" s="19"/>
      <c r="D45" s="40"/>
      <c r="E45" s="19"/>
      <c r="F45" s="19"/>
      <c r="G45" s="21"/>
      <c r="H45" s="19"/>
      <c r="I45" s="12"/>
      <c r="J45" s="7"/>
      <c r="K45" s="12"/>
      <c r="L45" s="7"/>
      <c r="M45" s="19"/>
      <c r="N45" s="40"/>
      <c r="O45" s="7"/>
      <c r="P45" s="19"/>
    </row>
    <row r="46" customFormat="false" ht="15" hidden="false" customHeight="false" outlineLevel="0" collapsed="false">
      <c r="A46" s="40"/>
      <c r="B46" s="19"/>
      <c r="C46" s="19"/>
      <c r="D46" s="40"/>
      <c r="E46" s="19"/>
      <c r="F46" s="19"/>
      <c r="G46" s="21"/>
      <c r="H46" s="19"/>
      <c r="I46" s="12"/>
      <c r="J46" s="7"/>
      <c r="K46" s="12"/>
      <c r="L46" s="7"/>
      <c r="M46" s="19"/>
      <c r="N46" s="40"/>
      <c r="O46" s="7"/>
      <c r="P46" s="19"/>
    </row>
    <row r="47" customFormat="false" ht="15" hidden="false" customHeight="false" outlineLevel="0" collapsed="false">
      <c r="A47" s="40"/>
      <c r="B47" s="19"/>
      <c r="C47" s="19"/>
      <c r="D47" s="40"/>
      <c r="E47" s="19"/>
      <c r="F47" s="19"/>
      <c r="G47" s="21"/>
      <c r="H47" s="19"/>
      <c r="I47" s="12"/>
      <c r="J47" s="7"/>
      <c r="K47" s="12"/>
      <c r="L47" s="7"/>
      <c r="M47" s="19"/>
      <c r="N47" s="40"/>
      <c r="O47" s="7"/>
      <c r="P47" s="19"/>
    </row>
    <row r="48" customFormat="false" ht="15" hidden="false" customHeight="false" outlineLevel="0" collapsed="false">
      <c r="A48" s="40"/>
      <c r="B48" s="19"/>
      <c r="C48" s="19"/>
      <c r="D48" s="40"/>
      <c r="E48" s="19"/>
      <c r="F48" s="19"/>
      <c r="G48" s="21"/>
      <c r="H48" s="19"/>
      <c r="I48" s="12"/>
      <c r="J48" s="7"/>
      <c r="K48" s="12"/>
      <c r="L48" s="7"/>
      <c r="M48" s="19"/>
      <c r="N48" s="40"/>
      <c r="O48" s="7"/>
      <c r="P48" s="19"/>
    </row>
    <row r="49" customFormat="false" ht="15" hidden="false" customHeight="false" outlineLevel="0" collapsed="false">
      <c r="A49" s="40"/>
      <c r="B49" s="19"/>
      <c r="C49" s="19"/>
      <c r="D49" s="40"/>
      <c r="E49" s="19"/>
      <c r="F49" s="19"/>
      <c r="G49" s="21"/>
      <c r="H49" s="19"/>
      <c r="I49" s="12"/>
      <c r="J49" s="7"/>
      <c r="K49" s="12"/>
      <c r="L49" s="7"/>
      <c r="M49" s="19"/>
      <c r="N49" s="40"/>
      <c r="O49" s="7"/>
      <c r="P49" s="19"/>
    </row>
    <row r="50" customFormat="false" ht="15" hidden="false" customHeight="false" outlineLevel="0" collapsed="false">
      <c r="A50" s="40"/>
      <c r="B50" s="19"/>
      <c r="C50" s="19"/>
      <c r="D50" s="40"/>
      <c r="E50" s="19"/>
      <c r="F50" s="19"/>
      <c r="G50" s="21"/>
      <c r="H50" s="19"/>
      <c r="I50" s="12"/>
      <c r="J50" s="7"/>
      <c r="K50" s="12"/>
      <c r="L50" s="7"/>
      <c r="M50" s="19"/>
      <c r="N50" s="40"/>
      <c r="O50" s="7"/>
      <c r="P50" s="19"/>
    </row>
    <row r="51" customFormat="false" ht="15" hidden="false" customHeight="false" outlineLevel="0" collapsed="false">
      <c r="A51" s="40"/>
      <c r="B51" s="19"/>
      <c r="C51" s="19"/>
      <c r="D51" s="40"/>
      <c r="E51" s="19"/>
      <c r="F51" s="19"/>
      <c r="G51" s="21"/>
      <c r="H51" s="19"/>
      <c r="I51" s="12"/>
      <c r="J51" s="7"/>
      <c r="K51" s="12"/>
      <c r="L51" s="7"/>
      <c r="M51" s="19"/>
      <c r="N51" s="40"/>
      <c r="O51" s="7"/>
      <c r="P51" s="19"/>
    </row>
    <row r="52" customFormat="false" ht="15" hidden="false" customHeight="false" outlineLevel="0" collapsed="false">
      <c r="A52" s="40"/>
      <c r="B52" s="19"/>
      <c r="C52" s="19"/>
      <c r="D52" s="40"/>
      <c r="E52" s="19"/>
      <c r="F52" s="19"/>
      <c r="G52" s="21"/>
      <c r="H52" s="19"/>
      <c r="I52" s="12"/>
      <c r="J52" s="7"/>
      <c r="K52" s="12"/>
      <c r="L52" s="7"/>
      <c r="M52" s="19"/>
      <c r="N52" s="40"/>
      <c r="O52" s="7"/>
      <c r="P52" s="19"/>
    </row>
    <row r="53" customFormat="false" ht="15" hidden="false" customHeight="false" outlineLevel="0" collapsed="false">
      <c r="A53" s="40"/>
      <c r="B53" s="19"/>
      <c r="C53" s="19"/>
      <c r="D53" s="40"/>
      <c r="E53" s="19"/>
      <c r="F53" s="19"/>
      <c r="G53" s="21"/>
      <c r="H53" s="19"/>
      <c r="I53" s="12"/>
      <c r="J53" s="7"/>
      <c r="K53" s="12"/>
      <c r="L53" s="7"/>
      <c r="M53" s="19"/>
      <c r="N53" s="40"/>
      <c r="O53" s="7"/>
      <c r="P53" s="19"/>
    </row>
    <row r="54" customFormat="false" ht="15" hidden="false" customHeight="false" outlineLevel="0" collapsed="false">
      <c r="A54" s="40"/>
      <c r="B54" s="19"/>
      <c r="C54" s="19"/>
      <c r="D54" s="40"/>
      <c r="E54" s="19"/>
      <c r="F54" s="19"/>
      <c r="G54" s="21"/>
      <c r="H54" s="19"/>
      <c r="I54" s="12"/>
      <c r="J54" s="7"/>
      <c r="K54" s="12"/>
      <c r="L54" s="7"/>
      <c r="M54" s="19"/>
      <c r="N54" s="40"/>
      <c r="O54" s="7"/>
      <c r="P54" s="19"/>
    </row>
    <row r="55" customFormat="false" ht="15" hidden="false" customHeight="false" outlineLevel="0" collapsed="false">
      <c r="A55" s="40"/>
      <c r="B55" s="19"/>
      <c r="C55" s="19"/>
      <c r="D55" s="40"/>
      <c r="E55" s="19"/>
      <c r="F55" s="19"/>
      <c r="G55" s="21"/>
      <c r="H55" s="19"/>
      <c r="I55" s="12"/>
      <c r="J55" s="7"/>
      <c r="K55" s="12"/>
      <c r="L55" s="7"/>
      <c r="M55" s="19"/>
      <c r="N55" s="40"/>
      <c r="O55" s="7"/>
      <c r="P55" s="19"/>
    </row>
    <row r="56" customFormat="false" ht="15" hidden="false" customHeight="false" outlineLevel="0" collapsed="false">
      <c r="A56" s="40"/>
      <c r="B56" s="19"/>
      <c r="C56" s="19"/>
      <c r="D56" s="40"/>
      <c r="E56" s="19"/>
      <c r="F56" s="19"/>
      <c r="G56" s="21"/>
      <c r="H56" s="19"/>
      <c r="I56" s="12"/>
      <c r="J56" s="7"/>
      <c r="K56" s="12"/>
      <c r="L56" s="7"/>
      <c r="M56" s="19"/>
      <c r="N56" s="40"/>
      <c r="O56" s="7"/>
      <c r="P56" s="19"/>
    </row>
    <row r="57" customFormat="false" ht="15" hidden="false" customHeight="false" outlineLevel="0" collapsed="false">
      <c r="A57" s="40"/>
      <c r="B57" s="19"/>
      <c r="C57" s="19"/>
      <c r="D57" s="40"/>
      <c r="E57" s="19"/>
      <c r="F57" s="19"/>
      <c r="G57" s="21"/>
      <c r="H57" s="19"/>
      <c r="I57" s="12"/>
      <c r="J57" s="7"/>
      <c r="K57" s="12"/>
      <c r="L57" s="7"/>
      <c r="M57" s="19"/>
      <c r="N57" s="40"/>
      <c r="O57" s="7"/>
      <c r="P57" s="19"/>
    </row>
    <row r="58" customFormat="false" ht="15" hidden="false" customHeight="false" outlineLevel="0" collapsed="false">
      <c r="A58" s="40"/>
      <c r="B58" s="19"/>
      <c r="C58" s="19"/>
      <c r="D58" s="40"/>
      <c r="E58" s="19"/>
      <c r="F58" s="19"/>
      <c r="G58" s="21"/>
      <c r="H58" s="19"/>
      <c r="I58" s="12"/>
      <c r="J58" s="7"/>
      <c r="K58" s="12"/>
      <c r="L58" s="7"/>
      <c r="M58" s="19"/>
      <c r="N58" s="40"/>
      <c r="O58" s="7"/>
      <c r="P58" s="19"/>
    </row>
    <row r="59" customFormat="false" ht="15" hidden="false" customHeight="false" outlineLevel="0" collapsed="false">
      <c r="A59" s="40"/>
      <c r="B59" s="19"/>
      <c r="C59" s="19"/>
      <c r="D59" s="40"/>
      <c r="E59" s="19"/>
      <c r="F59" s="19"/>
      <c r="G59" s="21"/>
      <c r="H59" s="19"/>
      <c r="I59" s="12"/>
      <c r="J59" s="7"/>
      <c r="K59" s="12"/>
      <c r="L59" s="7"/>
      <c r="M59" s="19"/>
      <c r="N59" s="40"/>
      <c r="O59" s="7"/>
      <c r="P59" s="19"/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2026-05-11T01:02:14Z</dcterms:created>
  <dc:creator>openpyxl</dc:creator>
  <dc:description/>
  <dc:language>en-US</dc:language>
  <cp:lastModifiedBy/>
  <dcterms:modified xsi:type="dcterms:W3CDTF">2026-05-11T01:02:14Z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