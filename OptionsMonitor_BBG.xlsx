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29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25.xml" ContentType="application/vnd.openxmlformats-officedocument.spreadsheetml.worksheet+xml"/>
  <Override PartName="/xl/worksheets/sheet3.xml" ContentType="application/vnd.openxmlformats-officedocument.spreadsheetml.worksheet+xml"/>
  <Override PartName="/xl/worksheets/sheet27.xml" ContentType="application/vnd.openxmlformats-officedocument.spreadsheetml.worksheet+xml"/>
  <Override PartName="/xl/worksheets/sheet12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20.xml" ContentType="application/vnd.openxmlformats-officedocument.spreadsheetml.worksheet+xml"/>
  <Override PartName="/xl/worksheets/sheet24.xml" ContentType="application/vnd.openxmlformats-officedocument.spreadsheetml.worksheet+xml"/>
  <Override PartName="/xl/worksheets/sheet22.xml" ContentType="application/vnd.openxmlformats-officedocument.spreadsheetml.worksheet+xml"/>
  <Override PartName="/xl/worksheets/sheet14.xml" ContentType="application/vnd.openxmlformats-officedocument.spreadsheetml.worksheet+xml"/>
  <Override PartName="/xl/worksheets/sheet17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16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15.xml" ContentType="application/vnd.openxmlformats-officedocument.spreadsheetml.worksheet+xml"/>
  <Override PartName="/xl/worksheets/sheet19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21.xml" ContentType="application/vnd.openxmlformats-officedocument.spreadsheetml.worksheet+xml"/>
  <Override PartName="/xl/worksheets/sheet28.xml" ContentType="application/vnd.openxmlformats-officedocument.spreadsheetml.worksheet+xml"/>
  <Override PartName="/xl/worksheets/sheet9.xml" ContentType="application/vnd.openxmlformats-officedocument.spreadsheetml.worksheet+xml"/>
  <Override PartName="/xl/worksheets/sheet23.xml" ContentType="application/vnd.openxmlformats-officedocument.spreadsheetml.worksheet+xml"/>
  <Override PartName="/xl/worksheets/sheet26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README" sheetId="1" state="visible" r:id="rId3"/>
    <sheet name="Settings" sheetId="2" state="visible" r:id="rId4"/>
    <sheet name="Calendar" sheetId="3" state="visible" r:id="rId5"/>
    <sheet name="BestNow" sheetId="4" state="visible" r:id="rId6"/>
    <sheet name="SPY" sheetId="5" state="visible" r:id="rId7"/>
    <sheet name="IWM" sheetId="6" state="visible" r:id="rId8"/>
    <sheet name="QQQ" sheetId="7" state="visible" r:id="rId9"/>
    <sheet name="XLB" sheetId="8" state="visible" r:id="rId10"/>
    <sheet name="XLC" sheetId="9" state="visible" r:id="rId11"/>
    <sheet name="XLE" sheetId="10" state="visible" r:id="rId12"/>
    <sheet name="XLF" sheetId="11" state="visible" r:id="rId13"/>
    <sheet name="XLI" sheetId="12" state="visible" r:id="rId14"/>
    <sheet name="XLK" sheetId="13" state="visible" r:id="rId15"/>
    <sheet name="XLP" sheetId="14" state="visible" r:id="rId16"/>
    <sheet name="XLRE" sheetId="15" state="visible" r:id="rId17"/>
    <sheet name="XLU" sheetId="16" state="visible" r:id="rId18"/>
    <sheet name="XLV" sheetId="17" state="visible" r:id="rId19"/>
    <sheet name="XLY" sheetId="18" state="visible" r:id="rId20"/>
    <sheet name="GLD" sheetId="19" state="visible" r:id="rId21"/>
    <sheet name="GDX" sheetId="20" state="visible" r:id="rId22"/>
    <sheet name="TLT" sheetId="21" state="visible" r:id="rId23"/>
    <sheet name="XOP" sheetId="22" state="visible" r:id="rId24"/>
    <sheet name="EEM" sheetId="23" state="visible" r:id="rId25"/>
    <sheet name="FXI" sheetId="24" state="visible" r:id="rId26"/>
    <sheet name="EWZ" sheetId="25" state="visible" r:id="rId27"/>
    <sheet name="INDA" sheetId="26" state="visible" r:id="rId28"/>
    <sheet name="EWW" sheetId="27" state="visible" r:id="rId29"/>
    <sheet name="EWY" sheetId="28" state="visible" r:id="rId30"/>
    <sheet name="UVXY" sheetId="29" state="visible" r:id="rId31"/>
    <sheet name="PositionLog" sheetId="30" state="visible" r:id="rId3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<sst xmlns="http://schemas.openxmlformats.org/spreadsheetml/2006/main" count="3135" uniqueCount="264">
  <si>
    <t xml:space="preserve">BBG OPTIONS MONITOR — 24 per-ticker tabs + BestNow ranking</t>
  </si>
  <si>
    <t xml:space="preserve">HOW TO USE — 30-second version</t>
  </si>
  <si>
    <t xml:space="preserve">1. Open on a Bloomberg workstation. Press F9 to refresh.</t>
  </si>
  <si>
    <t xml:space="preserve">2. Go to the BestNow tab. See the top 3 across the entire universe — even when nothing is perfect, it shows the 3 best-conditioned trades available right now, with sizing and exit prices.</t>
  </si>
  <si>
    <t xml:space="preserve">3. For details on any individual ticker, click its tab (SPY, XLK, GDX, etc.). Each tab analyses both Bull-Put spreads (upper block) and Bear-Call spreads (lower block) at the Front and Back expirations from Calendar.</t>
  </si>
  <si>
    <t xml:space="preserve">4. To analyse a DIFFERENT expiration or strike on any ticker — type the override on that ticker's tab in the PARAMETER OVERRIDES block. Blank = use default from Calendar. Everything recalculates.</t>
  </si>
  <si>
    <t xml:space="preserve">TABS</t>
  </si>
  <si>
    <t xml:space="preserve">README          — This page.</t>
  </si>
  <si>
    <t xml:space="preserve">Settings        — All tunables (account size, risk caps, gates, expiration offsets).</t>
  </si>
  <si>
    <t xml:space="preserve">Calendar        — Rolling third-Friday dates. Front_Exp/Back_Exp update automatically each month.</t>
  </si>
  <si>
    <t xml:space="preserve">BestNow         — TOP 3 trades across all 24 tickers. Decision cards with sizing + GO/WAIT signals.</t>
  </si>
  <si>
    <t xml:space="preserve">[Ticker tabs]   — 24 per-ticker analysis tabs (SPY, IWM, QQQ, XL_, GLD, GDX, TLT, XOP, EEM, FXI, EWZ, ...).</t>
  </si>
  <si>
    <t xml:space="preserve">PositionLog     — Track your real trades.</t>
  </si>
  <si>
    <t xml:space="preserve">WHAT EACH PER-TICKER TAB CONTAINS</t>
  </si>
  <si>
    <t xml:space="preserve">Row 1   — Title (ticker + description + bucket).</t>
  </si>
  <si>
    <t xml:space="preserve">Rows 3-4 — BDP_Underlying: spot + IV Rank. Field names live in row 3 (PX_LAST, IVOL_RANK); edit if needed.</t>
  </si>
  <si>
    <t xml:space="preserve">Rows 6-12 — PARAMETER OVERRIDES: blank = use default; type to override.</t>
  </si>
  <si>
    <t xml:space="preserve">    • Width ($)  — spread width. Default from build, override per ticker if Bloomberg has different strikes.</t>
  </si>
  <si>
    <t xml:space="preserve">    • Front Expiration — defaults to Calendar Front_Exp. Override with any date.</t>
  </si>
  <si>
    <t xml:space="preserve">    • Back Expiration — defaults to Calendar Back_Exp.</t>
  </si>
  <si>
    <t xml:space="preserve">    • BP Short Strike — default = spot × (1−OTM%) rounded to nearest width.</t>
  </si>
  <si>
    <t xml:space="preserve">    • BC Short Strike — default = spot × (1+OTM%) rounded to nearest width.</t>
  </si>
  <si>
    <t xml:space="preserve">Rows 14-23 — BULL PUT ANALYSIS (Front and Back). Upper section.</t>
  </si>
  <si>
    <t xml:space="preserve">    • BDP_Options block: 4 legs (BP Front Short/Long, BP Back Short/Long). Constructed BBG tickers visible.</t>
  </si>
  <si>
    <t xml:space="preserve">    • Spreads block: 2 rows with credit, max loss, POP, EV/MaxLoss, all 7 gates, and EntrySignal.</t>
  </si>
  <si>
    <t xml:space="preserve">Rows 25-34 — BEAR CALL ANALYSIS (Front and Back). Lower section, same structure.</t>
  </si>
  <si>
    <t xml:space="preserve">Rows 36-38 — TICKER SUMMARY: the best of the 4 spreads on this tab.</t>
  </si>
  <si>
    <t xml:space="preserve">HOW TO FIX A BAD TICKER OR DATE</t>
  </si>
  <si>
    <t xml:space="preserve">Per ticker, look at the BDP_Options block. The BBG_Ticker column shows exactly what's being queried.</t>
  </si>
  <si>
    <t xml:space="preserve">If it doesn't match a real BBG security: change the Width override (col C row 8), Front Exp override</t>
  </si>
  <si>
    <t xml:space="preserve">(col C row 9), Back Exp override (row 10), or the strike override (rows 11 / 12). Tickers rebuild automatically.</t>
  </si>
  <si>
    <t xml:space="preserve">HONEST RISK NOTE</t>
  </si>
  <si>
    <t xml:space="preserve">BestNow always shows '3 best amid current conditions' — even when none have ✓ GO. Read the Signal column. ✓ GO means all gates pass. ✗ WAIT - &lt;reason&gt; means at least one gate is failing — DO NOT TRADE those. The credit-spread max loss IS realized when it happens. This is a screener, not investment advice.</t>
  </si>
  <si>
    <t xml:space="preserve">SETTINGS — edit blue cells</t>
  </si>
  <si>
    <t xml:space="preserve">Account equity ($)</t>
  </si>
  <si>
    <t xml:space="preserve">Used by ¼-Kelly sizing.</t>
  </si>
  <si>
    <t xml:space="preserve">Trades per month target</t>
  </si>
  <si>
    <t xml:space="preserve">2–4 short-premium spreads + 1 hedge.</t>
  </si>
  <si>
    <t xml:space="preserve">Book risk cap ($)</t>
  </si>
  <si>
    <t xml:space="preserve">Total max loss across all open spreads.</t>
  </si>
  <si>
    <t xml:space="preserve">Max book as % of account</t>
  </si>
  <si>
    <t xml:space="preserve">Hard cap on book vs equity.</t>
  </si>
  <si>
    <t xml:space="preserve">Kelly fraction</t>
  </si>
  <si>
    <t xml:space="preserve">¼ Kelly. Don't go above 0.50.</t>
  </si>
  <si>
    <t xml:space="preserve">Min IV Rank to enter</t>
  </si>
  <si>
    <t xml:space="preserve">Don't sell premium when IV is cheap.</t>
  </si>
  <si>
    <t xml:space="preserve">Min credit/width ratio</t>
  </si>
  <si>
    <t xml:space="preserve">Skip thin trades.</t>
  </si>
  <si>
    <t xml:space="preserve">Min credit ($)</t>
  </si>
  <si>
    <t xml:space="preserve">Skip if mid credit below this.</t>
  </si>
  <si>
    <t xml:space="preserve">Max bid-ask % of mid</t>
  </si>
  <si>
    <t xml:space="preserve">Liquidity gate.</t>
  </si>
  <si>
    <t xml:space="preserve">Short-strike |delta| min</t>
  </si>
  <si>
    <t xml:space="preserve">If short delta outside this band, WAIT.</t>
  </si>
  <si>
    <t xml:space="preserve">Short-strike |delta| max</t>
  </si>
  <si>
    <t xml:space="preserve">                                       </t>
  </si>
  <si>
    <t xml:space="preserve">Entry DTE — minimum</t>
  </si>
  <si>
    <t xml:space="preserve">Don't open inside this floor.</t>
  </si>
  <si>
    <t xml:space="preserve">Entry DTE — maximum</t>
  </si>
  <si>
    <t xml:space="preserve">Don't open beyond this cap.</t>
  </si>
  <si>
    <t xml:space="preserve">Mandatory exit DTE</t>
  </si>
  <si>
    <t xml:space="preserve">Hard close (UBS 30-day hold rule).</t>
  </si>
  <si>
    <t xml:space="preserve">Take-profit (% of credit)</t>
  </si>
  <si>
    <t xml:space="preserve">Close at 50% of credit.</t>
  </si>
  <si>
    <t xml:space="preserve">Stop-loss × credit</t>
  </si>
  <si>
    <t xml:space="preserve">Cut when spread value reaches this × credit.</t>
  </si>
  <si>
    <t xml:space="preserve">Min strike buffer (% of spot)</t>
  </si>
  <si>
    <t xml:space="preserve">Skip if short strike within X% of spot.</t>
  </si>
  <si>
    <t xml:space="preserve">Hedge budget — % of book risk</t>
  </si>
  <si>
    <t xml:space="preserve">Cash for UVXY long calls.</t>
  </si>
  <si>
    <t xml:space="preserve">UVXY OTM %</t>
  </si>
  <si>
    <t xml:space="preserve">UVXY hedge call strike = spot × (1+this).</t>
  </si>
  <si>
    <t xml:space="preserve">Front expiration offset (months)</t>
  </si>
  <si>
    <t xml:space="preserve">Months from today to the FRONT 3rd-Friday.</t>
  </si>
  <si>
    <t xml:space="preserve">Back expiration offset (months)</t>
  </si>
  <si>
    <t xml:space="preserve">Months from today to the BACK 3rd-Friday.</t>
  </si>
  <si>
    <t xml:space="preserve">CALENDAR — third Fridays roll forward automatically from TODAY()</t>
  </si>
  <si>
    <t xml:space="preserve">Label</t>
  </si>
  <si>
    <t xml:space="preserve">Third_Friday</t>
  </si>
  <si>
    <t xml:space="preserve">DTE</t>
  </si>
  <si>
    <t xml:space="preserve">Note</t>
  </si>
  <si>
    <t xml:space="preserve">Today + 1 months → 3rd Fri</t>
  </si>
  <si>
    <t xml:space="preserve">Today + 2 months → 3rd Fri</t>
  </si>
  <si>
    <t xml:space="preserve">Today + 3 months → 3rd Fri</t>
  </si>
  <si>
    <t xml:space="preserve">Today + 4 months → 3rd Fri</t>
  </si>
  <si>
    <t xml:space="preserve">Today + 5 months → 3rd Fri</t>
  </si>
  <si>
    <t xml:space="preserve">SELECTED EXPIRATIONS (default for every ticker tab; can be overridden per ticker)</t>
  </si>
  <si>
    <t xml:space="preserve">Front_Exp (3rd Fri at +Front_Offset months)</t>
  </si>
  <si>
    <t xml:space="preserve">Back_Exp (3rd Fri at +Back_Offset months)</t>
  </si>
  <si>
    <t xml:space="preserve">BEST NOW — top 3 trades across the entire universe</t>
  </si>
  <si>
    <t xml:space="preserve">As of:</t>
  </si>
  <si>
    <t xml:space="preserve">Action:</t>
  </si>
  <si>
    <t xml:space="preserve">Verdict:</t>
  </si>
  <si>
    <t xml:space="preserve">Sizing:</t>
  </si>
  <si>
    <t xml:space="preserve">Take profit at:</t>
  </si>
  <si>
    <t xml:space="preserve">Cut loss at:</t>
  </si>
  <si>
    <t xml:space="preserve">Return per unit of risk:</t>
  </si>
  <si>
    <t xml:space="preserve">Why:</t>
  </si>
  <si>
    <t xml:space="preserve">Drill-down:</t>
  </si>
  <si>
    <t xml:space="preserve">THE WHOLE BOOK (top 3 + UVXY hedge)</t>
  </si>
  <si>
    <t xml:space="preserve">Top-3 spreads — credit ($):</t>
  </si>
  <si>
    <t xml:space="preserve">Top-3 spreads — max loss ($):</t>
  </si>
  <si>
    <t xml:space="preserve">If all 3 hit 50% TP:</t>
  </si>
  <si>
    <t xml:space="preserve">Hedge cost (UVXY):</t>
  </si>
  <si>
    <t xml:space="preserve">Net target this month:</t>
  </si>
  <si>
    <t xml:space="preserve">% of account at risk:</t>
  </si>
  <si>
    <t xml:space="preserve">PER-TICKER BEST SCORE TABLE (used to rank top 3 above)</t>
  </si>
  <si>
    <t xml:space="preserve">Ticker</t>
  </si>
  <si>
    <t xml:space="preserve">BestScore</t>
  </si>
  <si>
    <t xml:space="preserve">SPY</t>
  </si>
  <si>
    <t xml:space="preserve">IWM</t>
  </si>
  <si>
    <t xml:space="preserve">QQQ</t>
  </si>
  <si>
    <t xml:space="preserve">XLB</t>
  </si>
  <si>
    <t xml:space="preserve">XLC</t>
  </si>
  <si>
    <t xml:space="preserve">XLE</t>
  </si>
  <si>
    <t xml:space="preserve">XLF</t>
  </si>
  <si>
    <t xml:space="preserve">XLI</t>
  </si>
  <si>
    <t xml:space="preserve">XLK</t>
  </si>
  <si>
    <t xml:space="preserve">XLP</t>
  </si>
  <si>
    <t xml:space="preserve">XLRE</t>
  </si>
  <si>
    <t xml:space="preserve">XLU</t>
  </si>
  <si>
    <t xml:space="preserve">XLV</t>
  </si>
  <si>
    <t xml:space="preserve">XLY</t>
  </si>
  <si>
    <t xml:space="preserve">GLD</t>
  </si>
  <si>
    <t xml:space="preserve">GDX</t>
  </si>
  <si>
    <t xml:space="preserve">TLT</t>
  </si>
  <si>
    <t xml:space="preserve">XOP</t>
  </si>
  <si>
    <t xml:space="preserve">EEM</t>
  </si>
  <si>
    <t xml:space="preserve">FXI</t>
  </si>
  <si>
    <t xml:space="preserve">EWZ</t>
  </si>
  <si>
    <t xml:space="preserve">INDA</t>
  </si>
  <si>
    <t xml:space="preserve">EWW</t>
  </si>
  <si>
    <t xml:space="preserve">EWY</t>
  </si>
  <si>
    <t xml:space="preserve">SPY — SPDR S&amp;P 500 (Broad US)</t>
  </si>
  <si>
    <t xml:space="preserve">Underlying</t>
  </si>
  <si>
    <t xml:space="preserve">BBG_Ticker</t>
  </si>
  <si>
    <t xml:space="preserve">PX_LAST</t>
  </si>
  <si>
    <t xml:space="preserve">IVOL_RANK</t>
  </si>
  <si>
    <t xml:space="preserve">Spot</t>
  </si>
  <si>
    <t xml:space="preserve">IVR</t>
  </si>
  <si>
    <t xml:space="preserve">SPY US Equity</t>
  </si>
  <si>
    <t xml:space="preserve">PARAMETER OVERRIDES — blank Override = use Default</t>
  </si>
  <si>
    <t xml:space="preserve">Parameter</t>
  </si>
  <si>
    <t xml:space="preserve">Default</t>
  </si>
  <si>
    <t xml:space="preserve">Override</t>
  </si>
  <si>
    <t xml:space="preserve">Effective</t>
  </si>
  <si>
    <t xml:space="preserve">Width ($)</t>
  </si>
  <si>
    <t xml:space="preserve">Front Expiration</t>
  </si>
  <si>
    <t xml:space="preserve">Back Expiration</t>
  </si>
  <si>
    <t xml:space="preserve">BP Short Strike ($)</t>
  </si>
  <si>
    <t xml:space="preserve">BC Short Strike ($)</t>
  </si>
  <si>
    <t xml:space="preserve">BULL PUT ANALYSIS — short put + long lower put</t>
  </si>
  <si>
    <t xml:space="preserve">Strategy</t>
  </si>
  <si>
    <t xml:space="preserve">Leg</t>
  </si>
  <si>
    <t xml:space="preserve">Type</t>
  </si>
  <si>
    <t xml:space="preserve">Strike</t>
  </si>
  <si>
    <t xml:space="preserve">Expiration</t>
  </si>
  <si>
    <t xml:space="preserve">BID</t>
  </si>
  <si>
    <t xml:space="preserve">ASK</t>
  </si>
  <si>
    <t xml:space="preserve">IVOL_MID</t>
  </si>
  <si>
    <t xml:space="preserve">DELTA_MID_RT</t>
  </si>
  <si>
    <t xml:space="preserve">Mid</t>
  </si>
  <si>
    <t xml:space="preserve">BullPut</t>
  </si>
  <si>
    <t xml:space="preserve">Front Short</t>
  </si>
  <si>
    <t xml:space="preserve">P</t>
  </si>
  <si>
    <t xml:space="preserve">Front Long</t>
  </si>
  <si>
    <t xml:space="preserve">Back Short</t>
  </si>
  <si>
    <t xml:space="preserve">Back Long</t>
  </si>
  <si>
    <t xml:space="preserve">Exp_Label</t>
  </si>
  <si>
    <t xml:space="preserve">Short_K</t>
  </si>
  <si>
    <t xml:space="preserve">Long_K</t>
  </si>
  <si>
    <t xml:space="preserve">Width</t>
  </si>
  <si>
    <t xml:space="preserve">Credit</t>
  </si>
  <si>
    <t xml:space="preserve">MaxLoss</t>
  </si>
  <si>
    <t xml:space="preserve">C/W</t>
  </si>
  <si>
    <t xml:space="preserve">BidAsk%</t>
  </si>
  <si>
    <t xml:space="preserve">Buffer%</t>
  </si>
  <si>
    <t xml:space="preserve">POP</t>
  </si>
  <si>
    <t xml:space="preserve">EV</t>
  </si>
  <si>
    <t xml:space="preserve">EV/Max</t>
  </si>
  <si>
    <t xml:space="preserve">Signal</t>
  </si>
  <si>
    <t xml:space="preserve">Score</t>
  </si>
  <si>
    <t xml:space="preserve">Front</t>
  </si>
  <si>
    <t xml:space="preserve">Back</t>
  </si>
  <si>
    <t xml:space="preserve">BEAR CALL ANALYSIS — short call + long higher call</t>
  </si>
  <si>
    <t xml:space="preserve">BearCall</t>
  </si>
  <si>
    <t xml:space="preserve">C</t>
  </si>
  <si>
    <t xml:space="preserve">TICKER SUMMARY — best spread on this tab</t>
  </si>
  <si>
    <t xml:space="preserve">BestStrategy</t>
  </si>
  <si>
    <t xml:space="preserve">BestExpLabel</t>
  </si>
  <si>
    <t xml:space="preserve">BestExp</t>
  </si>
  <si>
    <t xml:space="preserve">IWM — Russell 2000 (Broad US)</t>
  </si>
  <si>
    <t xml:space="preserve">IWM US Equity</t>
  </si>
  <si>
    <t xml:space="preserve">QQQ — Nasdaq 100 (Broad US)</t>
  </si>
  <si>
    <t xml:space="preserve">QQQ US Equity</t>
  </si>
  <si>
    <t xml:space="preserve">XLB — Materials (S&amp;P Sector)</t>
  </si>
  <si>
    <t xml:space="preserve">XLB US Equity</t>
  </si>
  <si>
    <t xml:space="preserve">XLC — Communications (S&amp;P Sector)</t>
  </si>
  <si>
    <t xml:space="preserve">XLC US Equity</t>
  </si>
  <si>
    <t xml:space="preserve">XLE — Energy (S&amp;P Sector)</t>
  </si>
  <si>
    <t xml:space="preserve">XLE US Equity</t>
  </si>
  <si>
    <t xml:space="preserve">XLF — Financials (S&amp;P Sector)</t>
  </si>
  <si>
    <t xml:space="preserve">XLF US Equity</t>
  </si>
  <si>
    <t xml:space="preserve">XLI — Industrials (S&amp;P Sector)</t>
  </si>
  <si>
    <t xml:space="preserve">XLI US Equity</t>
  </si>
  <si>
    <t xml:space="preserve">XLK — Technology (S&amp;P Sector)</t>
  </si>
  <si>
    <t xml:space="preserve">XLK US Equity</t>
  </si>
  <si>
    <t xml:space="preserve">XLP — Consumer Staples (S&amp;P Sector)</t>
  </si>
  <si>
    <t xml:space="preserve">XLP US Equity</t>
  </si>
  <si>
    <t xml:space="preserve">XLRE — Real Estate (S&amp;P Sector)</t>
  </si>
  <si>
    <t xml:space="preserve">XLRE US Equity</t>
  </si>
  <si>
    <t xml:space="preserve">XLU — Utilities (S&amp;P Sector)</t>
  </si>
  <si>
    <t xml:space="preserve">XLU US Equity</t>
  </si>
  <si>
    <t xml:space="preserve">XLV — Health Care (S&amp;P Sector)</t>
  </si>
  <si>
    <t xml:space="preserve">XLV US Equity</t>
  </si>
  <si>
    <t xml:space="preserve">XLY — Consumer Discretionary (S&amp;P Sector)</t>
  </si>
  <si>
    <t xml:space="preserve">XLY US Equity</t>
  </si>
  <si>
    <t xml:space="preserve">GLD — Gold (Theme)</t>
  </si>
  <si>
    <t xml:space="preserve">GLD US Equity</t>
  </si>
  <si>
    <t xml:space="preserve">GDX — Gold miners (Theme)</t>
  </si>
  <si>
    <t xml:space="preserve">GDX US Equity</t>
  </si>
  <si>
    <t xml:space="preserve">TLT — 20+ Yr Treasuries (Theme)</t>
  </si>
  <si>
    <t xml:space="preserve">TLT US Equity</t>
  </si>
  <si>
    <t xml:space="preserve">XOP — Oil &amp; Gas E&amp;P (Theme)</t>
  </si>
  <si>
    <t xml:space="preserve">XOP US Equity</t>
  </si>
  <si>
    <t xml:space="preserve">EEM — EM broad (iShares) (Intl)</t>
  </si>
  <si>
    <t xml:space="preserve">EEM US Equity</t>
  </si>
  <si>
    <t xml:space="preserve">FXI — China large-cap (Intl)</t>
  </si>
  <si>
    <t xml:space="preserve">FXI US Equity</t>
  </si>
  <si>
    <t xml:space="preserve">EWZ — Brazil (Intl)</t>
  </si>
  <si>
    <t xml:space="preserve">EWZ US Equity</t>
  </si>
  <si>
    <t xml:space="preserve">INDA — India (Intl)</t>
  </si>
  <si>
    <t xml:space="preserve">INDA US Equity</t>
  </si>
  <si>
    <t xml:space="preserve">EWW — Mexico (Intl)</t>
  </si>
  <si>
    <t xml:space="preserve">EWW US Equity</t>
  </si>
  <si>
    <t xml:space="preserve">EWY — South Korea (Intl)</t>
  </si>
  <si>
    <t xml:space="preserve">EWY US Equity</t>
  </si>
  <si>
    <t xml:space="preserve">UVXY — 1.5x VIX short-term (HEDGE only — long OTM calls, not spreads)</t>
  </si>
  <si>
    <t xml:space="preserve">UVXY</t>
  </si>
  <si>
    <t xml:space="preserve">UVXY US Equity</t>
  </si>
  <si>
    <t xml:space="preserve">Hedge Expiration</t>
  </si>
  <si>
    <t xml:space="preserve">OTM % above spot</t>
  </si>
  <si>
    <t xml:space="preserve">Call Strike ($)</t>
  </si>
  <si>
    <t xml:space="preserve">UVXY HEDGE CALL — single long-call leg</t>
  </si>
  <si>
    <t xml:space="preserve">Hedge</t>
  </si>
  <si>
    <t xml:space="preserve">Long</t>
  </si>
  <si>
    <t xml:space="preserve">HEDGE SIZING</t>
  </si>
  <si>
    <t xml:space="preserve">Hedge cash budget ($)</t>
  </si>
  <si>
    <t xml:space="preserve">Cash spent on UVXY calls.</t>
  </si>
  <si>
    <t xml:space="preserve">Contracts to buy</t>
  </si>
  <si>
    <t xml:space="preserve">Floor(budget / mid×100).</t>
  </si>
  <si>
    <t xml:space="preserve">Total cost ($)</t>
  </si>
  <si>
    <t xml:space="preserve">Should be ≈ the budget.</t>
  </si>
  <si>
    <t xml:space="preserve">POSITION LOG — Status: Open / Closed.</t>
  </si>
  <si>
    <t xml:space="preserve">Open_Date</t>
  </si>
  <si>
    <t xml:space="preserve">Contracts</t>
  </si>
  <si>
    <t xml:space="preserve">Credit_per</t>
  </si>
  <si>
    <t xml:space="preserve">Total_Credit</t>
  </si>
  <si>
    <t xml:space="preserve">Max_Loss_per</t>
  </si>
  <si>
    <t xml:space="preserve">Total_MaxLoss</t>
  </si>
  <si>
    <t xml:space="preserve">Status</t>
  </si>
  <si>
    <t xml:space="preserve">Close_Date</t>
  </si>
  <si>
    <t xml:space="preserve">Realized_PnL</t>
  </si>
  <si>
    <t xml:space="preserve">Notes</t>
  </si>
</sst>
</file>

<file path=xl/styles.xml><?xml version="1.0" encoding="utf-8"?>
<styleSheet xmlns="http://schemas.openxmlformats.org/spreadsheetml/2006/main">
  <numFmts count="15">
    <numFmt numFmtId="164" formatCode="General"/>
    <numFmt numFmtId="165" formatCode="\$#,##0"/>
    <numFmt numFmtId="166" formatCode="0"/>
    <numFmt numFmtId="167" formatCode="0%"/>
    <numFmt numFmtId="168" formatCode="0.00"/>
    <numFmt numFmtId="169" formatCode="\$0.00"/>
    <numFmt numFmtId="170" formatCode="0.0"/>
    <numFmt numFmtId="171" formatCode="m/d/yyyy\ ddd"/>
    <numFmt numFmtId="172" formatCode="dddd&quot;, &quot;mmm\ d&quot;, &quot;yyyy"/>
    <numFmt numFmtId="173" formatCode="0.000"/>
    <numFmt numFmtId="174" formatCode="\$#,##0.00"/>
    <numFmt numFmtId="175" formatCode="\$0"/>
    <numFmt numFmtId="176" formatCode="m/d/yyyy"/>
    <numFmt numFmtId="177" formatCode="0.0%"/>
    <numFmt numFmtId="178" formatCode="yyyy\-mm\-dd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1"/>
      <name val="Calibri"/>
      <family val="0"/>
      <charset val="1"/>
    </font>
    <font>
      <b val="true"/>
      <sz val="11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1"/>
      <color rgb="FF595959"/>
      <name val="Calibri"/>
      <family val="0"/>
      <charset val="1"/>
    </font>
    <font>
      <sz val="11"/>
      <color rgb="FF000000"/>
      <name val="Calibri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73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5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Calibri"/>
        <charset val="1"/>
        <family val="0"/>
        <b val="1"/>
        <color rgb="FF9C5700"/>
      </font>
      <fill>
        <patternFill>
          <bgColor rgb="FFFFF2CC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21.75" hidden="false" customHeight="true" outlineLevel="0" collapsed="false">
      <c r="A1" s="1" t="s">
        <v>0</v>
      </c>
    </row>
    <row r="2" customFormat="false" ht="18" hidden="false" customHeight="true" outlineLevel="0" collapsed="false">
      <c r="A2" s="2"/>
    </row>
    <row r="3" customFormat="false" ht="21.75" hidden="false" customHeight="true" outlineLevel="0" collapsed="false">
      <c r="A3" s="3" t="s">
        <v>1</v>
      </c>
    </row>
    <row r="4" customFormat="false" ht="18" hidden="false" customHeight="true" outlineLevel="0" collapsed="false">
      <c r="A4" s="2" t="s">
        <v>2</v>
      </c>
    </row>
    <row r="5" customFormat="false" ht="18" hidden="false" customHeight="true" outlineLevel="0" collapsed="false">
      <c r="A5" s="2" t="s">
        <v>3</v>
      </c>
    </row>
    <row r="6" customFormat="false" ht="18" hidden="false" customHeight="true" outlineLevel="0" collapsed="false">
      <c r="A6" s="2" t="s">
        <v>4</v>
      </c>
    </row>
    <row r="7" customFormat="false" ht="18" hidden="false" customHeight="true" outlineLevel="0" collapsed="false">
      <c r="A7" s="2" t="s">
        <v>5</v>
      </c>
    </row>
    <row r="8" customFormat="false" ht="18" hidden="false" customHeight="true" outlineLevel="0" collapsed="false">
      <c r="A8" s="2"/>
    </row>
    <row r="9" customFormat="false" ht="21.75" hidden="false" customHeight="true" outlineLevel="0" collapsed="false">
      <c r="A9" s="3" t="s">
        <v>6</v>
      </c>
    </row>
    <row r="10" customFormat="false" ht="18" hidden="false" customHeight="true" outlineLevel="0" collapsed="false">
      <c r="A10" s="2" t="s">
        <v>7</v>
      </c>
    </row>
    <row r="11" customFormat="false" ht="18" hidden="false" customHeight="true" outlineLevel="0" collapsed="false">
      <c r="A11" s="2" t="s">
        <v>8</v>
      </c>
    </row>
    <row r="12" customFormat="false" ht="18" hidden="false" customHeight="true" outlineLevel="0" collapsed="false">
      <c r="A12" s="2" t="s">
        <v>9</v>
      </c>
    </row>
    <row r="13" customFormat="false" ht="18" hidden="false" customHeight="true" outlineLevel="0" collapsed="false">
      <c r="A13" s="2" t="s">
        <v>10</v>
      </c>
    </row>
    <row r="14" customFormat="false" ht="18" hidden="false" customHeight="true" outlineLevel="0" collapsed="false">
      <c r="A14" s="2" t="s">
        <v>11</v>
      </c>
    </row>
    <row r="15" customFormat="false" ht="18" hidden="false" customHeight="true" outlineLevel="0" collapsed="false">
      <c r="A15" s="2" t="s">
        <v>12</v>
      </c>
    </row>
    <row r="16" customFormat="false" ht="18" hidden="false" customHeight="true" outlineLevel="0" collapsed="false">
      <c r="A16" s="2"/>
    </row>
    <row r="17" customFormat="false" ht="21.75" hidden="false" customHeight="true" outlineLevel="0" collapsed="false">
      <c r="A17" s="3" t="s">
        <v>13</v>
      </c>
    </row>
    <row r="18" customFormat="false" ht="18" hidden="false" customHeight="true" outlineLevel="0" collapsed="false">
      <c r="A18" s="2" t="s">
        <v>14</v>
      </c>
    </row>
    <row r="19" customFormat="false" ht="18" hidden="false" customHeight="true" outlineLevel="0" collapsed="false">
      <c r="A19" s="2" t="s">
        <v>15</v>
      </c>
    </row>
    <row r="20" customFormat="false" ht="18" hidden="false" customHeight="true" outlineLevel="0" collapsed="false">
      <c r="A20" s="2" t="s">
        <v>16</v>
      </c>
    </row>
    <row r="21" customFormat="false" ht="18" hidden="false" customHeight="true" outlineLevel="0" collapsed="false">
      <c r="A21" s="2" t="s">
        <v>17</v>
      </c>
    </row>
    <row r="22" customFormat="false" ht="18" hidden="false" customHeight="true" outlineLevel="0" collapsed="false">
      <c r="A22" s="2" t="s">
        <v>18</v>
      </c>
    </row>
    <row r="23" customFormat="false" ht="18" hidden="false" customHeight="true" outlineLevel="0" collapsed="false">
      <c r="A23" s="2" t="s">
        <v>19</v>
      </c>
    </row>
    <row r="24" customFormat="false" ht="18" hidden="false" customHeight="true" outlineLevel="0" collapsed="false">
      <c r="A24" s="2" t="s">
        <v>20</v>
      </c>
    </row>
    <row r="25" customFormat="false" ht="18" hidden="false" customHeight="true" outlineLevel="0" collapsed="false">
      <c r="A25" s="2" t="s">
        <v>21</v>
      </c>
    </row>
    <row r="26" customFormat="false" ht="18" hidden="false" customHeight="true" outlineLevel="0" collapsed="false">
      <c r="A26" s="2" t="s">
        <v>22</v>
      </c>
    </row>
    <row r="27" customFormat="false" ht="18" hidden="false" customHeight="true" outlineLevel="0" collapsed="false">
      <c r="A27" s="2" t="s">
        <v>23</v>
      </c>
    </row>
    <row r="28" customFormat="false" ht="18" hidden="false" customHeight="true" outlineLevel="0" collapsed="false">
      <c r="A28" s="2" t="s">
        <v>24</v>
      </c>
    </row>
    <row r="29" customFormat="false" ht="18" hidden="false" customHeight="true" outlineLevel="0" collapsed="false">
      <c r="A29" s="2" t="s">
        <v>25</v>
      </c>
    </row>
    <row r="30" customFormat="false" ht="18" hidden="false" customHeight="true" outlineLevel="0" collapsed="false">
      <c r="A30" s="2" t="s">
        <v>26</v>
      </c>
    </row>
    <row r="31" customFormat="false" ht="18" hidden="false" customHeight="true" outlineLevel="0" collapsed="false">
      <c r="A31" s="2"/>
    </row>
    <row r="32" customFormat="false" ht="21.75" hidden="false" customHeight="true" outlineLevel="0" collapsed="false">
      <c r="A32" s="3" t="s">
        <v>27</v>
      </c>
    </row>
    <row r="33" customFormat="false" ht="18" hidden="false" customHeight="true" outlineLevel="0" collapsed="false">
      <c r="A33" s="2" t="s">
        <v>28</v>
      </c>
    </row>
    <row r="34" customFormat="false" ht="18" hidden="false" customHeight="true" outlineLevel="0" collapsed="false">
      <c r="A34" s="2" t="s">
        <v>29</v>
      </c>
    </row>
    <row r="35" customFormat="false" ht="18" hidden="false" customHeight="true" outlineLevel="0" collapsed="false">
      <c r="A35" s="2" t="s">
        <v>30</v>
      </c>
    </row>
    <row r="36" customFormat="false" ht="18" hidden="false" customHeight="true" outlineLevel="0" collapsed="false">
      <c r="A36" s="2"/>
    </row>
    <row r="37" customFormat="false" ht="21.75" hidden="false" customHeight="true" outlineLevel="0" collapsed="false">
      <c r="A37" s="4" t="s">
        <v>31</v>
      </c>
    </row>
    <row r="38" customFormat="false" ht="18" hidden="false" customHeight="true" outlineLevel="0" collapsed="false">
      <c r="A38" s="2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true" outlineLevel="0" collapsed="false">
      <c r="A1" s="5" t="s">
        <v>33</v>
      </c>
      <c r="B1" s="5"/>
      <c r="C1" s="5"/>
    </row>
    <row r="3" customFormat="false" ht="15" hidden="false" customHeight="false" outlineLevel="0" collapsed="false">
      <c r="A3" s="6" t="s">
        <v>34</v>
      </c>
      <c r="B3" s="7" t="n">
        <v>50000</v>
      </c>
      <c r="C3" s="8" t="s">
        <v>35</v>
      </c>
    </row>
    <row r="4" customFormat="false" ht="15" hidden="false" customHeight="false" outlineLevel="0" collapsed="false">
      <c r="A4" s="6" t="s">
        <v>36</v>
      </c>
      <c r="B4" s="9" t="n">
        <v>3</v>
      </c>
      <c r="C4" s="8" t="s">
        <v>37</v>
      </c>
    </row>
    <row r="5" customFormat="false" ht="15" hidden="false" customHeight="false" outlineLevel="0" collapsed="false">
      <c r="A5" s="6" t="s">
        <v>38</v>
      </c>
      <c r="B5" s="7" t="n">
        <v>5500</v>
      </c>
      <c r="C5" s="8" t="s">
        <v>39</v>
      </c>
    </row>
    <row r="6" customFormat="false" ht="15" hidden="false" customHeight="false" outlineLevel="0" collapsed="false">
      <c r="A6" s="6" t="s">
        <v>40</v>
      </c>
      <c r="B6" s="10" t="n">
        <v>0.12</v>
      </c>
      <c r="C6" s="8" t="s">
        <v>41</v>
      </c>
    </row>
    <row r="7" customFormat="false" ht="15" hidden="false" customHeight="false" outlineLevel="0" collapsed="false">
      <c r="A7" s="6" t="s">
        <v>42</v>
      </c>
      <c r="B7" s="11" t="n">
        <v>0.25</v>
      </c>
      <c r="C7" s="8" t="s">
        <v>43</v>
      </c>
    </row>
    <row r="8" customFormat="false" ht="15" hidden="false" customHeight="false" outlineLevel="0" collapsed="false">
      <c r="A8" s="6" t="s">
        <v>44</v>
      </c>
      <c r="B8" s="9" t="n">
        <v>30</v>
      </c>
      <c r="C8" s="8" t="s">
        <v>45</v>
      </c>
    </row>
    <row r="9" customFormat="false" ht="15" hidden="false" customHeight="false" outlineLevel="0" collapsed="false">
      <c r="A9" s="6" t="s">
        <v>46</v>
      </c>
      <c r="B9" s="10" t="n">
        <v>0.1</v>
      </c>
      <c r="C9" s="8" t="s">
        <v>47</v>
      </c>
    </row>
    <row r="10" customFormat="false" ht="15" hidden="false" customHeight="false" outlineLevel="0" collapsed="false">
      <c r="A10" s="6" t="s">
        <v>48</v>
      </c>
      <c r="B10" s="12" t="n">
        <v>0.3</v>
      </c>
      <c r="C10" s="8" t="s">
        <v>49</v>
      </c>
    </row>
    <row r="11" customFormat="false" ht="15" hidden="false" customHeight="false" outlineLevel="0" collapsed="false">
      <c r="A11" s="6" t="s">
        <v>50</v>
      </c>
      <c r="B11" s="10" t="n">
        <v>0.1</v>
      </c>
      <c r="C11" s="8" t="s">
        <v>51</v>
      </c>
    </row>
    <row r="12" customFormat="false" ht="15" hidden="false" customHeight="false" outlineLevel="0" collapsed="false">
      <c r="A12" s="6" t="s">
        <v>52</v>
      </c>
      <c r="B12" s="11" t="n">
        <v>0.15</v>
      </c>
      <c r="C12" s="8" t="s">
        <v>53</v>
      </c>
    </row>
    <row r="13" customFormat="false" ht="15" hidden="false" customHeight="false" outlineLevel="0" collapsed="false">
      <c r="A13" s="6" t="s">
        <v>54</v>
      </c>
      <c r="B13" s="11" t="n">
        <v>0.25</v>
      </c>
      <c r="C13" s="8" t="s">
        <v>55</v>
      </c>
    </row>
    <row r="14" customFormat="false" ht="15" hidden="false" customHeight="false" outlineLevel="0" collapsed="false">
      <c r="A14" s="6" t="s">
        <v>56</v>
      </c>
      <c r="B14" s="9" t="n">
        <v>60</v>
      </c>
      <c r="C14" s="8" t="s">
        <v>57</v>
      </c>
    </row>
    <row r="15" customFormat="false" ht="15" hidden="false" customHeight="false" outlineLevel="0" collapsed="false">
      <c r="A15" s="6" t="s">
        <v>58</v>
      </c>
      <c r="B15" s="9" t="n">
        <v>120</v>
      </c>
      <c r="C15" s="8" t="s">
        <v>59</v>
      </c>
    </row>
    <row r="16" customFormat="false" ht="15" hidden="false" customHeight="false" outlineLevel="0" collapsed="false">
      <c r="A16" s="6" t="s">
        <v>60</v>
      </c>
      <c r="B16" s="9" t="n">
        <v>60</v>
      </c>
      <c r="C16" s="8" t="s">
        <v>61</v>
      </c>
    </row>
    <row r="17" customFormat="false" ht="15" hidden="false" customHeight="false" outlineLevel="0" collapsed="false">
      <c r="A17" s="6" t="s">
        <v>62</v>
      </c>
      <c r="B17" s="10" t="n">
        <v>0.5</v>
      </c>
      <c r="C17" s="8" t="s">
        <v>63</v>
      </c>
    </row>
    <row r="18" customFormat="false" ht="15" hidden="false" customHeight="false" outlineLevel="0" collapsed="false">
      <c r="A18" s="6" t="s">
        <v>64</v>
      </c>
      <c r="B18" s="13" t="n">
        <v>2</v>
      </c>
      <c r="C18" s="8" t="s">
        <v>65</v>
      </c>
    </row>
    <row r="19" customFormat="false" ht="15" hidden="false" customHeight="false" outlineLevel="0" collapsed="false">
      <c r="A19" s="6" t="s">
        <v>66</v>
      </c>
      <c r="B19" s="10" t="n">
        <v>0.03</v>
      </c>
      <c r="C19" s="8" t="s">
        <v>67</v>
      </c>
    </row>
    <row r="20" customFormat="false" ht="15" hidden="false" customHeight="false" outlineLevel="0" collapsed="false">
      <c r="A20" s="6" t="s">
        <v>68</v>
      </c>
      <c r="B20" s="10" t="n">
        <v>0.08</v>
      </c>
      <c r="C20" s="8" t="s">
        <v>69</v>
      </c>
    </row>
    <row r="21" customFormat="false" ht="15" hidden="false" customHeight="false" outlineLevel="0" collapsed="false">
      <c r="A21" s="6" t="s">
        <v>70</v>
      </c>
      <c r="B21" s="10" t="n">
        <v>0.3</v>
      </c>
      <c r="C21" s="8" t="s">
        <v>71</v>
      </c>
    </row>
    <row r="22" customFormat="false" ht="15" hidden="false" customHeight="false" outlineLevel="0" collapsed="false">
      <c r="A22" s="6" t="s">
        <v>72</v>
      </c>
      <c r="B22" s="9" t="n">
        <v>2</v>
      </c>
      <c r="C22" s="8" t="s">
        <v>73</v>
      </c>
    </row>
    <row r="23" customFormat="false" ht="15" hidden="false" customHeight="false" outlineLevel="0" collapsed="false">
      <c r="A23" s="6" t="s">
        <v>74</v>
      </c>
      <c r="B23" s="9" t="n">
        <v>3</v>
      </c>
      <c r="C23" s="8" t="s">
        <v>75</v>
      </c>
    </row>
  </sheetData>
  <mergeCells count="1">
    <mergeCell ref="A1:C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22"/>
  </cols>
  <sheetData>
    <row r="1" customFormat="false" ht="15" hidden="false" customHeight="true" outlineLevel="0" collapsed="false">
      <c r="A1" s="5" t="s">
        <v>76</v>
      </c>
      <c r="B1" s="5"/>
      <c r="C1" s="5"/>
      <c r="D1" s="5"/>
    </row>
    <row r="3" customFormat="false" ht="15" hidden="false" customHeight="false" outlineLevel="0" collapsed="false">
      <c r="A3" s="14" t="s">
        <v>77</v>
      </c>
      <c r="B3" s="14" t="s">
        <v>78</v>
      </c>
      <c r="C3" s="14" t="s">
        <v>79</v>
      </c>
      <c r="D3" s="14" t="s">
        <v>80</v>
      </c>
    </row>
    <row r="4" customFormat="false" ht="23.85" hidden="false" customHeight="false" outlineLevel="0" collapsed="false">
      <c r="A4" s="15" t="s">
        <v>81</v>
      </c>
      <c r="B4" s="16" t="n">
        <f aca="true">DATE(YEAR(EDATE(TODAY(),1)),MONTH(EDATE(TODAY(),1)),1)+MOD(5-WEEKDAY(DATE(YEAR(EDATE(TODAY(),1)),MONTH(EDATE(TODAY(),1)),1),2)+7,7)+14</f>
        <v>46192</v>
      </c>
      <c r="C4" s="17" t="n">
        <f aca="true">B4-TODAY()</f>
        <v>39</v>
      </c>
      <c r="D4" s="18" t="str">
        <f aca="false">IF(AND(C4&gt;=Settings!$B$14,C4&lt;=Settings!$B$15),"in 60-120 window","outside window")</f>
        <v>outside window</v>
      </c>
    </row>
    <row r="5" customFormat="false" ht="23.85" hidden="false" customHeight="false" outlineLevel="0" collapsed="false">
      <c r="A5" s="15" t="s">
        <v>82</v>
      </c>
      <c r="B5" s="16" t="n">
        <f aca="true">DATE(YEAR(EDATE(TODAY(),2)),MONTH(EDATE(TODAY(),2)),1)+MOD(5-WEEKDAY(DATE(YEAR(EDATE(TODAY(),2)),MONTH(EDATE(TODAY(),2)),1),2)+7,7)+14</f>
        <v>46220</v>
      </c>
      <c r="C5" s="17" t="n">
        <f aca="true">B5-TODAY()</f>
        <v>67</v>
      </c>
      <c r="D5" s="18" t="str">
        <f aca="false">IF(AND(C5&gt;=Settings!$B$14,C5&lt;=Settings!$B$15),"in 60-120 window","outside window")</f>
        <v>in 60-120 window</v>
      </c>
    </row>
    <row r="6" customFormat="false" ht="23.85" hidden="false" customHeight="false" outlineLevel="0" collapsed="false">
      <c r="A6" s="15" t="s">
        <v>83</v>
      </c>
      <c r="B6" s="16" t="n">
        <f aca="true">DATE(YEAR(EDATE(TODAY(),3)),MONTH(EDATE(TODAY(),3)),1)+MOD(5-WEEKDAY(DATE(YEAR(EDATE(TODAY(),3)),MONTH(EDATE(TODAY(),3)),1),2)+7,7)+14</f>
        <v>46255</v>
      </c>
      <c r="C6" s="17" t="n">
        <f aca="true">B6-TODAY()</f>
        <v>102</v>
      </c>
      <c r="D6" s="18" t="str">
        <f aca="false">IF(AND(C6&gt;=Settings!$B$14,C6&lt;=Settings!$B$15),"in 60-120 window","outside window")</f>
        <v>in 60-120 window</v>
      </c>
    </row>
    <row r="7" customFormat="false" ht="23.85" hidden="false" customHeight="false" outlineLevel="0" collapsed="false">
      <c r="A7" s="15" t="s">
        <v>84</v>
      </c>
      <c r="B7" s="16" t="n">
        <f aca="true">DATE(YEAR(EDATE(TODAY(),4)),MONTH(EDATE(TODAY(),4)),1)+MOD(5-WEEKDAY(DATE(YEAR(EDATE(TODAY(),4)),MONTH(EDATE(TODAY(),4)),1),2)+7,7)+14</f>
        <v>46283</v>
      </c>
      <c r="C7" s="17" t="n">
        <f aca="true">B7-TODAY()</f>
        <v>130</v>
      </c>
      <c r="D7" s="18" t="str">
        <f aca="false">IF(AND(C7&gt;=Settings!$B$14,C7&lt;=Settings!$B$15),"in 60-120 window","outside window")</f>
        <v>outside window</v>
      </c>
    </row>
    <row r="8" customFormat="false" ht="23.85" hidden="false" customHeight="false" outlineLevel="0" collapsed="false">
      <c r="A8" s="15" t="s">
        <v>85</v>
      </c>
      <c r="B8" s="16" t="n">
        <f aca="true">DATE(YEAR(EDATE(TODAY(),5)),MONTH(EDATE(TODAY(),5)),1)+MOD(5-WEEKDAY(DATE(YEAR(EDATE(TODAY(),5)),MONTH(EDATE(TODAY(),5)),1),2)+7,7)+14</f>
        <v>46311</v>
      </c>
      <c r="C8" s="17" t="n">
        <f aca="true">B8-TODAY()</f>
        <v>158</v>
      </c>
      <c r="D8" s="18" t="str">
        <f aca="false">IF(AND(C8&gt;=Settings!$B$14,C8&lt;=Settings!$B$15),"in 60-120 window","outside window")</f>
        <v>outside window</v>
      </c>
    </row>
    <row r="10" customFormat="false" ht="23.85" hidden="false" customHeight="true" outlineLevel="0" collapsed="false">
      <c r="A10" s="5" t="s">
        <v>86</v>
      </c>
      <c r="B10" s="5"/>
      <c r="C10" s="5"/>
      <c r="D10" s="5"/>
    </row>
    <row r="11" customFormat="false" ht="23.85" hidden="false" customHeight="false" outlineLevel="0" collapsed="false">
      <c r="A11" s="15" t="s">
        <v>87</v>
      </c>
      <c r="B11" s="16" t="n">
        <f aca="true">DATE(YEAR(EDATE(TODAY(),Settings!$B$22)),MONTH(EDATE(TODAY(),Settings!$B$22)),1)+MOD(5-WEEKDAY(DATE(YEAR(EDATE(TODAY(),Settings!$B$22)),MONTH(EDATE(TODAY(),Settings!$B$22)),1),2)+7,7)+14</f>
        <v>46220</v>
      </c>
      <c r="C11" s="17" t="n">
        <f aca="true">B11-TODAY()</f>
        <v>67</v>
      </c>
    </row>
    <row r="12" customFormat="false" ht="23.85" hidden="false" customHeight="false" outlineLevel="0" collapsed="false">
      <c r="A12" s="15" t="s">
        <v>88</v>
      </c>
      <c r="B12" s="16" t="n">
        <f aca="true">DATE(YEAR(EDATE(TODAY(),Settings!$B$23)),MONTH(EDATE(TODAY(),Settings!$B$23)),1)+MOD(5-WEEKDAY(DATE(YEAR(EDATE(TODAY(),Settings!$B$23)),MONTH(EDATE(TODAY(),Settings!$B$23)),1),2)+7,7)+14</f>
        <v>46255</v>
      </c>
      <c r="C12" s="17" t="n">
        <f aca="true">B12-TODAY()</f>
        <v>102</v>
      </c>
    </row>
  </sheetData>
  <mergeCells count="2">
    <mergeCell ref="A1:D1"/>
    <mergeCell ref="A10:D1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95"/>
  </cols>
  <sheetData>
    <row r="1" customFormat="false" ht="27.75" hidden="false" customHeight="true" outlineLevel="0" collapsed="false">
      <c r="A1" s="5" t="s">
        <v>89</v>
      </c>
      <c r="B1" s="5"/>
    </row>
    <row r="2" customFormat="false" ht="15" hidden="false" customHeight="false" outlineLevel="0" collapsed="false">
      <c r="A2" s="19" t="s">
        <v>90</v>
      </c>
      <c r="B2" s="20" t="n">
        <f aca="true">TODAY()</f>
        <v>46153</v>
      </c>
    </row>
    <row r="4" customFormat="false" ht="25.5" hidden="false" customHeight="true" outlineLevel="0" collapsed="false">
      <c r="A4" s="5" t="str">
        <f aca="true">IF((LARGE($B$62:$B$85,1)&gt;-100000000),"TRADE #1:  "&amp;IF(INDIRECT("'"&amp;INDEX($A$62:$A$85,MATCH(LARGE($B$62:$B$85,1),$B$62:$B$85,0))&amp;"'!K$38")="GO","✓ GO","◇ "&amp;INDIRECT("'"&amp;INDEX($A$62:$A$85,MATCH(LARGE($B$62:$B$85,1),$B$62:$B$85,0))&amp;"'!K$38"))&amp;"   —   "&amp;INDEX($A$62:$A$85,MATCH(LARGE($B$62:$B$85,1),$B$62:$B$85,0))&amp;"   "&amp;INDIRECT("'"&amp;INDEX($A$62:$A$85,MATCH(LARGE($B$62:$B$85,1),$B$62:$B$85,0))&amp;"'!A$38")&amp;"   "&amp;TEXT(INDIRECT("'"&amp;INDEX($A$62:$A$85,MATCH(LARGE($B$62:$B$85,1),$B$62:$B$85,0))&amp;"'!E$38"),"$0")&amp;"/"&amp;TEXT(INDIRECT("'"&amp;INDEX($A$62:$A$85,MATCH(LARGE($B$62:$B$85,1),$B$62:$B$85,0))&amp;"'!F$38"),"$0")&amp;"   —   "&amp;INDIRECT("'"&amp;INDEX($A$62:$A$85,MATCH(LARGE($B$62:$B$85,1),$B$62:$B$85,0))&amp;"'!B$38")&amp;"  exp "&amp;TEXT(INDIRECT("'"&amp;INDEX($A$62:$A$85,MATCH(LARGE($B$62:$B$85,1),$B$62:$B$85,0))&amp;"'!C$38"),"m/d/yyyy"),"TRADE #1:  — no data yet  (refresh BBG)")</f>
        <v>TRADE #1:  — no data yet  (refresh BBG)</v>
      </c>
      <c r="B4" s="5"/>
    </row>
    <row r="5" customFormat="false" ht="30" hidden="false" customHeight="true" outlineLevel="0" collapsed="false">
      <c r="A5" s="6" t="s">
        <v>91</v>
      </c>
      <c r="B5" s="21" t="str">
        <f aca="true">IF((LARGE($B$62:$B$85,1)&gt;-100000000),"SELL the "&amp;INDIRECT("'"&amp;INDEX($A$62:$A$85,MATCH(LARGE($B$62:$B$85,1),$B$62:$B$85,0))&amp;"'!A$38")&amp;" credit spread on "&amp;INDEX($A$62:$A$85,MATCH(LARGE($B$62:$B$85,1),$B$62:$B$85,0))&amp;" — short the "&amp;IF(INDIRECT("'"&amp;INDEX($A$62:$A$85,MATCH(LARGE($B$62:$B$85,1),$B$62:$B$85,0))&amp;"'!A$38")="BullPut","PUT","CALL")&amp;" at "&amp;TEXT(INDIRECT("'"&amp;INDEX($A$62:$A$85,MATCH(LARGE($B$62:$B$85,1),$B$62:$B$85,0))&amp;"'!E$38"),"$0")&amp;" and buy the protective "&amp;IF(INDIRECT("'"&amp;INDEX($A$62:$A$85,MATCH(LARGE($B$62:$B$85,1),$B$62:$B$85,0))&amp;"'!A$38")="BullPut","PUT","CALL")&amp;" at "&amp;TEXT(INDIRECT("'"&amp;INDEX($A$62:$A$85,MATCH(LARGE($B$62:$B$85,1),$B$62:$B$85,0))&amp;"'!F$38"),"$0")&amp;".   Expires "&amp;TEXT(INDIRECT("'"&amp;INDEX($A$62:$A$85,MATCH(LARGE($B$62:$B$85,1),$B$62:$B$85,0))&amp;"'!C$38"),"m/d/yyyy")&amp;" ("&amp;TEXT(INDIRECT("'"&amp;INDEX($A$62:$A$85,MATCH(LARGE($B$62:$B$85,1),$B$62:$B$85,0))&amp;"'!D$38"),"0")&amp;" DTE).","—")</f>
        <v>—</v>
      </c>
    </row>
    <row r="6" customFormat="false" ht="49.5" hidden="false" customHeight="true" outlineLevel="0" collapsed="false">
      <c r="A6" s="6" t="s">
        <v>92</v>
      </c>
      <c r="B6" s="21" t="str">
        <f aca="true">IF((LARGE($B$62:$B$85,1)&gt;-100000000),IF(INDIRECT("'"&amp;INDEX($A$62:$A$85,MATCH(LARGE($B$62:$B$85,1),$B$62:$B$85,0))&amp;"'!K$38")="GO","✓ GO. All gates pass — this trade is sizable today.","◇ BEST AMID CURRENT CONDITIONS. Gate failing: "&amp;INDIRECT("'"&amp;INDEX($A$62:$A$85,MATCH(LARGE($B$62:$B$85,1),$B$62:$B$85,0))&amp;"'!K$38")&amp;".  This is the strongest spread we found, but it does NOT yet pass all rules. Wait for the failing gate to clear (often IVR rising) before sizing up. OR: tighten Settings if you want to relax the gate."),"—")</f>
        <v>—</v>
      </c>
    </row>
    <row r="7" customFormat="false" ht="30" hidden="false" customHeight="true" outlineLevel="0" collapsed="false">
      <c r="A7" s="6" t="s">
        <v>93</v>
      </c>
      <c r="B7" s="21" t="str">
        <f aca="true">IF((LARGE($B$62:$B$85,1)&gt;-100000000),"Put on  "&amp;TEXT(IFERROR(IF(VALUE(INDIRECT("'"&amp;INDEX($A$62:$A$85,MATCH(LARGE($B$62:$B$85,1),$B$62:$B$85,0))&amp;"'!H$38"))&gt;0,FLOOR(MIN(MIN(Settings!$B$5,Settings!$B$6*Settings!$B$3)/Settings!$B$4,IFERROR(MAX(0,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,"0")&amp;"  contract"&amp;IF(IFERROR(IF(VALUE(INDIRECT("'"&amp;INDEX($A$62:$A$85,MATCH(LARGE($B$62:$B$85,1),$B$62:$B$85,0))&amp;"'!H$38"))&gt;0,FLOOR(MIN(MIN(Settings!$B$5,Settings!$B$6*Settings!$B$3)/Settings!$B$4,IFERROR(MAX(0,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=1,"","s")&amp;".  Collect  "&amp;TEXT(IFERROR(IF(VALUE(INDIRECT("'"&amp;INDEX($A$62:$A$85,MATCH(LARGE($B$62:$B$85,1),$B$62:$B$85,0))&amp;"'!H$38"))&gt;0,FLOOR(MIN(MIN(Settings!$B$5,Settings!$B$6*Settings!$B$3)/Settings!$B$4,IFERROR(MAX(0,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100,"$#,##0")&amp;"  upfront.  Max loss if wrong:  "&amp;TEXT(IFERROR(IF(VALUE(INDIRECT("'"&amp;INDEX($A$62:$A$85,MATCH(LARGE($B$62:$B$85,1),$B$62:$B$85,0))&amp;"'!H$38"))&gt;0,FLOOR(MIN(MIN(Settings!$B$5,Settings!$B$6*Settings!$B$3)/Settings!$B$4,IFERROR(MAX(0,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H$38"))*100,"$#,##0")&amp;".","—")</f>
        <v>—</v>
      </c>
    </row>
    <row r="8" customFormat="false" ht="31.5" hidden="false" customHeight="true" outlineLevel="0" collapsed="false">
      <c r="A8" s="6" t="s">
        <v>94</v>
      </c>
      <c r="B8" s="21" t="str">
        <f aca="true">IF((LARGE($B$62:$B$85,1)&gt;-100000000),"Close at value  "&amp;TEXT(VALUE(INDIRECT("'"&amp;INDEX($A$62:$A$85,MATCH(LARGE($B$62:$B$85,1),$B$62:$B$85,0))&amp;"'!G$38"))*(1-Settings!$B$17),"$0.00")&amp;" / contract  (≈ "&amp;TEXT(IFERROR(IF(VALUE(INDIRECT("'"&amp;INDEX($A$62:$A$85,MATCH(LARGE($B$62:$B$85,1),$B$62:$B$85,0))&amp;"'!H$38"))&gt;0,FLOOR(MIN(MIN(Settings!$B$5,Settings!$B$6*Settings!$B$3)/Settings!$B$4,IFERROR(MAX(0,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(1-Settings!$B$17)*100,"$#,##0")&amp;" total to buy back).  Profit  ≈ "&amp;TEXT(IFERROR(IF(VALUE(INDIRECT("'"&amp;INDEX($A$62:$A$85,MATCH(LARGE($B$62:$B$85,1),$B$62:$B$85,0))&amp;"'!H$38"))&gt;0,FLOOR(MIN(MIN(Settings!$B$5,Settings!$B$6*Settings!$B$3)/Settings!$B$4,IFERROR(MAX(0,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Settings!$B$17*100,"$#,##0")&amp;".","—")</f>
        <v>—</v>
      </c>
    </row>
    <row r="9" customFormat="false" ht="31.5" hidden="false" customHeight="true" outlineLevel="0" collapsed="false">
      <c r="A9" s="6" t="s">
        <v>95</v>
      </c>
      <c r="B9" s="21" t="str">
        <f aca="true">IF((LARGE($B$62:$B$85,1)&gt;-100000000),"Cut if value  "&amp;TEXT(VALUE(INDIRECT("'"&amp;INDEX($A$62:$A$85,MATCH(LARGE($B$62:$B$85,1),$B$62:$B$85,0))&amp;"'!G$38"))*Settings!$B$18,"$0.00")&amp;" / contract  (≈ "&amp;TEXT(IFERROR(IF(VALUE(INDIRECT("'"&amp;INDEX($A$62:$A$85,MATCH(LARGE($B$62:$B$85,1),$B$62:$B$85,0))&amp;"'!H$38"))&gt;0,FLOOR(MIN(MIN(Settings!$B$5,Settings!$B$6*Settings!$B$3)/Settings!$B$4,IFERROR(MAX(0,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Settings!$B$18*100,"$#,##0")&amp;" to buy back).  Loss capped  ≈ "&amp;TEXT(IFERROR(IF(VALUE(INDIRECT("'"&amp;INDEX($A$62:$A$85,MATCH(LARGE($B$62:$B$85,1),$B$62:$B$85,0))&amp;"'!H$38"))&gt;0,FLOOR(MIN(MIN(Settings!$B$5,Settings!$B$6*Settings!$B$3)/Settings!$B$4,IFERROR(MAX(0,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(Settings!$B$18-1)*100,"$#,##0")&amp;".","—")</f>
        <v>—</v>
      </c>
    </row>
    <row r="10" customFormat="false" ht="15" hidden="false" customHeight="false" outlineLevel="0" collapsed="false">
      <c r="A10" s="6" t="s">
        <v>96</v>
      </c>
      <c r="B10" s="21" t="str">
        <f aca="true">IF((LARGE($B$62:$B$85,1)&gt;-100000000),TEXT(INDIRECT("'"&amp;INDEX($A$62:$A$85,MATCH(LARGE($B$62:$B$85,1),$B$62:$B$85,0))&amp;"'!J$38"),"0.000")&amp;"   (= EV ÷ MaxLoss.  &gt;0.10 decent, &gt;0.15 good, &lt;0.05 weak.)","—")</f>
        <v>—</v>
      </c>
    </row>
    <row r="11" customFormat="false" ht="36" hidden="false" customHeight="true" outlineLevel="0" collapsed="false">
      <c r="A11" s="6" t="s">
        <v>97</v>
      </c>
      <c r="B11" s="21" t="str">
        <f aca="true">IF((LARGE($B$62:$B$85,1)&gt;-100000000),IF(INDIRECT("'"&amp;INDEX($A$62:$A$85,MATCH(LARGE($B$62:$B$85,1),$B$62:$B$85,0))&amp;"'!K$38")="GO","All gates pass.  POP="&amp;TEXT(VALUE(INDIRECT("'"&amp;INDEX($A$62:$A$85,MATCH(LARGE($B$62:$B$85,1),$B$62:$B$85,0))&amp;"'!I$38")),"0.0%")&amp;"  |  EV/MaxLoss="&amp;TEXT(INDIRECT("'"&amp;INDEX($A$62:$A$85,MATCH(LARGE($B$62:$B$85,1),$B$62:$B$85,0))&amp;"'!J$38"),"0.000")&amp;".","Best available, but waiting on: "&amp;INDIRECT("'"&amp;INDEX($A$62:$A$85,MATCH(LARGE($B$62:$B$85,1),$B$62:$B$85,0))&amp;"'!K$38")&amp;".  See the "&amp;INDEX($A$62:$A$85,MATCH(LARGE($B$62:$B$85,1),$B$62:$B$85,0))&amp;" tab for details."),"—")</f>
        <v>—</v>
      </c>
    </row>
    <row r="12" customFormat="false" ht="15" hidden="false" customHeight="false" outlineLevel="0" collapsed="false">
      <c r="A12" s="6" t="s">
        <v>98</v>
      </c>
      <c r="B12" s="21" t="str">
        <f aca="false">IF((LARGE($B$62:$B$85,1)&gt;-100000000),"For full details, click the "&amp;INDEX($A$62:$A$85,MATCH(LARGE($B$62:$B$85,1),$B$62:$B$85,0))&amp;" tab.","—")</f>
        <v>—</v>
      </c>
    </row>
    <row r="17" customFormat="false" ht="25.5" hidden="false" customHeight="true" outlineLevel="0" collapsed="false">
      <c r="A17" s="5" t="str">
        <f aca="true">IF((LARGE($B$62:$B$85,2)&gt;-100000000),"TRADE #2:  "&amp;IF(INDIRECT("'"&amp;INDEX($A$62:$A$85,MATCH(LARGE($B$62:$B$85,2),$B$62:$B$85,0))&amp;"'!K$38")="GO","✓ GO","◇ "&amp;INDIRECT("'"&amp;INDEX($A$62:$A$85,MATCH(LARGE($B$62:$B$85,2),$B$62:$B$85,0))&amp;"'!K$38"))&amp;"   —   "&amp;INDEX($A$62:$A$85,MATCH(LARGE($B$62:$B$85,2),$B$62:$B$85,0))&amp;"   "&amp;INDIRECT("'"&amp;INDEX($A$62:$A$85,MATCH(LARGE($B$62:$B$85,2),$B$62:$B$85,0))&amp;"'!A$38")&amp;"   "&amp;TEXT(INDIRECT("'"&amp;INDEX($A$62:$A$85,MATCH(LARGE($B$62:$B$85,2),$B$62:$B$85,0))&amp;"'!E$38"),"$0")&amp;"/"&amp;TEXT(INDIRECT("'"&amp;INDEX($A$62:$A$85,MATCH(LARGE($B$62:$B$85,2),$B$62:$B$85,0))&amp;"'!F$38"),"$0")&amp;"   —   "&amp;INDIRECT("'"&amp;INDEX($A$62:$A$85,MATCH(LARGE($B$62:$B$85,2),$B$62:$B$85,0))&amp;"'!B$38")&amp;"  exp "&amp;TEXT(INDIRECT("'"&amp;INDEX($A$62:$A$85,MATCH(LARGE($B$62:$B$85,2),$B$62:$B$85,0))&amp;"'!C$38"),"m/d/yyyy"),"TRADE #2:  — no data yet  (refresh BBG)")</f>
        <v>TRADE #2:  — no data yet  (refresh BBG)</v>
      </c>
      <c r="B17" s="5"/>
    </row>
    <row r="18" customFormat="false" ht="30" hidden="false" customHeight="true" outlineLevel="0" collapsed="false">
      <c r="A18" s="6" t="s">
        <v>91</v>
      </c>
      <c r="B18" s="21" t="str">
        <f aca="true">IF((LARGE($B$62:$B$85,2)&gt;-100000000),"SELL the "&amp;INDIRECT("'"&amp;INDEX($A$62:$A$85,MATCH(LARGE($B$62:$B$85,2),$B$62:$B$85,0))&amp;"'!A$38")&amp;" credit spread on "&amp;INDEX($A$62:$A$85,MATCH(LARGE($B$62:$B$85,2),$B$62:$B$85,0))&amp;" — short the "&amp;IF(INDIRECT("'"&amp;INDEX($A$62:$A$85,MATCH(LARGE($B$62:$B$85,2),$B$62:$B$85,0))&amp;"'!A$38")="BullPut","PUT","CALL")&amp;" at "&amp;TEXT(INDIRECT("'"&amp;INDEX($A$62:$A$85,MATCH(LARGE($B$62:$B$85,2),$B$62:$B$85,0))&amp;"'!E$38"),"$0")&amp;" and buy the protective "&amp;IF(INDIRECT("'"&amp;INDEX($A$62:$A$85,MATCH(LARGE($B$62:$B$85,2),$B$62:$B$85,0))&amp;"'!A$38")="BullPut","PUT","CALL")&amp;" at "&amp;TEXT(INDIRECT("'"&amp;INDEX($A$62:$A$85,MATCH(LARGE($B$62:$B$85,2),$B$62:$B$85,0))&amp;"'!F$38"),"$0")&amp;".   Expires "&amp;TEXT(INDIRECT("'"&amp;INDEX($A$62:$A$85,MATCH(LARGE($B$62:$B$85,2),$B$62:$B$85,0))&amp;"'!C$38"),"m/d/yyyy")&amp;" ("&amp;TEXT(INDIRECT("'"&amp;INDEX($A$62:$A$85,MATCH(LARGE($B$62:$B$85,2),$B$62:$B$85,0))&amp;"'!D$38"),"0")&amp;" DTE).","—")</f>
        <v>—</v>
      </c>
    </row>
    <row r="19" customFormat="false" ht="49.5" hidden="false" customHeight="true" outlineLevel="0" collapsed="false">
      <c r="A19" s="6" t="s">
        <v>92</v>
      </c>
      <c r="B19" s="21" t="str">
        <f aca="true">IF((LARGE($B$62:$B$85,2)&gt;-100000000),IF(INDIRECT("'"&amp;INDEX($A$62:$A$85,MATCH(LARGE($B$62:$B$85,2),$B$62:$B$85,0))&amp;"'!K$38")="GO","✓ GO. All gates pass — this trade is sizable today.","◇ BEST AMID CURRENT CONDITIONS. Gate failing: "&amp;INDIRECT("'"&amp;INDEX($A$62:$A$85,MATCH(LARGE($B$62:$B$85,2),$B$62:$B$85,0))&amp;"'!K$38")&amp;".  This is the strongest spread we found, but it does NOT yet pass all rules. Wait for the failing gate to clear (often IVR rising) before sizing up. OR: tighten Settings if you want to relax the gate."),"—")</f>
        <v>—</v>
      </c>
    </row>
    <row r="20" customFormat="false" ht="30" hidden="false" customHeight="true" outlineLevel="0" collapsed="false">
      <c r="A20" s="6" t="s">
        <v>93</v>
      </c>
      <c r="B20" s="21" t="str">
        <f aca="true">IF((LARGE($B$62:$B$85,2)&gt;-100000000),"Put on  "&amp;TEXT(IFERROR(IF(VALUE(INDIRECT("'"&amp;INDEX($A$62:$A$85,MATCH(LARGE($B$62:$B$85,2),$B$62:$B$85,0))&amp;"'!H$38"))&gt;0,FLOOR(MIN(MIN(Settings!$B$5,Settings!$B$6*Settings!$B$3)/Settings!$B$4,IFERROR(MAX(0,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,"0")&amp;"  contract"&amp;IF(IFERROR(IF(VALUE(INDIRECT("'"&amp;INDEX($A$62:$A$85,MATCH(LARGE($B$62:$B$85,2),$B$62:$B$85,0))&amp;"'!H$38"))&gt;0,FLOOR(MIN(MIN(Settings!$B$5,Settings!$B$6*Settings!$B$3)/Settings!$B$4,IFERROR(MAX(0,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=1,"","s")&amp;".  Collect  "&amp;TEXT(IFERROR(IF(VALUE(INDIRECT("'"&amp;INDEX($A$62:$A$85,MATCH(LARGE($B$62:$B$85,2),$B$62:$B$85,0))&amp;"'!H$38"))&gt;0,FLOOR(MIN(MIN(Settings!$B$5,Settings!$B$6*Settings!$B$3)/Settings!$B$4,IFERROR(MAX(0,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100,"$#,##0")&amp;"  upfront.  Max loss if wrong:  "&amp;TEXT(IFERROR(IF(VALUE(INDIRECT("'"&amp;INDEX($A$62:$A$85,MATCH(LARGE($B$62:$B$85,2),$B$62:$B$85,0))&amp;"'!H$38"))&gt;0,FLOOR(MIN(MIN(Settings!$B$5,Settings!$B$6*Settings!$B$3)/Settings!$B$4,IFERROR(MAX(0,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H$38"))*100,"$#,##0")&amp;".","—")</f>
        <v>—</v>
      </c>
    </row>
    <row r="21" customFormat="false" ht="31.5" hidden="false" customHeight="true" outlineLevel="0" collapsed="false">
      <c r="A21" s="6" t="s">
        <v>94</v>
      </c>
      <c r="B21" s="21" t="str">
        <f aca="true">IF((LARGE($B$62:$B$85,2)&gt;-100000000),"Close at value  "&amp;TEXT(VALUE(INDIRECT("'"&amp;INDEX($A$62:$A$85,MATCH(LARGE($B$62:$B$85,2),$B$62:$B$85,0))&amp;"'!G$38"))*(1-Settings!$B$17),"$0.00")&amp;" / contract  (≈ "&amp;TEXT(IFERROR(IF(VALUE(INDIRECT("'"&amp;INDEX($A$62:$A$85,MATCH(LARGE($B$62:$B$85,2),$B$62:$B$85,0))&amp;"'!H$38"))&gt;0,FLOOR(MIN(MIN(Settings!$B$5,Settings!$B$6*Settings!$B$3)/Settings!$B$4,IFERROR(MAX(0,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(1-Settings!$B$17)*100,"$#,##0")&amp;" total to buy back).  Profit  ≈ "&amp;TEXT(IFERROR(IF(VALUE(INDIRECT("'"&amp;INDEX($A$62:$A$85,MATCH(LARGE($B$62:$B$85,2),$B$62:$B$85,0))&amp;"'!H$38"))&gt;0,FLOOR(MIN(MIN(Settings!$B$5,Settings!$B$6*Settings!$B$3)/Settings!$B$4,IFERROR(MAX(0,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Settings!$B$17*100,"$#,##0")&amp;".","—")</f>
        <v>—</v>
      </c>
    </row>
    <row r="22" customFormat="false" ht="31.5" hidden="false" customHeight="true" outlineLevel="0" collapsed="false">
      <c r="A22" s="6" t="s">
        <v>95</v>
      </c>
      <c r="B22" s="21" t="str">
        <f aca="true">IF((LARGE($B$62:$B$85,2)&gt;-100000000),"Cut if value  "&amp;TEXT(VALUE(INDIRECT("'"&amp;INDEX($A$62:$A$85,MATCH(LARGE($B$62:$B$85,2),$B$62:$B$85,0))&amp;"'!G$38"))*Settings!$B$18,"$0.00")&amp;" / contract  (≈ "&amp;TEXT(IFERROR(IF(VALUE(INDIRECT("'"&amp;INDEX($A$62:$A$85,MATCH(LARGE($B$62:$B$85,2),$B$62:$B$85,0))&amp;"'!H$38"))&gt;0,FLOOR(MIN(MIN(Settings!$B$5,Settings!$B$6*Settings!$B$3)/Settings!$B$4,IFERROR(MAX(0,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Settings!$B$18*100,"$#,##0")&amp;" to buy back).  Loss capped  ≈ "&amp;TEXT(IFERROR(IF(VALUE(INDIRECT("'"&amp;INDEX($A$62:$A$85,MATCH(LARGE($B$62:$B$85,2),$B$62:$B$85,0))&amp;"'!H$38"))&gt;0,FLOOR(MIN(MIN(Settings!$B$5,Settings!$B$6*Settings!$B$3)/Settings!$B$4,IFERROR(MAX(0,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(Settings!$B$18-1)*100,"$#,##0")&amp;".","—")</f>
        <v>—</v>
      </c>
    </row>
    <row r="23" customFormat="false" ht="15" hidden="false" customHeight="false" outlineLevel="0" collapsed="false">
      <c r="A23" s="6" t="s">
        <v>96</v>
      </c>
      <c r="B23" s="21" t="str">
        <f aca="true">IF((LARGE($B$62:$B$85,2)&gt;-100000000),TEXT(INDIRECT("'"&amp;INDEX($A$62:$A$85,MATCH(LARGE($B$62:$B$85,2),$B$62:$B$85,0))&amp;"'!J$38"),"0.000")&amp;"   (= EV ÷ MaxLoss.  &gt;0.10 decent, &gt;0.15 good, &lt;0.05 weak.)","—")</f>
        <v>—</v>
      </c>
    </row>
    <row r="24" customFormat="false" ht="36" hidden="false" customHeight="true" outlineLevel="0" collapsed="false">
      <c r="A24" s="6" t="s">
        <v>97</v>
      </c>
      <c r="B24" s="21" t="str">
        <f aca="true">IF((LARGE($B$62:$B$85,2)&gt;-100000000),IF(INDIRECT("'"&amp;INDEX($A$62:$A$85,MATCH(LARGE($B$62:$B$85,2),$B$62:$B$85,0))&amp;"'!K$38")="GO","All gates pass.  POP="&amp;TEXT(VALUE(INDIRECT("'"&amp;INDEX($A$62:$A$85,MATCH(LARGE($B$62:$B$85,2),$B$62:$B$85,0))&amp;"'!I$38")),"0.0%")&amp;"  |  EV/MaxLoss="&amp;TEXT(INDIRECT("'"&amp;INDEX($A$62:$A$85,MATCH(LARGE($B$62:$B$85,2),$B$62:$B$85,0))&amp;"'!J$38"),"0.000")&amp;".","Best available, but waiting on: "&amp;INDIRECT("'"&amp;INDEX($A$62:$A$85,MATCH(LARGE($B$62:$B$85,2),$B$62:$B$85,0))&amp;"'!K$38")&amp;".  See the "&amp;INDEX($A$62:$A$85,MATCH(LARGE($B$62:$B$85,2),$B$62:$B$85,0))&amp;" tab for details."),"—")</f>
        <v>—</v>
      </c>
    </row>
    <row r="25" customFormat="false" ht="15" hidden="false" customHeight="false" outlineLevel="0" collapsed="false">
      <c r="A25" s="6" t="s">
        <v>98</v>
      </c>
      <c r="B25" s="21" t="str">
        <f aca="false">IF((LARGE($B$62:$B$85,2)&gt;-100000000),"For full details, click the "&amp;INDEX($A$62:$A$85,MATCH(LARGE($B$62:$B$85,2),$B$62:$B$85,0))&amp;" tab.","—")</f>
        <v>—</v>
      </c>
    </row>
    <row r="30" customFormat="false" ht="25.5" hidden="false" customHeight="true" outlineLevel="0" collapsed="false">
      <c r="A30" s="5" t="str">
        <f aca="true">IF((LARGE($B$62:$B$85,3)&gt;-100000000),"TRADE #3:  "&amp;IF(INDIRECT("'"&amp;INDEX($A$62:$A$85,MATCH(LARGE($B$62:$B$85,3),$B$62:$B$85,0))&amp;"'!K$38")="GO","✓ GO","◇ "&amp;INDIRECT("'"&amp;INDEX($A$62:$A$85,MATCH(LARGE($B$62:$B$85,3),$B$62:$B$85,0))&amp;"'!K$38"))&amp;"   —   "&amp;INDEX($A$62:$A$85,MATCH(LARGE($B$62:$B$85,3),$B$62:$B$85,0))&amp;"   "&amp;INDIRECT("'"&amp;INDEX($A$62:$A$85,MATCH(LARGE($B$62:$B$85,3),$B$62:$B$85,0))&amp;"'!A$38")&amp;"   "&amp;TEXT(INDIRECT("'"&amp;INDEX($A$62:$A$85,MATCH(LARGE($B$62:$B$85,3),$B$62:$B$85,0))&amp;"'!E$38"),"$0")&amp;"/"&amp;TEXT(INDIRECT("'"&amp;INDEX($A$62:$A$85,MATCH(LARGE($B$62:$B$85,3),$B$62:$B$85,0))&amp;"'!F$38"),"$0")&amp;"   —   "&amp;INDIRECT("'"&amp;INDEX($A$62:$A$85,MATCH(LARGE($B$62:$B$85,3),$B$62:$B$85,0))&amp;"'!B$38")&amp;"  exp "&amp;TEXT(INDIRECT("'"&amp;INDEX($A$62:$A$85,MATCH(LARGE($B$62:$B$85,3),$B$62:$B$85,0))&amp;"'!C$38"),"m/d/yyyy"),"TRADE #3:  — no data yet  (refresh BBG)")</f>
        <v>TRADE #3:  — no data yet  (refresh BBG)</v>
      </c>
      <c r="B30" s="5"/>
    </row>
    <row r="31" customFormat="false" ht="30" hidden="false" customHeight="true" outlineLevel="0" collapsed="false">
      <c r="A31" s="6" t="s">
        <v>91</v>
      </c>
      <c r="B31" s="21" t="str">
        <f aca="true">IF((LARGE($B$62:$B$85,3)&gt;-100000000),"SELL the "&amp;INDIRECT("'"&amp;INDEX($A$62:$A$85,MATCH(LARGE($B$62:$B$85,3),$B$62:$B$85,0))&amp;"'!A$38")&amp;" credit spread on "&amp;INDEX($A$62:$A$85,MATCH(LARGE($B$62:$B$85,3),$B$62:$B$85,0))&amp;" — short the "&amp;IF(INDIRECT("'"&amp;INDEX($A$62:$A$85,MATCH(LARGE($B$62:$B$85,3),$B$62:$B$85,0))&amp;"'!A$38")="BullPut","PUT","CALL")&amp;" at "&amp;TEXT(INDIRECT("'"&amp;INDEX($A$62:$A$85,MATCH(LARGE($B$62:$B$85,3),$B$62:$B$85,0))&amp;"'!E$38"),"$0")&amp;" and buy the protective "&amp;IF(INDIRECT("'"&amp;INDEX($A$62:$A$85,MATCH(LARGE($B$62:$B$85,3),$B$62:$B$85,0))&amp;"'!A$38")="BullPut","PUT","CALL")&amp;" at "&amp;TEXT(INDIRECT("'"&amp;INDEX($A$62:$A$85,MATCH(LARGE($B$62:$B$85,3),$B$62:$B$85,0))&amp;"'!F$38"),"$0")&amp;".   Expires "&amp;TEXT(INDIRECT("'"&amp;INDEX($A$62:$A$85,MATCH(LARGE($B$62:$B$85,3),$B$62:$B$85,0))&amp;"'!C$38"),"m/d/yyyy")&amp;" ("&amp;TEXT(INDIRECT("'"&amp;INDEX($A$62:$A$85,MATCH(LARGE($B$62:$B$85,3),$B$62:$B$85,0))&amp;"'!D$38"),"0")&amp;" DTE).","—")</f>
        <v>—</v>
      </c>
    </row>
    <row r="32" customFormat="false" ht="49.5" hidden="false" customHeight="true" outlineLevel="0" collapsed="false">
      <c r="A32" s="6" t="s">
        <v>92</v>
      </c>
      <c r="B32" s="21" t="str">
        <f aca="true">IF((LARGE($B$62:$B$85,3)&gt;-100000000),IF(INDIRECT("'"&amp;INDEX($A$62:$A$85,MATCH(LARGE($B$62:$B$85,3),$B$62:$B$85,0))&amp;"'!K$38")="GO","✓ GO. All gates pass — this trade is sizable today.","◇ BEST AMID CURRENT CONDITIONS. Gate failing: "&amp;INDIRECT("'"&amp;INDEX($A$62:$A$85,MATCH(LARGE($B$62:$B$85,3),$B$62:$B$85,0))&amp;"'!K$38")&amp;".  This is the strongest spread we found, but it does NOT yet pass all rules. Wait for the failing gate to clear (often IVR rising) before sizing up. OR: tighten Settings if you want to relax the gate."),"—")</f>
        <v>—</v>
      </c>
    </row>
    <row r="33" customFormat="false" ht="30" hidden="false" customHeight="true" outlineLevel="0" collapsed="false">
      <c r="A33" s="6" t="s">
        <v>93</v>
      </c>
      <c r="B33" s="21" t="str">
        <f aca="true">IF((LARGE($B$62:$B$85,3)&gt;-100000000),"Put on  "&amp;TEXT(IFERROR(IF(VALUE(INDIRECT("'"&amp;INDEX($A$62:$A$85,MATCH(LARGE($B$62:$B$85,3),$B$62:$B$85,0))&amp;"'!H$38"))&gt;0,FLOOR(MIN(MIN(Settings!$B$5,Settings!$B$6*Settings!$B$3)/Settings!$B$4,IFERROR(MAX(0,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,"0")&amp;"  contract"&amp;IF(IFERROR(IF(VALUE(INDIRECT("'"&amp;INDEX($A$62:$A$85,MATCH(LARGE($B$62:$B$85,3),$B$62:$B$85,0))&amp;"'!H$38"))&gt;0,FLOOR(MIN(MIN(Settings!$B$5,Settings!$B$6*Settings!$B$3)/Settings!$B$4,IFERROR(MAX(0,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=1,"","s")&amp;".  Collect  "&amp;TEXT(IFERROR(IF(VALUE(INDIRECT("'"&amp;INDEX($A$62:$A$85,MATCH(LARGE($B$62:$B$85,3),$B$62:$B$85,0))&amp;"'!H$38"))&gt;0,FLOOR(MIN(MIN(Settings!$B$5,Settings!$B$6*Settings!$B$3)/Settings!$B$4,IFERROR(MAX(0,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100,"$#,##0")&amp;"  upfront.  Max loss if wrong:  "&amp;TEXT(IFERROR(IF(VALUE(INDIRECT("'"&amp;INDEX($A$62:$A$85,MATCH(LARGE($B$62:$B$85,3),$B$62:$B$85,0))&amp;"'!H$38"))&gt;0,FLOOR(MIN(MIN(Settings!$B$5,Settings!$B$6*Settings!$B$3)/Settings!$B$4,IFERROR(MAX(0,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H$38"))*100,"$#,##0")&amp;".","—")</f>
        <v>—</v>
      </c>
    </row>
    <row r="34" customFormat="false" ht="31.5" hidden="false" customHeight="true" outlineLevel="0" collapsed="false">
      <c r="A34" s="6" t="s">
        <v>94</v>
      </c>
      <c r="B34" s="21" t="str">
        <f aca="true">IF((LARGE($B$62:$B$85,3)&gt;-100000000),"Close at value  "&amp;TEXT(VALUE(INDIRECT("'"&amp;INDEX($A$62:$A$85,MATCH(LARGE($B$62:$B$85,3),$B$62:$B$85,0))&amp;"'!G$38"))*(1-Settings!$B$17),"$0.00")&amp;" / contract  (≈ "&amp;TEXT(IFERROR(IF(VALUE(INDIRECT("'"&amp;INDEX($A$62:$A$85,MATCH(LARGE($B$62:$B$85,3),$B$62:$B$85,0))&amp;"'!H$38"))&gt;0,FLOOR(MIN(MIN(Settings!$B$5,Settings!$B$6*Settings!$B$3)/Settings!$B$4,IFERROR(MAX(0,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(1-Settings!$B$17)*100,"$#,##0")&amp;" total to buy back).  Profit  ≈ "&amp;TEXT(IFERROR(IF(VALUE(INDIRECT("'"&amp;INDEX($A$62:$A$85,MATCH(LARGE($B$62:$B$85,3),$B$62:$B$85,0))&amp;"'!H$38"))&gt;0,FLOOR(MIN(MIN(Settings!$B$5,Settings!$B$6*Settings!$B$3)/Settings!$B$4,IFERROR(MAX(0,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Settings!$B$17*100,"$#,##0")&amp;".","—")</f>
        <v>—</v>
      </c>
    </row>
    <row r="35" customFormat="false" ht="31.5" hidden="false" customHeight="true" outlineLevel="0" collapsed="false">
      <c r="A35" s="6" t="s">
        <v>95</v>
      </c>
      <c r="B35" s="21" t="str">
        <f aca="true">IF((LARGE($B$62:$B$85,3)&gt;-100000000),"Cut if value  "&amp;TEXT(VALUE(INDIRECT("'"&amp;INDEX($A$62:$A$85,MATCH(LARGE($B$62:$B$85,3),$B$62:$B$85,0))&amp;"'!G$38"))*Settings!$B$18,"$0.00")&amp;" / contract  (≈ "&amp;TEXT(IFERROR(IF(VALUE(INDIRECT("'"&amp;INDEX($A$62:$A$85,MATCH(LARGE($B$62:$B$85,3),$B$62:$B$85,0))&amp;"'!H$38"))&gt;0,FLOOR(MIN(MIN(Settings!$B$5,Settings!$B$6*Settings!$B$3)/Settings!$B$4,IFERROR(MAX(0,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Settings!$B$18*100,"$#,##0")&amp;" to buy back).  Loss capped  ≈ "&amp;TEXT(IFERROR(IF(VALUE(INDIRECT("'"&amp;INDEX($A$62:$A$85,MATCH(LARGE($B$62:$B$85,3),$B$62:$B$85,0))&amp;"'!H$38"))&gt;0,FLOOR(MIN(MIN(Settings!$B$5,Settings!$B$6*Settings!$B$3)/Settings!$B$4,IFERROR(MAX(0,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(Settings!$B$18-1)*100,"$#,##0")&amp;".","—")</f>
        <v>—</v>
      </c>
    </row>
    <row r="36" customFormat="false" ht="15" hidden="false" customHeight="false" outlineLevel="0" collapsed="false">
      <c r="A36" s="6" t="s">
        <v>96</v>
      </c>
      <c r="B36" s="21" t="str">
        <f aca="true">IF((LARGE($B$62:$B$85,3)&gt;-100000000),TEXT(INDIRECT("'"&amp;INDEX($A$62:$A$85,MATCH(LARGE($B$62:$B$85,3),$B$62:$B$85,0))&amp;"'!J$38"),"0.000")&amp;"   (= EV ÷ MaxLoss.  &gt;0.10 decent, &gt;0.15 good, &lt;0.05 weak.)","—")</f>
        <v>—</v>
      </c>
    </row>
    <row r="37" customFormat="false" ht="36" hidden="false" customHeight="true" outlineLevel="0" collapsed="false">
      <c r="A37" s="6" t="s">
        <v>97</v>
      </c>
      <c r="B37" s="21" t="str">
        <f aca="true">IF((LARGE($B$62:$B$85,3)&gt;-100000000),IF(INDIRECT("'"&amp;INDEX($A$62:$A$85,MATCH(LARGE($B$62:$B$85,3),$B$62:$B$85,0))&amp;"'!K$38")="GO","All gates pass.  POP="&amp;TEXT(VALUE(INDIRECT("'"&amp;INDEX($A$62:$A$85,MATCH(LARGE($B$62:$B$85,3),$B$62:$B$85,0))&amp;"'!I$38")),"0.0%")&amp;"  |  EV/MaxLoss="&amp;TEXT(INDIRECT("'"&amp;INDEX($A$62:$A$85,MATCH(LARGE($B$62:$B$85,3),$B$62:$B$85,0))&amp;"'!J$38"),"0.000")&amp;".","Best available, but waiting on: "&amp;INDIRECT("'"&amp;INDEX($A$62:$A$85,MATCH(LARGE($B$62:$B$85,3),$B$62:$B$85,0))&amp;"'!K$38")&amp;".  See the "&amp;INDEX($A$62:$A$85,MATCH(LARGE($B$62:$B$85,3),$B$62:$B$85,0))&amp;" tab for details."),"—")</f>
        <v>—</v>
      </c>
    </row>
    <row r="38" customFormat="false" ht="15" hidden="false" customHeight="false" outlineLevel="0" collapsed="false">
      <c r="A38" s="6" t="s">
        <v>98</v>
      </c>
      <c r="B38" s="21" t="str">
        <f aca="false">IF((LARGE($B$62:$B$85,3)&gt;-100000000),"For full details, click the "&amp;INDEX($A$62:$A$85,MATCH(LARGE($B$62:$B$85,3),$B$62:$B$85,0))&amp;" tab.","—")</f>
        <v>—</v>
      </c>
    </row>
    <row r="43" customFormat="false" ht="25.5" hidden="false" customHeight="true" outlineLevel="0" collapsed="false">
      <c r="A43" s="5" t="s">
        <v>99</v>
      </c>
      <c r="B43" s="5"/>
    </row>
    <row r="44" customFormat="false" ht="25.5" hidden="false" customHeight="true" outlineLevel="0" collapsed="false">
      <c r="A44" s="6" t="s">
        <v>100</v>
      </c>
      <c r="B44" s="21" t="str">
        <f aca="true">"If you open all 3 spreads:  collect "&amp;TEXT((IF((LARGE($B$62:$B$85,1)&gt;-100000000),IFERROR(IF(VALUE(INDIRECT("'"&amp;INDEX($A$62:$A$85,MATCH(LARGE($B$62:$B$85,1),$B$62:$B$85,0))&amp;"'!H$38"))&gt;0,FLOOR(MIN(MIN(Settings!$B$5,Settings!$B$6*Settings!$B$3)/Settings!$B$4,IFERROR(MAX(0,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100,0)+IF((LARGE($B$62:$B$85,2)&gt;-100000000),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100,0)+IF((LARGE($B$62:$B$85,3)&gt;-100000000),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100,0)),"$#,##0")&amp;" upfront."</f>
        <v>If you open all 3 spreads:  collect $0 upfront.</v>
      </c>
    </row>
    <row r="45" customFormat="false" ht="27.75" hidden="false" customHeight="true" outlineLevel="0" collapsed="false">
      <c r="A45" s="6" t="s">
        <v>101</v>
      </c>
      <c r="B45" s="21" t="str">
        <f aca="true">"Worst case across the book if all hit max loss:  "&amp;TEXT((IF((LARGE($B$62:$B$85,1)&gt;-100000000),IFERROR(IF(VALUE(INDIRECT("'"&amp;INDEX($A$62:$A$85,MATCH(LARGE($B$62:$B$85,1),$B$62:$B$85,0))&amp;"'!H$38"))&gt;0,FLOOR(MIN(MIN(Settings!$B$5,Settings!$B$6*Settings!$B$3)/Settings!$B$4,IFERROR(MAX(0,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H$38"))*100,0)+IF((LARGE($B$62:$B$85,2)&gt;-100000000),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H$38"))*100,0)+IF((LARGE($B$62:$B$85,3)&gt;-100000000),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H$38"))*100,0)),"$#,##0")&amp;".  Stay below "&amp;TEXT(MIN(Settings!$B$5,Settings!$B$6*Settings!$B$3),"$#,##0")&amp;" cap."</f>
        <v>Worst case across the book if all hit max loss:  $0.  Stay below $5,500 cap.</v>
      </c>
    </row>
    <row r="46" customFormat="false" ht="15" hidden="false" customHeight="false" outlineLevel="0" collapsed="false">
      <c r="A46" s="6" t="s">
        <v>102</v>
      </c>
      <c r="B46" s="21" t="str">
        <f aca="true">"Net profit on spreads  ≈ "&amp;TEXT((IF((LARGE($B$62:$B$85,1)&gt;-100000000),IFERROR(IF(VALUE(INDIRECT("'"&amp;INDEX($A$62:$A$85,MATCH(LARGE($B$62:$B$85,1),$B$62:$B$85,0))&amp;"'!H$38"))&gt;0,FLOOR(MIN(MIN(Settings!$B$5,Settings!$B$6*Settings!$B$3)/Settings!$B$4,IFERROR(MAX(0,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100,0)+IF((LARGE($B$62:$B$85,2)&gt;-100000000),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100,0)+IF((LARGE($B$62:$B$85,3)&gt;-100000000),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100,0))*0.5,"$#,##0")&amp;"."</f>
        <v>Net profit on spreads  ≈ $0.</v>
      </c>
    </row>
    <row r="47" customFormat="false" ht="15" hidden="false" customHeight="false" outlineLevel="0" collapsed="false">
      <c r="A47" s="6" t="s">
        <v>103</v>
      </c>
      <c r="B47" s="21" t="str">
        <f aca="false">IFERROR("Buy hedge from UVXY tab — current cost  ≈ "&amp;TEXT(VALUE(UVXY!$B$19),"$#,##0")&amp;".","")</f>
        <v>Buy hedge from UVXY tab — current cost  ≈ $0.</v>
      </c>
    </row>
    <row r="48" customFormat="false" ht="25.5" hidden="false" customHeight="true" outlineLevel="0" collapsed="false">
      <c r="A48" s="6" t="s">
        <v>104</v>
      </c>
      <c r="B48" s="21" t="str">
        <f aca="true">IFERROR("Spreads (50% TP) − Hedge  ≈ "&amp;TEXT((IF((LARGE($B$62:$B$85,1)&gt;-100000000),IFERROR(IF(VALUE(INDIRECT("'"&amp;INDEX($A$62:$A$85,MATCH(LARGE($B$62:$B$85,1),$B$62:$B$85,0))&amp;"'!H$38"))&gt;0,FLOOR(MIN(MIN(Settings!$B$5,Settings!$B$6*Settings!$B$3)/Settings!$B$4,IFERROR(MAX(0,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G$38"))*100,0)+IF((LARGE($B$62:$B$85,2)&gt;-100000000),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G$38"))*100,0)+IF((LARGE($B$62:$B$85,3)&gt;-100000000),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G$38"))*100,0))*0.5 - VALUE(UVXY!$B$19),"$#,##0")&amp;".","")</f>
        <v>Spreads (50% TP) − Hedge  ≈ $0.</v>
      </c>
    </row>
    <row r="49" customFormat="false" ht="15" hidden="false" customHeight="false" outlineLevel="0" collapsed="false">
      <c r="A49" s="6" t="s">
        <v>105</v>
      </c>
      <c r="B49" s="21" t="str">
        <f aca="true">"Top-3 max loss is "&amp;TEXT(IFERROR((IF((LARGE($B$62:$B$85,1)&gt;-100000000),IFERROR(IF(VALUE(INDIRECT("'"&amp;INDEX($A$62:$A$85,MATCH(LARGE($B$62:$B$85,1),$B$62:$B$85,0))&amp;"'!H$38"))&gt;0,FLOOR(MIN(MIN(Settings!$B$5,Settings!$B$6*Settings!$B$3)/Settings!$B$4,IFERROR(MAX(0, VALUE(INDIRECT("'"&amp;INDEX($A$62:$A$85,MATCH(LARGE($B$62:$B$85,1),$B$62:$B$85,0))&amp;"'!I$38")) - (1-VALUE(INDIRECT("'"&amp;INDEX($A$62:$A$85,MATCH(LARGE($B$62:$B$85,1),$B$62:$B$85,0))&amp;"'!I$38"))) / (VALUE(INDIRECT("'"&amp;INDEX($A$62:$A$85,MATCH(LARGE($B$62:$B$85,1),$B$62:$B$85,0))&amp;"'!G$38"))/VALUE(INDIRECT("'"&amp;INDEX($A$62:$A$85,MATCH(LARGE($B$62:$B$85,1),$B$62:$B$85,0))&amp;"'!H$38"))))*Settings!$B$7*Settings!$B$3,0))/(VALUE(INDIRECT("'"&amp;INDEX($A$62:$A$85,MATCH(LARGE($B$62:$B$85,1),$B$62:$B$85,0))&amp;"'!H$38"))*100),1),0),0)*VALUE(INDIRECT("'"&amp;INDEX($A$62:$A$85,MATCH(LARGE($B$62:$B$85,1),$B$62:$B$85,0))&amp;"'!H$38"))*100,0)+IF((LARGE($B$62:$B$85,2)&gt;-100000000),IFERROR(IF(VALUE(INDIRECT("'"&amp;INDEX($A$62:$A$85,MATCH(LARGE($B$62:$B$85,2),$B$62:$B$85,0))&amp;"'!H$38"))&gt;0,FLOOR(MIN(MIN(Settings!$B$5,Settings!$B$6*Settings!$B$3)/Settings!$B$4,IFERROR(MAX(0, VALUE(INDIRECT("'"&amp;INDEX($A$62:$A$85,MATCH(LARGE($B$62:$B$85,2),$B$62:$B$85,0))&amp;"'!I$38")) - (1-VALUE(INDIRECT("'"&amp;INDEX($A$62:$A$85,MATCH(LARGE($B$62:$B$85,2),$B$62:$B$85,0))&amp;"'!I$38"))) / (VALUE(INDIRECT("'"&amp;INDEX($A$62:$A$85,MATCH(LARGE($B$62:$B$85,2),$B$62:$B$85,0))&amp;"'!G$38"))/VALUE(INDIRECT("'"&amp;INDEX($A$62:$A$85,MATCH(LARGE($B$62:$B$85,2),$B$62:$B$85,0))&amp;"'!H$38"))))*Settings!$B$7*Settings!$B$3,0))/(VALUE(INDIRECT("'"&amp;INDEX($A$62:$A$85,MATCH(LARGE($B$62:$B$85,2),$B$62:$B$85,0))&amp;"'!H$38"))*100),1),0),0)*VALUE(INDIRECT("'"&amp;INDEX($A$62:$A$85,MATCH(LARGE($B$62:$B$85,2),$B$62:$B$85,0))&amp;"'!H$38"))*100,0)+IF((LARGE($B$62:$B$85,3)&gt;-100000000),IFERROR(IF(VALUE(INDIRECT("'"&amp;INDEX($A$62:$A$85,MATCH(LARGE($B$62:$B$85,3),$B$62:$B$85,0))&amp;"'!H$38"))&gt;0,FLOOR(MIN(MIN(Settings!$B$5,Settings!$B$6*Settings!$B$3)/Settings!$B$4,IFERROR(MAX(0, VALUE(INDIRECT("'"&amp;INDEX($A$62:$A$85,MATCH(LARGE($B$62:$B$85,3),$B$62:$B$85,0))&amp;"'!I$38")) - (1-VALUE(INDIRECT("'"&amp;INDEX($A$62:$A$85,MATCH(LARGE($B$62:$B$85,3),$B$62:$B$85,0))&amp;"'!I$38"))) / (VALUE(INDIRECT("'"&amp;INDEX($A$62:$A$85,MATCH(LARGE($B$62:$B$85,3),$B$62:$B$85,0))&amp;"'!G$38"))/VALUE(INDIRECT("'"&amp;INDEX($A$62:$A$85,MATCH(LARGE($B$62:$B$85,3),$B$62:$B$85,0))&amp;"'!H$38"))))*Settings!$B$7*Settings!$B$3,0))/(VALUE(INDIRECT("'"&amp;INDEX($A$62:$A$85,MATCH(LARGE($B$62:$B$85,3),$B$62:$B$85,0))&amp;"'!H$38"))*100),1),0),0)*VALUE(INDIRECT("'"&amp;INDEX($A$62:$A$85,MATCH(LARGE($B$62:$B$85,3),$B$62:$B$85,0))&amp;"'!H$38"))*100,0))/Settings!$B$3,0),"0.0%")&amp;" of your "&amp;TEXT(Settings!$B$3,"$#,##0")&amp;" account."</f>
        <v>Top-3 max loss is 0.0% of your $50,000 account.</v>
      </c>
    </row>
    <row r="60" customFormat="false" ht="15" hidden="false" customHeight="true" outlineLevel="0" collapsed="false">
      <c r="A60" s="5" t="s">
        <v>106</v>
      </c>
      <c r="B60" s="5"/>
    </row>
    <row r="61" customFormat="false" ht="15" hidden="false" customHeight="false" outlineLevel="0" collapsed="false">
      <c r="A61" s="14" t="s">
        <v>107</v>
      </c>
      <c r="B61" s="14" t="s">
        <v>108</v>
      </c>
    </row>
    <row r="62" customFormat="false" ht="15" hidden="false" customHeight="false" outlineLevel="0" collapsed="false">
      <c r="A62" s="18" t="s">
        <v>109</v>
      </c>
      <c r="B62" s="22" t="n">
        <f aca="false">SPY!$L$38</f>
        <v>-1000000000</v>
      </c>
    </row>
    <row r="63" customFormat="false" ht="15" hidden="false" customHeight="false" outlineLevel="0" collapsed="false">
      <c r="A63" s="18" t="s">
        <v>110</v>
      </c>
      <c r="B63" s="22" t="n">
        <f aca="false">IWM!$L$38</f>
        <v>-1000000000</v>
      </c>
    </row>
    <row r="64" customFormat="false" ht="15" hidden="false" customHeight="false" outlineLevel="0" collapsed="false">
      <c r="A64" s="18" t="s">
        <v>111</v>
      </c>
      <c r="B64" s="22" t="n">
        <f aca="false">QQQ!$L$38</f>
        <v>-1000000000</v>
      </c>
    </row>
    <row r="65" customFormat="false" ht="15" hidden="false" customHeight="false" outlineLevel="0" collapsed="false">
      <c r="A65" s="18" t="s">
        <v>112</v>
      </c>
      <c r="B65" s="22" t="n">
        <f aca="false">XLB!$L$38</f>
        <v>-1000000000</v>
      </c>
    </row>
    <row r="66" customFormat="false" ht="15" hidden="false" customHeight="false" outlineLevel="0" collapsed="false">
      <c r="A66" s="18" t="s">
        <v>113</v>
      </c>
      <c r="B66" s="22" t="n">
        <f aca="false">XLC!$L$38</f>
        <v>-1000000000</v>
      </c>
    </row>
    <row r="67" customFormat="false" ht="15" hidden="false" customHeight="false" outlineLevel="0" collapsed="false">
      <c r="A67" s="18" t="s">
        <v>114</v>
      </c>
      <c r="B67" s="22" t="n">
        <f aca="false">XLE!$L$38</f>
        <v>-1000000000</v>
      </c>
    </row>
    <row r="68" customFormat="false" ht="15" hidden="false" customHeight="false" outlineLevel="0" collapsed="false">
      <c r="A68" s="18" t="s">
        <v>115</v>
      </c>
      <c r="B68" s="22" t="n">
        <f aca="false">XLF!$L$38</f>
        <v>-1000000000</v>
      </c>
    </row>
    <row r="69" customFormat="false" ht="15" hidden="false" customHeight="false" outlineLevel="0" collapsed="false">
      <c r="A69" s="18" t="s">
        <v>116</v>
      </c>
      <c r="B69" s="22" t="n">
        <f aca="false">XLI!$L$38</f>
        <v>-1000000000</v>
      </c>
    </row>
    <row r="70" customFormat="false" ht="15" hidden="false" customHeight="false" outlineLevel="0" collapsed="false">
      <c r="A70" s="18" t="s">
        <v>117</v>
      </c>
      <c r="B70" s="22" t="n">
        <f aca="false">XLK!$L$38</f>
        <v>-1000000000</v>
      </c>
    </row>
    <row r="71" customFormat="false" ht="15" hidden="false" customHeight="false" outlineLevel="0" collapsed="false">
      <c r="A71" s="18" t="s">
        <v>118</v>
      </c>
      <c r="B71" s="22" t="n">
        <f aca="false">XLP!$L$38</f>
        <v>-1000000000</v>
      </c>
    </row>
    <row r="72" customFormat="false" ht="15" hidden="false" customHeight="false" outlineLevel="0" collapsed="false">
      <c r="A72" s="18" t="s">
        <v>119</v>
      </c>
      <c r="B72" s="22" t="n">
        <f aca="false">XLRE!$L$38</f>
        <v>-1000000000</v>
      </c>
    </row>
    <row r="73" customFormat="false" ht="15" hidden="false" customHeight="false" outlineLevel="0" collapsed="false">
      <c r="A73" s="18" t="s">
        <v>120</v>
      </c>
      <c r="B73" s="22" t="n">
        <f aca="false">XLU!$L$38</f>
        <v>-1000000000</v>
      </c>
    </row>
    <row r="74" customFormat="false" ht="15" hidden="false" customHeight="false" outlineLevel="0" collapsed="false">
      <c r="A74" s="18" t="s">
        <v>121</v>
      </c>
      <c r="B74" s="22" t="n">
        <f aca="false">XLV!$L$38</f>
        <v>-1000000000</v>
      </c>
    </row>
    <row r="75" customFormat="false" ht="15" hidden="false" customHeight="false" outlineLevel="0" collapsed="false">
      <c r="A75" s="18" t="s">
        <v>122</v>
      </c>
      <c r="B75" s="22" t="n">
        <f aca="false">XLY!$L$38</f>
        <v>-1000000000</v>
      </c>
    </row>
    <row r="76" customFormat="false" ht="15" hidden="false" customHeight="false" outlineLevel="0" collapsed="false">
      <c r="A76" s="18" t="s">
        <v>123</v>
      </c>
      <c r="B76" s="22" t="n">
        <f aca="false">GLD!$L$38</f>
        <v>-1000000000</v>
      </c>
    </row>
    <row r="77" customFormat="false" ht="15" hidden="false" customHeight="false" outlineLevel="0" collapsed="false">
      <c r="A77" s="18" t="s">
        <v>124</v>
      </c>
      <c r="B77" s="22" t="n">
        <f aca="false">GDX!$L$38</f>
        <v>-1000000000</v>
      </c>
    </row>
    <row r="78" customFormat="false" ht="15" hidden="false" customHeight="false" outlineLevel="0" collapsed="false">
      <c r="A78" s="18" t="s">
        <v>125</v>
      </c>
      <c r="B78" s="22" t="n">
        <f aca="false">TLT!$L$38</f>
        <v>-1000000000</v>
      </c>
    </row>
    <row r="79" customFormat="false" ht="15" hidden="false" customHeight="false" outlineLevel="0" collapsed="false">
      <c r="A79" s="18" t="s">
        <v>126</v>
      </c>
      <c r="B79" s="22" t="n">
        <f aca="false">XOP!$L$38</f>
        <v>-1000000000</v>
      </c>
    </row>
    <row r="80" customFormat="false" ht="15" hidden="false" customHeight="false" outlineLevel="0" collapsed="false">
      <c r="A80" s="18" t="s">
        <v>127</v>
      </c>
      <c r="B80" s="22" t="n">
        <f aca="false">EEM!$L$38</f>
        <v>-1000000000</v>
      </c>
    </row>
    <row r="81" customFormat="false" ht="15" hidden="false" customHeight="false" outlineLevel="0" collapsed="false">
      <c r="A81" s="18" t="s">
        <v>128</v>
      </c>
      <c r="B81" s="22" t="n">
        <f aca="false">FXI!$L$38</f>
        <v>-1000000000</v>
      </c>
    </row>
    <row r="82" customFormat="false" ht="15" hidden="false" customHeight="false" outlineLevel="0" collapsed="false">
      <c r="A82" s="18" t="s">
        <v>129</v>
      </c>
      <c r="B82" s="22" t="n">
        <f aca="false">EWZ!$L$38</f>
        <v>-1000000000</v>
      </c>
    </row>
    <row r="83" customFormat="false" ht="15" hidden="false" customHeight="false" outlineLevel="0" collapsed="false">
      <c r="A83" s="18" t="s">
        <v>130</v>
      </c>
      <c r="B83" s="22" t="n">
        <f aca="false">INDA!$L$38</f>
        <v>-1000000000</v>
      </c>
    </row>
    <row r="84" customFormat="false" ht="15" hidden="false" customHeight="false" outlineLevel="0" collapsed="false">
      <c r="A84" s="18" t="s">
        <v>131</v>
      </c>
      <c r="B84" s="22" t="n">
        <f aca="false">EWW!$L$38</f>
        <v>-1000000000</v>
      </c>
    </row>
    <row r="85" customFormat="false" ht="15" hidden="false" customHeight="false" outlineLevel="0" collapsed="false">
      <c r="A85" s="18" t="s">
        <v>132</v>
      </c>
      <c r="B85" s="22" t="n">
        <f aca="false">EWY!$L$38</f>
        <v>-1000000000</v>
      </c>
    </row>
  </sheetData>
  <mergeCells count="6">
    <mergeCell ref="A1:B1"/>
    <mergeCell ref="A4:B4"/>
    <mergeCell ref="A17:B17"/>
    <mergeCell ref="A30:B30"/>
    <mergeCell ref="A43:B43"/>
    <mergeCell ref="A60:B60"/>
  </mergeCells>
  <conditionalFormatting sqref="A4:B4">
    <cfRule type="expression" priority="2" aboveAverage="0" equalAverage="0" bottom="0" percent="0" rank="0" text="" dxfId="0">
      <formula>AND((LARGE($B$62:$B$85,1)&gt;-100000000),INDIRECT("'"&amp;INDEX($A$62:$A$85,MATCH(LARGE($B$62:$B$85,1),$B$62:$B$85,0))&amp;"'!K$38")="GO")</formula>
    </cfRule>
    <cfRule type="expression" priority="3" aboveAverage="0" equalAverage="0" bottom="0" percent="0" rank="0" text="" dxfId="1">
      <formula>AND((LARGE($B$62:$B$85,1)&gt;-100000000),INDIRECT("'"&amp;INDEX($A$62:$A$85,MATCH(LARGE($B$62:$B$85,1),$B$62:$B$85,0))&amp;"'!K$38")&lt;&gt;"GO")</formula>
    </cfRule>
  </conditionalFormatting>
  <conditionalFormatting sqref="A17:B17">
    <cfRule type="expression" priority="4" aboveAverage="0" equalAverage="0" bottom="0" percent="0" rank="0" text="" dxfId="0">
      <formula>AND((LARGE($B$62:$B$85,2)&gt;-100000000),INDIRECT("'"&amp;INDEX($A$62:$A$85,MATCH(LARGE($B$62:$B$85,2),$B$62:$B$85,0))&amp;"'!K$38")="GO")</formula>
    </cfRule>
    <cfRule type="expression" priority="5" aboveAverage="0" equalAverage="0" bottom="0" percent="0" rank="0" text="" dxfId="1">
      <formula>AND((LARGE($B$62:$B$85,2)&gt;-100000000),INDIRECT("'"&amp;INDEX($A$62:$A$85,MATCH(LARGE($B$62:$B$85,2),$B$62:$B$85,0))&amp;"'!K$38")&lt;&gt;"GO")</formula>
    </cfRule>
  </conditionalFormatting>
  <conditionalFormatting sqref="A30:B30">
    <cfRule type="expression" priority="6" aboveAverage="0" equalAverage="0" bottom="0" percent="0" rank="0" text="" dxfId="0">
      <formula>AND((LARGE($B$62:$B$85,3)&gt;-100000000),INDIRECT("'"&amp;INDEX($A$62:$A$85,MATCH(LARGE($B$62:$B$85,3),$B$62:$B$85,0))&amp;"'!K$38")="GO")</formula>
    </cfRule>
    <cfRule type="expression" priority="7" aboveAverage="0" equalAverage="0" bottom="0" percent="0" rank="0" text="" dxfId="1">
      <formula>AND((LARGE($B$62:$B$85,3)&gt;-100000000),INDIRECT("'"&amp;INDEX($A$62:$A$85,MATCH(LARGE($B$62:$B$85,3),$B$62:$B$85,0))&amp;"'!K$38")&lt;&gt;"GO")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133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109</v>
      </c>
      <c r="B4" s="23" t="s">
        <v>140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5</v>
      </c>
      <c r="C8" s="26"/>
      <c r="D8" s="25" t="n">
        <f aca="false">IF(C8="",B8,C8)</f>
        <v>5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"SPY"&amp;" US "&amp;TEXT(E16,"mm/dd/yy")&amp;" "&amp;"P"&amp;IF(D16=INT(D16),INT(D16),D16)&amp;" Equity"</f>
        <v>SPY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-5</v>
      </c>
      <c r="E17" s="27" t="n">
        <f aca="false">$D$9</f>
        <v>46220</v>
      </c>
      <c r="F17" s="18" t="str">
        <f aca="false">"SPY"&amp;" US "&amp;TEXT(E17,"mm/dd/yy")&amp;" "&amp;"P"&amp;IF(D17=INT(D17),INT(D17),D17)&amp;" Equity"</f>
        <v>SPY US 07/17/26 P-5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"SPY"&amp;" US "&amp;TEXT(E18,"mm/dd/yy")&amp;" "&amp;"P"&amp;IF(D18=INT(D18),INT(D18),D18)&amp;" Equity"</f>
        <v>SPY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-5</v>
      </c>
      <c r="E19" s="27" t="n">
        <f aca="false">$D$10</f>
        <v>46255</v>
      </c>
      <c r="F19" s="18" t="str">
        <f aca="false">"SPY"&amp;" US "&amp;TEXT(E19,"mm/dd/yy")&amp;" "&amp;"P"&amp;IF(D19=INT(D19),INT(D19),D19)&amp;" Equity"</f>
        <v>SPY US 08/21/26 P-5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-5</v>
      </c>
      <c r="F22" s="25" t="n">
        <f aca="false">$D$8</f>
        <v>5</v>
      </c>
      <c r="G22" s="30" t="n">
        <f aca="false">IFERROR(L16-L17,0)</f>
        <v>0</v>
      </c>
      <c r="H22" s="30" t="n">
        <f aca="false">IFERROR(F22-G22,0)</f>
        <v>5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-5</v>
      </c>
      <c r="F23" s="25" t="n">
        <f aca="false">$D$8</f>
        <v>5</v>
      </c>
      <c r="G23" s="30" t="n">
        <f aca="false">IFERROR(L18-L19,0)</f>
        <v>0</v>
      </c>
      <c r="H23" s="30" t="n">
        <f aca="false">IFERROR(F23-G23,0)</f>
        <v>5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"SPY"&amp;" US "&amp;TEXT(E27,"mm/dd/yy")&amp;" "&amp;"C"&amp;IF(D27=INT(D27),INT(D27),D27)&amp;" Equity"</f>
        <v>SPY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5</v>
      </c>
      <c r="E28" s="27" t="n">
        <f aca="false">$D$9</f>
        <v>46220</v>
      </c>
      <c r="F28" s="18" t="str">
        <f aca="false">"SPY"&amp;" US "&amp;TEXT(E28,"mm/dd/yy")&amp;" "&amp;"C"&amp;IF(D28=INT(D28),INT(D28),D28)&amp;" Equity"</f>
        <v>SPY US 07/17/26 C5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"SPY"&amp;" US "&amp;TEXT(E29,"mm/dd/yy")&amp;" "&amp;"C"&amp;IF(D29=INT(D29),INT(D29),D29)&amp;" Equity"</f>
        <v>SPY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5</v>
      </c>
      <c r="E30" s="27" t="n">
        <f aca="false">$D$10</f>
        <v>46255</v>
      </c>
      <c r="F30" s="18" t="str">
        <f aca="false">"SPY"&amp;" US "&amp;TEXT(E30,"mm/dd/yy")&amp;" "&amp;"C"&amp;IF(D30=INT(D30),INT(D30),D30)&amp;" Equity"</f>
        <v>SPY US 08/21/26 C5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5</v>
      </c>
      <c r="F33" s="25" t="n">
        <f aca="false">$D$8</f>
        <v>5</v>
      </c>
      <c r="G33" s="30" t="n">
        <f aca="false">IFERROR(L27-L28,0)</f>
        <v>0</v>
      </c>
      <c r="H33" s="30" t="n">
        <f aca="false">IFERROR(F33-G33,0)</f>
        <v>5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5</v>
      </c>
      <c r="F34" s="25" t="n">
        <f aca="false">$D$8</f>
        <v>5</v>
      </c>
      <c r="G34" s="30" t="n">
        <f aca="false">IFERROR(L29-L30,0)</f>
        <v>0</v>
      </c>
      <c r="H34" s="30" t="n">
        <f aca="false">IFERROR(F34-G34,0)</f>
        <v>5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-5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5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191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110</v>
      </c>
      <c r="B4" s="23" t="s">
        <v>192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IF($E$4=0,0,FLOOR($E$4*(1-0.06)/$D$8,1)*$D$8)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IF($E$4=0,0,CEILING($E$4*(1+0.06)/$D$8,1)*$D$8)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"IWM"&amp;" US "&amp;TEXT(E16,"mm/dd/yy")&amp;" "&amp;"P"&amp;IF(D16=INT(D16),INT(D16),D16)&amp;" Equity"</f>
        <v>IWM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"IWM"&amp;" US "&amp;TEXT(E17,"mm/dd/yy")&amp;" "&amp;"P"&amp;IF(D17=INT(D17),INT(D17),D17)&amp;" Equity"</f>
        <v>IWM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"IWM"&amp;" US "&amp;TEXT(E18,"mm/dd/yy")&amp;" "&amp;"P"&amp;IF(D18=INT(D18),INT(D18),D18)&amp;" Equity"</f>
        <v>IWM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"IWM"&amp;" US "&amp;TEXT(E19,"mm/dd/yy")&amp;" "&amp;"P"&amp;IF(D19=INT(D19),INT(D19),D19)&amp;" Equity"</f>
        <v>IWM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"IWM"&amp;" US "&amp;TEXT(E27,"mm/dd/yy")&amp;" "&amp;"C"&amp;IF(D27=INT(D27),INT(D27),D27)&amp;" Equity"</f>
        <v>IWM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"IWM"&amp;" US "&amp;TEXT(E28,"mm/dd/yy")&amp;" "&amp;"C"&amp;IF(D28=INT(D28),INT(D28),D28)&amp;" Equity"</f>
        <v>IWM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"IWM"&amp;" US "&amp;TEXT(E29,"mm/dd/yy")&amp;" "&amp;"C"&amp;IF(D29=INT(D29),INT(D29),D29)&amp;" Equity"</f>
        <v>IWM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"IWM"&amp;" US "&amp;TEXT(E30,"mm/dd/yy")&amp;" "&amp;"C"&amp;IF(D30=INT(D30),INT(D30),D30)&amp;" Equity"</f>
        <v>IWM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193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111</v>
      </c>
      <c r="B4" s="23" t="s">
        <v>194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5</v>
      </c>
      <c r="C8" s="26"/>
      <c r="D8" s="25" t="n">
        <f aca="false">IF(C8="",B8,C8)</f>
        <v>5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IF($E$4=0,0,FLOOR($E$4*(1-0.06)/$D$8,1)*$D$8)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IF($E$4=0,0,CEILING($E$4*(1+0.06)/$D$8,1)*$D$8)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"QQQ"&amp;" US "&amp;TEXT(E16,"mm/dd/yy")&amp;" "&amp;"P"&amp;IF(D16=INT(D16),INT(D16),D16)&amp;" Equity"</f>
        <v>QQQ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-5</v>
      </c>
      <c r="E17" s="27" t="n">
        <f aca="false">$D$9</f>
        <v>46220</v>
      </c>
      <c r="F17" s="18" t="str">
        <f aca="false">"QQQ"&amp;" US "&amp;TEXT(E17,"mm/dd/yy")&amp;" "&amp;"P"&amp;IF(D17=INT(D17),INT(D17),D17)&amp;" Equity"</f>
        <v>QQQ US 07/17/26 P-5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"QQQ"&amp;" US "&amp;TEXT(E18,"mm/dd/yy")&amp;" "&amp;"P"&amp;IF(D18=INT(D18),INT(D18),D18)&amp;" Equity"</f>
        <v>QQQ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-5</v>
      </c>
      <c r="E19" s="27" t="n">
        <f aca="false">$D$10</f>
        <v>46255</v>
      </c>
      <c r="F19" s="18" t="str">
        <f aca="false">"QQQ"&amp;" US "&amp;TEXT(E19,"mm/dd/yy")&amp;" "&amp;"P"&amp;IF(D19=INT(D19),INT(D19),D19)&amp;" Equity"</f>
        <v>QQQ US 08/21/26 P-5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-5</v>
      </c>
      <c r="F22" s="25" t="n">
        <f aca="false">$D$8</f>
        <v>5</v>
      </c>
      <c r="G22" s="30" t="n">
        <f aca="false">IFERROR(L16-L17,0)</f>
        <v>0</v>
      </c>
      <c r="H22" s="30" t="n">
        <f aca="false">IFERROR(F22-G22,0)</f>
        <v>5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-5</v>
      </c>
      <c r="F23" s="25" t="n">
        <f aca="false">$D$8</f>
        <v>5</v>
      </c>
      <c r="G23" s="30" t="n">
        <f aca="false">IFERROR(L18-L19,0)</f>
        <v>0</v>
      </c>
      <c r="H23" s="30" t="n">
        <f aca="false">IFERROR(F23-G23,0)</f>
        <v>5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"QQQ"&amp;" US "&amp;TEXT(E27,"mm/dd/yy")&amp;" "&amp;"C"&amp;IF(D27=INT(D27),INT(D27),D27)&amp;" Equity"</f>
        <v>QQQ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5</v>
      </c>
      <c r="E28" s="27" t="n">
        <f aca="false">$D$9</f>
        <v>46220</v>
      </c>
      <c r="F28" s="18" t="str">
        <f aca="false">"QQQ"&amp;" US "&amp;TEXT(E28,"mm/dd/yy")&amp;" "&amp;"C"&amp;IF(D28=INT(D28),INT(D28),D28)&amp;" Equity"</f>
        <v>QQQ US 07/17/26 C5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"QQQ"&amp;" US "&amp;TEXT(E29,"mm/dd/yy")&amp;" "&amp;"C"&amp;IF(D29=INT(D29),INT(D29),D29)&amp;" Equity"</f>
        <v>QQQ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5</v>
      </c>
      <c r="E30" s="27" t="n">
        <f aca="false">$D$10</f>
        <v>46255</v>
      </c>
      <c r="F30" s="18" t="str">
        <f aca="false">"QQQ"&amp;" US "&amp;TEXT(E30,"mm/dd/yy")&amp;" "&amp;"C"&amp;IF(D30=INT(D30),INT(D30),D30)&amp;" Equity"</f>
        <v>QQQ US 08/21/26 C5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5</v>
      </c>
      <c r="F33" s="25" t="n">
        <f aca="false">$D$8</f>
        <v>5</v>
      </c>
      <c r="G33" s="30" t="n">
        <f aca="false">IFERROR(L27-L28,0)</f>
        <v>0</v>
      </c>
      <c r="H33" s="30" t="n">
        <f aca="false">IFERROR(F33-G33,0)</f>
        <v>5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5</v>
      </c>
      <c r="F34" s="25" t="n">
        <f aca="false">$D$8</f>
        <v>5</v>
      </c>
      <c r="G34" s="30" t="n">
        <f aca="false">IFERROR(L29-L30,0)</f>
        <v>0</v>
      </c>
      <c r="H34" s="30" t="n">
        <f aca="false">IFERROR(F34-G34,0)</f>
        <v>5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-5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5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195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112</v>
      </c>
      <c r="B4" s="23" t="s">
        <v>196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"XLB"&amp;" US "&amp;TEXT(E16,"mm/dd/yy")&amp;" "&amp;"P"&amp;IF(D16=INT(D16),INT(D16),D16)&amp;" Equity"</f>
        <v>XLB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"XLB"&amp;" US "&amp;TEXT(E17,"mm/dd/yy")&amp;" "&amp;"P"&amp;IF(D17=INT(D17),INT(D17),D17)&amp;" Equity"</f>
        <v>XLB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"XLB"&amp;" US "&amp;TEXT(E18,"mm/dd/yy")&amp;" "&amp;"P"&amp;IF(D18=INT(D18),INT(D18),D18)&amp;" Equity"</f>
        <v>XLB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"XLB"&amp;" US "&amp;TEXT(E19,"mm/dd/yy")&amp;" "&amp;"P"&amp;IF(D19=INT(D19),INT(D19),D19)&amp;" Equity"</f>
        <v>XLB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"XLB"&amp;" US "&amp;TEXT(E27,"mm/dd/yy")&amp;" "&amp;"C"&amp;IF(D27=INT(D27),INT(D27),D27)&amp;" Equity"</f>
        <v>XLB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"XLB"&amp;" US "&amp;TEXT(E28,"mm/dd/yy")&amp;" "&amp;"C"&amp;IF(D28=INT(D28),INT(D28),D28)&amp;" Equity"</f>
        <v>XLB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"XLB"&amp;" US "&amp;TEXT(E29,"mm/dd/yy")&amp;" "&amp;"C"&amp;IF(D29=INT(D29),INT(D29),D29)&amp;" Equity"</f>
        <v>XLB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"XLB"&amp;" US "&amp;TEXT(E30,"mm/dd/yy")&amp;" "&amp;"C"&amp;IF(D30=INT(D30),INT(D30),D30)&amp;" Equity"</f>
        <v>XLB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197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113</v>
      </c>
      <c r="B4" s="23" t="s">
        <v>198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"XLC"&amp;" US "&amp;TEXT(E16,"mm/dd/yy")&amp;" "&amp;"P"&amp;IF(D16=INT(D16),INT(D16),D16)&amp;" Equity"</f>
        <v>XLC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"XLC"&amp;" US "&amp;TEXT(E17,"mm/dd/yy")&amp;" "&amp;"P"&amp;IF(D17=INT(D17),INT(D17),D17)&amp;" Equity"</f>
        <v>XLC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"XLC"&amp;" US "&amp;TEXT(E18,"mm/dd/yy")&amp;" "&amp;"P"&amp;IF(D18=INT(D18),INT(D18),D18)&amp;" Equity"</f>
        <v>XLC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"XLC"&amp;" US "&amp;TEXT(E19,"mm/dd/yy")&amp;" "&amp;"P"&amp;IF(D19=INT(D19),INT(D19),D19)&amp;" Equity"</f>
        <v>XLC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"XLC"&amp;" US "&amp;TEXT(E27,"mm/dd/yy")&amp;" "&amp;"C"&amp;IF(D27=INT(D27),INT(D27),D27)&amp;" Equity"</f>
        <v>XLC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"XLC"&amp;" US "&amp;TEXT(E28,"mm/dd/yy")&amp;" "&amp;"C"&amp;IF(D28=INT(D28),INT(D28),D28)&amp;" Equity"</f>
        <v>XLC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"XLC"&amp;" US "&amp;TEXT(E29,"mm/dd/yy")&amp;" "&amp;"C"&amp;IF(D29=INT(D29),INT(D29),D29)&amp;" Equity"</f>
        <v>XLC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"XLC"&amp;" US "&amp;TEXT(E30,"mm/dd/yy")&amp;" "&amp;"C"&amp;IF(D30=INT(D30),INT(D30),D30)&amp;" Equity"</f>
        <v>XLC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199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114</v>
      </c>
      <c r="B4" s="23" t="s">
        <v>200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IF($E$4=0,0,FLOOR($E$4*(1-0.06)/$D$8,1)*$D$8)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IF($E$4=0,0,CEILING($E$4*(1+0.06)/$D$8,1)*$D$8)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"XLE"&amp;" US "&amp;TEXT(E16,"mm/dd/yy")&amp;" "&amp;"P"&amp;IF(D16=INT(D16),INT(D16),D16)&amp;" Equity"</f>
        <v>XLE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"XLE"&amp;" US "&amp;TEXT(E17,"mm/dd/yy")&amp;" "&amp;"P"&amp;IF(D17=INT(D17),INT(D17),D17)&amp;" Equity"</f>
        <v>XLE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"XLE"&amp;" US "&amp;TEXT(E18,"mm/dd/yy")&amp;" "&amp;"P"&amp;IF(D18=INT(D18),INT(D18),D18)&amp;" Equity"</f>
        <v>XLE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"XLE"&amp;" US "&amp;TEXT(E19,"mm/dd/yy")&amp;" "&amp;"P"&amp;IF(D19=INT(D19),INT(D19),D19)&amp;" Equity"</f>
        <v>XLE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"XLE"&amp;" US "&amp;TEXT(E27,"mm/dd/yy")&amp;" "&amp;"C"&amp;IF(D27=INT(D27),INT(D27),D27)&amp;" Equity"</f>
        <v>XLE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"XLE"&amp;" US "&amp;TEXT(E28,"mm/dd/yy")&amp;" "&amp;"C"&amp;IF(D28=INT(D28),INT(D28),D28)&amp;" Equity"</f>
        <v>XLE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"XLE"&amp;" US "&amp;TEXT(E29,"mm/dd/yy")&amp;" "&amp;"C"&amp;IF(D29=INT(D29),INT(D29),D29)&amp;" Equity"</f>
        <v>XLE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"XLE"&amp;" US "&amp;TEXT(E30,"mm/dd/yy")&amp;" "&amp;"C"&amp;IF(D30=INT(D30),INT(D30),D30)&amp;" Equity"</f>
        <v>XLE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201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115</v>
      </c>
      <c r="B4" s="23" t="s">
        <v>202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"XLF"&amp;" US "&amp;TEXT(E16,"mm/dd/yy")&amp;" "&amp;"P"&amp;IF(D16=INT(D16),INT(D16),D16)&amp;" Equity"</f>
        <v>XLF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"XLF"&amp;" US "&amp;TEXT(E17,"mm/dd/yy")&amp;" "&amp;"P"&amp;IF(D17=INT(D17),INT(D17),D17)&amp;" Equity"</f>
        <v>XLF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"XLF"&amp;" US "&amp;TEXT(E18,"mm/dd/yy")&amp;" "&amp;"P"&amp;IF(D18=INT(D18),INT(D18),D18)&amp;" Equity"</f>
        <v>XLF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"XLF"&amp;" US "&amp;TEXT(E19,"mm/dd/yy")&amp;" "&amp;"P"&amp;IF(D19=INT(D19),INT(D19),D19)&amp;" Equity"</f>
        <v>XLF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"XLF"&amp;" US "&amp;TEXT(E27,"mm/dd/yy")&amp;" "&amp;"C"&amp;IF(D27=INT(D27),INT(D27),D27)&amp;" Equity"</f>
        <v>XLF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"XLF"&amp;" US "&amp;TEXT(E28,"mm/dd/yy")&amp;" "&amp;"C"&amp;IF(D28=INT(D28),INT(D28),D28)&amp;" Equity"</f>
        <v>XLF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"XLF"&amp;" US "&amp;TEXT(E29,"mm/dd/yy")&amp;" "&amp;"C"&amp;IF(D29=INT(D29),INT(D29),D29)&amp;" Equity"</f>
        <v>XLF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"XLF"&amp;" US "&amp;TEXT(E30,"mm/dd/yy")&amp;" "&amp;"C"&amp;IF(D30=INT(D30),INT(D30),D30)&amp;" Equity"</f>
        <v>XLF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203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116</v>
      </c>
      <c r="B4" s="23" t="s">
        <v>204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"XLI"&amp;" US "&amp;TEXT(E16,"mm/dd/yy")&amp;" "&amp;"P"&amp;IF(D16=INT(D16),INT(D16),D16)&amp;" Equity"</f>
        <v>XLI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"XLI"&amp;" US "&amp;TEXT(E17,"mm/dd/yy")&amp;" "&amp;"P"&amp;IF(D17=INT(D17),INT(D17),D17)&amp;" Equity"</f>
        <v>XLI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"XLI"&amp;" US "&amp;TEXT(E18,"mm/dd/yy")&amp;" "&amp;"P"&amp;IF(D18=INT(D18),INT(D18),D18)&amp;" Equity"</f>
        <v>XLI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"XLI"&amp;" US "&amp;TEXT(E19,"mm/dd/yy")&amp;" "&amp;"P"&amp;IF(D19=INT(D19),INT(D19),D19)&amp;" Equity"</f>
        <v>XLI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"XLI"&amp;" US "&amp;TEXT(E27,"mm/dd/yy")&amp;" "&amp;"C"&amp;IF(D27=INT(D27),INT(D27),D27)&amp;" Equity"</f>
        <v>XLI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"XLI"&amp;" US "&amp;TEXT(E28,"mm/dd/yy")&amp;" "&amp;"C"&amp;IF(D28=INT(D28),INT(D28),D28)&amp;" Equity"</f>
        <v>XLI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"XLI"&amp;" US "&amp;TEXT(E29,"mm/dd/yy")&amp;" "&amp;"C"&amp;IF(D29=INT(D29),INT(D29),D29)&amp;" Equity"</f>
        <v>XLI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"XLI"&amp;" US "&amp;TEXT(E30,"mm/dd/yy")&amp;" "&amp;"C"&amp;IF(D30=INT(D30),INT(D30),D30)&amp;" Equity"</f>
        <v>XLI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205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117</v>
      </c>
      <c r="B4" s="23" t="s">
        <v>206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5</v>
      </c>
      <c r="C8" s="26"/>
      <c r="D8" s="25" t="n">
        <f aca="false">IF(C8="",B8,C8)</f>
        <v>5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IF($E$4=0,0,FLOOR($E$4*(1-0.06)/$D$8,1)*$D$8)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IF($E$4=0,0,CEILING($E$4*(1+0.06)/$D$8,1)*$D$8)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"XLK"&amp;" US "&amp;TEXT(E16,"mm/dd/yy")&amp;" "&amp;"P"&amp;IF(D16=INT(D16),INT(D16),D16)&amp;" Equity"</f>
        <v>XLK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-5</v>
      </c>
      <c r="E17" s="27" t="n">
        <f aca="false">$D$9</f>
        <v>46220</v>
      </c>
      <c r="F17" s="18" t="str">
        <f aca="false">"XLK"&amp;" US "&amp;TEXT(E17,"mm/dd/yy")&amp;" "&amp;"P"&amp;IF(D17=INT(D17),INT(D17),D17)&amp;" Equity"</f>
        <v>XLK US 07/17/26 P-5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"XLK"&amp;" US "&amp;TEXT(E18,"mm/dd/yy")&amp;" "&amp;"P"&amp;IF(D18=INT(D18),INT(D18),D18)&amp;" Equity"</f>
        <v>XLK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-5</v>
      </c>
      <c r="E19" s="27" t="n">
        <f aca="false">$D$10</f>
        <v>46255</v>
      </c>
      <c r="F19" s="18" t="str">
        <f aca="false">"XLK"&amp;" US "&amp;TEXT(E19,"mm/dd/yy")&amp;" "&amp;"P"&amp;IF(D19=INT(D19),INT(D19),D19)&amp;" Equity"</f>
        <v>XLK US 08/21/26 P-5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-5</v>
      </c>
      <c r="F22" s="25" t="n">
        <f aca="false">$D$8</f>
        <v>5</v>
      </c>
      <c r="G22" s="30" t="n">
        <f aca="false">IFERROR(L16-L17,0)</f>
        <v>0</v>
      </c>
      <c r="H22" s="30" t="n">
        <f aca="false">IFERROR(F22-G22,0)</f>
        <v>5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-5</v>
      </c>
      <c r="F23" s="25" t="n">
        <f aca="false">$D$8</f>
        <v>5</v>
      </c>
      <c r="G23" s="30" t="n">
        <f aca="false">IFERROR(L18-L19,0)</f>
        <v>0</v>
      </c>
      <c r="H23" s="30" t="n">
        <f aca="false">IFERROR(F23-G23,0)</f>
        <v>5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"XLK"&amp;" US "&amp;TEXT(E27,"mm/dd/yy")&amp;" "&amp;"C"&amp;IF(D27=INT(D27),INT(D27),D27)&amp;" Equity"</f>
        <v>XLK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5</v>
      </c>
      <c r="E28" s="27" t="n">
        <f aca="false">$D$9</f>
        <v>46220</v>
      </c>
      <c r="F28" s="18" t="str">
        <f aca="false">"XLK"&amp;" US "&amp;TEXT(E28,"mm/dd/yy")&amp;" "&amp;"C"&amp;IF(D28=INT(D28),INT(D28),D28)&amp;" Equity"</f>
        <v>XLK US 07/17/26 C5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"XLK"&amp;" US "&amp;TEXT(E29,"mm/dd/yy")&amp;" "&amp;"C"&amp;IF(D29=INT(D29),INT(D29),D29)&amp;" Equity"</f>
        <v>XLK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5</v>
      </c>
      <c r="E30" s="27" t="n">
        <f aca="false">$D$10</f>
        <v>46255</v>
      </c>
      <c r="F30" s="18" t="str">
        <f aca="false">"XLK"&amp;" US "&amp;TEXT(E30,"mm/dd/yy")&amp;" "&amp;"C"&amp;IF(D30=INT(D30),INT(D30),D30)&amp;" Equity"</f>
        <v>XLK US 08/21/26 C5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5</v>
      </c>
      <c r="F33" s="25" t="n">
        <f aca="false">$D$8</f>
        <v>5</v>
      </c>
      <c r="G33" s="30" t="n">
        <f aca="false">IFERROR(L27-L28,0)</f>
        <v>0</v>
      </c>
      <c r="H33" s="30" t="n">
        <f aca="false">IFERROR(F33-G33,0)</f>
        <v>5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5</v>
      </c>
      <c r="F34" s="25" t="n">
        <f aca="false">$D$8</f>
        <v>5</v>
      </c>
      <c r="G34" s="30" t="n">
        <f aca="false">IFERROR(L29-L30,0)</f>
        <v>0</v>
      </c>
      <c r="H34" s="30" t="n">
        <f aca="false">IFERROR(F34-G34,0)</f>
        <v>5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-5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5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207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118</v>
      </c>
      <c r="B4" s="23" t="s">
        <v>208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IF($E$4=0,0,FLOOR($E$4*(1-0.04)/$D$8,1)*$D$8)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IF($E$4=0,0,CEILING($E$4*(1+0.04)/$D$8,1)*$D$8)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"XLP"&amp;" US "&amp;TEXT(E16,"mm/dd/yy")&amp;" "&amp;"P"&amp;IF(D16=INT(D16),INT(D16),D16)&amp;" Equity"</f>
        <v>XLP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"XLP"&amp;" US "&amp;TEXT(E17,"mm/dd/yy")&amp;" "&amp;"P"&amp;IF(D17=INT(D17),INT(D17),D17)&amp;" Equity"</f>
        <v>XLP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"XLP"&amp;" US "&amp;TEXT(E18,"mm/dd/yy")&amp;" "&amp;"P"&amp;IF(D18=INT(D18),INT(D18),D18)&amp;" Equity"</f>
        <v>XLP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"XLP"&amp;" US "&amp;TEXT(E19,"mm/dd/yy")&amp;" "&amp;"P"&amp;IF(D19=INT(D19),INT(D19),D19)&amp;" Equity"</f>
        <v>XLP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"XLP"&amp;" US "&amp;TEXT(E27,"mm/dd/yy")&amp;" "&amp;"C"&amp;IF(D27=INT(D27),INT(D27),D27)&amp;" Equity"</f>
        <v>XLP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"XLP"&amp;" US "&amp;TEXT(E28,"mm/dd/yy")&amp;" "&amp;"C"&amp;IF(D28=INT(D28),INT(D28),D28)&amp;" Equity"</f>
        <v>XLP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"XLP"&amp;" US "&amp;TEXT(E29,"mm/dd/yy")&amp;" "&amp;"C"&amp;IF(D29=INT(D29),INT(D29),D29)&amp;" Equity"</f>
        <v>XLP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"XLP"&amp;" US "&amp;TEXT(E30,"mm/dd/yy")&amp;" "&amp;"C"&amp;IF(D30=INT(D30),INT(D30),D30)&amp;" Equity"</f>
        <v>XLP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209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119</v>
      </c>
      <c r="B4" s="23" t="s">
        <v>210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"XLRE"&amp;" US "&amp;TEXT(E16,"mm/dd/yy")&amp;" "&amp;"P"&amp;IF(D16=INT(D16),INT(D16),D16)&amp;" Equity"</f>
        <v>XLRE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"XLRE"&amp;" US "&amp;TEXT(E17,"mm/dd/yy")&amp;" "&amp;"P"&amp;IF(D17=INT(D17),INT(D17),D17)&amp;" Equity"</f>
        <v>XLRE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"XLRE"&amp;" US "&amp;TEXT(E18,"mm/dd/yy")&amp;" "&amp;"P"&amp;IF(D18=INT(D18),INT(D18),D18)&amp;" Equity"</f>
        <v>XLRE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"XLRE"&amp;" US "&amp;TEXT(E19,"mm/dd/yy")&amp;" "&amp;"P"&amp;IF(D19=INT(D19),INT(D19),D19)&amp;" Equity"</f>
        <v>XLRE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"XLRE"&amp;" US "&amp;TEXT(E27,"mm/dd/yy")&amp;" "&amp;"C"&amp;IF(D27=INT(D27),INT(D27),D27)&amp;" Equity"</f>
        <v>XLRE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"XLRE"&amp;" US "&amp;TEXT(E28,"mm/dd/yy")&amp;" "&amp;"C"&amp;IF(D28=INT(D28),INT(D28),D28)&amp;" Equity"</f>
        <v>XLRE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"XLRE"&amp;" US "&amp;TEXT(E29,"mm/dd/yy")&amp;" "&amp;"C"&amp;IF(D29=INT(D29),INT(D29),D29)&amp;" Equity"</f>
        <v>XLRE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"XLRE"&amp;" US "&amp;TEXT(E30,"mm/dd/yy")&amp;" "&amp;"C"&amp;IF(D30=INT(D30),INT(D30),D30)&amp;" Equity"</f>
        <v>XLRE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211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120</v>
      </c>
      <c r="B4" s="23" t="s">
        <v>212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IF($E$4=0,0,FLOOR($E$4*(1-0.04)/$D$8,1)*$D$8)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IF($E$4=0,0,CEILING($E$4*(1+0.04)/$D$8,1)*$D$8)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"XLU"&amp;" US "&amp;TEXT(E16,"mm/dd/yy")&amp;" "&amp;"P"&amp;IF(D16=INT(D16),INT(D16),D16)&amp;" Equity"</f>
        <v>XLU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"XLU"&amp;" US "&amp;TEXT(E17,"mm/dd/yy")&amp;" "&amp;"P"&amp;IF(D17=INT(D17),INT(D17),D17)&amp;" Equity"</f>
        <v>XLU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"XLU"&amp;" US "&amp;TEXT(E18,"mm/dd/yy")&amp;" "&amp;"P"&amp;IF(D18=INT(D18),INT(D18),D18)&amp;" Equity"</f>
        <v>XLU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"XLU"&amp;" US "&amp;TEXT(E19,"mm/dd/yy")&amp;" "&amp;"P"&amp;IF(D19=INT(D19),INT(D19),D19)&amp;" Equity"</f>
        <v>XLU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"XLU"&amp;" US "&amp;TEXT(E27,"mm/dd/yy")&amp;" "&amp;"C"&amp;IF(D27=INT(D27),INT(D27),D27)&amp;" Equity"</f>
        <v>XLU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"XLU"&amp;" US "&amp;TEXT(E28,"mm/dd/yy")&amp;" "&amp;"C"&amp;IF(D28=INT(D28),INT(D28),D28)&amp;" Equity"</f>
        <v>XLU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"XLU"&amp;" US "&amp;TEXT(E29,"mm/dd/yy")&amp;" "&amp;"C"&amp;IF(D29=INT(D29),INT(D29),D29)&amp;" Equity"</f>
        <v>XLU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"XLU"&amp;" US "&amp;TEXT(E30,"mm/dd/yy")&amp;" "&amp;"C"&amp;IF(D30=INT(D30),INT(D30),D30)&amp;" Equity"</f>
        <v>XLU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213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121</v>
      </c>
      <c r="B4" s="23" t="s">
        <v>214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"XLV"&amp;" US "&amp;TEXT(E16,"mm/dd/yy")&amp;" "&amp;"P"&amp;IF(D16=INT(D16),INT(D16),D16)&amp;" Equity"</f>
        <v>XLV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"XLV"&amp;" US "&amp;TEXT(E17,"mm/dd/yy")&amp;" "&amp;"P"&amp;IF(D17=INT(D17),INT(D17),D17)&amp;" Equity"</f>
        <v>XLV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"XLV"&amp;" US "&amp;TEXT(E18,"mm/dd/yy")&amp;" "&amp;"P"&amp;IF(D18=INT(D18),INT(D18),D18)&amp;" Equity"</f>
        <v>XLV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"XLV"&amp;" US "&amp;TEXT(E19,"mm/dd/yy")&amp;" "&amp;"P"&amp;IF(D19=INT(D19),INT(D19),D19)&amp;" Equity"</f>
        <v>XLV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"XLV"&amp;" US "&amp;TEXT(E27,"mm/dd/yy")&amp;" "&amp;"C"&amp;IF(D27=INT(D27),INT(D27),D27)&amp;" Equity"</f>
        <v>XLV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"XLV"&amp;" US "&amp;TEXT(E28,"mm/dd/yy")&amp;" "&amp;"C"&amp;IF(D28=INT(D28),INT(D28),D28)&amp;" Equity"</f>
        <v>XLV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"XLV"&amp;" US "&amp;TEXT(E29,"mm/dd/yy")&amp;" "&amp;"C"&amp;IF(D29=INT(D29),INT(D29),D29)&amp;" Equity"</f>
        <v>XLV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"XLV"&amp;" US "&amp;TEXT(E30,"mm/dd/yy")&amp;" "&amp;"C"&amp;IF(D30=INT(D30),INT(D30),D30)&amp;" Equity"</f>
        <v>XLV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215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122</v>
      </c>
      <c r="B4" s="23" t="s">
        <v>216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5</v>
      </c>
      <c r="C8" s="26"/>
      <c r="D8" s="25" t="n">
        <f aca="false">IF(C8="",B8,C8)</f>
        <v>5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"XLY"&amp;" US "&amp;TEXT(E16,"mm/dd/yy")&amp;" "&amp;"P"&amp;IF(D16=INT(D16),INT(D16),D16)&amp;" Equity"</f>
        <v>XLY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-5</v>
      </c>
      <c r="E17" s="27" t="n">
        <f aca="false">$D$9</f>
        <v>46220</v>
      </c>
      <c r="F17" s="18" t="str">
        <f aca="false">"XLY"&amp;" US "&amp;TEXT(E17,"mm/dd/yy")&amp;" "&amp;"P"&amp;IF(D17=INT(D17),INT(D17),D17)&amp;" Equity"</f>
        <v>XLY US 07/17/26 P-5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"XLY"&amp;" US "&amp;TEXT(E18,"mm/dd/yy")&amp;" "&amp;"P"&amp;IF(D18=INT(D18),INT(D18),D18)&amp;" Equity"</f>
        <v>XLY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-5</v>
      </c>
      <c r="E19" s="27" t="n">
        <f aca="false">$D$10</f>
        <v>46255</v>
      </c>
      <c r="F19" s="18" t="str">
        <f aca="false">"XLY"&amp;" US "&amp;TEXT(E19,"mm/dd/yy")&amp;" "&amp;"P"&amp;IF(D19=INT(D19),INT(D19),D19)&amp;" Equity"</f>
        <v>XLY US 08/21/26 P-5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-5</v>
      </c>
      <c r="F22" s="25" t="n">
        <f aca="false">$D$8</f>
        <v>5</v>
      </c>
      <c r="G22" s="30" t="n">
        <f aca="false">IFERROR(L16-L17,0)</f>
        <v>0</v>
      </c>
      <c r="H22" s="30" t="n">
        <f aca="false">IFERROR(F22-G22,0)</f>
        <v>5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-5</v>
      </c>
      <c r="F23" s="25" t="n">
        <f aca="false">$D$8</f>
        <v>5</v>
      </c>
      <c r="G23" s="30" t="n">
        <f aca="false">IFERROR(L18-L19,0)</f>
        <v>0</v>
      </c>
      <c r="H23" s="30" t="n">
        <f aca="false">IFERROR(F23-G23,0)</f>
        <v>5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"XLY"&amp;" US "&amp;TEXT(E27,"mm/dd/yy")&amp;" "&amp;"C"&amp;IF(D27=INT(D27),INT(D27),D27)&amp;" Equity"</f>
        <v>XLY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5</v>
      </c>
      <c r="E28" s="27" t="n">
        <f aca="false">$D$9</f>
        <v>46220</v>
      </c>
      <c r="F28" s="18" t="str">
        <f aca="false">"XLY"&amp;" US "&amp;TEXT(E28,"mm/dd/yy")&amp;" "&amp;"C"&amp;IF(D28=INT(D28),INT(D28),D28)&amp;" Equity"</f>
        <v>XLY US 07/17/26 C5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"XLY"&amp;" US "&amp;TEXT(E29,"mm/dd/yy")&amp;" "&amp;"C"&amp;IF(D29=INT(D29),INT(D29),D29)&amp;" Equity"</f>
        <v>XLY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5</v>
      </c>
      <c r="E30" s="27" t="n">
        <f aca="false">$D$10</f>
        <v>46255</v>
      </c>
      <c r="F30" s="18" t="str">
        <f aca="false">"XLY"&amp;" US "&amp;TEXT(E30,"mm/dd/yy")&amp;" "&amp;"C"&amp;IF(D30=INT(D30),INT(D30),D30)&amp;" Equity"</f>
        <v>XLY US 08/21/26 C5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5</v>
      </c>
      <c r="F33" s="25" t="n">
        <f aca="false">$D$8</f>
        <v>5</v>
      </c>
      <c r="G33" s="30" t="n">
        <f aca="false">IFERROR(L27-L28,0)</f>
        <v>0</v>
      </c>
      <c r="H33" s="30" t="n">
        <f aca="false">IFERROR(F33-G33,0)</f>
        <v>5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5</v>
      </c>
      <c r="F34" s="25" t="n">
        <f aca="false">$D$8</f>
        <v>5</v>
      </c>
      <c r="G34" s="30" t="n">
        <f aca="false">IFERROR(L29-L30,0)</f>
        <v>0</v>
      </c>
      <c r="H34" s="30" t="n">
        <f aca="false">IFERROR(F34-G34,0)</f>
        <v>5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-5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5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217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123</v>
      </c>
      <c r="B4" s="23" t="s">
        <v>218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5</v>
      </c>
      <c r="C8" s="26"/>
      <c r="D8" s="25" t="n">
        <f aca="false">IF(C8="",B8,C8)</f>
        <v>5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"GLD"&amp;" US "&amp;TEXT(E16,"mm/dd/yy")&amp;" "&amp;"P"&amp;IF(D16=INT(D16),INT(D16),D16)&amp;" Equity"</f>
        <v>GLD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-5</v>
      </c>
      <c r="E17" s="27" t="n">
        <f aca="false">$D$9</f>
        <v>46220</v>
      </c>
      <c r="F17" s="18" t="str">
        <f aca="false">"GLD"&amp;" US "&amp;TEXT(E17,"mm/dd/yy")&amp;" "&amp;"P"&amp;IF(D17=INT(D17),INT(D17),D17)&amp;" Equity"</f>
        <v>GLD US 07/17/26 P-5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"GLD"&amp;" US "&amp;TEXT(E18,"mm/dd/yy")&amp;" "&amp;"P"&amp;IF(D18=INT(D18),INT(D18),D18)&amp;" Equity"</f>
        <v>GLD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-5</v>
      </c>
      <c r="E19" s="27" t="n">
        <f aca="false">$D$10</f>
        <v>46255</v>
      </c>
      <c r="F19" s="18" t="str">
        <f aca="false">"GLD"&amp;" US "&amp;TEXT(E19,"mm/dd/yy")&amp;" "&amp;"P"&amp;IF(D19=INT(D19),INT(D19),D19)&amp;" Equity"</f>
        <v>GLD US 08/21/26 P-5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-5</v>
      </c>
      <c r="F22" s="25" t="n">
        <f aca="false">$D$8</f>
        <v>5</v>
      </c>
      <c r="G22" s="30" t="n">
        <f aca="false">IFERROR(L16-L17,0)</f>
        <v>0</v>
      </c>
      <c r="H22" s="30" t="n">
        <f aca="false">IFERROR(F22-G22,0)</f>
        <v>5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-5</v>
      </c>
      <c r="F23" s="25" t="n">
        <f aca="false">$D$8</f>
        <v>5</v>
      </c>
      <c r="G23" s="30" t="n">
        <f aca="false">IFERROR(L18-L19,0)</f>
        <v>0</v>
      </c>
      <c r="H23" s="30" t="n">
        <f aca="false">IFERROR(F23-G23,0)</f>
        <v>5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"GLD"&amp;" US "&amp;TEXT(E27,"mm/dd/yy")&amp;" "&amp;"C"&amp;IF(D27=INT(D27),INT(D27),D27)&amp;" Equity"</f>
        <v>GLD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5</v>
      </c>
      <c r="E28" s="27" t="n">
        <f aca="false">$D$9</f>
        <v>46220</v>
      </c>
      <c r="F28" s="18" t="str">
        <f aca="false">"GLD"&amp;" US "&amp;TEXT(E28,"mm/dd/yy")&amp;" "&amp;"C"&amp;IF(D28=INT(D28),INT(D28),D28)&amp;" Equity"</f>
        <v>GLD US 07/17/26 C5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"GLD"&amp;" US "&amp;TEXT(E29,"mm/dd/yy")&amp;" "&amp;"C"&amp;IF(D29=INT(D29),INT(D29),D29)&amp;" Equity"</f>
        <v>GLD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5</v>
      </c>
      <c r="E30" s="27" t="n">
        <f aca="false">$D$10</f>
        <v>46255</v>
      </c>
      <c r="F30" s="18" t="str">
        <f aca="false">"GLD"&amp;" US "&amp;TEXT(E30,"mm/dd/yy")&amp;" "&amp;"C"&amp;IF(D30=INT(D30),INT(D30),D30)&amp;" Equity"</f>
        <v>GLD US 08/21/26 C5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5</v>
      </c>
      <c r="F33" s="25" t="n">
        <f aca="false">$D$8</f>
        <v>5</v>
      </c>
      <c r="G33" s="30" t="n">
        <f aca="false">IFERROR(L27-L28,0)</f>
        <v>0</v>
      </c>
      <c r="H33" s="30" t="n">
        <f aca="false">IFERROR(F33-G33,0)</f>
        <v>5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5</v>
      </c>
      <c r="F34" s="25" t="n">
        <f aca="false">$D$8</f>
        <v>5</v>
      </c>
      <c r="G34" s="30" t="n">
        <f aca="false">IFERROR(L29-L30,0)</f>
        <v>0</v>
      </c>
      <c r="H34" s="30" t="n">
        <f aca="false">IFERROR(F34-G34,0)</f>
        <v>5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-5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5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219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124</v>
      </c>
      <c r="B4" s="23" t="s">
        <v>220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IF($E$4=0,0,FLOOR($E$4*(1-0.07)/$D$8,1)*$D$8)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IF($E$4=0,0,CEILING($E$4*(1+0.07)/$D$8,1)*$D$8)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"GDX"&amp;" US "&amp;TEXT(E16,"mm/dd/yy")&amp;" "&amp;"P"&amp;IF(D16=INT(D16),INT(D16),D16)&amp;" Equity"</f>
        <v>GDX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"GDX"&amp;" US "&amp;TEXT(E17,"mm/dd/yy")&amp;" "&amp;"P"&amp;IF(D17=INT(D17),INT(D17),D17)&amp;" Equity"</f>
        <v>GDX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"GDX"&amp;" US "&amp;TEXT(E18,"mm/dd/yy")&amp;" "&amp;"P"&amp;IF(D18=INT(D18),INT(D18),D18)&amp;" Equity"</f>
        <v>GDX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"GDX"&amp;" US "&amp;TEXT(E19,"mm/dd/yy")&amp;" "&amp;"P"&amp;IF(D19=INT(D19),INT(D19),D19)&amp;" Equity"</f>
        <v>GDX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"GDX"&amp;" US "&amp;TEXT(E27,"mm/dd/yy")&amp;" "&amp;"C"&amp;IF(D27=INT(D27),INT(D27),D27)&amp;" Equity"</f>
        <v>GDX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"GDX"&amp;" US "&amp;TEXT(E28,"mm/dd/yy")&amp;" "&amp;"C"&amp;IF(D28=INT(D28),INT(D28),D28)&amp;" Equity"</f>
        <v>GDX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"GDX"&amp;" US "&amp;TEXT(E29,"mm/dd/yy")&amp;" "&amp;"C"&amp;IF(D29=INT(D29),INT(D29),D29)&amp;" Equity"</f>
        <v>GDX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"GDX"&amp;" US "&amp;TEXT(E30,"mm/dd/yy")&amp;" "&amp;"C"&amp;IF(D30=INT(D30),INT(D30),D30)&amp;" Equity"</f>
        <v>GDX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221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125</v>
      </c>
      <c r="B4" s="23" t="s">
        <v>222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"TLT"&amp;" US "&amp;TEXT(E16,"mm/dd/yy")&amp;" "&amp;"P"&amp;IF(D16=INT(D16),INT(D16),D16)&amp;" Equity"</f>
        <v>TLT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"TLT"&amp;" US "&amp;TEXT(E17,"mm/dd/yy")&amp;" "&amp;"P"&amp;IF(D17=INT(D17),INT(D17),D17)&amp;" Equity"</f>
        <v>TLT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"TLT"&amp;" US "&amp;TEXT(E18,"mm/dd/yy")&amp;" "&amp;"P"&amp;IF(D18=INT(D18),INT(D18),D18)&amp;" Equity"</f>
        <v>TLT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"TLT"&amp;" US "&amp;TEXT(E19,"mm/dd/yy")&amp;" "&amp;"P"&amp;IF(D19=INT(D19),INT(D19),D19)&amp;" Equity"</f>
        <v>TLT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"TLT"&amp;" US "&amp;TEXT(E27,"mm/dd/yy")&amp;" "&amp;"C"&amp;IF(D27=INT(D27),INT(D27),D27)&amp;" Equity"</f>
        <v>TLT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"TLT"&amp;" US "&amp;TEXT(E28,"mm/dd/yy")&amp;" "&amp;"C"&amp;IF(D28=INT(D28),INT(D28),D28)&amp;" Equity"</f>
        <v>TLT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"TLT"&amp;" US "&amp;TEXT(E29,"mm/dd/yy")&amp;" "&amp;"C"&amp;IF(D29=INT(D29),INT(D29),D29)&amp;" Equity"</f>
        <v>TLT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"TLT"&amp;" US "&amp;TEXT(E30,"mm/dd/yy")&amp;" "&amp;"C"&amp;IF(D30=INT(D30),INT(D30),D30)&amp;" Equity"</f>
        <v>TLT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223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126</v>
      </c>
      <c r="B4" s="23" t="s">
        <v>224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2</v>
      </c>
      <c r="C8" s="26"/>
      <c r="D8" s="25" t="n">
        <f aca="false">IF(C8="",B8,C8)</f>
        <v>2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IF($E$4=0,0,FLOOR($E$4*(1-0.06)/$D$8,1)*$D$8)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IF($E$4=0,0,CEILING($E$4*(1+0.06)/$D$8,1)*$D$8)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"XOP"&amp;" US "&amp;TEXT(E16,"mm/dd/yy")&amp;" "&amp;"P"&amp;IF(D16=INT(D16),INT(D16),D16)&amp;" Equity"</f>
        <v>XOP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-2</v>
      </c>
      <c r="E17" s="27" t="n">
        <f aca="false">$D$9</f>
        <v>46220</v>
      </c>
      <c r="F17" s="18" t="str">
        <f aca="false">"XOP"&amp;" US "&amp;TEXT(E17,"mm/dd/yy")&amp;" "&amp;"P"&amp;IF(D17=INT(D17),INT(D17),D17)&amp;" Equity"</f>
        <v>XOP US 07/17/26 P-2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"XOP"&amp;" US "&amp;TEXT(E18,"mm/dd/yy")&amp;" "&amp;"P"&amp;IF(D18=INT(D18),INT(D18),D18)&amp;" Equity"</f>
        <v>XOP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-2</v>
      </c>
      <c r="E19" s="27" t="n">
        <f aca="false">$D$10</f>
        <v>46255</v>
      </c>
      <c r="F19" s="18" t="str">
        <f aca="false">"XOP"&amp;" US "&amp;TEXT(E19,"mm/dd/yy")&amp;" "&amp;"P"&amp;IF(D19=INT(D19),INT(D19),D19)&amp;" Equity"</f>
        <v>XOP US 08/21/26 P-2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-2</v>
      </c>
      <c r="F22" s="25" t="n">
        <f aca="false">$D$8</f>
        <v>2</v>
      </c>
      <c r="G22" s="30" t="n">
        <f aca="false">IFERROR(L16-L17,0)</f>
        <v>0</v>
      </c>
      <c r="H22" s="30" t="n">
        <f aca="false">IFERROR(F22-G22,0)</f>
        <v>2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-2</v>
      </c>
      <c r="F23" s="25" t="n">
        <f aca="false">$D$8</f>
        <v>2</v>
      </c>
      <c r="G23" s="30" t="n">
        <f aca="false">IFERROR(L18-L19,0)</f>
        <v>0</v>
      </c>
      <c r="H23" s="30" t="n">
        <f aca="false">IFERROR(F23-G23,0)</f>
        <v>2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"XOP"&amp;" US "&amp;TEXT(E27,"mm/dd/yy")&amp;" "&amp;"C"&amp;IF(D27=INT(D27),INT(D27),D27)&amp;" Equity"</f>
        <v>XOP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2</v>
      </c>
      <c r="E28" s="27" t="n">
        <f aca="false">$D$9</f>
        <v>46220</v>
      </c>
      <c r="F28" s="18" t="str">
        <f aca="false">"XOP"&amp;" US "&amp;TEXT(E28,"mm/dd/yy")&amp;" "&amp;"C"&amp;IF(D28=INT(D28),INT(D28),D28)&amp;" Equity"</f>
        <v>XOP US 07/17/26 C2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"XOP"&amp;" US "&amp;TEXT(E29,"mm/dd/yy")&amp;" "&amp;"C"&amp;IF(D29=INT(D29),INT(D29),D29)&amp;" Equity"</f>
        <v>XOP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2</v>
      </c>
      <c r="E30" s="27" t="n">
        <f aca="false">$D$10</f>
        <v>46255</v>
      </c>
      <c r="F30" s="18" t="str">
        <f aca="false">"XOP"&amp;" US "&amp;TEXT(E30,"mm/dd/yy")&amp;" "&amp;"C"&amp;IF(D30=INT(D30),INT(D30),D30)&amp;" Equity"</f>
        <v>XOP US 08/21/26 C2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2</v>
      </c>
      <c r="F33" s="25" t="n">
        <f aca="false">$D$8</f>
        <v>2</v>
      </c>
      <c r="G33" s="30" t="n">
        <f aca="false">IFERROR(L27-L28,0)</f>
        <v>0</v>
      </c>
      <c r="H33" s="30" t="n">
        <f aca="false">IFERROR(F33-G33,0)</f>
        <v>2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2</v>
      </c>
      <c r="F34" s="25" t="n">
        <f aca="false">$D$8</f>
        <v>2</v>
      </c>
      <c r="G34" s="30" t="n">
        <f aca="false">IFERROR(L29-L30,0)</f>
        <v>0</v>
      </c>
      <c r="H34" s="30" t="n">
        <f aca="false">IFERROR(F34-G34,0)</f>
        <v>2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-2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2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225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127</v>
      </c>
      <c r="B4" s="23" t="s">
        <v>226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"EEM"&amp;" US "&amp;TEXT(E16,"mm/dd/yy")&amp;" "&amp;"P"&amp;IF(D16=INT(D16),INT(D16),D16)&amp;" Equity"</f>
        <v>EEM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"EEM"&amp;" US "&amp;TEXT(E17,"mm/dd/yy")&amp;" "&amp;"P"&amp;IF(D17=INT(D17),INT(D17),D17)&amp;" Equity"</f>
        <v>EEM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"EEM"&amp;" US "&amp;TEXT(E18,"mm/dd/yy")&amp;" "&amp;"P"&amp;IF(D18=INT(D18),INT(D18),D18)&amp;" Equity"</f>
        <v>EEM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"EEM"&amp;" US "&amp;TEXT(E19,"mm/dd/yy")&amp;" "&amp;"P"&amp;IF(D19=INT(D19),INT(D19),D19)&amp;" Equity"</f>
        <v>EEM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"EEM"&amp;" US "&amp;TEXT(E27,"mm/dd/yy")&amp;" "&amp;"C"&amp;IF(D27=INT(D27),INT(D27),D27)&amp;" Equity"</f>
        <v>EEM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"EEM"&amp;" US "&amp;TEXT(E28,"mm/dd/yy")&amp;" "&amp;"C"&amp;IF(D28=INT(D28),INT(D28),D28)&amp;" Equity"</f>
        <v>EEM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"EEM"&amp;" US "&amp;TEXT(E29,"mm/dd/yy")&amp;" "&amp;"C"&amp;IF(D29=INT(D29),INT(D29),D29)&amp;" Equity"</f>
        <v>EEM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"EEM"&amp;" US "&amp;TEXT(E30,"mm/dd/yy")&amp;" "&amp;"C"&amp;IF(D30=INT(D30),INT(D30),D30)&amp;" Equity"</f>
        <v>EEM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227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128</v>
      </c>
      <c r="B4" s="23" t="s">
        <v>228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IF($E$4=0,0,FLOOR($E$4*(1-0.06)/$D$8,1)*$D$8)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IF($E$4=0,0,CEILING($E$4*(1+0.06)/$D$8,1)*$D$8)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"FXI"&amp;" US "&amp;TEXT(E16,"mm/dd/yy")&amp;" "&amp;"P"&amp;IF(D16=INT(D16),INT(D16),D16)&amp;" Equity"</f>
        <v>FXI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"FXI"&amp;" US "&amp;TEXT(E17,"mm/dd/yy")&amp;" "&amp;"P"&amp;IF(D17=INT(D17),INT(D17),D17)&amp;" Equity"</f>
        <v>FXI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"FXI"&amp;" US "&amp;TEXT(E18,"mm/dd/yy")&amp;" "&amp;"P"&amp;IF(D18=INT(D18),INT(D18),D18)&amp;" Equity"</f>
        <v>FXI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"FXI"&amp;" US "&amp;TEXT(E19,"mm/dd/yy")&amp;" "&amp;"P"&amp;IF(D19=INT(D19),INT(D19),D19)&amp;" Equity"</f>
        <v>FXI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"FXI"&amp;" US "&amp;TEXT(E27,"mm/dd/yy")&amp;" "&amp;"C"&amp;IF(D27=INT(D27),INT(D27),D27)&amp;" Equity"</f>
        <v>FXI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"FXI"&amp;" US "&amp;TEXT(E28,"mm/dd/yy")&amp;" "&amp;"C"&amp;IF(D28=INT(D28),INT(D28),D28)&amp;" Equity"</f>
        <v>FXI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"FXI"&amp;" US "&amp;TEXT(E29,"mm/dd/yy")&amp;" "&amp;"C"&amp;IF(D29=INT(D29),INT(D29),D29)&amp;" Equity"</f>
        <v>FXI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"FXI"&amp;" US "&amp;TEXT(E30,"mm/dd/yy")&amp;" "&amp;"C"&amp;IF(D30=INT(D30),INT(D30),D30)&amp;" Equity"</f>
        <v>FXI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229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129</v>
      </c>
      <c r="B4" s="23" t="s">
        <v>230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IF($E$4=0,0,FLOOR($E$4*(1-0.07)/$D$8,1)*$D$8)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IF($E$4=0,0,CEILING($E$4*(1+0.07)/$D$8,1)*$D$8)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"EWZ"&amp;" US "&amp;TEXT(E16,"mm/dd/yy")&amp;" "&amp;"P"&amp;IF(D16=INT(D16),INT(D16),D16)&amp;" Equity"</f>
        <v>EWZ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"EWZ"&amp;" US "&amp;TEXT(E17,"mm/dd/yy")&amp;" "&amp;"P"&amp;IF(D17=INT(D17),INT(D17),D17)&amp;" Equity"</f>
        <v>EWZ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"EWZ"&amp;" US "&amp;TEXT(E18,"mm/dd/yy")&amp;" "&amp;"P"&amp;IF(D18=INT(D18),INT(D18),D18)&amp;" Equity"</f>
        <v>EWZ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"EWZ"&amp;" US "&amp;TEXT(E19,"mm/dd/yy")&amp;" "&amp;"P"&amp;IF(D19=INT(D19),INT(D19),D19)&amp;" Equity"</f>
        <v>EWZ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"EWZ"&amp;" US "&amp;TEXT(E27,"mm/dd/yy")&amp;" "&amp;"C"&amp;IF(D27=INT(D27),INT(D27),D27)&amp;" Equity"</f>
        <v>EWZ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"EWZ"&amp;" US "&amp;TEXT(E28,"mm/dd/yy")&amp;" "&amp;"C"&amp;IF(D28=INT(D28),INT(D28),D28)&amp;" Equity"</f>
        <v>EWZ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"EWZ"&amp;" US "&amp;TEXT(E29,"mm/dd/yy")&amp;" "&amp;"C"&amp;IF(D29=INT(D29),INT(D29),D29)&amp;" Equity"</f>
        <v>EWZ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"EWZ"&amp;" US "&amp;TEXT(E30,"mm/dd/yy")&amp;" "&amp;"C"&amp;IF(D30=INT(D30),INT(D30),D30)&amp;" Equity"</f>
        <v>EWZ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231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130</v>
      </c>
      <c r="B4" s="23" t="s">
        <v>232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"INDA"&amp;" US "&amp;TEXT(E16,"mm/dd/yy")&amp;" "&amp;"P"&amp;IF(D16=INT(D16),INT(D16),D16)&amp;" Equity"</f>
        <v>INDA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"INDA"&amp;" US "&amp;TEXT(E17,"mm/dd/yy")&amp;" "&amp;"P"&amp;IF(D17=INT(D17),INT(D17),D17)&amp;" Equity"</f>
        <v>INDA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"INDA"&amp;" US "&amp;TEXT(E18,"mm/dd/yy")&amp;" "&amp;"P"&amp;IF(D18=INT(D18),INT(D18),D18)&amp;" Equity"</f>
        <v>INDA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"INDA"&amp;" US "&amp;TEXT(E19,"mm/dd/yy")&amp;" "&amp;"P"&amp;IF(D19=INT(D19),INT(D19),D19)&amp;" Equity"</f>
        <v>INDA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"INDA"&amp;" US "&amp;TEXT(E27,"mm/dd/yy")&amp;" "&amp;"C"&amp;IF(D27=INT(D27),INT(D27),D27)&amp;" Equity"</f>
        <v>INDA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"INDA"&amp;" US "&amp;TEXT(E28,"mm/dd/yy")&amp;" "&amp;"C"&amp;IF(D28=INT(D28),INT(D28),D28)&amp;" Equity"</f>
        <v>INDA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"INDA"&amp;" US "&amp;TEXT(E29,"mm/dd/yy")&amp;" "&amp;"C"&amp;IF(D29=INT(D29),INT(D29),D29)&amp;" Equity"</f>
        <v>INDA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"INDA"&amp;" US "&amp;TEXT(E30,"mm/dd/yy")&amp;" "&amp;"C"&amp;IF(D30=INT(D30),INT(D30),D30)&amp;" Equity"</f>
        <v>INDA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233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131</v>
      </c>
      <c r="B4" s="23" t="s">
        <v>234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IF($E$4=0,0,FLOOR($E$4*(1-0.06)/$D$8,1)*$D$8)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IF($E$4=0,0,CEILING($E$4*(1+0.06)/$D$8,1)*$D$8)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"EWW"&amp;" US "&amp;TEXT(E16,"mm/dd/yy")&amp;" "&amp;"P"&amp;IF(D16=INT(D16),INT(D16),D16)&amp;" Equity"</f>
        <v>EWW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"EWW"&amp;" US "&amp;TEXT(E17,"mm/dd/yy")&amp;" "&amp;"P"&amp;IF(D17=INT(D17),INT(D17),D17)&amp;" Equity"</f>
        <v>EWW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"EWW"&amp;" US "&amp;TEXT(E18,"mm/dd/yy")&amp;" "&amp;"P"&amp;IF(D18=INT(D18),INT(D18),D18)&amp;" Equity"</f>
        <v>EWW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"EWW"&amp;" US "&amp;TEXT(E19,"mm/dd/yy")&amp;" "&amp;"P"&amp;IF(D19=INT(D19),INT(D19),D19)&amp;" Equity"</f>
        <v>EWW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"EWW"&amp;" US "&amp;TEXT(E27,"mm/dd/yy")&amp;" "&amp;"C"&amp;IF(D27=INT(D27),INT(D27),D27)&amp;" Equity"</f>
        <v>EWW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"EWW"&amp;" US "&amp;TEXT(E28,"mm/dd/yy")&amp;" "&amp;"C"&amp;IF(D28=INT(D28),INT(D28),D28)&amp;" Equity"</f>
        <v>EWW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"EWW"&amp;" US "&amp;TEXT(E29,"mm/dd/yy")&amp;" "&amp;"C"&amp;IF(D29=INT(D29),INT(D29),D29)&amp;" Equity"</f>
        <v>EWW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"EWW"&amp;" US "&amp;TEXT(E30,"mm/dd/yy")&amp;" "&amp;"C"&amp;IF(D30=INT(D30),INT(D30),D30)&amp;" Equity"</f>
        <v>EWW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25.5" hidden="false" customHeight="true" outlineLevel="0" collapsed="false">
      <c r="A1" s="5" t="s">
        <v>235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132</v>
      </c>
      <c r="B4" s="23" t="s">
        <v>236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15" hidden="false" customHeight="false" outlineLevel="0" collapsed="false">
      <c r="A8" s="15" t="s">
        <v>146</v>
      </c>
      <c r="B8" s="25" t="n">
        <v>1</v>
      </c>
      <c r="C8" s="26"/>
      <c r="D8" s="25" t="n">
        <f aca="false">IF(C8="",B8,C8)</f>
        <v>1</v>
      </c>
    </row>
    <row r="9" customFormat="false" ht="23.85" hidden="false" customHeight="false" outlineLevel="0" collapsed="false">
      <c r="A9" s="15" t="s">
        <v>147</v>
      </c>
      <c r="B9" s="27" t="n">
        <f aca="false">Calendar!$B$11</f>
        <v>46220</v>
      </c>
      <c r="C9" s="28"/>
      <c r="D9" s="27" t="n">
        <f aca="false">IF(C9="",B9,C9)</f>
        <v>46220</v>
      </c>
    </row>
    <row r="10" customFormat="false" ht="23.85" hidden="false" customHeight="false" outlineLevel="0" collapsed="false">
      <c r="A10" s="15" t="s">
        <v>148</v>
      </c>
      <c r="B10" s="27" t="n">
        <f aca="false">Calendar!$B$12</f>
        <v>46255</v>
      </c>
      <c r="C10" s="28"/>
      <c r="D10" s="27" t="n">
        <f aca="false">IF(C10="",B10,C10)</f>
        <v>46255</v>
      </c>
    </row>
    <row r="11" customFormat="false" ht="23.85" hidden="false" customHeight="false" outlineLevel="0" collapsed="false">
      <c r="A11" s="15" t="s">
        <v>149</v>
      </c>
      <c r="B11" s="24" t="n">
        <f aca="false">IF($E$4=0,0,FLOOR($E$4*(1-0.05)/$D$8,1)*$D$8)</f>
        <v>0</v>
      </c>
      <c r="C11" s="29"/>
      <c r="D11" s="24" t="n">
        <f aca="false">IF(C11="",B11,C11)</f>
        <v>0</v>
      </c>
    </row>
    <row r="12" customFormat="false" ht="23.85" hidden="false" customHeight="false" outlineLevel="0" collapsed="false">
      <c r="A12" s="15" t="s">
        <v>150</v>
      </c>
      <c r="B12" s="24" t="n">
        <f aca="false">IF($E$4=0,0,CEILING($E$4*(1+0.05)/$D$8,1)*$D$8)</f>
        <v>0</v>
      </c>
      <c r="C12" s="29"/>
      <c r="D12" s="24" t="n">
        <f aca="false">IF(C12="",B12,C12)</f>
        <v>0</v>
      </c>
    </row>
    <row r="14" customFormat="false" ht="21.75" hidden="false" customHeight="true" outlineLevel="0" collapsed="false">
      <c r="A14" s="5" t="s">
        <v>151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customFormat="false" ht="23.85" hidden="false" customHeight="false" outlineLevel="0" collapsed="false">
      <c r="A15" s="14" t="s">
        <v>152</v>
      </c>
      <c r="B15" s="14" t="s">
        <v>153</v>
      </c>
      <c r="C15" s="14" t="s">
        <v>154</v>
      </c>
      <c r="D15" s="14" t="s">
        <v>155</v>
      </c>
      <c r="E15" s="14" t="s">
        <v>156</v>
      </c>
      <c r="F15" s="14" t="s">
        <v>135</v>
      </c>
      <c r="G15" s="14" t="s">
        <v>136</v>
      </c>
      <c r="H15" s="14" t="s">
        <v>157</v>
      </c>
      <c r="I15" s="14" t="s">
        <v>158</v>
      </c>
      <c r="J15" s="14" t="s">
        <v>159</v>
      </c>
      <c r="K15" s="14" t="s">
        <v>160</v>
      </c>
      <c r="L15" s="14" t="s">
        <v>161</v>
      </c>
    </row>
    <row r="16" customFormat="false" ht="15" hidden="false" customHeight="false" outlineLevel="0" collapsed="false">
      <c r="A16" s="18" t="s">
        <v>162</v>
      </c>
      <c r="B16" s="18" t="s">
        <v>163</v>
      </c>
      <c r="C16" s="18" t="s">
        <v>164</v>
      </c>
      <c r="D16" s="24" t="n">
        <f aca="false">$D$11</f>
        <v>0</v>
      </c>
      <c r="E16" s="27" t="n">
        <f aca="false">$D$9</f>
        <v>46220</v>
      </c>
      <c r="F16" s="18" t="str">
        <f aca="false">"EWY"&amp;" US "&amp;TEXT(E16,"mm/dd/yy")&amp;" "&amp;"P"&amp;IF(D16=INT(D16),INT(D16),D16)&amp;" Equity"</f>
        <v>EWY US 07/17/26 P0 Equity</v>
      </c>
      <c r="G16" s="30" t="n">
        <f aca="false">IFERROR(bdp($F16, G$15), 0)</f>
        <v>0</v>
      </c>
      <c r="H16" s="30" t="n">
        <f aca="false">IFERROR(bdp($F16, H$15), 0)</f>
        <v>0</v>
      </c>
      <c r="I16" s="30" t="n">
        <f aca="false">IFERROR(bdp($F16, I$15), 0)</f>
        <v>0</v>
      </c>
      <c r="J16" s="31" t="n">
        <f aca="false">IFERROR(bdp($F16, J$15), 0)</f>
        <v>0</v>
      </c>
      <c r="K16" s="22" t="n">
        <f aca="false">IFERROR(bdp($F16, K$15), 0)</f>
        <v>0</v>
      </c>
      <c r="L16" s="30" t="n">
        <f aca="false">IFERROR((H16+I16)/2, 0)</f>
        <v>0</v>
      </c>
    </row>
    <row r="17" customFormat="false" ht="15" hidden="false" customHeight="false" outlineLevel="0" collapsed="false">
      <c r="A17" s="18" t="s">
        <v>162</v>
      </c>
      <c r="B17" s="18" t="s">
        <v>165</v>
      </c>
      <c r="C17" s="18" t="s">
        <v>164</v>
      </c>
      <c r="D17" s="24" t="n">
        <f aca="false">$D$11-$D$8</f>
        <v>-1</v>
      </c>
      <c r="E17" s="27" t="n">
        <f aca="false">$D$9</f>
        <v>46220</v>
      </c>
      <c r="F17" s="18" t="str">
        <f aca="false">"EWY"&amp;" US "&amp;TEXT(E17,"mm/dd/yy")&amp;" "&amp;"P"&amp;IF(D17=INT(D17),INT(D17),D17)&amp;" Equity"</f>
        <v>EWY US 07/17/26 P-1 Equity</v>
      </c>
      <c r="G17" s="30" t="n">
        <f aca="false">IFERROR(bdp($F17, G$15), 0)</f>
        <v>0</v>
      </c>
      <c r="H17" s="30" t="n">
        <f aca="false">IFERROR(bdp($F17, H$15), 0)</f>
        <v>0</v>
      </c>
      <c r="I17" s="30" t="n">
        <f aca="false">IFERROR(bdp($F17, I$15), 0)</f>
        <v>0</v>
      </c>
      <c r="J17" s="31" t="n">
        <f aca="false">IFERROR(bdp($F17, J$15), 0)</f>
        <v>0</v>
      </c>
      <c r="K17" s="22" t="n">
        <f aca="false">IFERROR(bdp($F17, K$15), 0)</f>
        <v>0</v>
      </c>
      <c r="L17" s="30" t="n">
        <f aca="false">IFERROR((H17+I17)/2, 0)</f>
        <v>0</v>
      </c>
    </row>
    <row r="18" customFormat="false" ht="15" hidden="false" customHeight="false" outlineLevel="0" collapsed="false">
      <c r="A18" s="18" t="s">
        <v>162</v>
      </c>
      <c r="B18" s="18" t="s">
        <v>166</v>
      </c>
      <c r="C18" s="18" t="s">
        <v>164</v>
      </c>
      <c r="D18" s="24" t="n">
        <f aca="false">$D$11</f>
        <v>0</v>
      </c>
      <c r="E18" s="27" t="n">
        <f aca="false">$D$10</f>
        <v>46255</v>
      </c>
      <c r="F18" s="18" t="str">
        <f aca="false">"EWY"&amp;" US "&amp;TEXT(E18,"mm/dd/yy")&amp;" "&amp;"P"&amp;IF(D18=INT(D18),INT(D18),D18)&amp;" Equity"</f>
        <v>EWY US 08/21/26 P0 Equity</v>
      </c>
      <c r="G18" s="30" t="n">
        <f aca="false">IFERROR(bdp($F18, G$15), 0)</f>
        <v>0</v>
      </c>
      <c r="H18" s="30" t="n">
        <f aca="false">IFERROR(bdp($F18, H$15), 0)</f>
        <v>0</v>
      </c>
      <c r="I18" s="30" t="n">
        <f aca="false">IFERROR(bdp($F18, I$15), 0)</f>
        <v>0</v>
      </c>
      <c r="J18" s="31" t="n">
        <f aca="false">IFERROR(bdp($F18, J$15), 0)</f>
        <v>0</v>
      </c>
      <c r="K18" s="22" t="n">
        <f aca="false">IFERROR(bdp($F18, K$15), 0)</f>
        <v>0</v>
      </c>
      <c r="L18" s="30" t="n">
        <f aca="false">IFERROR((H18+I18)/2, 0)</f>
        <v>0</v>
      </c>
    </row>
    <row r="19" customFormat="false" ht="15" hidden="false" customHeight="false" outlineLevel="0" collapsed="false">
      <c r="A19" s="18" t="s">
        <v>162</v>
      </c>
      <c r="B19" s="18" t="s">
        <v>167</v>
      </c>
      <c r="C19" s="18" t="s">
        <v>164</v>
      </c>
      <c r="D19" s="24" t="n">
        <f aca="false">$D$11-$D$8</f>
        <v>-1</v>
      </c>
      <c r="E19" s="27" t="n">
        <f aca="false">$D$10</f>
        <v>46255</v>
      </c>
      <c r="F19" s="18" t="str">
        <f aca="false">"EWY"&amp;" US "&amp;TEXT(E19,"mm/dd/yy")&amp;" "&amp;"P"&amp;IF(D19=INT(D19),INT(D19),D19)&amp;" Equity"</f>
        <v>EWY US 08/21/26 P-1 Equity</v>
      </c>
      <c r="G19" s="30" t="n">
        <f aca="false">IFERROR(bdp($F19, G$15), 0)</f>
        <v>0</v>
      </c>
      <c r="H19" s="30" t="n">
        <f aca="false">IFERROR(bdp($F19, H$15), 0)</f>
        <v>0</v>
      </c>
      <c r="I19" s="30" t="n">
        <f aca="false">IFERROR(bdp($F19, I$15), 0)</f>
        <v>0</v>
      </c>
      <c r="J19" s="31" t="n">
        <f aca="false">IFERROR(bdp($F19, J$15), 0)</f>
        <v>0</v>
      </c>
      <c r="K19" s="22" t="n">
        <f aca="false">IFERROR(bdp($F19, K$15), 0)</f>
        <v>0</v>
      </c>
      <c r="L19" s="30" t="n">
        <f aca="false">IFERROR((H19+I19)/2, 0)</f>
        <v>0</v>
      </c>
    </row>
    <row r="21" customFormat="false" ht="15" hidden="false" customHeight="false" outlineLevel="0" collapsed="false">
      <c r="A21" s="14" t="s">
        <v>152</v>
      </c>
      <c r="B21" s="14" t="s">
        <v>168</v>
      </c>
      <c r="C21" s="14" t="s">
        <v>79</v>
      </c>
      <c r="D21" s="14" t="s">
        <v>169</v>
      </c>
      <c r="E21" s="14" t="s">
        <v>170</v>
      </c>
      <c r="F21" s="14" t="s">
        <v>171</v>
      </c>
      <c r="G21" s="14" t="s">
        <v>172</v>
      </c>
      <c r="H21" s="14" t="s">
        <v>173</v>
      </c>
      <c r="I21" s="14" t="s">
        <v>174</v>
      </c>
      <c r="J21" s="14" t="s">
        <v>175</v>
      </c>
      <c r="K21" s="14" t="s">
        <v>176</v>
      </c>
      <c r="L21" s="14" t="s">
        <v>177</v>
      </c>
      <c r="M21" s="14" t="s">
        <v>178</v>
      </c>
      <c r="N21" s="14" t="s">
        <v>179</v>
      </c>
      <c r="O21" s="14" t="s">
        <v>180</v>
      </c>
      <c r="P21" s="14" t="s">
        <v>181</v>
      </c>
    </row>
    <row r="22" customFormat="false" ht="23.85" hidden="false" customHeight="false" outlineLevel="0" collapsed="false">
      <c r="A22" s="18" t="s">
        <v>162</v>
      </c>
      <c r="B22" s="18" t="s">
        <v>182</v>
      </c>
      <c r="C22" s="17" t="n">
        <f aca="true">$D$9-TODAY()</f>
        <v>67</v>
      </c>
      <c r="D22" s="24" t="n">
        <f aca="false">$D$11</f>
        <v>0</v>
      </c>
      <c r="E22" s="24" t="n">
        <f aca="false">$D$11-$D$8</f>
        <v>-1</v>
      </c>
      <c r="F22" s="25" t="n">
        <f aca="false">$D$8</f>
        <v>1</v>
      </c>
      <c r="G22" s="30" t="n">
        <f aca="false">IFERROR(L16-L17,0)</f>
        <v>0</v>
      </c>
      <c r="H22" s="30" t="n">
        <f aca="false">IFERROR(F22-G22,0)</f>
        <v>1</v>
      </c>
      <c r="I22" s="31" t="n">
        <f aca="false">IFERROR(G22/F22,0)</f>
        <v>0</v>
      </c>
      <c r="J22" s="31" t="n">
        <f aca="false">IFERROR((I16-H16)/L16,1)</f>
        <v>1</v>
      </c>
      <c r="K22" s="31" t="n">
        <f aca="false">IFERROR(($E$4-D22)/$E$4,0)</f>
        <v>0</v>
      </c>
      <c r="L22" s="31" t="n">
        <f aca="false">IFERROR(1-ABS(K16),0)</f>
        <v>1</v>
      </c>
      <c r="M22" s="30" t="n">
        <f aca="false">L22*G22-(1-L22)*H22</f>
        <v>0</v>
      </c>
      <c r="N22" s="22" t="n">
        <f aca="false">IFERROR(M22/H22,0)</f>
        <v>0</v>
      </c>
      <c r="O22" s="18" t="str">
        <f aca="false">IF(NOT(AND(C22&gt;=Settings!$B$14,C22&lt;=Settings!$B$15)),"WAIT - DTE",IF(NOT(AND(ABS(K16)&gt;=Settings!$B$12,ABS(K16)&lt;=Settings!$B$13)),"WAIT - DELTA",IF(NOT($F$4&gt;=Settings!$B$8),"WAIT - IVR",IF(NOT(G22&gt;=Settings!$B$10),"WAIT - CREDIT",IF(NOT(I22&gt;=Settings!$B$9),"WAIT - C/W",IF(NOT(AND(J22&lt;=Settings!$B$11,H16&gt;0,I16&gt;0,H17&gt;0,I17&gt;0)),"WAIT - LIQ",IF(NOT(K22&gt;=Settings!$B$19),"WAIT - BUFFER","GO")))))))</f>
        <v>WAIT - DELTA</v>
      </c>
      <c r="P22" s="22" t="n">
        <f aca="false">IF(O22="GO",N22,-1000000000)</f>
        <v>-1000000000</v>
      </c>
    </row>
    <row r="23" customFormat="false" ht="23.85" hidden="false" customHeight="false" outlineLevel="0" collapsed="false">
      <c r="A23" s="18" t="s">
        <v>162</v>
      </c>
      <c r="B23" s="18" t="s">
        <v>183</v>
      </c>
      <c r="C23" s="17" t="n">
        <f aca="true">$D$10-TODAY()</f>
        <v>102</v>
      </c>
      <c r="D23" s="24" t="n">
        <f aca="false">$D$11</f>
        <v>0</v>
      </c>
      <c r="E23" s="24" t="n">
        <f aca="false">$D$11-$D$8</f>
        <v>-1</v>
      </c>
      <c r="F23" s="25" t="n">
        <f aca="false">$D$8</f>
        <v>1</v>
      </c>
      <c r="G23" s="30" t="n">
        <f aca="false">IFERROR(L18-L19,0)</f>
        <v>0</v>
      </c>
      <c r="H23" s="30" t="n">
        <f aca="false">IFERROR(F23-G23,0)</f>
        <v>1</v>
      </c>
      <c r="I23" s="31" t="n">
        <f aca="false">IFERROR(G23/F23,0)</f>
        <v>0</v>
      </c>
      <c r="J23" s="31" t="n">
        <f aca="false">IFERROR((I18-H18)/L18,1)</f>
        <v>1</v>
      </c>
      <c r="K23" s="31" t="n">
        <f aca="false">IFERROR(($E$4-D23)/$E$4,0)</f>
        <v>0</v>
      </c>
      <c r="L23" s="31" t="n">
        <f aca="false">IFERROR(1-ABS(K18),0)</f>
        <v>1</v>
      </c>
      <c r="M23" s="30" t="n">
        <f aca="false">L23*G23-(1-L23)*H23</f>
        <v>0</v>
      </c>
      <c r="N23" s="22" t="n">
        <f aca="false">IFERROR(M23/H23,0)</f>
        <v>0</v>
      </c>
      <c r="O23" s="18" t="str">
        <f aca="false">IF(NOT(AND(C23&gt;=Settings!$B$14,C23&lt;=Settings!$B$15)),"WAIT - DTE",IF(NOT(AND(ABS(K18)&gt;=Settings!$B$12,ABS(K18)&lt;=Settings!$B$13)),"WAIT - DELTA",IF(NOT($F$4&gt;=Settings!$B$8),"WAIT - IVR",IF(NOT(G23&gt;=Settings!$B$10),"WAIT - CREDIT",IF(NOT(I23&gt;=Settings!$B$9),"WAIT - C/W",IF(NOT(AND(J23&lt;=Settings!$B$11,H18&gt;0,I18&gt;0,H19&gt;0,I19&gt;0)),"WAIT - LIQ",IF(NOT(K23&gt;=Settings!$B$19),"WAIT - BUFFER","GO")))))))</f>
        <v>WAIT - DELTA</v>
      </c>
      <c r="P23" s="22" t="n">
        <f aca="false">IF(O23="GO",N23,-1000000000)</f>
        <v>-1000000000</v>
      </c>
    </row>
    <row r="25" customFormat="false" ht="21.75" hidden="false" customHeight="true" outlineLevel="0" collapsed="false">
      <c r="A25" s="5" t="s">
        <v>184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</row>
    <row r="26" customFormat="false" ht="23.85" hidden="false" customHeight="false" outlineLevel="0" collapsed="false">
      <c r="A26" s="14" t="s">
        <v>152</v>
      </c>
      <c r="B26" s="14" t="s">
        <v>153</v>
      </c>
      <c r="C26" s="14" t="s">
        <v>154</v>
      </c>
      <c r="D26" s="14" t="s">
        <v>155</v>
      </c>
      <c r="E26" s="14" t="s">
        <v>156</v>
      </c>
      <c r="F26" s="14" t="s">
        <v>135</v>
      </c>
      <c r="G26" s="14" t="s">
        <v>136</v>
      </c>
      <c r="H26" s="14" t="s">
        <v>157</v>
      </c>
      <c r="I26" s="14" t="s">
        <v>158</v>
      </c>
      <c r="J26" s="14" t="s">
        <v>159</v>
      </c>
      <c r="K26" s="14" t="s">
        <v>160</v>
      </c>
      <c r="L26" s="14" t="s">
        <v>161</v>
      </c>
    </row>
    <row r="27" customFormat="false" ht="15" hidden="false" customHeight="false" outlineLevel="0" collapsed="false">
      <c r="A27" s="18" t="s">
        <v>185</v>
      </c>
      <c r="B27" s="18" t="s">
        <v>163</v>
      </c>
      <c r="C27" s="18" t="s">
        <v>186</v>
      </c>
      <c r="D27" s="24" t="n">
        <f aca="false">$D$12</f>
        <v>0</v>
      </c>
      <c r="E27" s="27" t="n">
        <f aca="false">$D$9</f>
        <v>46220</v>
      </c>
      <c r="F27" s="18" t="str">
        <f aca="false">"EWY"&amp;" US "&amp;TEXT(E27,"mm/dd/yy")&amp;" "&amp;"C"&amp;IF(D27=INT(D27),INT(D27),D27)&amp;" Equity"</f>
        <v>EWY US 07/17/26 C0 Equity</v>
      </c>
      <c r="G27" s="30" t="n">
        <f aca="false">IFERROR(bdp($F27, G$26), 0)</f>
        <v>0</v>
      </c>
      <c r="H27" s="30" t="n">
        <f aca="false">IFERROR(bdp($F27, H$26), 0)</f>
        <v>0</v>
      </c>
      <c r="I27" s="30" t="n">
        <f aca="false">IFERROR(bdp($F27, I$26), 0)</f>
        <v>0</v>
      </c>
      <c r="J27" s="31" t="n">
        <f aca="false">IFERROR(bdp($F27, J$26), 0)</f>
        <v>0</v>
      </c>
      <c r="K27" s="22" t="n">
        <f aca="false">IFERROR(bdp($F27, K$26), 0)</f>
        <v>0</v>
      </c>
      <c r="L27" s="30" t="n">
        <f aca="false">IFERROR((H27+I27)/2, 0)</f>
        <v>0</v>
      </c>
    </row>
    <row r="28" customFormat="false" ht="15" hidden="false" customHeight="false" outlineLevel="0" collapsed="false">
      <c r="A28" s="18" t="s">
        <v>185</v>
      </c>
      <c r="B28" s="18" t="s">
        <v>165</v>
      </c>
      <c r="C28" s="18" t="s">
        <v>186</v>
      </c>
      <c r="D28" s="24" t="n">
        <f aca="false">$D$12+$D$8</f>
        <v>1</v>
      </c>
      <c r="E28" s="27" t="n">
        <f aca="false">$D$9</f>
        <v>46220</v>
      </c>
      <c r="F28" s="18" t="str">
        <f aca="false">"EWY"&amp;" US "&amp;TEXT(E28,"mm/dd/yy")&amp;" "&amp;"C"&amp;IF(D28=INT(D28),INT(D28),D28)&amp;" Equity"</f>
        <v>EWY US 07/17/26 C1 Equity</v>
      </c>
      <c r="G28" s="30" t="n">
        <f aca="false">IFERROR(bdp($F28, G$26), 0)</f>
        <v>0</v>
      </c>
      <c r="H28" s="30" t="n">
        <f aca="false">IFERROR(bdp($F28, H$26), 0)</f>
        <v>0</v>
      </c>
      <c r="I28" s="30" t="n">
        <f aca="false">IFERROR(bdp($F28, I$26), 0)</f>
        <v>0</v>
      </c>
      <c r="J28" s="31" t="n">
        <f aca="false">IFERROR(bdp($F28, J$26), 0)</f>
        <v>0</v>
      </c>
      <c r="K28" s="22" t="n">
        <f aca="false">IFERROR(bdp($F28, K$26), 0)</f>
        <v>0</v>
      </c>
      <c r="L28" s="30" t="n">
        <f aca="false">IFERROR((H28+I28)/2, 0)</f>
        <v>0</v>
      </c>
    </row>
    <row r="29" customFormat="false" ht="15" hidden="false" customHeight="false" outlineLevel="0" collapsed="false">
      <c r="A29" s="18" t="s">
        <v>185</v>
      </c>
      <c r="B29" s="18" t="s">
        <v>166</v>
      </c>
      <c r="C29" s="18" t="s">
        <v>186</v>
      </c>
      <c r="D29" s="24" t="n">
        <f aca="false">$D$12</f>
        <v>0</v>
      </c>
      <c r="E29" s="27" t="n">
        <f aca="false">$D$10</f>
        <v>46255</v>
      </c>
      <c r="F29" s="18" t="str">
        <f aca="false">"EWY"&amp;" US "&amp;TEXT(E29,"mm/dd/yy")&amp;" "&amp;"C"&amp;IF(D29=INT(D29),INT(D29),D29)&amp;" Equity"</f>
        <v>EWY US 08/21/26 C0 Equity</v>
      </c>
      <c r="G29" s="30" t="n">
        <f aca="false">IFERROR(bdp($F29, G$26), 0)</f>
        <v>0</v>
      </c>
      <c r="H29" s="30" t="n">
        <f aca="false">IFERROR(bdp($F29, H$26), 0)</f>
        <v>0</v>
      </c>
      <c r="I29" s="30" t="n">
        <f aca="false">IFERROR(bdp($F29, I$26), 0)</f>
        <v>0</v>
      </c>
      <c r="J29" s="31" t="n">
        <f aca="false">IFERROR(bdp($F29, J$26), 0)</f>
        <v>0</v>
      </c>
      <c r="K29" s="22" t="n">
        <f aca="false">IFERROR(bdp($F29, K$26), 0)</f>
        <v>0</v>
      </c>
      <c r="L29" s="30" t="n">
        <f aca="false">IFERROR((H29+I29)/2, 0)</f>
        <v>0</v>
      </c>
    </row>
    <row r="30" customFormat="false" ht="15" hidden="false" customHeight="false" outlineLevel="0" collapsed="false">
      <c r="A30" s="18" t="s">
        <v>185</v>
      </c>
      <c r="B30" s="18" t="s">
        <v>167</v>
      </c>
      <c r="C30" s="18" t="s">
        <v>186</v>
      </c>
      <c r="D30" s="24" t="n">
        <f aca="false">$D$12+$D$8</f>
        <v>1</v>
      </c>
      <c r="E30" s="27" t="n">
        <f aca="false">$D$10</f>
        <v>46255</v>
      </c>
      <c r="F30" s="18" t="str">
        <f aca="false">"EWY"&amp;" US "&amp;TEXT(E30,"mm/dd/yy")&amp;" "&amp;"C"&amp;IF(D30=INT(D30),INT(D30),D30)&amp;" Equity"</f>
        <v>EWY US 08/21/26 C1 Equity</v>
      </c>
      <c r="G30" s="30" t="n">
        <f aca="false">IFERROR(bdp($F30, G$26), 0)</f>
        <v>0</v>
      </c>
      <c r="H30" s="30" t="n">
        <f aca="false">IFERROR(bdp($F30, H$26), 0)</f>
        <v>0</v>
      </c>
      <c r="I30" s="30" t="n">
        <f aca="false">IFERROR(bdp($F30, I$26), 0)</f>
        <v>0</v>
      </c>
      <c r="J30" s="31" t="n">
        <f aca="false">IFERROR(bdp($F30, J$26), 0)</f>
        <v>0</v>
      </c>
      <c r="K30" s="22" t="n">
        <f aca="false">IFERROR(bdp($F30, K$26), 0)</f>
        <v>0</v>
      </c>
      <c r="L30" s="30" t="n">
        <f aca="false">IFERROR((H30+I30)/2, 0)</f>
        <v>0</v>
      </c>
    </row>
    <row r="32" customFormat="false" ht="15" hidden="false" customHeight="false" outlineLevel="0" collapsed="false">
      <c r="A32" s="14" t="s">
        <v>152</v>
      </c>
      <c r="B32" s="14" t="s">
        <v>168</v>
      </c>
      <c r="C32" s="14" t="s">
        <v>79</v>
      </c>
      <c r="D32" s="14" t="s">
        <v>169</v>
      </c>
      <c r="E32" s="14" t="s">
        <v>170</v>
      </c>
      <c r="F32" s="14" t="s">
        <v>171</v>
      </c>
      <c r="G32" s="14" t="s">
        <v>172</v>
      </c>
      <c r="H32" s="14" t="s">
        <v>173</v>
      </c>
      <c r="I32" s="14" t="s">
        <v>174</v>
      </c>
      <c r="J32" s="14" t="s">
        <v>175</v>
      </c>
      <c r="K32" s="14" t="s">
        <v>176</v>
      </c>
      <c r="L32" s="14" t="s">
        <v>177</v>
      </c>
      <c r="M32" s="14" t="s">
        <v>178</v>
      </c>
      <c r="N32" s="14" t="s">
        <v>179</v>
      </c>
      <c r="O32" s="14" t="s">
        <v>180</v>
      </c>
      <c r="P32" s="14" t="s">
        <v>181</v>
      </c>
    </row>
    <row r="33" customFormat="false" ht="23.85" hidden="false" customHeight="false" outlineLevel="0" collapsed="false">
      <c r="A33" s="18" t="s">
        <v>185</v>
      </c>
      <c r="B33" s="18" t="s">
        <v>182</v>
      </c>
      <c r="C33" s="17" t="n">
        <f aca="true">$D$9-TODAY()</f>
        <v>67</v>
      </c>
      <c r="D33" s="24" t="n">
        <f aca="false">$D$12</f>
        <v>0</v>
      </c>
      <c r="E33" s="24" t="n">
        <f aca="false">$D$12+$D$8</f>
        <v>1</v>
      </c>
      <c r="F33" s="25" t="n">
        <f aca="false">$D$8</f>
        <v>1</v>
      </c>
      <c r="G33" s="30" t="n">
        <f aca="false">IFERROR(L27-L28,0)</f>
        <v>0</v>
      </c>
      <c r="H33" s="30" t="n">
        <f aca="false">IFERROR(F33-G33,0)</f>
        <v>1</v>
      </c>
      <c r="I33" s="31" t="n">
        <f aca="false">IFERROR(G33/F33,0)</f>
        <v>0</v>
      </c>
      <c r="J33" s="31" t="n">
        <f aca="false">IFERROR((I27-H27)/L27,1)</f>
        <v>1</v>
      </c>
      <c r="K33" s="31" t="n">
        <f aca="false">IFERROR((D33-$E$4)/$E$4,0)</f>
        <v>0</v>
      </c>
      <c r="L33" s="31" t="n">
        <f aca="false">IFERROR(1-ABS(K27),0)</f>
        <v>1</v>
      </c>
      <c r="M33" s="30" t="n">
        <f aca="false">L33*G33-(1-L33)*H33</f>
        <v>0</v>
      </c>
      <c r="N33" s="22" t="n">
        <f aca="false">IFERROR(M33/H33,0)</f>
        <v>0</v>
      </c>
      <c r="O33" s="18" t="str">
        <f aca="false">IF(NOT(AND(C33&gt;=Settings!$B$14,C33&lt;=Settings!$B$15)),"WAIT - DTE",IF(NOT(AND(ABS(K27)&gt;=Settings!$B$12,ABS(K27)&lt;=Settings!$B$13)),"WAIT - DELTA",IF(NOT($F$4&gt;=Settings!$B$8),"WAIT - IVR",IF(NOT(G33&gt;=Settings!$B$10),"WAIT - CREDIT",IF(NOT(I33&gt;=Settings!$B$9),"WAIT - C/W",IF(NOT(AND(J33&lt;=Settings!$B$11,H27&gt;0,I27&gt;0,H28&gt;0,I28&gt;0)),"WAIT - LIQ",IF(NOT(K33&gt;=Settings!$B$19),"WAIT - BUFFER","GO")))))))</f>
        <v>WAIT - DELTA</v>
      </c>
      <c r="P33" s="22" t="n">
        <f aca="false">IF(O33="GO",N33,-1000000000)</f>
        <v>-1000000000</v>
      </c>
    </row>
    <row r="34" customFormat="false" ht="23.85" hidden="false" customHeight="false" outlineLevel="0" collapsed="false">
      <c r="A34" s="18" t="s">
        <v>185</v>
      </c>
      <c r="B34" s="18" t="s">
        <v>183</v>
      </c>
      <c r="C34" s="17" t="n">
        <f aca="true">$D$10-TODAY()</f>
        <v>102</v>
      </c>
      <c r="D34" s="24" t="n">
        <f aca="false">$D$12</f>
        <v>0</v>
      </c>
      <c r="E34" s="24" t="n">
        <f aca="false">$D$12+$D$8</f>
        <v>1</v>
      </c>
      <c r="F34" s="25" t="n">
        <f aca="false">$D$8</f>
        <v>1</v>
      </c>
      <c r="G34" s="30" t="n">
        <f aca="false">IFERROR(L29-L30,0)</f>
        <v>0</v>
      </c>
      <c r="H34" s="30" t="n">
        <f aca="false">IFERROR(F34-G34,0)</f>
        <v>1</v>
      </c>
      <c r="I34" s="31" t="n">
        <f aca="false">IFERROR(G34/F34,0)</f>
        <v>0</v>
      </c>
      <c r="J34" s="31" t="n">
        <f aca="false">IFERROR((I29-H29)/L29,1)</f>
        <v>1</v>
      </c>
      <c r="K34" s="31" t="n">
        <f aca="false">IFERROR((D34-$E$4)/$E$4,0)</f>
        <v>0</v>
      </c>
      <c r="L34" s="31" t="n">
        <f aca="false">IFERROR(1-ABS(K29),0)</f>
        <v>1</v>
      </c>
      <c r="M34" s="30" t="n">
        <f aca="false">L34*G34-(1-L34)*H34</f>
        <v>0</v>
      </c>
      <c r="N34" s="22" t="n">
        <f aca="false">IFERROR(M34/H34,0)</f>
        <v>0</v>
      </c>
      <c r="O34" s="18" t="str">
        <f aca="false">IF(NOT(AND(C34&gt;=Settings!$B$14,C34&lt;=Settings!$B$15)),"WAIT - DTE",IF(NOT(AND(ABS(K29)&gt;=Settings!$B$12,ABS(K29)&lt;=Settings!$B$13)),"WAIT - DELTA",IF(NOT($F$4&gt;=Settings!$B$8),"WAIT - IVR",IF(NOT(G34&gt;=Settings!$B$10),"WAIT - CREDIT",IF(NOT(I34&gt;=Settings!$B$9),"WAIT - C/W",IF(NOT(AND(J34&lt;=Settings!$B$11,H29&gt;0,I29&gt;0,H30&gt;0,I30&gt;0)),"WAIT - LIQ",IF(NOT(K34&gt;=Settings!$B$19),"WAIT - BUFFER","GO")))))))</f>
        <v>WAIT - DELTA</v>
      </c>
      <c r="P34" s="22" t="n">
        <f aca="false">IF(O34="GO",N34,-1000000000)</f>
        <v>-1000000000</v>
      </c>
    </row>
    <row r="36" customFormat="false" ht="15" hidden="false" customHeight="true" outlineLevel="0" collapsed="false">
      <c r="A36" s="5" t="s">
        <v>187</v>
      </c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</row>
    <row r="37" customFormat="false" ht="23.85" hidden="false" customHeight="false" outlineLevel="0" collapsed="false">
      <c r="A37" s="14" t="s">
        <v>188</v>
      </c>
      <c r="B37" s="14" t="s">
        <v>189</v>
      </c>
      <c r="C37" s="14" t="s">
        <v>190</v>
      </c>
      <c r="D37" s="14" t="s">
        <v>79</v>
      </c>
      <c r="E37" s="14" t="s">
        <v>169</v>
      </c>
      <c r="F37" s="14" t="s">
        <v>170</v>
      </c>
      <c r="G37" s="14" t="s">
        <v>172</v>
      </c>
      <c r="H37" s="14" t="s">
        <v>173</v>
      </c>
      <c r="I37" s="14" t="s">
        <v>177</v>
      </c>
      <c r="J37" s="14" t="s">
        <v>179</v>
      </c>
      <c r="K37" s="14" t="s">
        <v>180</v>
      </c>
      <c r="L37" s="14" t="s">
        <v>181</v>
      </c>
    </row>
    <row r="38" customFormat="false" ht="23.85" hidden="false" customHeight="false" outlineLevel="0" collapsed="false">
      <c r="A38" s="18" t="str">
        <f aca="false">INDEX($A$22:$P$34, IF(P22=MAX(P22,P23,P33,P34),22,IF(P23=MAX(P22,P23,P33,P34),23,IF(P33=MAX(P22,P23,P33,P34),33,34)))-21, 1)</f>
        <v>BullPut</v>
      </c>
      <c r="B38" s="18" t="str">
        <f aca="false">INDEX($A$22:$P$34, IF(P22=MAX(P22,P23,P33,P34),22,IF(P23=MAX(P22,P23,P33,P34),23,IF(P33=MAX(P22,P23,P33,P34),33,34)))-21, 2)</f>
        <v>Front</v>
      </c>
      <c r="C38" s="27" t="n">
        <f aca="false">IF(INDEX($A$22:$P$34, IF(P22=MAX(P22,P23,P33,P34),22,IF(P23=MAX(P22,P23,P33,P34),23,IF(P33=MAX(P22,P23,P33,P34),33,34)))-21, 2)="Front",$D$9,$D$10)</f>
        <v>46220</v>
      </c>
      <c r="D38" s="17" t="n">
        <f aca="false">INDEX($A$22:$P$34, IF(P22=MAX(P22,P23,P33,P34),22,IF(P23=MAX(P22,P23,P33,P34),23,IF(P33=MAX(P22,P23,P33,P34),33,34)))-21, 3)</f>
        <v>67</v>
      </c>
      <c r="E38" s="24" t="n">
        <f aca="false">INDEX($A$22:$P$34, IF(P22=MAX(P22,P23,P33,P34),22,IF(P23=MAX(P22,P23,P33,P34),23,IF(P33=MAX(P22,P23,P33,P34),33,34)))-21, 4)</f>
        <v>0</v>
      </c>
      <c r="F38" s="24" t="n">
        <f aca="false">INDEX($A$22:$P$34, IF(P22=MAX(P22,P23,P33,P34),22,IF(P23=MAX(P22,P23,P33,P34),23,IF(P33=MAX(P22,P23,P33,P34),33,34)))-21, 5)</f>
        <v>-1</v>
      </c>
      <c r="G38" s="30" t="n">
        <f aca="false">INDEX($A$22:$P$34, IF(P22=MAX(P22,P23,P33,P34),22,IF(P23=MAX(P22,P23,P33,P34),23,IF(P33=MAX(P22,P23,P33,P34),33,34)))-21, 7)</f>
        <v>0</v>
      </c>
      <c r="H38" s="30" t="n">
        <f aca="false">INDEX($A$22:$P$34, IF(P22=MAX(P22,P23,P33,P34),22,IF(P23=MAX(P22,P23,P33,P34),23,IF(P33=MAX(P22,P23,P33,P34),33,34)))-21, 8)</f>
        <v>1</v>
      </c>
      <c r="I38" s="31" t="n">
        <f aca="false">INDEX($A$22:$P$34, IF(P22=MAX(P22,P23,P33,P34),22,IF(P23=MAX(P22,P23,P33,P34),23,IF(P33=MAX(P22,P23,P33,P34),33,34)))-21, 12)</f>
        <v>1</v>
      </c>
      <c r="J38" s="22" t="n">
        <f aca="false">INDEX($A$22:$P$34, IF(P22=MAX(P22,P23,P33,P34),22,IF(P23=MAX(P22,P23,P33,P34),23,IF(P33=MAX(P22,P23,P33,P34),33,34)))-21, 14)</f>
        <v>0</v>
      </c>
      <c r="K38" s="18" t="str">
        <f aca="false">INDEX($A$22:$P$34, IF(P22=MAX(P22,P23,P33,P34),22,IF(P23=MAX(P22,P23,P33,P34),23,IF(P33=MAX(P22,P23,P33,P34),33,34)))-21, 15)</f>
        <v>WAIT - DELTA</v>
      </c>
      <c r="L38" s="22" t="n">
        <f aca="false">MAX(P22,P23,P33,P34)</f>
        <v>-1000000000</v>
      </c>
    </row>
  </sheetData>
  <mergeCells count="5">
    <mergeCell ref="A1:L1"/>
    <mergeCell ref="A6:L6"/>
    <mergeCell ref="A14:L14"/>
    <mergeCell ref="A25:L25"/>
    <mergeCell ref="A36:L36"/>
  </mergeCells>
  <conditionalFormatting sqref="O22:O23">
    <cfRule type="expression" priority="2" aboveAverage="0" equalAverage="0" bottom="0" percent="0" rank="0" text="" dxfId="2">
      <formula>O22="GO"</formula>
    </cfRule>
    <cfRule type="expression" priority="3" aboveAverage="0" equalAverage="0" bottom="0" percent="0" rank="0" text="" dxfId="3">
      <formula>LEFT(O22,4)="WAIT"</formula>
    </cfRule>
  </conditionalFormatting>
  <conditionalFormatting sqref="O33:O34">
    <cfRule type="expression" priority="4" aboveAverage="0" equalAverage="0" bottom="0" percent="0" rank="0" text="" dxfId="2">
      <formula>O33="GO"</formula>
    </cfRule>
    <cfRule type="expression" priority="5" aboveAverage="0" equalAverage="0" bottom="0" percent="0" rank="0" text="" dxfId="3">
      <formula>LEFT(O33,4)="WAIT"</formula>
    </cfRule>
  </conditionalFormatting>
  <conditionalFormatting sqref="K38">
    <cfRule type="expression" priority="6" aboveAverage="0" equalAverage="0" bottom="0" percent="0" rank="0" text="" dxfId="2">
      <formula>K38="GO"</formula>
    </cfRule>
    <cfRule type="expression" priority="7" aboveAverage="0" equalAverage="0" bottom="0" percent="0" rank="0" text="" dxfId="3">
      <formula>LEFT(K38,4)="WAIT"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11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32"/>
    <col collapsed="false" customWidth="true" hidden="false" outlineLevel="0" max="10" min="7" style="0" width="10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5" hidden="false" customHeight="true" outlineLevel="0" collapsed="false">
      <c r="A1" s="5" t="s">
        <v>237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</row>
    <row r="3" customFormat="false" ht="23.85" hidden="false" customHeight="false" outlineLevel="0" collapsed="false">
      <c r="A3" s="14" t="s">
        <v>134</v>
      </c>
      <c r="B3" s="14" t="s">
        <v>135</v>
      </c>
      <c r="C3" s="14" t="s">
        <v>136</v>
      </c>
      <c r="D3" s="14" t="s">
        <v>137</v>
      </c>
      <c r="E3" s="14" t="s">
        <v>138</v>
      </c>
      <c r="F3" s="14" t="s">
        <v>139</v>
      </c>
    </row>
    <row r="4" customFormat="false" ht="23.85" hidden="false" customHeight="false" outlineLevel="0" collapsed="false">
      <c r="A4" s="23" t="s">
        <v>238</v>
      </c>
      <c r="B4" s="23" t="s">
        <v>239</v>
      </c>
      <c r="C4" s="18" t="str">
        <f aca="false">C$3</f>
        <v>PX_LAST</v>
      </c>
      <c r="D4" s="18" t="str">
        <f aca="false">D$3</f>
        <v>IVOL_RANK</v>
      </c>
      <c r="E4" s="24" t="n">
        <f aca="false">IFERROR(bdp(B4,C4),0)</f>
        <v>0</v>
      </c>
      <c r="F4" s="17" t="n">
        <f aca="false">IFERROR(bdp(B4,D4),0)</f>
        <v>0</v>
      </c>
    </row>
    <row r="6" customFormat="false" ht="15" hidden="false" customHeight="true" outlineLevel="0" collapsed="false">
      <c r="A6" s="5" t="s">
        <v>141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</row>
    <row r="7" customFormat="false" ht="23.85" hidden="false" customHeight="false" outlineLevel="0" collapsed="false">
      <c r="A7" s="14" t="s">
        <v>142</v>
      </c>
      <c r="B7" s="14" t="s">
        <v>143</v>
      </c>
      <c r="C7" s="14" t="s">
        <v>144</v>
      </c>
      <c r="D7" s="14" t="s">
        <v>145</v>
      </c>
    </row>
    <row r="8" customFormat="false" ht="23.85" hidden="false" customHeight="false" outlineLevel="0" collapsed="false">
      <c r="A8" s="32" t="s">
        <v>240</v>
      </c>
      <c r="B8" s="27" t="n">
        <f aca="false">Calendar!$B$11</f>
        <v>46220</v>
      </c>
      <c r="C8" s="28"/>
      <c r="D8" s="27" t="n">
        <f aca="false">IF(C8="",B8,C8)</f>
        <v>46220</v>
      </c>
    </row>
    <row r="9" customFormat="false" ht="23.85" hidden="false" customHeight="false" outlineLevel="0" collapsed="false">
      <c r="A9" s="33" t="s">
        <v>241</v>
      </c>
      <c r="B9" s="34" t="n">
        <f aca="false">Settings!$B$21</f>
        <v>0.3</v>
      </c>
      <c r="C9" s="10"/>
      <c r="D9" s="34" t="n">
        <f aca="false">IF(C9="",B9,C9)</f>
        <v>0.3</v>
      </c>
    </row>
    <row r="10" customFormat="false" ht="23.85" hidden="false" customHeight="false" outlineLevel="0" collapsed="false">
      <c r="A10" s="35" t="s">
        <v>242</v>
      </c>
      <c r="B10" s="24" t="n">
        <f aca="false">IF($E$4=0,0,CEILING($E$4*(1+$D$9),1))</f>
        <v>0</v>
      </c>
      <c r="C10" s="29"/>
      <c r="D10" s="24" t="n">
        <f aca="false">IF(C10="",B10,C10)</f>
        <v>0</v>
      </c>
    </row>
    <row r="12" customFormat="false" ht="15" hidden="false" customHeight="true" outlineLevel="0" collapsed="false">
      <c r="A12" s="5" t="s">
        <v>243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</row>
    <row r="13" customFormat="false" ht="23.85" hidden="false" customHeight="false" outlineLevel="0" collapsed="false">
      <c r="A13" s="14" t="s">
        <v>152</v>
      </c>
      <c r="B13" s="14" t="s">
        <v>153</v>
      </c>
      <c r="C13" s="14" t="s">
        <v>154</v>
      </c>
      <c r="D13" s="14" t="s">
        <v>155</v>
      </c>
      <c r="E13" s="14" t="s">
        <v>156</v>
      </c>
      <c r="F13" s="14" t="s">
        <v>135</v>
      </c>
      <c r="G13" s="14" t="s">
        <v>136</v>
      </c>
      <c r="H13" s="14" t="s">
        <v>157</v>
      </c>
      <c r="I13" s="14" t="s">
        <v>158</v>
      </c>
      <c r="J13" s="14" t="s">
        <v>159</v>
      </c>
      <c r="K13" s="14" t="s">
        <v>160</v>
      </c>
      <c r="L13" s="14" t="s">
        <v>161</v>
      </c>
    </row>
    <row r="14" customFormat="false" ht="15" hidden="false" customHeight="false" outlineLevel="0" collapsed="false">
      <c r="A14" s="18" t="s">
        <v>244</v>
      </c>
      <c r="B14" s="18" t="s">
        <v>245</v>
      </c>
      <c r="C14" s="18" t="s">
        <v>186</v>
      </c>
      <c r="D14" s="24" t="n">
        <f aca="false">$D$10</f>
        <v>0</v>
      </c>
      <c r="E14" s="27" t="n">
        <f aca="false">$D$8</f>
        <v>46220</v>
      </c>
      <c r="F14" s="18" t="str">
        <f aca="false">"UVXY"&amp;" US "&amp;TEXT(E14,"mm/dd/yy")&amp;" "&amp;"C"&amp;IF(D14=INT(D14),INT(D14),D14)&amp;" Equity"</f>
        <v>UVXY US 07/17/26 C0 Equity</v>
      </c>
      <c r="G14" s="30" t="n">
        <f aca="false">IFERROR(bdp($F14, G$13), 0)</f>
        <v>0</v>
      </c>
      <c r="H14" s="30" t="n">
        <f aca="false">IFERROR(bdp($F14, H$13), 0)</f>
        <v>0</v>
      </c>
      <c r="I14" s="30" t="n">
        <f aca="false">IFERROR(bdp($F14, I$13), 0)</f>
        <v>0</v>
      </c>
      <c r="J14" s="31" t="n">
        <f aca="false">IFERROR(bdp($F14, J$13), 0)</f>
        <v>0</v>
      </c>
      <c r="K14" s="22" t="n">
        <f aca="false">IFERROR(bdp($F14, K$13), 0)</f>
        <v>0</v>
      </c>
      <c r="L14" s="30" t="n">
        <f aca="false">IFERROR((H14+I14)/2, 0)</f>
        <v>0</v>
      </c>
    </row>
    <row r="16" customFormat="false" ht="15" hidden="false" customHeight="true" outlineLevel="0" collapsed="false">
      <c r="A16" s="5" t="s">
        <v>246</v>
      </c>
      <c r="B16" s="5"/>
      <c r="C16" s="5"/>
      <c r="D16" s="5"/>
    </row>
    <row r="17" customFormat="false" ht="23.85" hidden="false" customHeight="true" outlineLevel="0" collapsed="false">
      <c r="A17" s="6" t="s">
        <v>247</v>
      </c>
      <c r="B17" s="36" t="n">
        <f aca="false">Settings!$B$5*Settings!$B$20</f>
        <v>440</v>
      </c>
      <c r="C17" s="8" t="s">
        <v>248</v>
      </c>
      <c r="D17" s="8"/>
      <c r="E17" s="8"/>
      <c r="F17" s="8"/>
      <c r="G17" s="8"/>
      <c r="H17" s="8"/>
      <c r="I17" s="8"/>
      <c r="J17" s="8"/>
      <c r="K17" s="8"/>
      <c r="L17" s="8"/>
    </row>
    <row r="18" customFormat="false" ht="23.85" hidden="false" customHeight="true" outlineLevel="0" collapsed="false">
      <c r="A18" s="6" t="s">
        <v>249</v>
      </c>
      <c r="B18" s="17" t="n">
        <f aca="false">IFERROR(IF(L14&gt;0,FLOOR(B17/(L14*100),1),0),0)</f>
        <v>0</v>
      </c>
      <c r="C18" s="8" t="s">
        <v>250</v>
      </c>
      <c r="D18" s="8"/>
      <c r="E18" s="8"/>
      <c r="F18" s="8"/>
      <c r="G18" s="8"/>
      <c r="H18" s="8"/>
      <c r="I18" s="8"/>
      <c r="J18" s="8"/>
      <c r="K18" s="8"/>
      <c r="L18" s="8"/>
    </row>
    <row r="19" customFormat="false" ht="23.85" hidden="false" customHeight="true" outlineLevel="0" collapsed="false">
      <c r="A19" s="6" t="s">
        <v>251</v>
      </c>
      <c r="B19" s="36" t="n">
        <f aca="false">B18*L14*100</f>
        <v>0</v>
      </c>
      <c r="C19" s="8" t="s">
        <v>252</v>
      </c>
      <c r="D19" s="8"/>
      <c r="E19" s="8"/>
      <c r="F19" s="8"/>
      <c r="G19" s="8"/>
      <c r="H19" s="8"/>
      <c r="I19" s="8"/>
      <c r="J19" s="8"/>
      <c r="K19" s="8"/>
      <c r="L19" s="8"/>
    </row>
    <row r="20" customFormat="false" ht="135.8" hidden="false" customHeight="false" outlineLevel="0" collapsed="false">
      <c r="A20" s="6" t="s">
        <v>80</v>
      </c>
      <c r="B20" s="18" t="str">
        <f aca="false">"In calm months this premium decays — it is the price of insurance. In a vol spike "&amp;"it can 5–10× and cover real book losses."</f>
        <v>In calm months this premium decays — it is the price of insurance. In a vol spike it can 5–10× and cover real book losses.</v>
      </c>
      <c r="C20" s="8"/>
      <c r="D20" s="8"/>
      <c r="E20" s="8"/>
      <c r="F20" s="8"/>
      <c r="G20" s="8"/>
      <c r="H20" s="8"/>
      <c r="I20" s="8"/>
      <c r="J20" s="8"/>
      <c r="K20" s="8"/>
      <c r="L20" s="8"/>
    </row>
  </sheetData>
  <mergeCells count="8">
    <mergeCell ref="A1:L1"/>
    <mergeCell ref="A6:L6"/>
    <mergeCell ref="A12:L12"/>
    <mergeCell ref="A16:D16"/>
    <mergeCell ref="C17:L17"/>
    <mergeCell ref="C18:L18"/>
    <mergeCell ref="C19:L19"/>
    <mergeCell ref="C20:L2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6" min="5" style="0" width="9"/>
    <col collapsed="false" customWidth="true" hidden="false" outlineLevel="0" max="7" min="7" style="0" width="7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10"/>
    <col collapsed="false" customWidth="true" hidden="false" outlineLevel="0" max="14" min="14" style="0" width="12"/>
    <col collapsed="false" customWidth="true" hidden="false" outlineLevel="0" max="15" min="15" style="0" width="13"/>
    <col collapsed="false" customWidth="true" hidden="false" outlineLevel="0" max="16" min="16" style="0" width="40"/>
  </cols>
  <sheetData>
    <row r="1" customFormat="false" ht="15" hidden="false" customHeight="true" outlineLevel="0" collapsed="false">
      <c r="A1" s="5" t="s">
        <v>253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</row>
    <row r="3" customFormat="false" ht="23.85" hidden="false" customHeight="false" outlineLevel="0" collapsed="false">
      <c r="A3" s="14" t="s">
        <v>254</v>
      </c>
      <c r="B3" s="14" t="s">
        <v>152</v>
      </c>
      <c r="C3" s="14" t="s">
        <v>107</v>
      </c>
      <c r="D3" s="14" t="s">
        <v>156</v>
      </c>
      <c r="E3" s="14" t="s">
        <v>169</v>
      </c>
      <c r="F3" s="14" t="s">
        <v>170</v>
      </c>
      <c r="G3" s="14" t="s">
        <v>171</v>
      </c>
      <c r="H3" s="14" t="s">
        <v>255</v>
      </c>
      <c r="I3" s="14" t="s">
        <v>256</v>
      </c>
      <c r="J3" s="14" t="s">
        <v>257</v>
      </c>
      <c r="K3" s="14" t="s">
        <v>258</v>
      </c>
      <c r="L3" s="14" t="s">
        <v>259</v>
      </c>
      <c r="M3" s="14" t="s">
        <v>260</v>
      </c>
      <c r="N3" s="14" t="s">
        <v>261</v>
      </c>
      <c r="O3" s="14" t="s">
        <v>262</v>
      </c>
      <c r="P3" s="14" t="s">
        <v>263</v>
      </c>
    </row>
    <row r="4" customFormat="false" ht="15" hidden="false" customHeight="false" outlineLevel="0" collapsed="false">
      <c r="A4" s="37"/>
      <c r="B4" s="23"/>
      <c r="C4" s="23"/>
      <c r="D4" s="37"/>
      <c r="E4" s="23"/>
      <c r="F4" s="23"/>
      <c r="G4" s="26"/>
      <c r="H4" s="23"/>
      <c r="I4" s="12"/>
      <c r="J4" s="7"/>
      <c r="K4" s="12"/>
      <c r="L4" s="7"/>
      <c r="M4" s="23"/>
      <c r="N4" s="37"/>
      <c r="O4" s="7"/>
      <c r="P4" s="23"/>
    </row>
    <row r="5" customFormat="false" ht="15" hidden="false" customHeight="false" outlineLevel="0" collapsed="false">
      <c r="A5" s="37"/>
      <c r="B5" s="23"/>
      <c r="C5" s="23"/>
      <c r="D5" s="37"/>
      <c r="E5" s="23"/>
      <c r="F5" s="23"/>
      <c r="G5" s="26"/>
      <c r="H5" s="23"/>
      <c r="I5" s="12"/>
      <c r="J5" s="7"/>
      <c r="K5" s="12"/>
      <c r="L5" s="7"/>
      <c r="M5" s="23"/>
      <c r="N5" s="37"/>
      <c r="O5" s="7"/>
      <c r="P5" s="23"/>
    </row>
    <row r="6" customFormat="false" ht="15" hidden="false" customHeight="false" outlineLevel="0" collapsed="false">
      <c r="A6" s="37"/>
      <c r="B6" s="23"/>
      <c r="C6" s="23"/>
      <c r="D6" s="37"/>
      <c r="E6" s="23"/>
      <c r="F6" s="23"/>
      <c r="G6" s="26"/>
      <c r="H6" s="23"/>
      <c r="I6" s="12"/>
      <c r="J6" s="7"/>
      <c r="K6" s="12"/>
      <c r="L6" s="7"/>
      <c r="M6" s="23"/>
      <c r="N6" s="37"/>
      <c r="O6" s="7"/>
      <c r="P6" s="23"/>
    </row>
    <row r="7" customFormat="false" ht="15" hidden="false" customHeight="false" outlineLevel="0" collapsed="false">
      <c r="A7" s="37"/>
      <c r="B7" s="23"/>
      <c r="C7" s="23"/>
      <c r="D7" s="37"/>
      <c r="E7" s="23"/>
      <c r="F7" s="23"/>
      <c r="G7" s="26"/>
      <c r="H7" s="23"/>
      <c r="I7" s="12"/>
      <c r="J7" s="7"/>
      <c r="K7" s="12"/>
      <c r="L7" s="7"/>
      <c r="M7" s="23"/>
      <c r="N7" s="37"/>
      <c r="O7" s="7"/>
      <c r="P7" s="23"/>
    </row>
    <row r="8" customFormat="false" ht="15" hidden="false" customHeight="false" outlineLevel="0" collapsed="false">
      <c r="A8" s="37"/>
      <c r="B8" s="23"/>
      <c r="C8" s="23"/>
      <c r="D8" s="37"/>
      <c r="E8" s="23"/>
      <c r="F8" s="23"/>
      <c r="G8" s="26"/>
      <c r="H8" s="23"/>
      <c r="I8" s="12"/>
      <c r="J8" s="7"/>
      <c r="K8" s="12"/>
      <c r="L8" s="7"/>
      <c r="M8" s="23"/>
      <c r="N8" s="37"/>
      <c r="O8" s="7"/>
      <c r="P8" s="23"/>
    </row>
    <row r="9" customFormat="false" ht="15" hidden="false" customHeight="false" outlineLevel="0" collapsed="false">
      <c r="A9" s="37"/>
      <c r="B9" s="23"/>
      <c r="C9" s="23"/>
      <c r="D9" s="37"/>
      <c r="E9" s="23"/>
      <c r="F9" s="23"/>
      <c r="G9" s="26"/>
      <c r="H9" s="23"/>
      <c r="I9" s="12"/>
      <c r="J9" s="7"/>
      <c r="K9" s="12"/>
      <c r="L9" s="7"/>
      <c r="M9" s="23"/>
      <c r="N9" s="37"/>
      <c r="O9" s="7"/>
      <c r="P9" s="23"/>
    </row>
    <row r="10" customFormat="false" ht="15" hidden="false" customHeight="false" outlineLevel="0" collapsed="false">
      <c r="A10" s="37"/>
      <c r="B10" s="23"/>
      <c r="C10" s="23"/>
      <c r="D10" s="37"/>
      <c r="E10" s="23"/>
      <c r="F10" s="23"/>
      <c r="G10" s="26"/>
      <c r="H10" s="23"/>
      <c r="I10" s="12"/>
      <c r="J10" s="7"/>
      <c r="K10" s="12"/>
      <c r="L10" s="7"/>
      <c r="M10" s="23"/>
      <c r="N10" s="37"/>
      <c r="O10" s="7"/>
      <c r="P10" s="23"/>
    </row>
    <row r="11" customFormat="false" ht="15" hidden="false" customHeight="false" outlineLevel="0" collapsed="false">
      <c r="A11" s="37"/>
      <c r="B11" s="23"/>
      <c r="C11" s="23"/>
      <c r="D11" s="37"/>
      <c r="E11" s="23"/>
      <c r="F11" s="23"/>
      <c r="G11" s="26"/>
      <c r="H11" s="23"/>
      <c r="I11" s="12"/>
      <c r="J11" s="7"/>
      <c r="K11" s="12"/>
      <c r="L11" s="7"/>
      <c r="M11" s="23"/>
      <c r="N11" s="37"/>
      <c r="O11" s="7"/>
      <c r="P11" s="23"/>
    </row>
    <row r="12" customFormat="false" ht="15" hidden="false" customHeight="false" outlineLevel="0" collapsed="false">
      <c r="A12" s="37"/>
      <c r="B12" s="23"/>
      <c r="C12" s="23"/>
      <c r="D12" s="37"/>
      <c r="E12" s="23"/>
      <c r="F12" s="23"/>
      <c r="G12" s="26"/>
      <c r="H12" s="23"/>
      <c r="I12" s="12"/>
      <c r="J12" s="7"/>
      <c r="K12" s="12"/>
      <c r="L12" s="7"/>
      <c r="M12" s="23"/>
      <c r="N12" s="37"/>
      <c r="O12" s="7"/>
      <c r="P12" s="23"/>
    </row>
    <row r="13" customFormat="false" ht="15" hidden="false" customHeight="false" outlineLevel="0" collapsed="false">
      <c r="A13" s="37"/>
      <c r="B13" s="23"/>
      <c r="C13" s="23"/>
      <c r="D13" s="37"/>
      <c r="E13" s="23"/>
      <c r="F13" s="23"/>
      <c r="G13" s="26"/>
      <c r="H13" s="23"/>
      <c r="I13" s="12"/>
      <c r="J13" s="7"/>
      <c r="K13" s="12"/>
      <c r="L13" s="7"/>
      <c r="M13" s="23"/>
      <c r="N13" s="37"/>
      <c r="O13" s="7"/>
      <c r="P13" s="23"/>
    </row>
    <row r="14" customFormat="false" ht="15" hidden="false" customHeight="false" outlineLevel="0" collapsed="false">
      <c r="A14" s="37"/>
      <c r="B14" s="23"/>
      <c r="C14" s="23"/>
      <c r="D14" s="37"/>
      <c r="E14" s="23"/>
      <c r="F14" s="23"/>
      <c r="G14" s="26"/>
      <c r="H14" s="23"/>
      <c r="I14" s="12"/>
      <c r="J14" s="7"/>
      <c r="K14" s="12"/>
      <c r="L14" s="7"/>
      <c r="M14" s="23"/>
      <c r="N14" s="37"/>
      <c r="O14" s="7"/>
      <c r="P14" s="23"/>
    </row>
    <row r="15" customFormat="false" ht="15" hidden="false" customHeight="false" outlineLevel="0" collapsed="false">
      <c r="A15" s="37"/>
      <c r="B15" s="23"/>
      <c r="C15" s="23"/>
      <c r="D15" s="37"/>
      <c r="E15" s="23"/>
      <c r="F15" s="23"/>
      <c r="G15" s="26"/>
      <c r="H15" s="23"/>
      <c r="I15" s="12"/>
      <c r="J15" s="7"/>
      <c r="K15" s="12"/>
      <c r="L15" s="7"/>
      <c r="M15" s="23"/>
      <c r="N15" s="37"/>
      <c r="O15" s="7"/>
      <c r="P15" s="23"/>
    </row>
    <row r="16" customFormat="false" ht="15" hidden="false" customHeight="false" outlineLevel="0" collapsed="false">
      <c r="A16" s="37"/>
      <c r="B16" s="23"/>
      <c r="C16" s="23"/>
      <c r="D16" s="37"/>
      <c r="E16" s="23"/>
      <c r="F16" s="23"/>
      <c r="G16" s="26"/>
      <c r="H16" s="23"/>
      <c r="I16" s="12"/>
      <c r="J16" s="7"/>
      <c r="K16" s="12"/>
      <c r="L16" s="7"/>
      <c r="M16" s="23"/>
      <c r="N16" s="37"/>
      <c r="O16" s="7"/>
      <c r="P16" s="23"/>
    </row>
    <row r="17" customFormat="false" ht="15" hidden="false" customHeight="false" outlineLevel="0" collapsed="false">
      <c r="A17" s="37"/>
      <c r="B17" s="23"/>
      <c r="C17" s="23"/>
      <c r="D17" s="37"/>
      <c r="E17" s="23"/>
      <c r="F17" s="23"/>
      <c r="G17" s="26"/>
      <c r="H17" s="23"/>
      <c r="I17" s="12"/>
      <c r="J17" s="7"/>
      <c r="K17" s="12"/>
      <c r="L17" s="7"/>
      <c r="M17" s="23"/>
      <c r="N17" s="37"/>
      <c r="O17" s="7"/>
      <c r="P17" s="23"/>
    </row>
    <row r="18" customFormat="false" ht="15" hidden="false" customHeight="false" outlineLevel="0" collapsed="false">
      <c r="A18" s="37"/>
      <c r="B18" s="23"/>
      <c r="C18" s="23"/>
      <c r="D18" s="37"/>
      <c r="E18" s="23"/>
      <c r="F18" s="23"/>
      <c r="G18" s="26"/>
      <c r="H18" s="23"/>
      <c r="I18" s="12"/>
      <c r="J18" s="7"/>
      <c r="K18" s="12"/>
      <c r="L18" s="7"/>
      <c r="M18" s="23"/>
      <c r="N18" s="37"/>
      <c r="O18" s="7"/>
      <c r="P18" s="23"/>
    </row>
    <row r="19" customFormat="false" ht="15" hidden="false" customHeight="false" outlineLevel="0" collapsed="false">
      <c r="A19" s="37"/>
      <c r="B19" s="23"/>
      <c r="C19" s="23"/>
      <c r="D19" s="37"/>
      <c r="E19" s="23"/>
      <c r="F19" s="23"/>
      <c r="G19" s="26"/>
      <c r="H19" s="23"/>
      <c r="I19" s="12"/>
      <c r="J19" s="7"/>
      <c r="K19" s="12"/>
      <c r="L19" s="7"/>
      <c r="M19" s="23"/>
      <c r="N19" s="37"/>
      <c r="O19" s="7"/>
      <c r="P19" s="23"/>
    </row>
    <row r="20" customFormat="false" ht="15" hidden="false" customHeight="false" outlineLevel="0" collapsed="false">
      <c r="A20" s="37"/>
      <c r="B20" s="23"/>
      <c r="C20" s="23"/>
      <c r="D20" s="37"/>
      <c r="E20" s="23"/>
      <c r="F20" s="23"/>
      <c r="G20" s="26"/>
      <c r="H20" s="23"/>
      <c r="I20" s="12"/>
      <c r="J20" s="7"/>
      <c r="K20" s="12"/>
      <c r="L20" s="7"/>
      <c r="M20" s="23"/>
      <c r="N20" s="37"/>
      <c r="O20" s="7"/>
      <c r="P20" s="23"/>
    </row>
    <row r="21" customFormat="false" ht="15" hidden="false" customHeight="false" outlineLevel="0" collapsed="false">
      <c r="A21" s="37"/>
      <c r="B21" s="23"/>
      <c r="C21" s="23"/>
      <c r="D21" s="37"/>
      <c r="E21" s="23"/>
      <c r="F21" s="23"/>
      <c r="G21" s="26"/>
      <c r="H21" s="23"/>
      <c r="I21" s="12"/>
      <c r="J21" s="7"/>
      <c r="K21" s="12"/>
      <c r="L21" s="7"/>
      <c r="M21" s="23"/>
      <c r="N21" s="37"/>
      <c r="O21" s="7"/>
      <c r="P21" s="23"/>
    </row>
    <row r="22" customFormat="false" ht="15" hidden="false" customHeight="false" outlineLevel="0" collapsed="false">
      <c r="A22" s="37"/>
      <c r="B22" s="23"/>
      <c r="C22" s="23"/>
      <c r="D22" s="37"/>
      <c r="E22" s="23"/>
      <c r="F22" s="23"/>
      <c r="G22" s="26"/>
      <c r="H22" s="23"/>
      <c r="I22" s="12"/>
      <c r="J22" s="7"/>
      <c r="K22" s="12"/>
      <c r="L22" s="7"/>
      <c r="M22" s="23"/>
      <c r="N22" s="37"/>
      <c r="O22" s="7"/>
      <c r="P22" s="23"/>
    </row>
    <row r="23" customFormat="false" ht="15" hidden="false" customHeight="false" outlineLevel="0" collapsed="false">
      <c r="A23" s="37"/>
      <c r="B23" s="23"/>
      <c r="C23" s="23"/>
      <c r="D23" s="37"/>
      <c r="E23" s="23"/>
      <c r="F23" s="23"/>
      <c r="G23" s="26"/>
      <c r="H23" s="23"/>
      <c r="I23" s="12"/>
      <c r="J23" s="7"/>
      <c r="K23" s="12"/>
      <c r="L23" s="7"/>
      <c r="M23" s="23"/>
      <c r="N23" s="37"/>
      <c r="O23" s="7"/>
      <c r="P23" s="23"/>
    </row>
    <row r="24" customFormat="false" ht="15" hidden="false" customHeight="false" outlineLevel="0" collapsed="false">
      <c r="A24" s="37"/>
      <c r="B24" s="23"/>
      <c r="C24" s="23"/>
      <c r="D24" s="37"/>
      <c r="E24" s="23"/>
      <c r="F24" s="23"/>
      <c r="G24" s="26"/>
      <c r="H24" s="23"/>
      <c r="I24" s="12"/>
      <c r="J24" s="7"/>
      <c r="K24" s="12"/>
      <c r="L24" s="7"/>
      <c r="M24" s="23"/>
      <c r="N24" s="37"/>
      <c r="O24" s="7"/>
      <c r="P24" s="23"/>
    </row>
    <row r="25" customFormat="false" ht="15" hidden="false" customHeight="false" outlineLevel="0" collapsed="false">
      <c r="A25" s="37"/>
      <c r="B25" s="23"/>
      <c r="C25" s="23"/>
      <c r="D25" s="37"/>
      <c r="E25" s="23"/>
      <c r="F25" s="23"/>
      <c r="G25" s="26"/>
      <c r="H25" s="23"/>
      <c r="I25" s="12"/>
      <c r="J25" s="7"/>
      <c r="K25" s="12"/>
      <c r="L25" s="7"/>
      <c r="M25" s="23"/>
      <c r="N25" s="37"/>
      <c r="O25" s="7"/>
      <c r="P25" s="23"/>
    </row>
    <row r="26" customFormat="false" ht="15" hidden="false" customHeight="false" outlineLevel="0" collapsed="false">
      <c r="A26" s="37"/>
      <c r="B26" s="23"/>
      <c r="C26" s="23"/>
      <c r="D26" s="37"/>
      <c r="E26" s="23"/>
      <c r="F26" s="23"/>
      <c r="G26" s="26"/>
      <c r="H26" s="23"/>
      <c r="I26" s="12"/>
      <c r="J26" s="7"/>
      <c r="K26" s="12"/>
      <c r="L26" s="7"/>
      <c r="M26" s="23"/>
      <c r="N26" s="37"/>
      <c r="O26" s="7"/>
      <c r="P26" s="23"/>
    </row>
    <row r="27" customFormat="false" ht="15" hidden="false" customHeight="false" outlineLevel="0" collapsed="false">
      <c r="A27" s="37"/>
      <c r="B27" s="23"/>
      <c r="C27" s="23"/>
      <c r="D27" s="37"/>
      <c r="E27" s="23"/>
      <c r="F27" s="23"/>
      <c r="G27" s="26"/>
      <c r="H27" s="23"/>
      <c r="I27" s="12"/>
      <c r="J27" s="7"/>
      <c r="K27" s="12"/>
      <c r="L27" s="7"/>
      <c r="M27" s="23"/>
      <c r="N27" s="37"/>
      <c r="O27" s="7"/>
      <c r="P27" s="23"/>
    </row>
    <row r="28" customFormat="false" ht="15" hidden="false" customHeight="false" outlineLevel="0" collapsed="false">
      <c r="A28" s="37"/>
      <c r="B28" s="23"/>
      <c r="C28" s="23"/>
      <c r="D28" s="37"/>
      <c r="E28" s="23"/>
      <c r="F28" s="23"/>
      <c r="G28" s="26"/>
      <c r="H28" s="23"/>
      <c r="I28" s="12"/>
      <c r="J28" s="7"/>
      <c r="K28" s="12"/>
      <c r="L28" s="7"/>
      <c r="M28" s="23"/>
      <c r="N28" s="37"/>
      <c r="O28" s="7"/>
      <c r="P28" s="23"/>
    </row>
    <row r="29" customFormat="false" ht="15" hidden="false" customHeight="false" outlineLevel="0" collapsed="false">
      <c r="A29" s="37"/>
      <c r="B29" s="23"/>
      <c r="C29" s="23"/>
      <c r="D29" s="37"/>
      <c r="E29" s="23"/>
      <c r="F29" s="23"/>
      <c r="G29" s="26"/>
      <c r="H29" s="23"/>
      <c r="I29" s="12"/>
      <c r="J29" s="7"/>
      <c r="K29" s="12"/>
      <c r="L29" s="7"/>
      <c r="M29" s="23"/>
      <c r="N29" s="37"/>
      <c r="O29" s="7"/>
      <c r="P29" s="23"/>
    </row>
    <row r="30" customFormat="false" ht="15" hidden="false" customHeight="false" outlineLevel="0" collapsed="false">
      <c r="A30" s="37"/>
      <c r="B30" s="23"/>
      <c r="C30" s="23"/>
      <c r="D30" s="37"/>
      <c r="E30" s="23"/>
      <c r="F30" s="23"/>
      <c r="G30" s="26"/>
      <c r="H30" s="23"/>
      <c r="I30" s="12"/>
      <c r="J30" s="7"/>
      <c r="K30" s="12"/>
      <c r="L30" s="7"/>
      <c r="M30" s="23"/>
      <c r="N30" s="37"/>
      <c r="O30" s="7"/>
      <c r="P30" s="23"/>
    </row>
    <row r="31" customFormat="false" ht="15" hidden="false" customHeight="false" outlineLevel="0" collapsed="false">
      <c r="A31" s="37"/>
      <c r="B31" s="23"/>
      <c r="C31" s="23"/>
      <c r="D31" s="37"/>
      <c r="E31" s="23"/>
      <c r="F31" s="23"/>
      <c r="G31" s="26"/>
      <c r="H31" s="23"/>
      <c r="I31" s="12"/>
      <c r="J31" s="7"/>
      <c r="K31" s="12"/>
      <c r="L31" s="7"/>
      <c r="M31" s="23"/>
      <c r="N31" s="37"/>
      <c r="O31" s="7"/>
      <c r="P31" s="23"/>
    </row>
    <row r="32" customFormat="false" ht="15" hidden="false" customHeight="false" outlineLevel="0" collapsed="false">
      <c r="A32" s="37"/>
      <c r="B32" s="23"/>
      <c r="C32" s="23"/>
      <c r="D32" s="37"/>
      <c r="E32" s="23"/>
      <c r="F32" s="23"/>
      <c r="G32" s="26"/>
      <c r="H32" s="23"/>
      <c r="I32" s="12"/>
      <c r="J32" s="7"/>
      <c r="K32" s="12"/>
      <c r="L32" s="7"/>
      <c r="M32" s="23"/>
      <c r="N32" s="37"/>
      <c r="O32" s="7"/>
      <c r="P32" s="23"/>
    </row>
    <row r="33" customFormat="false" ht="15" hidden="false" customHeight="false" outlineLevel="0" collapsed="false">
      <c r="A33" s="37"/>
      <c r="B33" s="23"/>
      <c r="C33" s="23"/>
      <c r="D33" s="37"/>
      <c r="E33" s="23"/>
      <c r="F33" s="23"/>
      <c r="G33" s="26"/>
      <c r="H33" s="23"/>
      <c r="I33" s="12"/>
      <c r="J33" s="7"/>
      <c r="K33" s="12"/>
      <c r="L33" s="7"/>
      <c r="M33" s="23"/>
      <c r="N33" s="37"/>
      <c r="O33" s="7"/>
      <c r="P33" s="23"/>
    </row>
    <row r="34" customFormat="false" ht="15" hidden="false" customHeight="false" outlineLevel="0" collapsed="false">
      <c r="A34" s="37"/>
      <c r="B34" s="23"/>
      <c r="C34" s="23"/>
      <c r="D34" s="37"/>
      <c r="E34" s="23"/>
      <c r="F34" s="23"/>
      <c r="G34" s="26"/>
      <c r="H34" s="23"/>
      <c r="I34" s="12"/>
      <c r="J34" s="7"/>
      <c r="K34" s="12"/>
      <c r="L34" s="7"/>
      <c r="M34" s="23"/>
      <c r="N34" s="37"/>
      <c r="O34" s="7"/>
      <c r="P34" s="23"/>
    </row>
    <row r="35" customFormat="false" ht="15" hidden="false" customHeight="false" outlineLevel="0" collapsed="false">
      <c r="A35" s="37"/>
      <c r="B35" s="23"/>
      <c r="C35" s="23"/>
      <c r="D35" s="37"/>
      <c r="E35" s="23"/>
      <c r="F35" s="23"/>
      <c r="G35" s="26"/>
      <c r="H35" s="23"/>
      <c r="I35" s="12"/>
      <c r="J35" s="7"/>
      <c r="K35" s="12"/>
      <c r="L35" s="7"/>
      <c r="M35" s="23"/>
      <c r="N35" s="37"/>
      <c r="O35" s="7"/>
      <c r="P35" s="23"/>
    </row>
    <row r="36" customFormat="false" ht="15" hidden="false" customHeight="false" outlineLevel="0" collapsed="false">
      <c r="A36" s="37"/>
      <c r="B36" s="23"/>
      <c r="C36" s="23"/>
      <c r="D36" s="37"/>
      <c r="E36" s="23"/>
      <c r="F36" s="23"/>
      <c r="G36" s="26"/>
      <c r="H36" s="23"/>
      <c r="I36" s="12"/>
      <c r="J36" s="7"/>
      <c r="K36" s="12"/>
      <c r="L36" s="7"/>
      <c r="M36" s="23"/>
      <c r="N36" s="37"/>
      <c r="O36" s="7"/>
      <c r="P36" s="23"/>
    </row>
    <row r="37" customFormat="false" ht="15" hidden="false" customHeight="false" outlineLevel="0" collapsed="false">
      <c r="A37" s="37"/>
      <c r="B37" s="23"/>
      <c r="C37" s="23"/>
      <c r="D37" s="37"/>
      <c r="E37" s="23"/>
      <c r="F37" s="23"/>
      <c r="G37" s="26"/>
      <c r="H37" s="23"/>
      <c r="I37" s="12"/>
      <c r="J37" s="7"/>
      <c r="K37" s="12"/>
      <c r="L37" s="7"/>
      <c r="M37" s="23"/>
      <c r="N37" s="37"/>
      <c r="O37" s="7"/>
      <c r="P37" s="23"/>
    </row>
    <row r="38" customFormat="false" ht="15" hidden="false" customHeight="false" outlineLevel="0" collapsed="false">
      <c r="A38" s="37"/>
      <c r="B38" s="23"/>
      <c r="C38" s="23"/>
      <c r="D38" s="37"/>
      <c r="E38" s="23"/>
      <c r="F38" s="23"/>
      <c r="G38" s="26"/>
      <c r="H38" s="23"/>
      <c r="I38" s="12"/>
      <c r="J38" s="7"/>
      <c r="K38" s="12"/>
      <c r="L38" s="7"/>
      <c r="M38" s="23"/>
      <c r="N38" s="37"/>
      <c r="O38" s="7"/>
      <c r="P38" s="23"/>
    </row>
    <row r="39" customFormat="false" ht="15" hidden="false" customHeight="false" outlineLevel="0" collapsed="false">
      <c r="A39" s="37"/>
      <c r="B39" s="23"/>
      <c r="C39" s="23"/>
      <c r="D39" s="37"/>
      <c r="E39" s="23"/>
      <c r="F39" s="23"/>
      <c r="G39" s="26"/>
      <c r="H39" s="23"/>
      <c r="I39" s="12"/>
      <c r="J39" s="7"/>
      <c r="K39" s="12"/>
      <c r="L39" s="7"/>
      <c r="M39" s="23"/>
      <c r="N39" s="37"/>
      <c r="O39" s="7"/>
      <c r="P39" s="23"/>
    </row>
    <row r="40" customFormat="false" ht="15" hidden="false" customHeight="false" outlineLevel="0" collapsed="false">
      <c r="A40" s="37"/>
      <c r="B40" s="23"/>
      <c r="C40" s="23"/>
      <c r="D40" s="37"/>
      <c r="E40" s="23"/>
      <c r="F40" s="23"/>
      <c r="G40" s="26"/>
      <c r="H40" s="23"/>
      <c r="I40" s="12"/>
      <c r="J40" s="7"/>
      <c r="K40" s="12"/>
      <c r="L40" s="7"/>
      <c r="M40" s="23"/>
      <c r="N40" s="37"/>
      <c r="O40" s="7"/>
      <c r="P40" s="23"/>
    </row>
    <row r="41" customFormat="false" ht="15" hidden="false" customHeight="false" outlineLevel="0" collapsed="false">
      <c r="A41" s="37"/>
      <c r="B41" s="23"/>
      <c r="C41" s="23"/>
      <c r="D41" s="37"/>
      <c r="E41" s="23"/>
      <c r="F41" s="23"/>
      <c r="G41" s="26"/>
      <c r="H41" s="23"/>
      <c r="I41" s="12"/>
      <c r="J41" s="7"/>
      <c r="K41" s="12"/>
      <c r="L41" s="7"/>
      <c r="M41" s="23"/>
      <c r="N41" s="37"/>
      <c r="O41" s="7"/>
      <c r="P41" s="23"/>
    </row>
    <row r="42" customFormat="false" ht="15" hidden="false" customHeight="false" outlineLevel="0" collapsed="false">
      <c r="A42" s="37"/>
      <c r="B42" s="23"/>
      <c r="C42" s="23"/>
      <c r="D42" s="37"/>
      <c r="E42" s="23"/>
      <c r="F42" s="23"/>
      <c r="G42" s="26"/>
      <c r="H42" s="23"/>
      <c r="I42" s="12"/>
      <c r="J42" s="7"/>
      <c r="K42" s="12"/>
      <c r="L42" s="7"/>
      <c r="M42" s="23"/>
      <c r="N42" s="37"/>
      <c r="O42" s="7"/>
      <c r="P42" s="23"/>
    </row>
    <row r="43" customFormat="false" ht="15" hidden="false" customHeight="false" outlineLevel="0" collapsed="false">
      <c r="A43" s="37"/>
      <c r="B43" s="23"/>
      <c r="C43" s="23"/>
      <c r="D43" s="37"/>
      <c r="E43" s="23"/>
      <c r="F43" s="23"/>
      <c r="G43" s="26"/>
      <c r="H43" s="23"/>
      <c r="I43" s="12"/>
      <c r="J43" s="7"/>
      <c r="K43" s="12"/>
      <c r="L43" s="7"/>
      <c r="M43" s="23"/>
      <c r="N43" s="37"/>
      <c r="O43" s="7"/>
      <c r="P43" s="23"/>
    </row>
    <row r="44" customFormat="false" ht="15" hidden="false" customHeight="false" outlineLevel="0" collapsed="false">
      <c r="A44" s="37"/>
      <c r="B44" s="23"/>
      <c r="C44" s="23"/>
      <c r="D44" s="37"/>
      <c r="E44" s="23"/>
      <c r="F44" s="23"/>
      <c r="G44" s="26"/>
      <c r="H44" s="23"/>
      <c r="I44" s="12"/>
      <c r="J44" s="7"/>
      <c r="K44" s="12"/>
      <c r="L44" s="7"/>
      <c r="M44" s="23"/>
      <c r="N44" s="37"/>
      <c r="O44" s="7"/>
      <c r="P44" s="23"/>
    </row>
    <row r="45" customFormat="false" ht="15" hidden="false" customHeight="false" outlineLevel="0" collapsed="false">
      <c r="A45" s="37"/>
      <c r="B45" s="23"/>
      <c r="C45" s="23"/>
      <c r="D45" s="37"/>
      <c r="E45" s="23"/>
      <c r="F45" s="23"/>
      <c r="G45" s="26"/>
      <c r="H45" s="23"/>
      <c r="I45" s="12"/>
      <c r="J45" s="7"/>
      <c r="K45" s="12"/>
      <c r="L45" s="7"/>
      <c r="M45" s="23"/>
      <c r="N45" s="37"/>
      <c r="O45" s="7"/>
      <c r="P45" s="23"/>
    </row>
    <row r="46" customFormat="false" ht="15" hidden="false" customHeight="false" outlineLevel="0" collapsed="false">
      <c r="A46" s="37"/>
      <c r="B46" s="23"/>
      <c r="C46" s="23"/>
      <c r="D46" s="37"/>
      <c r="E46" s="23"/>
      <c r="F46" s="23"/>
      <c r="G46" s="26"/>
      <c r="H46" s="23"/>
      <c r="I46" s="12"/>
      <c r="J46" s="7"/>
      <c r="K46" s="12"/>
      <c r="L46" s="7"/>
      <c r="M46" s="23"/>
      <c r="N46" s="37"/>
      <c r="O46" s="7"/>
      <c r="P46" s="23"/>
    </row>
    <row r="47" customFormat="false" ht="15" hidden="false" customHeight="false" outlineLevel="0" collapsed="false">
      <c r="A47" s="37"/>
      <c r="B47" s="23"/>
      <c r="C47" s="23"/>
      <c r="D47" s="37"/>
      <c r="E47" s="23"/>
      <c r="F47" s="23"/>
      <c r="G47" s="26"/>
      <c r="H47" s="23"/>
      <c r="I47" s="12"/>
      <c r="J47" s="7"/>
      <c r="K47" s="12"/>
      <c r="L47" s="7"/>
      <c r="M47" s="23"/>
      <c r="N47" s="37"/>
      <c r="O47" s="7"/>
      <c r="P47" s="23"/>
    </row>
    <row r="48" customFormat="false" ht="15" hidden="false" customHeight="false" outlineLevel="0" collapsed="false">
      <c r="A48" s="37"/>
      <c r="B48" s="23"/>
      <c r="C48" s="23"/>
      <c r="D48" s="37"/>
      <c r="E48" s="23"/>
      <c r="F48" s="23"/>
      <c r="G48" s="26"/>
      <c r="H48" s="23"/>
      <c r="I48" s="12"/>
      <c r="J48" s="7"/>
      <c r="K48" s="12"/>
      <c r="L48" s="7"/>
      <c r="M48" s="23"/>
      <c r="N48" s="37"/>
      <c r="O48" s="7"/>
      <c r="P48" s="23"/>
    </row>
    <row r="49" customFormat="false" ht="15" hidden="false" customHeight="false" outlineLevel="0" collapsed="false">
      <c r="A49" s="37"/>
      <c r="B49" s="23"/>
      <c r="C49" s="23"/>
      <c r="D49" s="37"/>
      <c r="E49" s="23"/>
      <c r="F49" s="23"/>
      <c r="G49" s="26"/>
      <c r="H49" s="23"/>
      <c r="I49" s="12"/>
      <c r="J49" s="7"/>
      <c r="K49" s="12"/>
      <c r="L49" s="7"/>
      <c r="M49" s="23"/>
      <c r="N49" s="37"/>
      <c r="O49" s="7"/>
      <c r="P49" s="23"/>
    </row>
    <row r="50" customFormat="false" ht="15" hidden="false" customHeight="false" outlineLevel="0" collapsed="false">
      <c r="A50" s="37"/>
      <c r="B50" s="23"/>
      <c r="C50" s="23"/>
      <c r="D50" s="37"/>
      <c r="E50" s="23"/>
      <c r="F50" s="23"/>
      <c r="G50" s="26"/>
      <c r="H50" s="23"/>
      <c r="I50" s="12"/>
      <c r="J50" s="7"/>
      <c r="K50" s="12"/>
      <c r="L50" s="7"/>
      <c r="M50" s="23"/>
      <c r="N50" s="37"/>
      <c r="O50" s="7"/>
      <c r="P50" s="23"/>
    </row>
    <row r="51" customFormat="false" ht="15" hidden="false" customHeight="false" outlineLevel="0" collapsed="false">
      <c r="A51" s="37"/>
      <c r="B51" s="23"/>
      <c r="C51" s="23"/>
      <c r="D51" s="37"/>
      <c r="E51" s="23"/>
      <c r="F51" s="23"/>
      <c r="G51" s="26"/>
      <c r="H51" s="23"/>
      <c r="I51" s="12"/>
      <c r="J51" s="7"/>
      <c r="K51" s="12"/>
      <c r="L51" s="7"/>
      <c r="M51" s="23"/>
      <c r="N51" s="37"/>
      <c r="O51" s="7"/>
      <c r="P51" s="23"/>
    </row>
    <row r="52" customFormat="false" ht="15" hidden="false" customHeight="false" outlineLevel="0" collapsed="false">
      <c r="A52" s="37"/>
      <c r="B52" s="23"/>
      <c r="C52" s="23"/>
      <c r="D52" s="37"/>
      <c r="E52" s="23"/>
      <c r="F52" s="23"/>
      <c r="G52" s="26"/>
      <c r="H52" s="23"/>
      <c r="I52" s="12"/>
      <c r="J52" s="7"/>
      <c r="K52" s="12"/>
      <c r="L52" s="7"/>
      <c r="M52" s="23"/>
      <c r="N52" s="37"/>
      <c r="O52" s="7"/>
      <c r="P52" s="23"/>
    </row>
    <row r="53" customFormat="false" ht="15" hidden="false" customHeight="false" outlineLevel="0" collapsed="false">
      <c r="A53" s="37"/>
      <c r="B53" s="23"/>
      <c r="C53" s="23"/>
      <c r="D53" s="37"/>
      <c r="E53" s="23"/>
      <c r="F53" s="23"/>
      <c r="G53" s="26"/>
      <c r="H53" s="23"/>
      <c r="I53" s="12"/>
      <c r="J53" s="7"/>
      <c r="K53" s="12"/>
      <c r="L53" s="7"/>
      <c r="M53" s="23"/>
      <c r="N53" s="37"/>
      <c r="O53" s="7"/>
      <c r="P53" s="23"/>
    </row>
    <row r="54" customFormat="false" ht="15" hidden="false" customHeight="false" outlineLevel="0" collapsed="false">
      <c r="A54" s="37"/>
      <c r="B54" s="23"/>
      <c r="C54" s="23"/>
      <c r="D54" s="37"/>
      <c r="E54" s="23"/>
      <c r="F54" s="23"/>
      <c r="G54" s="26"/>
      <c r="H54" s="23"/>
      <c r="I54" s="12"/>
      <c r="J54" s="7"/>
      <c r="K54" s="12"/>
      <c r="L54" s="7"/>
      <c r="M54" s="23"/>
      <c r="N54" s="37"/>
      <c r="O54" s="7"/>
      <c r="P54" s="23"/>
    </row>
    <row r="55" customFormat="false" ht="15" hidden="false" customHeight="false" outlineLevel="0" collapsed="false">
      <c r="A55" s="37"/>
      <c r="B55" s="23"/>
      <c r="C55" s="23"/>
      <c r="D55" s="37"/>
      <c r="E55" s="23"/>
      <c r="F55" s="23"/>
      <c r="G55" s="26"/>
      <c r="H55" s="23"/>
      <c r="I55" s="12"/>
      <c r="J55" s="7"/>
      <c r="K55" s="12"/>
      <c r="L55" s="7"/>
      <c r="M55" s="23"/>
      <c r="N55" s="37"/>
      <c r="O55" s="7"/>
      <c r="P55" s="23"/>
    </row>
    <row r="56" customFormat="false" ht="15" hidden="false" customHeight="false" outlineLevel="0" collapsed="false">
      <c r="A56" s="37"/>
      <c r="B56" s="23"/>
      <c r="C56" s="23"/>
      <c r="D56" s="37"/>
      <c r="E56" s="23"/>
      <c r="F56" s="23"/>
      <c r="G56" s="26"/>
      <c r="H56" s="23"/>
      <c r="I56" s="12"/>
      <c r="J56" s="7"/>
      <c r="K56" s="12"/>
      <c r="L56" s="7"/>
      <c r="M56" s="23"/>
      <c r="N56" s="37"/>
      <c r="O56" s="7"/>
      <c r="P56" s="23"/>
    </row>
    <row r="57" customFormat="false" ht="15" hidden="false" customHeight="false" outlineLevel="0" collapsed="false">
      <c r="A57" s="37"/>
      <c r="B57" s="23"/>
      <c r="C57" s="23"/>
      <c r="D57" s="37"/>
      <c r="E57" s="23"/>
      <c r="F57" s="23"/>
      <c r="G57" s="26"/>
      <c r="H57" s="23"/>
      <c r="I57" s="12"/>
      <c r="J57" s="7"/>
      <c r="K57" s="12"/>
      <c r="L57" s="7"/>
      <c r="M57" s="23"/>
      <c r="N57" s="37"/>
      <c r="O57" s="7"/>
      <c r="P57" s="23"/>
    </row>
    <row r="58" customFormat="false" ht="15" hidden="false" customHeight="false" outlineLevel="0" collapsed="false">
      <c r="A58" s="37"/>
      <c r="B58" s="23"/>
      <c r="C58" s="23"/>
      <c r="D58" s="37"/>
      <c r="E58" s="23"/>
      <c r="F58" s="23"/>
      <c r="G58" s="26"/>
      <c r="H58" s="23"/>
      <c r="I58" s="12"/>
      <c r="J58" s="7"/>
      <c r="K58" s="12"/>
      <c r="L58" s="7"/>
      <c r="M58" s="23"/>
      <c r="N58" s="37"/>
      <c r="O58" s="7"/>
      <c r="P58" s="23"/>
    </row>
    <row r="59" customFormat="false" ht="15" hidden="false" customHeight="false" outlineLevel="0" collapsed="false">
      <c r="A59" s="37"/>
      <c r="B59" s="23"/>
      <c r="C59" s="23"/>
      <c r="D59" s="37"/>
      <c r="E59" s="23"/>
      <c r="F59" s="23"/>
      <c r="G59" s="26"/>
      <c r="H59" s="23"/>
      <c r="I59" s="12"/>
      <c r="J59" s="7"/>
      <c r="K59" s="12"/>
      <c r="L59" s="7"/>
      <c r="M59" s="23"/>
      <c r="N59" s="37"/>
      <c r="O59" s="7"/>
      <c r="P59" s="23"/>
    </row>
  </sheetData>
  <mergeCells count="1">
    <mergeCell ref="A1:P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2026-05-11T19:33:40Z</dcterms:created>
  <dc:creator>openpyxl</dc:creator>
  <dc:description/>
  <dc:language>en-US</dc:language>
  <cp:lastModifiedBy/>
  <dcterms:modified xsi:type="dcterms:W3CDTF">2026-05-11T19:33:40Z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