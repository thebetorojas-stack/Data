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albertorojas/Documents/Claude/Projects/Prop trading/"/>
    </mc:Choice>
  </mc:AlternateContent>
  <xr:revisionPtr revIDLastSave="0" documentId="13_ncr:1_{9BB8239A-F867-8049-9D93-FDA3F3F5B7A6}" xr6:coauthVersionLast="47" xr6:coauthVersionMax="47" xr10:uidLastSave="{00000000-0000-0000-0000-000000000000}"/>
  <bookViews>
    <workbookView xWindow="0" yWindow="660" windowWidth="30240" windowHeight="18980" tabRatio="500" activeTab="10" xr2:uid="{00000000-000D-0000-FFFF-FFFF00000000}"/>
  </bookViews>
  <sheets>
    <sheet name="README" sheetId="1" r:id="rId1"/>
    <sheet name="Settings" sheetId="2" r:id="rId2"/>
    <sheet name="Calendar" sheetId="3" r:id="rId3"/>
    <sheet name="BestNow" sheetId="4" r:id="rId4"/>
    <sheet name="SPY" sheetId="5" r:id="rId5"/>
    <sheet name="XLB" sheetId="6" r:id="rId6"/>
    <sheet name="XLC" sheetId="7" r:id="rId7"/>
    <sheet name="XLE" sheetId="8" r:id="rId8"/>
    <sheet name="XLF" sheetId="9" r:id="rId9"/>
    <sheet name="XLI" sheetId="10" r:id="rId10"/>
    <sheet name="XLK" sheetId="11" r:id="rId11"/>
    <sheet name="XLP" sheetId="12" r:id="rId12"/>
    <sheet name="XLRE" sheetId="13" r:id="rId13"/>
    <sheet name="XLU" sheetId="14" r:id="rId14"/>
    <sheet name="XLV" sheetId="15" r:id="rId15"/>
    <sheet name="XLY" sheetId="16" r:id="rId16"/>
    <sheet name="XOP" sheetId="17" r:id="rId17"/>
    <sheet name="GLD" sheetId="18" r:id="rId18"/>
    <sheet name="GDX" sheetId="19" r:id="rId19"/>
    <sheet name="EEM" sheetId="20" r:id="rId20"/>
    <sheet name="UVXY" sheetId="21" r:id="rId21"/>
    <sheet name="PositionLog" sheetId="22" r:id="rId2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0" i="21" l="1"/>
  <c r="B17" i="21"/>
  <c r="K14" i="21"/>
  <c r="J14" i="21"/>
  <c r="I14" i="21"/>
  <c r="H14" i="21"/>
  <c r="L14" i="21" s="1"/>
  <c r="B18" i="21" s="1"/>
  <c r="B19" i="21" s="1"/>
  <c r="G14" i="21"/>
  <c r="D9" i="21"/>
  <c r="B9" i="21"/>
  <c r="F4" i="21"/>
  <c r="E4" i="21"/>
  <c r="B10" i="21" s="1"/>
  <c r="D10" i="21" s="1"/>
  <c r="D14" i="21" s="1"/>
  <c r="D4" i="21"/>
  <c r="C4" i="21"/>
  <c r="F34" i="20"/>
  <c r="F33" i="20"/>
  <c r="K30" i="20"/>
  <c r="J30" i="20"/>
  <c r="I30" i="20"/>
  <c r="H30" i="20"/>
  <c r="G30" i="20"/>
  <c r="K29" i="20"/>
  <c r="L34" i="20" s="1"/>
  <c r="J29" i="20"/>
  <c r="I29" i="20"/>
  <c r="H29" i="20"/>
  <c r="G29" i="20"/>
  <c r="K28" i="20"/>
  <c r="J28" i="20"/>
  <c r="I28" i="20"/>
  <c r="H28" i="20"/>
  <c r="L28" i="20" s="1"/>
  <c r="G28" i="20"/>
  <c r="K27" i="20"/>
  <c r="L33" i="20" s="1"/>
  <c r="J27" i="20"/>
  <c r="I27" i="20"/>
  <c r="H27" i="20"/>
  <c r="G27" i="20"/>
  <c r="L23" i="20"/>
  <c r="F23" i="20"/>
  <c r="K19" i="20"/>
  <c r="J19" i="20"/>
  <c r="I19" i="20"/>
  <c r="H19" i="20"/>
  <c r="G19" i="20"/>
  <c r="K18" i="20"/>
  <c r="J18" i="20"/>
  <c r="I18" i="20"/>
  <c r="H18" i="20"/>
  <c r="L18" i="20" s="1"/>
  <c r="G18" i="20"/>
  <c r="K17" i="20"/>
  <c r="J17" i="20"/>
  <c r="I17" i="20"/>
  <c r="L17" i="20" s="1"/>
  <c r="H17" i="20"/>
  <c r="G17" i="20"/>
  <c r="K16" i="20"/>
  <c r="L22" i="20" s="1"/>
  <c r="J16" i="20"/>
  <c r="I16" i="20"/>
  <c r="H16" i="20"/>
  <c r="G16" i="20"/>
  <c r="B11" i="20"/>
  <c r="D11" i="20" s="1"/>
  <c r="D19" i="20" s="1"/>
  <c r="D8" i="20"/>
  <c r="F22" i="20" s="1"/>
  <c r="F4" i="20"/>
  <c r="E4" i="20"/>
  <c r="B12" i="20" s="1"/>
  <c r="D12" i="20" s="1"/>
  <c r="D4" i="20"/>
  <c r="C4" i="20"/>
  <c r="F34" i="19"/>
  <c r="L33" i="19"/>
  <c r="K30" i="19"/>
  <c r="J30" i="19"/>
  <c r="I30" i="19"/>
  <c r="H30" i="19"/>
  <c r="L30" i="19" s="1"/>
  <c r="G30" i="19"/>
  <c r="L29" i="19"/>
  <c r="G34" i="19" s="1"/>
  <c r="K29" i="19"/>
  <c r="L34" i="19" s="1"/>
  <c r="J29" i="19"/>
  <c r="I29" i="19"/>
  <c r="H29" i="19"/>
  <c r="G29" i="19"/>
  <c r="L28" i="19"/>
  <c r="K28" i="19"/>
  <c r="J28" i="19"/>
  <c r="I28" i="19"/>
  <c r="H28" i="19"/>
  <c r="G28" i="19"/>
  <c r="K27" i="19"/>
  <c r="J27" i="19"/>
  <c r="I27" i="19"/>
  <c r="H27" i="19"/>
  <c r="L27" i="19" s="1"/>
  <c r="G33" i="19" s="1"/>
  <c r="G27" i="19"/>
  <c r="K19" i="19"/>
  <c r="J19" i="19"/>
  <c r="I19" i="19"/>
  <c r="L19" i="19" s="1"/>
  <c r="H19" i="19"/>
  <c r="G19" i="19"/>
  <c r="K18" i="19"/>
  <c r="L23" i="19" s="1"/>
  <c r="J18" i="19"/>
  <c r="I18" i="19"/>
  <c r="L18" i="19" s="1"/>
  <c r="J23" i="19" s="1"/>
  <c r="H18" i="19"/>
  <c r="G18" i="19"/>
  <c r="K17" i="19"/>
  <c r="J17" i="19"/>
  <c r="I17" i="19"/>
  <c r="H17" i="19"/>
  <c r="L17" i="19" s="1"/>
  <c r="G17" i="19"/>
  <c r="K16" i="19"/>
  <c r="L22" i="19" s="1"/>
  <c r="J16" i="19"/>
  <c r="I16" i="19"/>
  <c r="H16" i="19"/>
  <c r="G16" i="19"/>
  <c r="B11" i="19"/>
  <c r="D11" i="19" s="1"/>
  <c r="D8" i="19"/>
  <c r="F4" i="19"/>
  <c r="E4" i="19"/>
  <c r="B12" i="19" s="1"/>
  <c r="D12" i="19" s="1"/>
  <c r="D4" i="19"/>
  <c r="C4" i="19"/>
  <c r="F34" i="18"/>
  <c r="K30" i="18"/>
  <c r="J30" i="18"/>
  <c r="I30" i="18"/>
  <c r="H30" i="18"/>
  <c r="L30" i="18" s="1"/>
  <c r="G30" i="18"/>
  <c r="K29" i="18"/>
  <c r="L34" i="18" s="1"/>
  <c r="J29" i="18"/>
  <c r="I29" i="18"/>
  <c r="H29" i="18"/>
  <c r="L29" i="18" s="1"/>
  <c r="G34" i="18" s="1"/>
  <c r="I34" i="18" s="1"/>
  <c r="G29" i="18"/>
  <c r="K28" i="18"/>
  <c r="J28" i="18"/>
  <c r="I28" i="18"/>
  <c r="H28" i="18"/>
  <c r="L28" i="18" s="1"/>
  <c r="G28" i="18"/>
  <c r="L27" i="18"/>
  <c r="G33" i="18" s="1"/>
  <c r="I33" i="18" s="1"/>
  <c r="K27" i="18"/>
  <c r="L33" i="18" s="1"/>
  <c r="J27" i="18"/>
  <c r="I27" i="18"/>
  <c r="H27" i="18"/>
  <c r="G27" i="18"/>
  <c r="F23" i="18"/>
  <c r="F22" i="18"/>
  <c r="K19" i="18"/>
  <c r="J19" i="18"/>
  <c r="I19" i="18"/>
  <c r="H19" i="18"/>
  <c r="L19" i="18" s="1"/>
  <c r="G19" i="18"/>
  <c r="K18" i="18"/>
  <c r="L23" i="18" s="1"/>
  <c r="J18" i="18"/>
  <c r="I18" i="18"/>
  <c r="H18" i="18"/>
  <c r="G18" i="18"/>
  <c r="K17" i="18"/>
  <c r="J17" i="18"/>
  <c r="I17" i="18"/>
  <c r="H17" i="18"/>
  <c r="G17" i="18"/>
  <c r="K16" i="18"/>
  <c r="L22" i="18" s="1"/>
  <c r="J16" i="18"/>
  <c r="I16" i="18"/>
  <c r="H16" i="18"/>
  <c r="G16" i="18"/>
  <c r="D8" i="18"/>
  <c r="F33" i="18" s="1"/>
  <c r="H33" i="18" s="1"/>
  <c r="F4" i="18"/>
  <c r="E4" i="18"/>
  <c r="B12" i="18" s="1"/>
  <c r="D12" i="18" s="1"/>
  <c r="D4" i="18"/>
  <c r="C4" i="18"/>
  <c r="J34" i="17"/>
  <c r="K30" i="17"/>
  <c r="J30" i="17"/>
  <c r="I30" i="17"/>
  <c r="H30" i="17"/>
  <c r="L30" i="17" s="1"/>
  <c r="G30" i="17"/>
  <c r="L29" i="17"/>
  <c r="K29" i="17"/>
  <c r="L34" i="17" s="1"/>
  <c r="J29" i="17"/>
  <c r="I29" i="17"/>
  <c r="H29" i="17"/>
  <c r="G29" i="17"/>
  <c r="K28" i="17"/>
  <c r="J28" i="17"/>
  <c r="I28" i="17"/>
  <c r="H28" i="17"/>
  <c r="L28" i="17" s="1"/>
  <c r="G28" i="17"/>
  <c r="K27" i="17"/>
  <c r="L33" i="17" s="1"/>
  <c r="J27" i="17"/>
  <c r="I27" i="17"/>
  <c r="H27" i="17"/>
  <c r="L27" i="17" s="1"/>
  <c r="G33" i="17" s="1"/>
  <c r="G27" i="17"/>
  <c r="L22" i="17"/>
  <c r="F22" i="17"/>
  <c r="L19" i="17"/>
  <c r="K19" i="17"/>
  <c r="J19" i="17"/>
  <c r="I19" i="17"/>
  <c r="H19" i="17"/>
  <c r="G19" i="17"/>
  <c r="L18" i="17"/>
  <c r="K18" i="17"/>
  <c r="L23" i="17" s="1"/>
  <c r="J18" i="17"/>
  <c r="I18" i="17"/>
  <c r="H18" i="17"/>
  <c r="G18" i="17"/>
  <c r="L17" i="17"/>
  <c r="G22" i="17" s="1"/>
  <c r="I22" i="17" s="1"/>
  <c r="K17" i="17"/>
  <c r="J17" i="17"/>
  <c r="I17" i="17"/>
  <c r="H17" i="17"/>
  <c r="G17" i="17"/>
  <c r="K16" i="17"/>
  <c r="J16" i="17"/>
  <c r="I16" i="17"/>
  <c r="H16" i="17"/>
  <c r="L16" i="17" s="1"/>
  <c r="G16" i="17"/>
  <c r="D8" i="17"/>
  <c r="F4" i="17"/>
  <c r="E4" i="17"/>
  <c r="D4" i="17"/>
  <c r="C4" i="17"/>
  <c r="F34" i="16"/>
  <c r="F33" i="16"/>
  <c r="K30" i="16"/>
  <c r="J30" i="16"/>
  <c r="I30" i="16"/>
  <c r="H30" i="16"/>
  <c r="L30" i="16" s="1"/>
  <c r="G30" i="16"/>
  <c r="K29" i="16"/>
  <c r="L34" i="16" s="1"/>
  <c r="J29" i="16"/>
  <c r="I29" i="16"/>
  <c r="H29" i="16"/>
  <c r="G29" i="16"/>
  <c r="K28" i="16"/>
  <c r="J28" i="16"/>
  <c r="I28" i="16"/>
  <c r="H28" i="16"/>
  <c r="G28" i="16"/>
  <c r="K27" i="16"/>
  <c r="L33" i="16" s="1"/>
  <c r="J27" i="16"/>
  <c r="I27" i="16"/>
  <c r="L27" i="16" s="1"/>
  <c r="H27" i="16"/>
  <c r="G27" i="16"/>
  <c r="F22" i="16"/>
  <c r="K19" i="16"/>
  <c r="J19" i="16"/>
  <c r="I19" i="16"/>
  <c r="H19" i="16"/>
  <c r="G19" i="16"/>
  <c r="K18" i="16"/>
  <c r="L23" i="16" s="1"/>
  <c r="J18" i="16"/>
  <c r="I18" i="16"/>
  <c r="H18" i="16"/>
  <c r="G18" i="16"/>
  <c r="L17" i="16"/>
  <c r="K17" i="16"/>
  <c r="J17" i="16"/>
  <c r="I17" i="16"/>
  <c r="H17" i="16"/>
  <c r="G17" i="16"/>
  <c r="K16" i="16"/>
  <c r="L22" i="16" s="1"/>
  <c r="J16" i="16"/>
  <c r="I16" i="16"/>
  <c r="H16" i="16"/>
  <c r="L16" i="16" s="1"/>
  <c r="G16" i="16"/>
  <c r="D8" i="16"/>
  <c r="F23" i="16" s="1"/>
  <c r="F4" i="16"/>
  <c r="E4" i="16"/>
  <c r="B12" i="16" s="1"/>
  <c r="D12" i="16" s="1"/>
  <c r="D34" i="16" s="1"/>
  <c r="K34" i="16" s="1"/>
  <c r="D4" i="16"/>
  <c r="C4" i="16"/>
  <c r="F34" i="15"/>
  <c r="F33" i="15"/>
  <c r="K30" i="15"/>
  <c r="J30" i="15"/>
  <c r="I30" i="15"/>
  <c r="H30" i="15"/>
  <c r="L30" i="15" s="1"/>
  <c r="G30" i="15"/>
  <c r="K29" i="15"/>
  <c r="L34" i="15" s="1"/>
  <c r="J29" i="15"/>
  <c r="I29" i="15"/>
  <c r="H29" i="15"/>
  <c r="L29" i="15" s="1"/>
  <c r="G34" i="15" s="1"/>
  <c r="G29" i="15"/>
  <c r="K28" i="15"/>
  <c r="J28" i="15"/>
  <c r="I28" i="15"/>
  <c r="H28" i="15"/>
  <c r="L28" i="15" s="1"/>
  <c r="G28" i="15"/>
  <c r="K27" i="15"/>
  <c r="L33" i="15" s="1"/>
  <c r="J27" i="15"/>
  <c r="I27" i="15"/>
  <c r="H27" i="15"/>
  <c r="L27" i="15" s="1"/>
  <c r="G27" i="15"/>
  <c r="K19" i="15"/>
  <c r="J19" i="15"/>
  <c r="I19" i="15"/>
  <c r="H19" i="15"/>
  <c r="L19" i="15" s="1"/>
  <c r="G19" i="15"/>
  <c r="K18" i="15"/>
  <c r="L23" i="15" s="1"/>
  <c r="J18" i="15"/>
  <c r="I18" i="15"/>
  <c r="H18" i="15"/>
  <c r="G18" i="15"/>
  <c r="K17" i="15"/>
  <c r="J17" i="15"/>
  <c r="I17" i="15"/>
  <c r="H17" i="15"/>
  <c r="L17" i="15" s="1"/>
  <c r="G17" i="15"/>
  <c r="K16" i="15"/>
  <c r="L22" i="15" s="1"/>
  <c r="J16" i="15"/>
  <c r="I16" i="15"/>
  <c r="H16" i="15"/>
  <c r="G16" i="15"/>
  <c r="B12" i="15"/>
  <c r="D12" i="15" s="1"/>
  <c r="D30" i="15" s="1"/>
  <c r="B11" i="15"/>
  <c r="D11" i="15" s="1"/>
  <c r="D17" i="15" s="1"/>
  <c r="D8" i="15"/>
  <c r="F23" i="15" s="1"/>
  <c r="F4" i="15"/>
  <c r="E4" i="15"/>
  <c r="D4" i="15"/>
  <c r="C4" i="15"/>
  <c r="F33" i="14"/>
  <c r="K30" i="14"/>
  <c r="J30" i="14"/>
  <c r="I30" i="14"/>
  <c r="H30" i="14"/>
  <c r="G30" i="14"/>
  <c r="K29" i="14"/>
  <c r="L34" i="14" s="1"/>
  <c r="J29" i="14"/>
  <c r="I29" i="14"/>
  <c r="H29" i="14"/>
  <c r="G29" i="14"/>
  <c r="K28" i="14"/>
  <c r="J28" i="14"/>
  <c r="I28" i="14"/>
  <c r="L28" i="14" s="1"/>
  <c r="H28" i="14"/>
  <c r="G28" i="14"/>
  <c r="K27" i="14"/>
  <c r="L33" i="14" s="1"/>
  <c r="J27" i="14"/>
  <c r="I27" i="14"/>
  <c r="H27" i="14"/>
  <c r="L27" i="14" s="1"/>
  <c r="G27" i="14"/>
  <c r="F23" i="14"/>
  <c r="F22" i="14"/>
  <c r="K19" i="14"/>
  <c r="J19" i="14"/>
  <c r="I19" i="14"/>
  <c r="H19" i="14"/>
  <c r="G19" i="14"/>
  <c r="K18" i="14"/>
  <c r="L23" i="14" s="1"/>
  <c r="J18" i="14"/>
  <c r="I18" i="14"/>
  <c r="H18" i="14"/>
  <c r="G18" i="14"/>
  <c r="K17" i="14"/>
  <c r="J17" i="14"/>
  <c r="I17" i="14"/>
  <c r="H17" i="14"/>
  <c r="L17" i="14" s="1"/>
  <c r="G17" i="14"/>
  <c r="K16" i="14"/>
  <c r="L22" i="14" s="1"/>
  <c r="J16" i="14"/>
  <c r="I16" i="14"/>
  <c r="H16" i="14"/>
  <c r="G16" i="14"/>
  <c r="D8" i="14"/>
  <c r="F34" i="14" s="1"/>
  <c r="F4" i="14"/>
  <c r="E4" i="14"/>
  <c r="B12" i="14" s="1"/>
  <c r="D12" i="14" s="1"/>
  <c r="D4" i="14"/>
  <c r="C4" i="14"/>
  <c r="F34" i="13"/>
  <c r="F33" i="13"/>
  <c r="L30" i="13"/>
  <c r="K30" i="13"/>
  <c r="J30" i="13"/>
  <c r="I30" i="13"/>
  <c r="H30" i="13"/>
  <c r="G30" i="13"/>
  <c r="K29" i="13"/>
  <c r="L34" i="13" s="1"/>
  <c r="J29" i="13"/>
  <c r="I29" i="13"/>
  <c r="H29" i="13"/>
  <c r="L29" i="13" s="1"/>
  <c r="G34" i="13" s="1"/>
  <c r="I34" i="13" s="1"/>
  <c r="G29" i="13"/>
  <c r="K28" i="13"/>
  <c r="J28" i="13"/>
  <c r="I28" i="13"/>
  <c r="H28" i="13"/>
  <c r="G28" i="13"/>
  <c r="K27" i="13"/>
  <c r="L33" i="13" s="1"/>
  <c r="J27" i="13"/>
  <c r="I27" i="13"/>
  <c r="H27" i="13"/>
  <c r="G27" i="13"/>
  <c r="L23" i="13"/>
  <c r="F23" i="13"/>
  <c r="L22" i="13"/>
  <c r="K19" i="13"/>
  <c r="J19" i="13"/>
  <c r="I19" i="13"/>
  <c r="H19" i="13"/>
  <c r="G19" i="13"/>
  <c r="K18" i="13"/>
  <c r="J18" i="13"/>
  <c r="I18" i="13"/>
  <c r="H18" i="13"/>
  <c r="G18" i="13"/>
  <c r="K17" i="13"/>
  <c r="J17" i="13"/>
  <c r="I17" i="13"/>
  <c r="H17" i="13"/>
  <c r="L17" i="13" s="1"/>
  <c r="G17" i="13"/>
  <c r="K16" i="13"/>
  <c r="J16" i="13"/>
  <c r="I16" i="13"/>
  <c r="H16" i="13"/>
  <c r="L16" i="13" s="1"/>
  <c r="G22" i="13" s="1"/>
  <c r="G16" i="13"/>
  <c r="B12" i="13"/>
  <c r="D12" i="13" s="1"/>
  <c r="D8" i="13"/>
  <c r="F22" i="13" s="1"/>
  <c r="F4" i="13"/>
  <c r="E4" i="13"/>
  <c r="B11" i="13" s="1"/>
  <c r="D11" i="13" s="1"/>
  <c r="D4" i="13"/>
  <c r="C4" i="13"/>
  <c r="K30" i="12"/>
  <c r="J30" i="12"/>
  <c r="I30" i="12"/>
  <c r="H30" i="12"/>
  <c r="L30" i="12" s="1"/>
  <c r="G30" i="12"/>
  <c r="K29" i="12"/>
  <c r="L34" i="12" s="1"/>
  <c r="J29" i="12"/>
  <c r="I29" i="12"/>
  <c r="H29" i="12"/>
  <c r="G29" i="12"/>
  <c r="K28" i="12"/>
  <c r="J28" i="12"/>
  <c r="I28" i="12"/>
  <c r="H28" i="12"/>
  <c r="L28" i="12" s="1"/>
  <c r="G28" i="12"/>
  <c r="K27" i="12"/>
  <c r="L33" i="12" s="1"/>
  <c r="J27" i="12"/>
  <c r="I27" i="12"/>
  <c r="H27" i="12"/>
  <c r="G27" i="12"/>
  <c r="F22" i="12"/>
  <c r="K19" i="12"/>
  <c r="J19" i="12"/>
  <c r="I19" i="12"/>
  <c r="H19" i="12"/>
  <c r="G19" i="12"/>
  <c r="K18" i="12"/>
  <c r="L23" i="12" s="1"/>
  <c r="J18" i="12"/>
  <c r="I18" i="12"/>
  <c r="H18" i="12"/>
  <c r="G18" i="12"/>
  <c r="K17" i="12"/>
  <c r="J17" i="12"/>
  <c r="I17" i="12"/>
  <c r="H17" i="12"/>
  <c r="L17" i="12" s="1"/>
  <c r="G17" i="12"/>
  <c r="K16" i="12"/>
  <c r="L22" i="12" s="1"/>
  <c r="J16" i="12"/>
  <c r="I16" i="12"/>
  <c r="H16" i="12"/>
  <c r="L16" i="12" s="1"/>
  <c r="G22" i="12" s="1"/>
  <c r="G16" i="12"/>
  <c r="D8" i="12"/>
  <c r="F4" i="12"/>
  <c r="E4" i="12"/>
  <c r="D4" i="12"/>
  <c r="C4" i="12"/>
  <c r="F34" i="11"/>
  <c r="L33" i="11"/>
  <c r="K30" i="11"/>
  <c r="J30" i="11"/>
  <c r="I30" i="11"/>
  <c r="H30" i="11"/>
  <c r="G30" i="11"/>
  <c r="K29" i="11"/>
  <c r="L34" i="11" s="1"/>
  <c r="J29" i="11"/>
  <c r="I29" i="11"/>
  <c r="H29" i="11"/>
  <c r="L29" i="11" s="1"/>
  <c r="G29" i="11"/>
  <c r="K28" i="11"/>
  <c r="J28" i="11"/>
  <c r="I28" i="11"/>
  <c r="H28" i="11"/>
  <c r="G28" i="11"/>
  <c r="K27" i="11"/>
  <c r="J27" i="11"/>
  <c r="I27" i="11"/>
  <c r="H27" i="11"/>
  <c r="G27" i="11"/>
  <c r="F23" i="11"/>
  <c r="K19" i="11"/>
  <c r="J19" i="11"/>
  <c r="I19" i="11"/>
  <c r="H19" i="11"/>
  <c r="L19" i="11" s="1"/>
  <c r="G19" i="11"/>
  <c r="K18" i="11"/>
  <c r="L23" i="11" s="1"/>
  <c r="J18" i="11"/>
  <c r="I18" i="11"/>
  <c r="H18" i="11"/>
  <c r="G18" i="11"/>
  <c r="K17" i="11"/>
  <c r="J17" i="11"/>
  <c r="I17" i="11"/>
  <c r="H17" i="11"/>
  <c r="G17" i="11"/>
  <c r="K16" i="11"/>
  <c r="L22" i="11" s="1"/>
  <c r="J16" i="11"/>
  <c r="I16" i="11"/>
  <c r="L16" i="11" s="1"/>
  <c r="H16" i="11"/>
  <c r="G16" i="11"/>
  <c r="D8" i="11"/>
  <c r="F4" i="11"/>
  <c r="E4" i="11"/>
  <c r="D4" i="11"/>
  <c r="C4" i="11"/>
  <c r="F34" i="10"/>
  <c r="F33" i="10"/>
  <c r="L30" i="10"/>
  <c r="K30" i="10"/>
  <c r="J30" i="10"/>
  <c r="I30" i="10"/>
  <c r="H30" i="10"/>
  <c r="G30" i="10"/>
  <c r="K29" i="10"/>
  <c r="L34" i="10" s="1"/>
  <c r="J29" i="10"/>
  <c r="I29" i="10"/>
  <c r="H29" i="10"/>
  <c r="G29" i="10"/>
  <c r="K28" i="10"/>
  <c r="J28" i="10"/>
  <c r="I28" i="10"/>
  <c r="H28" i="10"/>
  <c r="G28" i="10"/>
  <c r="K27" i="10"/>
  <c r="L33" i="10" s="1"/>
  <c r="J27" i="10"/>
  <c r="I27" i="10"/>
  <c r="H27" i="10"/>
  <c r="G27" i="10"/>
  <c r="L23" i="10"/>
  <c r="F23" i="10"/>
  <c r="L22" i="10"/>
  <c r="K19" i="10"/>
  <c r="J19" i="10"/>
  <c r="I19" i="10"/>
  <c r="H19" i="10"/>
  <c r="G19" i="10"/>
  <c r="K18" i="10"/>
  <c r="J18" i="10"/>
  <c r="I18" i="10"/>
  <c r="H18" i="10"/>
  <c r="L18" i="10" s="1"/>
  <c r="G18" i="10"/>
  <c r="K17" i="10"/>
  <c r="J17" i="10"/>
  <c r="I17" i="10"/>
  <c r="H17" i="10"/>
  <c r="G17" i="10"/>
  <c r="K16" i="10"/>
  <c r="J16" i="10"/>
  <c r="I16" i="10"/>
  <c r="H16" i="10"/>
  <c r="L16" i="10" s="1"/>
  <c r="G16" i="10"/>
  <c r="B12" i="10"/>
  <c r="D12" i="10" s="1"/>
  <c r="D8" i="10"/>
  <c r="F22" i="10" s="1"/>
  <c r="F4" i="10"/>
  <c r="E4" i="10"/>
  <c r="D4" i="10"/>
  <c r="C4" i="10"/>
  <c r="K30" i="9"/>
  <c r="J30" i="9"/>
  <c r="I30" i="9"/>
  <c r="L30" i="9" s="1"/>
  <c r="H30" i="9"/>
  <c r="G30" i="9"/>
  <c r="K29" i="9"/>
  <c r="L34" i="9" s="1"/>
  <c r="J29" i="9"/>
  <c r="I29" i="9"/>
  <c r="H29" i="9"/>
  <c r="G29" i="9"/>
  <c r="K28" i="9"/>
  <c r="J28" i="9"/>
  <c r="I28" i="9"/>
  <c r="H28" i="9"/>
  <c r="L28" i="9" s="1"/>
  <c r="G28" i="9"/>
  <c r="K27" i="9"/>
  <c r="L33" i="9" s="1"/>
  <c r="J27" i="9"/>
  <c r="I27" i="9"/>
  <c r="H27" i="9"/>
  <c r="G27" i="9"/>
  <c r="F23" i="9"/>
  <c r="K19" i="9"/>
  <c r="J19" i="9"/>
  <c r="I19" i="9"/>
  <c r="H19" i="9"/>
  <c r="G19" i="9"/>
  <c r="K18" i="9"/>
  <c r="L23" i="9" s="1"/>
  <c r="J18" i="9"/>
  <c r="I18" i="9"/>
  <c r="H18" i="9"/>
  <c r="L18" i="9" s="1"/>
  <c r="G18" i="9"/>
  <c r="K17" i="9"/>
  <c r="J17" i="9"/>
  <c r="I17" i="9"/>
  <c r="H17" i="9"/>
  <c r="L17" i="9" s="1"/>
  <c r="G17" i="9"/>
  <c r="L16" i="9"/>
  <c r="K16" i="9"/>
  <c r="L22" i="9" s="1"/>
  <c r="J16" i="9"/>
  <c r="I16" i="9"/>
  <c r="H16" i="9"/>
  <c r="G16" i="9"/>
  <c r="D8" i="9"/>
  <c r="F4" i="9"/>
  <c r="E4" i="9"/>
  <c r="B11" i="9" s="1"/>
  <c r="D11" i="9" s="1"/>
  <c r="D4" i="9"/>
  <c r="C4" i="9"/>
  <c r="L33" i="8"/>
  <c r="K30" i="8"/>
  <c r="J30" i="8"/>
  <c r="I30" i="8"/>
  <c r="H30" i="8"/>
  <c r="L30" i="8" s="1"/>
  <c r="G30" i="8"/>
  <c r="K29" i="8"/>
  <c r="L34" i="8" s="1"/>
  <c r="J29" i="8"/>
  <c r="I29" i="8"/>
  <c r="H29" i="8"/>
  <c r="L29" i="8" s="1"/>
  <c r="G34" i="8" s="1"/>
  <c r="G29" i="8"/>
  <c r="K28" i="8"/>
  <c r="J28" i="8"/>
  <c r="I28" i="8"/>
  <c r="H28" i="8"/>
  <c r="G28" i="8"/>
  <c r="K27" i="8"/>
  <c r="J27" i="8"/>
  <c r="I27" i="8"/>
  <c r="H27" i="8"/>
  <c r="L27" i="8" s="1"/>
  <c r="G27" i="8"/>
  <c r="K19" i="8"/>
  <c r="J19" i="8"/>
  <c r="I19" i="8"/>
  <c r="H19" i="8"/>
  <c r="G19" i="8"/>
  <c r="K18" i="8"/>
  <c r="L23" i="8" s="1"/>
  <c r="J18" i="8"/>
  <c r="I18" i="8"/>
  <c r="H18" i="8"/>
  <c r="G18" i="8"/>
  <c r="K17" i="8"/>
  <c r="J17" i="8"/>
  <c r="I17" i="8"/>
  <c r="H17" i="8"/>
  <c r="G17" i="8"/>
  <c r="K16" i="8"/>
  <c r="L22" i="8" s="1"/>
  <c r="J16" i="8"/>
  <c r="I16" i="8"/>
  <c r="H16" i="8"/>
  <c r="L16" i="8" s="1"/>
  <c r="J22" i="8" s="1"/>
  <c r="G16" i="8"/>
  <c r="B12" i="8"/>
  <c r="D12" i="8" s="1"/>
  <c r="B11" i="8"/>
  <c r="D11" i="8" s="1"/>
  <c r="D8" i="8"/>
  <c r="F4" i="8"/>
  <c r="E4" i="8"/>
  <c r="D4" i="8"/>
  <c r="C4" i="8"/>
  <c r="F34" i="7"/>
  <c r="L33" i="7"/>
  <c r="K30" i="7"/>
  <c r="J30" i="7"/>
  <c r="I30" i="7"/>
  <c r="H30" i="7"/>
  <c r="L30" i="7" s="1"/>
  <c r="G30" i="7"/>
  <c r="K29" i="7"/>
  <c r="L34" i="7" s="1"/>
  <c r="J29" i="7"/>
  <c r="I29" i="7"/>
  <c r="H29" i="7"/>
  <c r="G29" i="7"/>
  <c r="K28" i="7"/>
  <c r="J28" i="7"/>
  <c r="I28" i="7"/>
  <c r="H28" i="7"/>
  <c r="L28" i="7" s="1"/>
  <c r="G28" i="7"/>
  <c r="L27" i="7"/>
  <c r="K27" i="7"/>
  <c r="J27" i="7"/>
  <c r="I27" i="7"/>
  <c r="H27" i="7"/>
  <c r="G27" i="7"/>
  <c r="L23" i="7"/>
  <c r="F22" i="7"/>
  <c r="K19" i="7"/>
  <c r="J19" i="7"/>
  <c r="I19" i="7"/>
  <c r="H19" i="7"/>
  <c r="G19" i="7"/>
  <c r="K18" i="7"/>
  <c r="J18" i="7"/>
  <c r="I18" i="7"/>
  <c r="H18" i="7"/>
  <c r="L18" i="7" s="1"/>
  <c r="G18" i="7"/>
  <c r="K17" i="7"/>
  <c r="J17" i="7"/>
  <c r="I17" i="7"/>
  <c r="H17" i="7"/>
  <c r="G17" i="7"/>
  <c r="K16" i="7"/>
  <c r="L22" i="7" s="1"/>
  <c r="J16" i="7"/>
  <c r="I16" i="7"/>
  <c r="H16" i="7"/>
  <c r="L16" i="7" s="1"/>
  <c r="J22" i="7" s="1"/>
  <c r="G16" i="7"/>
  <c r="B11" i="7"/>
  <c r="D11" i="7" s="1"/>
  <c r="D8" i="7"/>
  <c r="F33" i="7" s="1"/>
  <c r="F4" i="7"/>
  <c r="E4" i="7"/>
  <c r="B12" i="7" s="1"/>
  <c r="D12" i="7" s="1"/>
  <c r="D4" i="7"/>
  <c r="C4" i="7"/>
  <c r="F34" i="6"/>
  <c r="F33" i="6"/>
  <c r="K30" i="6"/>
  <c r="J30" i="6"/>
  <c r="I30" i="6"/>
  <c r="H30" i="6"/>
  <c r="G30" i="6"/>
  <c r="K29" i="6"/>
  <c r="L34" i="6" s="1"/>
  <c r="J29" i="6"/>
  <c r="I29" i="6"/>
  <c r="H29" i="6"/>
  <c r="G29" i="6"/>
  <c r="K28" i="6"/>
  <c r="J28" i="6"/>
  <c r="I28" i="6"/>
  <c r="H28" i="6"/>
  <c r="L28" i="6" s="1"/>
  <c r="G28" i="6"/>
  <c r="L27" i="6"/>
  <c r="J33" i="6" s="1"/>
  <c r="K27" i="6"/>
  <c r="L33" i="6" s="1"/>
  <c r="J27" i="6"/>
  <c r="I27" i="6"/>
  <c r="H27" i="6"/>
  <c r="G27" i="6"/>
  <c r="F23" i="6"/>
  <c r="L22" i="6"/>
  <c r="F22" i="6"/>
  <c r="K19" i="6"/>
  <c r="J19" i="6"/>
  <c r="I19" i="6"/>
  <c r="H19" i="6"/>
  <c r="G19" i="6"/>
  <c r="K18" i="6"/>
  <c r="L23" i="6" s="1"/>
  <c r="J18" i="6"/>
  <c r="I18" i="6"/>
  <c r="H18" i="6"/>
  <c r="L18" i="6" s="1"/>
  <c r="G18" i="6"/>
  <c r="K17" i="6"/>
  <c r="J17" i="6"/>
  <c r="I17" i="6"/>
  <c r="L17" i="6" s="1"/>
  <c r="H17" i="6"/>
  <c r="G17" i="6"/>
  <c r="K16" i="6"/>
  <c r="J16" i="6"/>
  <c r="I16" i="6"/>
  <c r="H16" i="6"/>
  <c r="L16" i="6" s="1"/>
  <c r="G16" i="6"/>
  <c r="B12" i="6"/>
  <c r="D12" i="6" s="1"/>
  <c r="D8" i="6"/>
  <c r="F4" i="6"/>
  <c r="E4" i="6"/>
  <c r="D4" i="6"/>
  <c r="C4" i="6"/>
  <c r="K30" i="5"/>
  <c r="J30" i="5"/>
  <c r="I30" i="5"/>
  <c r="H30" i="5"/>
  <c r="G30" i="5"/>
  <c r="K29" i="5"/>
  <c r="L34" i="5" s="1"/>
  <c r="J29" i="5"/>
  <c r="I29" i="5"/>
  <c r="L29" i="5" s="1"/>
  <c r="H29" i="5"/>
  <c r="G29" i="5"/>
  <c r="K28" i="5"/>
  <c r="J28" i="5"/>
  <c r="I28" i="5"/>
  <c r="H28" i="5"/>
  <c r="G28" i="5"/>
  <c r="K27" i="5"/>
  <c r="L33" i="5" s="1"/>
  <c r="J27" i="5"/>
  <c r="I27" i="5"/>
  <c r="H27" i="5"/>
  <c r="L27" i="5" s="1"/>
  <c r="G27" i="5"/>
  <c r="K19" i="5"/>
  <c r="J19" i="5"/>
  <c r="I19" i="5"/>
  <c r="H19" i="5"/>
  <c r="L19" i="5" s="1"/>
  <c r="G19" i="5"/>
  <c r="K18" i="5"/>
  <c r="L23" i="5" s="1"/>
  <c r="J18" i="5"/>
  <c r="I18" i="5"/>
  <c r="H18" i="5"/>
  <c r="G18" i="5"/>
  <c r="K17" i="5"/>
  <c r="J17" i="5"/>
  <c r="I17" i="5"/>
  <c r="H17" i="5"/>
  <c r="L17" i="5" s="1"/>
  <c r="G17" i="5"/>
  <c r="K16" i="5"/>
  <c r="L22" i="5" s="1"/>
  <c r="J16" i="5"/>
  <c r="I16" i="5"/>
  <c r="H16" i="5"/>
  <c r="G16" i="5"/>
  <c r="B12" i="5"/>
  <c r="D12" i="5" s="1"/>
  <c r="D8" i="5"/>
  <c r="F23" i="5" s="1"/>
  <c r="F4" i="5"/>
  <c r="E4" i="5"/>
  <c r="B11" i="5" s="1"/>
  <c r="D11" i="5" s="1"/>
  <c r="D4" i="5"/>
  <c r="C4" i="5"/>
  <c r="B12" i="3"/>
  <c r="B10" i="6" s="1"/>
  <c r="D10" i="6" s="1"/>
  <c r="B11" i="3"/>
  <c r="B9" i="9" s="1"/>
  <c r="D9" i="9" s="1"/>
  <c r="B8" i="3"/>
  <c r="C8" i="3" s="1"/>
  <c r="D8" i="3" s="1"/>
  <c r="B7" i="3"/>
  <c r="C7" i="3" s="1"/>
  <c r="D7" i="3" s="1"/>
  <c r="B6" i="3"/>
  <c r="C6" i="3" s="1"/>
  <c r="D6" i="3" s="1"/>
  <c r="B5" i="3"/>
  <c r="C5" i="3" s="1"/>
  <c r="D5" i="3" s="1"/>
  <c r="B4" i="3"/>
  <c r="C4" i="3" s="1"/>
  <c r="D4" i="3" s="1"/>
  <c r="F13" i="4"/>
  <c r="J8" i="4"/>
  <c r="I8" i="4"/>
  <c r="H8" i="4"/>
  <c r="G8" i="4"/>
  <c r="B2" i="4"/>
  <c r="J34" i="11" l="1"/>
  <c r="D34" i="14"/>
  <c r="K34" i="14" s="1"/>
  <c r="E33" i="14"/>
  <c r="D27" i="14"/>
  <c r="D33" i="14"/>
  <c r="K33" i="14" s="1"/>
  <c r="D34" i="20"/>
  <c r="K34" i="20" s="1"/>
  <c r="D29" i="20"/>
  <c r="D27" i="20"/>
  <c r="D33" i="6"/>
  <c r="K33" i="6" s="1"/>
  <c r="E34" i="6"/>
  <c r="D33" i="19"/>
  <c r="K33" i="19" s="1"/>
  <c r="D28" i="19"/>
  <c r="E34" i="19"/>
  <c r="L16" i="5"/>
  <c r="L17" i="7"/>
  <c r="L19" i="8"/>
  <c r="D18" i="20"/>
  <c r="G22" i="6"/>
  <c r="I22" i="6" s="1"/>
  <c r="L30" i="6"/>
  <c r="L17" i="8"/>
  <c r="G22" i="8" s="1"/>
  <c r="I22" i="8" s="1"/>
  <c r="L28" i="10"/>
  <c r="B11" i="14"/>
  <c r="D11" i="14" s="1"/>
  <c r="J34" i="18"/>
  <c r="D22" i="20"/>
  <c r="E22" i="20"/>
  <c r="L30" i="20"/>
  <c r="L28" i="5"/>
  <c r="L30" i="5"/>
  <c r="L19" i="9"/>
  <c r="G23" i="9" s="1"/>
  <c r="I23" i="9" s="1"/>
  <c r="L19" i="12"/>
  <c r="J23" i="20"/>
  <c r="G23" i="19"/>
  <c r="L27" i="13"/>
  <c r="L16" i="14"/>
  <c r="G22" i="14" s="1"/>
  <c r="L18" i="14"/>
  <c r="J23" i="14" s="1"/>
  <c r="L29" i="14"/>
  <c r="J34" i="14" s="1"/>
  <c r="G34" i="17"/>
  <c r="B11" i="18"/>
  <c r="D11" i="18" s="1"/>
  <c r="D17" i="20"/>
  <c r="J22" i="6"/>
  <c r="G22" i="16"/>
  <c r="I22" i="16" s="1"/>
  <c r="L27" i="10"/>
  <c r="J33" i="10" s="1"/>
  <c r="L18" i="15"/>
  <c r="J34" i="5"/>
  <c r="L29" i="7"/>
  <c r="J23" i="9"/>
  <c r="L17" i="11"/>
  <c r="G22" i="11" s="1"/>
  <c r="L19" i="13"/>
  <c r="L29" i="16"/>
  <c r="G34" i="16" s="1"/>
  <c r="I34" i="16" s="1"/>
  <c r="E34" i="16"/>
  <c r="L16" i="19"/>
  <c r="L19" i="20"/>
  <c r="L27" i="20"/>
  <c r="J33" i="20" s="1"/>
  <c r="J34" i="7"/>
  <c r="J22" i="12"/>
  <c r="G33" i="15"/>
  <c r="I34" i="15"/>
  <c r="G23" i="17"/>
  <c r="J33" i="17"/>
  <c r="J33" i="19"/>
  <c r="E8" i="4"/>
  <c r="L18" i="5"/>
  <c r="L19" i="7"/>
  <c r="L27" i="9"/>
  <c r="G33" i="9" s="1"/>
  <c r="L17" i="10"/>
  <c r="L19" i="10"/>
  <c r="G23" i="10" s="1"/>
  <c r="L18" i="12"/>
  <c r="G23" i="12" s="1"/>
  <c r="L28" i="13"/>
  <c r="G22" i="5"/>
  <c r="J22" i="5"/>
  <c r="D34" i="7"/>
  <c r="K34" i="7" s="1"/>
  <c r="D29" i="7"/>
  <c r="E33" i="7"/>
  <c r="D30" i="7"/>
  <c r="D33" i="7"/>
  <c r="K33" i="7" s="1"/>
  <c r="D27" i="7"/>
  <c r="E34" i="7"/>
  <c r="D28" i="7"/>
  <c r="G34" i="5"/>
  <c r="C33" i="9"/>
  <c r="O33" i="9" s="1"/>
  <c r="P33" i="9" s="1"/>
  <c r="E16" i="9"/>
  <c r="E27" i="9"/>
  <c r="E17" i="9"/>
  <c r="E28" i="9"/>
  <c r="C22" i="9"/>
  <c r="O22" i="9" s="1"/>
  <c r="P22" i="9" s="1"/>
  <c r="C34" i="6"/>
  <c r="O34" i="6" s="1"/>
  <c r="P34" i="6" s="1"/>
  <c r="E30" i="6"/>
  <c r="E18" i="6"/>
  <c r="E19" i="6"/>
  <c r="C23" i="6"/>
  <c r="O23" i="6" s="1"/>
  <c r="P23" i="6" s="1"/>
  <c r="E29" i="6"/>
  <c r="E22" i="7"/>
  <c r="D19" i="7"/>
  <c r="E23" i="7"/>
  <c r="D23" i="7"/>
  <c r="K23" i="7" s="1"/>
  <c r="D22" i="7"/>
  <c r="D16" i="7"/>
  <c r="D17" i="7"/>
  <c r="D18" i="7"/>
  <c r="E22" i="8"/>
  <c r="D19" i="8"/>
  <c r="D22" i="8"/>
  <c r="K22" i="8" s="1"/>
  <c r="D16" i="8"/>
  <c r="D17" i="8"/>
  <c r="E23" i="8"/>
  <c r="D18" i="8"/>
  <c r="D23" i="8"/>
  <c r="K23" i="8" s="1"/>
  <c r="D34" i="10"/>
  <c r="K34" i="10" s="1"/>
  <c r="E33" i="10"/>
  <c r="D30" i="10"/>
  <c r="D28" i="10"/>
  <c r="D29" i="10"/>
  <c r="D33" i="10"/>
  <c r="K33" i="10" s="1"/>
  <c r="D27" i="10"/>
  <c r="E34" i="10"/>
  <c r="E34" i="8"/>
  <c r="D34" i="8"/>
  <c r="K34" i="8" s="1"/>
  <c r="D29" i="8"/>
  <c r="E33" i="8"/>
  <c r="D30" i="8"/>
  <c r="D27" i="8"/>
  <c r="D28" i="8"/>
  <c r="D33" i="8"/>
  <c r="K33" i="8" s="1"/>
  <c r="I22" i="13"/>
  <c r="G23" i="7"/>
  <c r="I23" i="7" s="1"/>
  <c r="J23" i="7"/>
  <c r="D23" i="9"/>
  <c r="D18" i="9"/>
  <c r="E22" i="9"/>
  <c r="D19" i="9"/>
  <c r="D22" i="9"/>
  <c r="K22" i="9" s="1"/>
  <c r="D16" i="9"/>
  <c r="D17" i="9"/>
  <c r="E23" i="9"/>
  <c r="D17" i="5"/>
  <c r="E23" i="5"/>
  <c r="D18" i="5"/>
  <c r="D23" i="5"/>
  <c r="E22" i="5"/>
  <c r="D19" i="5"/>
  <c r="D22" i="5"/>
  <c r="K22" i="5" s="1"/>
  <c r="D16" i="5"/>
  <c r="H23" i="9"/>
  <c r="M23" i="9" s="1"/>
  <c r="N23" i="9" s="1"/>
  <c r="H23" i="5"/>
  <c r="G34" i="7"/>
  <c r="D27" i="5"/>
  <c r="D28" i="5"/>
  <c r="D29" i="5"/>
  <c r="E34" i="5"/>
  <c r="D34" i="5"/>
  <c r="K34" i="5" s="1"/>
  <c r="D30" i="5"/>
  <c r="E33" i="5"/>
  <c r="D33" i="5"/>
  <c r="K33" i="5" s="1"/>
  <c r="J33" i="5"/>
  <c r="G33" i="5"/>
  <c r="I33" i="5" s="1"/>
  <c r="G22" i="7"/>
  <c r="I22" i="7" s="1"/>
  <c r="G23" i="5"/>
  <c r="I23" i="5" s="1"/>
  <c r="L27" i="12"/>
  <c r="G33" i="12" s="1"/>
  <c r="I22" i="14"/>
  <c r="H22" i="14"/>
  <c r="M22" i="14" s="1"/>
  <c r="N22" i="14" s="1"/>
  <c r="J22" i="14"/>
  <c r="J23" i="5"/>
  <c r="K22" i="7"/>
  <c r="B12" i="11"/>
  <c r="D12" i="11" s="1"/>
  <c r="B11" i="11"/>
  <c r="D11" i="11" s="1"/>
  <c r="L30" i="11"/>
  <c r="G34" i="11" s="1"/>
  <c r="H22" i="13"/>
  <c r="M22" i="13" s="1"/>
  <c r="N22" i="13" s="1"/>
  <c r="K23" i="5"/>
  <c r="F33" i="5"/>
  <c r="D28" i="6"/>
  <c r="F22" i="8"/>
  <c r="F33" i="8"/>
  <c r="F23" i="8"/>
  <c r="H22" i="12"/>
  <c r="M22" i="12" s="1"/>
  <c r="N22" i="12" s="1"/>
  <c r="B9" i="13"/>
  <c r="D9" i="13" s="1"/>
  <c r="J23" i="6"/>
  <c r="L29" i="6"/>
  <c r="G33" i="7"/>
  <c r="B9" i="8"/>
  <c r="D9" i="8" s="1"/>
  <c r="L29" i="9"/>
  <c r="G34" i="9" s="1"/>
  <c r="D28" i="13"/>
  <c r="D29" i="13"/>
  <c r="D27" i="13"/>
  <c r="E33" i="13"/>
  <c r="D30" i="13"/>
  <c r="E34" i="13"/>
  <c r="D33" i="13"/>
  <c r="K33" i="13" s="1"/>
  <c r="F34" i="5"/>
  <c r="H34" i="5" s="1"/>
  <c r="D27" i="6"/>
  <c r="J34" i="8"/>
  <c r="J34" i="9"/>
  <c r="G22" i="10"/>
  <c r="I22" i="10" s="1"/>
  <c r="B10" i="11"/>
  <c r="D10" i="11" s="1"/>
  <c r="I23" i="12"/>
  <c r="I34" i="19"/>
  <c r="B9" i="5"/>
  <c r="D9" i="5" s="1"/>
  <c r="E33" i="6"/>
  <c r="D34" i="6"/>
  <c r="K34" i="6" s="1"/>
  <c r="L18" i="8"/>
  <c r="G23" i="8" s="1"/>
  <c r="I23" i="8" s="1"/>
  <c r="J33" i="8"/>
  <c r="F34" i="9"/>
  <c r="H34" i="9" s="1"/>
  <c r="F22" i="9"/>
  <c r="H22" i="9" s="1"/>
  <c r="F33" i="9"/>
  <c r="H33" i="9" s="1"/>
  <c r="M33" i="9" s="1"/>
  <c r="N33" i="9" s="1"/>
  <c r="H22" i="17"/>
  <c r="I34" i="17"/>
  <c r="G22" i="9"/>
  <c r="I22" i="12"/>
  <c r="B9" i="17"/>
  <c r="D9" i="17" s="1"/>
  <c r="B9" i="20"/>
  <c r="D9" i="20" s="1"/>
  <c r="B8" i="21"/>
  <c r="D8" i="21" s="1"/>
  <c r="B9" i="18"/>
  <c r="D9" i="18" s="1"/>
  <c r="B9" i="19"/>
  <c r="D9" i="19" s="1"/>
  <c r="B9" i="7"/>
  <c r="D9" i="7" s="1"/>
  <c r="B9" i="16"/>
  <c r="D9" i="16" s="1"/>
  <c r="B9" i="11"/>
  <c r="D9" i="11" s="1"/>
  <c r="B9" i="10"/>
  <c r="D9" i="10" s="1"/>
  <c r="B9" i="12"/>
  <c r="D9" i="12" s="1"/>
  <c r="B9" i="14"/>
  <c r="D9" i="14" s="1"/>
  <c r="B9" i="15"/>
  <c r="D9" i="15" s="1"/>
  <c r="B10" i="5"/>
  <c r="D10" i="5" s="1"/>
  <c r="F22" i="5"/>
  <c r="H22" i="5" s="1"/>
  <c r="B9" i="6"/>
  <c r="D9" i="6" s="1"/>
  <c r="D30" i="6"/>
  <c r="G33" i="6"/>
  <c r="K23" i="9"/>
  <c r="B11" i="10"/>
  <c r="D11" i="10" s="1"/>
  <c r="B11" i="12"/>
  <c r="D11" i="12" s="1"/>
  <c r="B12" i="12"/>
  <c r="D12" i="12" s="1"/>
  <c r="J23" i="12"/>
  <c r="D16" i="14"/>
  <c r="D22" i="14"/>
  <c r="D19" i="14"/>
  <c r="E23" i="14"/>
  <c r="D17" i="14"/>
  <c r="D23" i="14"/>
  <c r="K23" i="14" s="1"/>
  <c r="D18" i="14"/>
  <c r="C11" i="3"/>
  <c r="F23" i="7"/>
  <c r="L28" i="8"/>
  <c r="G33" i="8" s="1"/>
  <c r="B12" i="9"/>
  <c r="D12" i="9" s="1"/>
  <c r="J23" i="10"/>
  <c r="J22" i="10"/>
  <c r="D34" i="13"/>
  <c r="K34" i="13" s="1"/>
  <c r="B10" i="19"/>
  <c r="D10" i="19" s="1"/>
  <c r="B10" i="20"/>
  <c r="D10" i="20" s="1"/>
  <c r="B10" i="12"/>
  <c r="D10" i="12" s="1"/>
  <c r="B10" i="17"/>
  <c r="D10" i="17" s="1"/>
  <c r="B10" i="18"/>
  <c r="D10" i="18" s="1"/>
  <c r="B10" i="7"/>
  <c r="D10" i="7" s="1"/>
  <c r="B10" i="8"/>
  <c r="D10" i="8" s="1"/>
  <c r="B10" i="16"/>
  <c r="D10" i="16" s="1"/>
  <c r="B10" i="9"/>
  <c r="D10" i="9" s="1"/>
  <c r="B10" i="13"/>
  <c r="D10" i="13" s="1"/>
  <c r="B10" i="10"/>
  <c r="D10" i="10" s="1"/>
  <c r="B10" i="14"/>
  <c r="D10" i="14" s="1"/>
  <c r="B10" i="15"/>
  <c r="D10" i="15" s="1"/>
  <c r="J33" i="7"/>
  <c r="J22" i="9"/>
  <c r="G33" i="10"/>
  <c r="I33" i="10" s="1"/>
  <c r="F23" i="12"/>
  <c r="H23" i="12" s="1"/>
  <c r="M23" i="12" s="1"/>
  <c r="N23" i="12" s="1"/>
  <c r="F33" i="12"/>
  <c r="H33" i="12" s="1"/>
  <c r="F34" i="12"/>
  <c r="E22" i="14"/>
  <c r="I33" i="15"/>
  <c r="H33" i="15"/>
  <c r="M33" i="15" s="1"/>
  <c r="N33" i="15" s="1"/>
  <c r="C12" i="3"/>
  <c r="B11" i="6"/>
  <c r="D11" i="6" s="1"/>
  <c r="L19" i="6"/>
  <c r="G23" i="6" s="1"/>
  <c r="D29" i="6"/>
  <c r="F34" i="8"/>
  <c r="H34" i="8" s="1"/>
  <c r="M34" i="8" s="1"/>
  <c r="N34" i="8" s="1"/>
  <c r="L29" i="10"/>
  <c r="G34" i="10" s="1"/>
  <c r="D23" i="13"/>
  <c r="K23" i="13" s="1"/>
  <c r="D22" i="13"/>
  <c r="K22" i="13" s="1"/>
  <c r="E22" i="13"/>
  <c r="D17" i="13"/>
  <c r="E23" i="13"/>
  <c r="D18" i="13"/>
  <c r="D16" i="13"/>
  <c r="D19" i="13"/>
  <c r="D28" i="15"/>
  <c r="E22" i="19"/>
  <c r="D19" i="19"/>
  <c r="D16" i="19"/>
  <c r="D17" i="19"/>
  <c r="D22" i="19"/>
  <c r="E23" i="19"/>
  <c r="D23" i="19"/>
  <c r="K23" i="19" s="1"/>
  <c r="M23" i="19"/>
  <c r="N23" i="19" s="1"/>
  <c r="L28" i="11"/>
  <c r="H34" i="15"/>
  <c r="M34" i="15" s="1"/>
  <c r="N34" i="15" s="1"/>
  <c r="J22" i="16"/>
  <c r="L28" i="16"/>
  <c r="B12" i="17"/>
  <c r="D12" i="17" s="1"/>
  <c r="B11" i="17"/>
  <c r="D11" i="17" s="1"/>
  <c r="L19" i="14"/>
  <c r="G23" i="14" s="1"/>
  <c r="E33" i="15"/>
  <c r="G33" i="14"/>
  <c r="I33" i="14" s="1"/>
  <c r="J34" i="15"/>
  <c r="D33" i="16"/>
  <c r="K33" i="16" s="1"/>
  <c r="D27" i="16"/>
  <c r="D29" i="16"/>
  <c r="L18" i="16"/>
  <c r="H34" i="16"/>
  <c r="F23" i="17"/>
  <c r="H23" i="17" s="1"/>
  <c r="M23" i="17" s="1"/>
  <c r="N23" i="17" s="1"/>
  <c r="F34" i="17"/>
  <c r="H34" i="17" s="1"/>
  <c r="M34" i="17" s="1"/>
  <c r="N34" i="17" s="1"/>
  <c r="F33" i="17"/>
  <c r="H33" i="17" s="1"/>
  <c r="M33" i="17" s="1"/>
  <c r="N33" i="17" s="1"/>
  <c r="D18" i="19"/>
  <c r="I23" i="19"/>
  <c r="H34" i="19"/>
  <c r="M34" i="19" s="1"/>
  <c r="N34" i="19" s="1"/>
  <c r="F22" i="11"/>
  <c r="H22" i="11" s="1"/>
  <c r="M22" i="11" s="1"/>
  <c r="N22" i="11" s="1"/>
  <c r="F33" i="11"/>
  <c r="L27" i="11"/>
  <c r="G33" i="11" s="1"/>
  <c r="J33" i="14"/>
  <c r="E23" i="15"/>
  <c r="D23" i="15"/>
  <c r="K23" i="15" s="1"/>
  <c r="E22" i="15"/>
  <c r="D19" i="15"/>
  <c r="D22" i="15"/>
  <c r="K22" i="15" s="1"/>
  <c r="D16" i="15"/>
  <c r="J23" i="16"/>
  <c r="L17" i="18"/>
  <c r="M33" i="18"/>
  <c r="N33" i="18" s="1"/>
  <c r="G22" i="19"/>
  <c r="I22" i="19" s="1"/>
  <c r="J22" i="11"/>
  <c r="H34" i="13"/>
  <c r="M34" i="13" s="1"/>
  <c r="N34" i="13" s="1"/>
  <c r="D22" i="18"/>
  <c r="D16" i="18"/>
  <c r="E23" i="18"/>
  <c r="D18" i="18"/>
  <c r="D23" i="18"/>
  <c r="K23" i="18" s="1"/>
  <c r="D17" i="18"/>
  <c r="L16" i="20"/>
  <c r="G22" i="20" s="1"/>
  <c r="I22" i="20" s="1"/>
  <c r="D33" i="15"/>
  <c r="K33" i="15" s="1"/>
  <c r="D27" i="15"/>
  <c r="M22" i="17"/>
  <c r="N22" i="17" s="1"/>
  <c r="D30" i="18"/>
  <c r="D27" i="18"/>
  <c r="E33" i="18"/>
  <c r="D33" i="18"/>
  <c r="K33" i="18" s="1"/>
  <c r="D29" i="18"/>
  <c r="D28" i="18"/>
  <c r="K22" i="19"/>
  <c r="J33" i="15"/>
  <c r="D29" i="15"/>
  <c r="J34" i="16"/>
  <c r="E33" i="16"/>
  <c r="D34" i="18"/>
  <c r="K34" i="18" s="1"/>
  <c r="J22" i="19"/>
  <c r="L29" i="12"/>
  <c r="G34" i="12" s="1"/>
  <c r="D28" i="14"/>
  <c r="D29" i="14"/>
  <c r="E34" i="14"/>
  <c r="L19" i="16"/>
  <c r="E34" i="18"/>
  <c r="F23" i="19"/>
  <c r="H23" i="19" s="1"/>
  <c r="F22" i="19"/>
  <c r="D30" i="19"/>
  <c r="L18" i="13"/>
  <c r="G23" i="13" s="1"/>
  <c r="D30" i="14"/>
  <c r="D34" i="15"/>
  <c r="K34" i="15" s="1"/>
  <c r="G33" i="16"/>
  <c r="I33" i="16" s="1"/>
  <c r="M34" i="16"/>
  <c r="N34" i="16" s="1"/>
  <c r="J22" i="17"/>
  <c r="H34" i="18"/>
  <c r="M34" i="18" s="1"/>
  <c r="N34" i="18" s="1"/>
  <c r="E33" i="19"/>
  <c r="L18" i="11"/>
  <c r="J34" i="13"/>
  <c r="D18" i="15"/>
  <c r="E34" i="15"/>
  <c r="D28" i="16"/>
  <c r="D30" i="16"/>
  <c r="J23" i="17"/>
  <c r="J34" i="19"/>
  <c r="F33" i="19"/>
  <c r="J33" i="18"/>
  <c r="H23" i="20"/>
  <c r="B11" i="16"/>
  <c r="D11" i="16" s="1"/>
  <c r="K22" i="18"/>
  <c r="G23" i="20"/>
  <c r="K22" i="14"/>
  <c r="J22" i="18"/>
  <c r="L16" i="18"/>
  <c r="G22" i="18" s="1"/>
  <c r="I22" i="18" s="1"/>
  <c r="H22" i="16"/>
  <c r="M22" i="16" s="1"/>
  <c r="N22" i="16" s="1"/>
  <c r="J33" i="16"/>
  <c r="E23" i="20"/>
  <c r="D16" i="20"/>
  <c r="J22" i="13"/>
  <c r="L30" i="14"/>
  <c r="G34" i="14" s="1"/>
  <c r="L16" i="15"/>
  <c r="F22" i="15"/>
  <c r="L18" i="18"/>
  <c r="D34" i="19"/>
  <c r="K34" i="19" s="1"/>
  <c r="D29" i="19"/>
  <c r="D27" i="19"/>
  <c r="E34" i="20"/>
  <c r="E33" i="20"/>
  <c r="D30" i="20"/>
  <c r="D33" i="20"/>
  <c r="K33" i="20" s="1"/>
  <c r="D23" i="20"/>
  <c r="K23" i="20" s="1"/>
  <c r="D28" i="20"/>
  <c r="L29" i="20"/>
  <c r="G34" i="20" s="1"/>
  <c r="I34" i="20" s="1"/>
  <c r="G33" i="20"/>
  <c r="I33" i="20" s="1"/>
  <c r="K22" i="20"/>
  <c r="I23" i="10" l="1"/>
  <c r="H23" i="10"/>
  <c r="M23" i="10"/>
  <c r="N23" i="10" s="1"/>
  <c r="E22" i="18"/>
  <c r="D19" i="18"/>
  <c r="H22" i="6"/>
  <c r="M22" i="6" s="1"/>
  <c r="N22" i="6" s="1"/>
  <c r="H33" i="11"/>
  <c r="J33" i="9"/>
  <c r="F30" i="6"/>
  <c r="G23" i="15"/>
  <c r="J23" i="15"/>
  <c r="G33" i="13"/>
  <c r="M23" i="5"/>
  <c r="N23" i="5" s="1"/>
  <c r="M33" i="12"/>
  <c r="N33" i="12" s="1"/>
  <c r="J33" i="13"/>
  <c r="H34" i="12"/>
  <c r="I23" i="6"/>
  <c r="H23" i="6"/>
  <c r="M23" i="6" s="1"/>
  <c r="N23" i="6" s="1"/>
  <c r="I23" i="14"/>
  <c r="H23" i="14"/>
  <c r="M23" i="14" s="1"/>
  <c r="N23" i="14" s="1"/>
  <c r="I34" i="14"/>
  <c r="H34" i="14"/>
  <c r="M34" i="14" s="1"/>
  <c r="N34" i="14" s="1"/>
  <c r="I33" i="8"/>
  <c r="H33" i="20"/>
  <c r="M33" i="20" s="1"/>
  <c r="N33" i="20" s="1"/>
  <c r="I33" i="11"/>
  <c r="E33" i="17"/>
  <c r="D30" i="17"/>
  <c r="D27" i="17"/>
  <c r="E34" i="17"/>
  <c r="D33" i="17"/>
  <c r="K33" i="17" s="1"/>
  <c r="D34" i="17"/>
  <c r="K34" i="17" s="1"/>
  <c r="D28" i="17"/>
  <c r="D29" i="17"/>
  <c r="E18" i="16"/>
  <c r="E29" i="16"/>
  <c r="F29" i="16" s="1"/>
  <c r="E19" i="16"/>
  <c r="E30" i="16"/>
  <c r="F30" i="16" s="1"/>
  <c r="C23" i="16"/>
  <c r="O23" i="16" s="1"/>
  <c r="P23" i="16" s="1"/>
  <c r="C34" i="16"/>
  <c r="O34" i="16" s="1"/>
  <c r="P34" i="16" s="1"/>
  <c r="E23" i="12"/>
  <c r="D18" i="12"/>
  <c r="E22" i="12"/>
  <c r="D19" i="12"/>
  <c r="D22" i="12"/>
  <c r="K22" i="12" s="1"/>
  <c r="D23" i="12"/>
  <c r="K23" i="12" s="1"/>
  <c r="D16" i="12"/>
  <c r="D17" i="12"/>
  <c r="C33" i="15"/>
  <c r="O33" i="15" s="1"/>
  <c r="P33" i="15" s="1"/>
  <c r="E16" i="15"/>
  <c r="F16" i="15" s="1"/>
  <c r="E28" i="15"/>
  <c r="F28" i="15" s="1"/>
  <c r="E27" i="15"/>
  <c r="F27" i="15" s="1"/>
  <c r="C22" i="15"/>
  <c r="O22" i="15" s="1"/>
  <c r="P22" i="15" s="1"/>
  <c r="E17" i="15"/>
  <c r="F17" i="15" s="1"/>
  <c r="C22" i="17"/>
  <c r="O22" i="17" s="1"/>
  <c r="P22" i="17" s="1"/>
  <c r="E27" i="17"/>
  <c r="F27" i="17" s="1"/>
  <c r="E17" i="17"/>
  <c r="C33" i="17"/>
  <c r="O33" i="17" s="1"/>
  <c r="P33" i="17" s="1"/>
  <c r="E28" i="17"/>
  <c r="E16" i="17"/>
  <c r="I33" i="17"/>
  <c r="J34" i="10"/>
  <c r="D17" i="16"/>
  <c r="E23" i="16"/>
  <c r="D19" i="16"/>
  <c r="D16" i="16"/>
  <c r="E22" i="16"/>
  <c r="D23" i="16"/>
  <c r="K23" i="16" s="1"/>
  <c r="D22" i="16"/>
  <c r="K22" i="16" s="1"/>
  <c r="D18" i="16"/>
  <c r="E29" i="8"/>
  <c r="F29" i="8" s="1"/>
  <c r="C23" i="8"/>
  <c r="O23" i="8" s="1"/>
  <c r="P23" i="8" s="1"/>
  <c r="E19" i="8"/>
  <c r="F19" i="8" s="1"/>
  <c r="C34" i="8"/>
  <c r="O34" i="8" s="1"/>
  <c r="P34" i="8" s="1"/>
  <c r="E30" i="8"/>
  <c r="F30" i="8" s="1"/>
  <c r="E18" i="8"/>
  <c r="F18" i="8" s="1"/>
  <c r="M33" i="11"/>
  <c r="N33" i="11" s="1"/>
  <c r="C22" i="14"/>
  <c r="O22" i="14" s="1"/>
  <c r="P22" i="14" s="1"/>
  <c r="E16" i="14"/>
  <c r="F16" i="14" s="1"/>
  <c r="E28" i="14"/>
  <c r="F28" i="14" s="1"/>
  <c r="E17" i="14"/>
  <c r="F17" i="14" s="1"/>
  <c r="C33" i="14"/>
  <c r="O33" i="14" s="1"/>
  <c r="P33" i="14" s="1"/>
  <c r="E27" i="14"/>
  <c r="F27" i="14" s="1"/>
  <c r="H33" i="5"/>
  <c r="M33" i="5" s="1"/>
  <c r="N33" i="5" s="1"/>
  <c r="H22" i="20"/>
  <c r="M22" i="20" s="1"/>
  <c r="N22" i="20" s="1"/>
  <c r="H23" i="13"/>
  <c r="M23" i="13" s="1"/>
  <c r="N23" i="13" s="1"/>
  <c r="I23" i="13"/>
  <c r="H33" i="14"/>
  <c r="M33" i="14" s="1"/>
  <c r="N33" i="14" s="1"/>
  <c r="D22" i="6"/>
  <c r="K22" i="6" s="1"/>
  <c r="D18" i="6"/>
  <c r="D19" i="6"/>
  <c r="E23" i="6"/>
  <c r="D23" i="6"/>
  <c r="K23" i="6" s="1"/>
  <c r="E22" i="6"/>
  <c r="D16" i="6"/>
  <c r="D17" i="6"/>
  <c r="C34" i="7"/>
  <c r="O34" i="7" s="1"/>
  <c r="P34" i="7" s="1"/>
  <c r="E30" i="7"/>
  <c r="F30" i="7" s="1"/>
  <c r="E19" i="7"/>
  <c r="F19" i="7" s="1"/>
  <c r="C23" i="7"/>
  <c r="O23" i="7" s="1"/>
  <c r="P23" i="7" s="1"/>
  <c r="E29" i="7"/>
  <c r="F29" i="7" s="1"/>
  <c r="E18" i="7"/>
  <c r="F18" i="7" s="1"/>
  <c r="E27" i="12"/>
  <c r="E28" i="12"/>
  <c r="E16" i="12"/>
  <c r="F16" i="12" s="1"/>
  <c r="C22" i="12"/>
  <c r="O22" i="12" s="1"/>
  <c r="P22" i="12" s="1"/>
  <c r="E17" i="12"/>
  <c r="F17" i="12" s="1"/>
  <c r="C33" i="12"/>
  <c r="O33" i="12" s="1"/>
  <c r="P33" i="12" s="1"/>
  <c r="E29" i="11"/>
  <c r="C23" i="11"/>
  <c r="O23" i="11" s="1"/>
  <c r="P23" i="11" s="1"/>
  <c r="E19" i="11"/>
  <c r="C34" i="11"/>
  <c r="O34" i="11" s="1"/>
  <c r="P34" i="11" s="1"/>
  <c r="E30" i="11"/>
  <c r="E18" i="11"/>
  <c r="M22" i="19"/>
  <c r="N22" i="19" s="1"/>
  <c r="J22" i="20"/>
  <c r="H22" i="10"/>
  <c r="M22" i="10" s="1"/>
  <c r="N22" i="10" s="1"/>
  <c r="C34" i="18"/>
  <c r="O34" i="18" s="1"/>
  <c r="P34" i="18" s="1"/>
  <c r="E30" i="18"/>
  <c r="F30" i="18" s="1"/>
  <c r="E18" i="18"/>
  <c r="F18" i="18" s="1"/>
  <c r="C23" i="18"/>
  <c r="O23" i="18" s="1"/>
  <c r="P23" i="18" s="1"/>
  <c r="E19" i="18"/>
  <c r="F19" i="18" s="1"/>
  <c r="E29" i="18"/>
  <c r="F29" i="18" s="1"/>
  <c r="D28" i="9"/>
  <c r="E34" i="9"/>
  <c r="D34" i="9"/>
  <c r="K34" i="9" s="1"/>
  <c r="D29" i="9"/>
  <c r="D33" i="9"/>
  <c r="K33" i="9" s="1"/>
  <c r="D27" i="9"/>
  <c r="F27" i="9" s="1"/>
  <c r="D30" i="9"/>
  <c r="E33" i="9"/>
  <c r="E23" i="10"/>
  <c r="D23" i="10"/>
  <c r="K23" i="10" s="1"/>
  <c r="D18" i="10"/>
  <c r="E22" i="10"/>
  <c r="D19" i="10"/>
  <c r="D17" i="10"/>
  <c r="D22" i="10"/>
  <c r="K22" i="10" s="1"/>
  <c r="D16" i="10"/>
  <c r="E28" i="10"/>
  <c r="F28" i="10" s="1"/>
  <c r="C22" i="10"/>
  <c r="O22" i="10" s="1"/>
  <c r="P22" i="10" s="1"/>
  <c r="E16" i="10"/>
  <c r="C33" i="10"/>
  <c r="O33" i="10" s="1"/>
  <c r="P33" i="10" s="1"/>
  <c r="E17" i="10"/>
  <c r="E27" i="10"/>
  <c r="F27" i="10" s="1"/>
  <c r="E27" i="13"/>
  <c r="F27" i="13" s="1"/>
  <c r="E17" i="13"/>
  <c r="F17" i="13" s="1"/>
  <c r="C22" i="13"/>
  <c r="O22" i="13" s="1"/>
  <c r="P22" i="13" s="1"/>
  <c r="E28" i="13"/>
  <c r="F28" i="13" s="1"/>
  <c r="C33" i="13"/>
  <c r="O33" i="13" s="1"/>
  <c r="P33" i="13" s="1"/>
  <c r="E16" i="13"/>
  <c r="F16" i="13" s="1"/>
  <c r="G23" i="11"/>
  <c r="J23" i="11"/>
  <c r="H34" i="10"/>
  <c r="M34" i="10" s="1"/>
  <c r="N34" i="10" s="1"/>
  <c r="I34" i="10"/>
  <c r="I23" i="17"/>
  <c r="C23" i="17"/>
  <c r="O23" i="17" s="1"/>
  <c r="P23" i="17" s="1"/>
  <c r="C34" i="17"/>
  <c r="O34" i="17" s="1"/>
  <c r="P34" i="17" s="1"/>
  <c r="E18" i="17"/>
  <c r="E19" i="17"/>
  <c r="E29" i="17"/>
  <c r="F29" i="17" s="1"/>
  <c r="E30" i="17"/>
  <c r="F30" i="17" s="1"/>
  <c r="C33" i="11"/>
  <c r="O33" i="11" s="1"/>
  <c r="P33" i="11" s="1"/>
  <c r="E17" i="11"/>
  <c r="E28" i="11"/>
  <c r="E27" i="11"/>
  <c r="E16" i="11"/>
  <c r="C22" i="11"/>
  <c r="O22" i="11" s="1"/>
  <c r="P22" i="11" s="1"/>
  <c r="H22" i="19"/>
  <c r="I34" i="12"/>
  <c r="M34" i="12"/>
  <c r="N34" i="12" s="1"/>
  <c r="C23" i="12"/>
  <c r="O23" i="12" s="1"/>
  <c r="P23" i="12" s="1"/>
  <c r="E30" i="12"/>
  <c r="C34" i="12"/>
  <c r="O34" i="12" s="1"/>
  <c r="P34" i="12" s="1"/>
  <c r="E18" i="12"/>
  <c r="F18" i="12" s="1"/>
  <c r="E29" i="12"/>
  <c r="E19" i="12"/>
  <c r="F19" i="12" s="1"/>
  <c r="E28" i="16"/>
  <c r="F28" i="16" s="1"/>
  <c r="E16" i="16"/>
  <c r="F16" i="16" s="1"/>
  <c r="C33" i="16"/>
  <c r="O33" i="16" s="1"/>
  <c r="P33" i="16" s="1"/>
  <c r="E17" i="16"/>
  <c r="F17" i="16" s="1"/>
  <c r="E27" i="16"/>
  <c r="F27" i="16" s="1"/>
  <c r="C22" i="16"/>
  <c r="O22" i="16" s="1"/>
  <c r="P22" i="16" s="1"/>
  <c r="J33" i="11"/>
  <c r="I34" i="9"/>
  <c r="M34" i="9"/>
  <c r="N34" i="9" s="1"/>
  <c r="I34" i="11"/>
  <c r="H34" i="11"/>
  <c r="M34" i="11" s="1"/>
  <c r="N34" i="11" s="1"/>
  <c r="J23" i="8"/>
  <c r="F28" i="9"/>
  <c r="J34" i="20"/>
  <c r="G23" i="18"/>
  <c r="J23" i="18"/>
  <c r="J34" i="12"/>
  <c r="E18" i="15"/>
  <c r="F18" i="15" s="1"/>
  <c r="C34" i="15"/>
  <c r="O34" i="15" s="1"/>
  <c r="P34" i="15" s="1"/>
  <c r="E19" i="15"/>
  <c r="F19" i="15" s="1"/>
  <c r="C23" i="15"/>
  <c r="O23" i="15" s="1"/>
  <c r="P23" i="15" s="1"/>
  <c r="E29" i="15"/>
  <c r="F29" i="15" s="1"/>
  <c r="E30" i="15"/>
  <c r="F30" i="15" s="1"/>
  <c r="E18" i="20"/>
  <c r="F18" i="20" s="1"/>
  <c r="E29" i="20"/>
  <c r="F29" i="20" s="1"/>
  <c r="C23" i="20"/>
  <c r="O23" i="20" s="1"/>
  <c r="P23" i="20" s="1"/>
  <c r="E19" i="20"/>
  <c r="F19" i="20" s="1"/>
  <c r="C34" i="20"/>
  <c r="O34" i="20" s="1"/>
  <c r="P34" i="20" s="1"/>
  <c r="E30" i="20"/>
  <c r="F30" i="20" s="1"/>
  <c r="H23" i="7"/>
  <c r="M23" i="7" s="1"/>
  <c r="N23" i="7" s="1"/>
  <c r="J23" i="13"/>
  <c r="I33" i="6"/>
  <c r="H33" i="6"/>
  <c r="M33" i="6" s="1"/>
  <c r="N33" i="6" s="1"/>
  <c r="C22" i="7"/>
  <c r="O22" i="7" s="1"/>
  <c r="P22" i="7" s="1"/>
  <c r="E27" i="7"/>
  <c r="F27" i="7" s="1"/>
  <c r="C33" i="7"/>
  <c r="O33" i="7" s="1"/>
  <c r="P33" i="7" s="1"/>
  <c r="E28" i="7"/>
  <c r="F28" i="7" s="1"/>
  <c r="E16" i="7"/>
  <c r="F16" i="7" s="1"/>
  <c r="E17" i="7"/>
  <c r="F17" i="7" s="1"/>
  <c r="I22" i="9"/>
  <c r="M22" i="9"/>
  <c r="N22" i="9" s="1"/>
  <c r="C22" i="8"/>
  <c r="O22" i="8" s="1"/>
  <c r="P22" i="8" s="1"/>
  <c r="E27" i="8"/>
  <c r="F27" i="8" s="1"/>
  <c r="E16" i="8"/>
  <c r="F16" i="8" s="1"/>
  <c r="E17" i="8"/>
  <c r="F17" i="8" s="1"/>
  <c r="E28" i="8"/>
  <c r="F28" i="8" s="1"/>
  <c r="C33" i="8"/>
  <c r="O33" i="8" s="1"/>
  <c r="P33" i="8" s="1"/>
  <c r="I33" i="9"/>
  <c r="I33" i="12"/>
  <c r="I34" i="8"/>
  <c r="F17" i="9"/>
  <c r="I33" i="19"/>
  <c r="H33" i="19"/>
  <c r="M33" i="19" s="1"/>
  <c r="N33" i="19" s="1"/>
  <c r="H22" i="18"/>
  <c r="M22" i="18" s="1"/>
  <c r="N22" i="18" s="1"/>
  <c r="E29" i="14"/>
  <c r="F29" i="14" s="1"/>
  <c r="E30" i="14"/>
  <c r="F30" i="14" s="1"/>
  <c r="E19" i="14"/>
  <c r="F19" i="14" s="1"/>
  <c r="C34" i="14"/>
  <c r="O34" i="14" s="1"/>
  <c r="P34" i="14" s="1"/>
  <c r="C23" i="14"/>
  <c r="O23" i="14" s="1"/>
  <c r="P23" i="14" s="1"/>
  <c r="E18" i="14"/>
  <c r="F18" i="14" s="1"/>
  <c r="E29" i="19"/>
  <c r="F29" i="19" s="1"/>
  <c r="E30" i="19"/>
  <c r="F30" i="19" s="1"/>
  <c r="C23" i="19"/>
  <c r="O23" i="19" s="1"/>
  <c r="P23" i="19" s="1"/>
  <c r="C34" i="19"/>
  <c r="O34" i="19" s="1"/>
  <c r="P34" i="19" s="1"/>
  <c r="E19" i="19"/>
  <c r="F19" i="19" s="1"/>
  <c r="E18" i="19"/>
  <c r="F18" i="19" s="1"/>
  <c r="C33" i="19"/>
  <c r="O33" i="19" s="1"/>
  <c r="P33" i="19" s="1"/>
  <c r="E16" i="19"/>
  <c r="F16" i="19" s="1"/>
  <c r="C22" i="19"/>
  <c r="O22" i="19" s="1"/>
  <c r="P22" i="19" s="1"/>
  <c r="E17" i="19"/>
  <c r="F17" i="19" s="1"/>
  <c r="E27" i="19"/>
  <c r="F27" i="19" s="1"/>
  <c r="E28" i="19"/>
  <c r="F28" i="19" s="1"/>
  <c r="I33" i="7"/>
  <c r="H33" i="7"/>
  <c r="M33" i="7" s="1"/>
  <c r="N33" i="7" s="1"/>
  <c r="H23" i="8"/>
  <c r="M23" i="8" s="1"/>
  <c r="N23" i="8" s="1"/>
  <c r="D22" i="11"/>
  <c r="K22" i="11" s="1"/>
  <c r="D17" i="11"/>
  <c r="D19" i="11"/>
  <c r="E23" i="11"/>
  <c r="E22" i="11"/>
  <c r="D23" i="11"/>
  <c r="K23" i="11" s="1"/>
  <c r="D18" i="11"/>
  <c r="D16" i="11"/>
  <c r="J33" i="12"/>
  <c r="F29" i="6"/>
  <c r="J22" i="15"/>
  <c r="G22" i="15"/>
  <c r="E18" i="10"/>
  <c r="F18" i="10" s="1"/>
  <c r="E29" i="10"/>
  <c r="F29" i="10" s="1"/>
  <c r="C23" i="10"/>
  <c r="O23" i="10" s="1"/>
  <c r="P23" i="10" s="1"/>
  <c r="E19" i="10"/>
  <c r="E30" i="10"/>
  <c r="F30" i="10" s="1"/>
  <c r="C34" i="10"/>
  <c r="O34" i="10" s="1"/>
  <c r="P34" i="10" s="1"/>
  <c r="H34" i="20"/>
  <c r="M34" i="20" s="1"/>
  <c r="N34" i="20" s="1"/>
  <c r="E27" i="6"/>
  <c r="F27" i="6" s="1"/>
  <c r="C33" i="6"/>
  <c r="O33" i="6" s="1"/>
  <c r="P33" i="6" s="1"/>
  <c r="E16" i="6"/>
  <c r="F16" i="6" s="1"/>
  <c r="E28" i="6"/>
  <c r="F28" i="6" s="1"/>
  <c r="C22" i="6"/>
  <c r="O22" i="6" s="1"/>
  <c r="P22" i="6" s="1"/>
  <c r="E17" i="6"/>
  <c r="F17" i="6" s="1"/>
  <c r="E27" i="18"/>
  <c r="F27" i="18" s="1"/>
  <c r="E17" i="18"/>
  <c r="F17" i="18" s="1"/>
  <c r="E28" i="18"/>
  <c r="F28" i="18" s="1"/>
  <c r="E16" i="18"/>
  <c r="F16" i="18" s="1"/>
  <c r="C33" i="18"/>
  <c r="O33" i="18" s="1"/>
  <c r="P33" i="18" s="1"/>
  <c r="C22" i="18"/>
  <c r="O22" i="18" s="1"/>
  <c r="P22" i="18" s="1"/>
  <c r="C33" i="5"/>
  <c r="O33" i="5" s="1"/>
  <c r="P33" i="5" s="1"/>
  <c r="E16" i="5"/>
  <c r="F16" i="5" s="1"/>
  <c r="E27" i="5"/>
  <c r="F27" i="5" s="1"/>
  <c r="E28" i="5"/>
  <c r="F28" i="5" s="1"/>
  <c r="C22" i="5"/>
  <c r="O22" i="5" s="1"/>
  <c r="P22" i="5" s="1"/>
  <c r="E17" i="5"/>
  <c r="F17" i="5" s="1"/>
  <c r="G34" i="6"/>
  <c r="J34" i="6"/>
  <c r="H33" i="8"/>
  <c r="M33" i="8" s="1"/>
  <c r="N33" i="8" s="1"/>
  <c r="F16" i="9"/>
  <c r="H33" i="16"/>
  <c r="E19" i="13"/>
  <c r="F19" i="13" s="1"/>
  <c r="E29" i="13"/>
  <c r="F29" i="13" s="1"/>
  <c r="C23" i="13"/>
  <c r="O23" i="13" s="1"/>
  <c r="P23" i="13" s="1"/>
  <c r="E30" i="13"/>
  <c r="F30" i="13" s="1"/>
  <c r="C34" i="13"/>
  <c r="O34" i="13" s="1"/>
  <c r="P34" i="13" s="1"/>
  <c r="E18" i="13"/>
  <c r="F18" i="13" s="1"/>
  <c r="E14" i="21"/>
  <c r="F14" i="21" s="1"/>
  <c r="D8" i="4"/>
  <c r="H22" i="8"/>
  <c r="M22" i="8" s="1"/>
  <c r="N22" i="8" s="1"/>
  <c r="E34" i="11"/>
  <c r="D28" i="11"/>
  <c r="D29" i="11"/>
  <c r="E33" i="11"/>
  <c r="D30" i="11"/>
  <c r="D34" i="11"/>
  <c r="K34" i="11" s="1"/>
  <c r="D33" i="11"/>
  <c r="K33" i="11" s="1"/>
  <c r="D27" i="11"/>
  <c r="I22" i="11"/>
  <c r="H22" i="7"/>
  <c r="M22" i="7" s="1"/>
  <c r="N22" i="7" s="1"/>
  <c r="F19" i="6"/>
  <c r="I23" i="20"/>
  <c r="M23" i="20"/>
  <c r="N23" i="20" s="1"/>
  <c r="M33" i="16"/>
  <c r="N33" i="16" s="1"/>
  <c r="G23" i="16"/>
  <c r="D17" i="17"/>
  <c r="D23" i="17"/>
  <c r="K23" i="17" s="1"/>
  <c r="D22" i="17"/>
  <c r="K22" i="17" s="1"/>
  <c r="D16" i="17"/>
  <c r="E23" i="17"/>
  <c r="D18" i="17"/>
  <c r="D19" i="17"/>
  <c r="E22" i="17"/>
  <c r="E29" i="9"/>
  <c r="C23" i="9"/>
  <c r="O23" i="9" s="1"/>
  <c r="P23" i="9" s="1"/>
  <c r="F38" i="9" s="1"/>
  <c r="G26" i="4" s="1"/>
  <c r="E19" i="9"/>
  <c r="F19" i="9" s="1"/>
  <c r="C34" i="9"/>
  <c r="O34" i="9" s="1"/>
  <c r="P34" i="9" s="1"/>
  <c r="E30" i="9"/>
  <c r="F30" i="9" s="1"/>
  <c r="E18" i="9"/>
  <c r="F18" i="9" s="1"/>
  <c r="D27" i="12"/>
  <c r="D30" i="12"/>
  <c r="E33" i="12"/>
  <c r="E34" i="12"/>
  <c r="D33" i="12"/>
  <c r="K33" i="12" s="1"/>
  <c r="D28" i="12"/>
  <c r="D29" i="12"/>
  <c r="D34" i="12"/>
  <c r="K34" i="12" s="1"/>
  <c r="E18" i="5"/>
  <c r="F18" i="5" s="1"/>
  <c r="E19" i="5"/>
  <c r="F19" i="5" s="1"/>
  <c r="C23" i="5"/>
  <c r="O23" i="5" s="1"/>
  <c r="P23" i="5" s="1"/>
  <c r="E29" i="5"/>
  <c r="F29" i="5" s="1"/>
  <c r="E30" i="5"/>
  <c r="F30" i="5" s="1"/>
  <c r="C34" i="5"/>
  <c r="O34" i="5" s="1"/>
  <c r="P34" i="5" s="1"/>
  <c r="E28" i="20"/>
  <c r="F28" i="20" s="1"/>
  <c r="C22" i="20"/>
  <c r="O22" i="20" s="1"/>
  <c r="P22" i="20" s="1"/>
  <c r="C33" i="20"/>
  <c r="O33" i="20" s="1"/>
  <c r="P33" i="20" s="1"/>
  <c r="E16" i="20"/>
  <c r="F16" i="20" s="1"/>
  <c r="E27" i="20"/>
  <c r="F27" i="20" s="1"/>
  <c r="E17" i="20"/>
  <c r="F17" i="20" s="1"/>
  <c r="M33" i="10"/>
  <c r="N33" i="10" s="1"/>
  <c r="H33" i="10"/>
  <c r="I34" i="7"/>
  <c r="H34" i="7"/>
  <c r="M34" i="7" s="1"/>
  <c r="N34" i="7" s="1"/>
  <c r="F18" i="6"/>
  <c r="M34" i="5"/>
  <c r="N34" i="5" s="1"/>
  <c r="I34" i="5"/>
  <c r="I22" i="5"/>
  <c r="M22" i="5"/>
  <c r="N22" i="5" s="1"/>
  <c r="I23" i="15" l="1"/>
  <c r="H23" i="15"/>
  <c r="M23" i="15"/>
  <c r="N23" i="15" s="1"/>
  <c r="F29" i="9"/>
  <c r="I33" i="13"/>
  <c r="H33" i="13"/>
  <c r="M33" i="13" s="1"/>
  <c r="N33" i="13" s="1"/>
  <c r="F30" i="12"/>
  <c r="G38" i="9"/>
  <c r="H26" i="4" s="1"/>
  <c r="I23" i="11"/>
  <c r="H23" i="11"/>
  <c r="M23" i="11" s="1"/>
  <c r="N23" i="11" s="1"/>
  <c r="J38" i="10"/>
  <c r="K27" i="4" s="1"/>
  <c r="H38" i="10"/>
  <c r="I27" i="4" s="1"/>
  <c r="L38" i="10"/>
  <c r="M27" i="4" s="1"/>
  <c r="K38" i="10"/>
  <c r="L27" i="4" s="1"/>
  <c r="I38" i="10"/>
  <c r="J27" i="4" s="1"/>
  <c r="G38" i="10"/>
  <c r="H27" i="4" s="1"/>
  <c r="E38" i="10"/>
  <c r="F27" i="4" s="1"/>
  <c r="D38" i="10"/>
  <c r="E27" i="4" s="1"/>
  <c r="C38" i="10"/>
  <c r="D27" i="4" s="1"/>
  <c r="A38" i="10"/>
  <c r="B27" i="4" s="1"/>
  <c r="F38" i="10"/>
  <c r="G27" i="4" s="1"/>
  <c r="B38" i="10"/>
  <c r="C27" i="4" s="1"/>
  <c r="F29" i="11"/>
  <c r="H38" i="5"/>
  <c r="I22" i="4" s="1"/>
  <c r="F38" i="5"/>
  <c r="G22" i="4" s="1"/>
  <c r="J38" i="5"/>
  <c r="K22" i="4" s="1"/>
  <c r="I38" i="5"/>
  <c r="J22" i="4" s="1"/>
  <c r="G38" i="5"/>
  <c r="H22" i="4" s="1"/>
  <c r="E38" i="5"/>
  <c r="F22" i="4" s="1"/>
  <c r="D38" i="5"/>
  <c r="E22" i="4" s="1"/>
  <c r="C38" i="5"/>
  <c r="D22" i="4" s="1"/>
  <c r="B38" i="5"/>
  <c r="C22" i="4" s="1"/>
  <c r="A38" i="5"/>
  <c r="B22" i="4" s="1"/>
  <c r="L38" i="5"/>
  <c r="M22" i="4" s="1"/>
  <c r="K38" i="5"/>
  <c r="L22" i="4" s="1"/>
  <c r="L38" i="19"/>
  <c r="M36" i="4" s="1"/>
  <c r="J38" i="19"/>
  <c r="K36" i="4" s="1"/>
  <c r="G38" i="19"/>
  <c r="H36" i="4" s="1"/>
  <c r="F38" i="19"/>
  <c r="G36" i="4" s="1"/>
  <c r="E38" i="19"/>
  <c r="F36" i="4" s="1"/>
  <c r="D38" i="19"/>
  <c r="E36" i="4" s="1"/>
  <c r="C38" i="19"/>
  <c r="D36" i="4" s="1"/>
  <c r="H38" i="19"/>
  <c r="I36" i="4" s="1"/>
  <c r="B38" i="19"/>
  <c r="C36" i="4" s="1"/>
  <c r="A38" i="19"/>
  <c r="B36" i="4" s="1"/>
  <c r="I38" i="19"/>
  <c r="J36" i="4" s="1"/>
  <c r="K38" i="19"/>
  <c r="L36" i="4" s="1"/>
  <c r="G38" i="16"/>
  <c r="H33" i="4" s="1"/>
  <c r="C38" i="16"/>
  <c r="D33" i="4" s="1"/>
  <c r="B38" i="16"/>
  <c r="C33" i="4" s="1"/>
  <c r="K38" i="16"/>
  <c r="L33" i="4" s="1"/>
  <c r="J38" i="16"/>
  <c r="K33" i="4" s="1"/>
  <c r="I38" i="16"/>
  <c r="J33" i="4" s="1"/>
  <c r="H38" i="16"/>
  <c r="I33" i="4" s="1"/>
  <c r="L38" i="16"/>
  <c r="M33" i="4" s="1"/>
  <c r="F38" i="16"/>
  <c r="G33" i="4" s="1"/>
  <c r="E38" i="16"/>
  <c r="F33" i="4" s="1"/>
  <c r="D38" i="16"/>
  <c r="E33" i="4" s="1"/>
  <c r="A38" i="16"/>
  <c r="B33" i="4" s="1"/>
  <c r="I38" i="9"/>
  <c r="J26" i="4" s="1"/>
  <c r="H38" i="17"/>
  <c r="I34" i="4" s="1"/>
  <c r="D38" i="17"/>
  <c r="E34" i="4" s="1"/>
  <c r="C38" i="17"/>
  <c r="D34" i="4" s="1"/>
  <c r="L38" i="17"/>
  <c r="M34" i="4" s="1"/>
  <c r="E38" i="17"/>
  <c r="F34" i="4" s="1"/>
  <c r="B38" i="17"/>
  <c r="C34" i="4" s="1"/>
  <c r="A38" i="17"/>
  <c r="B34" i="4" s="1"/>
  <c r="F38" i="17"/>
  <c r="G34" i="4" s="1"/>
  <c r="K38" i="17"/>
  <c r="L34" i="4" s="1"/>
  <c r="J38" i="17"/>
  <c r="K34" i="4" s="1"/>
  <c r="I38" i="17"/>
  <c r="J34" i="4" s="1"/>
  <c r="G38" i="17"/>
  <c r="H34" i="4" s="1"/>
  <c r="I23" i="18"/>
  <c r="H23" i="18"/>
  <c r="M23" i="18" s="1"/>
  <c r="N23" i="18" s="1"/>
  <c r="J38" i="9"/>
  <c r="K26" i="4" s="1"/>
  <c r="I38" i="6"/>
  <c r="J23" i="4" s="1"/>
  <c r="G38" i="6"/>
  <c r="H23" i="4" s="1"/>
  <c r="F38" i="6"/>
  <c r="G23" i="4" s="1"/>
  <c r="E38" i="6"/>
  <c r="F23" i="4" s="1"/>
  <c r="D38" i="6"/>
  <c r="E23" i="4" s="1"/>
  <c r="C38" i="6"/>
  <c r="D23" i="4" s="1"/>
  <c r="B38" i="6"/>
  <c r="C23" i="4" s="1"/>
  <c r="A38" i="6"/>
  <c r="B23" i="4" s="1"/>
  <c r="L38" i="6"/>
  <c r="M23" i="4" s="1"/>
  <c r="K38" i="6"/>
  <c r="L23" i="4" s="1"/>
  <c r="J38" i="6"/>
  <c r="K23" i="4" s="1"/>
  <c r="H38" i="6"/>
  <c r="I23" i="4" s="1"/>
  <c r="I23" i="16"/>
  <c r="H23" i="16"/>
  <c r="M23" i="16" s="1"/>
  <c r="N23" i="16" s="1"/>
  <c r="I22" i="15"/>
  <c r="K38" i="9"/>
  <c r="L26" i="4" s="1"/>
  <c r="F19" i="17"/>
  <c r="C38" i="12"/>
  <c r="D29" i="4" s="1"/>
  <c r="H38" i="12"/>
  <c r="I29" i="4" s="1"/>
  <c r="F38" i="12"/>
  <c r="G29" i="4" s="1"/>
  <c r="E38" i="12"/>
  <c r="F29" i="4" s="1"/>
  <c r="K38" i="12"/>
  <c r="L29" i="4" s="1"/>
  <c r="J38" i="12"/>
  <c r="K29" i="4" s="1"/>
  <c r="I38" i="12"/>
  <c r="J29" i="4" s="1"/>
  <c r="G38" i="12"/>
  <c r="H29" i="4" s="1"/>
  <c r="B38" i="12"/>
  <c r="C29" i="4" s="1"/>
  <c r="A38" i="12"/>
  <c r="B29" i="4" s="1"/>
  <c r="L38" i="12"/>
  <c r="M29" i="4" s="1"/>
  <c r="D38" i="12"/>
  <c r="E29" i="4" s="1"/>
  <c r="F38" i="15"/>
  <c r="G32" i="4" s="1"/>
  <c r="B38" i="15"/>
  <c r="C32" i="4" s="1"/>
  <c r="L38" i="15"/>
  <c r="M32" i="4" s="1"/>
  <c r="K38" i="15"/>
  <c r="L32" i="4" s="1"/>
  <c r="G38" i="15"/>
  <c r="H32" i="4" s="1"/>
  <c r="E38" i="15"/>
  <c r="F32" i="4" s="1"/>
  <c r="D38" i="15"/>
  <c r="E32" i="4" s="1"/>
  <c r="C38" i="15"/>
  <c r="D32" i="4" s="1"/>
  <c r="A38" i="15"/>
  <c r="B32" i="4" s="1"/>
  <c r="I38" i="15"/>
  <c r="J32" i="4" s="1"/>
  <c r="J38" i="7"/>
  <c r="K24" i="4" s="1"/>
  <c r="I38" i="7"/>
  <c r="J24" i="4" s="1"/>
  <c r="H38" i="7"/>
  <c r="I24" i="4" s="1"/>
  <c r="D38" i="7"/>
  <c r="E24" i="4" s="1"/>
  <c r="L38" i="7"/>
  <c r="M24" i="4" s="1"/>
  <c r="K38" i="7"/>
  <c r="L24" i="4" s="1"/>
  <c r="G38" i="7"/>
  <c r="H24" i="4" s="1"/>
  <c r="F38" i="7"/>
  <c r="G24" i="4" s="1"/>
  <c r="E38" i="7"/>
  <c r="F24" i="4" s="1"/>
  <c r="C38" i="7"/>
  <c r="D24" i="4" s="1"/>
  <c r="B38" i="7"/>
  <c r="C24" i="4" s="1"/>
  <c r="A38" i="7"/>
  <c r="B24" i="4" s="1"/>
  <c r="A38" i="9"/>
  <c r="B26" i="4" s="1"/>
  <c r="F18" i="17"/>
  <c r="D38" i="13"/>
  <c r="E30" i="4" s="1"/>
  <c r="F38" i="13"/>
  <c r="G30" i="4" s="1"/>
  <c r="E38" i="13"/>
  <c r="F30" i="4" s="1"/>
  <c r="C38" i="13"/>
  <c r="D30" i="4" s="1"/>
  <c r="B38" i="13"/>
  <c r="C30" i="4" s="1"/>
  <c r="L38" i="13"/>
  <c r="M30" i="4" s="1"/>
  <c r="J38" i="13"/>
  <c r="K30" i="4" s="1"/>
  <c r="I38" i="13"/>
  <c r="J30" i="4" s="1"/>
  <c r="H38" i="13"/>
  <c r="I30" i="4" s="1"/>
  <c r="G38" i="13"/>
  <c r="H30" i="4" s="1"/>
  <c r="A38" i="13"/>
  <c r="B30" i="4" s="1"/>
  <c r="K38" i="13"/>
  <c r="L30" i="4" s="1"/>
  <c r="B38" i="9"/>
  <c r="C26" i="4" s="1"/>
  <c r="L38" i="9"/>
  <c r="M26" i="4" s="1"/>
  <c r="F28" i="12"/>
  <c r="B38" i="20"/>
  <c r="C37" i="4" s="1"/>
  <c r="L38" i="20"/>
  <c r="M37" i="4" s="1"/>
  <c r="K38" i="20"/>
  <c r="L37" i="4" s="1"/>
  <c r="I38" i="20"/>
  <c r="J37" i="4" s="1"/>
  <c r="H38" i="20"/>
  <c r="I37" i="4" s="1"/>
  <c r="G38" i="20"/>
  <c r="H37" i="4" s="1"/>
  <c r="F38" i="20"/>
  <c r="G37" i="4" s="1"/>
  <c r="E38" i="20"/>
  <c r="F37" i="4" s="1"/>
  <c r="D38" i="20"/>
  <c r="E37" i="4" s="1"/>
  <c r="J38" i="20"/>
  <c r="K37" i="4" s="1"/>
  <c r="C38" i="20"/>
  <c r="D37" i="4" s="1"/>
  <c r="A38" i="20"/>
  <c r="B37" i="4" s="1"/>
  <c r="I38" i="18"/>
  <c r="J35" i="4" s="1"/>
  <c r="E38" i="18"/>
  <c r="F35" i="4" s="1"/>
  <c r="D38" i="18"/>
  <c r="E35" i="4" s="1"/>
  <c r="B38" i="18"/>
  <c r="C35" i="4" s="1"/>
  <c r="L38" i="18"/>
  <c r="M35" i="4" s="1"/>
  <c r="K38" i="18"/>
  <c r="L35" i="4" s="1"/>
  <c r="J38" i="18"/>
  <c r="K35" i="4" s="1"/>
  <c r="H38" i="18"/>
  <c r="I35" i="4" s="1"/>
  <c r="G38" i="18"/>
  <c r="H35" i="4" s="1"/>
  <c r="F38" i="18"/>
  <c r="G35" i="4" s="1"/>
  <c r="C38" i="18"/>
  <c r="D35" i="4" s="1"/>
  <c r="A38" i="18"/>
  <c r="B35" i="4" s="1"/>
  <c r="C38" i="9"/>
  <c r="D26" i="4" s="1"/>
  <c r="K38" i="11"/>
  <c r="L28" i="4" s="1"/>
  <c r="I38" i="11"/>
  <c r="J28" i="4" s="1"/>
  <c r="A38" i="11"/>
  <c r="B28" i="4" s="1"/>
  <c r="L38" i="11"/>
  <c r="M28" i="4" s="1"/>
  <c r="J38" i="11"/>
  <c r="K28" i="4" s="1"/>
  <c r="G38" i="11"/>
  <c r="H28" i="4" s="1"/>
  <c r="F38" i="11"/>
  <c r="G28" i="4" s="1"/>
  <c r="E38" i="11"/>
  <c r="F28" i="4" s="1"/>
  <c r="C38" i="11"/>
  <c r="D28" i="4" s="1"/>
  <c r="H38" i="11"/>
  <c r="I28" i="4" s="1"/>
  <c r="D38" i="11"/>
  <c r="E28" i="4" s="1"/>
  <c r="B38" i="11"/>
  <c r="C28" i="4" s="1"/>
  <c r="F18" i="11"/>
  <c r="F27" i="12"/>
  <c r="K38" i="8"/>
  <c r="L25" i="4" s="1"/>
  <c r="J38" i="8"/>
  <c r="K25" i="4" s="1"/>
  <c r="I38" i="8"/>
  <c r="J25" i="4" s="1"/>
  <c r="H38" i="8"/>
  <c r="I25" i="4" s="1"/>
  <c r="E38" i="8"/>
  <c r="F25" i="4" s="1"/>
  <c r="G38" i="8"/>
  <c r="H25" i="4" s="1"/>
  <c r="F38" i="8"/>
  <c r="G25" i="4" s="1"/>
  <c r="D38" i="8"/>
  <c r="E25" i="4" s="1"/>
  <c r="C38" i="8"/>
  <c r="D25" i="4" s="1"/>
  <c r="B38" i="8"/>
  <c r="C25" i="4" s="1"/>
  <c r="A38" i="8"/>
  <c r="B25" i="4" s="1"/>
  <c r="L38" i="8"/>
  <c r="M25" i="4" s="1"/>
  <c r="D38" i="9"/>
  <c r="E26" i="4" s="1"/>
  <c r="F16" i="11"/>
  <c r="F30" i="11"/>
  <c r="F16" i="17"/>
  <c r="H22" i="15"/>
  <c r="M22" i="15" s="1"/>
  <c r="N22" i="15" s="1"/>
  <c r="J38" i="15" s="1"/>
  <c r="K32" i="4" s="1"/>
  <c r="F29" i="12"/>
  <c r="H38" i="9"/>
  <c r="I26" i="4" s="1"/>
  <c r="F27" i="11"/>
  <c r="F17" i="10"/>
  <c r="F28" i="17"/>
  <c r="F19" i="16"/>
  <c r="E38" i="9"/>
  <c r="F26" i="4" s="1"/>
  <c r="F28" i="11"/>
  <c r="F19" i="11"/>
  <c r="E38" i="14"/>
  <c r="F31" i="4" s="1"/>
  <c r="L38" i="14"/>
  <c r="M31" i="4" s="1"/>
  <c r="D38" i="14"/>
  <c r="E31" i="4" s="1"/>
  <c r="C38" i="14"/>
  <c r="D31" i="4" s="1"/>
  <c r="B38" i="14"/>
  <c r="C31" i="4" s="1"/>
  <c r="A38" i="14"/>
  <c r="B31" i="4" s="1"/>
  <c r="K38" i="14"/>
  <c r="L31" i="4" s="1"/>
  <c r="J38" i="14"/>
  <c r="K31" i="4" s="1"/>
  <c r="I38" i="14"/>
  <c r="J31" i="4" s="1"/>
  <c r="H38" i="14"/>
  <c r="I31" i="4" s="1"/>
  <c r="G38" i="14"/>
  <c r="H31" i="4" s="1"/>
  <c r="F38" i="14"/>
  <c r="G31" i="4" s="1"/>
  <c r="I34" i="6"/>
  <c r="H34" i="6"/>
  <c r="M34" i="6" s="1"/>
  <c r="N34" i="6" s="1"/>
  <c r="F19" i="10"/>
  <c r="F17" i="11"/>
  <c r="F16" i="10"/>
  <c r="F17" i="17"/>
  <c r="F18" i="16"/>
  <c r="H38" i="15" l="1"/>
  <c r="I32" i="4" s="1"/>
  <c r="J6" i="4"/>
  <c r="I5" i="4"/>
  <c r="J7" i="4"/>
  <c r="I6" i="4"/>
  <c r="H5" i="4"/>
  <c r="I7" i="4"/>
  <c r="H6" i="4"/>
  <c r="G5" i="4"/>
  <c r="G6" i="4"/>
  <c r="H7" i="4"/>
  <c r="F5" i="4"/>
  <c r="G7" i="4"/>
  <c r="F6" i="4"/>
  <c r="E5" i="4"/>
  <c r="F7" i="4"/>
  <c r="E6" i="4"/>
  <c r="D5" i="4"/>
  <c r="E7" i="4"/>
  <c r="D6" i="4"/>
  <c r="C5" i="4"/>
  <c r="D7" i="4"/>
  <c r="C6" i="4"/>
  <c r="B5" i="4"/>
  <c r="C7" i="4"/>
  <c r="B6" i="4"/>
  <c r="A5" i="4"/>
  <c r="B7" i="4"/>
  <c r="A6" i="4"/>
  <c r="A7" i="4"/>
  <c r="J5" i="4"/>
  <c r="F15" i="4" l="1"/>
  <c r="F12" i="4"/>
  <c r="F14" i="4"/>
  <c r="F11" i="4"/>
</calcChain>
</file>

<file path=xl/sharedStrings.xml><?xml version="1.0" encoding="utf-8"?>
<sst xmlns="http://schemas.openxmlformats.org/spreadsheetml/2006/main" count="2151" uniqueCount="237">
  <si>
    <t>BBG OPTIONS MONITOR — 24 per-ticker tabs + BestNow ranking</t>
  </si>
  <si>
    <t>HOW TO USE — 30-second version</t>
  </si>
  <si>
    <t>1. Open on a Bloomberg workstation. Press F9 to refresh.</t>
  </si>
  <si>
    <t>2. Go to the BestNow tab. See the top 3 across the entire universe — even when nothing is perfect, it shows the 3 best-conditioned trades available right now, with sizing and exit prices.</t>
  </si>
  <si>
    <t>3. For details on any individual ticker, click its tab (SPY, XLK, GDX, etc.). Each tab analyses both Bull-Put spreads (upper block) and Bear-Call spreads (lower block) at the Front and Back expirations from Calendar.</t>
  </si>
  <si>
    <t>4. To analyse a DIFFERENT expiration or strike on any ticker — type the override on that ticker's tab in the PARAMETER OVERRIDES block. Blank = use default from Calendar. Everything recalculates.</t>
  </si>
  <si>
    <t>TABS</t>
  </si>
  <si>
    <t>README          — This page.</t>
  </si>
  <si>
    <t>Settings        — All tunables (account size, risk caps, gates, expiration offsets).</t>
  </si>
  <si>
    <t>Calendar        — Rolling third-Friday dates. Front_Exp/Back_Exp update automatically each month.</t>
  </si>
  <si>
    <t>BestNow         — TOP 3 trades across all 24 tickers. Decision cards with sizing + GO/WAIT signals.</t>
  </si>
  <si>
    <t>[Ticker tabs]   — 24 per-ticker analysis tabs (SPY, IWM, QQQ, XL_, GLD, GDX, TLT, XOP, EEM, FXI, EWZ, ...).</t>
  </si>
  <si>
    <t>PositionLog     — Track your real trades.</t>
  </si>
  <si>
    <t>WHAT EACH PER-TICKER TAB CONTAINS</t>
  </si>
  <si>
    <t>Row 1   — Title (ticker + description + bucket).</t>
  </si>
  <si>
    <t>Rows 3-4 — BDP_Underlying: spot + IV Rank. Field names live in row 3 (PX_LAST, IVOL_RANK); edit if needed.</t>
  </si>
  <si>
    <t>Rows 6-12 — PARAMETER OVERRIDES: blank = use default; type to override.</t>
  </si>
  <si>
    <t xml:space="preserve">    • Width ($)  — spread width. Default from build, override per ticker if Bloomberg has different strikes.</t>
  </si>
  <si>
    <t xml:space="preserve">    • Front Expiration — defaults to Calendar Front_Exp. Override with any date.</t>
  </si>
  <si>
    <t xml:space="preserve">    • Back Expiration — defaults to Calendar Back_Exp.</t>
  </si>
  <si>
    <t xml:space="preserve">    • BP Short Strike — default = spot × (1−OTM%) rounded to nearest width.</t>
  </si>
  <si>
    <t xml:space="preserve">    • BC Short Strike — default = spot × (1+OTM%) rounded to nearest width.</t>
  </si>
  <si>
    <t>Rows 14-23 — BULL PUT ANALYSIS (Front and Back). Upper section.</t>
  </si>
  <si>
    <t xml:space="preserve">    • BDP_Options block: 4 legs (BP Front Short/Long, BP Back Short/Long). Constructed BBG tickers visible.</t>
  </si>
  <si>
    <t xml:space="preserve">    • Spreads block: 2 rows with credit, max loss, POP, EV/MaxLoss, all 7 gates, and EntrySignal.</t>
  </si>
  <si>
    <t>Rows 25-34 — BEAR CALL ANALYSIS (Front and Back). Lower section, same structure.</t>
  </si>
  <si>
    <t>Rows 36-38 — TICKER SUMMARY: the best of the 4 spreads on this tab.</t>
  </si>
  <si>
    <t>HOW TO FIX A BAD TICKER OR DATE</t>
  </si>
  <si>
    <t>Per ticker, look at the BDP_Options block. The BBG_Ticker column shows exactly what's being queried.</t>
  </si>
  <si>
    <t>If it doesn't match a real BBG security: change the Width override (col C row 8), Front Exp override</t>
  </si>
  <si>
    <t>(col C row 9), Back Exp override (row 10), or the strike override (rows 11 / 12). Tickers rebuild automatically.</t>
  </si>
  <si>
    <t>HONEST RISK NOTE</t>
  </si>
  <si>
    <t>BestNow always shows '3 best amid current conditions' — even when none have ✓ GO. Read the Signal column. ✓ GO means all gates pass. ✗ WAIT - &lt;reason&gt; means at least one gate is failing — DO NOT TRADE those. The credit-spread max loss IS realized when it happens. This is a screener, not investment advice.</t>
  </si>
  <si>
    <t>SETTINGS — edit blue cells</t>
  </si>
  <si>
    <t>Account equity ($)</t>
  </si>
  <si>
    <t>Used by ¼-Kelly sizing.</t>
  </si>
  <si>
    <t>Trades per month target</t>
  </si>
  <si>
    <t>2–4 short-premium spreads + 1 hedge.</t>
  </si>
  <si>
    <t>Book risk cap ($)</t>
  </si>
  <si>
    <t>Total max loss across all open spreads.</t>
  </si>
  <si>
    <t>Max book as % of account</t>
  </si>
  <si>
    <t>Hard cap on book vs equity.</t>
  </si>
  <si>
    <t>Kelly fraction</t>
  </si>
  <si>
    <t>¼ Kelly. Don't go above 0.50.</t>
  </si>
  <si>
    <t>Min IV Rank to enter</t>
  </si>
  <si>
    <t>Don't sell premium when IV is cheap.</t>
  </si>
  <si>
    <t>Min credit/width ratio</t>
  </si>
  <si>
    <t>Skip thin trades.</t>
  </si>
  <si>
    <t>Min credit ($)</t>
  </si>
  <si>
    <t>Skip if mid credit below this.</t>
  </si>
  <si>
    <t>Max bid-ask % of mid</t>
  </si>
  <si>
    <t>Liquidity gate.</t>
  </si>
  <si>
    <t>Short-strike |delta| min</t>
  </si>
  <si>
    <t>If short delta outside this band, WAIT.</t>
  </si>
  <si>
    <t>Short-strike |delta| max</t>
  </si>
  <si>
    <t xml:space="preserve">                                       </t>
  </si>
  <si>
    <t>Entry DTE — minimum</t>
  </si>
  <si>
    <t>Don't open inside this floor.</t>
  </si>
  <si>
    <t>Entry DTE — maximum</t>
  </si>
  <si>
    <t>Don't open beyond this cap.</t>
  </si>
  <si>
    <t>Mandatory exit DTE</t>
  </si>
  <si>
    <t>Hard close (UBS 30-day hold rule).</t>
  </si>
  <si>
    <t>Take-profit (% of credit)</t>
  </si>
  <si>
    <t>Close at 50% of credit.</t>
  </si>
  <si>
    <t>Stop-loss × credit</t>
  </si>
  <si>
    <t>Cut when spread value reaches this × credit.</t>
  </si>
  <si>
    <t>Min strike buffer (% of spot)</t>
  </si>
  <si>
    <t>Skip if short strike within X% of spot.</t>
  </si>
  <si>
    <t>Hedge budget — % of book risk</t>
  </si>
  <si>
    <t>Cash for UVXY long calls.</t>
  </si>
  <si>
    <t>UVXY OTM %</t>
  </si>
  <si>
    <t>UVXY hedge call strike = spot × (1+this).</t>
  </si>
  <si>
    <t>Front expiration offset (months)</t>
  </si>
  <si>
    <t>Months from today to the FRONT 3rd-Friday.</t>
  </si>
  <si>
    <t>Back expiration offset (months)</t>
  </si>
  <si>
    <t>Months from today to the BACK 3rd-Friday.</t>
  </si>
  <si>
    <t>CALENDAR — third Fridays roll forward automatically from TODAY()</t>
  </si>
  <si>
    <t>Label</t>
  </si>
  <si>
    <t>Third_Friday</t>
  </si>
  <si>
    <t>DTE</t>
  </si>
  <si>
    <t>Note</t>
  </si>
  <si>
    <t>Today + 1 months → 3rd Fri</t>
  </si>
  <si>
    <t>Today + 2 months → 3rd Fri</t>
  </si>
  <si>
    <t>Today + 3 months → 3rd Fri</t>
  </si>
  <si>
    <t>Today + 4 months → 3rd Fri</t>
  </si>
  <si>
    <t>Today + 5 months → 3rd Fri</t>
  </si>
  <si>
    <t>SELECTED EXPIRATIONS (default for every ticker tab; can be overridden per ticker)</t>
  </si>
  <si>
    <t>Front_Exp (3rd Fri at +Front_Offset months)</t>
  </si>
  <si>
    <t>Back_Exp (3rd Fri at +Back_Offset months)</t>
  </si>
  <si>
    <t>BEST NOW — top 3 spreads + 1 UVXY hedge</t>
  </si>
  <si>
    <t>As of:</t>
  </si>
  <si>
    <t>Rank</t>
  </si>
  <si>
    <t>Ticker</t>
  </si>
  <si>
    <t>Strategy</t>
  </si>
  <si>
    <t>Exp</t>
  </si>
  <si>
    <t>Strikes (Short/Long)</t>
  </si>
  <si>
    <t>Credit</t>
  </si>
  <si>
    <t>MaxLoss</t>
  </si>
  <si>
    <t>Contracts</t>
  </si>
  <si>
    <t>Signal</t>
  </si>
  <si>
    <t>Action</t>
  </si>
  <si>
    <t>H</t>
  </si>
  <si>
    <t>UVXY</t>
  </si>
  <si>
    <t>Hedge</t>
  </si>
  <si>
    <t>—</t>
  </si>
  <si>
    <t>BOOK SUMMARY (top 3 spreads + hedge)</t>
  </si>
  <si>
    <t>Total credit if all 3 opened ($)</t>
  </si>
  <si>
    <t>Total max loss across 3 spreads ($)</t>
  </si>
  <si>
    <t>Hedge cost (UVXY)</t>
  </si>
  <si>
    <t>Net target this month (50% TP − hedge)</t>
  </si>
  <si>
    <t>% of account at risk (top 3)</t>
  </si>
  <si>
    <t>AGGREGATION TABLE — each ticker's best of 4 (row 38 on its tab)</t>
  </si>
  <si>
    <t>ExpLabel</t>
  </si>
  <si>
    <t>Short_K</t>
  </si>
  <si>
    <t>Long_K</t>
  </si>
  <si>
    <t>POP</t>
  </si>
  <si>
    <t>EV/Max</t>
  </si>
  <si>
    <t>Score</t>
  </si>
  <si>
    <t>SPY</t>
  </si>
  <si>
    <t>XLB</t>
  </si>
  <si>
    <t>XLC</t>
  </si>
  <si>
    <t>XLE</t>
  </si>
  <si>
    <t>XLF</t>
  </si>
  <si>
    <t>XLI</t>
  </si>
  <si>
    <t>XLK</t>
  </si>
  <si>
    <t>XLP</t>
  </si>
  <si>
    <t>XLRE</t>
  </si>
  <si>
    <t>XLU</t>
  </si>
  <si>
    <t>XLV</t>
  </si>
  <si>
    <t>XLY</t>
  </si>
  <si>
    <t>XOP</t>
  </si>
  <si>
    <t>GLD</t>
  </si>
  <si>
    <t>GDX</t>
  </si>
  <si>
    <t>EEM</t>
  </si>
  <si>
    <t>SPY — SPDR S&amp;P 500 (Broad US)</t>
  </si>
  <si>
    <t>Underlying</t>
  </si>
  <si>
    <t>BBG_Ticker</t>
  </si>
  <si>
    <t>PX_LAST</t>
  </si>
  <si>
    <t>IVOL_RANK</t>
  </si>
  <si>
    <t>Spot</t>
  </si>
  <si>
    <t>IVR</t>
  </si>
  <si>
    <t>SPY US Equity</t>
  </si>
  <si>
    <t>PARAMETER OVERRIDES — blank Override = use Default</t>
  </si>
  <si>
    <t>Parameter</t>
  </si>
  <si>
    <t>Default</t>
  </si>
  <si>
    <t>Override</t>
  </si>
  <si>
    <t>Effective</t>
  </si>
  <si>
    <t>Width ($)</t>
  </si>
  <si>
    <t>Front Expiration</t>
  </si>
  <si>
    <t>Back Expiration</t>
  </si>
  <si>
    <t>BP Short Strike ($)</t>
  </si>
  <si>
    <t>BC Short Strike ($)</t>
  </si>
  <si>
    <t>BULL PUT ANALYSIS — short put + long lower put</t>
  </si>
  <si>
    <t>Leg</t>
  </si>
  <si>
    <t>Type</t>
  </si>
  <si>
    <t>Strike</t>
  </si>
  <si>
    <t>Expiration</t>
  </si>
  <si>
    <t>BID</t>
  </si>
  <si>
    <t>ASK</t>
  </si>
  <si>
    <t>VOL_MEAN</t>
  </si>
  <si>
    <t>DELTA_MID_RT</t>
  </si>
  <si>
    <t>Mid</t>
  </si>
  <si>
    <t>BullPut</t>
  </si>
  <si>
    <t>Front Short</t>
  </si>
  <si>
    <t>P</t>
  </si>
  <si>
    <t>Front Long</t>
  </si>
  <si>
    <t>Back Short</t>
  </si>
  <si>
    <t>Back Long</t>
  </si>
  <si>
    <t>Exp_Label</t>
  </si>
  <si>
    <t>Width</t>
  </si>
  <si>
    <t>C/W</t>
  </si>
  <si>
    <t>BidAsk%</t>
  </si>
  <si>
    <t>Buffer%</t>
  </si>
  <si>
    <t>EV</t>
  </si>
  <si>
    <t>Front</t>
  </si>
  <si>
    <t>Back</t>
  </si>
  <si>
    <t>BEAR CALL ANALYSIS — short call + long higher call</t>
  </si>
  <si>
    <t>BearCall</t>
  </si>
  <si>
    <t>C</t>
  </si>
  <si>
    <t>TICKER SUMMARY — best spread on this tab</t>
  </si>
  <si>
    <t>BestStrategy</t>
  </si>
  <si>
    <t>BestExpLabel</t>
  </si>
  <si>
    <t>BestExp</t>
  </si>
  <si>
    <t>XLB — Materials (S&amp;P Sector)</t>
  </si>
  <si>
    <t>XLB US Equity</t>
  </si>
  <si>
    <t>XLC — Communications (S&amp;P Sector)</t>
  </si>
  <si>
    <t>XLC US Equity</t>
  </si>
  <si>
    <t>XLE — Energy (S&amp;P Sector)</t>
  </si>
  <si>
    <t>XLE US Equity</t>
  </si>
  <si>
    <t>XLF — Financials (S&amp;P Sector)</t>
  </si>
  <si>
    <t>XLF US Equity</t>
  </si>
  <si>
    <t>XLI — Industrials (S&amp;P Sector)</t>
  </si>
  <si>
    <t>XLI US Equity</t>
  </si>
  <si>
    <t>XLK — Technology (S&amp;P Sector)</t>
  </si>
  <si>
    <t>XLK US Equity</t>
  </si>
  <si>
    <t>XLP — Consumer Staples (S&amp;P Sector)</t>
  </si>
  <si>
    <t>XLP US Equity</t>
  </si>
  <si>
    <t>XLRE — Real Estate (S&amp;P Sector)</t>
  </si>
  <si>
    <t>XLRE US Equity</t>
  </si>
  <si>
    <t>XLU — Utilities (S&amp;P Sector)</t>
  </si>
  <si>
    <t>XLU US Equity</t>
  </si>
  <si>
    <t>XLV — Health Care (S&amp;P Sector)</t>
  </si>
  <si>
    <t>XLV US Equity</t>
  </si>
  <si>
    <t>XLY — Consumer Discretionary (S&amp;P Sector)</t>
  </si>
  <si>
    <t>XLY US Equity</t>
  </si>
  <si>
    <t>XOP — Oil &amp; Gas E&amp;P (Theme)</t>
  </si>
  <si>
    <t>XOP US Equity</t>
  </si>
  <si>
    <t>GLD — Gold (Theme)</t>
  </si>
  <si>
    <t>GLD US Equity</t>
  </si>
  <si>
    <t>GDX — Gold miners (Theme)</t>
  </si>
  <si>
    <t>GDX US Equity</t>
  </si>
  <si>
    <t>EEM — EM broad (iShares) (EM)</t>
  </si>
  <si>
    <t>EEM US Equity</t>
  </si>
  <si>
    <t>UVXY — 1.5x VIX short-term (HEDGE only — long OTM calls, not spreads)</t>
  </si>
  <si>
    <t>UVXY US Equity</t>
  </si>
  <si>
    <t>Hedge Expiration</t>
  </si>
  <si>
    <t>OTM % above spot</t>
  </si>
  <si>
    <t>Call Strike ($)</t>
  </si>
  <si>
    <t>UVXY HEDGE CALL — single long-call leg</t>
  </si>
  <si>
    <t>Long</t>
  </si>
  <si>
    <t>HEDGE SIZING</t>
  </si>
  <si>
    <t>Hedge cash budget ($)</t>
  </si>
  <si>
    <t>Cash spent on UVXY calls.</t>
  </si>
  <si>
    <t>Contracts to buy</t>
  </si>
  <si>
    <t>Floor(budget / mid×100).</t>
  </si>
  <si>
    <t>Total cost ($)</t>
  </si>
  <si>
    <t>Should be ≈ the budget.</t>
  </si>
  <si>
    <t>POSITION LOG — Status: Open / Closed.</t>
  </si>
  <si>
    <t>Open_Date</t>
  </si>
  <si>
    <t>Credit_per</t>
  </si>
  <si>
    <t>Total_Credit</t>
  </si>
  <si>
    <t>Max_Loss_per</t>
  </si>
  <si>
    <t>Total_MaxLoss</t>
  </si>
  <si>
    <t>Status</t>
  </si>
  <si>
    <t>Close_Date</t>
  </si>
  <si>
    <t>Realized_PnL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</si>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</sst>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\$#,##0"/>
    <numFmt numFmtId="165" formatCode="\$0.00"/>
    <numFmt numFmtId="166" formatCode="0.0"/>
    <numFmt numFmtId="167" formatCode="m/d/yyyy\ ddd"/>
    <numFmt numFmtId="168" formatCode="dddd&quot;, &quot;mmm\ d&quot;, &quot;yyyy"/>
    <numFmt numFmtId="169" formatCode="m/d/yyyy"/>
    <numFmt numFmtId="170" formatCode="0.0%"/>
    <numFmt numFmtId="171" formatCode="\$#,##0.00"/>
    <numFmt numFmtId="172" formatCode="0.000"/>
    <numFmt numFmtId="173" formatCode="\$0"/>
    <numFmt numFmtId="174" formatCode="yyyy\-mm\-dd"/>
  </numFmts>
  <fonts count="7" x14ac:knownFonts="1">
    <font>
      <sz val="11"/>
      <color theme="1"/>
      <name val="Calibri"/>
      <family val="2"/>
      <charset val="1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rgb="FF0000FF"/>
      <name val="Calibri"/>
      <family val="2"/>
    </font>
    <font>
      <i/>
      <sz val="11"/>
      <color rgb="FF595959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6EFCE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5" fillId="0" borderId="1" xfId="0" applyFont="1" applyBorder="1" applyAlignment="1">
      <alignment horizontal="left" vertical="center" wrapText="1"/>
    </xf>
    <xf numFmtId="170" fontId="6" fillId="0" borderId="1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68" fontId="6" fillId="0" borderId="0" xfId="0" applyNumberFormat="1" applyFont="1"/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3" fillId="4" borderId="0" xfId="0" applyFont="1" applyFill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166" fontId="4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7" fontId="6" fillId="0" borderId="1" xfId="0" applyNumberFormat="1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/>
    <xf numFmtId="169" fontId="6" fillId="0" borderId="1" xfId="0" applyNumberFormat="1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170" fontId="6" fillId="0" borderId="1" xfId="0" applyNumberFormat="1" applyFont="1" applyBorder="1" applyAlignment="1">
      <alignment horizontal="center" vertical="center" wrapText="1"/>
    </xf>
    <xf numFmtId="171" fontId="6" fillId="0" borderId="1" xfId="0" applyNumberFormat="1" applyFont="1" applyBorder="1" applyAlignment="1">
      <alignment horizontal="center" vertical="center" wrapText="1"/>
    </xf>
    <xf numFmtId="172" fontId="6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73" fontId="6" fillId="0" borderId="1" xfId="0" applyNumberFormat="1" applyFont="1" applyBorder="1" applyAlignment="1">
      <alignment horizontal="center" vertical="center" wrapText="1"/>
    </xf>
    <xf numFmtId="173" fontId="4" fillId="0" borderId="1" xfId="0" applyNumberFormat="1" applyFont="1" applyBorder="1" applyAlignment="1">
      <alignment horizontal="center" vertical="center" wrapText="1"/>
    </xf>
    <xf numFmtId="169" fontId="4" fillId="0" borderId="1" xfId="0" applyNumberFormat="1" applyFont="1" applyBorder="1" applyAlignment="1">
      <alignment horizontal="center" vertical="center" wrapText="1"/>
    </xf>
    <xf numFmtId="171" fontId="4" fillId="0" borderId="1" xfId="0" applyNumberFormat="1" applyFont="1" applyBorder="1" applyAlignment="1">
      <alignment horizontal="center" vertical="center" wrapText="1"/>
    </xf>
    <xf numFmtId="169" fontId="3" fillId="0" borderId="1" xfId="0" applyNumberFormat="1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9" fontId="6" fillId="0" borderId="1" xfId="0" applyNumberFormat="1" applyFont="1" applyBorder="1" applyAlignment="1">
      <alignment horizontal="center" vertical="center" wrapText="1"/>
    </xf>
    <xf numFmtId="171" fontId="3" fillId="0" borderId="1" xfId="0" applyNumberFormat="1" applyFont="1" applyBorder="1" applyAlignment="1">
      <alignment horizontal="center" vertical="center" wrapText="1"/>
    </xf>
    <xf numFmtId="174" fontId="4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99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8"/>
  <sheetViews>
    <sheetView showGridLines="0" zoomScaleNormal="100" workbookViewId="0"/>
  </sheetViews>
  <sheetFormatPr baseColWidth="10" defaultColWidth="8.6640625" defaultRowHeight="15" x14ac:dyDescent="0.2"/>
  <cols>
    <col min="1" max="1" width="120" customWidth="1"/>
  </cols>
  <sheetData>
    <row r="1" spans="1:1" ht="21.75" customHeight="1" x14ac:dyDescent="0.2">
      <c r="A1" s="7" t="s">
        <v>0</v>
      </c>
    </row>
    <row r="2" spans="1:1" ht="18" customHeight="1" x14ac:dyDescent="0.2">
      <c r="A2" s="8"/>
    </row>
    <row r="3" spans="1:1" ht="21.75" customHeight="1" x14ac:dyDescent="0.2">
      <c r="A3" s="9" t="s">
        <v>1</v>
      </c>
    </row>
    <row r="4" spans="1:1" ht="18" customHeight="1" x14ac:dyDescent="0.2">
      <c r="A4" s="8" t="s">
        <v>2</v>
      </c>
    </row>
    <row r="5" spans="1:1" ht="18" customHeight="1" x14ac:dyDescent="0.2">
      <c r="A5" s="8" t="s">
        <v>3</v>
      </c>
    </row>
    <row r="6" spans="1:1" ht="18" customHeight="1" x14ac:dyDescent="0.2">
      <c r="A6" s="8" t="s">
        <v>4</v>
      </c>
    </row>
    <row r="7" spans="1:1" ht="18" customHeight="1" x14ac:dyDescent="0.2">
      <c r="A7" s="8" t="s">
        <v>5</v>
      </c>
    </row>
    <row r="8" spans="1:1" ht="18" customHeight="1" x14ac:dyDescent="0.2">
      <c r="A8" s="8"/>
    </row>
    <row r="9" spans="1:1" ht="21.75" customHeight="1" x14ac:dyDescent="0.2">
      <c r="A9" s="9" t="s">
        <v>6</v>
      </c>
    </row>
    <row r="10" spans="1:1" ht="18" customHeight="1" x14ac:dyDescent="0.2">
      <c r="A10" s="8" t="s">
        <v>7</v>
      </c>
    </row>
    <row r="11" spans="1:1" ht="18" customHeight="1" x14ac:dyDescent="0.2">
      <c r="A11" s="8" t="s">
        <v>8</v>
      </c>
    </row>
    <row r="12" spans="1:1" ht="18" customHeight="1" x14ac:dyDescent="0.2">
      <c r="A12" s="8" t="s">
        <v>9</v>
      </c>
    </row>
    <row r="13" spans="1:1" ht="18" customHeight="1" x14ac:dyDescent="0.2">
      <c r="A13" s="8" t="s">
        <v>10</v>
      </c>
    </row>
    <row r="14" spans="1:1" ht="18" customHeight="1" x14ac:dyDescent="0.2">
      <c r="A14" s="8" t="s">
        <v>11</v>
      </c>
    </row>
    <row r="15" spans="1:1" ht="18" customHeight="1" x14ac:dyDescent="0.2">
      <c r="A15" s="8" t="s">
        <v>12</v>
      </c>
    </row>
    <row r="16" spans="1:1" ht="18" customHeight="1" x14ac:dyDescent="0.2">
      <c r="A16" s="8"/>
    </row>
    <row r="17" spans="1:1" ht="21.75" customHeight="1" x14ac:dyDescent="0.2">
      <c r="A17" s="9" t="s">
        <v>13</v>
      </c>
    </row>
    <row r="18" spans="1:1" ht="18" customHeight="1" x14ac:dyDescent="0.2">
      <c r="A18" s="8" t="s">
        <v>14</v>
      </c>
    </row>
    <row r="19" spans="1:1" ht="18" customHeight="1" x14ac:dyDescent="0.2">
      <c r="A19" s="8" t="s">
        <v>15</v>
      </c>
    </row>
    <row r="20" spans="1:1" ht="18" customHeight="1" x14ac:dyDescent="0.2">
      <c r="A20" s="8" t="s">
        <v>16</v>
      </c>
    </row>
    <row r="21" spans="1:1" ht="18" customHeight="1" x14ac:dyDescent="0.2">
      <c r="A21" s="8" t="s">
        <v>17</v>
      </c>
    </row>
    <row r="22" spans="1:1" ht="18" customHeight="1" x14ac:dyDescent="0.2">
      <c r="A22" s="8" t="s">
        <v>18</v>
      </c>
    </row>
    <row r="23" spans="1:1" ht="18" customHeight="1" x14ac:dyDescent="0.2">
      <c r="A23" s="8" t="s">
        <v>19</v>
      </c>
    </row>
    <row r="24" spans="1:1" ht="18" customHeight="1" x14ac:dyDescent="0.2">
      <c r="A24" s="8" t="s">
        <v>20</v>
      </c>
    </row>
    <row r="25" spans="1:1" ht="18" customHeight="1" x14ac:dyDescent="0.2">
      <c r="A25" s="8" t="s">
        <v>21</v>
      </c>
    </row>
    <row r="26" spans="1:1" ht="18" customHeight="1" x14ac:dyDescent="0.2">
      <c r="A26" s="8" t="s">
        <v>22</v>
      </c>
    </row>
    <row r="27" spans="1:1" ht="18" customHeight="1" x14ac:dyDescent="0.2">
      <c r="A27" s="8" t="s">
        <v>23</v>
      </c>
    </row>
    <row r="28" spans="1:1" ht="18" customHeight="1" x14ac:dyDescent="0.2">
      <c r="A28" s="8" t="s">
        <v>24</v>
      </c>
    </row>
    <row r="29" spans="1:1" ht="18" customHeight="1" x14ac:dyDescent="0.2">
      <c r="A29" s="8" t="s">
        <v>25</v>
      </c>
    </row>
    <row r="30" spans="1:1" ht="18" customHeight="1" x14ac:dyDescent="0.2">
      <c r="A30" s="8" t="s">
        <v>26</v>
      </c>
    </row>
    <row r="31" spans="1:1" ht="18" customHeight="1" x14ac:dyDescent="0.2">
      <c r="A31" s="8"/>
    </row>
    <row r="32" spans="1:1" ht="21.75" customHeight="1" x14ac:dyDescent="0.2">
      <c r="A32" s="9" t="s">
        <v>27</v>
      </c>
    </row>
    <row r="33" spans="1:1" ht="18" customHeight="1" x14ac:dyDescent="0.2">
      <c r="A33" s="8" t="s">
        <v>28</v>
      </c>
    </row>
    <row r="34" spans="1:1" ht="18" customHeight="1" x14ac:dyDescent="0.2">
      <c r="A34" s="8" t="s">
        <v>29</v>
      </c>
    </row>
    <row r="35" spans="1:1" ht="18" customHeight="1" x14ac:dyDescent="0.2">
      <c r="A35" s="8" t="s">
        <v>30</v>
      </c>
    </row>
    <row r="36" spans="1:1" ht="18" customHeight="1" x14ac:dyDescent="0.2">
      <c r="A36" s="8"/>
    </row>
    <row r="37" spans="1:1" ht="21.75" customHeight="1" x14ac:dyDescent="0.2">
      <c r="A37" s="10" t="s">
        <v>31</v>
      </c>
    </row>
    <row r="38" spans="1:1" ht="18" customHeight="1" x14ac:dyDescent="0.2">
      <c r="A38" s="8" t="s">
        <v>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"/>
  <sheetViews>
    <sheetView showGridLines="0" zoomScaleNormal="100" workbookViewId="0">
      <pane ySplit="1" topLeftCell="A2" activePane="bottomLeft" state="frozen"/>
      <selection pane="bottomLeft" sqref="A1:C1"/>
    </sheetView>
  </sheetViews>
  <sheetFormatPr baseColWidth="10" defaultColWidth="8.6640625" defaultRowHeight="15" x14ac:dyDescent="0.2"/>
  <cols>
    <col min="1" max="1" width="42" customWidth="1"/>
    <col min="2" max="2" width="16" customWidth="1"/>
    <col min="3" max="3" width="60" customWidth="1"/>
  </cols>
  <sheetData>
    <row r="1" spans="1:3" ht="15" customHeight="1" x14ac:dyDescent="0.2">
      <c r="A1" s="6" t="s">
        <v>33</v>
      </c>
      <c r="B1" s="6"/>
      <c r="C1" s="6"/>
    </row>
    <row r="3" spans="1:3" ht="16" x14ac:dyDescent="0.2">
      <c r="A3" s="11" t="s">
        <v>34</v>
      </c>
      <c r="B3" s="12">
        <v>50000</v>
      </c>
      <c r="C3" s="13" t="s">
        <v>35</v>
      </c>
    </row>
    <row r="4" spans="1:3" ht="16" x14ac:dyDescent="0.2">
      <c r="A4" s="11" t="s">
        <v>36</v>
      </c>
      <c r="B4" s="14">
        <v>3</v>
      </c>
      <c r="C4" s="13" t="s">
        <v>37</v>
      </c>
    </row>
    <row r="5" spans="1:3" ht="16" x14ac:dyDescent="0.2">
      <c r="A5" s="11" t="s">
        <v>38</v>
      </c>
      <c r="B5" s="12">
        <v>5500</v>
      </c>
      <c r="C5" s="13" t="s">
        <v>39</v>
      </c>
    </row>
    <row r="6" spans="1:3" ht="16" x14ac:dyDescent="0.2">
      <c r="A6" s="11" t="s">
        <v>40</v>
      </c>
      <c r="B6" s="15">
        <v>0.12</v>
      </c>
      <c r="C6" s="13" t="s">
        <v>41</v>
      </c>
    </row>
    <row r="7" spans="1:3" ht="16" x14ac:dyDescent="0.2">
      <c r="A7" s="11" t="s">
        <v>42</v>
      </c>
      <c r="B7" s="16">
        <v>0.25</v>
      </c>
      <c r="C7" s="13" t="s">
        <v>43</v>
      </c>
    </row>
    <row r="8" spans="1:3" ht="16" x14ac:dyDescent="0.2">
      <c r="A8" s="11" t="s">
        <v>44</v>
      </c>
      <c r="B8" s="14">
        <v>30</v>
      </c>
      <c r="C8" s="13" t="s">
        <v>45</v>
      </c>
    </row>
    <row r="9" spans="1:3" ht="16" x14ac:dyDescent="0.2">
      <c r="A9" s="11" t="s">
        <v>46</v>
      </c>
      <c r="B9" s="15">
        <v>0.1</v>
      </c>
      <c r="C9" s="13" t="s">
        <v>47</v>
      </c>
    </row>
    <row r="10" spans="1:3" ht="16" x14ac:dyDescent="0.2">
      <c r="A10" s="11" t="s">
        <v>48</v>
      </c>
      <c r="B10" s="17">
        <v>0.3</v>
      </c>
      <c r="C10" s="13" t="s">
        <v>49</v>
      </c>
    </row>
    <row r="11" spans="1:3" ht="16" x14ac:dyDescent="0.2">
      <c r="A11" s="11" t="s">
        <v>50</v>
      </c>
      <c r="B11" s="15">
        <v>0.1</v>
      </c>
      <c r="C11" s="13" t="s">
        <v>51</v>
      </c>
    </row>
    <row r="12" spans="1:3" ht="16" x14ac:dyDescent="0.2">
      <c r="A12" s="11" t="s">
        <v>52</v>
      </c>
      <c r="B12" s="16">
        <v>0.15</v>
      </c>
      <c r="C12" s="13" t="s">
        <v>53</v>
      </c>
    </row>
    <row r="13" spans="1:3" ht="16" x14ac:dyDescent="0.2">
      <c r="A13" s="11" t="s">
        <v>54</v>
      </c>
      <c r="B13" s="16">
        <v>0.25</v>
      </c>
      <c r="C13" s="13" t="s">
        <v>55</v>
      </c>
    </row>
    <row r="14" spans="1:3" ht="16" x14ac:dyDescent="0.2">
      <c r="A14" s="11" t="s">
        <v>56</v>
      </c>
      <c r="B14" s="14">
        <v>60</v>
      </c>
      <c r="C14" s="13" t="s">
        <v>57</v>
      </c>
    </row>
    <row r="15" spans="1:3" ht="16" x14ac:dyDescent="0.2">
      <c r="A15" s="11" t="s">
        <v>58</v>
      </c>
      <c r="B15" s="14">
        <v>120</v>
      </c>
      <c r="C15" s="13" t="s">
        <v>59</v>
      </c>
    </row>
    <row r="16" spans="1:3" ht="16" x14ac:dyDescent="0.2">
      <c r="A16" s="11" t="s">
        <v>60</v>
      </c>
      <c r="B16" s="14">
        <v>60</v>
      </c>
      <c r="C16" s="13" t="s">
        <v>61</v>
      </c>
    </row>
    <row r="17" spans="1:3" ht="16" x14ac:dyDescent="0.2">
      <c r="A17" s="11" t="s">
        <v>62</v>
      </c>
      <c r="B17" s="15">
        <v>0.5</v>
      </c>
      <c r="C17" s="13" t="s">
        <v>63</v>
      </c>
    </row>
    <row r="18" spans="1:3" ht="16" x14ac:dyDescent="0.2">
      <c r="A18" s="11" t="s">
        <v>64</v>
      </c>
      <c r="B18" s="18">
        <v>2</v>
      </c>
      <c r="C18" s="13" t="s">
        <v>65</v>
      </c>
    </row>
    <row r="19" spans="1:3" ht="16" x14ac:dyDescent="0.2">
      <c r="A19" s="11" t="s">
        <v>66</v>
      </c>
      <c r="B19" s="15">
        <v>0.03</v>
      </c>
      <c r="C19" s="13" t="s">
        <v>67</v>
      </c>
    </row>
    <row r="20" spans="1:3" ht="16" x14ac:dyDescent="0.2">
      <c r="A20" s="11" t="s">
        <v>68</v>
      </c>
      <c r="B20" s="15">
        <v>0.08</v>
      </c>
      <c r="C20" s="13" t="s">
        <v>69</v>
      </c>
    </row>
    <row r="21" spans="1:3" ht="16" x14ac:dyDescent="0.2">
      <c r="A21" s="11" t="s">
        <v>70</v>
      </c>
      <c r="B21" s="15">
        <v>0.3</v>
      </c>
      <c r="C21" s="13" t="s">
        <v>71</v>
      </c>
    </row>
    <row r="22" spans="1:3" ht="16" x14ac:dyDescent="0.2">
      <c r="A22" s="11" t="s">
        <v>72</v>
      </c>
      <c r="B22" s="14">
        <v>2</v>
      </c>
      <c r="C22" s="13" t="s">
        <v>73</v>
      </c>
    </row>
    <row r="23" spans="1:3" ht="16" x14ac:dyDescent="0.2">
      <c r="A23" s="11" t="s">
        <v>74</v>
      </c>
      <c r="B23" s="14">
        <v>3</v>
      </c>
      <c r="C23" s="13" t="s">
        <v>75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showGridLines="0" zoomScaleNormal="100" workbookViewId="0">
      <pane ySplit="3" topLeftCell="A4" activePane="bottomLeft" state="frozen"/>
      <selection pane="bottomLeft" sqref="A1:D1"/>
    </sheetView>
  </sheetViews>
  <sheetFormatPr baseColWidth="10" defaultColWidth="8.6640625" defaultRowHeight="15" x14ac:dyDescent="0.2"/>
  <cols>
    <col min="1" max="1" width="22" customWidth="1"/>
    <col min="2" max="2" width="16" customWidth="1"/>
    <col min="3" max="3" width="10" customWidth="1"/>
    <col min="4" max="4" width="22" customWidth="1"/>
  </cols>
  <sheetData>
    <row r="1" spans="1:4" ht="15" customHeight="1" x14ac:dyDescent="0.2">
      <c r="A1" s="6" t="s">
        <v>76</v>
      </c>
      <c r="B1" s="6"/>
      <c r="C1" s="6"/>
      <c r="D1" s="6"/>
    </row>
    <row r="3" spans="1:4" ht="16" x14ac:dyDescent="0.2">
      <c r="A3" s="19" t="s">
        <v>77</v>
      </c>
      <c r="B3" s="19" t="s">
        <v>78</v>
      </c>
      <c r="C3" s="19" t="s">
        <v>79</v>
      </c>
      <c r="D3" s="19" t="s">
        <v>80</v>
      </c>
    </row>
    <row r="4" spans="1:4" ht="16" x14ac:dyDescent="0.2">
      <c r="A4" s="20" t="s">
        <v>81</v>
      </c>
      <c r="B4" s="21">
        <f ca="1">DATE(YEAR(EDATE(TODAY(),1)),MONTH(EDATE(TODAY(),1)),1)+MOD(5-WEEKDAY(DATE(YEAR(EDATE(TODAY(),1)),MONTH(EDATE(TODAY(),1)),1),2)+7,7)+14</f>
        <v>46192</v>
      </c>
      <c r="C4" s="22">
        <f ca="1">B4-TODAY()</f>
        <v>39</v>
      </c>
      <c r="D4" s="23" t="str">
        <f ca="1">IF(AND(C4&gt;=Settings!$B$14,C4&lt;=Settings!$B$15),"in 60-120 window","outside window")</f>
        <v>outside window</v>
      </c>
    </row>
    <row r="5" spans="1:4" ht="16" x14ac:dyDescent="0.2">
      <c r="A5" s="20" t="s">
        <v>82</v>
      </c>
      <c r="B5" s="21">
        <f ca="1">DATE(YEAR(EDATE(TODAY(),2)),MONTH(EDATE(TODAY(),2)),1)+MOD(5-WEEKDAY(DATE(YEAR(EDATE(TODAY(),2)),MONTH(EDATE(TODAY(),2)),1),2)+7,7)+14</f>
        <v>46220</v>
      </c>
      <c r="C5" s="22">
        <f ca="1">B5-TODAY()</f>
        <v>67</v>
      </c>
      <c r="D5" s="23" t="str">
        <f ca="1">IF(AND(C5&gt;=Settings!$B$14,C5&lt;=Settings!$B$15),"in 60-120 window","outside window")</f>
        <v>in 60-120 window</v>
      </c>
    </row>
    <row r="6" spans="1:4" ht="16" x14ac:dyDescent="0.2">
      <c r="A6" s="20" t="s">
        <v>83</v>
      </c>
      <c r="B6" s="21">
        <f ca="1">DATE(YEAR(EDATE(TODAY(),3)),MONTH(EDATE(TODAY(),3)),1)+MOD(5-WEEKDAY(DATE(YEAR(EDATE(TODAY(),3)),MONTH(EDATE(TODAY(),3)),1),2)+7,7)+14</f>
        <v>46255</v>
      </c>
      <c r="C6" s="22">
        <f ca="1">B6-TODAY()</f>
        <v>102</v>
      </c>
      <c r="D6" s="23" t="str">
        <f ca="1">IF(AND(C6&gt;=Settings!$B$14,C6&lt;=Settings!$B$15),"in 60-120 window","outside window")</f>
        <v>in 60-120 window</v>
      </c>
    </row>
    <row r="7" spans="1:4" ht="16" x14ac:dyDescent="0.2">
      <c r="A7" s="20" t="s">
        <v>84</v>
      </c>
      <c r="B7" s="21">
        <f ca="1">DATE(YEAR(EDATE(TODAY(),4)),MONTH(EDATE(TODAY(),4)),1)+MOD(5-WEEKDAY(DATE(YEAR(EDATE(TODAY(),4)),MONTH(EDATE(TODAY(),4)),1),2)+7,7)+14</f>
        <v>46283</v>
      </c>
      <c r="C7" s="22">
        <f ca="1">B7-TODAY()</f>
        <v>130</v>
      </c>
      <c r="D7" s="23" t="str">
        <f ca="1">IF(AND(C7&gt;=Settings!$B$14,C7&lt;=Settings!$B$15),"in 60-120 window","outside window")</f>
        <v>outside window</v>
      </c>
    </row>
    <row r="8" spans="1:4" ht="16" x14ac:dyDescent="0.2">
      <c r="A8" s="20" t="s">
        <v>85</v>
      </c>
      <c r="B8" s="21">
        <f ca="1">DATE(YEAR(EDATE(TODAY(),5)),MONTH(EDATE(TODAY(),5)),1)+MOD(5-WEEKDAY(DATE(YEAR(EDATE(TODAY(),5)),MONTH(EDATE(TODAY(),5)),1),2)+7,7)+14</f>
        <v>46311</v>
      </c>
      <c r="C8" s="22">
        <f ca="1">B8-TODAY()</f>
        <v>158</v>
      </c>
      <c r="D8" s="23" t="str">
        <f ca="1">IF(AND(C8&gt;=Settings!$B$14,C8&lt;=Settings!$B$15),"in 60-120 window","outside window")</f>
        <v>outside window</v>
      </c>
    </row>
    <row r="10" spans="1:4" ht="23.75" customHeight="1" x14ac:dyDescent="0.2">
      <c r="A10" s="6" t="s">
        <v>86</v>
      </c>
      <c r="B10" s="6"/>
      <c r="C10" s="6"/>
      <c r="D10" s="6"/>
    </row>
    <row r="11" spans="1:4" ht="32" x14ac:dyDescent="0.2">
      <c r="A11" s="20" t="s">
        <v>87</v>
      </c>
      <c r="B11" s="21">
        <f ca="1">DATE(YEAR(EDATE(TODAY(),Settings!$B$22)),MONTH(EDATE(TODAY(),Settings!$B$22)),1)+MOD(5-WEEKDAY(DATE(YEAR(EDATE(TODAY(),Settings!$B$22)),MONTH(EDATE(TODAY(),Settings!$B$22)),1),2)+7,7)+14</f>
        <v>46220</v>
      </c>
      <c r="C11" s="22">
        <f ca="1">B11-TODAY()</f>
        <v>67</v>
      </c>
    </row>
    <row r="12" spans="1:4" ht="32" x14ac:dyDescent="0.2">
      <c r="A12" s="20" t="s">
        <v>88</v>
      </c>
      <c r="B12" s="21">
        <f ca="1">DATE(YEAR(EDATE(TODAY(),Settings!$B$23)),MONTH(EDATE(TODAY(),Settings!$B$23)),1)+MOD(5-WEEKDAY(DATE(YEAR(EDATE(TODAY(),Settings!$B$23)),MONTH(EDATE(TODAY(),Settings!$B$23)),1),2)+7,7)+14</f>
        <v>46255</v>
      </c>
      <c r="C12" s="22">
        <f ca="1">B12-TODAY()</f>
        <v>102</v>
      </c>
    </row>
  </sheetData>
  <mergeCells count="2">
    <mergeCell ref="A1:D1"/>
    <mergeCell ref="A10:D1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showGridLines="0" zoomScaleNormal="100" workbookViewId="0">
      <pane ySplit="4" topLeftCell="A5" activePane="bottomLeft" state="frozen"/>
      <selection pane="bottomLeft" activeCell="A29" sqref="A29"/>
    </sheetView>
  </sheetViews>
  <sheetFormatPr baseColWidth="10" defaultColWidth="8.6640625" defaultRowHeight="15" x14ac:dyDescent="0.2"/>
  <cols>
    <col min="1" max="1" width="5" customWidth="1"/>
    <col min="2" max="2" width="8" customWidth="1"/>
    <col min="3" max="3" width="10" customWidth="1"/>
    <col min="4" max="4" width="11" customWidth="1"/>
    <col min="5" max="5" width="13" customWidth="1"/>
    <col min="6" max="6" width="9" customWidth="1"/>
    <col min="7" max="8" width="10" customWidth="1"/>
    <col min="9" max="9" width="14" customWidth="1"/>
    <col min="10" max="10" width="60" customWidth="1"/>
  </cols>
  <sheetData>
    <row r="1" spans="1:10" ht="25.5" customHeight="1" x14ac:dyDescent="0.2">
      <c r="A1" s="6" t="s">
        <v>89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2">
      <c r="A2" s="24" t="s">
        <v>90</v>
      </c>
      <c r="B2" s="5">
        <f ca="1">TODAY()</f>
        <v>46153</v>
      </c>
      <c r="C2" s="5"/>
      <c r="D2" s="5"/>
    </row>
    <row r="4" spans="1:10" ht="32" x14ac:dyDescent="0.2">
      <c r="A4" s="19" t="s">
        <v>91</v>
      </c>
      <c r="B4" s="19" t="s">
        <v>92</v>
      </c>
      <c r="C4" s="19" t="s">
        <v>93</v>
      </c>
      <c r="D4" s="19" t="s">
        <v>94</v>
      </c>
      <c r="E4" s="19" t="s">
        <v>95</v>
      </c>
      <c r="F4" s="19" t="s">
        <v>96</v>
      </c>
      <c r="G4" s="19" t="s">
        <v>97</v>
      </c>
      <c r="H4" s="19" t="s">
        <v>98</v>
      </c>
      <c r="I4" s="19" t="s">
        <v>99</v>
      </c>
      <c r="J4" s="19" t="s">
        <v>100</v>
      </c>
    </row>
    <row r="5" spans="1:10" ht="31.5" customHeight="1" x14ac:dyDescent="0.2">
      <c r="A5" s="22" t="str">
        <f ca="1">IF((LARGE($M$22:$M$37,1)&gt;-100000000),1,"")</f>
        <v/>
      </c>
      <c r="B5" s="23" t="str">
        <f ca="1">IF((LARGE($M$22:$M$37,1)&gt;-100000000),INDEX($A$22:$A$37,MATCH(LARGE($M$22:$M$37,1),$M$22:$M$37,0)),"")</f>
        <v/>
      </c>
      <c r="C5" s="23" t="str">
        <f ca="1">IF((LARGE($M$22:$M$37,1)&gt;-100000000),INDEX($B$22:$B$37,MATCH(LARGE($M$22:$M$37,1),$M$22:$M$37,0)),"")</f>
        <v/>
      </c>
      <c r="D5" s="25" t="str">
        <f ca="1">IF((LARGE($M$22:$M$37,1)&gt;-100000000),INDEX($D$22:$D$37,MATCH(LARGE($M$22:$M$37,1),$M$22:$M$37,0)),"")</f>
        <v/>
      </c>
      <c r="E5" s="23" t="str">
        <f ca="1">IF((LARGE($M$22:$M$37,1)&gt;-100000000),TEXT(INDEX($F$22:$F$37,MATCH(LARGE($M$22:$M$37,1),$M$22:$M$37,0)),"$0")&amp;"  /  "&amp;TEXT(INDEX($G$22:$G$37,MATCH(LARGE($M$22:$M$37,1),$M$22:$M$37,0)),"$0"),"")</f>
        <v/>
      </c>
      <c r="F5" s="26" t="str">
        <f ca="1">IF((LARGE($M$22:$M$37,1)&gt;-100000000),INDEX($H$22:$H$37,MATCH(LARGE($M$22:$M$37,1),$M$22:$M$37,0)),"")</f>
        <v/>
      </c>
      <c r="G5" s="26" t="str">
        <f ca="1">IF((LARGE($M$22:$M$37,1)&gt;-100000000),INDEX($I$22:$I$37,MATCH(LARGE($M$22:$M$37,1),$M$22:$M$37,0)),"")</f>
        <v/>
      </c>
      <c r="H5" s="22" t="str">
        <f ca="1">IF((LARGE($M$22:$M$37,1)&gt;-100000000),IFERROR(IF(INDEX($I$22:$I$37,MATCH(LARGE($M$22:$M$37,1),$M$22:$M$37,0))&gt;0,FLOOR(MIN(MIN(Settings!$B$5,Settings!$B$6*Settings!$B$3)/Settings!$B$4,IFERROR(MAX(0, INDEX($J$22:$J$37,MATCH(LARGE($M$22:$M$37,1),$M$22:$M$37,0)) - (1-INDEX($J$22:$J$37,MATCH(LARGE($M$22:$M$37,1),$M$22:$M$37,0))) / (INDEX($H$22:$H$37,MATCH(LARGE($M$22:$M$37,1),$M$22:$M$37,0))/INDEX($I$22:$I$37,MATCH(LARGE($M$22:$M$37,1),$M$22:$M$37,0))))*Settings!$B$7*Settings!$B$3,0))/(INDEX($I$22:$I$37,MATCH(LARGE($M$22:$M$37,1),$M$22:$M$37,0))*100),1),0),0),"")</f>
        <v/>
      </c>
      <c r="I5" s="23" t="str">
        <f ca="1">IF((LARGE($M$22:$M$37,1)&gt;-100000000),INDEX($L$22:$L$37,MATCH(LARGE($M$22:$M$37,1),$M$22:$M$37,0)),"")</f>
        <v/>
      </c>
      <c r="J5" s="27" t="str">
        <f ca="1">IF((LARGE($M$22:$M$37,1)&gt;-100000000),IF(INDEX($L$22:$L$37,MATCH(LARGE($M$22:$M$37,1),$M$22:$M$37,0))="GO","SELL "&amp;TEXT(IFERROR(IF(INDEX($I$22:$I$37,MATCH(LARGE($M$22:$M$37,1),$M$22:$M$37,0))&gt;0,FLOOR(MIN(MIN(Settings!$B$5,Settings!$B$6*Settings!$B$3)/Settings!$B$4,IFERROR(MAX(0, INDEX($J$22:$J$37,MATCH(LARGE($M$22:$M$37,1),$M$22:$M$37,0)) - (1-INDEX($J$22:$J$37,MATCH(LARGE($M$22:$M$37,1),$M$22:$M$37,0))) / (INDEX($H$22:$H$37,MATCH(LARGE($M$22:$M$37,1),$M$22:$M$37,0))/INDEX($I$22:$I$37,MATCH(LARGE($M$22:$M$37,1),$M$22:$M$37,0))))*Settings!$B$7*Settings!$B$3,0))/(INDEX($I$22:$I$37,MATCH(LARGE($M$22:$M$37,1),$M$22:$M$37,0))*100),1),0),0),"0")&amp;" "&amp;INDEX($A$22:$A$37,MATCH(LARGE($M$22:$M$37,1),$M$22:$M$37,0))&amp;" "&amp;INDEX($B$22:$B$37,MATCH(LARGE($M$22:$M$37,1),$M$22:$M$37,0))&amp;" "&amp;TEXT(INDEX($F$22:$F$37,MATCH(LARGE($M$22:$M$37,1),$M$22:$M$37,0)),"$0")&amp;"/"&amp;TEXT(INDEX($G$22:$G$37,MATCH(LARGE($M$22:$M$37,1),$M$22:$M$37,0)),"$0")&amp;" exp "&amp;TEXT(INDEX($D$22:$D$37,MATCH(LARGE($M$22:$M$37,1),$M$22:$M$37,0)),"m/d")&amp;".  Collect "&amp;TEXT(IFERROR(IF(INDEX($I$22:$I$37,MATCH(LARGE($M$22:$M$37,1),$M$22:$M$37,0))&gt;0,FLOOR(MIN(MIN(Settings!$B$5,Settings!$B$6*Settings!$B$3)/Settings!$B$4,IFERROR(MAX(0, INDEX($J$22:$J$37,MATCH(LARGE($M$22:$M$37,1),$M$22:$M$37,0)) - (1-INDEX($J$22:$J$37,MATCH(LARGE($M$22:$M$37,1),$M$22:$M$37,0))) / (INDEX($H$22:$H$37,MATCH(LARGE($M$22:$M$37,1),$M$22:$M$37,0))/INDEX($I$22:$I$37,MATCH(LARGE($M$22:$M$37,1),$M$22:$M$37,0))))*Settings!$B$7*Settings!$B$3,0))/(INDEX($I$22:$I$37,MATCH(LARGE($M$22:$M$37,1),$M$22:$M$37,0))*100),1),0),0)*INDEX($H$22:$H$37,MATCH(LARGE($M$22:$M$37,1),$M$22:$M$37,0))*100,"$#,##0")&amp;"  upfront.  Max loss "&amp;TEXT(IFERROR(IF(INDEX($I$22:$I$37,MATCH(LARGE($M$22:$M$37,1),$M$22:$M$37,0))&gt;0,FLOOR(MIN(MIN(Settings!$B$5,Settings!$B$6*Settings!$B$3)/Settings!$B$4,IFERROR(MAX(0, INDEX($J$22:$J$37,MATCH(LARGE($M$22:$M$37,1),$M$22:$M$37,0)) - (1-INDEX($J$22:$J$37,MATCH(LARGE($M$22:$M$37,1),$M$22:$M$37,0))) / (INDEX($H$22:$H$37,MATCH(LARGE($M$22:$M$37,1),$M$22:$M$37,0))/INDEX($I$22:$I$37,MATCH(LARGE($M$22:$M$37,1),$M$22:$M$37,0))))*Settings!$B$7*Settings!$B$3,0))/(INDEX($I$22:$I$37,MATCH(LARGE($M$22:$M$37,1),$M$22:$M$37,0))*100),1),0),0)*INDEX($I$22:$I$37,MATCH(LARGE($M$22:$M$37,1),$M$22:$M$37,0))*100,"$#,##0")&amp;".","Best of universe, but "&amp;INDEX($L$22:$L$37,MATCH(LARGE($M$22:$M$37,1),$M$22:$M$37,0))&amp;". Wait for the gate to clear — see the "&amp;INDEX($A$22:$A$37,MATCH(LARGE($M$22:$M$37,1),$M$22:$M$37,0))&amp;" tab for details."),"")</f>
        <v/>
      </c>
    </row>
    <row r="6" spans="1:10" ht="31.5" customHeight="1" x14ac:dyDescent="0.2">
      <c r="A6" s="22" t="str">
        <f ca="1">IF((LARGE($M$22:$M$37,2)&gt;-100000000),2,"")</f>
        <v/>
      </c>
      <c r="B6" s="23" t="str">
        <f ca="1">IF((LARGE($M$22:$M$37,2)&gt;-100000000),INDEX($A$22:$A$37,MATCH(LARGE($M$22:$M$37,2),$M$22:$M$37,0)),"")</f>
        <v/>
      </c>
      <c r="C6" s="23" t="str">
        <f ca="1">IF((LARGE($M$22:$M$37,2)&gt;-100000000),INDEX($B$22:$B$37,MATCH(LARGE($M$22:$M$37,2),$M$22:$M$37,0)),"")</f>
        <v/>
      </c>
      <c r="D6" s="25" t="str">
        <f ca="1">IF((LARGE($M$22:$M$37,2)&gt;-100000000),INDEX($D$22:$D$37,MATCH(LARGE($M$22:$M$37,2),$M$22:$M$37,0)),"")</f>
        <v/>
      </c>
      <c r="E6" s="23" t="str">
        <f ca="1">IF((LARGE($M$22:$M$37,2)&gt;-100000000),TEXT(INDEX($F$22:$F$37,MATCH(LARGE($M$22:$M$37,2),$M$22:$M$37,0)),"$0")&amp;"  /  "&amp;TEXT(INDEX($G$22:$G$37,MATCH(LARGE($M$22:$M$37,2),$M$22:$M$37,0)),"$0"),"")</f>
        <v/>
      </c>
      <c r="F6" s="26" t="str">
        <f ca="1">IF((LARGE($M$22:$M$37,2)&gt;-100000000),INDEX($H$22:$H$37,MATCH(LARGE($M$22:$M$37,2),$M$22:$M$37,0)),"")</f>
        <v/>
      </c>
      <c r="G6" s="26" t="str">
        <f ca="1">IF((LARGE($M$22:$M$37,2)&gt;-100000000),INDEX($I$22:$I$37,MATCH(LARGE($M$22:$M$37,2),$M$22:$M$37,0)),"")</f>
        <v/>
      </c>
      <c r="H6" s="22" t="str">
        <f ca="1">IF((LARGE($M$22:$M$37,2)&gt;-100000000),IFERROR(IF(INDEX($I$22:$I$37,MATCH(LARGE($M$22:$M$37,2),$M$22:$M$37,0))&gt;0,FLOOR(MIN(MIN(Settings!$B$5,Settings!$B$6*Settings!$B$3)/Settings!$B$4,IFERROR(MAX(0, INDEX($J$22:$J$37,MATCH(LARGE($M$22:$M$37,2),$M$22:$M$37,0)) - (1-INDEX($J$22:$J$37,MATCH(LARGE($M$22:$M$37,2),$M$22:$M$37,0))) / (INDEX($H$22:$H$37,MATCH(LARGE($M$22:$M$37,2),$M$22:$M$37,0))/INDEX($I$22:$I$37,MATCH(LARGE($M$22:$M$37,2),$M$22:$M$37,0))))*Settings!$B$7*Settings!$B$3,0))/(INDEX($I$22:$I$37,MATCH(LARGE($M$22:$M$37,2),$M$22:$M$37,0))*100),1),0),0),"")</f>
        <v/>
      </c>
      <c r="I6" s="23" t="str">
        <f ca="1">IF((LARGE($M$22:$M$37,2)&gt;-100000000),INDEX($L$22:$L$37,MATCH(LARGE($M$22:$M$37,2),$M$22:$M$37,0)),"")</f>
        <v/>
      </c>
      <c r="J6" s="27" t="str">
        <f ca="1">IF((LARGE($M$22:$M$37,2)&gt;-100000000),IF(INDEX($L$22:$L$37,MATCH(LARGE($M$22:$M$37,2),$M$22:$M$37,0))="GO","SELL "&amp;TEXT(IFERROR(IF(INDEX($I$22:$I$37,MATCH(LARGE($M$22:$M$37,2),$M$22:$M$37,0))&gt;0,FLOOR(MIN(MIN(Settings!$B$5,Settings!$B$6*Settings!$B$3)/Settings!$B$4,IFERROR(MAX(0, INDEX($J$22:$J$37,MATCH(LARGE($M$22:$M$37,2),$M$22:$M$37,0)) - (1-INDEX($J$22:$J$37,MATCH(LARGE($M$22:$M$37,2),$M$22:$M$37,0))) / (INDEX($H$22:$H$37,MATCH(LARGE($M$22:$M$37,2),$M$22:$M$37,0))/INDEX($I$22:$I$37,MATCH(LARGE($M$22:$M$37,2),$M$22:$M$37,0))))*Settings!$B$7*Settings!$B$3,0))/(INDEX($I$22:$I$37,MATCH(LARGE($M$22:$M$37,2),$M$22:$M$37,0))*100),1),0),0),"0")&amp;" "&amp;INDEX($A$22:$A$37,MATCH(LARGE($M$22:$M$37,2),$M$22:$M$37,0))&amp;" "&amp;INDEX($B$22:$B$37,MATCH(LARGE($M$22:$M$37,2),$M$22:$M$37,0))&amp;" "&amp;TEXT(INDEX($F$22:$F$37,MATCH(LARGE($M$22:$M$37,2),$M$22:$M$37,0)),"$0")&amp;"/"&amp;TEXT(INDEX($G$22:$G$37,MATCH(LARGE($M$22:$M$37,2),$M$22:$M$37,0)),"$0")&amp;" exp "&amp;TEXT(INDEX($D$22:$D$37,MATCH(LARGE($M$22:$M$37,2),$M$22:$M$37,0)),"m/d")&amp;".  Collect "&amp;TEXT(IFERROR(IF(INDEX($I$22:$I$37,MATCH(LARGE($M$22:$M$37,2),$M$22:$M$37,0))&gt;0,FLOOR(MIN(MIN(Settings!$B$5,Settings!$B$6*Settings!$B$3)/Settings!$B$4,IFERROR(MAX(0, INDEX($J$22:$J$37,MATCH(LARGE($M$22:$M$37,2),$M$22:$M$37,0)) - (1-INDEX($J$22:$J$37,MATCH(LARGE($M$22:$M$37,2),$M$22:$M$37,0))) / (INDEX($H$22:$H$37,MATCH(LARGE($M$22:$M$37,2),$M$22:$M$37,0))/INDEX($I$22:$I$37,MATCH(LARGE($M$22:$M$37,2),$M$22:$M$37,0))))*Settings!$B$7*Settings!$B$3,0))/(INDEX($I$22:$I$37,MATCH(LARGE($M$22:$M$37,2),$M$22:$M$37,0))*100),1),0),0)*INDEX($H$22:$H$37,MATCH(LARGE($M$22:$M$37,2),$M$22:$M$37,0))*100,"$#,##0")&amp;"  upfront.  Max loss "&amp;TEXT(IFERROR(IF(INDEX($I$22:$I$37,MATCH(LARGE($M$22:$M$37,2),$M$22:$M$37,0))&gt;0,FLOOR(MIN(MIN(Settings!$B$5,Settings!$B$6*Settings!$B$3)/Settings!$B$4,IFERROR(MAX(0, INDEX($J$22:$J$37,MATCH(LARGE($M$22:$M$37,2),$M$22:$M$37,0)) - (1-INDEX($J$22:$J$37,MATCH(LARGE($M$22:$M$37,2),$M$22:$M$37,0))) / (INDEX($H$22:$H$37,MATCH(LARGE($M$22:$M$37,2),$M$22:$M$37,0))/INDEX($I$22:$I$37,MATCH(LARGE($M$22:$M$37,2),$M$22:$M$37,0))))*Settings!$B$7*Settings!$B$3,0))/(INDEX($I$22:$I$37,MATCH(LARGE($M$22:$M$37,2),$M$22:$M$37,0))*100),1),0),0)*INDEX($I$22:$I$37,MATCH(LARGE($M$22:$M$37,2),$M$22:$M$37,0))*100,"$#,##0")&amp;".","Best of universe, but "&amp;INDEX($L$22:$L$37,MATCH(LARGE($M$22:$M$37,2),$M$22:$M$37,0))&amp;". Wait for the gate to clear — see the "&amp;INDEX($A$22:$A$37,MATCH(LARGE($M$22:$M$37,2),$M$22:$M$37,0))&amp;" tab for details."),"")</f>
        <v/>
      </c>
    </row>
    <row r="7" spans="1:10" ht="31.5" customHeight="1" x14ac:dyDescent="0.2">
      <c r="A7" s="22" t="str">
        <f ca="1">IF((LARGE($M$22:$M$37,3)&gt;-100000000),3,"")</f>
        <v/>
      </c>
      <c r="B7" s="23" t="str">
        <f ca="1">IF((LARGE($M$22:$M$37,3)&gt;-100000000),INDEX($A$22:$A$37,MATCH(LARGE($M$22:$M$37,3),$M$22:$M$37,0)),"")</f>
        <v/>
      </c>
      <c r="C7" s="23" t="str">
        <f ca="1">IF((LARGE($M$22:$M$37,3)&gt;-100000000),INDEX($B$22:$B$37,MATCH(LARGE($M$22:$M$37,3),$M$22:$M$37,0)),"")</f>
        <v/>
      </c>
      <c r="D7" s="25" t="str">
        <f ca="1">IF((LARGE($M$22:$M$37,3)&gt;-100000000),INDEX($D$22:$D$37,MATCH(LARGE($M$22:$M$37,3),$M$22:$M$37,0)),"")</f>
        <v/>
      </c>
      <c r="E7" s="23" t="str">
        <f ca="1">IF((LARGE($M$22:$M$37,3)&gt;-100000000),TEXT(INDEX($F$22:$F$37,MATCH(LARGE($M$22:$M$37,3),$M$22:$M$37,0)),"$0")&amp;"  /  "&amp;TEXT(INDEX($G$22:$G$37,MATCH(LARGE($M$22:$M$37,3),$M$22:$M$37,0)),"$0"),"")</f>
        <v/>
      </c>
      <c r="F7" s="26" t="str">
        <f ca="1">IF((LARGE($M$22:$M$37,3)&gt;-100000000),INDEX($H$22:$H$37,MATCH(LARGE($M$22:$M$37,3),$M$22:$M$37,0)),"")</f>
        <v/>
      </c>
      <c r="G7" s="26" t="str">
        <f ca="1">IF((LARGE($M$22:$M$37,3)&gt;-100000000),INDEX($I$22:$I$37,MATCH(LARGE($M$22:$M$37,3),$M$22:$M$37,0)),"")</f>
        <v/>
      </c>
      <c r="H7" s="22" t="str">
        <f ca="1">IF((LARGE($M$22:$M$37,3)&gt;-100000000),IFERROR(IF(INDEX($I$22:$I$37,MATCH(LARGE($M$22:$M$37,3),$M$22:$M$37,0))&gt;0,FLOOR(MIN(MIN(Settings!$B$5,Settings!$B$6*Settings!$B$3)/Settings!$B$4,IFERROR(MAX(0, INDEX($J$22:$J$37,MATCH(LARGE($M$22:$M$37,3),$M$22:$M$37,0)) - (1-INDEX($J$22:$J$37,MATCH(LARGE($M$22:$M$37,3),$M$22:$M$37,0))) / (INDEX($H$22:$H$37,MATCH(LARGE($M$22:$M$37,3),$M$22:$M$37,0))/INDEX($I$22:$I$37,MATCH(LARGE($M$22:$M$37,3),$M$22:$M$37,0))))*Settings!$B$7*Settings!$B$3,0))/(INDEX($I$22:$I$37,MATCH(LARGE($M$22:$M$37,3),$M$22:$M$37,0))*100),1),0),0),"")</f>
        <v/>
      </c>
      <c r="I7" s="23" t="str">
        <f ca="1">IF((LARGE($M$22:$M$37,3)&gt;-100000000),INDEX($L$22:$L$37,MATCH(LARGE($M$22:$M$37,3),$M$22:$M$37,0)),"")</f>
        <v/>
      </c>
      <c r="J7" s="27" t="str">
        <f ca="1">IF((LARGE($M$22:$M$37,3)&gt;-100000000),IF(INDEX($L$22:$L$37,MATCH(LARGE($M$22:$M$37,3),$M$22:$M$37,0))="GO","SELL "&amp;TEXT(IFERROR(IF(INDEX($I$22:$I$37,MATCH(LARGE($M$22:$M$37,3),$M$22:$M$37,0))&gt;0,FLOOR(MIN(MIN(Settings!$B$5,Settings!$B$6*Settings!$B$3)/Settings!$B$4,IFERROR(MAX(0, INDEX($J$22:$J$37,MATCH(LARGE($M$22:$M$37,3),$M$22:$M$37,0)) - (1-INDEX($J$22:$J$37,MATCH(LARGE($M$22:$M$37,3),$M$22:$M$37,0))) / (INDEX($H$22:$H$37,MATCH(LARGE($M$22:$M$37,3),$M$22:$M$37,0))/INDEX($I$22:$I$37,MATCH(LARGE($M$22:$M$37,3),$M$22:$M$37,0))))*Settings!$B$7*Settings!$B$3,0))/(INDEX($I$22:$I$37,MATCH(LARGE($M$22:$M$37,3),$M$22:$M$37,0))*100),1),0),0),"0")&amp;" "&amp;INDEX($A$22:$A$37,MATCH(LARGE($M$22:$M$37,3),$M$22:$M$37,0))&amp;" "&amp;INDEX($B$22:$B$37,MATCH(LARGE($M$22:$M$37,3),$M$22:$M$37,0))&amp;" "&amp;TEXT(INDEX($F$22:$F$37,MATCH(LARGE($M$22:$M$37,3),$M$22:$M$37,0)),"$0")&amp;"/"&amp;TEXT(INDEX($G$22:$G$37,MATCH(LARGE($M$22:$M$37,3),$M$22:$M$37,0)),"$0")&amp;" exp "&amp;TEXT(INDEX($D$22:$D$37,MATCH(LARGE($M$22:$M$37,3),$M$22:$M$37,0)),"m/d")&amp;".  Collect "&amp;TEXT(IFERROR(IF(INDEX($I$22:$I$37,MATCH(LARGE($M$22:$M$37,3),$M$22:$M$37,0))&gt;0,FLOOR(MIN(MIN(Settings!$B$5,Settings!$B$6*Settings!$B$3)/Settings!$B$4,IFERROR(MAX(0, INDEX($J$22:$J$37,MATCH(LARGE($M$22:$M$37,3),$M$22:$M$37,0)) - (1-INDEX($J$22:$J$37,MATCH(LARGE($M$22:$M$37,3),$M$22:$M$37,0))) / (INDEX($H$22:$H$37,MATCH(LARGE($M$22:$M$37,3),$M$22:$M$37,0))/INDEX($I$22:$I$37,MATCH(LARGE($M$22:$M$37,3),$M$22:$M$37,0))))*Settings!$B$7*Settings!$B$3,0))/(INDEX($I$22:$I$37,MATCH(LARGE($M$22:$M$37,3),$M$22:$M$37,0))*100),1),0),0)*INDEX($H$22:$H$37,MATCH(LARGE($M$22:$M$37,3),$M$22:$M$37,0))*100,"$#,##0")&amp;"  upfront.  Max loss "&amp;TEXT(IFERROR(IF(INDEX($I$22:$I$37,MATCH(LARGE($M$22:$M$37,3),$M$22:$M$37,0))&gt;0,FLOOR(MIN(MIN(Settings!$B$5,Settings!$B$6*Settings!$B$3)/Settings!$B$4,IFERROR(MAX(0, INDEX($J$22:$J$37,MATCH(LARGE($M$22:$M$37,3),$M$22:$M$37,0)) - (1-INDEX($J$22:$J$37,MATCH(LARGE($M$22:$M$37,3),$M$22:$M$37,0))) / (INDEX($H$22:$H$37,MATCH(LARGE($M$22:$M$37,3),$M$22:$M$37,0))/INDEX($I$22:$I$37,MATCH(LARGE($M$22:$M$37,3),$M$22:$M$37,0))))*Settings!$B$7*Settings!$B$3,0))/(INDEX($I$22:$I$37,MATCH(LARGE($M$22:$M$37,3),$M$22:$M$37,0))*100),1),0),0)*INDEX($I$22:$I$37,MATCH(LARGE($M$22:$M$37,3),$M$22:$M$37,0))*100,"$#,##0")&amp;".","Best of universe, but "&amp;INDEX($L$22:$L$37,MATCH(LARGE($M$22:$M$37,3),$M$22:$M$37,0))&amp;". Wait for the gate to clear — see the "&amp;INDEX($A$22:$A$37,MATCH(LARGE($M$22:$M$37,3),$M$22:$M$37,0))&amp;" tab for details."),"")</f>
        <v/>
      </c>
    </row>
    <row r="8" spans="1:10" ht="31.5" customHeight="1" x14ac:dyDescent="0.2">
      <c r="A8" s="23" t="s">
        <v>101</v>
      </c>
      <c r="B8" s="23" t="s">
        <v>102</v>
      </c>
      <c r="C8" s="23" t="s">
        <v>103</v>
      </c>
      <c r="D8" s="25">
        <f ca="1">UVXY!$D$8</f>
        <v>46220</v>
      </c>
      <c r="E8" s="23" t="str">
        <f ca="1">TEXT(UVXY!$D$10,"$0")&amp;" call (long)"</f>
        <v>$0 call (long)</v>
      </c>
      <c r="F8" s="23" t="s">
        <v>104</v>
      </c>
      <c r="G8" s="26">
        <f ca="1">UVXY!$L$14</f>
        <v>0</v>
      </c>
      <c r="H8" s="22">
        <f ca="1">UVXY!$B$18</f>
        <v>0</v>
      </c>
      <c r="I8" s="23" t="str">
        <f ca="1">IF(UVXY!$L$14&gt;0,"BUY","WAIT")</f>
        <v>WAIT</v>
      </c>
      <c r="J8" s="27" t="str">
        <f ca="1">IF(UVXY!$L$14&gt;0,"BUY "&amp;TEXT(UVXY!$B$18,"0")&amp;" UVXY "&amp;TEXT(UVXY!$D$10,"$0")&amp;" calls exp "&amp;TEXT(UVXY!$D$8,"m/d")&amp;".  Total cost  "&amp;TEXT(UVXY!$B$19,"$#,##0")&amp;".","Wait — no UVXY quote.")</f>
        <v>Wait — no UVXY quote.</v>
      </c>
    </row>
    <row r="10" spans="1:10" ht="15" customHeight="1" x14ac:dyDescent="0.2">
      <c r="A10" s="6" t="s">
        <v>105</v>
      </c>
      <c r="B10" s="6"/>
      <c r="C10" s="6"/>
      <c r="D10" s="6"/>
      <c r="E10" s="6"/>
      <c r="F10" s="6"/>
      <c r="G10" s="6"/>
      <c r="H10" s="6"/>
      <c r="I10" s="6"/>
      <c r="J10" s="6"/>
    </row>
    <row r="11" spans="1:10" ht="15" customHeight="1" x14ac:dyDescent="0.2">
      <c r="A11" s="4" t="s">
        <v>106</v>
      </c>
      <c r="B11" s="4"/>
      <c r="C11" s="4"/>
      <c r="D11" s="4"/>
      <c r="E11" s="4"/>
      <c r="F11" s="3">
        <f ca="1">IFERROR(SUMPRODUCT(F5:F7,H5:H7)*100,0)</f>
        <v>0</v>
      </c>
      <c r="G11" s="3"/>
      <c r="H11" s="3"/>
      <c r="I11" s="3"/>
      <c r="J11" s="3"/>
    </row>
    <row r="12" spans="1:10" ht="15" customHeight="1" x14ac:dyDescent="0.2">
      <c r="A12" s="4" t="s">
        <v>107</v>
      </c>
      <c r="B12" s="4"/>
      <c r="C12" s="4"/>
      <c r="D12" s="4"/>
      <c r="E12" s="4"/>
      <c r="F12" s="3">
        <f ca="1">IFERROR(SUMPRODUCT(G5:G7,H5:H7)*100,0)</f>
        <v>0</v>
      </c>
      <c r="G12" s="3"/>
      <c r="H12" s="3"/>
      <c r="I12" s="3"/>
      <c r="J12" s="3"/>
    </row>
    <row r="13" spans="1:10" ht="15" customHeight="1" x14ac:dyDescent="0.2">
      <c r="A13" s="4" t="s">
        <v>108</v>
      </c>
      <c r="B13" s="4"/>
      <c r="C13" s="4"/>
      <c r="D13" s="4"/>
      <c r="E13" s="4"/>
      <c r="F13" s="3">
        <f ca="1">IFERROR(UVXY!$B$19,0)</f>
        <v>0</v>
      </c>
      <c r="G13" s="3"/>
      <c r="H13" s="3"/>
      <c r="I13" s="3"/>
      <c r="J13" s="3"/>
    </row>
    <row r="14" spans="1:10" ht="15" customHeight="1" x14ac:dyDescent="0.2">
      <c r="A14" s="4" t="s">
        <v>109</v>
      </c>
      <c r="B14" s="4"/>
      <c r="C14" s="4"/>
      <c r="D14" s="4"/>
      <c r="E14" s="4"/>
      <c r="F14" s="3">
        <f ca="1">IFERROR(SUMPRODUCT(F5:F7,H5:H7)*100*0.5 - UVXY!$B$19,0)</f>
        <v>0</v>
      </c>
      <c r="G14" s="3"/>
      <c r="H14" s="3"/>
      <c r="I14" s="3"/>
      <c r="J14" s="3"/>
    </row>
    <row r="15" spans="1:10" ht="15" customHeight="1" x14ac:dyDescent="0.2">
      <c r="A15" s="4" t="s">
        <v>110</v>
      </c>
      <c r="B15" s="4"/>
      <c r="C15" s="4"/>
      <c r="D15" s="4"/>
      <c r="E15" s="4"/>
      <c r="F15" s="2">
        <f ca="1">IFERROR(SUMPRODUCT(G5:G7,H5:H7)*100/Settings!$B$3,0)</f>
        <v>0</v>
      </c>
      <c r="G15" s="2"/>
      <c r="H15" s="2"/>
      <c r="I15" s="2"/>
      <c r="J15" s="2"/>
    </row>
    <row r="20" spans="1:13" ht="15" customHeight="1" x14ac:dyDescent="0.2">
      <c r="A20" s="6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  <row r="21" spans="1:13" ht="32" x14ac:dyDescent="0.2">
      <c r="A21" s="19" t="s">
        <v>92</v>
      </c>
      <c r="B21" s="19" t="s">
        <v>93</v>
      </c>
      <c r="C21" s="19" t="s">
        <v>112</v>
      </c>
      <c r="D21" s="19" t="s">
        <v>94</v>
      </c>
      <c r="E21" s="19" t="s">
        <v>79</v>
      </c>
      <c r="F21" s="19" t="s">
        <v>113</v>
      </c>
      <c r="G21" s="19" t="s">
        <v>114</v>
      </c>
      <c r="H21" s="19" t="s">
        <v>96</v>
      </c>
      <c r="I21" s="19" t="s">
        <v>97</v>
      </c>
      <c r="J21" s="19" t="s">
        <v>115</v>
      </c>
      <c r="K21" s="19" t="s">
        <v>116</v>
      </c>
      <c r="L21" s="19" t="s">
        <v>99</v>
      </c>
      <c r="M21" s="19" t="s">
        <v>117</v>
      </c>
    </row>
    <row r="22" spans="1:13" ht="32" x14ac:dyDescent="0.2">
      <c r="A22" s="23" t="s">
        <v>118</v>
      </c>
      <c r="B22" s="23" t="str">
        <f ca="1">SPY!$A$38</f>
        <v>BullPut</v>
      </c>
      <c r="C22" s="23" t="str">
        <f ca="1">SPY!$B$38</f>
        <v>Front</v>
      </c>
      <c r="D22" s="25">
        <f ca="1">SPY!$C$38</f>
        <v>46220</v>
      </c>
      <c r="E22" s="22">
        <f ca="1">SPY!$D$38</f>
        <v>67</v>
      </c>
      <c r="F22" s="30">
        <f ca="1">SPY!$E$38</f>
        <v>0</v>
      </c>
      <c r="G22" s="30">
        <f ca="1">SPY!$F$38</f>
        <v>-5</v>
      </c>
      <c r="H22" s="26">
        <f ca="1">SPY!$G$38</f>
        <v>0</v>
      </c>
      <c r="I22" s="26">
        <f ca="1">SPY!$H$38</f>
        <v>5</v>
      </c>
      <c r="J22" s="29">
        <f ca="1">SPY!$I$38</f>
        <v>1</v>
      </c>
      <c r="K22" s="31">
        <f ca="1">SPY!$J$38</f>
        <v>0</v>
      </c>
      <c r="L22" s="23" t="str">
        <f ca="1">SPY!$K$38</f>
        <v>WAIT - DELTA</v>
      </c>
      <c r="M22" s="31">
        <f ca="1">SPY!$L$38</f>
        <v>-1000000000</v>
      </c>
    </row>
    <row r="23" spans="1:13" ht="32" x14ac:dyDescent="0.2">
      <c r="A23" s="23" t="s">
        <v>119</v>
      </c>
      <c r="B23" s="23" t="str">
        <f ca="1">XLB!$A$38</f>
        <v>BullPut</v>
      </c>
      <c r="C23" s="23" t="str">
        <f ca="1">XLB!$B$38</f>
        <v>Front</v>
      </c>
      <c r="D23" s="25">
        <f ca="1">XLB!$C$38</f>
        <v>46220</v>
      </c>
      <c r="E23" s="22">
        <f ca="1">XLB!$D$38</f>
        <v>67</v>
      </c>
      <c r="F23" s="30">
        <f ca="1">XLB!$E$38</f>
        <v>0</v>
      </c>
      <c r="G23" s="30">
        <f ca="1">XLB!$F$38</f>
        <v>-2</v>
      </c>
      <c r="H23" s="26">
        <f ca="1">XLB!$G$38</f>
        <v>0</v>
      </c>
      <c r="I23" s="26">
        <f ca="1">XLB!$H$38</f>
        <v>2</v>
      </c>
      <c r="J23" s="29">
        <f ca="1">XLB!$I$38</f>
        <v>1</v>
      </c>
      <c r="K23" s="31">
        <f ca="1">XLB!$J$38</f>
        <v>0</v>
      </c>
      <c r="L23" s="23" t="str">
        <f ca="1">XLB!$K$38</f>
        <v>WAIT - DELTA</v>
      </c>
      <c r="M23" s="31">
        <f ca="1">XLB!$L$38</f>
        <v>-1000000000</v>
      </c>
    </row>
    <row r="24" spans="1:13" ht="32" x14ac:dyDescent="0.2">
      <c r="A24" s="23" t="s">
        <v>120</v>
      </c>
      <c r="B24" s="23" t="str">
        <f ca="1">XLC!$A$38</f>
        <v>BullPut</v>
      </c>
      <c r="C24" s="23" t="str">
        <f ca="1">XLC!$B$38</f>
        <v>Front</v>
      </c>
      <c r="D24" s="25">
        <f ca="1">XLC!$C$38</f>
        <v>46220</v>
      </c>
      <c r="E24" s="22">
        <f ca="1">XLC!$D$38</f>
        <v>67</v>
      </c>
      <c r="F24" s="30">
        <f ca="1">XLC!$E$38</f>
        <v>0</v>
      </c>
      <c r="G24" s="30">
        <f ca="1">XLC!$F$38</f>
        <v>-2</v>
      </c>
      <c r="H24" s="26">
        <f ca="1">XLC!$G$38</f>
        <v>0</v>
      </c>
      <c r="I24" s="26">
        <f ca="1">XLC!$H$38</f>
        <v>2</v>
      </c>
      <c r="J24" s="29">
        <f ca="1">XLC!$I$38</f>
        <v>1</v>
      </c>
      <c r="K24" s="31">
        <f ca="1">XLC!$J$38</f>
        <v>0</v>
      </c>
      <c r="L24" s="23" t="str">
        <f ca="1">XLC!$K$38</f>
        <v>WAIT - DELTA</v>
      </c>
      <c r="M24" s="31">
        <f ca="1">XLC!$L$38</f>
        <v>-1000000000</v>
      </c>
    </row>
    <row r="25" spans="1:13" ht="32" x14ac:dyDescent="0.2">
      <c r="A25" s="23" t="s">
        <v>121</v>
      </c>
      <c r="B25" s="23" t="str">
        <f ca="1">XLE!$A$38</f>
        <v>BullPut</v>
      </c>
      <c r="C25" s="23" t="str">
        <f ca="1">XLE!$B$38</f>
        <v>Front</v>
      </c>
      <c r="D25" s="25">
        <f ca="1">XLE!$C$38</f>
        <v>46220</v>
      </c>
      <c r="E25" s="22">
        <f ca="1">XLE!$D$38</f>
        <v>67</v>
      </c>
      <c r="F25" s="30">
        <f ca="1">XLE!$E$38</f>
        <v>0</v>
      </c>
      <c r="G25" s="30">
        <f ca="1">XLE!$F$38</f>
        <v>-2</v>
      </c>
      <c r="H25" s="26">
        <f ca="1">XLE!$G$38</f>
        <v>0</v>
      </c>
      <c r="I25" s="26">
        <f ca="1">XLE!$H$38</f>
        <v>2</v>
      </c>
      <c r="J25" s="29">
        <f ca="1">XLE!$I$38</f>
        <v>1</v>
      </c>
      <c r="K25" s="31">
        <f ca="1">XLE!$J$38</f>
        <v>0</v>
      </c>
      <c r="L25" s="23" t="str">
        <f ca="1">XLE!$K$38</f>
        <v>WAIT - DELTA</v>
      </c>
      <c r="M25" s="31">
        <f ca="1">XLE!$L$38</f>
        <v>-1000000000</v>
      </c>
    </row>
    <row r="26" spans="1:13" ht="32" x14ac:dyDescent="0.2">
      <c r="A26" s="23" t="s">
        <v>122</v>
      </c>
      <c r="B26" s="23" t="str">
        <f ca="1">XLF!$A$38</f>
        <v>BullPut</v>
      </c>
      <c r="C26" s="23" t="str">
        <f ca="1">XLF!$B$38</f>
        <v>Front</v>
      </c>
      <c r="D26" s="25">
        <f ca="1">XLF!$C$38</f>
        <v>46220</v>
      </c>
      <c r="E26" s="22">
        <f ca="1">XLF!$D$38</f>
        <v>67</v>
      </c>
      <c r="F26" s="30">
        <f ca="1">XLF!$E$38</f>
        <v>0</v>
      </c>
      <c r="G26" s="30">
        <f ca="1">XLF!$F$38</f>
        <v>-2</v>
      </c>
      <c r="H26" s="26">
        <f ca="1">XLF!$G$38</f>
        <v>0</v>
      </c>
      <c r="I26" s="26">
        <f ca="1">XLF!$H$38</f>
        <v>2</v>
      </c>
      <c r="J26" s="29">
        <f ca="1">XLF!$I$38</f>
        <v>1</v>
      </c>
      <c r="K26" s="31">
        <f ca="1">XLF!$J$38</f>
        <v>0</v>
      </c>
      <c r="L26" s="23" t="str">
        <f ca="1">XLF!$K$38</f>
        <v>WAIT - DELTA</v>
      </c>
      <c r="M26" s="31">
        <f ca="1">XLF!$L$38</f>
        <v>-1000000000</v>
      </c>
    </row>
    <row r="27" spans="1:13" ht="32" x14ac:dyDescent="0.2">
      <c r="A27" s="23" t="s">
        <v>123</v>
      </c>
      <c r="B27" s="23" t="str">
        <f ca="1">XLI!$A$38</f>
        <v>BullPut</v>
      </c>
      <c r="C27" s="23" t="str">
        <f ca="1">XLI!$B$38</f>
        <v>Front</v>
      </c>
      <c r="D27" s="25">
        <f ca="1">XLI!$C$38</f>
        <v>46220</v>
      </c>
      <c r="E27" s="22">
        <f ca="1">XLI!$D$38</f>
        <v>67</v>
      </c>
      <c r="F27" s="30">
        <f ca="1">XLI!$E$38</f>
        <v>0</v>
      </c>
      <c r="G27" s="30">
        <f ca="1">XLI!$F$38</f>
        <v>-2</v>
      </c>
      <c r="H27" s="26">
        <f ca="1">XLI!$G$38</f>
        <v>0</v>
      </c>
      <c r="I27" s="26">
        <f ca="1">XLI!$H$38</f>
        <v>2</v>
      </c>
      <c r="J27" s="29">
        <f ca="1">XLI!$I$38</f>
        <v>1</v>
      </c>
      <c r="K27" s="31">
        <f ca="1">XLI!$J$38</f>
        <v>0</v>
      </c>
      <c r="L27" s="23" t="str">
        <f ca="1">XLI!$K$38</f>
        <v>WAIT - DELTA</v>
      </c>
      <c r="M27" s="31">
        <f ca="1">XLI!$L$38</f>
        <v>-1000000000</v>
      </c>
    </row>
    <row r="28" spans="1:13" ht="32" x14ac:dyDescent="0.2">
      <c r="A28" s="23" t="s">
        <v>124</v>
      </c>
      <c r="B28" s="23" t="str">
        <f ca="1">XLK!$A$38</f>
        <v>BullPut</v>
      </c>
      <c r="C28" s="23" t="str">
        <f ca="1">XLK!$B$38</f>
        <v>Front</v>
      </c>
      <c r="D28" s="25">
        <f ca="1">XLK!$C$38</f>
        <v>46220</v>
      </c>
      <c r="E28" s="22">
        <f ca="1">XLK!$D$38</f>
        <v>67</v>
      </c>
      <c r="F28" s="30">
        <f ca="1">XLK!$E$38</f>
        <v>0</v>
      </c>
      <c r="G28" s="30">
        <f ca="1">XLK!$F$38</f>
        <v>-5</v>
      </c>
      <c r="H28" s="26">
        <f ca="1">XLK!$G$38</f>
        <v>0</v>
      </c>
      <c r="I28" s="26">
        <f ca="1">XLK!$H$38</f>
        <v>5</v>
      </c>
      <c r="J28" s="29">
        <f ca="1">XLK!$I$38</f>
        <v>1</v>
      </c>
      <c r="K28" s="31">
        <f ca="1">XLK!$J$38</f>
        <v>0</v>
      </c>
      <c r="L28" s="23" t="str">
        <f ca="1">XLK!$K$38</f>
        <v>WAIT - DELTA</v>
      </c>
      <c r="M28" s="31">
        <f ca="1">XLK!$L$38</f>
        <v>-1000000000</v>
      </c>
    </row>
    <row r="29" spans="1:13" ht="32" x14ac:dyDescent="0.2">
      <c r="A29" s="23" t="s">
        <v>125</v>
      </c>
      <c r="B29" s="23" t="str">
        <f ca="1">XLP!$A$38</f>
        <v>BullPut</v>
      </c>
      <c r="C29" s="23" t="str">
        <f ca="1">XLP!$B$38</f>
        <v>Front</v>
      </c>
      <c r="D29" s="25">
        <f ca="1">XLP!$C$38</f>
        <v>46220</v>
      </c>
      <c r="E29" s="22">
        <f ca="1">XLP!$D$38</f>
        <v>67</v>
      </c>
      <c r="F29" s="30">
        <f ca="1">XLP!$E$38</f>
        <v>0</v>
      </c>
      <c r="G29" s="30">
        <f ca="1">XLP!$F$38</f>
        <v>-1</v>
      </c>
      <c r="H29" s="26">
        <f ca="1">XLP!$G$38</f>
        <v>0</v>
      </c>
      <c r="I29" s="26">
        <f ca="1">XLP!$H$38</f>
        <v>1</v>
      </c>
      <c r="J29" s="29">
        <f ca="1">XLP!$I$38</f>
        <v>1</v>
      </c>
      <c r="K29" s="31">
        <f ca="1">XLP!$J$38</f>
        <v>0</v>
      </c>
      <c r="L29" s="23" t="str">
        <f ca="1">XLP!$K$38</f>
        <v>WAIT - DELTA</v>
      </c>
      <c r="M29" s="31">
        <f ca="1">XLP!$L$38</f>
        <v>-1000000000</v>
      </c>
    </row>
    <row r="30" spans="1:13" ht="32" x14ac:dyDescent="0.2">
      <c r="A30" s="23" t="s">
        <v>126</v>
      </c>
      <c r="B30" s="23" t="str">
        <f ca="1">XLRE!$A$38</f>
        <v>BullPut</v>
      </c>
      <c r="C30" s="23" t="str">
        <f ca="1">XLRE!$B$38</f>
        <v>Front</v>
      </c>
      <c r="D30" s="25">
        <f ca="1">XLRE!$C$38</f>
        <v>46220</v>
      </c>
      <c r="E30" s="22">
        <f ca="1">XLRE!$D$38</f>
        <v>67</v>
      </c>
      <c r="F30" s="30">
        <f ca="1">XLRE!$E$38</f>
        <v>0</v>
      </c>
      <c r="G30" s="30">
        <f ca="1">XLRE!$F$38</f>
        <v>-1</v>
      </c>
      <c r="H30" s="26">
        <f ca="1">XLRE!$G$38</f>
        <v>0</v>
      </c>
      <c r="I30" s="26">
        <f ca="1">XLRE!$H$38</f>
        <v>1</v>
      </c>
      <c r="J30" s="29">
        <f ca="1">XLRE!$I$38</f>
        <v>1</v>
      </c>
      <c r="K30" s="31">
        <f ca="1">XLRE!$J$38</f>
        <v>0</v>
      </c>
      <c r="L30" s="23" t="str">
        <f ca="1">XLRE!$K$38</f>
        <v>WAIT - DELTA</v>
      </c>
      <c r="M30" s="31">
        <f ca="1">XLRE!$L$38</f>
        <v>-1000000000</v>
      </c>
    </row>
    <row r="31" spans="1:13" ht="32" x14ac:dyDescent="0.2">
      <c r="A31" s="23" t="s">
        <v>127</v>
      </c>
      <c r="B31" s="23" t="str">
        <f ca="1">XLU!$A$38</f>
        <v>BullPut</v>
      </c>
      <c r="C31" s="23" t="str">
        <f ca="1">XLU!$B$38</f>
        <v>Front</v>
      </c>
      <c r="D31" s="25">
        <f ca="1">XLU!$C$38</f>
        <v>46220</v>
      </c>
      <c r="E31" s="22">
        <f ca="1">XLU!$D$38</f>
        <v>67</v>
      </c>
      <c r="F31" s="30">
        <f ca="1">XLU!$E$38</f>
        <v>0</v>
      </c>
      <c r="G31" s="30">
        <f ca="1">XLU!$F$38</f>
        <v>-1</v>
      </c>
      <c r="H31" s="26">
        <f ca="1">XLU!$G$38</f>
        <v>0</v>
      </c>
      <c r="I31" s="26">
        <f ca="1">XLU!$H$38</f>
        <v>1</v>
      </c>
      <c r="J31" s="29">
        <f ca="1">XLU!$I$38</f>
        <v>1</v>
      </c>
      <c r="K31" s="31">
        <f ca="1">XLU!$J$38</f>
        <v>0</v>
      </c>
      <c r="L31" s="23" t="str">
        <f ca="1">XLU!$K$38</f>
        <v>WAIT - DELTA</v>
      </c>
      <c r="M31" s="31">
        <f ca="1">XLU!$L$38</f>
        <v>-1000000000</v>
      </c>
    </row>
    <row r="32" spans="1:13" ht="32" x14ac:dyDescent="0.2">
      <c r="A32" s="23" t="s">
        <v>128</v>
      </c>
      <c r="B32" s="23" t="str">
        <f ca="1">XLV!$A$38</f>
        <v>BullPut</v>
      </c>
      <c r="C32" s="23" t="str">
        <f ca="1">XLV!$B$38</f>
        <v>Front</v>
      </c>
      <c r="D32" s="25">
        <f ca="1">XLV!$C$38</f>
        <v>46220</v>
      </c>
      <c r="E32" s="22">
        <f ca="1">XLV!$D$38</f>
        <v>67</v>
      </c>
      <c r="F32" s="30">
        <f ca="1">XLV!$E$38</f>
        <v>0</v>
      </c>
      <c r="G32" s="30">
        <f ca="1">XLV!$F$38</f>
        <v>-2</v>
      </c>
      <c r="H32" s="26">
        <f ca="1">XLV!$G$38</f>
        <v>0</v>
      </c>
      <c r="I32" s="26">
        <f ca="1">XLV!$H$38</f>
        <v>2</v>
      </c>
      <c r="J32" s="29">
        <f ca="1">XLV!$I$38</f>
        <v>1</v>
      </c>
      <c r="K32" s="31">
        <f ca="1">XLV!$J$38</f>
        <v>0</v>
      </c>
      <c r="L32" s="23" t="str">
        <f ca="1">XLV!$K$38</f>
        <v>WAIT - DELTA</v>
      </c>
      <c r="M32" s="31">
        <f ca="1">XLV!$L$38</f>
        <v>-1000000000</v>
      </c>
    </row>
    <row r="33" spans="1:13" ht="32" x14ac:dyDescent="0.2">
      <c r="A33" s="23" t="s">
        <v>129</v>
      </c>
      <c r="B33" s="23" t="str">
        <f ca="1">XLY!$A$38</f>
        <v>BullPut</v>
      </c>
      <c r="C33" s="23" t="str">
        <f ca="1">XLY!$B$38</f>
        <v>Front</v>
      </c>
      <c r="D33" s="25">
        <f ca="1">XLY!$C$38</f>
        <v>46220</v>
      </c>
      <c r="E33" s="22">
        <f ca="1">XLY!$D$38</f>
        <v>67</v>
      </c>
      <c r="F33" s="30">
        <f ca="1">XLY!$E$38</f>
        <v>0</v>
      </c>
      <c r="G33" s="30">
        <f ca="1">XLY!$F$38</f>
        <v>-5</v>
      </c>
      <c r="H33" s="26">
        <f ca="1">XLY!$G$38</f>
        <v>0</v>
      </c>
      <c r="I33" s="26">
        <f ca="1">XLY!$H$38</f>
        <v>5</v>
      </c>
      <c r="J33" s="29">
        <f ca="1">XLY!$I$38</f>
        <v>1</v>
      </c>
      <c r="K33" s="31">
        <f ca="1">XLY!$J$38</f>
        <v>0</v>
      </c>
      <c r="L33" s="23" t="str">
        <f ca="1">XLY!$K$38</f>
        <v>WAIT - DELTA</v>
      </c>
      <c r="M33" s="31">
        <f ca="1">XLY!$L$38</f>
        <v>-1000000000</v>
      </c>
    </row>
    <row r="34" spans="1:13" ht="32" x14ac:dyDescent="0.2">
      <c r="A34" s="23" t="s">
        <v>130</v>
      </c>
      <c r="B34" s="23" t="str">
        <f ca="1">XOP!$A$38</f>
        <v>BullPut</v>
      </c>
      <c r="C34" s="23" t="str">
        <f ca="1">XOP!$B$38</f>
        <v>Front</v>
      </c>
      <c r="D34" s="25">
        <f ca="1">XOP!$C$38</f>
        <v>46220</v>
      </c>
      <c r="E34" s="22">
        <f ca="1">XOP!$D$38</f>
        <v>67</v>
      </c>
      <c r="F34" s="30">
        <f ca="1">XOP!$E$38</f>
        <v>0</v>
      </c>
      <c r="G34" s="30">
        <f ca="1">XOP!$F$38</f>
        <v>-2</v>
      </c>
      <c r="H34" s="26">
        <f ca="1">XOP!$G$38</f>
        <v>0</v>
      </c>
      <c r="I34" s="26">
        <f ca="1">XOP!$H$38</f>
        <v>2</v>
      </c>
      <c r="J34" s="29">
        <f ca="1">XOP!$I$38</f>
        <v>1</v>
      </c>
      <c r="K34" s="31">
        <f ca="1">XOP!$J$38</f>
        <v>0</v>
      </c>
      <c r="L34" s="23" t="str">
        <f ca="1">XOP!$K$38</f>
        <v>WAIT - DELTA</v>
      </c>
      <c r="M34" s="31">
        <f ca="1">XOP!$L$38</f>
        <v>-1000000000</v>
      </c>
    </row>
    <row r="35" spans="1:13" ht="32" x14ac:dyDescent="0.2">
      <c r="A35" s="23" t="s">
        <v>131</v>
      </c>
      <c r="B35" s="23" t="str">
        <f ca="1">GLD!$A$38</f>
        <v>BullPut</v>
      </c>
      <c r="C35" s="23" t="str">
        <f ca="1">GLD!$B$38</f>
        <v>Front</v>
      </c>
      <c r="D35" s="25">
        <f ca="1">GLD!$C$38</f>
        <v>46220</v>
      </c>
      <c r="E35" s="22">
        <f ca="1">GLD!$D$38</f>
        <v>67</v>
      </c>
      <c r="F35" s="30">
        <f ca="1">GLD!$E$38</f>
        <v>0</v>
      </c>
      <c r="G35" s="30">
        <f ca="1">GLD!$F$38</f>
        <v>-5</v>
      </c>
      <c r="H35" s="26">
        <f ca="1">GLD!$G$38</f>
        <v>0</v>
      </c>
      <c r="I35" s="26">
        <f ca="1">GLD!$H$38</f>
        <v>5</v>
      </c>
      <c r="J35" s="29">
        <f ca="1">GLD!$I$38</f>
        <v>1</v>
      </c>
      <c r="K35" s="31">
        <f ca="1">GLD!$J$38</f>
        <v>0</v>
      </c>
      <c r="L35" s="23" t="str">
        <f ca="1">GLD!$K$38</f>
        <v>WAIT - DELTA</v>
      </c>
      <c r="M35" s="31">
        <f ca="1">GLD!$L$38</f>
        <v>-1000000000</v>
      </c>
    </row>
    <row r="36" spans="1:13" ht="32" x14ac:dyDescent="0.2">
      <c r="A36" s="23" t="s">
        <v>132</v>
      </c>
      <c r="B36" s="23" t="str">
        <f ca="1">GDX!$A$38</f>
        <v>BullPut</v>
      </c>
      <c r="C36" s="23" t="str">
        <f ca="1">GDX!$B$38</f>
        <v>Front</v>
      </c>
      <c r="D36" s="25">
        <f ca="1">GDX!$C$38</f>
        <v>46220</v>
      </c>
      <c r="E36" s="22">
        <f ca="1">GDX!$D$38</f>
        <v>67</v>
      </c>
      <c r="F36" s="30">
        <f ca="1">GDX!$E$38</f>
        <v>0</v>
      </c>
      <c r="G36" s="30">
        <f ca="1">GDX!$F$38</f>
        <v>-1</v>
      </c>
      <c r="H36" s="26">
        <f ca="1">GDX!$G$38</f>
        <v>0</v>
      </c>
      <c r="I36" s="26">
        <f ca="1">GDX!$H$38</f>
        <v>1</v>
      </c>
      <c r="J36" s="29">
        <f ca="1">GDX!$I$38</f>
        <v>1</v>
      </c>
      <c r="K36" s="31">
        <f ca="1">GDX!$J$38</f>
        <v>0</v>
      </c>
      <c r="L36" s="23" t="str">
        <f ca="1">GDX!$K$38</f>
        <v>WAIT - DELTA</v>
      </c>
      <c r="M36" s="31">
        <f ca="1">GDX!$L$38</f>
        <v>-1000000000</v>
      </c>
    </row>
    <row r="37" spans="1:13" ht="32" x14ac:dyDescent="0.2">
      <c r="A37" s="23" t="s">
        <v>133</v>
      </c>
      <c r="B37" s="23" t="str">
        <f ca="1">EEM!$A$38</f>
        <v>BullPut</v>
      </c>
      <c r="C37" s="23" t="str">
        <f ca="1">EEM!$B$38</f>
        <v>Front</v>
      </c>
      <c r="D37" s="25">
        <f ca="1">EEM!$C$38</f>
        <v>46220</v>
      </c>
      <c r="E37" s="22">
        <f ca="1">EEM!$D$38</f>
        <v>67</v>
      </c>
      <c r="F37" s="30">
        <f ca="1">EEM!$E$38</f>
        <v>0</v>
      </c>
      <c r="G37" s="30">
        <f ca="1">EEM!$F$38</f>
        <v>-1</v>
      </c>
      <c r="H37" s="26">
        <f ca="1">EEM!$G$38</f>
        <v>0</v>
      </c>
      <c r="I37" s="26">
        <f ca="1">EEM!$H$38</f>
        <v>1</v>
      </c>
      <c r="J37" s="29">
        <f ca="1">EEM!$I$38</f>
        <v>1</v>
      </c>
      <c r="K37" s="31">
        <f ca="1">EEM!$J$38</f>
        <v>0</v>
      </c>
      <c r="L37" s="23" t="str">
        <f ca="1">EEM!$K$38</f>
        <v>WAIT - DELTA</v>
      </c>
      <c r="M37" s="31">
        <f ca="1">EEM!$L$38</f>
        <v>-1000000000</v>
      </c>
    </row>
  </sheetData>
  <mergeCells count="14">
    <mergeCell ref="A15:E15"/>
    <mergeCell ref="F15:J15"/>
    <mergeCell ref="A20:M20"/>
    <mergeCell ref="A12:E12"/>
    <mergeCell ref="F12:J12"/>
    <mergeCell ref="A13:E13"/>
    <mergeCell ref="F13:J13"/>
    <mergeCell ref="A14:E14"/>
    <mergeCell ref="F14:J14"/>
    <mergeCell ref="A1:J1"/>
    <mergeCell ref="B2:D2"/>
    <mergeCell ref="A10:J10"/>
    <mergeCell ref="A11:E11"/>
    <mergeCell ref="F11:J11"/>
  </mergeCells>
  <conditionalFormatting sqref="I5:I8">
    <cfRule type="expression" dxfId="98" priority="2">
      <formula>I5="GO"</formula>
    </cfRule>
    <cfRule type="expression" dxfId="97" priority="3">
      <formula>I5="BUY"</formula>
    </cfRule>
    <cfRule type="expression" dxfId="96" priority="4">
      <formula>LEFT(I5,4)="WAIT"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8"/>
  <sheetViews>
    <sheetView showGridLines="0" zoomScaleNormal="100" workbookViewId="0">
      <pane ySplit="2" topLeftCell="A26" activePane="bottomLeft" state="frozen"/>
      <selection pane="bottomLeft" sqref="A1:L1"/>
    </sheetView>
  </sheetViews>
  <sheetFormatPr baseColWidth="10" defaultColWidth="8.6640625" defaultRowHeight="15" x14ac:dyDescent="0.2"/>
  <cols>
    <col min="1" max="2" width="11" customWidth="1"/>
    <col min="3" max="3" width="8" customWidth="1"/>
    <col min="4" max="4" width="10" customWidth="1"/>
    <col min="5" max="5" width="12" customWidth="1"/>
    <col min="6" max="6" width="32" customWidth="1"/>
    <col min="7" max="10" width="10" customWidth="1"/>
    <col min="11" max="11" width="13" customWidth="1"/>
    <col min="12" max="12" width="10" customWidth="1"/>
  </cols>
  <sheetData>
    <row r="1" spans="1:12" ht="25.5" customHeight="1" x14ac:dyDescent="0.2">
      <c r="A1" s="6" t="s">
        <v>134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3" spans="1:12" ht="16" x14ac:dyDescent="0.2">
      <c r="A3" s="19" t="s">
        <v>135</v>
      </c>
      <c r="B3" s="19" t="s">
        <v>136</v>
      </c>
      <c r="C3" s="19" t="s">
        <v>137</v>
      </c>
      <c r="D3" s="19" t="s">
        <v>138</v>
      </c>
      <c r="E3" s="19" t="s">
        <v>139</v>
      </c>
      <c r="F3" s="19" t="s">
        <v>140</v>
      </c>
    </row>
    <row r="4" spans="1:12" ht="32" x14ac:dyDescent="0.2">
      <c r="A4" s="32" t="s">
        <v>118</v>
      </c>
      <c r="B4" s="32" t="s">
        <v>141</v>
      </c>
      <c r="C4" s="23" t="str">
        <f>C$3</f>
        <v>PX_LAST</v>
      </c>
      <c r="D4" s="23" t="str">
        <f>D$3</f>
        <v>IVOL_RANK</v>
      </c>
      <c r="E4" s="30">
        <f ca="1">IFERROR(bdp(B4,C4),0)</f>
        <v>0</v>
      </c>
      <c r="F4" s="22">
        <f ca="1">IFERROR(bdp(B4,D4),0)</f>
        <v>0</v>
      </c>
    </row>
    <row r="6" spans="1:12" ht="15" customHeight="1" x14ac:dyDescent="0.2">
      <c r="A6" s="6" t="s">
        <v>142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2" ht="16" x14ac:dyDescent="0.2">
      <c r="A7" s="19" t="s">
        <v>143</v>
      </c>
      <c r="B7" s="19" t="s">
        <v>144</v>
      </c>
      <c r="C7" s="19" t="s">
        <v>145</v>
      </c>
      <c r="D7" s="19" t="s">
        <v>146</v>
      </c>
    </row>
    <row r="8" spans="1:12" ht="16" x14ac:dyDescent="0.2">
      <c r="A8" s="20" t="s">
        <v>147</v>
      </c>
      <c r="B8" s="33">
        <v>5</v>
      </c>
      <c r="C8" s="34"/>
      <c r="D8" s="33">
        <f>IF(C8="",B8,C8)</f>
        <v>5</v>
      </c>
    </row>
    <row r="9" spans="1:12" ht="32" x14ac:dyDescent="0.2">
      <c r="A9" s="20" t="s">
        <v>148</v>
      </c>
      <c r="B9" s="25">
        <f ca="1">Calendar!$B$11</f>
        <v>46220</v>
      </c>
      <c r="C9" s="35"/>
      <c r="D9" s="25">
        <f ca="1">IF(C9="",B9,C9)</f>
        <v>46220</v>
      </c>
    </row>
    <row r="10" spans="1:12" ht="32" x14ac:dyDescent="0.2">
      <c r="A10" s="20" t="s">
        <v>149</v>
      </c>
      <c r="B10" s="25">
        <f ca="1">Calendar!$B$12</f>
        <v>46255</v>
      </c>
      <c r="C10" s="35"/>
      <c r="D10" s="25">
        <f ca="1">IF(C10="",B10,C10)</f>
        <v>46255</v>
      </c>
    </row>
    <row r="11" spans="1:12" ht="32" x14ac:dyDescent="0.2">
      <c r="A11" s="20" t="s">
        <v>150</v>
      </c>
      <c r="B11" s="30">
        <f ca="1">IF($E$4=0,0,FLOOR($E$4*(1-0.05)/$D$8,1)*$D$8)</f>
        <v>0</v>
      </c>
      <c r="C11" s="36"/>
      <c r="D11" s="30">
        <f ca="1">IF(C11="",B11,C11)</f>
        <v>0</v>
      </c>
    </row>
    <row r="12" spans="1:12" ht="32" x14ac:dyDescent="0.2">
      <c r="A12" s="20" t="s">
        <v>151</v>
      </c>
      <c r="B12" s="30">
        <f ca="1">IF($E$4=0,0,CEILING($E$4*(1+0.05)/$D$8,1)*$D$8)</f>
        <v>0</v>
      </c>
      <c r="C12" s="36"/>
      <c r="D12" s="30">
        <f ca="1">IF(C12="",B12,C12)</f>
        <v>0</v>
      </c>
    </row>
    <row r="14" spans="1:12" ht="21.75" customHeight="1" x14ac:dyDescent="0.2">
      <c r="A14" s="6" t="s">
        <v>152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12" ht="16" x14ac:dyDescent="0.2">
      <c r="A15" s="19" t="s">
        <v>93</v>
      </c>
      <c r="B15" s="19" t="s">
        <v>153</v>
      </c>
      <c r="C15" s="19" t="s">
        <v>154</v>
      </c>
      <c r="D15" s="19" t="s">
        <v>155</v>
      </c>
      <c r="E15" s="19" t="s">
        <v>156</v>
      </c>
      <c r="F15" s="19" t="s">
        <v>136</v>
      </c>
      <c r="G15" s="19" t="s">
        <v>137</v>
      </c>
      <c r="H15" s="19" t="s">
        <v>157</v>
      </c>
      <c r="I15" s="19" t="s">
        <v>158</v>
      </c>
      <c r="J15" s="19" t="s">
        <v>159</v>
      </c>
      <c r="K15" s="19" t="s">
        <v>160</v>
      </c>
      <c r="L15" s="19" t="s">
        <v>161</v>
      </c>
    </row>
    <row r="16" spans="1:12" ht="16" x14ac:dyDescent="0.2">
      <c r="A16" s="23" t="s">
        <v>162</v>
      </c>
      <c r="B16" s="23" t="s">
        <v>163</v>
      </c>
      <c r="C16" s="23" t="s">
        <v>164</v>
      </c>
      <c r="D16" s="30">
        <f ca="1">$D$11</f>
        <v>0</v>
      </c>
      <c r="E16" s="25">
        <f ca="1">$D$9</f>
        <v>46220</v>
      </c>
      <c r="F16" s="23" t="str">
        <f ca="1">"SPY"&amp;" US "&amp;TEXT(E16,"mm/dd/yy")&amp;" "&amp;"P"&amp;IF(D16=INT(D16),INT(D16),D16)&amp;" Equity"</f>
        <v>SPY US 07/17/26 P0 Equity</v>
      </c>
      <c r="G16" s="26">
        <f ca="1">IFERROR(bdp($F16, G$15), 0)</f>
        <v>0</v>
      </c>
      <c r="H16" s="26">
        <f ca="1">IFERROR(bdp($F16, H$15), 0)</f>
        <v>0</v>
      </c>
      <c r="I16" s="26">
        <f ca="1">IFERROR(bdp($F16, I$15), 0)</f>
        <v>0</v>
      </c>
      <c r="J16" s="29">
        <f ca="1">IFERROR(bdp($F16, J$15), 0)</f>
        <v>0</v>
      </c>
      <c r="K16" s="31">
        <f ca="1">IFERROR(bdp($F16, K$15), 0)</f>
        <v>0</v>
      </c>
      <c r="L16" s="26">
        <f ca="1">IFERROR((H16+I16)/2, 0)</f>
        <v>0</v>
      </c>
    </row>
    <row r="17" spans="1:16" ht="16" x14ac:dyDescent="0.2">
      <c r="A17" s="23" t="s">
        <v>162</v>
      </c>
      <c r="B17" s="23" t="s">
        <v>165</v>
      </c>
      <c r="C17" s="23" t="s">
        <v>164</v>
      </c>
      <c r="D17" s="30">
        <f ca="1">$D$11-$D$8</f>
        <v>-5</v>
      </c>
      <c r="E17" s="25">
        <f ca="1">$D$9</f>
        <v>46220</v>
      </c>
      <c r="F17" s="23" t="str">
        <f ca="1">"SPY"&amp;" US "&amp;TEXT(E17,"mm/dd/yy")&amp;" "&amp;"P"&amp;IF(D17=INT(D17),INT(D17),D17)&amp;" Equity"</f>
        <v>SPY US 07/17/26 P-5 Equity</v>
      </c>
      <c r="G17" s="26">
        <f ca="1">IFERROR(bdp($F17, G$15), 0)</f>
        <v>0</v>
      </c>
      <c r="H17" s="26">
        <f ca="1">IFERROR(bdp($F17, H$15), 0)</f>
        <v>0</v>
      </c>
      <c r="I17" s="26">
        <f ca="1">IFERROR(bdp($F17, I$15), 0)</f>
        <v>0</v>
      </c>
      <c r="J17" s="29">
        <f ca="1">IFERROR(bdp($F17, J$15), 0)</f>
        <v>0</v>
      </c>
      <c r="K17" s="31">
        <f ca="1">IFERROR(bdp($F17, K$15), 0)</f>
        <v>0</v>
      </c>
      <c r="L17" s="26">
        <f ca="1">IFERROR((H17+I17)/2, 0)</f>
        <v>0</v>
      </c>
    </row>
    <row r="18" spans="1:16" ht="16" x14ac:dyDescent="0.2">
      <c r="A18" s="23" t="s">
        <v>162</v>
      </c>
      <c r="B18" s="23" t="s">
        <v>166</v>
      </c>
      <c r="C18" s="23" t="s">
        <v>164</v>
      </c>
      <c r="D18" s="30">
        <f ca="1">$D$11</f>
        <v>0</v>
      </c>
      <c r="E18" s="25">
        <f ca="1">$D$10</f>
        <v>46255</v>
      </c>
      <c r="F18" s="23" t="str">
        <f ca="1">"SPY"&amp;" US "&amp;TEXT(E18,"mm/dd/yy")&amp;" "&amp;"P"&amp;IF(D18=INT(D18),INT(D18),D18)&amp;" Equity"</f>
        <v>SPY US 08/21/26 P0 Equity</v>
      </c>
      <c r="G18" s="26">
        <f ca="1">IFERROR(bdp($F18, G$15), 0)</f>
        <v>0</v>
      </c>
      <c r="H18" s="26">
        <f ca="1">IFERROR(bdp($F18, H$15), 0)</f>
        <v>0</v>
      </c>
      <c r="I18" s="26">
        <f ca="1">IFERROR(bdp($F18, I$15), 0)</f>
        <v>0</v>
      </c>
      <c r="J18" s="29">
        <f ca="1">IFERROR(bdp($F18, J$15), 0)</f>
        <v>0</v>
      </c>
      <c r="K18" s="31">
        <f ca="1">IFERROR(bdp($F18, K$15), 0)</f>
        <v>0</v>
      </c>
      <c r="L18" s="26">
        <f ca="1">IFERROR((H18+I18)/2, 0)</f>
        <v>0</v>
      </c>
    </row>
    <row r="19" spans="1:16" ht="16" x14ac:dyDescent="0.2">
      <c r="A19" s="23" t="s">
        <v>162</v>
      </c>
      <c r="B19" s="23" t="s">
        <v>167</v>
      </c>
      <c r="C19" s="23" t="s">
        <v>164</v>
      </c>
      <c r="D19" s="30">
        <f ca="1">$D$11-$D$8</f>
        <v>-5</v>
      </c>
      <c r="E19" s="25">
        <f ca="1">$D$10</f>
        <v>46255</v>
      </c>
      <c r="F19" s="23" t="str">
        <f ca="1">"SPY"&amp;" US "&amp;TEXT(E19,"mm/dd/yy")&amp;" "&amp;"P"&amp;IF(D19=INT(D19),INT(D19),D19)&amp;" Equity"</f>
        <v>SPY US 08/21/26 P-5 Equity</v>
      </c>
      <c r="G19" s="26">
        <f ca="1">IFERROR(bdp($F19, G$15), 0)</f>
        <v>0</v>
      </c>
      <c r="H19" s="26">
        <f ca="1">IFERROR(bdp($F19, H$15), 0)</f>
        <v>0</v>
      </c>
      <c r="I19" s="26">
        <f ca="1">IFERROR(bdp($F19, I$15), 0)</f>
        <v>0</v>
      </c>
      <c r="J19" s="29">
        <f ca="1">IFERROR(bdp($F19, J$15), 0)</f>
        <v>0</v>
      </c>
      <c r="K19" s="31">
        <f ca="1">IFERROR(bdp($F19, K$15), 0)</f>
        <v>0</v>
      </c>
      <c r="L19" s="26">
        <f ca="1">IFERROR((H19+I19)/2, 0)</f>
        <v>0</v>
      </c>
    </row>
    <row r="21" spans="1:16" ht="16" x14ac:dyDescent="0.2">
      <c r="A21" s="19" t="s">
        <v>93</v>
      </c>
      <c r="B21" s="19" t="s">
        <v>168</v>
      </c>
      <c r="C21" s="19" t="s">
        <v>79</v>
      </c>
      <c r="D21" s="19" t="s">
        <v>113</v>
      </c>
      <c r="E21" s="19" t="s">
        <v>114</v>
      </c>
      <c r="F21" s="19" t="s">
        <v>169</v>
      </c>
      <c r="G21" s="19" t="s">
        <v>96</v>
      </c>
      <c r="H21" s="19" t="s">
        <v>97</v>
      </c>
      <c r="I21" s="19" t="s">
        <v>170</v>
      </c>
      <c r="J21" s="19" t="s">
        <v>171</v>
      </c>
      <c r="K21" s="19" t="s">
        <v>172</v>
      </c>
      <c r="L21" s="19" t="s">
        <v>115</v>
      </c>
      <c r="M21" s="19" t="s">
        <v>173</v>
      </c>
      <c r="N21" s="19" t="s">
        <v>116</v>
      </c>
      <c r="O21" s="19" t="s">
        <v>99</v>
      </c>
      <c r="P21" s="19" t="s">
        <v>117</v>
      </c>
    </row>
    <row r="22" spans="1:16" ht="32" x14ac:dyDescent="0.2">
      <c r="A22" s="23" t="s">
        <v>162</v>
      </c>
      <c r="B22" s="23" t="s">
        <v>174</v>
      </c>
      <c r="C22" s="22">
        <f ca="1">$D$9-TODAY()</f>
        <v>67</v>
      </c>
      <c r="D22" s="30">
        <f ca="1">$D$11</f>
        <v>0</v>
      </c>
      <c r="E22" s="30">
        <f ca="1">$D$11-$D$8</f>
        <v>-5</v>
      </c>
      <c r="F22" s="33">
        <f>$D$8</f>
        <v>5</v>
      </c>
      <c r="G22" s="26">
        <f ca="1">IFERROR(L16-L17,0)</f>
        <v>0</v>
      </c>
      <c r="H22" s="26">
        <f ca="1">IFERROR(F22-G22,0)</f>
        <v>5</v>
      </c>
      <c r="I22" s="29">
        <f ca="1">IFERROR(G22/F22,0)</f>
        <v>0</v>
      </c>
      <c r="J22" s="29">
        <f ca="1">IFERROR((I16-H16)/L16,1)</f>
        <v>1</v>
      </c>
      <c r="K22" s="29">
        <f ca="1">IFERROR(($E$4-D22)/$E$4,0)</f>
        <v>0</v>
      </c>
      <c r="L22" s="29">
        <f ca="1">IFERROR(1-ABS(K16),0)</f>
        <v>1</v>
      </c>
      <c r="M22" s="26">
        <f ca="1">L22*G22-(1-L22)*H22</f>
        <v>0</v>
      </c>
      <c r="N22" s="31">
        <f ca="1">IFERROR(M22/H22,0)</f>
        <v>0</v>
      </c>
      <c r="O22" s="23" t="str">
        <f ca="1">IF(NOT(AND(C22&gt;=Settings!$B$14,C22&lt;=Settings!$B$15)),"WAIT - DTE",IF(NOT(AND(ABS(K16)&gt;=Settings!$B$12,ABS(K16)&lt;=Settings!$B$13)),"WAIT - DELTA",IF(NOT($F$4&gt;=Settings!$B$8),"WAIT - IVR",IF(NOT(G22&gt;=Settings!$B$10),"WAIT - CREDIT",IF(NOT(I22&gt;=Settings!$B$9),"WAIT - C/W",IF(NOT(AND(J22&lt;=Settings!$B$11,H16&gt;0,I16&gt;0,H17&gt;0,I17&gt;0)),"WAIT - LIQ",IF(NOT(K22&gt;=Settings!$B$19),"WAIT - BUFFER","GO")))))))</f>
        <v>WAIT - DELTA</v>
      </c>
      <c r="P22" s="31">
        <f ca="1">IF(O22="GO",N22,-1000000000)</f>
        <v>-1000000000</v>
      </c>
    </row>
    <row r="23" spans="1:16" ht="32" x14ac:dyDescent="0.2">
      <c r="A23" s="23" t="s">
        <v>162</v>
      </c>
      <c r="B23" s="23" t="s">
        <v>175</v>
      </c>
      <c r="C23" s="22">
        <f ca="1">$D$10-TODAY()</f>
        <v>102</v>
      </c>
      <c r="D23" s="30">
        <f ca="1">$D$11</f>
        <v>0</v>
      </c>
      <c r="E23" s="30">
        <f ca="1">$D$11-$D$8</f>
        <v>-5</v>
      </c>
      <c r="F23" s="33">
        <f>$D$8</f>
        <v>5</v>
      </c>
      <c r="G23" s="26">
        <f ca="1">IFERROR(L18-L19,0)</f>
        <v>0</v>
      </c>
      <c r="H23" s="26">
        <f ca="1">IFERROR(F23-G23,0)</f>
        <v>5</v>
      </c>
      <c r="I23" s="29">
        <f ca="1">IFERROR(G23/F23,0)</f>
        <v>0</v>
      </c>
      <c r="J23" s="29">
        <f ca="1">IFERROR((I18-H18)/L18,1)</f>
        <v>1</v>
      </c>
      <c r="K23" s="29">
        <f ca="1">IFERROR(($E$4-D23)/$E$4,0)</f>
        <v>0</v>
      </c>
      <c r="L23" s="29">
        <f ca="1">IFERROR(1-ABS(K18),0)</f>
        <v>1</v>
      </c>
      <c r="M23" s="26">
        <f ca="1">L23*G23-(1-L23)*H23</f>
        <v>0</v>
      </c>
      <c r="N23" s="31">
        <f ca="1">IFERROR(M23/H23,0)</f>
        <v>0</v>
      </c>
      <c r="O23" s="23" t="str">
        <f ca="1">IF(NOT(AND(C23&gt;=Settings!$B$14,C23&lt;=Settings!$B$15)),"WAIT - DTE",IF(NOT(AND(ABS(K18)&gt;=Settings!$B$12,ABS(K18)&lt;=Settings!$B$13)),"WAIT - DELTA",IF(NOT($F$4&gt;=Settings!$B$8),"WAIT - IVR",IF(NOT(G23&gt;=Settings!$B$10),"WAIT - CREDIT",IF(NOT(I23&gt;=Settings!$B$9),"WAIT - C/W",IF(NOT(AND(J23&lt;=Settings!$B$11,H18&gt;0,I18&gt;0,H19&gt;0,I19&gt;0)),"WAIT - LIQ",IF(NOT(K23&gt;=Settings!$B$19),"WAIT - BUFFER","GO")))))))</f>
        <v>WAIT - DELTA</v>
      </c>
      <c r="P23" s="31">
        <f ca="1">IF(O23="GO",N23,-1000000000)</f>
        <v>-1000000000</v>
      </c>
    </row>
    <row r="25" spans="1:16" ht="21.75" customHeight="1" x14ac:dyDescent="0.2">
      <c r="A25" s="6" t="s">
        <v>176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6" ht="16" x14ac:dyDescent="0.2">
      <c r="A26" s="19" t="s">
        <v>93</v>
      </c>
      <c r="B26" s="19" t="s">
        <v>153</v>
      </c>
      <c r="C26" s="19" t="s">
        <v>154</v>
      </c>
      <c r="D26" s="19" t="s">
        <v>155</v>
      </c>
      <c r="E26" s="19" t="s">
        <v>156</v>
      </c>
      <c r="F26" s="19" t="s">
        <v>136</v>
      </c>
      <c r="G26" s="19" t="s">
        <v>137</v>
      </c>
      <c r="H26" s="19" t="s">
        <v>157</v>
      </c>
      <c r="I26" s="19" t="s">
        <v>158</v>
      </c>
      <c r="J26" s="19" t="s">
        <v>159</v>
      </c>
      <c r="K26" s="19" t="s">
        <v>160</v>
      </c>
      <c r="L26" s="19" t="s">
        <v>161</v>
      </c>
    </row>
    <row r="27" spans="1:16" ht="16" x14ac:dyDescent="0.2">
      <c r="A27" s="23" t="s">
        <v>177</v>
      </c>
      <c r="B27" s="23" t="s">
        <v>163</v>
      </c>
      <c r="C27" s="23" t="s">
        <v>178</v>
      </c>
      <c r="D27" s="30">
        <f ca="1">$D$12</f>
        <v>0</v>
      </c>
      <c r="E27" s="25">
        <f ca="1">$D$9</f>
        <v>46220</v>
      </c>
      <c r="F27" s="23" t="str">
        <f ca="1">"SPY"&amp;" US "&amp;TEXT(E27,"mm/dd/yy")&amp;" "&amp;"C"&amp;IF(D27=INT(D27),INT(D27),D27)&amp;" Equity"</f>
        <v>SPY US 07/17/26 C0 Equity</v>
      </c>
      <c r="G27" s="26">
        <f ca="1">IFERROR(bdp($F27, G$26), 0)</f>
        <v>0</v>
      </c>
      <c r="H27" s="26">
        <f ca="1">IFERROR(bdp($F27, H$26), 0)</f>
        <v>0</v>
      </c>
      <c r="I27" s="26">
        <f ca="1">IFERROR(bdp($F27, I$26), 0)</f>
        <v>0</v>
      </c>
      <c r="J27" s="29">
        <f ca="1">IFERROR(bdp($F27, J$26), 0)</f>
        <v>0</v>
      </c>
      <c r="K27" s="31">
        <f ca="1">IFERROR(bdp($F27, K$26), 0)</f>
        <v>0</v>
      </c>
      <c r="L27" s="26">
        <f ca="1">IFERROR((H27+I27)/2, 0)</f>
        <v>0</v>
      </c>
    </row>
    <row r="28" spans="1:16" ht="16" x14ac:dyDescent="0.2">
      <c r="A28" s="23" t="s">
        <v>177</v>
      </c>
      <c r="B28" s="23" t="s">
        <v>165</v>
      </c>
      <c r="C28" s="23" t="s">
        <v>178</v>
      </c>
      <c r="D28" s="30">
        <f ca="1">$D$12+$D$8</f>
        <v>5</v>
      </c>
      <c r="E28" s="25">
        <f ca="1">$D$9</f>
        <v>46220</v>
      </c>
      <c r="F28" s="23" t="str">
        <f ca="1">"SPY"&amp;" US "&amp;TEXT(E28,"mm/dd/yy")&amp;" "&amp;"C"&amp;IF(D28=INT(D28),INT(D28),D28)&amp;" Equity"</f>
        <v>SPY US 07/17/26 C5 Equity</v>
      </c>
      <c r="G28" s="26">
        <f ca="1">IFERROR(bdp($F28, G$26), 0)</f>
        <v>0</v>
      </c>
      <c r="H28" s="26">
        <f ca="1">IFERROR(bdp($F28, H$26), 0)</f>
        <v>0</v>
      </c>
      <c r="I28" s="26">
        <f ca="1">IFERROR(bdp($F28, I$26), 0)</f>
        <v>0</v>
      </c>
      <c r="J28" s="29">
        <f ca="1">IFERROR(bdp($F28, J$26), 0)</f>
        <v>0</v>
      </c>
      <c r="K28" s="31">
        <f ca="1">IFERROR(bdp($F28, K$26), 0)</f>
        <v>0</v>
      </c>
      <c r="L28" s="26">
        <f ca="1">IFERROR((H28+I28)/2, 0)</f>
        <v>0</v>
      </c>
    </row>
    <row r="29" spans="1:16" ht="16" x14ac:dyDescent="0.2">
      <c r="A29" s="23" t="s">
        <v>177</v>
      </c>
      <c r="B29" s="23" t="s">
        <v>166</v>
      </c>
      <c r="C29" s="23" t="s">
        <v>178</v>
      </c>
      <c r="D29" s="30">
        <f ca="1">$D$12</f>
        <v>0</v>
      </c>
      <c r="E29" s="25">
        <f ca="1">$D$10</f>
        <v>46255</v>
      </c>
      <c r="F29" s="23" t="str">
        <f ca="1">"SPY"&amp;" US "&amp;TEXT(E29,"mm/dd/yy")&amp;" "&amp;"C"&amp;IF(D29=INT(D29),INT(D29),D29)&amp;" Equity"</f>
        <v>SPY US 08/21/26 C0 Equity</v>
      </c>
      <c r="G29" s="26">
        <f ca="1">IFERROR(bdp($F29, G$26), 0)</f>
        <v>0</v>
      </c>
      <c r="H29" s="26">
        <f ca="1">IFERROR(bdp($F29, H$26), 0)</f>
        <v>0</v>
      </c>
      <c r="I29" s="26">
        <f ca="1">IFERROR(bdp($F29, I$26), 0)</f>
        <v>0</v>
      </c>
      <c r="J29" s="29">
        <f ca="1">IFERROR(bdp($F29, J$26), 0)</f>
        <v>0</v>
      </c>
      <c r="K29" s="31">
        <f ca="1">IFERROR(bdp($F29, K$26), 0)</f>
        <v>0</v>
      </c>
      <c r="L29" s="26">
        <f ca="1">IFERROR((H29+I29)/2, 0)</f>
        <v>0</v>
      </c>
    </row>
    <row r="30" spans="1:16" ht="16" x14ac:dyDescent="0.2">
      <c r="A30" s="23" t="s">
        <v>177</v>
      </c>
      <c r="B30" s="23" t="s">
        <v>167</v>
      </c>
      <c r="C30" s="23" t="s">
        <v>178</v>
      </c>
      <c r="D30" s="30">
        <f ca="1">$D$12+$D$8</f>
        <v>5</v>
      </c>
      <c r="E30" s="25">
        <f ca="1">$D$10</f>
        <v>46255</v>
      </c>
      <c r="F30" s="23" t="str">
        <f ca="1">"SPY"&amp;" US "&amp;TEXT(E30,"mm/dd/yy")&amp;" "&amp;"C"&amp;IF(D30=INT(D30),INT(D30),D30)&amp;" Equity"</f>
        <v>SPY US 08/21/26 C5 Equity</v>
      </c>
      <c r="G30" s="26">
        <f ca="1">IFERROR(bdp($F30, G$26), 0)</f>
        <v>0</v>
      </c>
      <c r="H30" s="26">
        <f ca="1">IFERROR(bdp($F30, H$26), 0)</f>
        <v>0</v>
      </c>
      <c r="I30" s="26">
        <f ca="1">IFERROR(bdp($F30, I$26), 0)</f>
        <v>0</v>
      </c>
      <c r="J30" s="29">
        <f ca="1">IFERROR(bdp($F30, J$26), 0)</f>
        <v>0</v>
      </c>
      <c r="K30" s="31">
        <f ca="1">IFERROR(bdp($F30, K$26), 0)</f>
        <v>0</v>
      </c>
      <c r="L30" s="26">
        <f ca="1">IFERROR((H30+I30)/2, 0)</f>
        <v>0</v>
      </c>
    </row>
    <row r="32" spans="1:16" ht="16" x14ac:dyDescent="0.2">
      <c r="A32" s="19" t="s">
        <v>93</v>
      </c>
      <c r="B32" s="19" t="s">
        <v>168</v>
      </c>
      <c r="C32" s="19" t="s">
        <v>79</v>
      </c>
      <c r="D32" s="19" t="s">
        <v>113</v>
      </c>
      <c r="E32" s="19" t="s">
        <v>114</v>
      </c>
      <c r="F32" s="19" t="s">
        <v>169</v>
      </c>
      <c r="G32" s="19" t="s">
        <v>96</v>
      </c>
      <c r="H32" s="19" t="s">
        <v>97</v>
      </c>
      <c r="I32" s="19" t="s">
        <v>170</v>
      </c>
      <c r="J32" s="19" t="s">
        <v>171</v>
      </c>
      <c r="K32" s="19" t="s">
        <v>172</v>
      </c>
      <c r="L32" s="19" t="s">
        <v>115</v>
      </c>
      <c r="M32" s="19" t="s">
        <v>173</v>
      </c>
      <c r="N32" s="19" t="s">
        <v>116</v>
      </c>
      <c r="O32" s="19" t="s">
        <v>99</v>
      </c>
      <c r="P32" s="19" t="s">
        <v>117</v>
      </c>
    </row>
    <row r="33" spans="1:16" ht="32" x14ac:dyDescent="0.2">
      <c r="A33" s="23" t="s">
        <v>177</v>
      </c>
      <c r="B33" s="23" t="s">
        <v>174</v>
      </c>
      <c r="C33" s="22">
        <f ca="1">$D$9-TODAY()</f>
        <v>67</v>
      </c>
      <c r="D33" s="30">
        <f ca="1">$D$12</f>
        <v>0</v>
      </c>
      <c r="E33" s="30">
        <f ca="1">$D$12+$D$8</f>
        <v>5</v>
      </c>
      <c r="F33" s="33">
        <f>$D$8</f>
        <v>5</v>
      </c>
      <c r="G33" s="26">
        <f ca="1">IFERROR(L27-L28,0)</f>
        <v>0</v>
      </c>
      <c r="H33" s="26">
        <f ca="1">IFERROR(F33-G33,0)</f>
        <v>5</v>
      </c>
      <c r="I33" s="29">
        <f ca="1">IFERROR(G33/F33,0)</f>
        <v>0</v>
      </c>
      <c r="J33" s="29">
        <f ca="1">IFERROR((I27-H27)/L27,1)</f>
        <v>1</v>
      </c>
      <c r="K33" s="29">
        <f ca="1">IFERROR((D33-$E$4)/$E$4,0)</f>
        <v>0</v>
      </c>
      <c r="L33" s="29">
        <f ca="1">IFERROR(1-ABS(K27),0)</f>
        <v>1</v>
      </c>
      <c r="M33" s="26">
        <f ca="1">L33*G33-(1-L33)*H33</f>
        <v>0</v>
      </c>
      <c r="N33" s="31">
        <f ca="1">IFERROR(M33/H33,0)</f>
        <v>0</v>
      </c>
      <c r="O33" s="23" t="str">
        <f ca="1">IF(NOT(AND(C33&gt;=Settings!$B$14,C33&lt;=Settings!$B$15)),"WAIT - DTE",IF(NOT(AND(ABS(K27)&gt;=Settings!$B$12,ABS(K27)&lt;=Settings!$B$13)),"WAIT - DELTA",IF(NOT($F$4&gt;=Settings!$B$8),"WAIT - IVR",IF(NOT(G33&gt;=Settings!$B$10),"WAIT - CREDIT",IF(NOT(I33&gt;=Settings!$B$9),"WAIT - C/W",IF(NOT(AND(J33&lt;=Settings!$B$11,H27&gt;0,I27&gt;0,H28&gt;0,I28&gt;0)),"WAIT - LIQ",IF(NOT(K33&gt;=Settings!$B$19),"WAIT - BUFFER","GO")))))))</f>
        <v>WAIT - DELTA</v>
      </c>
      <c r="P33" s="31">
        <f ca="1">IF(O33="GO",N33,-1000000000)</f>
        <v>-1000000000</v>
      </c>
    </row>
    <row r="34" spans="1:16" ht="32" x14ac:dyDescent="0.2">
      <c r="A34" s="23" t="s">
        <v>177</v>
      </c>
      <c r="B34" s="23" t="s">
        <v>175</v>
      </c>
      <c r="C34" s="22">
        <f ca="1">$D$10-TODAY()</f>
        <v>102</v>
      </c>
      <c r="D34" s="30">
        <f ca="1">$D$12</f>
        <v>0</v>
      </c>
      <c r="E34" s="30">
        <f ca="1">$D$12+$D$8</f>
        <v>5</v>
      </c>
      <c r="F34" s="33">
        <f>$D$8</f>
        <v>5</v>
      </c>
      <c r="G34" s="26">
        <f ca="1">IFERROR(L29-L30,0)</f>
        <v>0</v>
      </c>
      <c r="H34" s="26">
        <f ca="1">IFERROR(F34-G34,0)</f>
        <v>5</v>
      </c>
      <c r="I34" s="29">
        <f ca="1">IFERROR(G34/F34,0)</f>
        <v>0</v>
      </c>
      <c r="J34" s="29">
        <f ca="1">IFERROR((I29-H29)/L29,1)</f>
        <v>1</v>
      </c>
      <c r="K34" s="29">
        <f ca="1">IFERROR((D34-$E$4)/$E$4,0)</f>
        <v>0</v>
      </c>
      <c r="L34" s="29">
        <f ca="1">IFERROR(1-ABS(K29),0)</f>
        <v>1</v>
      </c>
      <c r="M34" s="26">
        <f ca="1">L34*G34-(1-L34)*H34</f>
        <v>0</v>
      </c>
      <c r="N34" s="31">
        <f ca="1">IFERROR(M34/H34,0)</f>
        <v>0</v>
      </c>
      <c r="O34" s="23" t="str">
        <f ca="1">IF(NOT(AND(C34&gt;=Settings!$B$14,C34&lt;=Settings!$B$15)),"WAIT - DTE",IF(NOT(AND(ABS(K29)&gt;=Settings!$B$12,ABS(K29)&lt;=Settings!$B$13)),"WAIT - DELTA",IF(NOT($F$4&gt;=Settings!$B$8),"WAIT - IVR",IF(NOT(G34&gt;=Settings!$B$10),"WAIT - CREDIT",IF(NOT(I34&gt;=Settings!$B$9),"WAIT - C/W",IF(NOT(AND(J34&lt;=Settings!$B$11,H29&gt;0,I29&gt;0,H30&gt;0,I30&gt;0)),"WAIT - LIQ",IF(NOT(K34&gt;=Settings!$B$19),"WAIT - BUFFER","GO")))))))</f>
        <v>WAIT - DELTA</v>
      </c>
      <c r="P34" s="31">
        <f ca="1">IF(O34="GO",N34,-1000000000)</f>
        <v>-1000000000</v>
      </c>
    </row>
    <row r="36" spans="1:16" ht="15" customHeight="1" x14ac:dyDescent="0.2">
      <c r="A36" s="6" t="s">
        <v>179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6" ht="32" x14ac:dyDescent="0.2">
      <c r="A37" s="19" t="s">
        <v>180</v>
      </c>
      <c r="B37" s="19" t="s">
        <v>181</v>
      </c>
      <c r="C37" s="19" t="s">
        <v>182</v>
      </c>
      <c r="D37" s="19" t="s">
        <v>79</v>
      </c>
      <c r="E37" s="19" t="s">
        <v>113</v>
      </c>
      <c r="F37" s="19" t="s">
        <v>114</v>
      </c>
      <c r="G37" s="19" t="s">
        <v>96</v>
      </c>
      <c r="H37" s="19" t="s">
        <v>97</v>
      </c>
      <c r="I37" s="19" t="s">
        <v>115</v>
      </c>
      <c r="J37" s="19" t="s">
        <v>116</v>
      </c>
      <c r="K37" s="19" t="s">
        <v>99</v>
      </c>
      <c r="L37" s="19" t="s">
        <v>117</v>
      </c>
    </row>
    <row r="38" spans="1:16" ht="16" x14ac:dyDescent="0.2">
      <c r="A38" s="23" t="str">
        <f ca="1">INDEX($A$22:$P$34, IF(P22=MAX(P22,P23,P33,P34),22,IF(P23=MAX(P22,P23,P33,P34),23,IF(P33=MAX(P22,P23,P33,P34),33,34)))-21, 1)</f>
        <v>BullPut</v>
      </c>
      <c r="B38" s="23" t="str">
        <f ca="1">INDEX($A$22:$P$34, IF(P22=MAX(P22,P23,P33,P34),22,IF(P23=MAX(P22,P23,P33,P34),23,IF(P33=MAX(P22,P23,P33,P34),33,34)))-21, 2)</f>
        <v>Front</v>
      </c>
      <c r="C38" s="25">
        <f ca="1">IF(INDEX($A$22:$P$34, IF(P22=MAX(P22,P23,P33,P34),22,IF(P23=MAX(P22,P23,P33,P34),23,IF(P33=MAX(P22,P23,P33,P34),33,34)))-21, 2)="Front",$D$9,$D$10)</f>
        <v>46220</v>
      </c>
      <c r="D38" s="22">
        <f ca="1">INDEX($A$22:$P$34, IF(P22=MAX(P22,P23,P33,P34),22,IF(P23=MAX(P22,P23,P33,P34),23,IF(P33=MAX(P22,P23,P33,P34),33,34)))-21, 3)</f>
        <v>67</v>
      </c>
      <c r="E38" s="30">
        <f ca="1">INDEX($A$22:$P$34, IF(P22=MAX(P22,P23,P33,P34),22,IF(P23=MAX(P22,P23,P33,P34),23,IF(P33=MAX(P22,P23,P33,P34),33,34)))-21, 4)</f>
        <v>0</v>
      </c>
      <c r="F38" s="30">
        <f ca="1">INDEX($A$22:$P$34, IF(P22=MAX(P22,P23,P33,P34),22,IF(P23=MAX(P22,P23,P33,P34),23,IF(P33=MAX(P22,P23,P33,P34),33,34)))-21, 5)</f>
        <v>-5</v>
      </c>
      <c r="G38" s="26">
        <f ca="1">INDEX($A$22:$P$34, IF(P22=MAX(P22,P23,P33,P34),22,IF(P23=MAX(P22,P23,P33,P34),23,IF(P33=MAX(P22,P23,P33,P34),33,34)))-21, 7)</f>
        <v>0</v>
      </c>
      <c r="H38" s="26">
        <f ca="1">INDEX($A$22:$P$34, IF(P22=MAX(P22,P23,P33,P34),22,IF(P23=MAX(P22,P23,P33,P34),23,IF(P33=MAX(P22,P23,P33,P34),33,34)))-21, 8)</f>
        <v>5</v>
      </c>
      <c r="I38" s="29">
        <f ca="1">INDEX($A$22:$P$34, IF(P22=MAX(P22,P23,P33,P34),22,IF(P23=MAX(P22,P23,P33,P34),23,IF(P33=MAX(P22,P23,P33,P34),33,34)))-21, 12)</f>
        <v>1</v>
      </c>
      <c r="J38" s="31">
        <f ca="1">INDEX($A$22:$P$34, IF(P22=MAX(P22,P23,P33,P34),22,IF(P23=MAX(P22,P23,P33,P34),23,IF(P33=MAX(P22,P23,P33,P34),33,34)))-21, 14)</f>
        <v>0</v>
      </c>
      <c r="K38" s="23" t="str">
        <f ca="1">INDEX($A$22:$P$34, IF(P22=MAX(P22,P23,P33,P34),22,IF(P23=MAX(P22,P23,P33,P34),23,IF(P33=MAX(P22,P23,P33,P34),33,34)))-21, 15)</f>
        <v>WAIT - DELTA</v>
      </c>
      <c r="L38" s="31">
        <f ca="1">MAX(P22,P23,P33,P34)</f>
        <v>-1000000000</v>
      </c>
    </row>
  </sheetData>
  <mergeCells count="5">
    <mergeCell ref="A1:L1"/>
    <mergeCell ref="A6:L6"/>
    <mergeCell ref="A14:L14"/>
    <mergeCell ref="A25:L25"/>
    <mergeCell ref="A36:L36"/>
  </mergeCells>
  <conditionalFormatting sqref="K38">
    <cfRule type="expression" dxfId="95" priority="6">
      <formula>K38="GO"</formula>
    </cfRule>
    <cfRule type="expression" dxfId="94" priority="7">
      <formula>LEFT(K38,4)="WAIT"</formula>
    </cfRule>
  </conditionalFormatting>
  <conditionalFormatting sqref="O22:O23">
    <cfRule type="expression" dxfId="93" priority="2">
      <formula>O22="GO"</formula>
    </cfRule>
    <cfRule type="expression" dxfId="92" priority="3">
      <formula>LEFT(O22,4)="WAIT"</formula>
    </cfRule>
  </conditionalFormatting>
  <conditionalFormatting sqref="O33:O34">
    <cfRule type="expression" dxfId="91" priority="4">
      <formula>O33="GO"</formula>
    </cfRule>
    <cfRule type="expression" dxfId="90" priority="5">
      <formula>LEFT(O33,4)="WAIT"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8"/>
  <sheetViews>
    <sheetView showGridLines="0" zoomScaleNormal="100" workbookViewId="0">
      <pane ySplit="2" topLeftCell="A3" activePane="bottomLeft" state="frozen"/>
      <selection pane="bottomLeft" sqref="A1:L1"/>
    </sheetView>
  </sheetViews>
  <sheetFormatPr baseColWidth="10" defaultColWidth="8.6640625" defaultRowHeight="15" x14ac:dyDescent="0.2"/>
  <cols>
    <col min="1" max="2" width="11" customWidth="1"/>
    <col min="3" max="3" width="8" customWidth="1"/>
    <col min="4" max="4" width="10" customWidth="1"/>
    <col min="5" max="5" width="12" customWidth="1"/>
    <col min="6" max="6" width="32" customWidth="1"/>
    <col min="7" max="10" width="10" customWidth="1"/>
    <col min="11" max="11" width="13" customWidth="1"/>
    <col min="12" max="12" width="10" customWidth="1"/>
  </cols>
  <sheetData>
    <row r="1" spans="1:12" ht="25.5" customHeight="1" x14ac:dyDescent="0.2">
      <c r="A1" s="6" t="s">
        <v>183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3" spans="1:12" ht="16" x14ac:dyDescent="0.2">
      <c r="A3" s="19" t="s">
        <v>135</v>
      </c>
      <c r="B3" s="19" t="s">
        <v>136</v>
      </c>
      <c r="C3" s="19" t="s">
        <v>137</v>
      </c>
      <c r="D3" s="19" t="s">
        <v>138</v>
      </c>
      <c r="E3" s="19" t="s">
        <v>139</v>
      </c>
      <c r="F3" s="19" t="s">
        <v>140</v>
      </c>
    </row>
    <row r="4" spans="1:12" ht="32" x14ac:dyDescent="0.2">
      <c r="A4" s="32" t="s">
        <v>119</v>
      </c>
      <c r="B4" s="32" t="s">
        <v>184</v>
      </c>
      <c r="C4" s="23" t="str">
        <f>C$3</f>
        <v>PX_LAST</v>
      </c>
      <c r="D4" s="23" t="str">
        <f>D$3</f>
        <v>IVOL_RANK</v>
      </c>
      <c r="E4" s="30">
        <f ca="1">IFERROR(bdp(B4,C4),0)</f>
        <v>0</v>
      </c>
      <c r="F4" s="22">
        <f ca="1">IFERROR(bdp(B4,D4),0)</f>
        <v>0</v>
      </c>
    </row>
    <row r="6" spans="1:12" ht="15" customHeight="1" x14ac:dyDescent="0.2">
      <c r="A6" s="6" t="s">
        <v>142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2" ht="16" x14ac:dyDescent="0.2">
      <c r="A7" s="19" t="s">
        <v>143</v>
      </c>
      <c r="B7" s="19" t="s">
        <v>144</v>
      </c>
      <c r="C7" s="19" t="s">
        <v>145</v>
      </c>
      <c r="D7" s="19" t="s">
        <v>146</v>
      </c>
    </row>
    <row r="8" spans="1:12" ht="16" x14ac:dyDescent="0.2">
      <c r="A8" s="20" t="s">
        <v>147</v>
      </c>
      <c r="B8" s="33">
        <v>2</v>
      </c>
      <c r="C8" s="34"/>
      <c r="D8" s="33">
        <f>IF(C8="",B8,C8)</f>
        <v>2</v>
      </c>
    </row>
    <row r="9" spans="1:12" ht="32" x14ac:dyDescent="0.2">
      <c r="A9" s="20" t="s">
        <v>148</v>
      </c>
      <c r="B9" s="25">
        <f ca="1">Calendar!$B$11</f>
        <v>46220</v>
      </c>
      <c r="C9" s="35"/>
      <c r="D9" s="25">
        <f ca="1">IF(C9="",B9,C9)</f>
        <v>46220</v>
      </c>
    </row>
    <row r="10" spans="1:12" ht="32" x14ac:dyDescent="0.2">
      <c r="A10" s="20" t="s">
        <v>149</v>
      </c>
      <c r="B10" s="25">
        <f ca="1">Calendar!$B$12</f>
        <v>46255</v>
      </c>
      <c r="C10" s="35"/>
      <c r="D10" s="25">
        <f ca="1">IF(C10="",B10,C10)</f>
        <v>46255</v>
      </c>
    </row>
    <row r="11" spans="1:12" ht="32" x14ac:dyDescent="0.2">
      <c r="A11" s="20" t="s">
        <v>150</v>
      </c>
      <c r="B11" s="30">
        <f ca="1">IF($E$4=0,0,FLOOR($E$4*(1-0.05)/$D$8,1)*$D$8)</f>
        <v>0</v>
      </c>
      <c r="C11" s="36"/>
      <c r="D11" s="30">
        <f ca="1">IF(C11="",B11,C11)</f>
        <v>0</v>
      </c>
    </row>
    <row r="12" spans="1:12" ht="32" x14ac:dyDescent="0.2">
      <c r="A12" s="20" t="s">
        <v>151</v>
      </c>
      <c r="B12" s="30">
        <f ca="1">IF($E$4=0,0,CEILING($E$4*(1+0.05)/$D$8,1)*$D$8)</f>
        <v>0</v>
      </c>
      <c r="C12" s="36"/>
      <c r="D12" s="30">
        <f ca="1">IF(C12="",B12,C12)</f>
        <v>0</v>
      </c>
    </row>
    <row r="14" spans="1:12" ht="21.75" customHeight="1" x14ac:dyDescent="0.2">
      <c r="A14" s="6" t="s">
        <v>152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12" ht="16" x14ac:dyDescent="0.2">
      <c r="A15" s="19" t="s">
        <v>93</v>
      </c>
      <c r="B15" s="19" t="s">
        <v>153</v>
      </c>
      <c r="C15" s="19" t="s">
        <v>154</v>
      </c>
      <c r="D15" s="19" t="s">
        <v>155</v>
      </c>
      <c r="E15" s="19" t="s">
        <v>156</v>
      </c>
      <c r="F15" s="19" t="s">
        <v>136</v>
      </c>
      <c r="G15" s="19" t="s">
        <v>137</v>
      </c>
      <c r="H15" s="19" t="s">
        <v>157</v>
      </c>
      <c r="I15" s="19" t="s">
        <v>158</v>
      </c>
      <c r="J15" s="19" t="s">
        <v>159</v>
      </c>
      <c r="K15" s="19" t="s">
        <v>160</v>
      </c>
      <c r="L15" s="19" t="s">
        <v>161</v>
      </c>
    </row>
    <row r="16" spans="1:12" ht="16" x14ac:dyDescent="0.2">
      <c r="A16" s="23" t="s">
        <v>162</v>
      </c>
      <c r="B16" s="23" t="s">
        <v>163</v>
      </c>
      <c r="C16" s="23" t="s">
        <v>164</v>
      </c>
      <c r="D16" s="30">
        <f ca="1">$D$11</f>
        <v>0</v>
      </c>
      <c r="E16" s="25">
        <f ca="1">$D$9</f>
        <v>46220</v>
      </c>
      <c r="F16" s="23" t="str">
        <f ca="1">"XLB"&amp;" US "&amp;TEXT(E16,"mm/dd/yy")&amp;" "&amp;"P"&amp;IF(D16=INT(D16),INT(D16),D16)&amp;" Equity"</f>
        <v>XLB US 07/17/26 P0 Equity</v>
      </c>
      <c r="G16" s="26">
        <f ca="1">IFERROR(bdp($F16, G$15), 0)</f>
        <v>0</v>
      </c>
      <c r="H16" s="26">
        <f ca="1">IFERROR(bdp($F16, H$15), 0)</f>
        <v>0</v>
      </c>
      <c r="I16" s="26">
        <f ca="1">IFERROR(bdp($F16, I$15), 0)</f>
        <v>0</v>
      </c>
      <c r="J16" s="29">
        <f ca="1">IFERROR(bdp($F16, J$15), 0)</f>
        <v>0</v>
      </c>
      <c r="K16" s="31">
        <f ca="1">IFERROR(bdp($F16, K$15), 0)</f>
        <v>0</v>
      </c>
      <c r="L16" s="26">
        <f ca="1">IFERROR((H16+I16)/2, 0)</f>
        <v>0</v>
      </c>
    </row>
    <row r="17" spans="1:16" ht="16" x14ac:dyDescent="0.2">
      <c r="A17" s="23" t="s">
        <v>162</v>
      </c>
      <c r="B17" s="23" t="s">
        <v>165</v>
      </c>
      <c r="C17" s="23" t="s">
        <v>164</v>
      </c>
      <c r="D17" s="30">
        <f ca="1">$D$11-$D$8</f>
        <v>-2</v>
      </c>
      <c r="E17" s="25">
        <f ca="1">$D$9</f>
        <v>46220</v>
      </c>
      <c r="F17" s="23" t="str">
        <f ca="1">"XLB"&amp;" US "&amp;TEXT(E17,"mm/dd/yy")&amp;" "&amp;"P"&amp;IF(D17=INT(D17),INT(D17),D17)&amp;" Equity"</f>
        <v>XLB US 07/17/26 P-2 Equity</v>
      </c>
      <c r="G17" s="26">
        <f ca="1">IFERROR(bdp($F17, G$15), 0)</f>
        <v>0</v>
      </c>
      <c r="H17" s="26">
        <f ca="1">IFERROR(bdp($F17, H$15), 0)</f>
        <v>0</v>
      </c>
      <c r="I17" s="26">
        <f ca="1">IFERROR(bdp($F17, I$15), 0)</f>
        <v>0</v>
      </c>
      <c r="J17" s="29">
        <f ca="1">IFERROR(bdp($F17, J$15), 0)</f>
        <v>0</v>
      </c>
      <c r="K17" s="31">
        <f ca="1">IFERROR(bdp($F17, K$15), 0)</f>
        <v>0</v>
      </c>
      <c r="L17" s="26">
        <f ca="1">IFERROR((H17+I17)/2, 0)</f>
        <v>0</v>
      </c>
    </row>
    <row r="18" spans="1:16" ht="16" x14ac:dyDescent="0.2">
      <c r="A18" s="23" t="s">
        <v>162</v>
      </c>
      <c r="B18" s="23" t="s">
        <v>166</v>
      </c>
      <c r="C18" s="23" t="s">
        <v>164</v>
      </c>
      <c r="D18" s="30">
        <f ca="1">$D$11</f>
        <v>0</v>
      </c>
      <c r="E18" s="25">
        <f ca="1">$D$10</f>
        <v>46255</v>
      </c>
      <c r="F18" s="23" t="str">
        <f ca="1">"XLB"&amp;" US "&amp;TEXT(E18,"mm/dd/yy")&amp;" "&amp;"P"&amp;IF(D18=INT(D18),INT(D18),D18)&amp;" Equity"</f>
        <v>XLB US 08/21/26 P0 Equity</v>
      </c>
      <c r="G18" s="26">
        <f ca="1">IFERROR(bdp($F18, G$15), 0)</f>
        <v>0</v>
      </c>
      <c r="H18" s="26">
        <f ca="1">IFERROR(bdp($F18, H$15), 0)</f>
        <v>0</v>
      </c>
      <c r="I18" s="26">
        <f ca="1">IFERROR(bdp($F18, I$15), 0)</f>
        <v>0</v>
      </c>
      <c r="J18" s="29">
        <f ca="1">IFERROR(bdp($F18, J$15), 0)</f>
        <v>0</v>
      </c>
      <c r="K18" s="31">
        <f ca="1">IFERROR(bdp($F18, K$15), 0)</f>
        <v>0</v>
      </c>
      <c r="L18" s="26">
        <f ca="1">IFERROR((H18+I18)/2, 0)</f>
        <v>0</v>
      </c>
    </row>
    <row r="19" spans="1:16" ht="16" x14ac:dyDescent="0.2">
      <c r="A19" s="23" t="s">
        <v>162</v>
      </c>
      <c r="B19" s="23" t="s">
        <v>167</v>
      </c>
      <c r="C19" s="23" t="s">
        <v>164</v>
      </c>
      <c r="D19" s="30">
        <f ca="1">$D$11-$D$8</f>
        <v>-2</v>
      </c>
      <c r="E19" s="25">
        <f ca="1">$D$10</f>
        <v>46255</v>
      </c>
      <c r="F19" s="23" t="str">
        <f ca="1">"XLB"&amp;" US "&amp;TEXT(E19,"mm/dd/yy")&amp;" "&amp;"P"&amp;IF(D19=INT(D19),INT(D19),D19)&amp;" Equity"</f>
        <v>XLB US 08/21/26 P-2 Equity</v>
      </c>
      <c r="G19" s="26">
        <f ca="1">IFERROR(bdp($F19, G$15), 0)</f>
        <v>0</v>
      </c>
      <c r="H19" s="26">
        <f ca="1">IFERROR(bdp($F19, H$15), 0)</f>
        <v>0</v>
      </c>
      <c r="I19" s="26">
        <f ca="1">IFERROR(bdp($F19, I$15), 0)</f>
        <v>0</v>
      </c>
      <c r="J19" s="29">
        <f ca="1">IFERROR(bdp($F19, J$15), 0)</f>
        <v>0</v>
      </c>
      <c r="K19" s="31">
        <f ca="1">IFERROR(bdp($F19, K$15), 0)</f>
        <v>0</v>
      </c>
      <c r="L19" s="26">
        <f ca="1">IFERROR((H19+I19)/2, 0)</f>
        <v>0</v>
      </c>
    </row>
    <row r="21" spans="1:16" ht="16" x14ac:dyDescent="0.2">
      <c r="A21" s="19" t="s">
        <v>93</v>
      </c>
      <c r="B21" s="19" t="s">
        <v>168</v>
      </c>
      <c r="C21" s="19" t="s">
        <v>79</v>
      </c>
      <c r="D21" s="19" t="s">
        <v>113</v>
      </c>
      <c r="E21" s="19" t="s">
        <v>114</v>
      </c>
      <c r="F21" s="19" t="s">
        <v>169</v>
      </c>
      <c r="G21" s="19" t="s">
        <v>96</v>
      </c>
      <c r="H21" s="19" t="s">
        <v>97</v>
      </c>
      <c r="I21" s="19" t="s">
        <v>170</v>
      </c>
      <c r="J21" s="19" t="s">
        <v>171</v>
      </c>
      <c r="K21" s="19" t="s">
        <v>172</v>
      </c>
      <c r="L21" s="19" t="s">
        <v>115</v>
      </c>
      <c r="M21" s="19" t="s">
        <v>173</v>
      </c>
      <c r="N21" s="19" t="s">
        <v>116</v>
      </c>
      <c r="O21" s="19" t="s">
        <v>99</v>
      </c>
      <c r="P21" s="19" t="s">
        <v>117</v>
      </c>
    </row>
    <row r="22" spans="1:16" ht="32" x14ac:dyDescent="0.2">
      <c r="A22" s="23" t="s">
        <v>162</v>
      </c>
      <c r="B22" s="23" t="s">
        <v>174</v>
      </c>
      <c r="C22" s="22">
        <f ca="1">$D$9-TODAY()</f>
        <v>67</v>
      </c>
      <c r="D22" s="30">
        <f ca="1">$D$11</f>
        <v>0</v>
      </c>
      <c r="E22" s="30">
        <f ca="1">$D$11-$D$8</f>
        <v>-2</v>
      </c>
      <c r="F22" s="33">
        <f>$D$8</f>
        <v>2</v>
      </c>
      <c r="G22" s="26">
        <f ca="1">IFERROR(L16-L17,0)</f>
        <v>0</v>
      </c>
      <c r="H22" s="26">
        <f ca="1">IFERROR(F22-G22,0)</f>
        <v>2</v>
      </c>
      <c r="I22" s="29">
        <f ca="1">IFERROR(G22/F22,0)</f>
        <v>0</v>
      </c>
      <c r="J22" s="29">
        <f ca="1">IFERROR((I16-H16)/L16,1)</f>
        <v>1</v>
      </c>
      <c r="K22" s="29">
        <f ca="1">IFERROR(($E$4-D22)/$E$4,0)</f>
        <v>0</v>
      </c>
      <c r="L22" s="29">
        <f ca="1">IFERROR(1-ABS(K16),0)</f>
        <v>1</v>
      </c>
      <c r="M22" s="26">
        <f ca="1">L22*G22-(1-L22)*H22</f>
        <v>0</v>
      </c>
      <c r="N22" s="31">
        <f ca="1">IFERROR(M22/H22,0)</f>
        <v>0</v>
      </c>
      <c r="O22" s="23" t="str">
        <f ca="1">IF(NOT(AND(C22&gt;=Settings!$B$14,C22&lt;=Settings!$B$15)),"WAIT - DTE",IF(NOT(AND(ABS(K16)&gt;=Settings!$B$12,ABS(K16)&lt;=Settings!$B$13)),"WAIT - DELTA",IF(NOT($F$4&gt;=Settings!$B$8),"WAIT - IVR",IF(NOT(G22&gt;=Settings!$B$10),"WAIT - CREDIT",IF(NOT(I22&gt;=Settings!$B$9),"WAIT - C/W",IF(NOT(AND(J22&lt;=Settings!$B$11,H16&gt;0,I16&gt;0,H17&gt;0,I17&gt;0)),"WAIT - LIQ",IF(NOT(K22&gt;=Settings!$B$19),"WAIT - BUFFER","GO")))))))</f>
        <v>WAIT - DELTA</v>
      </c>
      <c r="P22" s="31">
        <f ca="1">IF(O22="GO",N22,-1000000000)</f>
        <v>-1000000000</v>
      </c>
    </row>
    <row r="23" spans="1:16" ht="32" x14ac:dyDescent="0.2">
      <c r="A23" s="23" t="s">
        <v>162</v>
      </c>
      <c r="B23" s="23" t="s">
        <v>175</v>
      </c>
      <c r="C23" s="22">
        <f ca="1">$D$10-TODAY()</f>
        <v>102</v>
      </c>
      <c r="D23" s="30">
        <f ca="1">$D$11</f>
        <v>0</v>
      </c>
      <c r="E23" s="30">
        <f ca="1">$D$11-$D$8</f>
        <v>-2</v>
      </c>
      <c r="F23" s="33">
        <f>$D$8</f>
        <v>2</v>
      </c>
      <c r="G23" s="26">
        <f ca="1">IFERROR(L18-L19,0)</f>
        <v>0</v>
      </c>
      <c r="H23" s="26">
        <f ca="1">IFERROR(F23-G23,0)</f>
        <v>2</v>
      </c>
      <c r="I23" s="29">
        <f ca="1">IFERROR(G23/F23,0)</f>
        <v>0</v>
      </c>
      <c r="J23" s="29">
        <f ca="1">IFERROR((I18-H18)/L18,1)</f>
        <v>1</v>
      </c>
      <c r="K23" s="29">
        <f ca="1">IFERROR(($E$4-D23)/$E$4,0)</f>
        <v>0</v>
      </c>
      <c r="L23" s="29">
        <f ca="1">IFERROR(1-ABS(K18),0)</f>
        <v>1</v>
      </c>
      <c r="M23" s="26">
        <f ca="1">L23*G23-(1-L23)*H23</f>
        <v>0</v>
      </c>
      <c r="N23" s="31">
        <f ca="1">IFERROR(M23/H23,0)</f>
        <v>0</v>
      </c>
      <c r="O23" s="23" t="str">
        <f ca="1">IF(NOT(AND(C23&gt;=Settings!$B$14,C23&lt;=Settings!$B$15)),"WAIT - DTE",IF(NOT(AND(ABS(K18)&gt;=Settings!$B$12,ABS(K18)&lt;=Settings!$B$13)),"WAIT - DELTA",IF(NOT($F$4&gt;=Settings!$B$8),"WAIT - IVR",IF(NOT(G23&gt;=Settings!$B$10),"WAIT - CREDIT",IF(NOT(I23&gt;=Settings!$B$9),"WAIT - C/W",IF(NOT(AND(J23&lt;=Settings!$B$11,H18&gt;0,I18&gt;0,H19&gt;0,I19&gt;0)),"WAIT - LIQ",IF(NOT(K23&gt;=Settings!$B$19),"WAIT - BUFFER","GO")))))))</f>
        <v>WAIT - DELTA</v>
      </c>
      <c r="P23" s="31">
        <f ca="1">IF(O23="GO",N23,-1000000000)</f>
        <v>-1000000000</v>
      </c>
    </row>
    <row r="25" spans="1:16" ht="21.75" customHeight="1" x14ac:dyDescent="0.2">
      <c r="A25" s="6" t="s">
        <v>176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6" ht="16" x14ac:dyDescent="0.2">
      <c r="A26" s="19" t="s">
        <v>93</v>
      </c>
      <c r="B26" s="19" t="s">
        <v>153</v>
      </c>
      <c r="C26" s="19" t="s">
        <v>154</v>
      </c>
      <c r="D26" s="19" t="s">
        <v>155</v>
      </c>
      <c r="E26" s="19" t="s">
        <v>156</v>
      </c>
      <c r="F26" s="19" t="s">
        <v>136</v>
      </c>
      <c r="G26" s="19" t="s">
        <v>137</v>
      </c>
      <c r="H26" s="19" t="s">
        <v>157</v>
      </c>
      <c r="I26" s="19" t="s">
        <v>158</v>
      </c>
      <c r="J26" s="19" t="s">
        <v>159</v>
      </c>
      <c r="K26" s="19" t="s">
        <v>160</v>
      </c>
      <c r="L26" s="19" t="s">
        <v>161</v>
      </c>
    </row>
    <row r="27" spans="1:16" ht="16" x14ac:dyDescent="0.2">
      <c r="A27" s="23" t="s">
        <v>177</v>
      </c>
      <c r="B27" s="23" t="s">
        <v>163</v>
      </c>
      <c r="C27" s="23" t="s">
        <v>178</v>
      </c>
      <c r="D27" s="30">
        <f ca="1">$D$12</f>
        <v>0</v>
      </c>
      <c r="E27" s="25">
        <f ca="1">$D$9</f>
        <v>46220</v>
      </c>
      <c r="F27" s="23" t="str">
        <f ca="1">"XLB"&amp;" US "&amp;TEXT(E27,"mm/dd/yy")&amp;" "&amp;"C"&amp;IF(D27=INT(D27),INT(D27),D27)&amp;" Equity"</f>
        <v>XLB US 07/17/26 C0 Equity</v>
      </c>
      <c r="G27" s="26">
        <f ca="1">IFERROR(bdp($F27, G$26), 0)</f>
        <v>0</v>
      </c>
      <c r="H27" s="26">
        <f ca="1">IFERROR(bdp($F27, H$26), 0)</f>
        <v>0</v>
      </c>
      <c r="I27" s="26">
        <f ca="1">IFERROR(bdp($F27, I$26), 0)</f>
        <v>0</v>
      </c>
      <c r="J27" s="29">
        <f ca="1">IFERROR(bdp($F27, J$26), 0)</f>
        <v>0</v>
      </c>
      <c r="K27" s="31">
        <f ca="1">IFERROR(bdp($F27, K$26), 0)</f>
        <v>0</v>
      </c>
      <c r="L27" s="26">
        <f ca="1">IFERROR((H27+I27)/2, 0)</f>
        <v>0</v>
      </c>
    </row>
    <row r="28" spans="1:16" ht="16" x14ac:dyDescent="0.2">
      <c r="A28" s="23" t="s">
        <v>177</v>
      </c>
      <c r="B28" s="23" t="s">
        <v>165</v>
      </c>
      <c r="C28" s="23" t="s">
        <v>178</v>
      </c>
      <c r="D28" s="30">
        <f ca="1">$D$12+$D$8</f>
        <v>2</v>
      </c>
      <c r="E28" s="25">
        <f ca="1">$D$9</f>
        <v>46220</v>
      </c>
      <c r="F28" s="23" t="str">
        <f ca="1">"XLB"&amp;" US "&amp;TEXT(E28,"mm/dd/yy")&amp;" "&amp;"C"&amp;IF(D28=INT(D28),INT(D28),D28)&amp;" Equity"</f>
        <v>XLB US 07/17/26 C2 Equity</v>
      </c>
      <c r="G28" s="26">
        <f ca="1">IFERROR(bdp($F28, G$26), 0)</f>
        <v>0</v>
      </c>
      <c r="H28" s="26">
        <f ca="1">IFERROR(bdp($F28, H$26), 0)</f>
        <v>0</v>
      </c>
      <c r="I28" s="26">
        <f ca="1">IFERROR(bdp($F28, I$26), 0)</f>
        <v>0</v>
      </c>
      <c r="J28" s="29">
        <f ca="1">IFERROR(bdp($F28, J$26), 0)</f>
        <v>0</v>
      </c>
      <c r="K28" s="31">
        <f ca="1">IFERROR(bdp($F28, K$26), 0)</f>
        <v>0</v>
      </c>
      <c r="L28" s="26">
        <f ca="1">IFERROR((H28+I28)/2, 0)</f>
        <v>0</v>
      </c>
    </row>
    <row r="29" spans="1:16" ht="16" x14ac:dyDescent="0.2">
      <c r="A29" s="23" t="s">
        <v>177</v>
      </c>
      <c r="B29" s="23" t="s">
        <v>166</v>
      </c>
      <c r="C29" s="23" t="s">
        <v>178</v>
      </c>
      <c r="D29" s="30">
        <f ca="1">$D$12</f>
        <v>0</v>
      </c>
      <c r="E29" s="25">
        <f ca="1">$D$10</f>
        <v>46255</v>
      </c>
      <c r="F29" s="23" t="str">
        <f ca="1">"XLB"&amp;" US "&amp;TEXT(E29,"mm/dd/yy")&amp;" "&amp;"C"&amp;IF(D29=INT(D29),INT(D29),D29)&amp;" Equity"</f>
        <v>XLB US 08/21/26 C0 Equity</v>
      </c>
      <c r="G29" s="26">
        <f ca="1">IFERROR(bdp($F29, G$26), 0)</f>
        <v>0</v>
      </c>
      <c r="H29" s="26">
        <f ca="1">IFERROR(bdp($F29, H$26), 0)</f>
        <v>0</v>
      </c>
      <c r="I29" s="26">
        <f ca="1">IFERROR(bdp($F29, I$26), 0)</f>
        <v>0</v>
      </c>
      <c r="J29" s="29">
        <f ca="1">IFERROR(bdp($F29, J$26), 0)</f>
        <v>0</v>
      </c>
      <c r="K29" s="31">
        <f ca="1">IFERROR(bdp($F29, K$26), 0)</f>
        <v>0</v>
      </c>
      <c r="L29" s="26">
        <f ca="1">IFERROR((H29+I29)/2, 0)</f>
        <v>0</v>
      </c>
    </row>
    <row r="30" spans="1:16" ht="16" x14ac:dyDescent="0.2">
      <c r="A30" s="23" t="s">
        <v>177</v>
      </c>
      <c r="B30" s="23" t="s">
        <v>167</v>
      </c>
      <c r="C30" s="23" t="s">
        <v>178</v>
      </c>
      <c r="D30" s="30">
        <f ca="1">$D$12+$D$8</f>
        <v>2</v>
      </c>
      <c r="E30" s="25">
        <f ca="1">$D$10</f>
        <v>46255</v>
      </c>
      <c r="F30" s="23" t="str">
        <f ca="1">"XLB"&amp;" US "&amp;TEXT(E30,"mm/dd/yy")&amp;" "&amp;"C"&amp;IF(D30=INT(D30),INT(D30),D30)&amp;" Equity"</f>
        <v>XLB US 08/21/26 C2 Equity</v>
      </c>
      <c r="G30" s="26">
        <f ca="1">IFERROR(bdp($F30, G$26), 0)</f>
        <v>0</v>
      </c>
      <c r="H30" s="26">
        <f ca="1">IFERROR(bdp($F30, H$26), 0)</f>
        <v>0</v>
      </c>
      <c r="I30" s="26">
        <f ca="1">IFERROR(bdp($F30, I$26), 0)</f>
        <v>0</v>
      </c>
      <c r="J30" s="29">
        <f ca="1">IFERROR(bdp($F30, J$26), 0)</f>
        <v>0</v>
      </c>
      <c r="K30" s="31">
        <f ca="1">IFERROR(bdp($F30, K$26), 0)</f>
        <v>0</v>
      </c>
      <c r="L30" s="26">
        <f ca="1">IFERROR((H30+I30)/2, 0)</f>
        <v>0</v>
      </c>
    </row>
    <row r="32" spans="1:16" ht="16" x14ac:dyDescent="0.2">
      <c r="A32" s="19" t="s">
        <v>93</v>
      </c>
      <c r="B32" s="19" t="s">
        <v>168</v>
      </c>
      <c r="C32" s="19" t="s">
        <v>79</v>
      </c>
      <c r="D32" s="19" t="s">
        <v>113</v>
      </c>
      <c r="E32" s="19" t="s">
        <v>114</v>
      </c>
      <c r="F32" s="19" t="s">
        <v>169</v>
      </c>
      <c r="G32" s="19" t="s">
        <v>96</v>
      </c>
      <c r="H32" s="19" t="s">
        <v>97</v>
      </c>
      <c r="I32" s="19" t="s">
        <v>170</v>
      </c>
      <c r="J32" s="19" t="s">
        <v>171</v>
      </c>
      <c r="K32" s="19" t="s">
        <v>172</v>
      </c>
      <c r="L32" s="19" t="s">
        <v>115</v>
      </c>
      <c r="M32" s="19" t="s">
        <v>173</v>
      </c>
      <c r="N32" s="19" t="s">
        <v>116</v>
      </c>
      <c r="O32" s="19" t="s">
        <v>99</v>
      </c>
      <c r="P32" s="19" t="s">
        <v>117</v>
      </c>
    </row>
    <row r="33" spans="1:16" ht="32" x14ac:dyDescent="0.2">
      <c r="A33" s="23" t="s">
        <v>177</v>
      </c>
      <c r="B33" s="23" t="s">
        <v>174</v>
      </c>
      <c r="C33" s="22">
        <f ca="1">$D$9-TODAY()</f>
        <v>67</v>
      </c>
      <c r="D33" s="30">
        <f ca="1">$D$12</f>
        <v>0</v>
      </c>
      <c r="E33" s="30">
        <f ca="1">$D$12+$D$8</f>
        <v>2</v>
      </c>
      <c r="F33" s="33">
        <f>$D$8</f>
        <v>2</v>
      </c>
      <c r="G33" s="26">
        <f ca="1">IFERROR(L27-L28,0)</f>
        <v>0</v>
      </c>
      <c r="H33" s="26">
        <f ca="1">IFERROR(F33-G33,0)</f>
        <v>2</v>
      </c>
      <c r="I33" s="29">
        <f ca="1">IFERROR(G33/F33,0)</f>
        <v>0</v>
      </c>
      <c r="J33" s="29">
        <f ca="1">IFERROR((I27-H27)/L27,1)</f>
        <v>1</v>
      </c>
      <c r="K33" s="29">
        <f ca="1">IFERROR((D33-$E$4)/$E$4,0)</f>
        <v>0</v>
      </c>
      <c r="L33" s="29">
        <f ca="1">IFERROR(1-ABS(K27),0)</f>
        <v>1</v>
      </c>
      <c r="M33" s="26">
        <f ca="1">L33*G33-(1-L33)*H33</f>
        <v>0</v>
      </c>
      <c r="N33" s="31">
        <f ca="1">IFERROR(M33/H33,0)</f>
        <v>0</v>
      </c>
      <c r="O33" s="23" t="str">
        <f ca="1">IF(NOT(AND(C33&gt;=Settings!$B$14,C33&lt;=Settings!$B$15)),"WAIT - DTE",IF(NOT(AND(ABS(K27)&gt;=Settings!$B$12,ABS(K27)&lt;=Settings!$B$13)),"WAIT - DELTA",IF(NOT($F$4&gt;=Settings!$B$8),"WAIT - IVR",IF(NOT(G33&gt;=Settings!$B$10),"WAIT - CREDIT",IF(NOT(I33&gt;=Settings!$B$9),"WAIT - C/W",IF(NOT(AND(J33&lt;=Settings!$B$11,H27&gt;0,I27&gt;0,H28&gt;0,I28&gt;0)),"WAIT - LIQ",IF(NOT(K33&gt;=Settings!$B$19),"WAIT - BUFFER","GO")))))))</f>
        <v>WAIT - DELTA</v>
      </c>
      <c r="P33" s="31">
        <f ca="1">IF(O33="GO",N33,-1000000000)</f>
        <v>-1000000000</v>
      </c>
    </row>
    <row r="34" spans="1:16" ht="32" x14ac:dyDescent="0.2">
      <c r="A34" s="23" t="s">
        <v>177</v>
      </c>
      <c r="B34" s="23" t="s">
        <v>175</v>
      </c>
      <c r="C34" s="22">
        <f ca="1">$D$10-TODAY()</f>
        <v>102</v>
      </c>
      <c r="D34" s="30">
        <f ca="1">$D$12</f>
        <v>0</v>
      </c>
      <c r="E34" s="30">
        <f ca="1">$D$12+$D$8</f>
        <v>2</v>
      </c>
      <c r="F34" s="33">
        <f>$D$8</f>
        <v>2</v>
      </c>
      <c r="G34" s="26">
        <f ca="1">IFERROR(L29-L30,0)</f>
        <v>0</v>
      </c>
      <c r="H34" s="26">
        <f ca="1">IFERROR(F34-G34,0)</f>
        <v>2</v>
      </c>
      <c r="I34" s="29">
        <f ca="1">IFERROR(G34/F34,0)</f>
        <v>0</v>
      </c>
      <c r="J34" s="29">
        <f ca="1">IFERROR((I29-H29)/L29,1)</f>
        <v>1</v>
      </c>
      <c r="K34" s="29">
        <f ca="1">IFERROR((D34-$E$4)/$E$4,0)</f>
        <v>0</v>
      </c>
      <c r="L34" s="29">
        <f ca="1">IFERROR(1-ABS(K29),0)</f>
        <v>1</v>
      </c>
      <c r="M34" s="26">
        <f ca="1">L34*G34-(1-L34)*H34</f>
        <v>0</v>
      </c>
      <c r="N34" s="31">
        <f ca="1">IFERROR(M34/H34,0)</f>
        <v>0</v>
      </c>
      <c r="O34" s="23" t="str">
        <f ca="1">IF(NOT(AND(C34&gt;=Settings!$B$14,C34&lt;=Settings!$B$15)),"WAIT - DTE",IF(NOT(AND(ABS(K29)&gt;=Settings!$B$12,ABS(K29)&lt;=Settings!$B$13)),"WAIT - DELTA",IF(NOT($F$4&gt;=Settings!$B$8),"WAIT - IVR",IF(NOT(G34&gt;=Settings!$B$10),"WAIT - CREDIT",IF(NOT(I34&gt;=Settings!$B$9),"WAIT - C/W",IF(NOT(AND(J34&lt;=Settings!$B$11,H29&gt;0,I29&gt;0,H30&gt;0,I30&gt;0)),"WAIT - LIQ",IF(NOT(K34&gt;=Settings!$B$19),"WAIT - BUFFER","GO")))))))</f>
        <v>WAIT - DELTA</v>
      </c>
      <c r="P34" s="31">
        <f ca="1">IF(O34="GO",N34,-1000000000)</f>
        <v>-1000000000</v>
      </c>
    </row>
    <row r="36" spans="1:16" ht="15" customHeight="1" x14ac:dyDescent="0.2">
      <c r="A36" s="6" t="s">
        <v>179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6" ht="32" x14ac:dyDescent="0.2">
      <c r="A37" s="19" t="s">
        <v>180</v>
      </c>
      <c r="B37" s="19" t="s">
        <v>181</v>
      </c>
      <c r="C37" s="19" t="s">
        <v>182</v>
      </c>
      <c r="D37" s="19" t="s">
        <v>79</v>
      </c>
      <c r="E37" s="19" t="s">
        <v>113</v>
      </c>
      <c r="F37" s="19" t="s">
        <v>114</v>
      </c>
      <c r="G37" s="19" t="s">
        <v>96</v>
      </c>
      <c r="H37" s="19" t="s">
        <v>97</v>
      </c>
      <c r="I37" s="19" t="s">
        <v>115</v>
      </c>
      <c r="J37" s="19" t="s">
        <v>116</v>
      </c>
      <c r="K37" s="19" t="s">
        <v>99</v>
      </c>
      <c r="L37" s="19" t="s">
        <v>117</v>
      </c>
    </row>
    <row r="38" spans="1:16" ht="16" x14ac:dyDescent="0.2">
      <c r="A38" s="23" t="str">
        <f ca="1">INDEX($A$22:$P$34, IF(P22=MAX(P22,P23,P33,P34),22,IF(P23=MAX(P22,P23,P33,P34),23,IF(P33=MAX(P22,P23,P33,P34),33,34)))-21, 1)</f>
        <v>BullPut</v>
      </c>
      <c r="B38" s="23" t="str">
        <f ca="1">INDEX($A$22:$P$34, IF(P22=MAX(P22,P23,P33,P34),22,IF(P23=MAX(P22,P23,P33,P34),23,IF(P33=MAX(P22,P23,P33,P34),33,34)))-21, 2)</f>
        <v>Front</v>
      </c>
      <c r="C38" s="25">
        <f ca="1">IF(INDEX($A$22:$P$34, IF(P22=MAX(P22,P23,P33,P34),22,IF(P23=MAX(P22,P23,P33,P34),23,IF(P33=MAX(P22,P23,P33,P34),33,34)))-21, 2)="Front",$D$9,$D$10)</f>
        <v>46220</v>
      </c>
      <c r="D38" s="22">
        <f ca="1">INDEX($A$22:$P$34, IF(P22=MAX(P22,P23,P33,P34),22,IF(P23=MAX(P22,P23,P33,P34),23,IF(P33=MAX(P22,P23,P33,P34),33,34)))-21, 3)</f>
        <v>67</v>
      </c>
      <c r="E38" s="30">
        <f ca="1">INDEX($A$22:$P$34, IF(P22=MAX(P22,P23,P33,P34),22,IF(P23=MAX(P22,P23,P33,P34),23,IF(P33=MAX(P22,P23,P33,P34),33,34)))-21, 4)</f>
        <v>0</v>
      </c>
      <c r="F38" s="30">
        <f ca="1">INDEX($A$22:$P$34, IF(P22=MAX(P22,P23,P33,P34),22,IF(P23=MAX(P22,P23,P33,P34),23,IF(P33=MAX(P22,P23,P33,P34),33,34)))-21, 5)</f>
        <v>-2</v>
      </c>
      <c r="G38" s="26">
        <f ca="1">INDEX($A$22:$P$34, IF(P22=MAX(P22,P23,P33,P34),22,IF(P23=MAX(P22,P23,P33,P34),23,IF(P33=MAX(P22,P23,P33,P34),33,34)))-21, 7)</f>
        <v>0</v>
      </c>
      <c r="H38" s="26">
        <f ca="1">INDEX($A$22:$P$34, IF(P22=MAX(P22,P23,P33,P34),22,IF(P23=MAX(P22,P23,P33,P34),23,IF(P33=MAX(P22,P23,P33,P34),33,34)))-21, 8)</f>
        <v>2</v>
      </c>
      <c r="I38" s="29">
        <f ca="1">INDEX($A$22:$P$34, IF(P22=MAX(P22,P23,P33,P34),22,IF(P23=MAX(P22,P23,P33,P34),23,IF(P33=MAX(P22,P23,P33,P34),33,34)))-21, 12)</f>
        <v>1</v>
      </c>
      <c r="J38" s="31">
        <f ca="1">INDEX($A$22:$P$34, IF(P22=MAX(P22,P23,P33,P34),22,IF(P23=MAX(P22,P23,P33,P34),23,IF(P33=MAX(P22,P23,P33,P34),33,34)))-21, 14)</f>
        <v>0</v>
      </c>
      <c r="K38" s="23" t="str">
        <f ca="1">INDEX($A$22:$P$34, IF(P22=MAX(P22,P23,P33,P34),22,IF(P23=MAX(P22,P23,P33,P34),23,IF(P33=MAX(P22,P23,P33,P34),33,34)))-21, 15)</f>
        <v>WAIT - DELTA</v>
      </c>
      <c r="L38" s="31">
        <f ca="1">MAX(P22,P23,P33,P34)</f>
        <v>-1000000000</v>
      </c>
    </row>
  </sheetData>
  <mergeCells count="5">
    <mergeCell ref="A1:L1"/>
    <mergeCell ref="A6:L6"/>
    <mergeCell ref="A14:L14"/>
    <mergeCell ref="A25:L25"/>
    <mergeCell ref="A36:L36"/>
  </mergeCells>
  <conditionalFormatting sqref="K38">
    <cfRule type="expression" dxfId="89" priority="6">
      <formula>K38="GO"</formula>
    </cfRule>
    <cfRule type="expression" dxfId="88" priority="7">
      <formula>LEFT(K38,4)="WAIT"</formula>
    </cfRule>
  </conditionalFormatting>
  <conditionalFormatting sqref="O22:O23">
    <cfRule type="expression" dxfId="87" priority="2">
      <formula>O22="GO"</formula>
    </cfRule>
    <cfRule type="expression" dxfId="86" priority="3">
      <formula>LEFT(O22,4)="WAIT"</formula>
    </cfRule>
  </conditionalFormatting>
  <conditionalFormatting sqref="O33:O34">
    <cfRule type="expression" dxfId="85" priority="4">
      <formula>O33="GO"</formula>
    </cfRule>
    <cfRule type="expression" dxfId="84" priority="5">
      <formula>LEFT(O33,4)="WAIT"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8"/>
  <sheetViews>
    <sheetView showGridLines="0" zoomScaleNormal="100" workbookViewId="0">
      <pane ySplit="2" topLeftCell="A3" activePane="bottomLeft" state="frozen"/>
      <selection pane="bottomLeft" sqref="A1:L1"/>
    </sheetView>
  </sheetViews>
  <sheetFormatPr baseColWidth="10" defaultColWidth="8.6640625" defaultRowHeight="15" x14ac:dyDescent="0.2"/>
  <cols>
    <col min="1" max="2" width="11" customWidth="1"/>
    <col min="3" max="3" width="8" customWidth="1"/>
    <col min="4" max="4" width="10" customWidth="1"/>
    <col min="5" max="5" width="12" customWidth="1"/>
    <col min="6" max="6" width="32" customWidth="1"/>
    <col min="7" max="10" width="10" customWidth="1"/>
    <col min="11" max="11" width="13" customWidth="1"/>
    <col min="12" max="12" width="10" customWidth="1"/>
  </cols>
  <sheetData>
    <row r="1" spans="1:12" ht="25.5" customHeight="1" x14ac:dyDescent="0.2">
      <c r="A1" s="6" t="s">
        <v>185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3" spans="1:12" ht="16" x14ac:dyDescent="0.2">
      <c r="A3" s="19" t="s">
        <v>135</v>
      </c>
      <c r="B3" s="19" t="s">
        <v>136</v>
      </c>
      <c r="C3" s="19" t="s">
        <v>137</v>
      </c>
      <c r="D3" s="19" t="s">
        <v>138</v>
      </c>
      <c r="E3" s="19" t="s">
        <v>139</v>
      </c>
      <c r="F3" s="19" t="s">
        <v>140</v>
      </c>
    </row>
    <row r="4" spans="1:12" ht="32" x14ac:dyDescent="0.2">
      <c r="A4" s="32" t="s">
        <v>120</v>
      </c>
      <c r="B4" s="32" t="s">
        <v>186</v>
      </c>
      <c r="C4" s="23" t="str">
        <f>C$3</f>
        <v>PX_LAST</v>
      </c>
      <c r="D4" s="23" t="str">
        <f>D$3</f>
        <v>IVOL_RANK</v>
      </c>
      <c r="E4" s="30">
        <f ca="1">IFERROR(bdp(B4,C4),0)</f>
        <v>0</v>
      </c>
      <c r="F4" s="22">
        <f ca="1">IFERROR(bdp(B4,D4),0)</f>
        <v>0</v>
      </c>
    </row>
    <row r="6" spans="1:12" ht="15" customHeight="1" x14ac:dyDescent="0.2">
      <c r="A6" s="6" t="s">
        <v>142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2" ht="16" x14ac:dyDescent="0.2">
      <c r="A7" s="19" t="s">
        <v>143</v>
      </c>
      <c r="B7" s="19" t="s">
        <v>144</v>
      </c>
      <c r="C7" s="19" t="s">
        <v>145</v>
      </c>
      <c r="D7" s="19" t="s">
        <v>146</v>
      </c>
    </row>
    <row r="8" spans="1:12" ht="16" x14ac:dyDescent="0.2">
      <c r="A8" s="20" t="s">
        <v>147</v>
      </c>
      <c r="B8" s="33">
        <v>2</v>
      </c>
      <c r="C8" s="34"/>
      <c r="D8" s="33">
        <f>IF(C8="",B8,C8)</f>
        <v>2</v>
      </c>
    </row>
    <row r="9" spans="1:12" ht="32" x14ac:dyDescent="0.2">
      <c r="A9" s="20" t="s">
        <v>148</v>
      </c>
      <c r="B9" s="25">
        <f ca="1">Calendar!$B$11</f>
        <v>46220</v>
      </c>
      <c r="C9" s="35"/>
      <c r="D9" s="25">
        <f ca="1">IF(C9="",B9,C9)</f>
        <v>46220</v>
      </c>
    </row>
    <row r="10" spans="1:12" ht="32" x14ac:dyDescent="0.2">
      <c r="A10" s="20" t="s">
        <v>149</v>
      </c>
      <c r="B10" s="25">
        <f ca="1">Calendar!$B$12</f>
        <v>46255</v>
      </c>
      <c r="C10" s="35"/>
      <c r="D10" s="25">
        <f ca="1">IF(C10="",B10,C10)</f>
        <v>46255</v>
      </c>
    </row>
    <row r="11" spans="1:12" ht="32" x14ac:dyDescent="0.2">
      <c r="A11" s="20" t="s">
        <v>150</v>
      </c>
      <c r="B11" s="30">
        <f ca="1">IF($E$4=0,0,FLOOR($E$4*(1-0.05)/$D$8,1)*$D$8)</f>
        <v>0</v>
      </c>
      <c r="C11" s="36"/>
      <c r="D11" s="30">
        <f ca="1">IF(C11="",B11,C11)</f>
        <v>0</v>
      </c>
    </row>
    <row r="12" spans="1:12" ht="32" x14ac:dyDescent="0.2">
      <c r="A12" s="20" t="s">
        <v>151</v>
      </c>
      <c r="B12" s="30">
        <f ca="1">IF($E$4=0,0,CEILING($E$4*(1+0.05)/$D$8,1)*$D$8)</f>
        <v>0</v>
      </c>
      <c r="C12" s="36"/>
      <c r="D12" s="30">
        <f ca="1">IF(C12="",B12,C12)</f>
        <v>0</v>
      </c>
    </row>
    <row r="14" spans="1:12" ht="21.75" customHeight="1" x14ac:dyDescent="0.2">
      <c r="A14" s="6" t="s">
        <v>152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12" ht="16" x14ac:dyDescent="0.2">
      <c r="A15" s="19" t="s">
        <v>93</v>
      </c>
      <c r="B15" s="19" t="s">
        <v>153</v>
      </c>
      <c r="C15" s="19" t="s">
        <v>154</v>
      </c>
      <c r="D15" s="19" t="s">
        <v>155</v>
      </c>
      <c r="E15" s="19" t="s">
        <v>156</v>
      </c>
      <c r="F15" s="19" t="s">
        <v>136</v>
      </c>
      <c r="G15" s="19" t="s">
        <v>137</v>
      </c>
      <c r="H15" s="19" t="s">
        <v>157</v>
      </c>
      <c r="I15" s="19" t="s">
        <v>158</v>
      </c>
      <c r="J15" s="19" t="s">
        <v>159</v>
      </c>
      <c r="K15" s="19" t="s">
        <v>160</v>
      </c>
      <c r="L15" s="19" t="s">
        <v>161</v>
      </c>
    </row>
    <row r="16" spans="1:12" ht="16" x14ac:dyDescent="0.2">
      <c r="A16" s="23" t="s">
        <v>162</v>
      </c>
      <c r="B16" s="23" t="s">
        <v>163</v>
      </c>
      <c r="C16" s="23" t="s">
        <v>164</v>
      </c>
      <c r="D16" s="30">
        <f ca="1">$D$11</f>
        <v>0</v>
      </c>
      <c r="E16" s="25">
        <f ca="1">$D$9</f>
        <v>46220</v>
      </c>
      <c r="F16" s="23" t="str">
        <f ca="1">"XLC"&amp;" US "&amp;TEXT(E16,"mm/dd/yy")&amp;" "&amp;"P"&amp;IF(D16=INT(D16),INT(D16),D16)&amp;" Equity"</f>
        <v>XLC US 07/17/26 P0 Equity</v>
      </c>
      <c r="G16" s="26">
        <f ca="1">IFERROR(bdp($F16, G$15), 0)</f>
        <v>0</v>
      </c>
      <c r="H16" s="26">
        <f ca="1">IFERROR(bdp($F16, H$15), 0)</f>
        <v>0</v>
      </c>
      <c r="I16" s="26">
        <f ca="1">IFERROR(bdp($F16, I$15), 0)</f>
        <v>0</v>
      </c>
      <c r="J16" s="29">
        <f ca="1">IFERROR(bdp($F16, J$15), 0)</f>
        <v>0</v>
      </c>
      <c r="K16" s="31">
        <f ca="1">IFERROR(bdp($F16, K$15), 0)</f>
        <v>0</v>
      </c>
      <c r="L16" s="26">
        <f ca="1">IFERROR((H16+I16)/2, 0)</f>
        <v>0</v>
      </c>
    </row>
    <row r="17" spans="1:16" ht="16" x14ac:dyDescent="0.2">
      <c r="A17" s="23" t="s">
        <v>162</v>
      </c>
      <c r="B17" s="23" t="s">
        <v>165</v>
      </c>
      <c r="C17" s="23" t="s">
        <v>164</v>
      </c>
      <c r="D17" s="30">
        <f ca="1">$D$11-$D$8</f>
        <v>-2</v>
      </c>
      <c r="E17" s="25">
        <f ca="1">$D$9</f>
        <v>46220</v>
      </c>
      <c r="F17" s="23" t="str">
        <f ca="1">"XLC"&amp;" US "&amp;TEXT(E17,"mm/dd/yy")&amp;" "&amp;"P"&amp;IF(D17=INT(D17),INT(D17),D17)&amp;" Equity"</f>
        <v>XLC US 07/17/26 P-2 Equity</v>
      </c>
      <c r="G17" s="26">
        <f ca="1">IFERROR(bdp($F17, G$15), 0)</f>
        <v>0</v>
      </c>
      <c r="H17" s="26">
        <f ca="1">IFERROR(bdp($F17, H$15), 0)</f>
        <v>0</v>
      </c>
      <c r="I17" s="26">
        <f ca="1">IFERROR(bdp($F17, I$15), 0)</f>
        <v>0</v>
      </c>
      <c r="J17" s="29">
        <f ca="1">IFERROR(bdp($F17, J$15), 0)</f>
        <v>0</v>
      </c>
      <c r="K17" s="31">
        <f ca="1">IFERROR(bdp($F17, K$15), 0)</f>
        <v>0</v>
      </c>
      <c r="L17" s="26">
        <f ca="1">IFERROR((H17+I17)/2, 0)</f>
        <v>0</v>
      </c>
    </row>
    <row r="18" spans="1:16" ht="16" x14ac:dyDescent="0.2">
      <c r="A18" s="23" t="s">
        <v>162</v>
      </c>
      <c r="B18" s="23" t="s">
        <v>166</v>
      </c>
      <c r="C18" s="23" t="s">
        <v>164</v>
      </c>
      <c r="D18" s="30">
        <f ca="1">$D$11</f>
        <v>0</v>
      </c>
      <c r="E18" s="25">
        <f ca="1">$D$10</f>
        <v>46255</v>
      </c>
      <c r="F18" s="23" t="str">
        <f ca="1">"XLC"&amp;" US "&amp;TEXT(E18,"mm/dd/yy")&amp;" "&amp;"P"&amp;IF(D18=INT(D18),INT(D18),D18)&amp;" Equity"</f>
        <v>XLC US 08/21/26 P0 Equity</v>
      </c>
      <c r="G18" s="26">
        <f ca="1">IFERROR(bdp($F18, G$15), 0)</f>
        <v>0</v>
      </c>
      <c r="H18" s="26">
        <f ca="1">IFERROR(bdp($F18, H$15), 0)</f>
        <v>0</v>
      </c>
      <c r="I18" s="26">
        <f ca="1">IFERROR(bdp($F18, I$15), 0)</f>
        <v>0</v>
      </c>
      <c r="J18" s="29">
        <f ca="1">IFERROR(bdp($F18, J$15), 0)</f>
        <v>0</v>
      </c>
      <c r="K18" s="31">
        <f ca="1">IFERROR(bdp($F18, K$15), 0)</f>
        <v>0</v>
      </c>
      <c r="L18" s="26">
        <f ca="1">IFERROR((H18+I18)/2, 0)</f>
        <v>0</v>
      </c>
    </row>
    <row r="19" spans="1:16" ht="16" x14ac:dyDescent="0.2">
      <c r="A19" s="23" t="s">
        <v>162</v>
      </c>
      <c r="B19" s="23" t="s">
        <v>167</v>
      </c>
      <c r="C19" s="23" t="s">
        <v>164</v>
      </c>
      <c r="D19" s="30">
        <f ca="1">$D$11-$D$8</f>
        <v>-2</v>
      </c>
      <c r="E19" s="25">
        <f ca="1">$D$10</f>
        <v>46255</v>
      </c>
      <c r="F19" s="23" t="str">
        <f ca="1">"XLC"&amp;" US "&amp;TEXT(E19,"mm/dd/yy")&amp;" "&amp;"P"&amp;IF(D19=INT(D19),INT(D19),D19)&amp;" Equity"</f>
        <v>XLC US 08/21/26 P-2 Equity</v>
      </c>
      <c r="G19" s="26">
        <f ca="1">IFERROR(bdp($F19, G$15), 0)</f>
        <v>0</v>
      </c>
      <c r="H19" s="26">
        <f ca="1">IFERROR(bdp($F19, H$15), 0)</f>
        <v>0</v>
      </c>
      <c r="I19" s="26">
        <f ca="1">IFERROR(bdp($F19, I$15), 0)</f>
        <v>0</v>
      </c>
      <c r="J19" s="29">
        <f ca="1">IFERROR(bdp($F19, J$15), 0)</f>
        <v>0</v>
      </c>
      <c r="K19" s="31">
        <f ca="1">IFERROR(bdp($F19, K$15), 0)</f>
        <v>0</v>
      </c>
      <c r="L19" s="26">
        <f ca="1">IFERROR((H19+I19)/2, 0)</f>
        <v>0</v>
      </c>
    </row>
    <row r="21" spans="1:16" ht="16" x14ac:dyDescent="0.2">
      <c r="A21" s="19" t="s">
        <v>93</v>
      </c>
      <c r="B21" s="19" t="s">
        <v>168</v>
      </c>
      <c r="C21" s="19" t="s">
        <v>79</v>
      </c>
      <c r="D21" s="19" t="s">
        <v>113</v>
      </c>
      <c r="E21" s="19" t="s">
        <v>114</v>
      </c>
      <c r="F21" s="19" t="s">
        <v>169</v>
      </c>
      <c r="G21" s="19" t="s">
        <v>96</v>
      </c>
      <c r="H21" s="19" t="s">
        <v>97</v>
      </c>
      <c r="I21" s="19" t="s">
        <v>170</v>
      </c>
      <c r="J21" s="19" t="s">
        <v>171</v>
      </c>
      <c r="K21" s="19" t="s">
        <v>172</v>
      </c>
      <c r="L21" s="19" t="s">
        <v>115</v>
      </c>
      <c r="M21" s="19" t="s">
        <v>173</v>
      </c>
      <c r="N21" s="19" t="s">
        <v>116</v>
      </c>
      <c r="O21" s="19" t="s">
        <v>99</v>
      </c>
      <c r="P21" s="19" t="s">
        <v>117</v>
      </c>
    </row>
    <row r="22" spans="1:16" ht="32" x14ac:dyDescent="0.2">
      <c r="A22" s="23" t="s">
        <v>162</v>
      </c>
      <c r="B22" s="23" t="s">
        <v>174</v>
      </c>
      <c r="C22" s="22">
        <f ca="1">$D$9-TODAY()</f>
        <v>67</v>
      </c>
      <c r="D22" s="30">
        <f ca="1">$D$11</f>
        <v>0</v>
      </c>
      <c r="E22" s="30">
        <f ca="1">$D$11-$D$8</f>
        <v>-2</v>
      </c>
      <c r="F22" s="33">
        <f>$D$8</f>
        <v>2</v>
      </c>
      <c r="G22" s="26">
        <f ca="1">IFERROR(L16-L17,0)</f>
        <v>0</v>
      </c>
      <c r="H22" s="26">
        <f ca="1">IFERROR(F22-G22,0)</f>
        <v>2</v>
      </c>
      <c r="I22" s="29">
        <f ca="1">IFERROR(G22/F22,0)</f>
        <v>0</v>
      </c>
      <c r="J22" s="29">
        <f ca="1">IFERROR((I16-H16)/L16,1)</f>
        <v>1</v>
      </c>
      <c r="K22" s="29">
        <f ca="1">IFERROR(($E$4-D22)/$E$4,0)</f>
        <v>0</v>
      </c>
      <c r="L22" s="29">
        <f ca="1">IFERROR(1-ABS(K16),0)</f>
        <v>1</v>
      </c>
      <c r="M22" s="26">
        <f ca="1">L22*G22-(1-L22)*H22</f>
        <v>0</v>
      </c>
      <c r="N22" s="31">
        <f ca="1">IFERROR(M22/H22,0)</f>
        <v>0</v>
      </c>
      <c r="O22" s="23" t="str">
        <f ca="1">IF(NOT(AND(C22&gt;=Settings!$B$14,C22&lt;=Settings!$B$15)),"WAIT - DTE",IF(NOT(AND(ABS(K16)&gt;=Settings!$B$12,ABS(K16)&lt;=Settings!$B$13)),"WAIT - DELTA",IF(NOT($F$4&gt;=Settings!$B$8),"WAIT - IVR",IF(NOT(G22&gt;=Settings!$B$10),"WAIT - CREDIT",IF(NOT(I22&gt;=Settings!$B$9),"WAIT - C/W",IF(NOT(AND(J22&lt;=Settings!$B$11,H16&gt;0,I16&gt;0,H17&gt;0,I17&gt;0)),"WAIT - LIQ",IF(NOT(K22&gt;=Settings!$B$19),"WAIT - BUFFER","GO")))))))</f>
        <v>WAIT - DELTA</v>
      </c>
      <c r="P22" s="31">
        <f ca="1">IF(O22="GO",N22,-1000000000)</f>
        <v>-1000000000</v>
      </c>
    </row>
    <row r="23" spans="1:16" ht="32" x14ac:dyDescent="0.2">
      <c r="A23" s="23" t="s">
        <v>162</v>
      </c>
      <c r="B23" s="23" t="s">
        <v>175</v>
      </c>
      <c r="C23" s="22">
        <f ca="1">$D$10-TODAY()</f>
        <v>102</v>
      </c>
      <c r="D23" s="30">
        <f ca="1">$D$11</f>
        <v>0</v>
      </c>
      <c r="E23" s="30">
        <f ca="1">$D$11-$D$8</f>
        <v>-2</v>
      </c>
      <c r="F23" s="33">
        <f>$D$8</f>
        <v>2</v>
      </c>
      <c r="G23" s="26">
        <f ca="1">IFERROR(L18-L19,0)</f>
        <v>0</v>
      </c>
      <c r="H23" s="26">
        <f ca="1">IFERROR(F23-G23,0)</f>
        <v>2</v>
      </c>
      <c r="I23" s="29">
        <f ca="1">IFERROR(G23/F23,0)</f>
        <v>0</v>
      </c>
      <c r="J23" s="29">
        <f ca="1">IFERROR((I18-H18)/L18,1)</f>
        <v>1</v>
      </c>
      <c r="K23" s="29">
        <f ca="1">IFERROR(($E$4-D23)/$E$4,0)</f>
        <v>0</v>
      </c>
      <c r="L23" s="29">
        <f ca="1">IFERROR(1-ABS(K18),0)</f>
        <v>1</v>
      </c>
      <c r="M23" s="26">
        <f ca="1">L23*G23-(1-L23)*H23</f>
        <v>0</v>
      </c>
      <c r="N23" s="31">
        <f ca="1">IFERROR(M23/H23,0)</f>
        <v>0</v>
      </c>
      <c r="O23" s="23" t="str">
        <f ca="1">IF(NOT(AND(C23&gt;=Settings!$B$14,C23&lt;=Settings!$B$15)),"WAIT - DTE",IF(NOT(AND(ABS(K18)&gt;=Settings!$B$12,ABS(K18)&lt;=Settings!$B$13)),"WAIT - DELTA",IF(NOT($F$4&gt;=Settings!$B$8),"WAIT - IVR",IF(NOT(G23&gt;=Settings!$B$10),"WAIT - CREDIT",IF(NOT(I23&gt;=Settings!$B$9),"WAIT - C/W",IF(NOT(AND(J23&lt;=Settings!$B$11,H18&gt;0,I18&gt;0,H19&gt;0,I19&gt;0)),"WAIT - LIQ",IF(NOT(K23&gt;=Settings!$B$19),"WAIT - BUFFER","GO")))))))</f>
        <v>WAIT - DELTA</v>
      </c>
      <c r="P23" s="31">
        <f ca="1">IF(O23="GO",N23,-1000000000)</f>
        <v>-1000000000</v>
      </c>
    </row>
    <row r="25" spans="1:16" ht="21.75" customHeight="1" x14ac:dyDescent="0.2">
      <c r="A25" s="6" t="s">
        <v>176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6" ht="16" x14ac:dyDescent="0.2">
      <c r="A26" s="19" t="s">
        <v>93</v>
      </c>
      <c r="B26" s="19" t="s">
        <v>153</v>
      </c>
      <c r="C26" s="19" t="s">
        <v>154</v>
      </c>
      <c r="D26" s="19" t="s">
        <v>155</v>
      </c>
      <c r="E26" s="19" t="s">
        <v>156</v>
      </c>
      <c r="F26" s="19" t="s">
        <v>136</v>
      </c>
      <c r="G26" s="19" t="s">
        <v>137</v>
      </c>
      <c r="H26" s="19" t="s">
        <v>157</v>
      </c>
      <c r="I26" s="19" t="s">
        <v>158</v>
      </c>
      <c r="J26" s="19" t="s">
        <v>159</v>
      </c>
      <c r="K26" s="19" t="s">
        <v>160</v>
      </c>
      <c r="L26" s="19" t="s">
        <v>161</v>
      </c>
    </row>
    <row r="27" spans="1:16" ht="16" x14ac:dyDescent="0.2">
      <c r="A27" s="23" t="s">
        <v>177</v>
      </c>
      <c r="B27" s="23" t="s">
        <v>163</v>
      </c>
      <c r="C27" s="23" t="s">
        <v>178</v>
      </c>
      <c r="D27" s="30">
        <f ca="1">$D$12</f>
        <v>0</v>
      </c>
      <c r="E27" s="25">
        <f ca="1">$D$9</f>
        <v>46220</v>
      </c>
      <c r="F27" s="23" t="str">
        <f ca="1">"XLC"&amp;" US "&amp;TEXT(E27,"mm/dd/yy")&amp;" "&amp;"C"&amp;IF(D27=INT(D27),INT(D27),D27)&amp;" Equity"</f>
        <v>XLC US 07/17/26 C0 Equity</v>
      </c>
      <c r="G27" s="26">
        <f ca="1">IFERROR(bdp($F27, G$26), 0)</f>
        <v>0</v>
      </c>
      <c r="H27" s="26">
        <f ca="1">IFERROR(bdp($F27, H$26), 0)</f>
        <v>0</v>
      </c>
      <c r="I27" s="26">
        <f ca="1">IFERROR(bdp($F27, I$26), 0)</f>
        <v>0</v>
      </c>
      <c r="J27" s="29">
        <f ca="1">IFERROR(bdp($F27, J$26), 0)</f>
        <v>0</v>
      </c>
      <c r="K27" s="31">
        <f ca="1">IFERROR(bdp($F27, K$26), 0)</f>
        <v>0</v>
      </c>
      <c r="L27" s="26">
        <f ca="1">IFERROR((H27+I27)/2, 0)</f>
        <v>0</v>
      </c>
    </row>
    <row r="28" spans="1:16" ht="16" x14ac:dyDescent="0.2">
      <c r="A28" s="23" t="s">
        <v>177</v>
      </c>
      <c r="B28" s="23" t="s">
        <v>165</v>
      </c>
      <c r="C28" s="23" t="s">
        <v>178</v>
      </c>
      <c r="D28" s="30">
        <f ca="1">$D$12+$D$8</f>
        <v>2</v>
      </c>
      <c r="E28" s="25">
        <f ca="1">$D$9</f>
        <v>46220</v>
      </c>
      <c r="F28" s="23" t="str">
        <f ca="1">"XLC"&amp;" US "&amp;TEXT(E28,"mm/dd/yy")&amp;" "&amp;"C"&amp;IF(D28=INT(D28),INT(D28),D28)&amp;" Equity"</f>
        <v>XLC US 07/17/26 C2 Equity</v>
      </c>
      <c r="G28" s="26">
        <f ca="1">IFERROR(bdp($F28, G$26), 0)</f>
        <v>0</v>
      </c>
      <c r="H28" s="26">
        <f ca="1">IFERROR(bdp($F28, H$26), 0)</f>
        <v>0</v>
      </c>
      <c r="I28" s="26">
        <f ca="1">IFERROR(bdp($F28, I$26), 0)</f>
        <v>0</v>
      </c>
      <c r="J28" s="29">
        <f ca="1">IFERROR(bdp($F28, J$26), 0)</f>
        <v>0</v>
      </c>
      <c r="K28" s="31">
        <f ca="1">IFERROR(bdp($F28, K$26), 0)</f>
        <v>0</v>
      </c>
      <c r="L28" s="26">
        <f ca="1">IFERROR((H28+I28)/2, 0)</f>
        <v>0</v>
      </c>
    </row>
    <row r="29" spans="1:16" ht="16" x14ac:dyDescent="0.2">
      <c r="A29" s="23" t="s">
        <v>177</v>
      </c>
      <c r="B29" s="23" t="s">
        <v>166</v>
      </c>
      <c r="C29" s="23" t="s">
        <v>178</v>
      </c>
      <c r="D29" s="30">
        <f ca="1">$D$12</f>
        <v>0</v>
      </c>
      <c r="E29" s="25">
        <f ca="1">$D$10</f>
        <v>46255</v>
      </c>
      <c r="F29" s="23" t="str">
        <f ca="1">"XLC"&amp;" US "&amp;TEXT(E29,"mm/dd/yy")&amp;" "&amp;"C"&amp;IF(D29=INT(D29),INT(D29),D29)&amp;" Equity"</f>
        <v>XLC US 08/21/26 C0 Equity</v>
      </c>
      <c r="G29" s="26">
        <f ca="1">IFERROR(bdp($F29, G$26), 0)</f>
        <v>0</v>
      </c>
      <c r="H29" s="26">
        <f ca="1">IFERROR(bdp($F29, H$26), 0)</f>
        <v>0</v>
      </c>
      <c r="I29" s="26">
        <f ca="1">IFERROR(bdp($F29, I$26), 0)</f>
        <v>0</v>
      </c>
      <c r="J29" s="29">
        <f ca="1">IFERROR(bdp($F29, J$26), 0)</f>
        <v>0</v>
      </c>
      <c r="K29" s="31">
        <f ca="1">IFERROR(bdp($F29, K$26), 0)</f>
        <v>0</v>
      </c>
      <c r="L29" s="26">
        <f ca="1">IFERROR((H29+I29)/2, 0)</f>
        <v>0</v>
      </c>
    </row>
    <row r="30" spans="1:16" ht="16" x14ac:dyDescent="0.2">
      <c r="A30" s="23" t="s">
        <v>177</v>
      </c>
      <c r="B30" s="23" t="s">
        <v>167</v>
      </c>
      <c r="C30" s="23" t="s">
        <v>178</v>
      </c>
      <c r="D30" s="30">
        <f ca="1">$D$12+$D$8</f>
        <v>2</v>
      </c>
      <c r="E30" s="25">
        <f ca="1">$D$10</f>
        <v>46255</v>
      </c>
      <c r="F30" s="23" t="str">
        <f ca="1">"XLC"&amp;" US "&amp;TEXT(E30,"mm/dd/yy")&amp;" "&amp;"C"&amp;IF(D30=INT(D30),INT(D30),D30)&amp;" Equity"</f>
        <v>XLC US 08/21/26 C2 Equity</v>
      </c>
      <c r="G30" s="26">
        <f ca="1">IFERROR(bdp($F30, G$26), 0)</f>
        <v>0</v>
      </c>
      <c r="H30" s="26">
        <f ca="1">IFERROR(bdp($F30, H$26), 0)</f>
        <v>0</v>
      </c>
      <c r="I30" s="26">
        <f ca="1">IFERROR(bdp($F30, I$26), 0)</f>
        <v>0</v>
      </c>
      <c r="J30" s="29">
        <f ca="1">IFERROR(bdp($F30, J$26), 0)</f>
        <v>0</v>
      </c>
      <c r="K30" s="31">
        <f ca="1">IFERROR(bdp($F30, K$26), 0)</f>
        <v>0</v>
      </c>
      <c r="L30" s="26">
        <f ca="1">IFERROR((H30+I30)/2, 0)</f>
        <v>0</v>
      </c>
    </row>
    <row r="32" spans="1:16" ht="16" x14ac:dyDescent="0.2">
      <c r="A32" s="19" t="s">
        <v>93</v>
      </c>
      <c r="B32" s="19" t="s">
        <v>168</v>
      </c>
      <c r="C32" s="19" t="s">
        <v>79</v>
      </c>
      <c r="D32" s="19" t="s">
        <v>113</v>
      </c>
      <c r="E32" s="19" t="s">
        <v>114</v>
      </c>
      <c r="F32" s="19" t="s">
        <v>169</v>
      </c>
      <c r="G32" s="19" t="s">
        <v>96</v>
      </c>
      <c r="H32" s="19" t="s">
        <v>97</v>
      </c>
      <c r="I32" s="19" t="s">
        <v>170</v>
      </c>
      <c r="J32" s="19" t="s">
        <v>171</v>
      </c>
      <c r="K32" s="19" t="s">
        <v>172</v>
      </c>
      <c r="L32" s="19" t="s">
        <v>115</v>
      </c>
      <c r="M32" s="19" t="s">
        <v>173</v>
      </c>
      <c r="N32" s="19" t="s">
        <v>116</v>
      </c>
      <c r="O32" s="19" t="s">
        <v>99</v>
      </c>
      <c r="P32" s="19" t="s">
        <v>117</v>
      </c>
    </row>
    <row r="33" spans="1:16" ht="32" x14ac:dyDescent="0.2">
      <c r="A33" s="23" t="s">
        <v>177</v>
      </c>
      <c r="B33" s="23" t="s">
        <v>174</v>
      </c>
      <c r="C33" s="22">
        <f ca="1">$D$9-TODAY()</f>
        <v>67</v>
      </c>
      <c r="D33" s="30">
        <f ca="1">$D$12</f>
        <v>0</v>
      </c>
      <c r="E33" s="30">
        <f ca="1">$D$12+$D$8</f>
        <v>2</v>
      </c>
      <c r="F33" s="33">
        <f>$D$8</f>
        <v>2</v>
      </c>
      <c r="G33" s="26">
        <f ca="1">IFERROR(L27-L28,0)</f>
        <v>0</v>
      </c>
      <c r="H33" s="26">
        <f ca="1">IFERROR(F33-G33,0)</f>
        <v>2</v>
      </c>
      <c r="I33" s="29">
        <f ca="1">IFERROR(G33/F33,0)</f>
        <v>0</v>
      </c>
      <c r="J33" s="29">
        <f ca="1">IFERROR((I27-H27)/L27,1)</f>
        <v>1</v>
      </c>
      <c r="K33" s="29">
        <f ca="1">IFERROR((D33-$E$4)/$E$4,0)</f>
        <v>0</v>
      </c>
      <c r="L33" s="29">
        <f ca="1">IFERROR(1-ABS(K27),0)</f>
        <v>1</v>
      </c>
      <c r="M33" s="26">
        <f ca="1">L33*G33-(1-L33)*H33</f>
        <v>0</v>
      </c>
      <c r="N33" s="31">
        <f ca="1">IFERROR(M33/H33,0)</f>
        <v>0</v>
      </c>
      <c r="O33" s="23" t="str">
        <f ca="1">IF(NOT(AND(C33&gt;=Settings!$B$14,C33&lt;=Settings!$B$15)),"WAIT - DTE",IF(NOT(AND(ABS(K27)&gt;=Settings!$B$12,ABS(K27)&lt;=Settings!$B$13)),"WAIT - DELTA",IF(NOT($F$4&gt;=Settings!$B$8),"WAIT - IVR",IF(NOT(G33&gt;=Settings!$B$10),"WAIT - CREDIT",IF(NOT(I33&gt;=Settings!$B$9),"WAIT - C/W",IF(NOT(AND(J33&lt;=Settings!$B$11,H27&gt;0,I27&gt;0,H28&gt;0,I28&gt;0)),"WAIT - LIQ",IF(NOT(K33&gt;=Settings!$B$19),"WAIT - BUFFER","GO")))))))</f>
        <v>WAIT - DELTA</v>
      </c>
      <c r="P33" s="31">
        <f ca="1">IF(O33="GO",N33,-1000000000)</f>
        <v>-1000000000</v>
      </c>
    </row>
    <row r="34" spans="1:16" ht="32" x14ac:dyDescent="0.2">
      <c r="A34" s="23" t="s">
        <v>177</v>
      </c>
      <c r="B34" s="23" t="s">
        <v>175</v>
      </c>
      <c r="C34" s="22">
        <f ca="1">$D$10-TODAY()</f>
        <v>102</v>
      </c>
      <c r="D34" s="30">
        <f ca="1">$D$12</f>
        <v>0</v>
      </c>
      <c r="E34" s="30">
        <f ca="1">$D$12+$D$8</f>
        <v>2</v>
      </c>
      <c r="F34" s="33">
        <f>$D$8</f>
        <v>2</v>
      </c>
      <c r="G34" s="26">
        <f ca="1">IFERROR(L29-L30,0)</f>
        <v>0</v>
      </c>
      <c r="H34" s="26">
        <f ca="1">IFERROR(F34-G34,0)</f>
        <v>2</v>
      </c>
      <c r="I34" s="29">
        <f ca="1">IFERROR(G34/F34,0)</f>
        <v>0</v>
      </c>
      <c r="J34" s="29">
        <f ca="1">IFERROR((I29-H29)/L29,1)</f>
        <v>1</v>
      </c>
      <c r="K34" s="29">
        <f ca="1">IFERROR((D34-$E$4)/$E$4,0)</f>
        <v>0</v>
      </c>
      <c r="L34" s="29">
        <f ca="1">IFERROR(1-ABS(K29),0)</f>
        <v>1</v>
      </c>
      <c r="M34" s="26">
        <f ca="1">L34*G34-(1-L34)*H34</f>
        <v>0</v>
      </c>
      <c r="N34" s="31">
        <f ca="1">IFERROR(M34/H34,0)</f>
        <v>0</v>
      </c>
      <c r="O34" s="23" t="str">
        <f ca="1">IF(NOT(AND(C34&gt;=Settings!$B$14,C34&lt;=Settings!$B$15)),"WAIT - DTE",IF(NOT(AND(ABS(K29)&gt;=Settings!$B$12,ABS(K29)&lt;=Settings!$B$13)),"WAIT - DELTA",IF(NOT($F$4&gt;=Settings!$B$8),"WAIT - IVR",IF(NOT(G34&gt;=Settings!$B$10),"WAIT - CREDIT",IF(NOT(I34&gt;=Settings!$B$9),"WAIT - C/W",IF(NOT(AND(J34&lt;=Settings!$B$11,H29&gt;0,I29&gt;0,H30&gt;0,I30&gt;0)),"WAIT - LIQ",IF(NOT(K34&gt;=Settings!$B$19),"WAIT - BUFFER","GO")))))))</f>
        <v>WAIT - DELTA</v>
      </c>
      <c r="P34" s="31">
        <f ca="1">IF(O34="GO",N34,-1000000000)</f>
        <v>-1000000000</v>
      </c>
    </row>
    <row r="36" spans="1:16" ht="15" customHeight="1" x14ac:dyDescent="0.2">
      <c r="A36" s="6" t="s">
        <v>179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6" ht="32" x14ac:dyDescent="0.2">
      <c r="A37" s="19" t="s">
        <v>180</v>
      </c>
      <c r="B37" s="19" t="s">
        <v>181</v>
      </c>
      <c r="C37" s="19" t="s">
        <v>182</v>
      </c>
      <c r="D37" s="19" t="s">
        <v>79</v>
      </c>
      <c r="E37" s="19" t="s">
        <v>113</v>
      </c>
      <c r="F37" s="19" t="s">
        <v>114</v>
      </c>
      <c r="G37" s="19" t="s">
        <v>96</v>
      </c>
      <c r="H37" s="19" t="s">
        <v>97</v>
      </c>
      <c r="I37" s="19" t="s">
        <v>115</v>
      </c>
      <c r="J37" s="19" t="s">
        <v>116</v>
      </c>
      <c r="K37" s="19" t="s">
        <v>99</v>
      </c>
      <c r="L37" s="19" t="s">
        <v>117</v>
      </c>
    </row>
    <row r="38" spans="1:16" ht="16" x14ac:dyDescent="0.2">
      <c r="A38" s="23" t="str">
        <f ca="1">INDEX($A$22:$P$34, IF(P22=MAX(P22,P23,P33,P34),22,IF(P23=MAX(P22,P23,P33,P34),23,IF(P33=MAX(P22,P23,P33,P34),33,34)))-21, 1)</f>
        <v>BullPut</v>
      </c>
      <c r="B38" s="23" t="str">
        <f ca="1">INDEX($A$22:$P$34, IF(P22=MAX(P22,P23,P33,P34),22,IF(P23=MAX(P22,P23,P33,P34),23,IF(P33=MAX(P22,P23,P33,P34),33,34)))-21, 2)</f>
        <v>Front</v>
      </c>
      <c r="C38" s="25">
        <f ca="1">IF(INDEX($A$22:$P$34, IF(P22=MAX(P22,P23,P33,P34),22,IF(P23=MAX(P22,P23,P33,P34),23,IF(P33=MAX(P22,P23,P33,P34),33,34)))-21, 2)="Front",$D$9,$D$10)</f>
        <v>46220</v>
      </c>
      <c r="D38" s="22">
        <f ca="1">INDEX($A$22:$P$34, IF(P22=MAX(P22,P23,P33,P34),22,IF(P23=MAX(P22,P23,P33,P34),23,IF(P33=MAX(P22,P23,P33,P34),33,34)))-21, 3)</f>
        <v>67</v>
      </c>
      <c r="E38" s="30">
        <f ca="1">INDEX($A$22:$P$34, IF(P22=MAX(P22,P23,P33,P34),22,IF(P23=MAX(P22,P23,P33,P34),23,IF(P33=MAX(P22,P23,P33,P34),33,34)))-21, 4)</f>
        <v>0</v>
      </c>
      <c r="F38" s="30">
        <f ca="1">INDEX($A$22:$P$34, IF(P22=MAX(P22,P23,P33,P34),22,IF(P23=MAX(P22,P23,P33,P34),23,IF(P33=MAX(P22,P23,P33,P34),33,34)))-21, 5)</f>
        <v>-2</v>
      </c>
      <c r="G38" s="26">
        <f ca="1">INDEX($A$22:$P$34, IF(P22=MAX(P22,P23,P33,P34),22,IF(P23=MAX(P22,P23,P33,P34),23,IF(P33=MAX(P22,P23,P33,P34),33,34)))-21, 7)</f>
        <v>0</v>
      </c>
      <c r="H38" s="26">
        <f ca="1">INDEX($A$22:$P$34, IF(P22=MAX(P22,P23,P33,P34),22,IF(P23=MAX(P22,P23,P33,P34),23,IF(P33=MAX(P22,P23,P33,P34),33,34)))-21, 8)</f>
        <v>2</v>
      </c>
      <c r="I38" s="29">
        <f ca="1">INDEX($A$22:$P$34, IF(P22=MAX(P22,P23,P33,P34),22,IF(P23=MAX(P22,P23,P33,P34),23,IF(P33=MAX(P22,P23,P33,P34),33,34)))-21, 12)</f>
        <v>1</v>
      </c>
      <c r="J38" s="31">
        <f ca="1">INDEX($A$22:$P$34, IF(P22=MAX(P22,P23,P33,P34),22,IF(P23=MAX(P22,P23,P33,P34),23,IF(P33=MAX(P22,P23,P33,P34),33,34)))-21, 14)</f>
        <v>0</v>
      </c>
      <c r="K38" s="23" t="str">
        <f ca="1">INDEX($A$22:$P$34, IF(P22=MAX(P22,P23,P33,P34),22,IF(P23=MAX(P22,P23,P33,P34),23,IF(P33=MAX(P22,P23,P33,P34),33,34)))-21, 15)</f>
        <v>WAIT - DELTA</v>
      </c>
      <c r="L38" s="31">
        <f ca="1">MAX(P22,P23,P33,P34)</f>
        <v>-1000000000</v>
      </c>
    </row>
  </sheetData>
  <mergeCells count="5">
    <mergeCell ref="A1:L1"/>
    <mergeCell ref="A6:L6"/>
    <mergeCell ref="A14:L14"/>
    <mergeCell ref="A25:L25"/>
    <mergeCell ref="A36:L36"/>
  </mergeCells>
  <conditionalFormatting sqref="K38">
    <cfRule type="expression" dxfId="83" priority="6">
      <formula>K38="GO"</formula>
    </cfRule>
    <cfRule type="expression" dxfId="82" priority="7">
      <formula>LEFT(K38,4)="WAIT"</formula>
    </cfRule>
  </conditionalFormatting>
  <conditionalFormatting sqref="O22:O23">
    <cfRule type="expression" dxfId="81" priority="2">
      <formula>O22="GO"</formula>
    </cfRule>
    <cfRule type="expression" dxfId="80" priority="3">
      <formula>LEFT(O22,4)="WAIT"</formula>
    </cfRule>
  </conditionalFormatting>
  <conditionalFormatting sqref="O33:O34">
    <cfRule type="expression" dxfId="79" priority="4">
      <formula>O33="GO"</formula>
    </cfRule>
    <cfRule type="expression" dxfId="78" priority="5">
      <formula>LEFT(O33,4)="WAIT"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8"/>
  <sheetViews>
    <sheetView showGridLines="0" zoomScaleNormal="100" workbookViewId="0">
      <pane ySplit="2" topLeftCell="A3" activePane="bottomLeft" state="frozen"/>
      <selection pane="bottomLeft" sqref="A1:L1"/>
    </sheetView>
  </sheetViews>
  <sheetFormatPr baseColWidth="10" defaultColWidth="8.6640625" defaultRowHeight="15" x14ac:dyDescent="0.2"/>
  <cols>
    <col min="1" max="2" width="11" customWidth="1"/>
    <col min="3" max="3" width="8" customWidth="1"/>
    <col min="4" max="4" width="10" customWidth="1"/>
    <col min="5" max="5" width="12" customWidth="1"/>
    <col min="6" max="6" width="32" customWidth="1"/>
    <col min="7" max="10" width="10" customWidth="1"/>
    <col min="11" max="11" width="13" customWidth="1"/>
    <col min="12" max="12" width="10" customWidth="1"/>
  </cols>
  <sheetData>
    <row r="1" spans="1:12" ht="25.5" customHeight="1" x14ac:dyDescent="0.2">
      <c r="A1" s="6" t="s">
        <v>187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3" spans="1:12" ht="16" x14ac:dyDescent="0.2">
      <c r="A3" s="19" t="s">
        <v>135</v>
      </c>
      <c r="B3" s="19" t="s">
        <v>136</v>
      </c>
      <c r="C3" s="19" t="s">
        <v>137</v>
      </c>
      <c r="D3" s="19" t="s">
        <v>138</v>
      </c>
      <c r="E3" s="19" t="s">
        <v>139</v>
      </c>
      <c r="F3" s="19" t="s">
        <v>140</v>
      </c>
    </row>
    <row r="4" spans="1:12" ht="32" x14ac:dyDescent="0.2">
      <c r="A4" s="32" t="s">
        <v>121</v>
      </c>
      <c r="B4" s="32" t="s">
        <v>188</v>
      </c>
      <c r="C4" s="23" t="str">
        <f>C$3</f>
        <v>PX_LAST</v>
      </c>
      <c r="D4" s="23" t="str">
        <f>D$3</f>
        <v>IVOL_RANK</v>
      </c>
      <c r="E4" s="30">
        <f ca="1">IFERROR(bdp(B4,C4),0)</f>
        <v>0</v>
      </c>
      <c r="F4" s="22">
        <f ca="1">IFERROR(bdp(B4,D4),0)</f>
        <v>0</v>
      </c>
    </row>
    <row r="6" spans="1:12" ht="15" customHeight="1" x14ac:dyDescent="0.2">
      <c r="A6" s="6" t="s">
        <v>142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2" ht="16" x14ac:dyDescent="0.2">
      <c r="A7" s="19" t="s">
        <v>143</v>
      </c>
      <c r="B7" s="19" t="s">
        <v>144</v>
      </c>
      <c r="C7" s="19" t="s">
        <v>145</v>
      </c>
      <c r="D7" s="19" t="s">
        <v>146</v>
      </c>
    </row>
    <row r="8" spans="1:12" ht="16" x14ac:dyDescent="0.2">
      <c r="A8" s="20" t="s">
        <v>147</v>
      </c>
      <c r="B8" s="33">
        <v>2</v>
      </c>
      <c r="C8" s="34"/>
      <c r="D8" s="33">
        <f>IF(C8="",B8,C8)</f>
        <v>2</v>
      </c>
    </row>
    <row r="9" spans="1:12" ht="32" x14ac:dyDescent="0.2">
      <c r="A9" s="20" t="s">
        <v>148</v>
      </c>
      <c r="B9" s="25">
        <f ca="1">Calendar!$B$11</f>
        <v>46220</v>
      </c>
      <c r="C9" s="35"/>
      <c r="D9" s="25">
        <f ca="1">IF(C9="",B9,C9)</f>
        <v>46220</v>
      </c>
    </row>
    <row r="10" spans="1:12" ht="32" x14ac:dyDescent="0.2">
      <c r="A10" s="20" t="s">
        <v>149</v>
      </c>
      <c r="B10" s="25">
        <f ca="1">Calendar!$B$12</f>
        <v>46255</v>
      </c>
      <c r="C10" s="35"/>
      <c r="D10" s="25">
        <f ca="1">IF(C10="",B10,C10)</f>
        <v>46255</v>
      </c>
    </row>
    <row r="11" spans="1:12" ht="32" x14ac:dyDescent="0.2">
      <c r="A11" s="20" t="s">
        <v>150</v>
      </c>
      <c r="B11" s="30">
        <f ca="1">IF($E$4=0,0,FLOOR($E$4*(1-0.06)/$D$8,1)*$D$8)</f>
        <v>0</v>
      </c>
      <c r="C11" s="36"/>
      <c r="D11" s="30">
        <f ca="1">IF(C11="",B11,C11)</f>
        <v>0</v>
      </c>
    </row>
    <row r="12" spans="1:12" ht="32" x14ac:dyDescent="0.2">
      <c r="A12" s="20" t="s">
        <v>151</v>
      </c>
      <c r="B12" s="30">
        <f ca="1">IF($E$4=0,0,CEILING($E$4*(1+0.06)/$D$8,1)*$D$8)</f>
        <v>0</v>
      </c>
      <c r="C12" s="36"/>
      <c r="D12" s="30">
        <f ca="1">IF(C12="",B12,C12)</f>
        <v>0</v>
      </c>
    </row>
    <row r="14" spans="1:12" ht="21.75" customHeight="1" x14ac:dyDescent="0.2">
      <c r="A14" s="6" t="s">
        <v>152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12" ht="16" x14ac:dyDescent="0.2">
      <c r="A15" s="19" t="s">
        <v>93</v>
      </c>
      <c r="B15" s="19" t="s">
        <v>153</v>
      </c>
      <c r="C15" s="19" t="s">
        <v>154</v>
      </c>
      <c r="D15" s="19" t="s">
        <v>155</v>
      </c>
      <c r="E15" s="19" t="s">
        <v>156</v>
      </c>
      <c r="F15" s="19" t="s">
        <v>136</v>
      </c>
      <c r="G15" s="19" t="s">
        <v>137</v>
      </c>
      <c r="H15" s="19" t="s">
        <v>157</v>
      </c>
      <c r="I15" s="19" t="s">
        <v>158</v>
      </c>
      <c r="J15" s="19" t="s">
        <v>159</v>
      </c>
      <c r="K15" s="19" t="s">
        <v>160</v>
      </c>
      <c r="L15" s="19" t="s">
        <v>161</v>
      </c>
    </row>
    <row r="16" spans="1:12" ht="16" x14ac:dyDescent="0.2">
      <c r="A16" s="23" t="s">
        <v>162</v>
      </c>
      <c r="B16" s="23" t="s">
        <v>163</v>
      </c>
      <c r="C16" s="23" t="s">
        <v>164</v>
      </c>
      <c r="D16" s="30">
        <f ca="1">$D$11</f>
        <v>0</v>
      </c>
      <c r="E16" s="25">
        <f ca="1">$D$9</f>
        <v>46220</v>
      </c>
      <c r="F16" s="23" t="str">
        <f ca="1">"XLE"&amp;" US "&amp;TEXT(E16,"mm/dd/yy")&amp;" "&amp;"P"&amp;IF(D16=INT(D16),INT(D16),D16)&amp;" Equity"</f>
        <v>XLE US 07/17/26 P0 Equity</v>
      </c>
      <c r="G16" s="26">
        <f ca="1">IFERROR(bdp($F16, G$15), 0)</f>
        <v>0</v>
      </c>
      <c r="H16" s="26">
        <f ca="1">IFERROR(bdp($F16, H$15), 0)</f>
        <v>0</v>
      </c>
      <c r="I16" s="26">
        <f ca="1">IFERROR(bdp($F16, I$15), 0)</f>
        <v>0</v>
      </c>
      <c r="J16" s="29">
        <f ca="1">IFERROR(bdp($F16, J$15), 0)</f>
        <v>0</v>
      </c>
      <c r="K16" s="31">
        <f ca="1">IFERROR(bdp($F16, K$15), 0)</f>
        <v>0</v>
      </c>
      <c r="L16" s="26">
        <f ca="1">IFERROR((H16+I16)/2, 0)</f>
        <v>0</v>
      </c>
    </row>
    <row r="17" spans="1:16" ht="16" x14ac:dyDescent="0.2">
      <c r="A17" s="23" t="s">
        <v>162</v>
      </c>
      <c r="B17" s="23" t="s">
        <v>165</v>
      </c>
      <c r="C17" s="23" t="s">
        <v>164</v>
      </c>
      <c r="D17" s="30">
        <f ca="1">$D$11-$D$8</f>
        <v>-2</v>
      </c>
      <c r="E17" s="25">
        <f ca="1">$D$9</f>
        <v>46220</v>
      </c>
      <c r="F17" s="23" t="str">
        <f ca="1">"XLE"&amp;" US "&amp;TEXT(E17,"mm/dd/yy")&amp;" "&amp;"P"&amp;IF(D17=INT(D17),INT(D17),D17)&amp;" Equity"</f>
        <v>XLE US 07/17/26 P-2 Equity</v>
      </c>
      <c r="G17" s="26">
        <f ca="1">IFERROR(bdp($F17, G$15), 0)</f>
        <v>0</v>
      </c>
      <c r="H17" s="26">
        <f ca="1">IFERROR(bdp($F17, H$15), 0)</f>
        <v>0</v>
      </c>
      <c r="I17" s="26">
        <f ca="1">IFERROR(bdp($F17, I$15), 0)</f>
        <v>0</v>
      </c>
      <c r="J17" s="29">
        <f ca="1">IFERROR(bdp($F17, J$15), 0)</f>
        <v>0</v>
      </c>
      <c r="K17" s="31">
        <f ca="1">IFERROR(bdp($F17, K$15), 0)</f>
        <v>0</v>
      </c>
      <c r="L17" s="26">
        <f ca="1">IFERROR((H17+I17)/2, 0)</f>
        <v>0</v>
      </c>
    </row>
    <row r="18" spans="1:16" ht="16" x14ac:dyDescent="0.2">
      <c r="A18" s="23" t="s">
        <v>162</v>
      </c>
      <c r="B18" s="23" t="s">
        <v>166</v>
      </c>
      <c r="C18" s="23" t="s">
        <v>164</v>
      </c>
      <c r="D18" s="30">
        <f ca="1">$D$11</f>
        <v>0</v>
      </c>
      <c r="E18" s="25">
        <f ca="1">$D$10</f>
        <v>46255</v>
      </c>
      <c r="F18" s="23" t="str">
        <f ca="1">"XLE"&amp;" US "&amp;TEXT(E18,"mm/dd/yy")&amp;" "&amp;"P"&amp;IF(D18=INT(D18),INT(D18),D18)&amp;" Equity"</f>
        <v>XLE US 08/21/26 P0 Equity</v>
      </c>
      <c r="G18" s="26">
        <f ca="1">IFERROR(bdp($F18, G$15), 0)</f>
        <v>0</v>
      </c>
      <c r="H18" s="26">
        <f ca="1">IFERROR(bdp($F18, H$15), 0)</f>
        <v>0</v>
      </c>
      <c r="I18" s="26">
        <f ca="1">IFERROR(bdp($F18, I$15), 0)</f>
        <v>0</v>
      </c>
      <c r="J18" s="29">
        <f ca="1">IFERROR(bdp($F18, J$15), 0)</f>
        <v>0</v>
      </c>
      <c r="K18" s="31">
        <f ca="1">IFERROR(bdp($F18, K$15), 0)</f>
        <v>0</v>
      </c>
      <c r="L18" s="26">
        <f ca="1">IFERROR((H18+I18)/2, 0)</f>
        <v>0</v>
      </c>
    </row>
    <row r="19" spans="1:16" ht="16" x14ac:dyDescent="0.2">
      <c r="A19" s="23" t="s">
        <v>162</v>
      </c>
      <c r="B19" s="23" t="s">
        <v>167</v>
      </c>
      <c r="C19" s="23" t="s">
        <v>164</v>
      </c>
      <c r="D19" s="30">
        <f ca="1">$D$11-$D$8</f>
        <v>-2</v>
      </c>
      <c r="E19" s="25">
        <f ca="1">$D$10</f>
        <v>46255</v>
      </c>
      <c r="F19" s="23" t="str">
        <f ca="1">"XLE"&amp;" US "&amp;TEXT(E19,"mm/dd/yy")&amp;" "&amp;"P"&amp;IF(D19=INT(D19),INT(D19),D19)&amp;" Equity"</f>
        <v>XLE US 08/21/26 P-2 Equity</v>
      </c>
      <c r="G19" s="26">
        <f ca="1">IFERROR(bdp($F19, G$15), 0)</f>
        <v>0</v>
      </c>
      <c r="H19" s="26">
        <f ca="1">IFERROR(bdp($F19, H$15), 0)</f>
        <v>0</v>
      </c>
      <c r="I19" s="26">
        <f ca="1">IFERROR(bdp($F19, I$15), 0)</f>
        <v>0</v>
      </c>
      <c r="J19" s="29">
        <f ca="1">IFERROR(bdp($F19, J$15), 0)</f>
        <v>0</v>
      </c>
      <c r="K19" s="31">
        <f ca="1">IFERROR(bdp($F19, K$15), 0)</f>
        <v>0</v>
      </c>
      <c r="L19" s="26">
        <f ca="1">IFERROR((H19+I19)/2, 0)</f>
        <v>0</v>
      </c>
    </row>
    <row r="21" spans="1:16" ht="16" x14ac:dyDescent="0.2">
      <c r="A21" s="19" t="s">
        <v>93</v>
      </c>
      <c r="B21" s="19" t="s">
        <v>168</v>
      </c>
      <c r="C21" s="19" t="s">
        <v>79</v>
      </c>
      <c r="D21" s="19" t="s">
        <v>113</v>
      </c>
      <c r="E21" s="19" t="s">
        <v>114</v>
      </c>
      <c r="F21" s="19" t="s">
        <v>169</v>
      </c>
      <c r="G21" s="19" t="s">
        <v>96</v>
      </c>
      <c r="H21" s="19" t="s">
        <v>97</v>
      </c>
      <c r="I21" s="19" t="s">
        <v>170</v>
      </c>
      <c r="J21" s="19" t="s">
        <v>171</v>
      </c>
      <c r="K21" s="19" t="s">
        <v>172</v>
      </c>
      <c r="L21" s="19" t="s">
        <v>115</v>
      </c>
      <c r="M21" s="19" t="s">
        <v>173</v>
      </c>
      <c r="N21" s="19" t="s">
        <v>116</v>
      </c>
      <c r="O21" s="19" t="s">
        <v>99</v>
      </c>
      <c r="P21" s="19" t="s">
        <v>117</v>
      </c>
    </row>
    <row r="22" spans="1:16" ht="32" x14ac:dyDescent="0.2">
      <c r="A22" s="23" t="s">
        <v>162</v>
      </c>
      <c r="B22" s="23" t="s">
        <v>174</v>
      </c>
      <c r="C22" s="22">
        <f ca="1">$D$9-TODAY()</f>
        <v>67</v>
      </c>
      <c r="D22" s="30">
        <f ca="1">$D$11</f>
        <v>0</v>
      </c>
      <c r="E22" s="30">
        <f ca="1">$D$11-$D$8</f>
        <v>-2</v>
      </c>
      <c r="F22" s="33">
        <f>$D$8</f>
        <v>2</v>
      </c>
      <c r="G22" s="26">
        <f ca="1">IFERROR(L16-L17,0)</f>
        <v>0</v>
      </c>
      <c r="H22" s="26">
        <f ca="1">IFERROR(F22-G22,0)</f>
        <v>2</v>
      </c>
      <c r="I22" s="29">
        <f ca="1">IFERROR(G22/F22,0)</f>
        <v>0</v>
      </c>
      <c r="J22" s="29">
        <f ca="1">IFERROR((I16-H16)/L16,1)</f>
        <v>1</v>
      </c>
      <c r="K22" s="29">
        <f ca="1">IFERROR(($E$4-D22)/$E$4,0)</f>
        <v>0</v>
      </c>
      <c r="L22" s="29">
        <f ca="1">IFERROR(1-ABS(K16),0)</f>
        <v>1</v>
      </c>
      <c r="M22" s="26">
        <f ca="1">L22*G22-(1-L22)*H22</f>
        <v>0</v>
      </c>
      <c r="N22" s="31">
        <f ca="1">IFERROR(M22/H22,0)</f>
        <v>0</v>
      </c>
      <c r="O22" s="23" t="str">
        <f ca="1">IF(NOT(AND(C22&gt;=Settings!$B$14,C22&lt;=Settings!$B$15)),"WAIT - DTE",IF(NOT(AND(ABS(K16)&gt;=Settings!$B$12,ABS(K16)&lt;=Settings!$B$13)),"WAIT - DELTA",IF(NOT($F$4&gt;=Settings!$B$8),"WAIT - IVR",IF(NOT(G22&gt;=Settings!$B$10),"WAIT - CREDIT",IF(NOT(I22&gt;=Settings!$B$9),"WAIT - C/W",IF(NOT(AND(J22&lt;=Settings!$B$11,H16&gt;0,I16&gt;0,H17&gt;0,I17&gt;0)),"WAIT - LIQ",IF(NOT(K22&gt;=Settings!$B$19),"WAIT - BUFFER","GO")))))))</f>
        <v>WAIT - DELTA</v>
      </c>
      <c r="P22" s="31">
        <f ca="1">IF(O22="GO",N22,-1000000000)</f>
        <v>-1000000000</v>
      </c>
    </row>
    <row r="23" spans="1:16" ht="32" x14ac:dyDescent="0.2">
      <c r="A23" s="23" t="s">
        <v>162</v>
      </c>
      <c r="B23" s="23" t="s">
        <v>175</v>
      </c>
      <c r="C23" s="22">
        <f ca="1">$D$10-TODAY()</f>
        <v>102</v>
      </c>
      <c r="D23" s="30">
        <f ca="1">$D$11</f>
        <v>0</v>
      </c>
      <c r="E23" s="30">
        <f ca="1">$D$11-$D$8</f>
        <v>-2</v>
      </c>
      <c r="F23" s="33">
        <f>$D$8</f>
        <v>2</v>
      </c>
      <c r="G23" s="26">
        <f ca="1">IFERROR(L18-L19,0)</f>
        <v>0</v>
      </c>
      <c r="H23" s="26">
        <f ca="1">IFERROR(F23-G23,0)</f>
        <v>2</v>
      </c>
      <c r="I23" s="29">
        <f ca="1">IFERROR(G23/F23,0)</f>
        <v>0</v>
      </c>
      <c r="J23" s="29">
        <f ca="1">IFERROR((I18-H18)/L18,1)</f>
        <v>1</v>
      </c>
      <c r="K23" s="29">
        <f ca="1">IFERROR(($E$4-D23)/$E$4,0)</f>
        <v>0</v>
      </c>
      <c r="L23" s="29">
        <f ca="1">IFERROR(1-ABS(K18),0)</f>
        <v>1</v>
      </c>
      <c r="M23" s="26">
        <f ca="1">L23*G23-(1-L23)*H23</f>
        <v>0</v>
      </c>
      <c r="N23" s="31">
        <f ca="1">IFERROR(M23/H23,0)</f>
        <v>0</v>
      </c>
      <c r="O23" s="23" t="str">
        <f ca="1">IF(NOT(AND(C23&gt;=Settings!$B$14,C23&lt;=Settings!$B$15)),"WAIT - DTE",IF(NOT(AND(ABS(K18)&gt;=Settings!$B$12,ABS(K18)&lt;=Settings!$B$13)),"WAIT - DELTA",IF(NOT($F$4&gt;=Settings!$B$8),"WAIT - IVR",IF(NOT(G23&gt;=Settings!$B$10),"WAIT - CREDIT",IF(NOT(I23&gt;=Settings!$B$9),"WAIT - C/W",IF(NOT(AND(J23&lt;=Settings!$B$11,H18&gt;0,I18&gt;0,H19&gt;0,I19&gt;0)),"WAIT - LIQ",IF(NOT(K23&gt;=Settings!$B$19),"WAIT - BUFFER","GO")))))))</f>
        <v>WAIT - DELTA</v>
      </c>
      <c r="P23" s="31">
        <f ca="1">IF(O23="GO",N23,-1000000000)</f>
        <v>-1000000000</v>
      </c>
    </row>
    <row r="25" spans="1:16" ht="21.75" customHeight="1" x14ac:dyDescent="0.2">
      <c r="A25" s="6" t="s">
        <v>176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6" ht="16" x14ac:dyDescent="0.2">
      <c r="A26" s="19" t="s">
        <v>93</v>
      </c>
      <c r="B26" s="19" t="s">
        <v>153</v>
      </c>
      <c r="C26" s="19" t="s">
        <v>154</v>
      </c>
      <c r="D26" s="19" t="s">
        <v>155</v>
      </c>
      <c r="E26" s="19" t="s">
        <v>156</v>
      </c>
      <c r="F26" s="19" t="s">
        <v>136</v>
      </c>
      <c r="G26" s="19" t="s">
        <v>137</v>
      </c>
      <c r="H26" s="19" t="s">
        <v>157</v>
      </c>
      <c r="I26" s="19" t="s">
        <v>158</v>
      </c>
      <c r="J26" s="19" t="s">
        <v>159</v>
      </c>
      <c r="K26" s="19" t="s">
        <v>160</v>
      </c>
      <c r="L26" s="19" t="s">
        <v>161</v>
      </c>
    </row>
    <row r="27" spans="1:16" ht="16" x14ac:dyDescent="0.2">
      <c r="A27" s="23" t="s">
        <v>177</v>
      </c>
      <c r="B27" s="23" t="s">
        <v>163</v>
      </c>
      <c r="C27" s="23" t="s">
        <v>178</v>
      </c>
      <c r="D27" s="30">
        <f ca="1">$D$12</f>
        <v>0</v>
      </c>
      <c r="E27" s="25">
        <f ca="1">$D$9</f>
        <v>46220</v>
      </c>
      <c r="F27" s="23" t="str">
        <f ca="1">"XLE"&amp;" US "&amp;TEXT(E27,"mm/dd/yy")&amp;" "&amp;"C"&amp;IF(D27=INT(D27),INT(D27),D27)&amp;" Equity"</f>
        <v>XLE US 07/17/26 C0 Equity</v>
      </c>
      <c r="G27" s="26">
        <f ca="1">IFERROR(bdp($F27, G$26), 0)</f>
        <v>0</v>
      </c>
      <c r="H27" s="26">
        <f ca="1">IFERROR(bdp($F27, H$26), 0)</f>
        <v>0</v>
      </c>
      <c r="I27" s="26">
        <f ca="1">IFERROR(bdp($F27, I$26), 0)</f>
        <v>0</v>
      </c>
      <c r="J27" s="29">
        <f ca="1">IFERROR(bdp($F27, J$26), 0)</f>
        <v>0</v>
      </c>
      <c r="K27" s="31">
        <f ca="1">IFERROR(bdp($F27, K$26), 0)</f>
        <v>0</v>
      </c>
      <c r="L27" s="26">
        <f ca="1">IFERROR((H27+I27)/2, 0)</f>
        <v>0</v>
      </c>
    </row>
    <row r="28" spans="1:16" ht="16" x14ac:dyDescent="0.2">
      <c r="A28" s="23" t="s">
        <v>177</v>
      </c>
      <c r="B28" s="23" t="s">
        <v>165</v>
      </c>
      <c r="C28" s="23" t="s">
        <v>178</v>
      </c>
      <c r="D28" s="30">
        <f ca="1">$D$12+$D$8</f>
        <v>2</v>
      </c>
      <c r="E28" s="25">
        <f ca="1">$D$9</f>
        <v>46220</v>
      </c>
      <c r="F28" s="23" t="str">
        <f ca="1">"XLE"&amp;" US "&amp;TEXT(E28,"mm/dd/yy")&amp;" "&amp;"C"&amp;IF(D28=INT(D28),INT(D28),D28)&amp;" Equity"</f>
        <v>XLE US 07/17/26 C2 Equity</v>
      </c>
      <c r="G28" s="26">
        <f ca="1">IFERROR(bdp($F28, G$26), 0)</f>
        <v>0</v>
      </c>
      <c r="H28" s="26">
        <f ca="1">IFERROR(bdp($F28, H$26), 0)</f>
        <v>0</v>
      </c>
      <c r="I28" s="26">
        <f ca="1">IFERROR(bdp($F28, I$26), 0)</f>
        <v>0</v>
      </c>
      <c r="J28" s="29">
        <f ca="1">IFERROR(bdp($F28, J$26), 0)</f>
        <v>0</v>
      </c>
      <c r="K28" s="31">
        <f ca="1">IFERROR(bdp($F28, K$26), 0)</f>
        <v>0</v>
      </c>
      <c r="L28" s="26">
        <f ca="1">IFERROR((H28+I28)/2, 0)</f>
        <v>0</v>
      </c>
    </row>
    <row r="29" spans="1:16" ht="16" x14ac:dyDescent="0.2">
      <c r="A29" s="23" t="s">
        <v>177</v>
      </c>
      <c r="B29" s="23" t="s">
        <v>166</v>
      </c>
      <c r="C29" s="23" t="s">
        <v>178</v>
      </c>
      <c r="D29" s="30">
        <f ca="1">$D$12</f>
        <v>0</v>
      </c>
      <c r="E29" s="25">
        <f ca="1">$D$10</f>
        <v>46255</v>
      </c>
      <c r="F29" s="23" t="str">
        <f ca="1">"XLE"&amp;" US "&amp;TEXT(E29,"mm/dd/yy")&amp;" "&amp;"C"&amp;IF(D29=INT(D29),INT(D29),D29)&amp;" Equity"</f>
        <v>XLE US 08/21/26 C0 Equity</v>
      </c>
      <c r="G29" s="26">
        <f ca="1">IFERROR(bdp($F29, G$26), 0)</f>
        <v>0</v>
      </c>
      <c r="H29" s="26">
        <f ca="1">IFERROR(bdp($F29, H$26), 0)</f>
        <v>0</v>
      </c>
      <c r="I29" s="26">
        <f ca="1">IFERROR(bdp($F29, I$26), 0)</f>
        <v>0</v>
      </c>
      <c r="J29" s="29">
        <f ca="1">IFERROR(bdp($F29, J$26), 0)</f>
        <v>0</v>
      </c>
      <c r="K29" s="31">
        <f ca="1">IFERROR(bdp($F29, K$26), 0)</f>
        <v>0</v>
      </c>
      <c r="L29" s="26">
        <f ca="1">IFERROR((H29+I29)/2, 0)</f>
        <v>0</v>
      </c>
    </row>
    <row r="30" spans="1:16" ht="16" x14ac:dyDescent="0.2">
      <c r="A30" s="23" t="s">
        <v>177</v>
      </c>
      <c r="B30" s="23" t="s">
        <v>167</v>
      </c>
      <c r="C30" s="23" t="s">
        <v>178</v>
      </c>
      <c r="D30" s="30">
        <f ca="1">$D$12+$D$8</f>
        <v>2</v>
      </c>
      <c r="E30" s="25">
        <f ca="1">$D$10</f>
        <v>46255</v>
      </c>
      <c r="F30" s="23" t="str">
        <f ca="1">"XLE"&amp;" US "&amp;TEXT(E30,"mm/dd/yy")&amp;" "&amp;"C"&amp;IF(D30=INT(D30),INT(D30),D30)&amp;" Equity"</f>
        <v>XLE US 08/21/26 C2 Equity</v>
      </c>
      <c r="G30" s="26">
        <f ca="1">IFERROR(bdp($F30, G$26), 0)</f>
        <v>0</v>
      </c>
      <c r="H30" s="26">
        <f ca="1">IFERROR(bdp($F30, H$26), 0)</f>
        <v>0</v>
      </c>
      <c r="I30" s="26">
        <f ca="1">IFERROR(bdp($F30, I$26), 0)</f>
        <v>0</v>
      </c>
      <c r="J30" s="29">
        <f ca="1">IFERROR(bdp($F30, J$26), 0)</f>
        <v>0</v>
      </c>
      <c r="K30" s="31">
        <f ca="1">IFERROR(bdp($F30, K$26), 0)</f>
        <v>0</v>
      </c>
      <c r="L30" s="26">
        <f ca="1">IFERROR((H30+I30)/2, 0)</f>
        <v>0</v>
      </c>
    </row>
    <row r="32" spans="1:16" ht="16" x14ac:dyDescent="0.2">
      <c r="A32" s="19" t="s">
        <v>93</v>
      </c>
      <c r="B32" s="19" t="s">
        <v>168</v>
      </c>
      <c r="C32" s="19" t="s">
        <v>79</v>
      </c>
      <c r="D32" s="19" t="s">
        <v>113</v>
      </c>
      <c r="E32" s="19" t="s">
        <v>114</v>
      </c>
      <c r="F32" s="19" t="s">
        <v>169</v>
      </c>
      <c r="G32" s="19" t="s">
        <v>96</v>
      </c>
      <c r="H32" s="19" t="s">
        <v>97</v>
      </c>
      <c r="I32" s="19" t="s">
        <v>170</v>
      </c>
      <c r="J32" s="19" t="s">
        <v>171</v>
      </c>
      <c r="K32" s="19" t="s">
        <v>172</v>
      </c>
      <c r="L32" s="19" t="s">
        <v>115</v>
      </c>
      <c r="M32" s="19" t="s">
        <v>173</v>
      </c>
      <c r="N32" s="19" t="s">
        <v>116</v>
      </c>
      <c r="O32" s="19" t="s">
        <v>99</v>
      </c>
      <c r="P32" s="19" t="s">
        <v>117</v>
      </c>
    </row>
    <row r="33" spans="1:16" ht="32" x14ac:dyDescent="0.2">
      <c r="A33" s="23" t="s">
        <v>177</v>
      </c>
      <c r="B33" s="23" t="s">
        <v>174</v>
      </c>
      <c r="C33" s="22">
        <f ca="1">$D$9-TODAY()</f>
        <v>67</v>
      </c>
      <c r="D33" s="30">
        <f ca="1">$D$12</f>
        <v>0</v>
      </c>
      <c r="E33" s="30">
        <f ca="1">$D$12+$D$8</f>
        <v>2</v>
      </c>
      <c r="F33" s="33">
        <f>$D$8</f>
        <v>2</v>
      </c>
      <c r="G33" s="26">
        <f ca="1">IFERROR(L27-L28,0)</f>
        <v>0</v>
      </c>
      <c r="H33" s="26">
        <f ca="1">IFERROR(F33-G33,0)</f>
        <v>2</v>
      </c>
      <c r="I33" s="29">
        <f ca="1">IFERROR(G33/F33,0)</f>
        <v>0</v>
      </c>
      <c r="J33" s="29">
        <f ca="1">IFERROR((I27-H27)/L27,1)</f>
        <v>1</v>
      </c>
      <c r="K33" s="29">
        <f ca="1">IFERROR((D33-$E$4)/$E$4,0)</f>
        <v>0</v>
      </c>
      <c r="L33" s="29">
        <f ca="1">IFERROR(1-ABS(K27),0)</f>
        <v>1</v>
      </c>
      <c r="M33" s="26">
        <f ca="1">L33*G33-(1-L33)*H33</f>
        <v>0</v>
      </c>
      <c r="N33" s="31">
        <f ca="1">IFERROR(M33/H33,0)</f>
        <v>0</v>
      </c>
      <c r="O33" s="23" t="str">
        <f ca="1">IF(NOT(AND(C33&gt;=Settings!$B$14,C33&lt;=Settings!$B$15)),"WAIT - DTE",IF(NOT(AND(ABS(K27)&gt;=Settings!$B$12,ABS(K27)&lt;=Settings!$B$13)),"WAIT - DELTA",IF(NOT($F$4&gt;=Settings!$B$8),"WAIT - IVR",IF(NOT(G33&gt;=Settings!$B$10),"WAIT - CREDIT",IF(NOT(I33&gt;=Settings!$B$9),"WAIT - C/W",IF(NOT(AND(J33&lt;=Settings!$B$11,H27&gt;0,I27&gt;0,H28&gt;0,I28&gt;0)),"WAIT - LIQ",IF(NOT(K33&gt;=Settings!$B$19),"WAIT - BUFFER","GO")))))))</f>
        <v>WAIT - DELTA</v>
      </c>
      <c r="P33" s="31">
        <f ca="1">IF(O33="GO",N33,-1000000000)</f>
        <v>-1000000000</v>
      </c>
    </row>
    <row r="34" spans="1:16" ht="32" x14ac:dyDescent="0.2">
      <c r="A34" s="23" t="s">
        <v>177</v>
      </c>
      <c r="B34" s="23" t="s">
        <v>175</v>
      </c>
      <c r="C34" s="22">
        <f ca="1">$D$10-TODAY()</f>
        <v>102</v>
      </c>
      <c r="D34" s="30">
        <f ca="1">$D$12</f>
        <v>0</v>
      </c>
      <c r="E34" s="30">
        <f ca="1">$D$12+$D$8</f>
        <v>2</v>
      </c>
      <c r="F34" s="33">
        <f>$D$8</f>
        <v>2</v>
      </c>
      <c r="G34" s="26">
        <f ca="1">IFERROR(L29-L30,0)</f>
        <v>0</v>
      </c>
      <c r="H34" s="26">
        <f ca="1">IFERROR(F34-G34,0)</f>
        <v>2</v>
      </c>
      <c r="I34" s="29">
        <f ca="1">IFERROR(G34/F34,0)</f>
        <v>0</v>
      </c>
      <c r="J34" s="29">
        <f ca="1">IFERROR((I29-H29)/L29,1)</f>
        <v>1</v>
      </c>
      <c r="K34" s="29">
        <f ca="1">IFERROR((D34-$E$4)/$E$4,0)</f>
        <v>0</v>
      </c>
      <c r="L34" s="29">
        <f ca="1">IFERROR(1-ABS(K29),0)</f>
        <v>1</v>
      </c>
      <c r="M34" s="26">
        <f ca="1">L34*G34-(1-L34)*H34</f>
        <v>0</v>
      </c>
      <c r="N34" s="31">
        <f ca="1">IFERROR(M34/H34,0)</f>
        <v>0</v>
      </c>
      <c r="O34" s="23" t="str">
        <f ca="1">IF(NOT(AND(C34&gt;=Settings!$B$14,C34&lt;=Settings!$B$15)),"WAIT - DTE",IF(NOT(AND(ABS(K29)&gt;=Settings!$B$12,ABS(K29)&lt;=Settings!$B$13)),"WAIT - DELTA",IF(NOT($F$4&gt;=Settings!$B$8),"WAIT - IVR",IF(NOT(G34&gt;=Settings!$B$10),"WAIT - CREDIT",IF(NOT(I34&gt;=Settings!$B$9),"WAIT - C/W",IF(NOT(AND(J34&lt;=Settings!$B$11,H29&gt;0,I29&gt;0,H30&gt;0,I30&gt;0)),"WAIT - LIQ",IF(NOT(K34&gt;=Settings!$B$19),"WAIT - BUFFER","GO")))))))</f>
        <v>WAIT - DELTA</v>
      </c>
      <c r="P34" s="31">
        <f ca="1">IF(O34="GO",N34,-1000000000)</f>
        <v>-1000000000</v>
      </c>
    </row>
    <row r="36" spans="1:16" ht="15" customHeight="1" x14ac:dyDescent="0.2">
      <c r="A36" s="6" t="s">
        <v>179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6" ht="32" x14ac:dyDescent="0.2">
      <c r="A37" s="19" t="s">
        <v>180</v>
      </c>
      <c r="B37" s="19" t="s">
        <v>181</v>
      </c>
      <c r="C37" s="19" t="s">
        <v>182</v>
      </c>
      <c r="D37" s="19" t="s">
        <v>79</v>
      </c>
      <c r="E37" s="19" t="s">
        <v>113</v>
      </c>
      <c r="F37" s="19" t="s">
        <v>114</v>
      </c>
      <c r="G37" s="19" t="s">
        <v>96</v>
      </c>
      <c r="H37" s="19" t="s">
        <v>97</v>
      </c>
      <c r="I37" s="19" t="s">
        <v>115</v>
      </c>
      <c r="J37" s="19" t="s">
        <v>116</v>
      </c>
      <c r="K37" s="19" t="s">
        <v>99</v>
      </c>
      <c r="L37" s="19" t="s">
        <v>117</v>
      </c>
    </row>
    <row r="38" spans="1:16" ht="16" x14ac:dyDescent="0.2">
      <c r="A38" s="23" t="str">
        <f ca="1">INDEX($A$22:$P$34, IF(P22=MAX(P22,P23,P33,P34),22,IF(P23=MAX(P22,P23,P33,P34),23,IF(P33=MAX(P22,P23,P33,P34),33,34)))-21, 1)</f>
        <v>BullPut</v>
      </c>
      <c r="B38" s="23" t="str">
        <f ca="1">INDEX($A$22:$P$34, IF(P22=MAX(P22,P23,P33,P34),22,IF(P23=MAX(P22,P23,P33,P34),23,IF(P33=MAX(P22,P23,P33,P34),33,34)))-21, 2)</f>
        <v>Front</v>
      </c>
      <c r="C38" s="25">
        <f ca="1">IF(INDEX($A$22:$P$34, IF(P22=MAX(P22,P23,P33,P34),22,IF(P23=MAX(P22,P23,P33,P34),23,IF(P33=MAX(P22,P23,P33,P34),33,34)))-21, 2)="Front",$D$9,$D$10)</f>
        <v>46220</v>
      </c>
      <c r="D38" s="22">
        <f ca="1">INDEX($A$22:$P$34, IF(P22=MAX(P22,P23,P33,P34),22,IF(P23=MAX(P22,P23,P33,P34),23,IF(P33=MAX(P22,P23,P33,P34),33,34)))-21, 3)</f>
        <v>67</v>
      </c>
      <c r="E38" s="30">
        <f ca="1">INDEX($A$22:$P$34, IF(P22=MAX(P22,P23,P33,P34),22,IF(P23=MAX(P22,P23,P33,P34),23,IF(P33=MAX(P22,P23,P33,P34),33,34)))-21, 4)</f>
        <v>0</v>
      </c>
      <c r="F38" s="30">
        <f ca="1">INDEX($A$22:$P$34, IF(P22=MAX(P22,P23,P33,P34),22,IF(P23=MAX(P22,P23,P33,P34),23,IF(P33=MAX(P22,P23,P33,P34),33,34)))-21, 5)</f>
        <v>-2</v>
      </c>
      <c r="G38" s="26">
        <f ca="1">INDEX($A$22:$P$34, IF(P22=MAX(P22,P23,P33,P34),22,IF(P23=MAX(P22,P23,P33,P34),23,IF(P33=MAX(P22,P23,P33,P34),33,34)))-21, 7)</f>
        <v>0</v>
      </c>
      <c r="H38" s="26">
        <f ca="1">INDEX($A$22:$P$34, IF(P22=MAX(P22,P23,P33,P34),22,IF(P23=MAX(P22,P23,P33,P34),23,IF(P33=MAX(P22,P23,P33,P34),33,34)))-21, 8)</f>
        <v>2</v>
      </c>
      <c r="I38" s="29">
        <f ca="1">INDEX($A$22:$P$34, IF(P22=MAX(P22,P23,P33,P34),22,IF(P23=MAX(P22,P23,P33,P34),23,IF(P33=MAX(P22,P23,P33,P34),33,34)))-21, 12)</f>
        <v>1</v>
      </c>
      <c r="J38" s="31">
        <f ca="1">INDEX($A$22:$P$34, IF(P22=MAX(P22,P23,P33,P34),22,IF(P23=MAX(P22,P23,P33,P34),23,IF(P33=MAX(P22,P23,P33,P34),33,34)))-21, 14)</f>
        <v>0</v>
      </c>
      <c r="K38" s="23" t="str">
        <f ca="1">INDEX($A$22:$P$34, IF(P22=MAX(P22,P23,P33,P34),22,IF(P23=MAX(P22,P23,P33,P34),23,IF(P33=MAX(P22,P23,P33,P34),33,34)))-21, 15)</f>
        <v>WAIT - DELTA</v>
      </c>
      <c r="L38" s="31">
        <f ca="1">MAX(P22,P23,P33,P34)</f>
        <v>-1000000000</v>
      </c>
    </row>
  </sheetData>
  <mergeCells count="5">
    <mergeCell ref="A1:L1"/>
    <mergeCell ref="A6:L6"/>
    <mergeCell ref="A14:L14"/>
    <mergeCell ref="A25:L25"/>
    <mergeCell ref="A36:L36"/>
  </mergeCells>
  <conditionalFormatting sqref="K38">
    <cfRule type="expression" dxfId="77" priority="6">
      <formula>K38="GO"</formula>
    </cfRule>
    <cfRule type="expression" dxfId="76" priority="7">
      <formula>LEFT(K38,4)="WAIT"</formula>
    </cfRule>
  </conditionalFormatting>
  <conditionalFormatting sqref="O22:O23">
    <cfRule type="expression" dxfId="75" priority="2">
      <formula>O22="GO"</formula>
    </cfRule>
    <cfRule type="expression" dxfId="74" priority="3">
      <formula>LEFT(O22,4)="WAIT"</formula>
    </cfRule>
  </conditionalFormatting>
  <conditionalFormatting sqref="O33:O34">
    <cfRule type="expression" dxfId="73" priority="4">
      <formula>O33="GO"</formula>
    </cfRule>
    <cfRule type="expression" dxfId="72" priority="5">
      <formula>LEFT(O33,4)="WAIT"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38"/>
  <sheetViews>
    <sheetView showGridLines="0" zoomScaleNormal="100" workbookViewId="0">
      <pane ySplit="2" topLeftCell="A3" activePane="bottomLeft" state="frozen"/>
      <selection pane="bottomLeft" sqref="A1:L1"/>
    </sheetView>
  </sheetViews>
  <sheetFormatPr baseColWidth="10" defaultColWidth="8.6640625" defaultRowHeight="15" x14ac:dyDescent="0.2"/>
  <cols>
    <col min="1" max="2" width="11" customWidth="1"/>
    <col min="3" max="3" width="8" customWidth="1"/>
    <col min="4" max="4" width="10" customWidth="1"/>
    <col min="5" max="5" width="12" customWidth="1"/>
    <col min="6" max="6" width="32" customWidth="1"/>
    <col min="7" max="10" width="10" customWidth="1"/>
    <col min="11" max="11" width="13" customWidth="1"/>
    <col min="12" max="12" width="10" customWidth="1"/>
  </cols>
  <sheetData>
    <row r="1" spans="1:12" ht="25.5" customHeight="1" x14ac:dyDescent="0.2">
      <c r="A1" s="6" t="s">
        <v>189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3" spans="1:12" ht="16" x14ac:dyDescent="0.2">
      <c r="A3" s="19" t="s">
        <v>135</v>
      </c>
      <c r="B3" s="19" t="s">
        <v>136</v>
      </c>
      <c r="C3" s="19" t="s">
        <v>137</v>
      </c>
      <c r="D3" s="19" t="s">
        <v>138</v>
      </c>
      <c r="E3" s="19" t="s">
        <v>139</v>
      </c>
      <c r="F3" s="19" t="s">
        <v>140</v>
      </c>
    </row>
    <row r="4" spans="1:12" ht="32" x14ac:dyDescent="0.2">
      <c r="A4" s="32" t="s">
        <v>122</v>
      </c>
      <c r="B4" s="32" t="s">
        <v>190</v>
      </c>
      <c r="C4" s="23" t="str">
        <f>C$3</f>
        <v>PX_LAST</v>
      </c>
      <c r="D4" s="23" t="str">
        <f>D$3</f>
        <v>IVOL_RANK</v>
      </c>
      <c r="E4" s="30">
        <f ca="1">IFERROR(bdp(B4,C4),0)</f>
        <v>0</v>
      </c>
      <c r="F4" s="22">
        <f ca="1">IFERROR(bdp(B4,D4),0)</f>
        <v>0</v>
      </c>
    </row>
    <row r="6" spans="1:12" ht="15" customHeight="1" x14ac:dyDescent="0.2">
      <c r="A6" s="6" t="s">
        <v>142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2" ht="16" x14ac:dyDescent="0.2">
      <c r="A7" s="19" t="s">
        <v>143</v>
      </c>
      <c r="B7" s="19" t="s">
        <v>144</v>
      </c>
      <c r="C7" s="19" t="s">
        <v>145</v>
      </c>
      <c r="D7" s="19" t="s">
        <v>146</v>
      </c>
    </row>
    <row r="8" spans="1:12" ht="16" x14ac:dyDescent="0.2">
      <c r="A8" s="20" t="s">
        <v>147</v>
      </c>
      <c r="B8" s="33">
        <v>2</v>
      </c>
      <c r="C8" s="34"/>
      <c r="D8" s="33">
        <f>IF(C8="",B8,C8)</f>
        <v>2</v>
      </c>
    </row>
    <row r="9" spans="1:12" ht="32" x14ac:dyDescent="0.2">
      <c r="A9" s="20" t="s">
        <v>148</v>
      </c>
      <c r="B9" s="25">
        <f ca="1">Calendar!$B$11</f>
        <v>46220</v>
      </c>
      <c r="C9" s="35"/>
      <c r="D9" s="25">
        <f ca="1">IF(C9="",B9,C9)</f>
        <v>46220</v>
      </c>
    </row>
    <row r="10" spans="1:12" ht="32" x14ac:dyDescent="0.2">
      <c r="A10" s="20" t="s">
        <v>149</v>
      </c>
      <c r="B10" s="25">
        <f ca="1">Calendar!$B$12</f>
        <v>46255</v>
      </c>
      <c r="C10" s="35"/>
      <c r="D10" s="25">
        <f ca="1">IF(C10="",B10,C10)</f>
        <v>46255</v>
      </c>
    </row>
    <row r="11" spans="1:12" ht="32" x14ac:dyDescent="0.2">
      <c r="A11" s="20" t="s">
        <v>150</v>
      </c>
      <c r="B11" s="30">
        <f ca="1">IF($E$4=0,0,FLOOR($E$4*(1-0.05)/$D$8,1)*$D$8)</f>
        <v>0</v>
      </c>
      <c r="C11" s="36"/>
      <c r="D11" s="30">
        <f ca="1">IF(C11="",B11,C11)</f>
        <v>0</v>
      </c>
    </row>
    <row r="12" spans="1:12" ht="32" x14ac:dyDescent="0.2">
      <c r="A12" s="20" t="s">
        <v>151</v>
      </c>
      <c r="B12" s="30">
        <f ca="1">IF($E$4=0,0,CEILING($E$4*(1+0.05)/$D$8,1)*$D$8)</f>
        <v>0</v>
      </c>
      <c r="C12" s="36"/>
      <c r="D12" s="30">
        <f ca="1">IF(C12="",B12,C12)</f>
        <v>0</v>
      </c>
    </row>
    <row r="14" spans="1:12" ht="21.75" customHeight="1" x14ac:dyDescent="0.2">
      <c r="A14" s="6" t="s">
        <v>152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12" ht="16" x14ac:dyDescent="0.2">
      <c r="A15" s="19" t="s">
        <v>93</v>
      </c>
      <c r="B15" s="19" t="s">
        <v>153</v>
      </c>
      <c r="C15" s="19" t="s">
        <v>154</v>
      </c>
      <c r="D15" s="19" t="s">
        <v>155</v>
      </c>
      <c r="E15" s="19" t="s">
        <v>156</v>
      </c>
      <c r="F15" s="19" t="s">
        <v>136</v>
      </c>
      <c r="G15" s="19" t="s">
        <v>137</v>
      </c>
      <c r="H15" s="19" t="s">
        <v>157</v>
      </c>
      <c r="I15" s="19" t="s">
        <v>158</v>
      </c>
      <c r="J15" s="19" t="s">
        <v>159</v>
      </c>
      <c r="K15" s="19" t="s">
        <v>160</v>
      </c>
      <c r="L15" s="19" t="s">
        <v>161</v>
      </c>
    </row>
    <row r="16" spans="1:12" ht="16" x14ac:dyDescent="0.2">
      <c r="A16" s="23" t="s">
        <v>162</v>
      </c>
      <c r="B16" s="23" t="s">
        <v>163</v>
      </c>
      <c r="C16" s="23" t="s">
        <v>164</v>
      </c>
      <c r="D16" s="30">
        <f ca="1">$D$11</f>
        <v>0</v>
      </c>
      <c r="E16" s="25">
        <f ca="1">$D$9</f>
        <v>46220</v>
      </c>
      <c r="F16" s="23" t="str">
        <f ca="1">"XLF"&amp;" US "&amp;TEXT(E16,"mm/dd/yy")&amp;" "&amp;"P"&amp;IF(D16=INT(D16),INT(D16),D16)&amp;" Equity"</f>
        <v>XLF US 07/17/26 P0 Equity</v>
      </c>
      <c r="G16" s="26">
        <f ca="1">IFERROR(bdp($F16, G$15), 0)</f>
        <v>0</v>
      </c>
      <c r="H16" s="26">
        <f ca="1">IFERROR(bdp($F16, H$15), 0)</f>
        <v>0</v>
      </c>
      <c r="I16" s="26">
        <f ca="1">IFERROR(bdp($F16, I$15), 0)</f>
        <v>0</v>
      </c>
      <c r="J16" s="29">
        <f ca="1">IFERROR(bdp($F16, J$15), 0)</f>
        <v>0</v>
      </c>
      <c r="K16" s="31">
        <f ca="1">IFERROR(bdp($F16, K$15), 0)</f>
        <v>0</v>
      </c>
      <c r="L16" s="26">
        <f ca="1">IFERROR((H16+I16)/2, 0)</f>
        <v>0</v>
      </c>
    </row>
    <row r="17" spans="1:16" ht="16" x14ac:dyDescent="0.2">
      <c r="A17" s="23" t="s">
        <v>162</v>
      </c>
      <c r="B17" s="23" t="s">
        <v>165</v>
      </c>
      <c r="C17" s="23" t="s">
        <v>164</v>
      </c>
      <c r="D17" s="30">
        <f ca="1">$D$11-$D$8</f>
        <v>-2</v>
      </c>
      <c r="E17" s="25">
        <f ca="1">$D$9</f>
        <v>46220</v>
      </c>
      <c r="F17" s="23" t="str">
        <f ca="1">"XLF"&amp;" US "&amp;TEXT(E17,"mm/dd/yy")&amp;" "&amp;"P"&amp;IF(D17=INT(D17),INT(D17),D17)&amp;" Equity"</f>
        <v>XLF US 07/17/26 P-2 Equity</v>
      </c>
      <c r="G17" s="26">
        <f ca="1">IFERROR(bdp($F17, G$15), 0)</f>
        <v>0</v>
      </c>
      <c r="H17" s="26">
        <f ca="1">IFERROR(bdp($F17, H$15), 0)</f>
        <v>0</v>
      </c>
      <c r="I17" s="26">
        <f ca="1">IFERROR(bdp($F17, I$15), 0)</f>
        <v>0</v>
      </c>
      <c r="J17" s="29">
        <f ca="1">IFERROR(bdp($F17, J$15), 0)</f>
        <v>0</v>
      </c>
      <c r="K17" s="31">
        <f ca="1">IFERROR(bdp($F17, K$15), 0)</f>
        <v>0</v>
      </c>
      <c r="L17" s="26">
        <f ca="1">IFERROR((H17+I17)/2, 0)</f>
        <v>0</v>
      </c>
    </row>
    <row r="18" spans="1:16" ht="16" x14ac:dyDescent="0.2">
      <c r="A18" s="23" t="s">
        <v>162</v>
      </c>
      <c r="B18" s="23" t="s">
        <v>166</v>
      </c>
      <c r="C18" s="23" t="s">
        <v>164</v>
      </c>
      <c r="D18" s="30">
        <f ca="1">$D$11</f>
        <v>0</v>
      </c>
      <c r="E18" s="25">
        <f ca="1">$D$10</f>
        <v>46255</v>
      </c>
      <c r="F18" s="23" t="str">
        <f ca="1">"XLF"&amp;" US "&amp;TEXT(E18,"mm/dd/yy")&amp;" "&amp;"P"&amp;IF(D18=INT(D18),INT(D18),D18)&amp;" Equity"</f>
        <v>XLF US 08/21/26 P0 Equity</v>
      </c>
      <c r="G18" s="26">
        <f ca="1">IFERROR(bdp($F18, G$15), 0)</f>
        <v>0</v>
      </c>
      <c r="H18" s="26">
        <f ca="1">IFERROR(bdp($F18, H$15), 0)</f>
        <v>0</v>
      </c>
      <c r="I18" s="26">
        <f ca="1">IFERROR(bdp($F18, I$15), 0)</f>
        <v>0</v>
      </c>
      <c r="J18" s="29">
        <f ca="1">IFERROR(bdp($F18, J$15), 0)</f>
        <v>0</v>
      </c>
      <c r="K18" s="31">
        <f ca="1">IFERROR(bdp($F18, K$15), 0)</f>
        <v>0</v>
      </c>
      <c r="L18" s="26">
        <f ca="1">IFERROR((H18+I18)/2, 0)</f>
        <v>0</v>
      </c>
    </row>
    <row r="19" spans="1:16" ht="16" x14ac:dyDescent="0.2">
      <c r="A19" s="23" t="s">
        <v>162</v>
      </c>
      <c r="B19" s="23" t="s">
        <v>167</v>
      </c>
      <c r="C19" s="23" t="s">
        <v>164</v>
      </c>
      <c r="D19" s="30">
        <f ca="1">$D$11-$D$8</f>
        <v>-2</v>
      </c>
      <c r="E19" s="25">
        <f ca="1">$D$10</f>
        <v>46255</v>
      </c>
      <c r="F19" s="23" t="str">
        <f ca="1">"XLF"&amp;" US "&amp;TEXT(E19,"mm/dd/yy")&amp;" "&amp;"P"&amp;IF(D19=INT(D19),INT(D19),D19)&amp;" Equity"</f>
        <v>XLF US 08/21/26 P-2 Equity</v>
      </c>
      <c r="G19" s="26">
        <f ca="1">IFERROR(bdp($F19, G$15), 0)</f>
        <v>0</v>
      </c>
      <c r="H19" s="26">
        <f ca="1">IFERROR(bdp($F19, H$15), 0)</f>
        <v>0</v>
      </c>
      <c r="I19" s="26">
        <f ca="1">IFERROR(bdp($F19, I$15), 0)</f>
        <v>0</v>
      </c>
      <c r="J19" s="29">
        <f ca="1">IFERROR(bdp($F19, J$15), 0)</f>
        <v>0</v>
      </c>
      <c r="K19" s="31">
        <f ca="1">IFERROR(bdp($F19, K$15), 0)</f>
        <v>0</v>
      </c>
      <c r="L19" s="26">
        <f ca="1">IFERROR((H19+I19)/2, 0)</f>
        <v>0</v>
      </c>
    </row>
    <row r="21" spans="1:16" ht="16" x14ac:dyDescent="0.2">
      <c r="A21" s="19" t="s">
        <v>93</v>
      </c>
      <c r="B21" s="19" t="s">
        <v>168</v>
      </c>
      <c r="C21" s="19" t="s">
        <v>79</v>
      </c>
      <c r="D21" s="19" t="s">
        <v>113</v>
      </c>
      <c r="E21" s="19" t="s">
        <v>114</v>
      </c>
      <c r="F21" s="19" t="s">
        <v>169</v>
      </c>
      <c r="G21" s="19" t="s">
        <v>96</v>
      </c>
      <c r="H21" s="19" t="s">
        <v>97</v>
      </c>
      <c r="I21" s="19" t="s">
        <v>170</v>
      </c>
      <c r="J21" s="19" t="s">
        <v>171</v>
      </c>
      <c r="K21" s="19" t="s">
        <v>172</v>
      </c>
      <c r="L21" s="19" t="s">
        <v>115</v>
      </c>
      <c r="M21" s="19" t="s">
        <v>173</v>
      </c>
      <c r="N21" s="19" t="s">
        <v>116</v>
      </c>
      <c r="O21" s="19" t="s">
        <v>99</v>
      </c>
      <c r="P21" s="19" t="s">
        <v>117</v>
      </c>
    </row>
    <row r="22" spans="1:16" ht="32" x14ac:dyDescent="0.2">
      <c r="A22" s="23" t="s">
        <v>162</v>
      </c>
      <c r="B22" s="23" t="s">
        <v>174</v>
      </c>
      <c r="C22" s="22">
        <f ca="1">$D$9-TODAY()</f>
        <v>67</v>
      </c>
      <c r="D22" s="30">
        <f ca="1">$D$11</f>
        <v>0</v>
      </c>
      <c r="E22" s="30">
        <f ca="1">$D$11-$D$8</f>
        <v>-2</v>
      </c>
      <c r="F22" s="33">
        <f>$D$8</f>
        <v>2</v>
      </c>
      <c r="G22" s="26">
        <f ca="1">IFERROR(L16-L17,0)</f>
        <v>0</v>
      </c>
      <c r="H22" s="26">
        <f ca="1">IFERROR(F22-G22,0)</f>
        <v>2</v>
      </c>
      <c r="I22" s="29">
        <f ca="1">IFERROR(G22/F22,0)</f>
        <v>0</v>
      </c>
      <c r="J22" s="29">
        <f ca="1">IFERROR((I16-H16)/L16,1)</f>
        <v>1</v>
      </c>
      <c r="K22" s="29">
        <f ca="1">IFERROR(($E$4-D22)/$E$4,0)</f>
        <v>0</v>
      </c>
      <c r="L22" s="29">
        <f ca="1">IFERROR(1-ABS(K16),0)</f>
        <v>1</v>
      </c>
      <c r="M22" s="26">
        <f ca="1">L22*G22-(1-L22)*H22</f>
        <v>0</v>
      </c>
      <c r="N22" s="31">
        <f ca="1">IFERROR(M22/H22,0)</f>
        <v>0</v>
      </c>
      <c r="O22" s="23" t="str">
        <f ca="1">IF(NOT(AND(C22&gt;=Settings!$B$14,C22&lt;=Settings!$B$15)),"WAIT - DTE",IF(NOT(AND(ABS(K16)&gt;=Settings!$B$12,ABS(K16)&lt;=Settings!$B$13)),"WAIT - DELTA",IF(NOT($F$4&gt;=Settings!$B$8),"WAIT - IVR",IF(NOT(G22&gt;=Settings!$B$10),"WAIT - CREDIT",IF(NOT(I22&gt;=Settings!$B$9),"WAIT - C/W",IF(NOT(AND(J22&lt;=Settings!$B$11,H16&gt;0,I16&gt;0,H17&gt;0,I17&gt;0)),"WAIT - LIQ",IF(NOT(K22&gt;=Settings!$B$19),"WAIT - BUFFER","GO")))))))</f>
        <v>WAIT - DELTA</v>
      </c>
      <c r="P22" s="31">
        <f ca="1">IF(O22="GO",N22,-1000000000)</f>
        <v>-1000000000</v>
      </c>
    </row>
    <row r="23" spans="1:16" ht="32" x14ac:dyDescent="0.2">
      <c r="A23" s="23" t="s">
        <v>162</v>
      </c>
      <c r="B23" s="23" t="s">
        <v>175</v>
      </c>
      <c r="C23" s="22">
        <f ca="1">$D$10-TODAY()</f>
        <v>102</v>
      </c>
      <c r="D23" s="30">
        <f ca="1">$D$11</f>
        <v>0</v>
      </c>
      <c r="E23" s="30">
        <f ca="1">$D$11-$D$8</f>
        <v>-2</v>
      </c>
      <c r="F23" s="33">
        <f>$D$8</f>
        <v>2</v>
      </c>
      <c r="G23" s="26">
        <f ca="1">IFERROR(L18-L19,0)</f>
        <v>0</v>
      </c>
      <c r="H23" s="26">
        <f ca="1">IFERROR(F23-G23,0)</f>
        <v>2</v>
      </c>
      <c r="I23" s="29">
        <f ca="1">IFERROR(G23/F23,0)</f>
        <v>0</v>
      </c>
      <c r="J23" s="29">
        <f ca="1">IFERROR((I18-H18)/L18,1)</f>
        <v>1</v>
      </c>
      <c r="K23" s="29">
        <f ca="1">IFERROR(($E$4-D23)/$E$4,0)</f>
        <v>0</v>
      </c>
      <c r="L23" s="29">
        <f ca="1">IFERROR(1-ABS(K18),0)</f>
        <v>1</v>
      </c>
      <c r="M23" s="26">
        <f ca="1">L23*G23-(1-L23)*H23</f>
        <v>0</v>
      </c>
      <c r="N23" s="31">
        <f ca="1">IFERROR(M23/H23,0)</f>
        <v>0</v>
      </c>
      <c r="O23" s="23" t="str">
        <f ca="1">IF(NOT(AND(C23&gt;=Settings!$B$14,C23&lt;=Settings!$B$15)),"WAIT - DTE",IF(NOT(AND(ABS(K18)&gt;=Settings!$B$12,ABS(K18)&lt;=Settings!$B$13)),"WAIT - DELTA",IF(NOT($F$4&gt;=Settings!$B$8),"WAIT - IVR",IF(NOT(G23&gt;=Settings!$B$10),"WAIT - CREDIT",IF(NOT(I23&gt;=Settings!$B$9),"WAIT - C/W",IF(NOT(AND(J23&lt;=Settings!$B$11,H18&gt;0,I18&gt;0,H19&gt;0,I19&gt;0)),"WAIT - LIQ",IF(NOT(K23&gt;=Settings!$B$19),"WAIT - BUFFER","GO")))))))</f>
        <v>WAIT - DELTA</v>
      </c>
      <c r="P23" s="31">
        <f ca="1">IF(O23="GO",N23,-1000000000)</f>
        <v>-1000000000</v>
      </c>
    </row>
    <row r="25" spans="1:16" ht="21.75" customHeight="1" x14ac:dyDescent="0.2">
      <c r="A25" s="6" t="s">
        <v>176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6" ht="16" x14ac:dyDescent="0.2">
      <c r="A26" s="19" t="s">
        <v>93</v>
      </c>
      <c r="B26" s="19" t="s">
        <v>153</v>
      </c>
      <c r="C26" s="19" t="s">
        <v>154</v>
      </c>
      <c r="D26" s="19" t="s">
        <v>155</v>
      </c>
      <c r="E26" s="19" t="s">
        <v>156</v>
      </c>
      <c r="F26" s="19" t="s">
        <v>136</v>
      </c>
      <c r="G26" s="19" t="s">
        <v>137</v>
      </c>
      <c r="H26" s="19" t="s">
        <v>157</v>
      </c>
      <c r="I26" s="19" t="s">
        <v>158</v>
      </c>
      <c r="J26" s="19" t="s">
        <v>159</v>
      </c>
      <c r="K26" s="19" t="s">
        <v>160</v>
      </c>
      <c r="L26" s="19" t="s">
        <v>161</v>
      </c>
    </row>
    <row r="27" spans="1:16" ht="16" x14ac:dyDescent="0.2">
      <c r="A27" s="23" t="s">
        <v>177</v>
      </c>
      <c r="B27" s="23" t="s">
        <v>163</v>
      </c>
      <c r="C27" s="23" t="s">
        <v>178</v>
      </c>
      <c r="D27" s="30">
        <f ca="1">$D$12</f>
        <v>0</v>
      </c>
      <c r="E27" s="25">
        <f ca="1">$D$9</f>
        <v>46220</v>
      </c>
      <c r="F27" s="23" t="str">
        <f ca="1">"XLF"&amp;" US "&amp;TEXT(E27,"mm/dd/yy")&amp;" "&amp;"C"&amp;IF(D27=INT(D27),INT(D27),D27)&amp;" Equity"</f>
        <v>XLF US 07/17/26 C0 Equity</v>
      </c>
      <c r="G27" s="26">
        <f ca="1">IFERROR(bdp($F27, G$26), 0)</f>
        <v>0</v>
      </c>
      <c r="H27" s="26">
        <f ca="1">IFERROR(bdp($F27, H$26), 0)</f>
        <v>0</v>
      </c>
      <c r="I27" s="26">
        <f ca="1">IFERROR(bdp($F27, I$26), 0)</f>
        <v>0</v>
      </c>
      <c r="J27" s="29">
        <f ca="1">IFERROR(bdp($F27, J$26), 0)</f>
        <v>0</v>
      </c>
      <c r="K27" s="31">
        <f ca="1">IFERROR(bdp($F27, K$26), 0)</f>
        <v>0</v>
      </c>
      <c r="L27" s="26">
        <f ca="1">IFERROR((H27+I27)/2, 0)</f>
        <v>0</v>
      </c>
    </row>
    <row r="28" spans="1:16" ht="16" x14ac:dyDescent="0.2">
      <c r="A28" s="23" t="s">
        <v>177</v>
      </c>
      <c r="B28" s="23" t="s">
        <v>165</v>
      </c>
      <c r="C28" s="23" t="s">
        <v>178</v>
      </c>
      <c r="D28" s="30">
        <f ca="1">$D$12+$D$8</f>
        <v>2</v>
      </c>
      <c r="E28" s="25">
        <f ca="1">$D$9</f>
        <v>46220</v>
      </c>
      <c r="F28" s="23" t="str">
        <f ca="1">"XLF"&amp;" US "&amp;TEXT(E28,"mm/dd/yy")&amp;" "&amp;"C"&amp;IF(D28=INT(D28),INT(D28),D28)&amp;" Equity"</f>
        <v>XLF US 07/17/26 C2 Equity</v>
      </c>
      <c r="G28" s="26">
        <f ca="1">IFERROR(bdp($F28, G$26), 0)</f>
        <v>0</v>
      </c>
      <c r="H28" s="26">
        <f ca="1">IFERROR(bdp($F28, H$26), 0)</f>
        <v>0</v>
      </c>
      <c r="I28" s="26">
        <f ca="1">IFERROR(bdp($F28, I$26), 0)</f>
        <v>0</v>
      </c>
      <c r="J28" s="29">
        <f ca="1">IFERROR(bdp($F28, J$26), 0)</f>
        <v>0</v>
      </c>
      <c r="K28" s="31">
        <f ca="1">IFERROR(bdp($F28, K$26), 0)</f>
        <v>0</v>
      </c>
      <c r="L28" s="26">
        <f ca="1">IFERROR((H28+I28)/2, 0)</f>
        <v>0</v>
      </c>
    </row>
    <row r="29" spans="1:16" ht="16" x14ac:dyDescent="0.2">
      <c r="A29" s="23" t="s">
        <v>177</v>
      </c>
      <c r="B29" s="23" t="s">
        <v>166</v>
      </c>
      <c r="C29" s="23" t="s">
        <v>178</v>
      </c>
      <c r="D29" s="30">
        <f ca="1">$D$12</f>
        <v>0</v>
      </c>
      <c r="E29" s="25">
        <f ca="1">$D$10</f>
        <v>46255</v>
      </c>
      <c r="F29" s="23" t="str">
        <f ca="1">"XLF"&amp;" US "&amp;TEXT(E29,"mm/dd/yy")&amp;" "&amp;"C"&amp;IF(D29=INT(D29),INT(D29),D29)&amp;" Equity"</f>
        <v>XLF US 08/21/26 C0 Equity</v>
      </c>
      <c r="G29" s="26">
        <f ca="1">IFERROR(bdp($F29, G$26), 0)</f>
        <v>0</v>
      </c>
      <c r="H29" s="26">
        <f ca="1">IFERROR(bdp($F29, H$26), 0)</f>
        <v>0</v>
      </c>
      <c r="I29" s="26">
        <f ca="1">IFERROR(bdp($F29, I$26), 0)</f>
        <v>0</v>
      </c>
      <c r="J29" s="29">
        <f ca="1">IFERROR(bdp($F29, J$26), 0)</f>
        <v>0</v>
      </c>
      <c r="K29" s="31">
        <f ca="1">IFERROR(bdp($F29, K$26), 0)</f>
        <v>0</v>
      </c>
      <c r="L29" s="26">
        <f ca="1">IFERROR((H29+I29)/2, 0)</f>
        <v>0</v>
      </c>
    </row>
    <row r="30" spans="1:16" ht="16" x14ac:dyDescent="0.2">
      <c r="A30" s="23" t="s">
        <v>177</v>
      </c>
      <c r="B30" s="23" t="s">
        <v>167</v>
      </c>
      <c r="C30" s="23" t="s">
        <v>178</v>
      </c>
      <c r="D30" s="30">
        <f ca="1">$D$12+$D$8</f>
        <v>2</v>
      </c>
      <c r="E30" s="25">
        <f ca="1">$D$10</f>
        <v>46255</v>
      </c>
      <c r="F30" s="23" t="str">
        <f ca="1">"XLF"&amp;" US "&amp;TEXT(E30,"mm/dd/yy")&amp;" "&amp;"C"&amp;IF(D30=INT(D30),INT(D30),D30)&amp;" Equity"</f>
        <v>XLF US 08/21/26 C2 Equity</v>
      </c>
      <c r="G30" s="26">
        <f ca="1">IFERROR(bdp($F30, G$26), 0)</f>
        <v>0</v>
      </c>
      <c r="H30" s="26">
        <f ca="1">IFERROR(bdp($F30, H$26), 0)</f>
        <v>0</v>
      </c>
      <c r="I30" s="26">
        <f ca="1">IFERROR(bdp($F30, I$26), 0)</f>
        <v>0</v>
      </c>
      <c r="J30" s="29">
        <f ca="1">IFERROR(bdp($F30, J$26), 0)</f>
        <v>0</v>
      </c>
      <c r="K30" s="31">
        <f ca="1">IFERROR(bdp($F30, K$26), 0)</f>
        <v>0</v>
      </c>
      <c r="L30" s="26">
        <f ca="1">IFERROR((H30+I30)/2, 0)</f>
        <v>0</v>
      </c>
    </row>
    <row r="32" spans="1:16" ht="16" x14ac:dyDescent="0.2">
      <c r="A32" s="19" t="s">
        <v>93</v>
      </c>
      <c r="B32" s="19" t="s">
        <v>168</v>
      </c>
      <c r="C32" s="19" t="s">
        <v>79</v>
      </c>
      <c r="D32" s="19" t="s">
        <v>113</v>
      </c>
      <c r="E32" s="19" t="s">
        <v>114</v>
      </c>
      <c r="F32" s="19" t="s">
        <v>169</v>
      </c>
      <c r="G32" s="19" t="s">
        <v>96</v>
      </c>
      <c r="H32" s="19" t="s">
        <v>97</v>
      </c>
      <c r="I32" s="19" t="s">
        <v>170</v>
      </c>
      <c r="J32" s="19" t="s">
        <v>171</v>
      </c>
      <c r="K32" s="19" t="s">
        <v>172</v>
      </c>
      <c r="L32" s="19" t="s">
        <v>115</v>
      </c>
      <c r="M32" s="19" t="s">
        <v>173</v>
      </c>
      <c r="N32" s="19" t="s">
        <v>116</v>
      </c>
      <c r="O32" s="19" t="s">
        <v>99</v>
      </c>
      <c r="P32" s="19" t="s">
        <v>117</v>
      </c>
    </row>
    <row r="33" spans="1:16" ht="32" x14ac:dyDescent="0.2">
      <c r="A33" s="23" t="s">
        <v>177</v>
      </c>
      <c r="B33" s="23" t="s">
        <v>174</v>
      </c>
      <c r="C33" s="22">
        <f ca="1">$D$9-TODAY()</f>
        <v>67</v>
      </c>
      <c r="D33" s="30">
        <f ca="1">$D$12</f>
        <v>0</v>
      </c>
      <c r="E33" s="30">
        <f ca="1">$D$12+$D$8</f>
        <v>2</v>
      </c>
      <c r="F33" s="33">
        <f>$D$8</f>
        <v>2</v>
      </c>
      <c r="G33" s="26">
        <f ca="1">IFERROR(L27-L28,0)</f>
        <v>0</v>
      </c>
      <c r="H33" s="26">
        <f ca="1">IFERROR(F33-G33,0)</f>
        <v>2</v>
      </c>
      <c r="I33" s="29">
        <f ca="1">IFERROR(G33/F33,0)</f>
        <v>0</v>
      </c>
      <c r="J33" s="29">
        <f ca="1">IFERROR((I27-H27)/L27,1)</f>
        <v>1</v>
      </c>
      <c r="K33" s="29">
        <f ca="1">IFERROR((D33-$E$4)/$E$4,0)</f>
        <v>0</v>
      </c>
      <c r="L33" s="29">
        <f ca="1">IFERROR(1-ABS(K27),0)</f>
        <v>1</v>
      </c>
      <c r="M33" s="26">
        <f ca="1">L33*G33-(1-L33)*H33</f>
        <v>0</v>
      </c>
      <c r="N33" s="31">
        <f ca="1">IFERROR(M33/H33,0)</f>
        <v>0</v>
      </c>
      <c r="O33" s="23" t="str">
        <f ca="1">IF(NOT(AND(C33&gt;=Settings!$B$14,C33&lt;=Settings!$B$15)),"WAIT - DTE",IF(NOT(AND(ABS(K27)&gt;=Settings!$B$12,ABS(K27)&lt;=Settings!$B$13)),"WAIT - DELTA",IF(NOT($F$4&gt;=Settings!$B$8),"WAIT - IVR",IF(NOT(G33&gt;=Settings!$B$10),"WAIT - CREDIT",IF(NOT(I33&gt;=Settings!$B$9),"WAIT - C/W",IF(NOT(AND(J33&lt;=Settings!$B$11,H27&gt;0,I27&gt;0,H28&gt;0,I28&gt;0)),"WAIT - LIQ",IF(NOT(K33&gt;=Settings!$B$19),"WAIT - BUFFER","GO")))))))</f>
        <v>WAIT - DELTA</v>
      </c>
      <c r="P33" s="31">
        <f ca="1">IF(O33="GO",N33,-1000000000)</f>
        <v>-1000000000</v>
      </c>
    </row>
    <row r="34" spans="1:16" ht="32" x14ac:dyDescent="0.2">
      <c r="A34" s="23" t="s">
        <v>177</v>
      </c>
      <c r="B34" s="23" t="s">
        <v>175</v>
      </c>
      <c r="C34" s="22">
        <f ca="1">$D$10-TODAY()</f>
        <v>102</v>
      </c>
      <c r="D34" s="30">
        <f ca="1">$D$12</f>
        <v>0</v>
      </c>
      <c r="E34" s="30">
        <f ca="1">$D$12+$D$8</f>
        <v>2</v>
      </c>
      <c r="F34" s="33">
        <f>$D$8</f>
        <v>2</v>
      </c>
      <c r="G34" s="26">
        <f ca="1">IFERROR(L29-L30,0)</f>
        <v>0</v>
      </c>
      <c r="H34" s="26">
        <f ca="1">IFERROR(F34-G34,0)</f>
        <v>2</v>
      </c>
      <c r="I34" s="29">
        <f ca="1">IFERROR(G34/F34,0)</f>
        <v>0</v>
      </c>
      <c r="J34" s="29">
        <f ca="1">IFERROR((I29-H29)/L29,1)</f>
        <v>1</v>
      </c>
      <c r="K34" s="29">
        <f ca="1">IFERROR((D34-$E$4)/$E$4,0)</f>
        <v>0</v>
      </c>
      <c r="L34" s="29">
        <f ca="1">IFERROR(1-ABS(K29),0)</f>
        <v>1</v>
      </c>
      <c r="M34" s="26">
        <f ca="1">L34*G34-(1-L34)*H34</f>
        <v>0</v>
      </c>
      <c r="N34" s="31">
        <f ca="1">IFERROR(M34/H34,0)</f>
        <v>0</v>
      </c>
      <c r="O34" s="23" t="str">
        <f ca="1">IF(NOT(AND(C34&gt;=Settings!$B$14,C34&lt;=Settings!$B$15)),"WAIT - DTE",IF(NOT(AND(ABS(K29)&gt;=Settings!$B$12,ABS(K29)&lt;=Settings!$B$13)),"WAIT - DELTA",IF(NOT($F$4&gt;=Settings!$B$8),"WAIT - IVR",IF(NOT(G34&gt;=Settings!$B$10),"WAIT - CREDIT",IF(NOT(I34&gt;=Settings!$B$9),"WAIT - C/W",IF(NOT(AND(J34&lt;=Settings!$B$11,H29&gt;0,I29&gt;0,H30&gt;0,I30&gt;0)),"WAIT - LIQ",IF(NOT(K34&gt;=Settings!$B$19),"WAIT - BUFFER","GO")))))))</f>
        <v>WAIT - DELTA</v>
      </c>
      <c r="P34" s="31">
        <f ca="1">IF(O34="GO",N34,-1000000000)</f>
        <v>-1000000000</v>
      </c>
    </row>
    <row r="36" spans="1:16" ht="15" customHeight="1" x14ac:dyDescent="0.2">
      <c r="A36" s="6" t="s">
        <v>179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6" ht="32" x14ac:dyDescent="0.2">
      <c r="A37" s="19" t="s">
        <v>180</v>
      </c>
      <c r="B37" s="19" t="s">
        <v>181</v>
      </c>
      <c r="C37" s="19" t="s">
        <v>182</v>
      </c>
      <c r="D37" s="19" t="s">
        <v>79</v>
      </c>
      <c r="E37" s="19" t="s">
        <v>113</v>
      </c>
      <c r="F37" s="19" t="s">
        <v>114</v>
      </c>
      <c r="G37" s="19" t="s">
        <v>96</v>
      </c>
      <c r="H37" s="19" t="s">
        <v>97</v>
      </c>
      <c r="I37" s="19" t="s">
        <v>115</v>
      </c>
      <c r="J37" s="19" t="s">
        <v>116</v>
      </c>
      <c r="K37" s="19" t="s">
        <v>99</v>
      </c>
      <c r="L37" s="19" t="s">
        <v>117</v>
      </c>
    </row>
    <row r="38" spans="1:16" ht="16" x14ac:dyDescent="0.2">
      <c r="A38" s="23" t="str">
        <f ca="1">INDEX($A$22:$P$34, IF(P22=MAX(P22,P23,P33,P34),22,IF(P23=MAX(P22,P23,P33,P34),23,IF(P33=MAX(P22,P23,P33,P34),33,34)))-21, 1)</f>
        <v>BullPut</v>
      </c>
      <c r="B38" s="23" t="str">
        <f ca="1">INDEX($A$22:$P$34, IF(P22=MAX(P22,P23,P33,P34),22,IF(P23=MAX(P22,P23,P33,P34),23,IF(P33=MAX(P22,P23,P33,P34),33,34)))-21, 2)</f>
        <v>Front</v>
      </c>
      <c r="C38" s="25">
        <f ca="1">IF(INDEX($A$22:$P$34, IF(P22=MAX(P22,P23,P33,P34),22,IF(P23=MAX(P22,P23,P33,P34),23,IF(P33=MAX(P22,P23,P33,P34),33,34)))-21, 2)="Front",$D$9,$D$10)</f>
        <v>46220</v>
      </c>
      <c r="D38" s="22">
        <f ca="1">INDEX($A$22:$P$34, IF(P22=MAX(P22,P23,P33,P34),22,IF(P23=MAX(P22,P23,P33,P34),23,IF(P33=MAX(P22,P23,P33,P34),33,34)))-21, 3)</f>
        <v>67</v>
      </c>
      <c r="E38" s="30">
        <f ca="1">INDEX($A$22:$P$34, IF(P22=MAX(P22,P23,P33,P34),22,IF(P23=MAX(P22,P23,P33,P34),23,IF(P33=MAX(P22,P23,P33,P34),33,34)))-21, 4)</f>
        <v>0</v>
      </c>
      <c r="F38" s="30">
        <f ca="1">INDEX($A$22:$P$34, IF(P22=MAX(P22,P23,P33,P34),22,IF(P23=MAX(P22,P23,P33,P34),23,IF(P33=MAX(P22,P23,P33,P34),33,34)))-21, 5)</f>
        <v>-2</v>
      </c>
      <c r="G38" s="26">
        <f ca="1">INDEX($A$22:$P$34, IF(P22=MAX(P22,P23,P33,P34),22,IF(P23=MAX(P22,P23,P33,P34),23,IF(P33=MAX(P22,P23,P33,P34),33,34)))-21, 7)</f>
        <v>0</v>
      </c>
      <c r="H38" s="26">
        <f ca="1">INDEX($A$22:$P$34, IF(P22=MAX(P22,P23,P33,P34),22,IF(P23=MAX(P22,P23,P33,P34),23,IF(P33=MAX(P22,P23,P33,P34),33,34)))-21, 8)</f>
        <v>2</v>
      </c>
      <c r="I38" s="29">
        <f ca="1">INDEX($A$22:$P$34, IF(P22=MAX(P22,P23,P33,P34),22,IF(P23=MAX(P22,P23,P33,P34),23,IF(P33=MAX(P22,P23,P33,P34),33,34)))-21, 12)</f>
        <v>1</v>
      </c>
      <c r="J38" s="31">
        <f ca="1">INDEX($A$22:$P$34, IF(P22=MAX(P22,P23,P33,P34),22,IF(P23=MAX(P22,P23,P33,P34),23,IF(P33=MAX(P22,P23,P33,P34),33,34)))-21, 14)</f>
        <v>0</v>
      </c>
      <c r="K38" s="23" t="str">
        <f ca="1">INDEX($A$22:$P$34, IF(P22=MAX(P22,P23,P33,P34),22,IF(P23=MAX(P22,P23,P33,P34),23,IF(P33=MAX(P22,P23,P33,P34),33,34)))-21, 15)</f>
        <v>WAIT - DELTA</v>
      </c>
      <c r="L38" s="31">
        <f ca="1">MAX(P22,P23,P33,P34)</f>
        <v>-1000000000</v>
      </c>
    </row>
  </sheetData>
  <mergeCells count="5">
    <mergeCell ref="A1:L1"/>
    <mergeCell ref="A6:L6"/>
    <mergeCell ref="A14:L14"/>
    <mergeCell ref="A25:L25"/>
    <mergeCell ref="A36:L36"/>
  </mergeCells>
  <conditionalFormatting sqref="K38">
    <cfRule type="expression" dxfId="71" priority="6">
      <formula>K38="GO"</formula>
    </cfRule>
    <cfRule type="expression" dxfId="70" priority="7">
      <formula>LEFT(K38,4)="WAIT"</formula>
    </cfRule>
  </conditionalFormatting>
  <conditionalFormatting sqref="O22:O23">
    <cfRule type="expression" dxfId="69" priority="2">
      <formula>O22="GO"</formula>
    </cfRule>
    <cfRule type="expression" dxfId="68" priority="3">
      <formula>LEFT(O22,4)="WAIT"</formula>
    </cfRule>
  </conditionalFormatting>
  <conditionalFormatting sqref="O33:O34">
    <cfRule type="expression" dxfId="67" priority="4">
      <formula>O33="GO"</formula>
    </cfRule>
    <cfRule type="expression" dxfId="66" priority="5">
      <formula>LEFT(O33,4)="WAIT"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38"/>
  <sheetViews>
    <sheetView showGridLines="0" zoomScaleNormal="100" workbookViewId="0">
      <pane ySplit="2" topLeftCell="A3" activePane="bottomLeft" state="frozen"/>
      <selection pane="bottomLeft" sqref="A1:L1"/>
    </sheetView>
  </sheetViews>
  <sheetFormatPr baseColWidth="10" defaultColWidth="8.6640625" defaultRowHeight="15" x14ac:dyDescent="0.2"/>
  <cols>
    <col min="1" max="2" width="11" customWidth="1"/>
    <col min="3" max="3" width="8" customWidth="1"/>
    <col min="4" max="4" width="10" customWidth="1"/>
    <col min="5" max="5" width="12" customWidth="1"/>
    <col min="6" max="6" width="32" customWidth="1"/>
    <col min="7" max="10" width="10" customWidth="1"/>
    <col min="11" max="11" width="13" customWidth="1"/>
    <col min="12" max="12" width="10" customWidth="1"/>
  </cols>
  <sheetData>
    <row r="1" spans="1:12" ht="25.5" customHeight="1" x14ac:dyDescent="0.2">
      <c r="A1" s="6" t="s">
        <v>191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3" spans="1:12" ht="16" x14ac:dyDescent="0.2">
      <c r="A3" s="19" t="s">
        <v>135</v>
      </c>
      <c r="B3" s="19" t="s">
        <v>136</v>
      </c>
      <c r="C3" s="19" t="s">
        <v>137</v>
      </c>
      <c r="D3" s="19" t="s">
        <v>138</v>
      </c>
      <c r="E3" s="19" t="s">
        <v>139</v>
      </c>
      <c r="F3" s="19" t="s">
        <v>140</v>
      </c>
    </row>
    <row r="4" spans="1:12" ht="16" x14ac:dyDescent="0.2">
      <c r="A4" s="32" t="s">
        <v>123</v>
      </c>
      <c r="B4" s="32" t="s">
        <v>192</v>
      </c>
      <c r="C4" s="23" t="str">
        <f>C$3</f>
        <v>PX_LAST</v>
      </c>
      <c r="D4" s="23" t="str">
        <f>D$3</f>
        <v>IVOL_RANK</v>
      </c>
      <c r="E4" s="30">
        <f ca="1">IFERROR(bdp(B4,C4),0)</f>
        <v>0</v>
      </c>
      <c r="F4" s="22">
        <f ca="1">IFERROR(bdp(B4,D4),0)</f>
        <v>0</v>
      </c>
    </row>
    <row r="6" spans="1:12" ht="15" customHeight="1" x14ac:dyDescent="0.2">
      <c r="A6" s="6" t="s">
        <v>142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2" ht="16" x14ac:dyDescent="0.2">
      <c r="A7" s="19" t="s">
        <v>143</v>
      </c>
      <c r="B7" s="19" t="s">
        <v>144</v>
      </c>
      <c r="C7" s="19" t="s">
        <v>145</v>
      </c>
      <c r="D7" s="19" t="s">
        <v>146</v>
      </c>
    </row>
    <row r="8" spans="1:12" ht="16" x14ac:dyDescent="0.2">
      <c r="A8" s="20" t="s">
        <v>147</v>
      </c>
      <c r="B8" s="33">
        <v>2</v>
      </c>
      <c r="C8" s="34"/>
      <c r="D8" s="33">
        <f>IF(C8="",B8,C8)</f>
        <v>2</v>
      </c>
    </row>
    <row r="9" spans="1:12" ht="32" x14ac:dyDescent="0.2">
      <c r="A9" s="20" t="s">
        <v>148</v>
      </c>
      <c r="B9" s="25">
        <f ca="1">Calendar!$B$11</f>
        <v>46220</v>
      </c>
      <c r="C9" s="35"/>
      <c r="D9" s="25">
        <f ca="1">IF(C9="",B9,C9)</f>
        <v>46220</v>
      </c>
    </row>
    <row r="10" spans="1:12" ht="32" x14ac:dyDescent="0.2">
      <c r="A10" s="20" t="s">
        <v>149</v>
      </c>
      <c r="B10" s="25">
        <f ca="1">Calendar!$B$12</f>
        <v>46255</v>
      </c>
      <c r="C10" s="35"/>
      <c r="D10" s="25">
        <f ca="1">IF(C10="",B10,C10)</f>
        <v>46255</v>
      </c>
    </row>
    <row r="11" spans="1:12" ht="32" x14ac:dyDescent="0.2">
      <c r="A11" s="20" t="s">
        <v>150</v>
      </c>
      <c r="B11" s="30">
        <f ca="1">IF($E$4=0,0,FLOOR($E$4*(1-0.05)/$D$8,1)*$D$8)</f>
        <v>0</v>
      </c>
      <c r="C11" s="36"/>
      <c r="D11" s="30">
        <f ca="1">IF(C11="",B11,C11)</f>
        <v>0</v>
      </c>
    </row>
    <row r="12" spans="1:12" ht="32" x14ac:dyDescent="0.2">
      <c r="A12" s="20" t="s">
        <v>151</v>
      </c>
      <c r="B12" s="30">
        <f ca="1">IF($E$4=0,0,CEILING($E$4*(1+0.05)/$D$8,1)*$D$8)</f>
        <v>0</v>
      </c>
      <c r="C12" s="36"/>
      <c r="D12" s="30">
        <f ca="1">IF(C12="",B12,C12)</f>
        <v>0</v>
      </c>
    </row>
    <row r="14" spans="1:12" ht="21.75" customHeight="1" x14ac:dyDescent="0.2">
      <c r="A14" s="6" t="s">
        <v>152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12" ht="16" x14ac:dyDescent="0.2">
      <c r="A15" s="19" t="s">
        <v>93</v>
      </c>
      <c r="B15" s="19" t="s">
        <v>153</v>
      </c>
      <c r="C15" s="19" t="s">
        <v>154</v>
      </c>
      <c r="D15" s="19" t="s">
        <v>155</v>
      </c>
      <c r="E15" s="19" t="s">
        <v>156</v>
      </c>
      <c r="F15" s="19" t="s">
        <v>136</v>
      </c>
      <c r="G15" s="19" t="s">
        <v>137</v>
      </c>
      <c r="H15" s="19" t="s">
        <v>157</v>
      </c>
      <c r="I15" s="19" t="s">
        <v>158</v>
      </c>
      <c r="J15" s="19" t="s">
        <v>159</v>
      </c>
      <c r="K15" s="19" t="s">
        <v>160</v>
      </c>
      <c r="L15" s="19" t="s">
        <v>161</v>
      </c>
    </row>
    <row r="16" spans="1:12" ht="16" x14ac:dyDescent="0.2">
      <c r="A16" s="23" t="s">
        <v>162</v>
      </c>
      <c r="B16" s="23" t="s">
        <v>163</v>
      </c>
      <c r="C16" s="23" t="s">
        <v>164</v>
      </c>
      <c r="D16" s="30">
        <f ca="1">$D$11</f>
        <v>0</v>
      </c>
      <c r="E16" s="25">
        <f ca="1">$D$9</f>
        <v>46220</v>
      </c>
      <c r="F16" s="23" t="str">
        <f ca="1">"XLI"&amp;" US "&amp;TEXT(E16,"mm/dd/yy")&amp;" "&amp;"P"&amp;IF(D16=INT(D16),INT(D16),D16)&amp;" Equity"</f>
        <v>XLI US 07/17/26 P0 Equity</v>
      </c>
      <c r="G16" s="26">
        <f ca="1">IFERROR(bdp($F16, G$15), 0)</f>
        <v>0</v>
      </c>
      <c r="H16" s="26">
        <f ca="1">IFERROR(bdp($F16, H$15), 0)</f>
        <v>0</v>
      </c>
      <c r="I16" s="26">
        <f ca="1">IFERROR(bdp($F16, I$15), 0)</f>
        <v>0</v>
      </c>
      <c r="J16" s="29">
        <f ca="1">IFERROR(bdp($F16, J$15), 0)</f>
        <v>0</v>
      </c>
      <c r="K16" s="31">
        <f ca="1">IFERROR(bdp($F16, K$15), 0)</f>
        <v>0</v>
      </c>
      <c r="L16" s="26">
        <f ca="1">IFERROR((H16+I16)/2, 0)</f>
        <v>0</v>
      </c>
    </row>
    <row r="17" spans="1:16" ht="16" x14ac:dyDescent="0.2">
      <c r="A17" s="23" t="s">
        <v>162</v>
      </c>
      <c r="B17" s="23" t="s">
        <v>165</v>
      </c>
      <c r="C17" s="23" t="s">
        <v>164</v>
      </c>
      <c r="D17" s="30">
        <f ca="1">$D$11-$D$8</f>
        <v>-2</v>
      </c>
      <c r="E17" s="25">
        <f ca="1">$D$9</f>
        <v>46220</v>
      </c>
      <c r="F17" s="23" t="str">
        <f ca="1">"XLI"&amp;" US "&amp;TEXT(E17,"mm/dd/yy")&amp;" "&amp;"P"&amp;IF(D17=INT(D17),INT(D17),D17)&amp;" Equity"</f>
        <v>XLI US 07/17/26 P-2 Equity</v>
      </c>
      <c r="G17" s="26">
        <f ca="1">IFERROR(bdp($F17, G$15), 0)</f>
        <v>0</v>
      </c>
      <c r="H17" s="26">
        <f ca="1">IFERROR(bdp($F17, H$15), 0)</f>
        <v>0</v>
      </c>
      <c r="I17" s="26">
        <f ca="1">IFERROR(bdp($F17, I$15), 0)</f>
        <v>0</v>
      </c>
      <c r="J17" s="29">
        <f ca="1">IFERROR(bdp($F17, J$15), 0)</f>
        <v>0</v>
      </c>
      <c r="K17" s="31">
        <f ca="1">IFERROR(bdp($F17, K$15), 0)</f>
        <v>0</v>
      </c>
      <c r="L17" s="26">
        <f ca="1">IFERROR((H17+I17)/2, 0)</f>
        <v>0</v>
      </c>
    </row>
    <row r="18" spans="1:16" ht="16" x14ac:dyDescent="0.2">
      <c r="A18" s="23" t="s">
        <v>162</v>
      </c>
      <c r="B18" s="23" t="s">
        <v>166</v>
      </c>
      <c r="C18" s="23" t="s">
        <v>164</v>
      </c>
      <c r="D18" s="30">
        <f ca="1">$D$11</f>
        <v>0</v>
      </c>
      <c r="E18" s="25">
        <f ca="1">$D$10</f>
        <v>46255</v>
      </c>
      <c r="F18" s="23" t="str">
        <f ca="1">"XLI"&amp;" US "&amp;TEXT(E18,"mm/dd/yy")&amp;" "&amp;"P"&amp;IF(D18=INT(D18),INT(D18),D18)&amp;" Equity"</f>
        <v>XLI US 08/21/26 P0 Equity</v>
      </c>
      <c r="G18" s="26">
        <f ca="1">IFERROR(bdp($F18, G$15), 0)</f>
        <v>0</v>
      </c>
      <c r="H18" s="26">
        <f ca="1">IFERROR(bdp($F18, H$15), 0)</f>
        <v>0</v>
      </c>
      <c r="I18" s="26">
        <f ca="1">IFERROR(bdp($F18, I$15), 0)</f>
        <v>0</v>
      </c>
      <c r="J18" s="29">
        <f ca="1">IFERROR(bdp($F18, J$15), 0)</f>
        <v>0</v>
      </c>
      <c r="K18" s="31">
        <f ca="1">IFERROR(bdp($F18, K$15), 0)</f>
        <v>0</v>
      </c>
      <c r="L18" s="26">
        <f ca="1">IFERROR((H18+I18)/2, 0)</f>
        <v>0</v>
      </c>
    </row>
    <row r="19" spans="1:16" ht="16" x14ac:dyDescent="0.2">
      <c r="A19" s="23" t="s">
        <v>162</v>
      </c>
      <c r="B19" s="23" t="s">
        <v>167</v>
      </c>
      <c r="C19" s="23" t="s">
        <v>164</v>
      </c>
      <c r="D19" s="30">
        <f ca="1">$D$11-$D$8</f>
        <v>-2</v>
      </c>
      <c r="E19" s="25">
        <f ca="1">$D$10</f>
        <v>46255</v>
      </c>
      <c r="F19" s="23" t="str">
        <f ca="1">"XLI"&amp;" US "&amp;TEXT(E19,"mm/dd/yy")&amp;" "&amp;"P"&amp;IF(D19=INT(D19),INT(D19),D19)&amp;" Equity"</f>
        <v>XLI US 08/21/26 P-2 Equity</v>
      </c>
      <c r="G19" s="26">
        <f ca="1">IFERROR(bdp($F19, G$15), 0)</f>
        <v>0</v>
      </c>
      <c r="H19" s="26">
        <f ca="1">IFERROR(bdp($F19, H$15), 0)</f>
        <v>0</v>
      </c>
      <c r="I19" s="26">
        <f ca="1">IFERROR(bdp($F19, I$15), 0)</f>
        <v>0</v>
      </c>
      <c r="J19" s="29">
        <f ca="1">IFERROR(bdp($F19, J$15), 0)</f>
        <v>0</v>
      </c>
      <c r="K19" s="31">
        <f ca="1">IFERROR(bdp($F19, K$15), 0)</f>
        <v>0</v>
      </c>
      <c r="L19" s="26">
        <f ca="1">IFERROR((H19+I19)/2, 0)</f>
        <v>0</v>
      </c>
    </row>
    <row r="21" spans="1:16" ht="16" x14ac:dyDescent="0.2">
      <c r="A21" s="19" t="s">
        <v>93</v>
      </c>
      <c r="B21" s="19" t="s">
        <v>168</v>
      </c>
      <c r="C21" s="19" t="s">
        <v>79</v>
      </c>
      <c r="D21" s="19" t="s">
        <v>113</v>
      </c>
      <c r="E21" s="19" t="s">
        <v>114</v>
      </c>
      <c r="F21" s="19" t="s">
        <v>169</v>
      </c>
      <c r="G21" s="19" t="s">
        <v>96</v>
      </c>
      <c r="H21" s="19" t="s">
        <v>97</v>
      </c>
      <c r="I21" s="19" t="s">
        <v>170</v>
      </c>
      <c r="J21" s="19" t="s">
        <v>171</v>
      </c>
      <c r="K21" s="19" t="s">
        <v>172</v>
      </c>
      <c r="L21" s="19" t="s">
        <v>115</v>
      </c>
      <c r="M21" s="19" t="s">
        <v>173</v>
      </c>
      <c r="N21" s="19" t="s">
        <v>116</v>
      </c>
      <c r="O21" s="19" t="s">
        <v>99</v>
      </c>
      <c r="P21" s="19" t="s">
        <v>117</v>
      </c>
    </row>
    <row r="22" spans="1:16" ht="32" x14ac:dyDescent="0.2">
      <c r="A22" s="23" t="s">
        <v>162</v>
      </c>
      <c r="B22" s="23" t="s">
        <v>174</v>
      </c>
      <c r="C22" s="22">
        <f ca="1">$D$9-TODAY()</f>
        <v>67</v>
      </c>
      <c r="D22" s="30">
        <f ca="1">$D$11</f>
        <v>0</v>
      </c>
      <c r="E22" s="30">
        <f ca="1">$D$11-$D$8</f>
        <v>-2</v>
      </c>
      <c r="F22" s="33">
        <f>$D$8</f>
        <v>2</v>
      </c>
      <c r="G22" s="26">
        <f ca="1">IFERROR(L16-L17,0)</f>
        <v>0</v>
      </c>
      <c r="H22" s="26">
        <f ca="1">IFERROR(F22-G22,0)</f>
        <v>2</v>
      </c>
      <c r="I22" s="29">
        <f ca="1">IFERROR(G22/F22,0)</f>
        <v>0</v>
      </c>
      <c r="J22" s="29">
        <f ca="1">IFERROR((I16-H16)/L16,1)</f>
        <v>1</v>
      </c>
      <c r="K22" s="29">
        <f ca="1">IFERROR(($E$4-D22)/$E$4,0)</f>
        <v>0</v>
      </c>
      <c r="L22" s="29">
        <f ca="1">IFERROR(1-ABS(K16),0)</f>
        <v>1</v>
      </c>
      <c r="M22" s="26">
        <f ca="1">L22*G22-(1-L22)*H22</f>
        <v>0</v>
      </c>
      <c r="N22" s="31">
        <f ca="1">IFERROR(M22/H22,0)</f>
        <v>0</v>
      </c>
      <c r="O22" s="23" t="str">
        <f ca="1">IF(NOT(AND(C22&gt;=Settings!$B$14,C22&lt;=Settings!$B$15)),"WAIT - DTE",IF(NOT(AND(ABS(K16)&gt;=Settings!$B$12,ABS(K16)&lt;=Settings!$B$13)),"WAIT - DELTA",IF(NOT($F$4&gt;=Settings!$B$8),"WAIT - IVR",IF(NOT(G22&gt;=Settings!$B$10),"WAIT - CREDIT",IF(NOT(I22&gt;=Settings!$B$9),"WAIT - C/W",IF(NOT(AND(J22&lt;=Settings!$B$11,H16&gt;0,I16&gt;0,H17&gt;0,I17&gt;0)),"WAIT - LIQ",IF(NOT(K22&gt;=Settings!$B$19),"WAIT - BUFFER","GO")))))))</f>
        <v>WAIT - DELTA</v>
      </c>
      <c r="P22" s="31">
        <f ca="1">IF(O22="GO",N22,-1000000000)</f>
        <v>-1000000000</v>
      </c>
    </row>
    <row r="23" spans="1:16" ht="32" x14ac:dyDescent="0.2">
      <c r="A23" s="23" t="s">
        <v>162</v>
      </c>
      <c r="B23" s="23" t="s">
        <v>175</v>
      </c>
      <c r="C23" s="22">
        <f ca="1">$D$10-TODAY()</f>
        <v>102</v>
      </c>
      <c r="D23" s="30">
        <f ca="1">$D$11</f>
        <v>0</v>
      </c>
      <c r="E23" s="30">
        <f ca="1">$D$11-$D$8</f>
        <v>-2</v>
      </c>
      <c r="F23" s="33">
        <f>$D$8</f>
        <v>2</v>
      </c>
      <c r="G23" s="26">
        <f ca="1">IFERROR(L18-L19,0)</f>
        <v>0</v>
      </c>
      <c r="H23" s="26">
        <f ca="1">IFERROR(F23-G23,0)</f>
        <v>2</v>
      </c>
      <c r="I23" s="29">
        <f ca="1">IFERROR(G23/F23,0)</f>
        <v>0</v>
      </c>
      <c r="J23" s="29">
        <f ca="1">IFERROR((I18-H18)/L18,1)</f>
        <v>1</v>
      </c>
      <c r="K23" s="29">
        <f ca="1">IFERROR(($E$4-D23)/$E$4,0)</f>
        <v>0</v>
      </c>
      <c r="L23" s="29">
        <f ca="1">IFERROR(1-ABS(K18),0)</f>
        <v>1</v>
      </c>
      <c r="M23" s="26">
        <f ca="1">L23*G23-(1-L23)*H23</f>
        <v>0</v>
      </c>
      <c r="N23" s="31">
        <f ca="1">IFERROR(M23/H23,0)</f>
        <v>0</v>
      </c>
      <c r="O23" s="23" t="str">
        <f ca="1">IF(NOT(AND(C23&gt;=Settings!$B$14,C23&lt;=Settings!$B$15)),"WAIT - DTE",IF(NOT(AND(ABS(K18)&gt;=Settings!$B$12,ABS(K18)&lt;=Settings!$B$13)),"WAIT - DELTA",IF(NOT($F$4&gt;=Settings!$B$8),"WAIT - IVR",IF(NOT(G23&gt;=Settings!$B$10),"WAIT - CREDIT",IF(NOT(I23&gt;=Settings!$B$9),"WAIT - C/W",IF(NOT(AND(J23&lt;=Settings!$B$11,H18&gt;0,I18&gt;0,H19&gt;0,I19&gt;0)),"WAIT - LIQ",IF(NOT(K23&gt;=Settings!$B$19),"WAIT - BUFFER","GO")))))))</f>
        <v>WAIT - DELTA</v>
      </c>
      <c r="P23" s="31">
        <f ca="1">IF(O23="GO",N23,-1000000000)</f>
        <v>-1000000000</v>
      </c>
    </row>
    <row r="25" spans="1:16" ht="21.75" customHeight="1" x14ac:dyDescent="0.2">
      <c r="A25" s="6" t="s">
        <v>176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6" ht="16" x14ac:dyDescent="0.2">
      <c r="A26" s="19" t="s">
        <v>93</v>
      </c>
      <c r="B26" s="19" t="s">
        <v>153</v>
      </c>
      <c r="C26" s="19" t="s">
        <v>154</v>
      </c>
      <c r="D26" s="19" t="s">
        <v>155</v>
      </c>
      <c r="E26" s="19" t="s">
        <v>156</v>
      </c>
      <c r="F26" s="19" t="s">
        <v>136</v>
      </c>
      <c r="G26" s="19" t="s">
        <v>137</v>
      </c>
      <c r="H26" s="19" t="s">
        <v>157</v>
      </c>
      <c r="I26" s="19" t="s">
        <v>158</v>
      </c>
      <c r="J26" s="19" t="s">
        <v>159</v>
      </c>
      <c r="K26" s="19" t="s">
        <v>160</v>
      </c>
      <c r="L26" s="19" t="s">
        <v>161</v>
      </c>
    </row>
    <row r="27" spans="1:16" ht="16" x14ac:dyDescent="0.2">
      <c r="A27" s="23" t="s">
        <v>177</v>
      </c>
      <c r="B27" s="23" t="s">
        <v>163</v>
      </c>
      <c r="C27" s="23" t="s">
        <v>178</v>
      </c>
      <c r="D27" s="30">
        <f ca="1">$D$12</f>
        <v>0</v>
      </c>
      <c r="E27" s="25">
        <f ca="1">$D$9</f>
        <v>46220</v>
      </c>
      <c r="F27" s="23" t="str">
        <f ca="1">"XLI"&amp;" US "&amp;TEXT(E27,"mm/dd/yy")&amp;" "&amp;"C"&amp;IF(D27=INT(D27),INT(D27),D27)&amp;" Equity"</f>
        <v>XLI US 07/17/26 C0 Equity</v>
      </c>
      <c r="G27" s="26">
        <f ca="1">IFERROR(bdp($F27, G$26), 0)</f>
        <v>0</v>
      </c>
      <c r="H27" s="26">
        <f ca="1">IFERROR(bdp($F27, H$26), 0)</f>
        <v>0</v>
      </c>
      <c r="I27" s="26">
        <f ca="1">IFERROR(bdp($F27, I$26), 0)</f>
        <v>0</v>
      </c>
      <c r="J27" s="29">
        <f ca="1">IFERROR(bdp($F27, J$26), 0)</f>
        <v>0</v>
      </c>
      <c r="K27" s="31">
        <f ca="1">IFERROR(bdp($F27, K$26), 0)</f>
        <v>0</v>
      </c>
      <c r="L27" s="26">
        <f ca="1">IFERROR((H27+I27)/2, 0)</f>
        <v>0</v>
      </c>
    </row>
    <row r="28" spans="1:16" ht="16" x14ac:dyDescent="0.2">
      <c r="A28" s="23" t="s">
        <v>177</v>
      </c>
      <c r="B28" s="23" t="s">
        <v>165</v>
      </c>
      <c r="C28" s="23" t="s">
        <v>178</v>
      </c>
      <c r="D28" s="30">
        <f ca="1">$D$12+$D$8</f>
        <v>2</v>
      </c>
      <c r="E28" s="25">
        <f ca="1">$D$9</f>
        <v>46220</v>
      </c>
      <c r="F28" s="23" t="str">
        <f ca="1">"XLI"&amp;" US "&amp;TEXT(E28,"mm/dd/yy")&amp;" "&amp;"C"&amp;IF(D28=INT(D28),INT(D28),D28)&amp;" Equity"</f>
        <v>XLI US 07/17/26 C2 Equity</v>
      </c>
      <c r="G28" s="26">
        <f ca="1">IFERROR(bdp($F28, G$26), 0)</f>
        <v>0</v>
      </c>
      <c r="H28" s="26">
        <f ca="1">IFERROR(bdp($F28, H$26), 0)</f>
        <v>0</v>
      </c>
      <c r="I28" s="26">
        <f ca="1">IFERROR(bdp($F28, I$26), 0)</f>
        <v>0</v>
      </c>
      <c r="J28" s="29">
        <f ca="1">IFERROR(bdp($F28, J$26), 0)</f>
        <v>0</v>
      </c>
      <c r="K28" s="31">
        <f ca="1">IFERROR(bdp($F28, K$26), 0)</f>
        <v>0</v>
      </c>
      <c r="L28" s="26">
        <f ca="1">IFERROR((H28+I28)/2, 0)</f>
        <v>0</v>
      </c>
    </row>
    <row r="29" spans="1:16" ht="16" x14ac:dyDescent="0.2">
      <c r="A29" s="23" t="s">
        <v>177</v>
      </c>
      <c r="B29" s="23" t="s">
        <v>166</v>
      </c>
      <c r="C29" s="23" t="s">
        <v>178</v>
      </c>
      <c r="D29" s="30">
        <f ca="1">$D$12</f>
        <v>0</v>
      </c>
      <c r="E29" s="25">
        <f ca="1">$D$10</f>
        <v>46255</v>
      </c>
      <c r="F29" s="23" t="str">
        <f ca="1">"XLI"&amp;" US "&amp;TEXT(E29,"mm/dd/yy")&amp;" "&amp;"C"&amp;IF(D29=INT(D29),INT(D29),D29)&amp;" Equity"</f>
        <v>XLI US 08/21/26 C0 Equity</v>
      </c>
      <c r="G29" s="26">
        <f ca="1">IFERROR(bdp($F29, G$26), 0)</f>
        <v>0</v>
      </c>
      <c r="H29" s="26">
        <f ca="1">IFERROR(bdp($F29, H$26), 0)</f>
        <v>0</v>
      </c>
      <c r="I29" s="26">
        <f ca="1">IFERROR(bdp($F29, I$26), 0)</f>
        <v>0</v>
      </c>
      <c r="J29" s="29">
        <f ca="1">IFERROR(bdp($F29, J$26), 0)</f>
        <v>0</v>
      </c>
      <c r="K29" s="31">
        <f ca="1">IFERROR(bdp($F29, K$26), 0)</f>
        <v>0</v>
      </c>
      <c r="L29" s="26">
        <f ca="1">IFERROR((H29+I29)/2, 0)</f>
        <v>0</v>
      </c>
    </row>
    <row r="30" spans="1:16" ht="16" x14ac:dyDescent="0.2">
      <c r="A30" s="23" t="s">
        <v>177</v>
      </c>
      <c r="B30" s="23" t="s">
        <v>167</v>
      </c>
      <c r="C30" s="23" t="s">
        <v>178</v>
      </c>
      <c r="D30" s="30">
        <f ca="1">$D$12+$D$8</f>
        <v>2</v>
      </c>
      <c r="E30" s="25">
        <f ca="1">$D$10</f>
        <v>46255</v>
      </c>
      <c r="F30" s="23" t="str">
        <f ca="1">"XLI"&amp;" US "&amp;TEXT(E30,"mm/dd/yy")&amp;" "&amp;"C"&amp;IF(D30=INT(D30),INT(D30),D30)&amp;" Equity"</f>
        <v>XLI US 08/21/26 C2 Equity</v>
      </c>
      <c r="G30" s="26">
        <f ca="1">IFERROR(bdp($F30, G$26), 0)</f>
        <v>0</v>
      </c>
      <c r="H30" s="26">
        <f ca="1">IFERROR(bdp($F30, H$26), 0)</f>
        <v>0</v>
      </c>
      <c r="I30" s="26">
        <f ca="1">IFERROR(bdp($F30, I$26), 0)</f>
        <v>0</v>
      </c>
      <c r="J30" s="29">
        <f ca="1">IFERROR(bdp($F30, J$26), 0)</f>
        <v>0</v>
      </c>
      <c r="K30" s="31">
        <f ca="1">IFERROR(bdp($F30, K$26), 0)</f>
        <v>0</v>
      </c>
      <c r="L30" s="26">
        <f ca="1">IFERROR((H30+I30)/2, 0)</f>
        <v>0</v>
      </c>
    </row>
    <row r="32" spans="1:16" ht="16" x14ac:dyDescent="0.2">
      <c r="A32" s="19" t="s">
        <v>93</v>
      </c>
      <c r="B32" s="19" t="s">
        <v>168</v>
      </c>
      <c r="C32" s="19" t="s">
        <v>79</v>
      </c>
      <c r="D32" s="19" t="s">
        <v>113</v>
      </c>
      <c r="E32" s="19" t="s">
        <v>114</v>
      </c>
      <c r="F32" s="19" t="s">
        <v>169</v>
      </c>
      <c r="G32" s="19" t="s">
        <v>96</v>
      </c>
      <c r="H32" s="19" t="s">
        <v>97</v>
      </c>
      <c r="I32" s="19" t="s">
        <v>170</v>
      </c>
      <c r="J32" s="19" t="s">
        <v>171</v>
      </c>
      <c r="K32" s="19" t="s">
        <v>172</v>
      </c>
      <c r="L32" s="19" t="s">
        <v>115</v>
      </c>
      <c r="M32" s="19" t="s">
        <v>173</v>
      </c>
      <c r="N32" s="19" t="s">
        <v>116</v>
      </c>
      <c r="O32" s="19" t="s">
        <v>99</v>
      </c>
      <c r="P32" s="19" t="s">
        <v>117</v>
      </c>
    </row>
    <row r="33" spans="1:16" ht="32" x14ac:dyDescent="0.2">
      <c r="A33" s="23" t="s">
        <v>177</v>
      </c>
      <c r="B33" s="23" t="s">
        <v>174</v>
      </c>
      <c r="C33" s="22">
        <f ca="1">$D$9-TODAY()</f>
        <v>67</v>
      </c>
      <c r="D33" s="30">
        <f ca="1">$D$12</f>
        <v>0</v>
      </c>
      <c r="E33" s="30">
        <f ca="1">$D$12+$D$8</f>
        <v>2</v>
      </c>
      <c r="F33" s="33">
        <f>$D$8</f>
        <v>2</v>
      </c>
      <c r="G33" s="26">
        <f ca="1">IFERROR(L27-L28,0)</f>
        <v>0</v>
      </c>
      <c r="H33" s="26">
        <f ca="1">IFERROR(F33-G33,0)</f>
        <v>2</v>
      </c>
      <c r="I33" s="29">
        <f ca="1">IFERROR(G33/F33,0)</f>
        <v>0</v>
      </c>
      <c r="J33" s="29">
        <f ca="1">IFERROR((I27-H27)/L27,1)</f>
        <v>1</v>
      </c>
      <c r="K33" s="29">
        <f ca="1">IFERROR((D33-$E$4)/$E$4,0)</f>
        <v>0</v>
      </c>
      <c r="L33" s="29">
        <f ca="1">IFERROR(1-ABS(K27),0)</f>
        <v>1</v>
      </c>
      <c r="M33" s="26">
        <f ca="1">L33*G33-(1-L33)*H33</f>
        <v>0</v>
      </c>
      <c r="N33" s="31">
        <f ca="1">IFERROR(M33/H33,0)</f>
        <v>0</v>
      </c>
      <c r="O33" s="23" t="str">
        <f ca="1">IF(NOT(AND(C33&gt;=Settings!$B$14,C33&lt;=Settings!$B$15)),"WAIT - DTE",IF(NOT(AND(ABS(K27)&gt;=Settings!$B$12,ABS(K27)&lt;=Settings!$B$13)),"WAIT - DELTA",IF(NOT($F$4&gt;=Settings!$B$8),"WAIT - IVR",IF(NOT(G33&gt;=Settings!$B$10),"WAIT - CREDIT",IF(NOT(I33&gt;=Settings!$B$9),"WAIT - C/W",IF(NOT(AND(J33&lt;=Settings!$B$11,H27&gt;0,I27&gt;0,H28&gt;0,I28&gt;0)),"WAIT - LIQ",IF(NOT(K33&gt;=Settings!$B$19),"WAIT - BUFFER","GO")))))))</f>
        <v>WAIT - DELTA</v>
      </c>
      <c r="P33" s="31">
        <f ca="1">IF(O33="GO",N33,-1000000000)</f>
        <v>-1000000000</v>
      </c>
    </row>
    <row r="34" spans="1:16" ht="32" x14ac:dyDescent="0.2">
      <c r="A34" s="23" t="s">
        <v>177</v>
      </c>
      <c r="B34" s="23" t="s">
        <v>175</v>
      </c>
      <c r="C34" s="22">
        <f ca="1">$D$10-TODAY()</f>
        <v>102</v>
      </c>
      <c r="D34" s="30">
        <f ca="1">$D$12</f>
        <v>0</v>
      </c>
      <c r="E34" s="30">
        <f ca="1">$D$12+$D$8</f>
        <v>2</v>
      </c>
      <c r="F34" s="33">
        <f>$D$8</f>
        <v>2</v>
      </c>
      <c r="G34" s="26">
        <f ca="1">IFERROR(L29-L30,0)</f>
        <v>0</v>
      </c>
      <c r="H34" s="26">
        <f ca="1">IFERROR(F34-G34,0)</f>
        <v>2</v>
      </c>
      <c r="I34" s="29">
        <f ca="1">IFERROR(G34/F34,0)</f>
        <v>0</v>
      </c>
      <c r="J34" s="29">
        <f ca="1">IFERROR((I29-H29)/L29,1)</f>
        <v>1</v>
      </c>
      <c r="K34" s="29">
        <f ca="1">IFERROR((D34-$E$4)/$E$4,0)</f>
        <v>0</v>
      </c>
      <c r="L34" s="29">
        <f ca="1">IFERROR(1-ABS(K29),0)</f>
        <v>1</v>
      </c>
      <c r="M34" s="26">
        <f ca="1">L34*G34-(1-L34)*H34</f>
        <v>0</v>
      </c>
      <c r="N34" s="31">
        <f ca="1">IFERROR(M34/H34,0)</f>
        <v>0</v>
      </c>
      <c r="O34" s="23" t="str">
        <f ca="1">IF(NOT(AND(C34&gt;=Settings!$B$14,C34&lt;=Settings!$B$15)),"WAIT - DTE",IF(NOT(AND(ABS(K29)&gt;=Settings!$B$12,ABS(K29)&lt;=Settings!$B$13)),"WAIT - DELTA",IF(NOT($F$4&gt;=Settings!$B$8),"WAIT - IVR",IF(NOT(G34&gt;=Settings!$B$10),"WAIT - CREDIT",IF(NOT(I34&gt;=Settings!$B$9),"WAIT - C/W",IF(NOT(AND(J34&lt;=Settings!$B$11,H29&gt;0,I29&gt;0,H30&gt;0,I30&gt;0)),"WAIT - LIQ",IF(NOT(K34&gt;=Settings!$B$19),"WAIT - BUFFER","GO")))))))</f>
        <v>WAIT - DELTA</v>
      </c>
      <c r="P34" s="31">
        <f ca="1">IF(O34="GO",N34,-1000000000)</f>
        <v>-1000000000</v>
      </c>
    </row>
    <row r="36" spans="1:16" ht="15" customHeight="1" x14ac:dyDescent="0.2">
      <c r="A36" s="6" t="s">
        <v>179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6" ht="32" x14ac:dyDescent="0.2">
      <c r="A37" s="19" t="s">
        <v>180</v>
      </c>
      <c r="B37" s="19" t="s">
        <v>181</v>
      </c>
      <c r="C37" s="19" t="s">
        <v>182</v>
      </c>
      <c r="D37" s="19" t="s">
        <v>79</v>
      </c>
      <c r="E37" s="19" t="s">
        <v>113</v>
      </c>
      <c r="F37" s="19" t="s">
        <v>114</v>
      </c>
      <c r="G37" s="19" t="s">
        <v>96</v>
      </c>
      <c r="H37" s="19" t="s">
        <v>97</v>
      </c>
      <c r="I37" s="19" t="s">
        <v>115</v>
      </c>
      <c r="J37" s="19" t="s">
        <v>116</v>
      </c>
      <c r="K37" s="19" t="s">
        <v>99</v>
      </c>
      <c r="L37" s="19" t="s">
        <v>117</v>
      </c>
    </row>
    <row r="38" spans="1:16" ht="16" x14ac:dyDescent="0.2">
      <c r="A38" s="23" t="str">
        <f ca="1">INDEX($A$22:$P$34, IF(P22=MAX(P22,P23,P33,P34),22,IF(P23=MAX(P22,P23,P33,P34),23,IF(P33=MAX(P22,P23,P33,P34),33,34)))-21, 1)</f>
        <v>BullPut</v>
      </c>
      <c r="B38" s="23" t="str">
        <f ca="1">INDEX($A$22:$P$34, IF(P22=MAX(P22,P23,P33,P34),22,IF(P23=MAX(P22,P23,P33,P34),23,IF(P33=MAX(P22,P23,P33,P34),33,34)))-21, 2)</f>
        <v>Front</v>
      </c>
      <c r="C38" s="25">
        <f ca="1">IF(INDEX($A$22:$P$34, IF(P22=MAX(P22,P23,P33,P34),22,IF(P23=MAX(P22,P23,P33,P34),23,IF(P33=MAX(P22,P23,P33,P34),33,34)))-21, 2)="Front",$D$9,$D$10)</f>
        <v>46220</v>
      </c>
      <c r="D38" s="22">
        <f ca="1">INDEX($A$22:$P$34, IF(P22=MAX(P22,P23,P33,P34),22,IF(P23=MAX(P22,P23,P33,P34),23,IF(P33=MAX(P22,P23,P33,P34),33,34)))-21, 3)</f>
        <v>67</v>
      </c>
      <c r="E38" s="30">
        <f ca="1">INDEX($A$22:$P$34, IF(P22=MAX(P22,P23,P33,P34),22,IF(P23=MAX(P22,P23,P33,P34),23,IF(P33=MAX(P22,P23,P33,P34),33,34)))-21, 4)</f>
        <v>0</v>
      </c>
      <c r="F38" s="30">
        <f ca="1">INDEX($A$22:$P$34, IF(P22=MAX(P22,P23,P33,P34),22,IF(P23=MAX(P22,P23,P33,P34),23,IF(P33=MAX(P22,P23,P33,P34),33,34)))-21, 5)</f>
        <v>-2</v>
      </c>
      <c r="G38" s="26">
        <f ca="1">INDEX($A$22:$P$34, IF(P22=MAX(P22,P23,P33,P34),22,IF(P23=MAX(P22,P23,P33,P34),23,IF(P33=MAX(P22,P23,P33,P34),33,34)))-21, 7)</f>
        <v>0</v>
      </c>
      <c r="H38" s="26">
        <f ca="1">INDEX($A$22:$P$34, IF(P22=MAX(P22,P23,P33,P34),22,IF(P23=MAX(P22,P23,P33,P34),23,IF(P33=MAX(P22,P23,P33,P34),33,34)))-21, 8)</f>
        <v>2</v>
      </c>
      <c r="I38" s="29">
        <f ca="1">INDEX($A$22:$P$34, IF(P22=MAX(P22,P23,P33,P34),22,IF(P23=MAX(P22,P23,P33,P34),23,IF(P33=MAX(P22,P23,P33,P34),33,34)))-21, 12)</f>
        <v>1</v>
      </c>
      <c r="J38" s="31">
        <f ca="1">INDEX($A$22:$P$34, IF(P22=MAX(P22,P23,P33,P34),22,IF(P23=MAX(P22,P23,P33,P34),23,IF(P33=MAX(P22,P23,P33,P34),33,34)))-21, 14)</f>
        <v>0</v>
      </c>
      <c r="K38" s="23" t="str">
        <f ca="1">INDEX($A$22:$P$34, IF(P22=MAX(P22,P23,P33,P34),22,IF(P23=MAX(P22,P23,P33,P34),23,IF(P33=MAX(P22,P23,P33,P34),33,34)))-21, 15)</f>
        <v>WAIT - DELTA</v>
      </c>
      <c r="L38" s="31">
        <f ca="1">MAX(P22,P23,P33,P34)</f>
        <v>-1000000000</v>
      </c>
    </row>
  </sheetData>
  <mergeCells count="5">
    <mergeCell ref="A1:L1"/>
    <mergeCell ref="A6:L6"/>
    <mergeCell ref="A14:L14"/>
    <mergeCell ref="A25:L25"/>
    <mergeCell ref="A36:L36"/>
  </mergeCells>
  <conditionalFormatting sqref="K38">
    <cfRule type="expression" dxfId="65" priority="6">
      <formula>K38="GO"</formula>
    </cfRule>
    <cfRule type="expression" dxfId="64" priority="7">
      <formula>LEFT(K38,4)="WAIT"</formula>
    </cfRule>
  </conditionalFormatting>
  <conditionalFormatting sqref="O22:O23">
    <cfRule type="expression" dxfId="63" priority="2">
      <formula>O22="GO"</formula>
    </cfRule>
    <cfRule type="expression" dxfId="62" priority="3">
      <formula>LEFT(O22,4)="WAIT"</formula>
    </cfRule>
  </conditionalFormatting>
  <conditionalFormatting sqref="O33:O34">
    <cfRule type="expression" dxfId="61" priority="4">
      <formula>O33="GO"</formula>
    </cfRule>
    <cfRule type="expression" dxfId="60" priority="5">
      <formula>LEFT(O33,4)="WAIT"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38"/>
  <sheetViews>
    <sheetView showGridLines="0" tabSelected="1" zoomScaleNormal="100" workbookViewId="0">
      <pane ySplit="2" topLeftCell="A3" activePane="bottomLeft" state="frozen"/>
      <selection pane="bottomLeft" sqref="A1:L1"/>
    </sheetView>
  </sheetViews>
  <sheetFormatPr baseColWidth="10" defaultColWidth="8.6640625" defaultRowHeight="15" x14ac:dyDescent="0.2"/>
  <cols>
    <col min="1" max="2" width="11" customWidth="1"/>
    <col min="3" max="3" width="8" customWidth="1"/>
    <col min="4" max="4" width="10" customWidth="1"/>
    <col min="5" max="5" width="12" customWidth="1"/>
    <col min="6" max="6" width="32" customWidth="1"/>
    <col min="7" max="10" width="10" customWidth="1"/>
    <col min="11" max="11" width="13" customWidth="1"/>
    <col min="12" max="12" width="10" customWidth="1"/>
  </cols>
  <sheetData>
    <row r="1" spans="1:12" ht="25.5" customHeight="1" x14ac:dyDescent="0.2">
      <c r="A1" s="6" t="s">
        <v>193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3" spans="1:12" ht="16" x14ac:dyDescent="0.2">
      <c r="A3" s="19" t="s">
        <v>135</v>
      </c>
      <c r="B3" s="19" t="s">
        <v>136</v>
      </c>
      <c r="C3" s="19" t="s">
        <v>137</v>
      </c>
      <c r="D3" s="19" t="s">
        <v>138</v>
      </c>
      <c r="E3" s="19" t="s">
        <v>139</v>
      </c>
      <c r="F3" s="19" t="s">
        <v>140</v>
      </c>
    </row>
    <row r="4" spans="1:12" ht="32" x14ac:dyDescent="0.2">
      <c r="A4" s="32" t="s">
        <v>124</v>
      </c>
      <c r="B4" s="32" t="s">
        <v>194</v>
      </c>
      <c r="C4" s="23" t="str">
        <f>C$3</f>
        <v>PX_LAST</v>
      </c>
      <c r="D4" s="23" t="str">
        <f>D$3</f>
        <v>IVOL_RANK</v>
      </c>
      <c r="E4" s="30">
        <f ca="1">IFERROR(bdp(B4,C4),0)</f>
        <v>0</v>
      </c>
      <c r="F4" s="22">
        <f ca="1">IFERROR(bdp(B4,D4),0)</f>
        <v>0</v>
      </c>
    </row>
    <row r="6" spans="1:12" ht="15" customHeight="1" x14ac:dyDescent="0.2">
      <c r="A6" s="6" t="s">
        <v>142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2" ht="16" x14ac:dyDescent="0.2">
      <c r="A7" s="19" t="s">
        <v>143</v>
      </c>
      <c r="B7" s="19" t="s">
        <v>144</v>
      </c>
      <c r="C7" s="19" t="s">
        <v>145</v>
      </c>
      <c r="D7" s="19" t="s">
        <v>146</v>
      </c>
    </row>
    <row r="8" spans="1:12" ht="16" x14ac:dyDescent="0.2">
      <c r="A8" s="20" t="s">
        <v>147</v>
      </c>
      <c r="B8" s="33">
        <v>5</v>
      </c>
      <c r="C8" s="34"/>
      <c r="D8" s="33">
        <f>IF(C8="",B8,C8)</f>
        <v>5</v>
      </c>
    </row>
    <row r="9" spans="1:12" ht="32" x14ac:dyDescent="0.2">
      <c r="A9" s="20" t="s">
        <v>148</v>
      </c>
      <c r="B9" s="25">
        <f ca="1">Calendar!$B$11</f>
        <v>46220</v>
      </c>
      <c r="C9" s="35"/>
      <c r="D9" s="25">
        <f ca="1">IF(C9="",B9,C9)</f>
        <v>46220</v>
      </c>
    </row>
    <row r="10" spans="1:12" ht="32" x14ac:dyDescent="0.2">
      <c r="A10" s="20" t="s">
        <v>149</v>
      </c>
      <c r="B10" s="25">
        <f ca="1">Calendar!$B$12</f>
        <v>46255</v>
      </c>
      <c r="C10" s="35"/>
      <c r="D10" s="25">
        <f ca="1">IF(C10="",B10,C10)</f>
        <v>46255</v>
      </c>
    </row>
    <row r="11" spans="1:12" ht="32" x14ac:dyDescent="0.2">
      <c r="A11" s="20" t="s">
        <v>150</v>
      </c>
      <c r="B11" s="30">
        <f ca="1">IF($E$4=0,0,FLOOR($E$4*(1-0.06)/$D$8,1)*$D$8)</f>
        <v>0</v>
      </c>
      <c r="C11" s="36"/>
      <c r="D11" s="30">
        <f ca="1">IF(C11="",B11,C11)</f>
        <v>0</v>
      </c>
    </row>
    <row r="12" spans="1:12" ht="32" x14ac:dyDescent="0.2">
      <c r="A12" s="20" t="s">
        <v>151</v>
      </c>
      <c r="B12" s="30">
        <f ca="1">IF($E$4=0,0,CEILING($E$4*(1+0.06)/$D$8,1)*$D$8)</f>
        <v>0</v>
      </c>
      <c r="C12" s="36"/>
      <c r="D12" s="30">
        <f ca="1">IF(C12="",B12,C12)</f>
        <v>0</v>
      </c>
    </row>
    <row r="14" spans="1:12" ht="21.75" customHeight="1" x14ac:dyDescent="0.2">
      <c r="A14" s="6" t="s">
        <v>152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12" ht="16" x14ac:dyDescent="0.2">
      <c r="A15" s="19" t="s">
        <v>93</v>
      </c>
      <c r="B15" s="19" t="s">
        <v>153</v>
      </c>
      <c r="C15" s="19" t="s">
        <v>154</v>
      </c>
      <c r="D15" s="19" t="s">
        <v>155</v>
      </c>
      <c r="E15" s="19" t="s">
        <v>156</v>
      </c>
      <c r="F15" s="19" t="s">
        <v>136</v>
      </c>
      <c r="G15" s="19" t="s">
        <v>137</v>
      </c>
      <c r="H15" s="19" t="s">
        <v>157</v>
      </c>
      <c r="I15" s="19" t="s">
        <v>158</v>
      </c>
      <c r="J15" s="19" t="s">
        <v>159</v>
      </c>
      <c r="K15" s="19" t="s">
        <v>160</v>
      </c>
      <c r="L15" s="19" t="s">
        <v>161</v>
      </c>
    </row>
    <row r="16" spans="1:12" ht="16" x14ac:dyDescent="0.2">
      <c r="A16" s="23" t="s">
        <v>162</v>
      </c>
      <c r="B16" s="23" t="s">
        <v>163</v>
      </c>
      <c r="C16" s="23" t="s">
        <v>164</v>
      </c>
      <c r="D16" s="30">
        <f ca="1">$D$11</f>
        <v>0</v>
      </c>
      <c r="E16" s="25">
        <f ca="1">$D$9</f>
        <v>46220</v>
      </c>
      <c r="F16" s="23" t="str">
        <f ca="1">"XLK"&amp;" US "&amp;TEXT(E16,"mm/dd/yy")&amp;" "&amp;"P"&amp;IF(D16=INT(D16),INT(D16),D16)&amp;" Equity"</f>
        <v>XLK US 07/17/26 P0 Equity</v>
      </c>
      <c r="G16" s="26">
        <f ca="1">IFERROR(bdp($F16, G$15), 0)</f>
        <v>0</v>
      </c>
      <c r="H16" s="26">
        <f ca="1">IFERROR(bdp($F16, H$15), 0)</f>
        <v>0</v>
      </c>
      <c r="I16" s="26">
        <f ca="1">IFERROR(bdp($F16, I$15), 0)</f>
        <v>0</v>
      </c>
      <c r="J16" s="29">
        <f ca="1">IFERROR(bdp($F16, J$15), 0)</f>
        <v>0</v>
      </c>
      <c r="K16" s="31">
        <f ca="1">IFERROR(bdp($F16, K$15), 0)</f>
        <v>0</v>
      </c>
      <c r="L16" s="26">
        <f ca="1">IFERROR((H16+I16)/2, 0)</f>
        <v>0</v>
      </c>
    </row>
    <row r="17" spans="1:16" ht="16" x14ac:dyDescent="0.2">
      <c r="A17" s="23" t="s">
        <v>162</v>
      </c>
      <c r="B17" s="23" t="s">
        <v>165</v>
      </c>
      <c r="C17" s="23" t="s">
        <v>164</v>
      </c>
      <c r="D17" s="30">
        <f ca="1">$D$11-$D$8</f>
        <v>-5</v>
      </c>
      <c r="E17" s="25">
        <f ca="1">$D$9</f>
        <v>46220</v>
      </c>
      <c r="F17" s="23" t="str">
        <f ca="1">"XLK"&amp;" US "&amp;TEXT(E17,"mm/dd/yy")&amp;" "&amp;"P"&amp;IF(D17=INT(D17),INT(D17),D17)&amp;" Equity"</f>
        <v>XLK US 07/17/26 P-5 Equity</v>
      </c>
      <c r="G17" s="26">
        <f ca="1">IFERROR(bdp($F17, G$15), 0)</f>
        <v>0</v>
      </c>
      <c r="H17" s="26">
        <f ca="1">IFERROR(bdp($F17, H$15), 0)</f>
        <v>0</v>
      </c>
      <c r="I17" s="26">
        <f ca="1">IFERROR(bdp($F17, I$15), 0)</f>
        <v>0</v>
      </c>
      <c r="J17" s="29">
        <f ca="1">IFERROR(bdp($F17, J$15), 0)</f>
        <v>0</v>
      </c>
      <c r="K17" s="31">
        <f ca="1">IFERROR(bdp($F17, K$15), 0)</f>
        <v>0</v>
      </c>
      <c r="L17" s="26">
        <f ca="1">IFERROR((H17+I17)/2, 0)</f>
        <v>0</v>
      </c>
    </row>
    <row r="18" spans="1:16" ht="16" x14ac:dyDescent="0.2">
      <c r="A18" s="23" t="s">
        <v>162</v>
      </c>
      <c r="B18" s="23" t="s">
        <v>166</v>
      </c>
      <c r="C18" s="23" t="s">
        <v>164</v>
      </c>
      <c r="D18" s="30">
        <f ca="1">$D$11</f>
        <v>0</v>
      </c>
      <c r="E18" s="25">
        <f ca="1">$D$10</f>
        <v>46255</v>
      </c>
      <c r="F18" s="23" t="str">
        <f ca="1">"XLK"&amp;" US "&amp;TEXT(E18,"mm/dd/yy")&amp;" "&amp;"P"&amp;IF(D18=INT(D18),INT(D18),D18)&amp;" Equity"</f>
        <v>XLK US 08/21/26 P0 Equity</v>
      </c>
      <c r="G18" s="26">
        <f ca="1">IFERROR(bdp($F18, G$15), 0)</f>
        <v>0</v>
      </c>
      <c r="H18" s="26">
        <f ca="1">IFERROR(bdp($F18, H$15), 0)</f>
        <v>0</v>
      </c>
      <c r="I18" s="26">
        <f ca="1">IFERROR(bdp($F18, I$15), 0)</f>
        <v>0</v>
      </c>
      <c r="J18" s="29">
        <f ca="1">IFERROR(bdp($F18, J$15), 0)</f>
        <v>0</v>
      </c>
      <c r="K18" s="31">
        <f ca="1">IFERROR(bdp($F18, K$15), 0)</f>
        <v>0</v>
      </c>
      <c r="L18" s="26">
        <f ca="1">IFERROR((H18+I18)/2, 0)</f>
        <v>0</v>
      </c>
    </row>
    <row r="19" spans="1:16" ht="16" x14ac:dyDescent="0.2">
      <c r="A19" s="23" t="s">
        <v>162</v>
      </c>
      <c r="B19" s="23" t="s">
        <v>167</v>
      </c>
      <c r="C19" s="23" t="s">
        <v>164</v>
      </c>
      <c r="D19" s="30">
        <f ca="1">$D$11-$D$8</f>
        <v>-5</v>
      </c>
      <c r="E19" s="25">
        <f ca="1">$D$10</f>
        <v>46255</v>
      </c>
      <c r="F19" s="23" t="str">
        <f ca="1">"XLK"&amp;" US "&amp;TEXT(E19,"mm/dd/yy")&amp;" "&amp;"P"&amp;IF(D19=INT(D19),INT(D19),D19)&amp;" Equity"</f>
        <v>XLK US 08/21/26 P-5 Equity</v>
      </c>
      <c r="G19" s="26">
        <f ca="1">IFERROR(bdp($F19, G$15), 0)</f>
        <v>0</v>
      </c>
      <c r="H19" s="26">
        <f ca="1">IFERROR(bdp($F19, H$15), 0)</f>
        <v>0</v>
      </c>
      <c r="I19" s="26">
        <f ca="1">IFERROR(bdp($F19, I$15), 0)</f>
        <v>0</v>
      </c>
      <c r="J19" s="29">
        <f ca="1">IFERROR(bdp($F19, J$15), 0)</f>
        <v>0</v>
      </c>
      <c r="K19" s="31">
        <f ca="1">IFERROR(bdp($F19, K$15), 0)</f>
        <v>0</v>
      </c>
      <c r="L19" s="26">
        <f ca="1">IFERROR((H19+I19)/2, 0)</f>
        <v>0</v>
      </c>
    </row>
    <row r="21" spans="1:16" ht="16" x14ac:dyDescent="0.2">
      <c r="A21" s="19" t="s">
        <v>93</v>
      </c>
      <c r="B21" s="19" t="s">
        <v>168</v>
      </c>
      <c r="C21" s="19" t="s">
        <v>79</v>
      </c>
      <c r="D21" s="19" t="s">
        <v>113</v>
      </c>
      <c r="E21" s="19" t="s">
        <v>114</v>
      </c>
      <c r="F21" s="19" t="s">
        <v>169</v>
      </c>
      <c r="G21" s="19" t="s">
        <v>96</v>
      </c>
      <c r="H21" s="19" t="s">
        <v>97</v>
      </c>
      <c r="I21" s="19" t="s">
        <v>170</v>
      </c>
      <c r="J21" s="19" t="s">
        <v>171</v>
      </c>
      <c r="K21" s="19" t="s">
        <v>172</v>
      </c>
      <c r="L21" s="19" t="s">
        <v>115</v>
      </c>
      <c r="M21" s="19" t="s">
        <v>173</v>
      </c>
      <c r="N21" s="19" t="s">
        <v>116</v>
      </c>
      <c r="O21" s="19" t="s">
        <v>99</v>
      </c>
      <c r="P21" s="19" t="s">
        <v>117</v>
      </c>
    </row>
    <row r="22" spans="1:16" ht="32" x14ac:dyDescent="0.2">
      <c r="A22" s="23" t="s">
        <v>162</v>
      </c>
      <c r="B22" s="23" t="s">
        <v>174</v>
      </c>
      <c r="C22" s="22">
        <f ca="1">$D$9-TODAY()</f>
        <v>67</v>
      </c>
      <c r="D22" s="30">
        <f ca="1">$D$11</f>
        <v>0</v>
      </c>
      <c r="E22" s="30">
        <f ca="1">$D$11-$D$8</f>
        <v>-5</v>
      </c>
      <c r="F22" s="33">
        <f>$D$8</f>
        <v>5</v>
      </c>
      <c r="G22" s="26">
        <f ca="1">IFERROR(L16-L17,0)</f>
        <v>0</v>
      </c>
      <c r="H22" s="26">
        <f ca="1">IFERROR(F22-G22,0)</f>
        <v>5</v>
      </c>
      <c r="I22" s="29">
        <f ca="1">IFERROR(G22/F22,0)</f>
        <v>0</v>
      </c>
      <c r="J22" s="29">
        <f ca="1">IFERROR((I16-H16)/L16,1)</f>
        <v>1</v>
      </c>
      <c r="K22" s="29">
        <f ca="1">IFERROR(($E$4-D22)/$E$4,0)</f>
        <v>0</v>
      </c>
      <c r="L22" s="29">
        <f ca="1">IFERROR(1-ABS(K16),0)</f>
        <v>1</v>
      </c>
      <c r="M22" s="26">
        <f ca="1">L22*G22-(1-L22)*H22</f>
        <v>0</v>
      </c>
      <c r="N22" s="31">
        <f ca="1">IFERROR(M22/H22,0)</f>
        <v>0</v>
      </c>
      <c r="O22" s="23" t="str">
        <f ca="1">IF(NOT(AND(C22&gt;=Settings!$B$14,C22&lt;=Settings!$B$15)),"WAIT - DTE",IF(NOT(AND(ABS(K16)&gt;=Settings!$B$12,ABS(K16)&lt;=Settings!$B$13)),"WAIT - DELTA",IF(NOT($F$4&gt;=Settings!$B$8),"WAIT - IVR",IF(NOT(G22&gt;=Settings!$B$10),"WAIT - CREDIT",IF(NOT(I22&gt;=Settings!$B$9),"WAIT - C/W",IF(NOT(AND(J22&lt;=Settings!$B$11,H16&gt;0,I16&gt;0,H17&gt;0,I17&gt;0)),"WAIT - LIQ",IF(NOT(K22&gt;=Settings!$B$19),"WAIT - BUFFER","GO")))))))</f>
        <v>WAIT - DELTA</v>
      </c>
      <c r="P22" s="31">
        <f ca="1">IF(O22="GO",N22,-1000000000)</f>
        <v>-1000000000</v>
      </c>
    </row>
    <row r="23" spans="1:16" ht="32" x14ac:dyDescent="0.2">
      <c r="A23" s="23" t="s">
        <v>162</v>
      </c>
      <c r="B23" s="23" t="s">
        <v>175</v>
      </c>
      <c r="C23" s="22">
        <f ca="1">$D$10-TODAY()</f>
        <v>102</v>
      </c>
      <c r="D23" s="30">
        <f ca="1">$D$11</f>
        <v>0</v>
      </c>
      <c r="E23" s="30">
        <f ca="1">$D$11-$D$8</f>
        <v>-5</v>
      </c>
      <c r="F23" s="33">
        <f>$D$8</f>
        <v>5</v>
      </c>
      <c r="G23" s="26">
        <f ca="1">IFERROR(L18-L19,0)</f>
        <v>0</v>
      </c>
      <c r="H23" s="26">
        <f ca="1">IFERROR(F23-G23,0)</f>
        <v>5</v>
      </c>
      <c r="I23" s="29">
        <f ca="1">IFERROR(G23/F23,0)</f>
        <v>0</v>
      </c>
      <c r="J23" s="29">
        <f ca="1">IFERROR((I18-H18)/L18,1)</f>
        <v>1</v>
      </c>
      <c r="K23" s="29">
        <f ca="1">IFERROR(($E$4-D23)/$E$4,0)</f>
        <v>0</v>
      </c>
      <c r="L23" s="29">
        <f ca="1">IFERROR(1-ABS(K18),0)</f>
        <v>1</v>
      </c>
      <c r="M23" s="26">
        <f ca="1">L23*G23-(1-L23)*H23</f>
        <v>0</v>
      </c>
      <c r="N23" s="31">
        <f ca="1">IFERROR(M23/H23,0)</f>
        <v>0</v>
      </c>
      <c r="O23" s="23" t="str">
        <f ca="1">IF(NOT(AND(C23&gt;=Settings!$B$14,C23&lt;=Settings!$B$15)),"WAIT - DTE",IF(NOT(AND(ABS(K18)&gt;=Settings!$B$12,ABS(K18)&lt;=Settings!$B$13)),"WAIT - DELTA",IF(NOT($F$4&gt;=Settings!$B$8),"WAIT - IVR",IF(NOT(G23&gt;=Settings!$B$10),"WAIT - CREDIT",IF(NOT(I23&gt;=Settings!$B$9),"WAIT - C/W",IF(NOT(AND(J23&lt;=Settings!$B$11,H18&gt;0,I18&gt;0,H19&gt;0,I19&gt;0)),"WAIT - LIQ",IF(NOT(K23&gt;=Settings!$B$19),"WAIT - BUFFER","GO")))))))</f>
        <v>WAIT - DELTA</v>
      </c>
      <c r="P23" s="31">
        <f ca="1">IF(O23="GO",N23,-1000000000)</f>
        <v>-1000000000</v>
      </c>
    </row>
    <row r="25" spans="1:16" ht="21.75" customHeight="1" x14ac:dyDescent="0.2">
      <c r="A25" s="6" t="s">
        <v>176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6" ht="16" x14ac:dyDescent="0.2">
      <c r="A26" s="19" t="s">
        <v>93</v>
      </c>
      <c r="B26" s="19" t="s">
        <v>153</v>
      </c>
      <c r="C26" s="19" t="s">
        <v>154</v>
      </c>
      <c r="D26" s="19" t="s">
        <v>155</v>
      </c>
      <c r="E26" s="19" t="s">
        <v>156</v>
      </c>
      <c r="F26" s="19" t="s">
        <v>136</v>
      </c>
      <c r="G26" s="19" t="s">
        <v>137</v>
      </c>
      <c r="H26" s="19" t="s">
        <v>157</v>
      </c>
      <c r="I26" s="19" t="s">
        <v>158</v>
      </c>
      <c r="J26" s="19" t="s">
        <v>159</v>
      </c>
      <c r="K26" s="19" t="s">
        <v>160</v>
      </c>
      <c r="L26" s="19" t="s">
        <v>161</v>
      </c>
    </row>
    <row r="27" spans="1:16" ht="16" x14ac:dyDescent="0.2">
      <c r="A27" s="23" t="s">
        <v>177</v>
      </c>
      <c r="B27" s="23" t="s">
        <v>163</v>
      </c>
      <c r="C27" s="23" t="s">
        <v>178</v>
      </c>
      <c r="D27" s="30">
        <f ca="1">$D$12</f>
        <v>0</v>
      </c>
      <c r="E27" s="25">
        <f ca="1">$D$9</f>
        <v>46220</v>
      </c>
      <c r="F27" s="23" t="str">
        <f ca="1">"XLK"&amp;" US "&amp;TEXT(E27,"mm/dd/yy")&amp;" "&amp;"C"&amp;IF(D27=INT(D27),INT(D27),D27)&amp;" Equity"</f>
        <v>XLK US 07/17/26 C0 Equity</v>
      </c>
      <c r="G27" s="26">
        <f ca="1">IFERROR(bdp($F27, G$26), 0)</f>
        <v>0</v>
      </c>
      <c r="H27" s="26">
        <f ca="1">IFERROR(bdp($F27, H$26), 0)</f>
        <v>0</v>
      </c>
      <c r="I27" s="26">
        <f ca="1">IFERROR(bdp($F27, I$26), 0)</f>
        <v>0</v>
      </c>
      <c r="J27" s="29">
        <f ca="1">IFERROR(bdp($F27, J$26), 0)</f>
        <v>0</v>
      </c>
      <c r="K27" s="31">
        <f ca="1">IFERROR(bdp($F27, K$26), 0)</f>
        <v>0</v>
      </c>
      <c r="L27" s="26">
        <f ca="1">IFERROR((H27+I27)/2, 0)</f>
        <v>0</v>
      </c>
    </row>
    <row r="28" spans="1:16" ht="16" x14ac:dyDescent="0.2">
      <c r="A28" s="23" t="s">
        <v>177</v>
      </c>
      <c r="B28" s="23" t="s">
        <v>165</v>
      </c>
      <c r="C28" s="23" t="s">
        <v>178</v>
      </c>
      <c r="D28" s="30">
        <f ca="1">$D$12+$D$8</f>
        <v>5</v>
      </c>
      <c r="E28" s="25">
        <f ca="1">$D$9</f>
        <v>46220</v>
      </c>
      <c r="F28" s="23" t="str">
        <f ca="1">"XLK"&amp;" US "&amp;TEXT(E28,"mm/dd/yy")&amp;" "&amp;"C"&amp;IF(D28=INT(D28),INT(D28),D28)&amp;" Equity"</f>
        <v>XLK US 07/17/26 C5 Equity</v>
      </c>
      <c r="G28" s="26">
        <f ca="1">IFERROR(bdp($F28, G$26), 0)</f>
        <v>0</v>
      </c>
      <c r="H28" s="26">
        <f ca="1">IFERROR(bdp($F28, H$26), 0)</f>
        <v>0</v>
      </c>
      <c r="I28" s="26">
        <f ca="1">IFERROR(bdp($F28, I$26), 0)</f>
        <v>0</v>
      </c>
      <c r="J28" s="29">
        <f ca="1">IFERROR(bdp($F28, J$26), 0)</f>
        <v>0</v>
      </c>
      <c r="K28" s="31">
        <f ca="1">IFERROR(bdp($F28, K$26), 0)</f>
        <v>0</v>
      </c>
      <c r="L28" s="26">
        <f ca="1">IFERROR((H28+I28)/2, 0)</f>
        <v>0</v>
      </c>
    </row>
    <row r="29" spans="1:16" ht="16" x14ac:dyDescent="0.2">
      <c r="A29" s="23" t="s">
        <v>177</v>
      </c>
      <c r="B29" s="23" t="s">
        <v>166</v>
      </c>
      <c r="C29" s="23" t="s">
        <v>178</v>
      </c>
      <c r="D29" s="30">
        <f ca="1">$D$12</f>
        <v>0</v>
      </c>
      <c r="E29" s="25">
        <f ca="1">$D$10</f>
        <v>46255</v>
      </c>
      <c r="F29" s="23" t="str">
        <f ca="1">"XLK"&amp;" US "&amp;TEXT(E29,"mm/dd/yy")&amp;" "&amp;"C"&amp;IF(D29=INT(D29),INT(D29),D29)&amp;" Equity"</f>
        <v>XLK US 08/21/26 C0 Equity</v>
      </c>
      <c r="G29" s="26">
        <f ca="1">IFERROR(bdp($F29, G$26), 0)</f>
        <v>0</v>
      </c>
      <c r="H29" s="26">
        <f ca="1">IFERROR(bdp($F29, H$26), 0)</f>
        <v>0</v>
      </c>
      <c r="I29" s="26">
        <f ca="1">IFERROR(bdp($F29, I$26), 0)</f>
        <v>0</v>
      </c>
      <c r="J29" s="29">
        <f ca="1">IFERROR(bdp($F29, J$26), 0)</f>
        <v>0</v>
      </c>
      <c r="K29" s="31">
        <f ca="1">IFERROR(bdp($F29, K$26), 0)</f>
        <v>0</v>
      </c>
      <c r="L29" s="26">
        <f ca="1">IFERROR((H29+I29)/2, 0)</f>
        <v>0</v>
      </c>
    </row>
    <row r="30" spans="1:16" ht="16" x14ac:dyDescent="0.2">
      <c r="A30" s="23" t="s">
        <v>177</v>
      </c>
      <c r="B30" s="23" t="s">
        <v>167</v>
      </c>
      <c r="C30" s="23" t="s">
        <v>178</v>
      </c>
      <c r="D30" s="30">
        <f ca="1">$D$12+$D$8</f>
        <v>5</v>
      </c>
      <c r="E30" s="25">
        <f ca="1">$D$10</f>
        <v>46255</v>
      </c>
      <c r="F30" s="23" t="str">
        <f ca="1">"XLK"&amp;" US "&amp;TEXT(E30,"mm/dd/yy")&amp;" "&amp;"C"&amp;IF(D30=INT(D30),INT(D30),D30)&amp;" Equity"</f>
        <v>XLK US 08/21/26 C5 Equity</v>
      </c>
      <c r="G30" s="26">
        <f ca="1">IFERROR(bdp($F30, G$26), 0)</f>
        <v>0</v>
      </c>
      <c r="H30" s="26">
        <f ca="1">IFERROR(bdp($F30, H$26), 0)</f>
        <v>0</v>
      </c>
      <c r="I30" s="26">
        <f ca="1">IFERROR(bdp($F30, I$26), 0)</f>
        <v>0</v>
      </c>
      <c r="J30" s="29">
        <f ca="1">IFERROR(bdp($F30, J$26), 0)</f>
        <v>0</v>
      </c>
      <c r="K30" s="31">
        <f ca="1">IFERROR(bdp($F30, K$26), 0)</f>
        <v>0</v>
      </c>
      <c r="L30" s="26">
        <f ca="1">IFERROR((H30+I30)/2, 0)</f>
        <v>0</v>
      </c>
    </row>
    <row r="32" spans="1:16" ht="16" x14ac:dyDescent="0.2">
      <c r="A32" s="19" t="s">
        <v>93</v>
      </c>
      <c r="B32" s="19" t="s">
        <v>168</v>
      </c>
      <c r="C32" s="19" t="s">
        <v>79</v>
      </c>
      <c r="D32" s="19" t="s">
        <v>113</v>
      </c>
      <c r="E32" s="19" t="s">
        <v>114</v>
      </c>
      <c r="F32" s="19" t="s">
        <v>169</v>
      </c>
      <c r="G32" s="19" t="s">
        <v>96</v>
      </c>
      <c r="H32" s="19" t="s">
        <v>97</v>
      </c>
      <c r="I32" s="19" t="s">
        <v>170</v>
      </c>
      <c r="J32" s="19" t="s">
        <v>171</v>
      </c>
      <c r="K32" s="19" t="s">
        <v>172</v>
      </c>
      <c r="L32" s="19" t="s">
        <v>115</v>
      </c>
      <c r="M32" s="19" t="s">
        <v>173</v>
      </c>
      <c r="N32" s="19" t="s">
        <v>116</v>
      </c>
      <c r="O32" s="19" t="s">
        <v>99</v>
      </c>
      <c r="P32" s="19" t="s">
        <v>117</v>
      </c>
    </row>
    <row r="33" spans="1:16" ht="32" x14ac:dyDescent="0.2">
      <c r="A33" s="23" t="s">
        <v>177</v>
      </c>
      <c r="B33" s="23" t="s">
        <v>174</v>
      </c>
      <c r="C33" s="22">
        <f ca="1">$D$9-TODAY()</f>
        <v>67</v>
      </c>
      <c r="D33" s="30">
        <f ca="1">$D$12</f>
        <v>0</v>
      </c>
      <c r="E33" s="30">
        <f ca="1">$D$12+$D$8</f>
        <v>5</v>
      </c>
      <c r="F33" s="33">
        <f>$D$8</f>
        <v>5</v>
      </c>
      <c r="G33" s="26">
        <f ca="1">IFERROR(L27-L28,0)</f>
        <v>0</v>
      </c>
      <c r="H33" s="26">
        <f ca="1">IFERROR(F33-G33,0)</f>
        <v>5</v>
      </c>
      <c r="I33" s="29">
        <f ca="1">IFERROR(G33/F33,0)</f>
        <v>0</v>
      </c>
      <c r="J33" s="29">
        <f ca="1">IFERROR((I27-H27)/L27,1)</f>
        <v>1</v>
      </c>
      <c r="K33" s="29">
        <f ca="1">IFERROR((D33-$E$4)/$E$4,0)</f>
        <v>0</v>
      </c>
      <c r="L33" s="29">
        <f ca="1">IFERROR(1-ABS(K27),0)</f>
        <v>1</v>
      </c>
      <c r="M33" s="26">
        <f ca="1">L33*G33-(1-L33)*H33</f>
        <v>0</v>
      </c>
      <c r="N33" s="31">
        <f ca="1">IFERROR(M33/H33,0)</f>
        <v>0</v>
      </c>
      <c r="O33" s="23" t="str">
        <f ca="1">IF(NOT(AND(C33&gt;=Settings!$B$14,C33&lt;=Settings!$B$15)),"WAIT - DTE",IF(NOT(AND(ABS(K27)&gt;=Settings!$B$12,ABS(K27)&lt;=Settings!$B$13)),"WAIT - DELTA",IF(NOT($F$4&gt;=Settings!$B$8),"WAIT - IVR",IF(NOT(G33&gt;=Settings!$B$10),"WAIT - CREDIT",IF(NOT(I33&gt;=Settings!$B$9),"WAIT - C/W",IF(NOT(AND(J33&lt;=Settings!$B$11,H27&gt;0,I27&gt;0,H28&gt;0,I28&gt;0)),"WAIT - LIQ",IF(NOT(K33&gt;=Settings!$B$19),"WAIT - BUFFER","GO")))))))</f>
        <v>WAIT - DELTA</v>
      </c>
      <c r="P33" s="31">
        <f ca="1">IF(O33="GO",N33,-1000000000)</f>
        <v>-1000000000</v>
      </c>
    </row>
    <row r="34" spans="1:16" ht="32" x14ac:dyDescent="0.2">
      <c r="A34" s="23" t="s">
        <v>177</v>
      </c>
      <c r="B34" s="23" t="s">
        <v>175</v>
      </c>
      <c r="C34" s="22">
        <f ca="1">$D$10-TODAY()</f>
        <v>102</v>
      </c>
      <c r="D34" s="30">
        <f ca="1">$D$12</f>
        <v>0</v>
      </c>
      <c r="E34" s="30">
        <f ca="1">$D$12+$D$8</f>
        <v>5</v>
      </c>
      <c r="F34" s="33">
        <f>$D$8</f>
        <v>5</v>
      </c>
      <c r="G34" s="26">
        <f ca="1">IFERROR(L29-L30,0)</f>
        <v>0</v>
      </c>
      <c r="H34" s="26">
        <f ca="1">IFERROR(F34-G34,0)</f>
        <v>5</v>
      </c>
      <c r="I34" s="29">
        <f ca="1">IFERROR(G34/F34,0)</f>
        <v>0</v>
      </c>
      <c r="J34" s="29">
        <f ca="1">IFERROR((I29-H29)/L29,1)</f>
        <v>1</v>
      </c>
      <c r="K34" s="29">
        <f ca="1">IFERROR((D34-$E$4)/$E$4,0)</f>
        <v>0</v>
      </c>
      <c r="L34" s="29">
        <f ca="1">IFERROR(1-ABS(K29),0)</f>
        <v>1</v>
      </c>
      <c r="M34" s="26">
        <f ca="1">L34*G34-(1-L34)*H34</f>
        <v>0</v>
      </c>
      <c r="N34" s="31">
        <f ca="1">IFERROR(M34/H34,0)</f>
        <v>0</v>
      </c>
      <c r="O34" s="23" t="str">
        <f ca="1">IF(NOT(AND(C34&gt;=Settings!$B$14,C34&lt;=Settings!$B$15)),"WAIT - DTE",IF(NOT(AND(ABS(K29)&gt;=Settings!$B$12,ABS(K29)&lt;=Settings!$B$13)),"WAIT - DELTA",IF(NOT($F$4&gt;=Settings!$B$8),"WAIT - IVR",IF(NOT(G34&gt;=Settings!$B$10),"WAIT - CREDIT",IF(NOT(I34&gt;=Settings!$B$9),"WAIT - C/W",IF(NOT(AND(J34&lt;=Settings!$B$11,H29&gt;0,I29&gt;0,H30&gt;0,I30&gt;0)),"WAIT - LIQ",IF(NOT(K34&gt;=Settings!$B$19),"WAIT - BUFFER","GO")))))))</f>
        <v>WAIT - DELTA</v>
      </c>
      <c r="P34" s="31">
        <f ca="1">IF(O34="GO",N34,-1000000000)</f>
        <v>-1000000000</v>
      </c>
    </row>
    <row r="36" spans="1:16" ht="15" customHeight="1" x14ac:dyDescent="0.2">
      <c r="A36" s="6" t="s">
        <v>179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6" ht="32" x14ac:dyDescent="0.2">
      <c r="A37" s="19" t="s">
        <v>180</v>
      </c>
      <c r="B37" s="19" t="s">
        <v>181</v>
      </c>
      <c r="C37" s="19" t="s">
        <v>182</v>
      </c>
      <c r="D37" s="19" t="s">
        <v>79</v>
      </c>
      <c r="E37" s="19" t="s">
        <v>113</v>
      </c>
      <c r="F37" s="19" t="s">
        <v>114</v>
      </c>
      <c r="G37" s="19" t="s">
        <v>96</v>
      </c>
      <c r="H37" s="19" t="s">
        <v>97</v>
      </c>
      <c r="I37" s="19" t="s">
        <v>115</v>
      </c>
      <c r="J37" s="19" t="s">
        <v>116</v>
      </c>
      <c r="K37" s="19" t="s">
        <v>99</v>
      </c>
      <c r="L37" s="19" t="s">
        <v>117</v>
      </c>
    </row>
    <row r="38" spans="1:16" ht="16" x14ac:dyDescent="0.2">
      <c r="A38" s="23" t="str">
        <f ca="1">INDEX($A$22:$P$34, IF(P22=MAX(P22,P23,P33,P34),22,IF(P23=MAX(P22,P23,P33,P34),23,IF(P33=MAX(P22,P23,P33,P34),33,34)))-21, 1)</f>
        <v>BullPut</v>
      </c>
      <c r="B38" s="23" t="str">
        <f ca="1">INDEX($A$22:$P$34, IF(P22=MAX(P22,P23,P33,P34),22,IF(P23=MAX(P22,P23,P33,P34),23,IF(P33=MAX(P22,P23,P33,P34),33,34)))-21, 2)</f>
        <v>Front</v>
      </c>
      <c r="C38" s="25">
        <f ca="1">IF(INDEX($A$22:$P$34, IF(P22=MAX(P22,P23,P33,P34),22,IF(P23=MAX(P22,P23,P33,P34),23,IF(P33=MAX(P22,P23,P33,P34),33,34)))-21, 2)="Front",$D$9,$D$10)</f>
        <v>46220</v>
      </c>
      <c r="D38" s="22">
        <f ca="1">INDEX($A$22:$P$34, IF(P22=MAX(P22,P23,P33,P34),22,IF(P23=MAX(P22,P23,P33,P34),23,IF(P33=MAX(P22,P23,P33,P34),33,34)))-21, 3)</f>
        <v>67</v>
      </c>
      <c r="E38" s="30">
        <f ca="1">INDEX($A$22:$P$34, IF(P22=MAX(P22,P23,P33,P34),22,IF(P23=MAX(P22,P23,P33,P34),23,IF(P33=MAX(P22,P23,P33,P34),33,34)))-21, 4)</f>
        <v>0</v>
      </c>
      <c r="F38" s="30">
        <f ca="1">INDEX($A$22:$P$34, IF(P22=MAX(P22,P23,P33,P34),22,IF(P23=MAX(P22,P23,P33,P34),23,IF(P33=MAX(P22,P23,P33,P34),33,34)))-21, 5)</f>
        <v>-5</v>
      </c>
      <c r="G38" s="26">
        <f ca="1">INDEX($A$22:$P$34, IF(P22=MAX(P22,P23,P33,P34),22,IF(P23=MAX(P22,P23,P33,P34),23,IF(P33=MAX(P22,P23,P33,P34),33,34)))-21, 7)</f>
        <v>0</v>
      </c>
      <c r="H38" s="26">
        <f ca="1">INDEX($A$22:$P$34, IF(P22=MAX(P22,P23,P33,P34),22,IF(P23=MAX(P22,P23,P33,P34),23,IF(P33=MAX(P22,P23,P33,P34),33,34)))-21, 8)</f>
        <v>5</v>
      </c>
      <c r="I38" s="29">
        <f ca="1">INDEX($A$22:$P$34, IF(P22=MAX(P22,P23,P33,P34),22,IF(P23=MAX(P22,P23,P33,P34),23,IF(P33=MAX(P22,P23,P33,P34),33,34)))-21, 12)</f>
        <v>1</v>
      </c>
      <c r="J38" s="31">
        <f ca="1">INDEX($A$22:$P$34, IF(P22=MAX(P22,P23,P33,P34),22,IF(P23=MAX(P22,P23,P33,P34),23,IF(P33=MAX(P22,P23,P33,P34),33,34)))-21, 14)</f>
        <v>0</v>
      </c>
      <c r="K38" s="23" t="str">
        <f ca="1">INDEX($A$22:$P$34, IF(P22=MAX(P22,P23,P33,P34),22,IF(P23=MAX(P22,P23,P33,P34),23,IF(P33=MAX(P22,P23,P33,P34),33,34)))-21, 15)</f>
        <v>WAIT - DELTA</v>
      </c>
      <c r="L38" s="31">
        <f ca="1">MAX(P22,P23,P33,P34)</f>
        <v>-1000000000</v>
      </c>
    </row>
  </sheetData>
  <mergeCells count="5">
    <mergeCell ref="A1:L1"/>
    <mergeCell ref="A6:L6"/>
    <mergeCell ref="A14:L14"/>
    <mergeCell ref="A25:L25"/>
    <mergeCell ref="A36:L36"/>
  </mergeCells>
  <conditionalFormatting sqref="K38">
    <cfRule type="expression" dxfId="59" priority="6">
      <formula>K38="GO"</formula>
    </cfRule>
    <cfRule type="expression" dxfId="58" priority="7">
      <formula>LEFT(K38,4)="WAIT"</formula>
    </cfRule>
  </conditionalFormatting>
  <conditionalFormatting sqref="O22:O23">
    <cfRule type="expression" dxfId="57" priority="2">
      <formula>O22="GO"</formula>
    </cfRule>
    <cfRule type="expression" dxfId="56" priority="3">
      <formula>LEFT(O22,4)="WAIT"</formula>
    </cfRule>
  </conditionalFormatting>
  <conditionalFormatting sqref="O33:O34">
    <cfRule type="expression" dxfId="55" priority="4">
      <formula>O33="GO"</formula>
    </cfRule>
    <cfRule type="expression" dxfId="54" priority="5">
      <formula>LEFT(O33,4)="WAIT"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38"/>
  <sheetViews>
    <sheetView showGridLines="0" zoomScaleNormal="100" workbookViewId="0">
      <pane ySplit="2" topLeftCell="A3" activePane="bottomLeft" state="frozen"/>
      <selection pane="bottomLeft"/>
    </sheetView>
  </sheetViews>
  <sheetFormatPr baseColWidth="10" defaultColWidth="8.6640625" defaultRowHeight="15" x14ac:dyDescent="0.2"/>
  <cols>
    <col min="1" max="2" width="11" customWidth="1"/>
    <col min="3" max="3" width="8" customWidth="1"/>
    <col min="4" max="4" width="10" customWidth="1"/>
    <col min="5" max="5" width="12" customWidth="1"/>
    <col min="6" max="6" width="32" customWidth="1"/>
    <col min="7" max="10" width="10" customWidth="1"/>
    <col min="11" max="11" width="13" customWidth="1"/>
    <col min="12" max="12" width="10" customWidth="1"/>
  </cols>
  <sheetData>
    <row r="1" spans="1:12" ht="25.5" customHeight="1" x14ac:dyDescent="0.2">
      <c r="A1" s="6" t="s">
        <v>195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3" spans="1:12" ht="16" x14ac:dyDescent="0.2">
      <c r="A3" s="19" t="s">
        <v>135</v>
      </c>
      <c r="B3" s="19" t="s">
        <v>136</v>
      </c>
      <c r="C3" s="19" t="s">
        <v>137</v>
      </c>
      <c r="D3" s="19" t="s">
        <v>138</v>
      </c>
      <c r="E3" s="19" t="s">
        <v>139</v>
      </c>
      <c r="F3" s="19" t="s">
        <v>140</v>
      </c>
    </row>
    <row r="4" spans="1:12" ht="32" x14ac:dyDescent="0.2">
      <c r="A4" s="32" t="s">
        <v>125</v>
      </c>
      <c r="B4" s="32" t="s">
        <v>196</v>
      </c>
      <c r="C4" s="23" t="str">
        <f>C$3</f>
        <v>PX_LAST</v>
      </c>
      <c r="D4" s="23" t="str">
        <f>D$3</f>
        <v>IVOL_RANK</v>
      </c>
      <c r="E4" s="30">
        <f ca="1">IFERROR(bdp(B4,C4),0)</f>
        <v>0</v>
      </c>
      <c r="F4" s="22">
        <f ca="1">IFERROR(bdp(B4,D4),0)</f>
        <v>0</v>
      </c>
    </row>
    <row r="6" spans="1:12" ht="15" customHeight="1" x14ac:dyDescent="0.2">
      <c r="A6" s="6" t="s">
        <v>142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2" ht="16" x14ac:dyDescent="0.2">
      <c r="A7" s="19" t="s">
        <v>143</v>
      </c>
      <c r="B7" s="19" t="s">
        <v>144</v>
      </c>
      <c r="C7" s="19" t="s">
        <v>145</v>
      </c>
      <c r="D7" s="19" t="s">
        <v>146</v>
      </c>
    </row>
    <row r="8" spans="1:12" ht="16" x14ac:dyDescent="0.2">
      <c r="A8" s="20" t="s">
        <v>147</v>
      </c>
      <c r="B8" s="33">
        <v>1</v>
      </c>
      <c r="C8" s="34"/>
      <c r="D8" s="33">
        <f>IF(C8="",B8,C8)</f>
        <v>1</v>
      </c>
    </row>
    <row r="9" spans="1:12" ht="32" x14ac:dyDescent="0.2">
      <c r="A9" s="20" t="s">
        <v>148</v>
      </c>
      <c r="B9" s="25">
        <f ca="1">Calendar!$B$11</f>
        <v>46220</v>
      </c>
      <c r="C9" s="35"/>
      <c r="D9" s="25">
        <f ca="1">IF(C9="",B9,C9)</f>
        <v>46220</v>
      </c>
    </row>
    <row r="10" spans="1:12" ht="32" x14ac:dyDescent="0.2">
      <c r="A10" s="20" t="s">
        <v>149</v>
      </c>
      <c r="B10" s="25">
        <f ca="1">Calendar!$B$12</f>
        <v>46255</v>
      </c>
      <c r="C10" s="35"/>
      <c r="D10" s="25">
        <f ca="1">IF(C10="",B10,C10)</f>
        <v>46255</v>
      </c>
    </row>
    <row r="11" spans="1:12" ht="32" x14ac:dyDescent="0.2">
      <c r="A11" s="20" t="s">
        <v>150</v>
      </c>
      <c r="B11" s="30">
        <f ca="1">IF($E$4=0,0,FLOOR($E$4*(1-0.04)/$D$8,1)*$D$8)</f>
        <v>0</v>
      </c>
      <c r="C11" s="36"/>
      <c r="D11" s="30">
        <f ca="1">IF(C11="",B11,C11)</f>
        <v>0</v>
      </c>
    </row>
    <row r="12" spans="1:12" ht="32" x14ac:dyDescent="0.2">
      <c r="A12" s="20" t="s">
        <v>151</v>
      </c>
      <c r="B12" s="30">
        <f ca="1">IF($E$4=0,0,CEILING($E$4*(1+0.04)/$D$8,1)*$D$8)</f>
        <v>0</v>
      </c>
      <c r="C12" s="36"/>
      <c r="D12" s="30">
        <f ca="1">IF(C12="",B12,C12)</f>
        <v>0</v>
      </c>
    </row>
    <row r="14" spans="1:12" ht="21.75" customHeight="1" x14ac:dyDescent="0.2">
      <c r="A14" s="6" t="s">
        <v>152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12" ht="16" x14ac:dyDescent="0.2">
      <c r="A15" s="19" t="s">
        <v>93</v>
      </c>
      <c r="B15" s="19" t="s">
        <v>153</v>
      </c>
      <c r="C15" s="19" t="s">
        <v>154</v>
      </c>
      <c r="D15" s="19" t="s">
        <v>155</v>
      </c>
      <c r="E15" s="19" t="s">
        <v>156</v>
      </c>
      <c r="F15" s="19" t="s">
        <v>136</v>
      </c>
      <c r="G15" s="19" t="s">
        <v>137</v>
      </c>
      <c r="H15" s="19" t="s">
        <v>157</v>
      </c>
      <c r="I15" s="19" t="s">
        <v>158</v>
      </c>
      <c r="J15" s="19" t="s">
        <v>159</v>
      </c>
      <c r="K15" s="19" t="s">
        <v>160</v>
      </c>
      <c r="L15" s="19" t="s">
        <v>161</v>
      </c>
    </row>
    <row r="16" spans="1:12" ht="16" x14ac:dyDescent="0.2">
      <c r="A16" s="23" t="s">
        <v>162</v>
      </c>
      <c r="B16" s="23" t="s">
        <v>163</v>
      </c>
      <c r="C16" s="23" t="s">
        <v>164</v>
      </c>
      <c r="D16" s="30">
        <f ca="1">$D$11</f>
        <v>0</v>
      </c>
      <c r="E16" s="25">
        <f ca="1">$D$9</f>
        <v>46220</v>
      </c>
      <c r="F16" s="23" t="str">
        <f ca="1">"XLP"&amp;" US "&amp;TEXT(E16,"mm/dd/yy")&amp;" "&amp;"P"&amp;IF(D16=INT(D16),INT(D16),D16)&amp;" Equity"</f>
        <v>XLP US 07/17/26 P0 Equity</v>
      </c>
      <c r="G16" s="26">
        <f ca="1">IFERROR(bdp($F16, G$15), 0)</f>
        <v>0</v>
      </c>
      <c r="H16" s="26">
        <f ca="1">IFERROR(bdp($F16, H$15), 0)</f>
        <v>0</v>
      </c>
      <c r="I16" s="26">
        <f ca="1">IFERROR(bdp($F16, I$15), 0)</f>
        <v>0</v>
      </c>
      <c r="J16" s="29">
        <f ca="1">IFERROR(bdp($F16, J$15), 0)</f>
        <v>0</v>
      </c>
      <c r="K16" s="31">
        <f ca="1">IFERROR(bdp($F16, K$15), 0)</f>
        <v>0</v>
      </c>
      <c r="L16" s="26">
        <f ca="1">IFERROR((H16+I16)/2, 0)</f>
        <v>0</v>
      </c>
    </row>
    <row r="17" spans="1:16" ht="16" x14ac:dyDescent="0.2">
      <c r="A17" s="23" t="s">
        <v>162</v>
      </c>
      <c r="B17" s="23" t="s">
        <v>165</v>
      </c>
      <c r="C17" s="23" t="s">
        <v>164</v>
      </c>
      <c r="D17" s="30">
        <f ca="1">$D$11-$D$8</f>
        <v>-1</v>
      </c>
      <c r="E17" s="25">
        <f ca="1">$D$9</f>
        <v>46220</v>
      </c>
      <c r="F17" s="23" t="str">
        <f ca="1">"XLP"&amp;" US "&amp;TEXT(E17,"mm/dd/yy")&amp;" "&amp;"P"&amp;IF(D17=INT(D17),INT(D17),D17)&amp;" Equity"</f>
        <v>XLP US 07/17/26 P-1 Equity</v>
      </c>
      <c r="G17" s="26">
        <f ca="1">IFERROR(bdp($F17, G$15), 0)</f>
        <v>0</v>
      </c>
      <c r="H17" s="26">
        <f ca="1">IFERROR(bdp($F17, H$15), 0)</f>
        <v>0</v>
      </c>
      <c r="I17" s="26">
        <f ca="1">IFERROR(bdp($F17, I$15), 0)</f>
        <v>0</v>
      </c>
      <c r="J17" s="29">
        <f ca="1">IFERROR(bdp($F17, J$15), 0)</f>
        <v>0</v>
      </c>
      <c r="K17" s="31">
        <f ca="1">IFERROR(bdp($F17, K$15), 0)</f>
        <v>0</v>
      </c>
      <c r="L17" s="26">
        <f ca="1">IFERROR((H17+I17)/2, 0)</f>
        <v>0</v>
      </c>
    </row>
    <row r="18" spans="1:16" ht="16" x14ac:dyDescent="0.2">
      <c r="A18" s="23" t="s">
        <v>162</v>
      </c>
      <c r="B18" s="23" t="s">
        <v>166</v>
      </c>
      <c r="C18" s="23" t="s">
        <v>164</v>
      </c>
      <c r="D18" s="30">
        <f ca="1">$D$11</f>
        <v>0</v>
      </c>
      <c r="E18" s="25">
        <f ca="1">$D$10</f>
        <v>46255</v>
      </c>
      <c r="F18" s="23" t="str">
        <f ca="1">"XLP"&amp;" US "&amp;TEXT(E18,"mm/dd/yy")&amp;" "&amp;"P"&amp;IF(D18=INT(D18),INT(D18),D18)&amp;" Equity"</f>
        <v>XLP US 08/21/26 P0 Equity</v>
      </c>
      <c r="G18" s="26">
        <f ca="1">IFERROR(bdp($F18, G$15), 0)</f>
        <v>0</v>
      </c>
      <c r="H18" s="26">
        <f ca="1">IFERROR(bdp($F18, H$15), 0)</f>
        <v>0</v>
      </c>
      <c r="I18" s="26">
        <f ca="1">IFERROR(bdp($F18, I$15), 0)</f>
        <v>0</v>
      </c>
      <c r="J18" s="29">
        <f ca="1">IFERROR(bdp($F18, J$15), 0)</f>
        <v>0</v>
      </c>
      <c r="K18" s="31">
        <f ca="1">IFERROR(bdp($F18, K$15), 0)</f>
        <v>0</v>
      </c>
      <c r="L18" s="26">
        <f ca="1">IFERROR((H18+I18)/2, 0)</f>
        <v>0</v>
      </c>
    </row>
    <row r="19" spans="1:16" ht="16" x14ac:dyDescent="0.2">
      <c r="A19" s="23" t="s">
        <v>162</v>
      </c>
      <c r="B19" s="23" t="s">
        <v>167</v>
      </c>
      <c r="C19" s="23" t="s">
        <v>164</v>
      </c>
      <c r="D19" s="30">
        <f ca="1">$D$11-$D$8</f>
        <v>-1</v>
      </c>
      <c r="E19" s="25">
        <f ca="1">$D$10</f>
        <v>46255</v>
      </c>
      <c r="F19" s="23" t="str">
        <f ca="1">"XLP"&amp;" US "&amp;TEXT(E19,"mm/dd/yy")&amp;" "&amp;"P"&amp;IF(D19=INT(D19),INT(D19),D19)&amp;" Equity"</f>
        <v>XLP US 08/21/26 P-1 Equity</v>
      </c>
      <c r="G19" s="26">
        <f ca="1">IFERROR(bdp($F19, G$15), 0)</f>
        <v>0</v>
      </c>
      <c r="H19" s="26">
        <f ca="1">IFERROR(bdp($F19, H$15), 0)</f>
        <v>0</v>
      </c>
      <c r="I19" s="26">
        <f ca="1">IFERROR(bdp($F19, I$15), 0)</f>
        <v>0</v>
      </c>
      <c r="J19" s="29">
        <f ca="1">IFERROR(bdp($F19, J$15), 0)</f>
        <v>0</v>
      </c>
      <c r="K19" s="31">
        <f ca="1">IFERROR(bdp($F19, K$15), 0)</f>
        <v>0</v>
      </c>
      <c r="L19" s="26">
        <f ca="1">IFERROR((H19+I19)/2, 0)</f>
        <v>0</v>
      </c>
    </row>
    <row r="21" spans="1:16" ht="16" x14ac:dyDescent="0.2">
      <c r="A21" s="19" t="s">
        <v>93</v>
      </c>
      <c r="B21" s="19" t="s">
        <v>168</v>
      </c>
      <c r="C21" s="19" t="s">
        <v>79</v>
      </c>
      <c r="D21" s="19" t="s">
        <v>113</v>
      </c>
      <c r="E21" s="19" t="s">
        <v>114</v>
      </c>
      <c r="F21" s="19" t="s">
        <v>169</v>
      </c>
      <c r="G21" s="19" t="s">
        <v>96</v>
      </c>
      <c r="H21" s="19" t="s">
        <v>97</v>
      </c>
      <c r="I21" s="19" t="s">
        <v>170</v>
      </c>
      <c r="J21" s="19" t="s">
        <v>171</v>
      </c>
      <c r="K21" s="19" t="s">
        <v>172</v>
      </c>
      <c r="L21" s="19" t="s">
        <v>115</v>
      </c>
      <c r="M21" s="19" t="s">
        <v>173</v>
      </c>
      <c r="N21" s="19" t="s">
        <v>116</v>
      </c>
      <c r="O21" s="19" t="s">
        <v>99</v>
      </c>
      <c r="P21" s="19" t="s">
        <v>117</v>
      </c>
    </row>
    <row r="22" spans="1:16" ht="32" x14ac:dyDescent="0.2">
      <c r="A22" s="23" t="s">
        <v>162</v>
      </c>
      <c r="B22" s="23" t="s">
        <v>174</v>
      </c>
      <c r="C22" s="22">
        <f ca="1">$D$9-TODAY()</f>
        <v>67</v>
      </c>
      <c r="D22" s="30">
        <f ca="1">$D$11</f>
        <v>0</v>
      </c>
      <c r="E22" s="30">
        <f ca="1">$D$11-$D$8</f>
        <v>-1</v>
      </c>
      <c r="F22" s="33">
        <f>$D$8</f>
        <v>1</v>
      </c>
      <c r="G22" s="26">
        <f ca="1">IFERROR(L16-L17,0)</f>
        <v>0</v>
      </c>
      <c r="H22" s="26">
        <f ca="1">IFERROR(F22-G22,0)</f>
        <v>1</v>
      </c>
      <c r="I22" s="29">
        <f ca="1">IFERROR(G22/F22,0)</f>
        <v>0</v>
      </c>
      <c r="J22" s="29">
        <f ca="1">IFERROR((I16-H16)/L16,1)</f>
        <v>1</v>
      </c>
      <c r="K22" s="29">
        <f ca="1">IFERROR(($E$4-D22)/$E$4,0)</f>
        <v>0</v>
      </c>
      <c r="L22" s="29">
        <f ca="1">IFERROR(1-ABS(K16),0)</f>
        <v>1</v>
      </c>
      <c r="M22" s="26">
        <f ca="1">L22*G22-(1-L22)*H22</f>
        <v>0</v>
      </c>
      <c r="N22" s="31">
        <f ca="1">IFERROR(M22/H22,0)</f>
        <v>0</v>
      </c>
      <c r="O22" s="23" t="str">
        <f ca="1">IF(NOT(AND(C22&gt;=Settings!$B$14,C22&lt;=Settings!$B$15)),"WAIT - DTE",IF(NOT(AND(ABS(K16)&gt;=Settings!$B$12,ABS(K16)&lt;=Settings!$B$13)),"WAIT - DELTA",IF(NOT($F$4&gt;=Settings!$B$8),"WAIT - IVR",IF(NOT(G22&gt;=Settings!$B$10),"WAIT - CREDIT",IF(NOT(I22&gt;=Settings!$B$9),"WAIT - C/W",IF(NOT(AND(J22&lt;=Settings!$B$11,H16&gt;0,I16&gt;0,H17&gt;0,I17&gt;0)),"WAIT - LIQ",IF(NOT(K22&gt;=Settings!$B$19),"WAIT - BUFFER","GO")))))))</f>
        <v>WAIT - DELTA</v>
      </c>
      <c r="P22" s="31">
        <f ca="1">IF(O22="GO",N22,-1000000000)</f>
        <v>-1000000000</v>
      </c>
    </row>
    <row r="23" spans="1:16" ht="32" x14ac:dyDescent="0.2">
      <c r="A23" s="23" t="s">
        <v>162</v>
      </c>
      <c r="B23" s="23" t="s">
        <v>175</v>
      </c>
      <c r="C23" s="22">
        <f ca="1">$D$10-TODAY()</f>
        <v>102</v>
      </c>
      <c r="D23" s="30">
        <f ca="1">$D$11</f>
        <v>0</v>
      </c>
      <c r="E23" s="30">
        <f ca="1">$D$11-$D$8</f>
        <v>-1</v>
      </c>
      <c r="F23" s="33">
        <f>$D$8</f>
        <v>1</v>
      </c>
      <c r="G23" s="26">
        <f ca="1">IFERROR(L18-L19,0)</f>
        <v>0</v>
      </c>
      <c r="H23" s="26">
        <f ca="1">IFERROR(F23-G23,0)</f>
        <v>1</v>
      </c>
      <c r="I23" s="29">
        <f ca="1">IFERROR(G23/F23,0)</f>
        <v>0</v>
      </c>
      <c r="J23" s="29">
        <f ca="1">IFERROR((I18-H18)/L18,1)</f>
        <v>1</v>
      </c>
      <c r="K23" s="29">
        <f ca="1">IFERROR(($E$4-D23)/$E$4,0)</f>
        <v>0</v>
      </c>
      <c r="L23" s="29">
        <f ca="1">IFERROR(1-ABS(K18),0)</f>
        <v>1</v>
      </c>
      <c r="M23" s="26">
        <f ca="1">L23*G23-(1-L23)*H23</f>
        <v>0</v>
      </c>
      <c r="N23" s="31">
        <f ca="1">IFERROR(M23/H23,0)</f>
        <v>0</v>
      </c>
      <c r="O23" s="23" t="str">
        <f ca="1">IF(NOT(AND(C23&gt;=Settings!$B$14,C23&lt;=Settings!$B$15)),"WAIT - DTE",IF(NOT(AND(ABS(K18)&gt;=Settings!$B$12,ABS(K18)&lt;=Settings!$B$13)),"WAIT - DELTA",IF(NOT($F$4&gt;=Settings!$B$8),"WAIT - IVR",IF(NOT(G23&gt;=Settings!$B$10),"WAIT - CREDIT",IF(NOT(I23&gt;=Settings!$B$9),"WAIT - C/W",IF(NOT(AND(J23&lt;=Settings!$B$11,H18&gt;0,I18&gt;0,H19&gt;0,I19&gt;0)),"WAIT - LIQ",IF(NOT(K23&gt;=Settings!$B$19),"WAIT - BUFFER","GO")))))))</f>
        <v>WAIT - DELTA</v>
      </c>
      <c r="P23" s="31">
        <f ca="1">IF(O23="GO",N23,-1000000000)</f>
        <v>-1000000000</v>
      </c>
    </row>
    <row r="25" spans="1:16" ht="21.75" customHeight="1" x14ac:dyDescent="0.2">
      <c r="A25" s="6" t="s">
        <v>176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6" ht="16" x14ac:dyDescent="0.2">
      <c r="A26" s="19" t="s">
        <v>93</v>
      </c>
      <c r="B26" s="19" t="s">
        <v>153</v>
      </c>
      <c r="C26" s="19" t="s">
        <v>154</v>
      </c>
      <c r="D26" s="19" t="s">
        <v>155</v>
      </c>
      <c r="E26" s="19" t="s">
        <v>156</v>
      </c>
      <c r="F26" s="19" t="s">
        <v>136</v>
      </c>
      <c r="G26" s="19" t="s">
        <v>137</v>
      </c>
      <c r="H26" s="19" t="s">
        <v>157</v>
      </c>
      <c r="I26" s="19" t="s">
        <v>158</v>
      </c>
      <c r="J26" s="19" t="s">
        <v>159</v>
      </c>
      <c r="K26" s="19" t="s">
        <v>160</v>
      </c>
      <c r="L26" s="19" t="s">
        <v>161</v>
      </c>
    </row>
    <row r="27" spans="1:16" ht="16" x14ac:dyDescent="0.2">
      <c r="A27" s="23" t="s">
        <v>177</v>
      </c>
      <c r="B27" s="23" t="s">
        <v>163</v>
      </c>
      <c r="C27" s="23" t="s">
        <v>178</v>
      </c>
      <c r="D27" s="30">
        <f ca="1">$D$12</f>
        <v>0</v>
      </c>
      <c r="E27" s="25">
        <f ca="1">$D$9</f>
        <v>46220</v>
      </c>
      <c r="F27" s="23" t="str">
        <f ca="1">"XLP"&amp;" US "&amp;TEXT(E27,"mm/dd/yy")&amp;" "&amp;"C"&amp;IF(D27=INT(D27),INT(D27),D27)&amp;" Equity"</f>
        <v>XLP US 07/17/26 C0 Equity</v>
      </c>
      <c r="G27" s="26">
        <f ca="1">IFERROR(bdp($F27, G$26), 0)</f>
        <v>0</v>
      </c>
      <c r="H27" s="26">
        <f ca="1">IFERROR(bdp($F27, H$26), 0)</f>
        <v>0</v>
      </c>
      <c r="I27" s="26">
        <f ca="1">IFERROR(bdp($F27, I$26), 0)</f>
        <v>0</v>
      </c>
      <c r="J27" s="29">
        <f ca="1">IFERROR(bdp($F27, J$26), 0)</f>
        <v>0</v>
      </c>
      <c r="K27" s="31">
        <f ca="1">IFERROR(bdp($F27, K$26), 0)</f>
        <v>0</v>
      </c>
      <c r="L27" s="26">
        <f ca="1">IFERROR((H27+I27)/2, 0)</f>
        <v>0</v>
      </c>
    </row>
    <row r="28" spans="1:16" ht="16" x14ac:dyDescent="0.2">
      <c r="A28" s="23" t="s">
        <v>177</v>
      </c>
      <c r="B28" s="23" t="s">
        <v>165</v>
      </c>
      <c r="C28" s="23" t="s">
        <v>178</v>
      </c>
      <c r="D28" s="30">
        <f ca="1">$D$12+$D$8</f>
        <v>1</v>
      </c>
      <c r="E28" s="25">
        <f ca="1">$D$9</f>
        <v>46220</v>
      </c>
      <c r="F28" s="23" t="str">
        <f ca="1">"XLP"&amp;" US "&amp;TEXT(E28,"mm/dd/yy")&amp;" "&amp;"C"&amp;IF(D28=INT(D28),INT(D28),D28)&amp;" Equity"</f>
        <v>XLP US 07/17/26 C1 Equity</v>
      </c>
      <c r="G28" s="26">
        <f ca="1">IFERROR(bdp($F28, G$26), 0)</f>
        <v>0</v>
      </c>
      <c r="H28" s="26">
        <f ca="1">IFERROR(bdp($F28, H$26), 0)</f>
        <v>0</v>
      </c>
      <c r="I28" s="26">
        <f ca="1">IFERROR(bdp($F28, I$26), 0)</f>
        <v>0</v>
      </c>
      <c r="J28" s="29">
        <f ca="1">IFERROR(bdp($F28, J$26), 0)</f>
        <v>0</v>
      </c>
      <c r="K28" s="31">
        <f ca="1">IFERROR(bdp($F28, K$26), 0)</f>
        <v>0</v>
      </c>
      <c r="L28" s="26">
        <f ca="1">IFERROR((H28+I28)/2, 0)</f>
        <v>0</v>
      </c>
    </row>
    <row r="29" spans="1:16" ht="16" x14ac:dyDescent="0.2">
      <c r="A29" s="23" t="s">
        <v>177</v>
      </c>
      <c r="B29" s="23" t="s">
        <v>166</v>
      </c>
      <c r="C29" s="23" t="s">
        <v>178</v>
      </c>
      <c r="D29" s="30">
        <f ca="1">$D$12</f>
        <v>0</v>
      </c>
      <c r="E29" s="25">
        <f ca="1">$D$10</f>
        <v>46255</v>
      </c>
      <c r="F29" s="23" t="str">
        <f ca="1">"XLP"&amp;" US "&amp;TEXT(E29,"mm/dd/yy")&amp;" "&amp;"C"&amp;IF(D29=INT(D29),INT(D29),D29)&amp;" Equity"</f>
        <v>XLP US 08/21/26 C0 Equity</v>
      </c>
      <c r="G29" s="26">
        <f ca="1">IFERROR(bdp($F29, G$26), 0)</f>
        <v>0</v>
      </c>
      <c r="H29" s="26">
        <f ca="1">IFERROR(bdp($F29, H$26), 0)</f>
        <v>0</v>
      </c>
      <c r="I29" s="26">
        <f ca="1">IFERROR(bdp($F29, I$26), 0)</f>
        <v>0</v>
      </c>
      <c r="J29" s="29">
        <f ca="1">IFERROR(bdp($F29, J$26), 0)</f>
        <v>0</v>
      </c>
      <c r="K29" s="31">
        <f ca="1">IFERROR(bdp($F29, K$26), 0)</f>
        <v>0</v>
      </c>
      <c r="L29" s="26">
        <f ca="1">IFERROR((H29+I29)/2, 0)</f>
        <v>0</v>
      </c>
    </row>
    <row r="30" spans="1:16" ht="16" x14ac:dyDescent="0.2">
      <c r="A30" s="23" t="s">
        <v>177</v>
      </c>
      <c r="B30" s="23" t="s">
        <v>167</v>
      </c>
      <c r="C30" s="23" t="s">
        <v>178</v>
      </c>
      <c r="D30" s="30">
        <f ca="1">$D$12+$D$8</f>
        <v>1</v>
      </c>
      <c r="E30" s="25">
        <f ca="1">$D$10</f>
        <v>46255</v>
      </c>
      <c r="F30" s="23" t="str">
        <f ca="1">"XLP"&amp;" US "&amp;TEXT(E30,"mm/dd/yy")&amp;" "&amp;"C"&amp;IF(D30=INT(D30),INT(D30),D30)&amp;" Equity"</f>
        <v>XLP US 08/21/26 C1 Equity</v>
      </c>
      <c r="G30" s="26">
        <f ca="1">IFERROR(bdp($F30, G$26), 0)</f>
        <v>0</v>
      </c>
      <c r="H30" s="26">
        <f ca="1">IFERROR(bdp($F30, H$26), 0)</f>
        <v>0</v>
      </c>
      <c r="I30" s="26">
        <f ca="1">IFERROR(bdp($F30, I$26), 0)</f>
        <v>0</v>
      </c>
      <c r="J30" s="29">
        <f ca="1">IFERROR(bdp($F30, J$26), 0)</f>
        <v>0</v>
      </c>
      <c r="K30" s="31">
        <f ca="1">IFERROR(bdp($F30, K$26), 0)</f>
        <v>0</v>
      </c>
      <c r="L30" s="26">
        <f ca="1">IFERROR((H30+I30)/2, 0)</f>
        <v>0</v>
      </c>
    </row>
    <row r="32" spans="1:16" ht="16" x14ac:dyDescent="0.2">
      <c r="A32" s="19" t="s">
        <v>93</v>
      </c>
      <c r="B32" s="19" t="s">
        <v>168</v>
      </c>
      <c r="C32" s="19" t="s">
        <v>79</v>
      </c>
      <c r="D32" s="19" t="s">
        <v>113</v>
      </c>
      <c r="E32" s="19" t="s">
        <v>114</v>
      </c>
      <c r="F32" s="19" t="s">
        <v>169</v>
      </c>
      <c r="G32" s="19" t="s">
        <v>96</v>
      </c>
      <c r="H32" s="19" t="s">
        <v>97</v>
      </c>
      <c r="I32" s="19" t="s">
        <v>170</v>
      </c>
      <c r="J32" s="19" t="s">
        <v>171</v>
      </c>
      <c r="K32" s="19" t="s">
        <v>172</v>
      </c>
      <c r="L32" s="19" t="s">
        <v>115</v>
      </c>
      <c r="M32" s="19" t="s">
        <v>173</v>
      </c>
      <c r="N32" s="19" t="s">
        <v>116</v>
      </c>
      <c r="O32" s="19" t="s">
        <v>99</v>
      </c>
      <c r="P32" s="19" t="s">
        <v>117</v>
      </c>
    </row>
    <row r="33" spans="1:16" ht="32" x14ac:dyDescent="0.2">
      <c r="A33" s="23" t="s">
        <v>177</v>
      </c>
      <c r="B33" s="23" t="s">
        <v>174</v>
      </c>
      <c r="C33" s="22">
        <f ca="1">$D$9-TODAY()</f>
        <v>67</v>
      </c>
      <c r="D33" s="30">
        <f ca="1">$D$12</f>
        <v>0</v>
      </c>
      <c r="E33" s="30">
        <f ca="1">$D$12+$D$8</f>
        <v>1</v>
      </c>
      <c r="F33" s="33">
        <f>$D$8</f>
        <v>1</v>
      </c>
      <c r="G33" s="26">
        <f ca="1">IFERROR(L27-L28,0)</f>
        <v>0</v>
      </c>
      <c r="H33" s="26">
        <f ca="1">IFERROR(F33-G33,0)</f>
        <v>1</v>
      </c>
      <c r="I33" s="29">
        <f ca="1">IFERROR(G33/F33,0)</f>
        <v>0</v>
      </c>
      <c r="J33" s="29">
        <f ca="1">IFERROR((I27-H27)/L27,1)</f>
        <v>1</v>
      </c>
      <c r="K33" s="29">
        <f ca="1">IFERROR((D33-$E$4)/$E$4,0)</f>
        <v>0</v>
      </c>
      <c r="L33" s="29">
        <f ca="1">IFERROR(1-ABS(K27),0)</f>
        <v>1</v>
      </c>
      <c r="M33" s="26">
        <f ca="1">L33*G33-(1-L33)*H33</f>
        <v>0</v>
      </c>
      <c r="N33" s="31">
        <f ca="1">IFERROR(M33/H33,0)</f>
        <v>0</v>
      </c>
      <c r="O33" s="23" t="str">
        <f ca="1">IF(NOT(AND(C33&gt;=Settings!$B$14,C33&lt;=Settings!$B$15)),"WAIT - DTE",IF(NOT(AND(ABS(K27)&gt;=Settings!$B$12,ABS(K27)&lt;=Settings!$B$13)),"WAIT - DELTA",IF(NOT($F$4&gt;=Settings!$B$8),"WAIT - IVR",IF(NOT(G33&gt;=Settings!$B$10),"WAIT - CREDIT",IF(NOT(I33&gt;=Settings!$B$9),"WAIT - C/W",IF(NOT(AND(J33&lt;=Settings!$B$11,H27&gt;0,I27&gt;0,H28&gt;0,I28&gt;0)),"WAIT - LIQ",IF(NOT(K33&gt;=Settings!$B$19),"WAIT - BUFFER","GO")))))))</f>
        <v>WAIT - DELTA</v>
      </c>
      <c r="P33" s="31">
        <f ca="1">IF(O33="GO",N33,-1000000000)</f>
        <v>-1000000000</v>
      </c>
    </row>
    <row r="34" spans="1:16" ht="32" x14ac:dyDescent="0.2">
      <c r="A34" s="23" t="s">
        <v>177</v>
      </c>
      <c r="B34" s="23" t="s">
        <v>175</v>
      </c>
      <c r="C34" s="22">
        <f ca="1">$D$10-TODAY()</f>
        <v>102</v>
      </c>
      <c r="D34" s="30">
        <f ca="1">$D$12</f>
        <v>0</v>
      </c>
      <c r="E34" s="30">
        <f ca="1">$D$12+$D$8</f>
        <v>1</v>
      </c>
      <c r="F34" s="33">
        <f>$D$8</f>
        <v>1</v>
      </c>
      <c r="G34" s="26">
        <f ca="1">IFERROR(L29-L30,0)</f>
        <v>0</v>
      </c>
      <c r="H34" s="26">
        <f ca="1">IFERROR(F34-G34,0)</f>
        <v>1</v>
      </c>
      <c r="I34" s="29">
        <f ca="1">IFERROR(G34/F34,0)</f>
        <v>0</v>
      </c>
      <c r="J34" s="29">
        <f ca="1">IFERROR((I29-H29)/L29,1)</f>
        <v>1</v>
      </c>
      <c r="K34" s="29">
        <f ca="1">IFERROR((D34-$E$4)/$E$4,0)</f>
        <v>0</v>
      </c>
      <c r="L34" s="29">
        <f ca="1">IFERROR(1-ABS(K29),0)</f>
        <v>1</v>
      </c>
      <c r="M34" s="26">
        <f ca="1">L34*G34-(1-L34)*H34</f>
        <v>0</v>
      </c>
      <c r="N34" s="31">
        <f ca="1">IFERROR(M34/H34,0)</f>
        <v>0</v>
      </c>
      <c r="O34" s="23" t="str">
        <f ca="1">IF(NOT(AND(C34&gt;=Settings!$B$14,C34&lt;=Settings!$B$15)),"WAIT - DTE",IF(NOT(AND(ABS(K29)&gt;=Settings!$B$12,ABS(K29)&lt;=Settings!$B$13)),"WAIT - DELTA",IF(NOT($F$4&gt;=Settings!$B$8),"WAIT - IVR",IF(NOT(G34&gt;=Settings!$B$10),"WAIT - CREDIT",IF(NOT(I34&gt;=Settings!$B$9),"WAIT - C/W",IF(NOT(AND(J34&lt;=Settings!$B$11,H29&gt;0,I29&gt;0,H30&gt;0,I30&gt;0)),"WAIT - LIQ",IF(NOT(K34&gt;=Settings!$B$19),"WAIT - BUFFER","GO")))))))</f>
        <v>WAIT - DELTA</v>
      </c>
      <c r="P34" s="31">
        <f ca="1">IF(O34="GO",N34,-1000000000)</f>
        <v>-1000000000</v>
      </c>
    </row>
    <row r="36" spans="1:16" ht="15" customHeight="1" x14ac:dyDescent="0.2">
      <c r="A36" s="6" t="s">
        <v>179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6" ht="32" x14ac:dyDescent="0.2">
      <c r="A37" s="19" t="s">
        <v>180</v>
      </c>
      <c r="B37" s="19" t="s">
        <v>181</v>
      </c>
      <c r="C37" s="19" t="s">
        <v>182</v>
      </c>
      <c r="D37" s="19" t="s">
        <v>79</v>
      </c>
      <c r="E37" s="19" t="s">
        <v>113</v>
      </c>
      <c r="F37" s="19" t="s">
        <v>114</v>
      </c>
      <c r="G37" s="19" t="s">
        <v>96</v>
      </c>
      <c r="H37" s="19" t="s">
        <v>97</v>
      </c>
      <c r="I37" s="19" t="s">
        <v>115</v>
      </c>
      <c r="J37" s="19" t="s">
        <v>116</v>
      </c>
      <c r="K37" s="19" t="s">
        <v>99</v>
      </c>
      <c r="L37" s="19" t="s">
        <v>117</v>
      </c>
    </row>
    <row r="38" spans="1:16" ht="16" x14ac:dyDescent="0.2">
      <c r="A38" s="23" t="str">
        <f ca="1">INDEX($A$22:$P$34, IF(P22=MAX(P22,P23,P33,P34),22,IF(P23=MAX(P22,P23,P33,P34),23,IF(P33=MAX(P22,P23,P33,P34),33,34)))-21, 1)</f>
        <v>BullPut</v>
      </c>
      <c r="B38" s="23" t="str">
        <f ca="1">INDEX($A$22:$P$34, IF(P22=MAX(P22,P23,P33,P34),22,IF(P23=MAX(P22,P23,P33,P34),23,IF(P33=MAX(P22,P23,P33,P34),33,34)))-21, 2)</f>
        <v>Front</v>
      </c>
      <c r="C38" s="25">
        <f ca="1">IF(INDEX($A$22:$P$34, IF(P22=MAX(P22,P23,P33,P34),22,IF(P23=MAX(P22,P23,P33,P34),23,IF(P33=MAX(P22,P23,P33,P34),33,34)))-21, 2)="Front",$D$9,$D$10)</f>
        <v>46220</v>
      </c>
      <c r="D38" s="22">
        <f ca="1">INDEX($A$22:$P$34, IF(P22=MAX(P22,P23,P33,P34),22,IF(P23=MAX(P22,P23,P33,P34),23,IF(P33=MAX(P22,P23,P33,P34),33,34)))-21, 3)</f>
        <v>67</v>
      </c>
      <c r="E38" s="30">
        <f ca="1">INDEX($A$22:$P$34, IF(P22=MAX(P22,P23,P33,P34),22,IF(P23=MAX(P22,P23,P33,P34),23,IF(P33=MAX(P22,P23,P33,P34),33,34)))-21, 4)</f>
        <v>0</v>
      </c>
      <c r="F38" s="30">
        <f ca="1">INDEX($A$22:$P$34, IF(P22=MAX(P22,P23,P33,P34),22,IF(P23=MAX(P22,P23,P33,P34),23,IF(P33=MAX(P22,P23,P33,P34),33,34)))-21, 5)</f>
        <v>-1</v>
      </c>
      <c r="G38" s="26">
        <f ca="1">INDEX($A$22:$P$34, IF(P22=MAX(P22,P23,P33,P34),22,IF(P23=MAX(P22,P23,P33,P34),23,IF(P33=MAX(P22,P23,P33,P34),33,34)))-21, 7)</f>
        <v>0</v>
      </c>
      <c r="H38" s="26">
        <f ca="1">INDEX($A$22:$P$34, IF(P22=MAX(P22,P23,P33,P34),22,IF(P23=MAX(P22,P23,P33,P34),23,IF(P33=MAX(P22,P23,P33,P34),33,34)))-21, 8)</f>
        <v>1</v>
      </c>
      <c r="I38" s="29">
        <f ca="1">INDEX($A$22:$P$34, IF(P22=MAX(P22,P23,P33,P34),22,IF(P23=MAX(P22,P23,P33,P34),23,IF(P33=MAX(P22,P23,P33,P34),33,34)))-21, 12)</f>
        <v>1</v>
      </c>
      <c r="J38" s="31">
        <f ca="1">INDEX($A$22:$P$34, IF(P22=MAX(P22,P23,P33,P34),22,IF(P23=MAX(P22,P23,P33,P34),23,IF(P33=MAX(P22,P23,P33,P34),33,34)))-21, 14)</f>
        <v>0</v>
      </c>
      <c r="K38" s="23" t="str">
        <f ca="1">INDEX($A$22:$P$34, IF(P22=MAX(P22,P23,P33,P34),22,IF(P23=MAX(P22,P23,P33,P34),23,IF(P33=MAX(P22,P23,P33,P34),33,34)))-21, 15)</f>
        <v>WAIT - DELTA</v>
      </c>
      <c r="L38" s="31">
        <f ca="1">MAX(P22,P23,P33,P34)</f>
        <v>-1000000000</v>
      </c>
    </row>
  </sheetData>
  <mergeCells count="5">
    <mergeCell ref="A1:L1"/>
    <mergeCell ref="A6:L6"/>
    <mergeCell ref="A14:L14"/>
    <mergeCell ref="A25:L25"/>
    <mergeCell ref="A36:L36"/>
  </mergeCells>
  <conditionalFormatting sqref="K38">
    <cfRule type="expression" dxfId="53" priority="6">
      <formula>K38="GO"</formula>
    </cfRule>
    <cfRule type="expression" dxfId="52" priority="7">
      <formula>LEFT(K38,4)="WAIT"</formula>
    </cfRule>
  </conditionalFormatting>
  <conditionalFormatting sqref="O22:O23">
    <cfRule type="expression" dxfId="51" priority="2">
      <formula>O22="GO"</formula>
    </cfRule>
    <cfRule type="expression" dxfId="50" priority="3">
      <formula>LEFT(O22,4)="WAIT"</formula>
    </cfRule>
  </conditionalFormatting>
  <conditionalFormatting sqref="O33:O34">
    <cfRule type="expression" dxfId="49" priority="4">
      <formula>O33="GO"</formula>
    </cfRule>
    <cfRule type="expression" dxfId="48" priority="5">
      <formula>LEFT(O33,4)="WAIT"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38"/>
  <sheetViews>
    <sheetView showGridLines="0" zoomScaleNormal="100" workbookViewId="0">
      <pane ySplit="2" topLeftCell="A3" activePane="bottomLeft" state="frozen"/>
      <selection pane="bottomLeft"/>
    </sheetView>
  </sheetViews>
  <sheetFormatPr baseColWidth="10" defaultColWidth="8.6640625" defaultRowHeight="15" x14ac:dyDescent="0.2"/>
  <cols>
    <col min="1" max="2" width="11" customWidth="1"/>
    <col min="3" max="3" width="8" customWidth="1"/>
    <col min="4" max="4" width="10" customWidth="1"/>
    <col min="5" max="5" width="12" customWidth="1"/>
    <col min="6" max="6" width="32" customWidth="1"/>
    <col min="7" max="10" width="10" customWidth="1"/>
    <col min="11" max="11" width="13" customWidth="1"/>
    <col min="12" max="12" width="10" customWidth="1"/>
  </cols>
  <sheetData>
    <row r="1" spans="1:12" ht="25.5" customHeight="1" x14ac:dyDescent="0.2">
      <c r="A1" s="6" t="s">
        <v>197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3" spans="1:12" ht="16" x14ac:dyDescent="0.2">
      <c r="A3" s="19" t="s">
        <v>135</v>
      </c>
      <c r="B3" s="19" t="s">
        <v>136</v>
      </c>
      <c r="C3" s="19" t="s">
        <v>137</v>
      </c>
      <c r="D3" s="19" t="s">
        <v>138</v>
      </c>
      <c r="E3" s="19" t="s">
        <v>139</v>
      </c>
      <c r="F3" s="19" t="s">
        <v>140</v>
      </c>
    </row>
    <row r="4" spans="1:12" ht="32" x14ac:dyDescent="0.2">
      <c r="A4" s="32" t="s">
        <v>126</v>
      </c>
      <c r="B4" s="32" t="s">
        <v>198</v>
      </c>
      <c r="C4" s="23" t="str">
        <f>C$3</f>
        <v>PX_LAST</v>
      </c>
      <c r="D4" s="23" t="str">
        <f>D$3</f>
        <v>IVOL_RANK</v>
      </c>
      <c r="E4" s="30">
        <f ca="1">IFERROR(bdp(B4,C4),0)</f>
        <v>0</v>
      </c>
      <c r="F4" s="22">
        <f ca="1">IFERROR(bdp(B4,D4),0)</f>
        <v>0</v>
      </c>
    </row>
    <row r="6" spans="1:12" ht="15" customHeight="1" x14ac:dyDescent="0.2">
      <c r="A6" s="6" t="s">
        <v>142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2" ht="16" x14ac:dyDescent="0.2">
      <c r="A7" s="19" t="s">
        <v>143</v>
      </c>
      <c r="B7" s="19" t="s">
        <v>144</v>
      </c>
      <c r="C7" s="19" t="s">
        <v>145</v>
      </c>
      <c r="D7" s="19" t="s">
        <v>146</v>
      </c>
    </row>
    <row r="8" spans="1:12" ht="16" x14ac:dyDescent="0.2">
      <c r="A8" s="20" t="s">
        <v>147</v>
      </c>
      <c r="B8" s="33">
        <v>1</v>
      </c>
      <c r="C8" s="34"/>
      <c r="D8" s="33">
        <f>IF(C8="",B8,C8)</f>
        <v>1</v>
      </c>
    </row>
    <row r="9" spans="1:12" ht="32" x14ac:dyDescent="0.2">
      <c r="A9" s="20" t="s">
        <v>148</v>
      </c>
      <c r="B9" s="25">
        <f ca="1">Calendar!$B$11</f>
        <v>46220</v>
      </c>
      <c r="C9" s="35"/>
      <c r="D9" s="25">
        <f ca="1">IF(C9="",B9,C9)</f>
        <v>46220</v>
      </c>
    </row>
    <row r="10" spans="1:12" ht="32" x14ac:dyDescent="0.2">
      <c r="A10" s="20" t="s">
        <v>149</v>
      </c>
      <c r="B10" s="25">
        <f ca="1">Calendar!$B$12</f>
        <v>46255</v>
      </c>
      <c r="C10" s="35"/>
      <c r="D10" s="25">
        <f ca="1">IF(C10="",B10,C10)</f>
        <v>46255</v>
      </c>
    </row>
    <row r="11" spans="1:12" ht="32" x14ac:dyDescent="0.2">
      <c r="A11" s="20" t="s">
        <v>150</v>
      </c>
      <c r="B11" s="30">
        <f ca="1">IF($E$4=0,0,FLOOR($E$4*(1-0.05)/$D$8,1)*$D$8)</f>
        <v>0</v>
      </c>
      <c r="C11" s="36"/>
      <c r="D11" s="30">
        <f ca="1">IF(C11="",B11,C11)</f>
        <v>0</v>
      </c>
    </row>
    <row r="12" spans="1:12" ht="32" x14ac:dyDescent="0.2">
      <c r="A12" s="20" t="s">
        <v>151</v>
      </c>
      <c r="B12" s="30">
        <f ca="1">IF($E$4=0,0,CEILING($E$4*(1+0.05)/$D$8,1)*$D$8)</f>
        <v>0</v>
      </c>
      <c r="C12" s="36"/>
      <c r="D12" s="30">
        <f ca="1">IF(C12="",B12,C12)</f>
        <v>0</v>
      </c>
    </row>
    <row r="14" spans="1:12" ht="21.75" customHeight="1" x14ac:dyDescent="0.2">
      <c r="A14" s="6" t="s">
        <v>152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12" ht="16" x14ac:dyDescent="0.2">
      <c r="A15" s="19" t="s">
        <v>93</v>
      </c>
      <c r="B15" s="19" t="s">
        <v>153</v>
      </c>
      <c r="C15" s="19" t="s">
        <v>154</v>
      </c>
      <c r="D15" s="19" t="s">
        <v>155</v>
      </c>
      <c r="E15" s="19" t="s">
        <v>156</v>
      </c>
      <c r="F15" s="19" t="s">
        <v>136</v>
      </c>
      <c r="G15" s="19" t="s">
        <v>137</v>
      </c>
      <c r="H15" s="19" t="s">
        <v>157</v>
      </c>
      <c r="I15" s="19" t="s">
        <v>158</v>
      </c>
      <c r="J15" s="19" t="s">
        <v>159</v>
      </c>
      <c r="K15" s="19" t="s">
        <v>160</v>
      </c>
      <c r="L15" s="19" t="s">
        <v>161</v>
      </c>
    </row>
    <row r="16" spans="1:12" ht="16" x14ac:dyDescent="0.2">
      <c r="A16" s="23" t="s">
        <v>162</v>
      </c>
      <c r="B16" s="23" t="s">
        <v>163</v>
      </c>
      <c r="C16" s="23" t="s">
        <v>164</v>
      </c>
      <c r="D16" s="30">
        <f ca="1">$D$11</f>
        <v>0</v>
      </c>
      <c r="E16" s="25">
        <f ca="1">$D$9</f>
        <v>46220</v>
      </c>
      <c r="F16" s="23" t="str">
        <f ca="1">"XLRE"&amp;" US "&amp;TEXT(E16,"mm/dd/yy")&amp;" "&amp;"P"&amp;IF(D16=INT(D16),INT(D16),D16)&amp;" Equity"</f>
        <v>XLRE US 07/17/26 P0 Equity</v>
      </c>
      <c r="G16" s="26">
        <f ca="1">IFERROR(bdp($F16, G$15), 0)</f>
        <v>0</v>
      </c>
      <c r="H16" s="26">
        <f ca="1">IFERROR(bdp($F16, H$15), 0)</f>
        <v>0</v>
      </c>
      <c r="I16" s="26">
        <f ca="1">IFERROR(bdp($F16, I$15), 0)</f>
        <v>0</v>
      </c>
      <c r="J16" s="29">
        <f ca="1">IFERROR(bdp($F16, J$15), 0)</f>
        <v>0</v>
      </c>
      <c r="K16" s="31">
        <f ca="1">IFERROR(bdp($F16, K$15), 0)</f>
        <v>0</v>
      </c>
      <c r="L16" s="26">
        <f ca="1">IFERROR((H16+I16)/2, 0)</f>
        <v>0</v>
      </c>
    </row>
    <row r="17" spans="1:16" ht="16" x14ac:dyDescent="0.2">
      <c r="A17" s="23" t="s">
        <v>162</v>
      </c>
      <c r="B17" s="23" t="s">
        <v>165</v>
      </c>
      <c r="C17" s="23" t="s">
        <v>164</v>
      </c>
      <c r="D17" s="30">
        <f ca="1">$D$11-$D$8</f>
        <v>-1</v>
      </c>
      <c r="E17" s="25">
        <f ca="1">$D$9</f>
        <v>46220</v>
      </c>
      <c r="F17" s="23" t="str">
        <f ca="1">"XLRE"&amp;" US "&amp;TEXT(E17,"mm/dd/yy")&amp;" "&amp;"P"&amp;IF(D17=INT(D17),INT(D17),D17)&amp;" Equity"</f>
        <v>XLRE US 07/17/26 P-1 Equity</v>
      </c>
      <c r="G17" s="26">
        <f ca="1">IFERROR(bdp($F17, G$15), 0)</f>
        <v>0</v>
      </c>
      <c r="H17" s="26">
        <f ca="1">IFERROR(bdp($F17, H$15), 0)</f>
        <v>0</v>
      </c>
      <c r="I17" s="26">
        <f ca="1">IFERROR(bdp($F17, I$15), 0)</f>
        <v>0</v>
      </c>
      <c r="J17" s="29">
        <f ca="1">IFERROR(bdp($F17, J$15), 0)</f>
        <v>0</v>
      </c>
      <c r="K17" s="31">
        <f ca="1">IFERROR(bdp($F17, K$15), 0)</f>
        <v>0</v>
      </c>
      <c r="L17" s="26">
        <f ca="1">IFERROR((H17+I17)/2, 0)</f>
        <v>0</v>
      </c>
    </row>
    <row r="18" spans="1:16" ht="16" x14ac:dyDescent="0.2">
      <c r="A18" s="23" t="s">
        <v>162</v>
      </c>
      <c r="B18" s="23" t="s">
        <v>166</v>
      </c>
      <c r="C18" s="23" t="s">
        <v>164</v>
      </c>
      <c r="D18" s="30">
        <f ca="1">$D$11</f>
        <v>0</v>
      </c>
      <c r="E18" s="25">
        <f ca="1">$D$10</f>
        <v>46255</v>
      </c>
      <c r="F18" s="23" t="str">
        <f ca="1">"XLRE"&amp;" US "&amp;TEXT(E18,"mm/dd/yy")&amp;" "&amp;"P"&amp;IF(D18=INT(D18),INT(D18),D18)&amp;" Equity"</f>
        <v>XLRE US 08/21/26 P0 Equity</v>
      </c>
      <c r="G18" s="26">
        <f ca="1">IFERROR(bdp($F18, G$15), 0)</f>
        <v>0</v>
      </c>
      <c r="H18" s="26">
        <f ca="1">IFERROR(bdp($F18, H$15), 0)</f>
        <v>0</v>
      </c>
      <c r="I18" s="26">
        <f ca="1">IFERROR(bdp($F18, I$15), 0)</f>
        <v>0</v>
      </c>
      <c r="J18" s="29">
        <f ca="1">IFERROR(bdp($F18, J$15), 0)</f>
        <v>0</v>
      </c>
      <c r="K18" s="31">
        <f ca="1">IFERROR(bdp($F18, K$15), 0)</f>
        <v>0</v>
      </c>
      <c r="L18" s="26">
        <f ca="1">IFERROR((H18+I18)/2, 0)</f>
        <v>0</v>
      </c>
    </row>
    <row r="19" spans="1:16" ht="16" x14ac:dyDescent="0.2">
      <c r="A19" s="23" t="s">
        <v>162</v>
      </c>
      <c r="B19" s="23" t="s">
        <v>167</v>
      </c>
      <c r="C19" s="23" t="s">
        <v>164</v>
      </c>
      <c r="D19" s="30">
        <f ca="1">$D$11-$D$8</f>
        <v>-1</v>
      </c>
      <c r="E19" s="25">
        <f ca="1">$D$10</f>
        <v>46255</v>
      </c>
      <c r="F19" s="23" t="str">
        <f ca="1">"XLRE"&amp;" US "&amp;TEXT(E19,"mm/dd/yy")&amp;" "&amp;"P"&amp;IF(D19=INT(D19),INT(D19),D19)&amp;" Equity"</f>
        <v>XLRE US 08/21/26 P-1 Equity</v>
      </c>
      <c r="G19" s="26">
        <f ca="1">IFERROR(bdp($F19, G$15), 0)</f>
        <v>0</v>
      </c>
      <c r="H19" s="26">
        <f ca="1">IFERROR(bdp($F19, H$15), 0)</f>
        <v>0</v>
      </c>
      <c r="I19" s="26">
        <f ca="1">IFERROR(bdp($F19, I$15), 0)</f>
        <v>0</v>
      </c>
      <c r="J19" s="29">
        <f ca="1">IFERROR(bdp($F19, J$15), 0)</f>
        <v>0</v>
      </c>
      <c r="K19" s="31">
        <f ca="1">IFERROR(bdp($F19, K$15), 0)</f>
        <v>0</v>
      </c>
      <c r="L19" s="26">
        <f ca="1">IFERROR((H19+I19)/2, 0)</f>
        <v>0</v>
      </c>
    </row>
    <row r="21" spans="1:16" ht="16" x14ac:dyDescent="0.2">
      <c r="A21" s="19" t="s">
        <v>93</v>
      </c>
      <c r="B21" s="19" t="s">
        <v>168</v>
      </c>
      <c r="C21" s="19" t="s">
        <v>79</v>
      </c>
      <c r="D21" s="19" t="s">
        <v>113</v>
      </c>
      <c r="E21" s="19" t="s">
        <v>114</v>
      </c>
      <c r="F21" s="19" t="s">
        <v>169</v>
      </c>
      <c r="G21" s="19" t="s">
        <v>96</v>
      </c>
      <c r="H21" s="19" t="s">
        <v>97</v>
      </c>
      <c r="I21" s="19" t="s">
        <v>170</v>
      </c>
      <c r="J21" s="19" t="s">
        <v>171</v>
      </c>
      <c r="K21" s="19" t="s">
        <v>172</v>
      </c>
      <c r="L21" s="19" t="s">
        <v>115</v>
      </c>
      <c r="M21" s="19" t="s">
        <v>173</v>
      </c>
      <c r="N21" s="19" t="s">
        <v>116</v>
      </c>
      <c r="O21" s="19" t="s">
        <v>99</v>
      </c>
      <c r="P21" s="19" t="s">
        <v>117</v>
      </c>
    </row>
    <row r="22" spans="1:16" ht="32" x14ac:dyDescent="0.2">
      <c r="A22" s="23" t="s">
        <v>162</v>
      </c>
      <c r="B22" s="23" t="s">
        <v>174</v>
      </c>
      <c r="C22" s="22">
        <f ca="1">$D$9-TODAY()</f>
        <v>67</v>
      </c>
      <c r="D22" s="30">
        <f ca="1">$D$11</f>
        <v>0</v>
      </c>
      <c r="E22" s="30">
        <f ca="1">$D$11-$D$8</f>
        <v>-1</v>
      </c>
      <c r="F22" s="33">
        <f>$D$8</f>
        <v>1</v>
      </c>
      <c r="G22" s="26">
        <f ca="1">IFERROR(L16-L17,0)</f>
        <v>0</v>
      </c>
      <c r="H22" s="26">
        <f ca="1">IFERROR(F22-G22,0)</f>
        <v>1</v>
      </c>
      <c r="I22" s="29">
        <f ca="1">IFERROR(G22/F22,0)</f>
        <v>0</v>
      </c>
      <c r="J22" s="29">
        <f ca="1">IFERROR((I16-H16)/L16,1)</f>
        <v>1</v>
      </c>
      <c r="K22" s="29">
        <f ca="1">IFERROR(($E$4-D22)/$E$4,0)</f>
        <v>0</v>
      </c>
      <c r="L22" s="29">
        <f ca="1">IFERROR(1-ABS(K16),0)</f>
        <v>1</v>
      </c>
      <c r="M22" s="26">
        <f ca="1">L22*G22-(1-L22)*H22</f>
        <v>0</v>
      </c>
      <c r="N22" s="31">
        <f ca="1">IFERROR(M22/H22,0)</f>
        <v>0</v>
      </c>
      <c r="O22" s="23" t="str">
        <f ca="1">IF(NOT(AND(C22&gt;=Settings!$B$14,C22&lt;=Settings!$B$15)),"WAIT - DTE",IF(NOT(AND(ABS(K16)&gt;=Settings!$B$12,ABS(K16)&lt;=Settings!$B$13)),"WAIT - DELTA",IF(NOT($F$4&gt;=Settings!$B$8),"WAIT - IVR",IF(NOT(G22&gt;=Settings!$B$10),"WAIT - CREDIT",IF(NOT(I22&gt;=Settings!$B$9),"WAIT - C/W",IF(NOT(AND(J22&lt;=Settings!$B$11,H16&gt;0,I16&gt;0,H17&gt;0,I17&gt;0)),"WAIT - LIQ",IF(NOT(K22&gt;=Settings!$B$19),"WAIT - BUFFER","GO")))))))</f>
        <v>WAIT - DELTA</v>
      </c>
      <c r="P22" s="31">
        <f ca="1">IF(O22="GO",N22,-1000000000)</f>
        <v>-1000000000</v>
      </c>
    </row>
    <row r="23" spans="1:16" ht="32" x14ac:dyDescent="0.2">
      <c r="A23" s="23" t="s">
        <v>162</v>
      </c>
      <c r="B23" s="23" t="s">
        <v>175</v>
      </c>
      <c r="C23" s="22">
        <f ca="1">$D$10-TODAY()</f>
        <v>102</v>
      </c>
      <c r="D23" s="30">
        <f ca="1">$D$11</f>
        <v>0</v>
      </c>
      <c r="E23" s="30">
        <f ca="1">$D$11-$D$8</f>
        <v>-1</v>
      </c>
      <c r="F23" s="33">
        <f>$D$8</f>
        <v>1</v>
      </c>
      <c r="G23" s="26">
        <f ca="1">IFERROR(L18-L19,0)</f>
        <v>0</v>
      </c>
      <c r="H23" s="26">
        <f ca="1">IFERROR(F23-G23,0)</f>
        <v>1</v>
      </c>
      <c r="I23" s="29">
        <f ca="1">IFERROR(G23/F23,0)</f>
        <v>0</v>
      </c>
      <c r="J23" s="29">
        <f ca="1">IFERROR((I18-H18)/L18,1)</f>
        <v>1</v>
      </c>
      <c r="K23" s="29">
        <f ca="1">IFERROR(($E$4-D23)/$E$4,0)</f>
        <v>0</v>
      </c>
      <c r="L23" s="29">
        <f ca="1">IFERROR(1-ABS(K18),0)</f>
        <v>1</v>
      </c>
      <c r="M23" s="26">
        <f ca="1">L23*G23-(1-L23)*H23</f>
        <v>0</v>
      </c>
      <c r="N23" s="31">
        <f ca="1">IFERROR(M23/H23,0)</f>
        <v>0</v>
      </c>
      <c r="O23" s="23" t="str">
        <f ca="1">IF(NOT(AND(C23&gt;=Settings!$B$14,C23&lt;=Settings!$B$15)),"WAIT - DTE",IF(NOT(AND(ABS(K18)&gt;=Settings!$B$12,ABS(K18)&lt;=Settings!$B$13)),"WAIT - DELTA",IF(NOT($F$4&gt;=Settings!$B$8),"WAIT - IVR",IF(NOT(G23&gt;=Settings!$B$10),"WAIT - CREDIT",IF(NOT(I23&gt;=Settings!$B$9),"WAIT - C/W",IF(NOT(AND(J23&lt;=Settings!$B$11,H18&gt;0,I18&gt;0,H19&gt;0,I19&gt;0)),"WAIT - LIQ",IF(NOT(K23&gt;=Settings!$B$19),"WAIT - BUFFER","GO")))))))</f>
        <v>WAIT - DELTA</v>
      </c>
      <c r="P23" s="31">
        <f ca="1">IF(O23="GO",N23,-1000000000)</f>
        <v>-1000000000</v>
      </c>
    </row>
    <row r="25" spans="1:16" ht="21.75" customHeight="1" x14ac:dyDescent="0.2">
      <c r="A25" s="6" t="s">
        <v>176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6" ht="16" x14ac:dyDescent="0.2">
      <c r="A26" s="19" t="s">
        <v>93</v>
      </c>
      <c r="B26" s="19" t="s">
        <v>153</v>
      </c>
      <c r="C26" s="19" t="s">
        <v>154</v>
      </c>
      <c r="D26" s="19" t="s">
        <v>155</v>
      </c>
      <c r="E26" s="19" t="s">
        <v>156</v>
      </c>
      <c r="F26" s="19" t="s">
        <v>136</v>
      </c>
      <c r="G26" s="19" t="s">
        <v>137</v>
      </c>
      <c r="H26" s="19" t="s">
        <v>157</v>
      </c>
      <c r="I26" s="19" t="s">
        <v>158</v>
      </c>
      <c r="J26" s="19" t="s">
        <v>159</v>
      </c>
      <c r="K26" s="19" t="s">
        <v>160</v>
      </c>
      <c r="L26" s="19" t="s">
        <v>161</v>
      </c>
    </row>
    <row r="27" spans="1:16" ht="16" x14ac:dyDescent="0.2">
      <c r="A27" s="23" t="s">
        <v>177</v>
      </c>
      <c r="B27" s="23" t="s">
        <v>163</v>
      </c>
      <c r="C27" s="23" t="s">
        <v>178</v>
      </c>
      <c r="D27" s="30">
        <f ca="1">$D$12</f>
        <v>0</v>
      </c>
      <c r="E27" s="25">
        <f ca="1">$D$9</f>
        <v>46220</v>
      </c>
      <c r="F27" s="23" t="str">
        <f ca="1">"XLRE"&amp;" US "&amp;TEXT(E27,"mm/dd/yy")&amp;" "&amp;"C"&amp;IF(D27=INT(D27),INT(D27),D27)&amp;" Equity"</f>
        <v>XLRE US 07/17/26 C0 Equity</v>
      </c>
      <c r="G27" s="26">
        <f ca="1">IFERROR(bdp($F27, G$26), 0)</f>
        <v>0</v>
      </c>
      <c r="H27" s="26">
        <f ca="1">IFERROR(bdp($F27, H$26), 0)</f>
        <v>0</v>
      </c>
      <c r="I27" s="26">
        <f ca="1">IFERROR(bdp($F27, I$26), 0)</f>
        <v>0</v>
      </c>
      <c r="J27" s="29">
        <f ca="1">IFERROR(bdp($F27, J$26), 0)</f>
        <v>0</v>
      </c>
      <c r="K27" s="31">
        <f ca="1">IFERROR(bdp($F27, K$26), 0)</f>
        <v>0</v>
      </c>
      <c r="L27" s="26">
        <f ca="1">IFERROR((H27+I27)/2, 0)</f>
        <v>0</v>
      </c>
    </row>
    <row r="28" spans="1:16" ht="16" x14ac:dyDescent="0.2">
      <c r="A28" s="23" t="s">
        <v>177</v>
      </c>
      <c r="B28" s="23" t="s">
        <v>165</v>
      </c>
      <c r="C28" s="23" t="s">
        <v>178</v>
      </c>
      <c r="D28" s="30">
        <f ca="1">$D$12+$D$8</f>
        <v>1</v>
      </c>
      <c r="E28" s="25">
        <f ca="1">$D$9</f>
        <v>46220</v>
      </c>
      <c r="F28" s="23" t="str">
        <f ca="1">"XLRE"&amp;" US "&amp;TEXT(E28,"mm/dd/yy")&amp;" "&amp;"C"&amp;IF(D28=INT(D28),INT(D28),D28)&amp;" Equity"</f>
        <v>XLRE US 07/17/26 C1 Equity</v>
      </c>
      <c r="G28" s="26">
        <f ca="1">IFERROR(bdp($F28, G$26), 0)</f>
        <v>0</v>
      </c>
      <c r="H28" s="26">
        <f ca="1">IFERROR(bdp($F28, H$26), 0)</f>
        <v>0</v>
      </c>
      <c r="I28" s="26">
        <f ca="1">IFERROR(bdp($F28, I$26), 0)</f>
        <v>0</v>
      </c>
      <c r="J28" s="29">
        <f ca="1">IFERROR(bdp($F28, J$26), 0)</f>
        <v>0</v>
      </c>
      <c r="K28" s="31">
        <f ca="1">IFERROR(bdp($F28, K$26), 0)</f>
        <v>0</v>
      </c>
      <c r="L28" s="26">
        <f ca="1">IFERROR((H28+I28)/2, 0)</f>
        <v>0</v>
      </c>
    </row>
    <row r="29" spans="1:16" ht="16" x14ac:dyDescent="0.2">
      <c r="A29" s="23" t="s">
        <v>177</v>
      </c>
      <c r="B29" s="23" t="s">
        <v>166</v>
      </c>
      <c r="C29" s="23" t="s">
        <v>178</v>
      </c>
      <c r="D29" s="30">
        <f ca="1">$D$12</f>
        <v>0</v>
      </c>
      <c r="E29" s="25">
        <f ca="1">$D$10</f>
        <v>46255</v>
      </c>
      <c r="F29" s="23" t="str">
        <f ca="1">"XLRE"&amp;" US "&amp;TEXT(E29,"mm/dd/yy")&amp;" "&amp;"C"&amp;IF(D29=INT(D29),INT(D29),D29)&amp;" Equity"</f>
        <v>XLRE US 08/21/26 C0 Equity</v>
      </c>
      <c r="G29" s="26">
        <f ca="1">IFERROR(bdp($F29, G$26), 0)</f>
        <v>0</v>
      </c>
      <c r="H29" s="26">
        <f ca="1">IFERROR(bdp($F29, H$26), 0)</f>
        <v>0</v>
      </c>
      <c r="I29" s="26">
        <f ca="1">IFERROR(bdp($F29, I$26), 0)</f>
        <v>0</v>
      </c>
      <c r="J29" s="29">
        <f ca="1">IFERROR(bdp($F29, J$26), 0)</f>
        <v>0</v>
      </c>
      <c r="K29" s="31">
        <f ca="1">IFERROR(bdp($F29, K$26), 0)</f>
        <v>0</v>
      </c>
      <c r="L29" s="26">
        <f ca="1">IFERROR((H29+I29)/2, 0)</f>
        <v>0</v>
      </c>
    </row>
    <row r="30" spans="1:16" ht="16" x14ac:dyDescent="0.2">
      <c r="A30" s="23" t="s">
        <v>177</v>
      </c>
      <c r="B30" s="23" t="s">
        <v>167</v>
      </c>
      <c r="C30" s="23" t="s">
        <v>178</v>
      </c>
      <c r="D30" s="30">
        <f ca="1">$D$12+$D$8</f>
        <v>1</v>
      </c>
      <c r="E30" s="25">
        <f ca="1">$D$10</f>
        <v>46255</v>
      </c>
      <c r="F30" s="23" t="str">
        <f ca="1">"XLRE"&amp;" US "&amp;TEXT(E30,"mm/dd/yy")&amp;" "&amp;"C"&amp;IF(D30=INT(D30),INT(D30),D30)&amp;" Equity"</f>
        <v>XLRE US 08/21/26 C1 Equity</v>
      </c>
      <c r="G30" s="26">
        <f ca="1">IFERROR(bdp($F30, G$26), 0)</f>
        <v>0</v>
      </c>
      <c r="H30" s="26">
        <f ca="1">IFERROR(bdp($F30, H$26), 0)</f>
        <v>0</v>
      </c>
      <c r="I30" s="26">
        <f ca="1">IFERROR(bdp($F30, I$26), 0)</f>
        <v>0</v>
      </c>
      <c r="J30" s="29">
        <f ca="1">IFERROR(bdp($F30, J$26), 0)</f>
        <v>0</v>
      </c>
      <c r="K30" s="31">
        <f ca="1">IFERROR(bdp($F30, K$26), 0)</f>
        <v>0</v>
      </c>
      <c r="L30" s="26">
        <f ca="1">IFERROR((H30+I30)/2, 0)</f>
        <v>0</v>
      </c>
    </row>
    <row r="32" spans="1:16" ht="16" x14ac:dyDescent="0.2">
      <c r="A32" s="19" t="s">
        <v>93</v>
      </c>
      <c r="B32" s="19" t="s">
        <v>168</v>
      </c>
      <c r="C32" s="19" t="s">
        <v>79</v>
      </c>
      <c r="D32" s="19" t="s">
        <v>113</v>
      </c>
      <c r="E32" s="19" t="s">
        <v>114</v>
      </c>
      <c r="F32" s="19" t="s">
        <v>169</v>
      </c>
      <c r="G32" s="19" t="s">
        <v>96</v>
      </c>
      <c r="H32" s="19" t="s">
        <v>97</v>
      </c>
      <c r="I32" s="19" t="s">
        <v>170</v>
      </c>
      <c r="J32" s="19" t="s">
        <v>171</v>
      </c>
      <c r="K32" s="19" t="s">
        <v>172</v>
      </c>
      <c r="L32" s="19" t="s">
        <v>115</v>
      </c>
      <c r="M32" s="19" t="s">
        <v>173</v>
      </c>
      <c r="N32" s="19" t="s">
        <v>116</v>
      </c>
      <c r="O32" s="19" t="s">
        <v>99</v>
      </c>
      <c r="P32" s="19" t="s">
        <v>117</v>
      </c>
    </row>
    <row r="33" spans="1:16" ht="32" x14ac:dyDescent="0.2">
      <c r="A33" s="23" t="s">
        <v>177</v>
      </c>
      <c r="B33" s="23" t="s">
        <v>174</v>
      </c>
      <c r="C33" s="22">
        <f ca="1">$D$9-TODAY()</f>
        <v>67</v>
      </c>
      <c r="D33" s="30">
        <f ca="1">$D$12</f>
        <v>0</v>
      </c>
      <c r="E33" s="30">
        <f ca="1">$D$12+$D$8</f>
        <v>1</v>
      </c>
      <c r="F33" s="33">
        <f>$D$8</f>
        <v>1</v>
      </c>
      <c r="G33" s="26">
        <f ca="1">IFERROR(L27-L28,0)</f>
        <v>0</v>
      </c>
      <c r="H33" s="26">
        <f ca="1">IFERROR(F33-G33,0)</f>
        <v>1</v>
      </c>
      <c r="I33" s="29">
        <f ca="1">IFERROR(G33/F33,0)</f>
        <v>0</v>
      </c>
      <c r="J33" s="29">
        <f ca="1">IFERROR((I27-H27)/L27,1)</f>
        <v>1</v>
      </c>
      <c r="K33" s="29">
        <f ca="1">IFERROR((D33-$E$4)/$E$4,0)</f>
        <v>0</v>
      </c>
      <c r="L33" s="29">
        <f ca="1">IFERROR(1-ABS(K27),0)</f>
        <v>1</v>
      </c>
      <c r="M33" s="26">
        <f ca="1">L33*G33-(1-L33)*H33</f>
        <v>0</v>
      </c>
      <c r="N33" s="31">
        <f ca="1">IFERROR(M33/H33,0)</f>
        <v>0</v>
      </c>
      <c r="O33" s="23" t="str">
        <f ca="1">IF(NOT(AND(C33&gt;=Settings!$B$14,C33&lt;=Settings!$B$15)),"WAIT - DTE",IF(NOT(AND(ABS(K27)&gt;=Settings!$B$12,ABS(K27)&lt;=Settings!$B$13)),"WAIT - DELTA",IF(NOT($F$4&gt;=Settings!$B$8),"WAIT - IVR",IF(NOT(G33&gt;=Settings!$B$10),"WAIT - CREDIT",IF(NOT(I33&gt;=Settings!$B$9),"WAIT - C/W",IF(NOT(AND(J33&lt;=Settings!$B$11,H27&gt;0,I27&gt;0,H28&gt;0,I28&gt;0)),"WAIT - LIQ",IF(NOT(K33&gt;=Settings!$B$19),"WAIT - BUFFER","GO")))))))</f>
        <v>WAIT - DELTA</v>
      </c>
      <c r="P33" s="31">
        <f ca="1">IF(O33="GO",N33,-1000000000)</f>
        <v>-1000000000</v>
      </c>
    </row>
    <row r="34" spans="1:16" ht="32" x14ac:dyDescent="0.2">
      <c r="A34" s="23" t="s">
        <v>177</v>
      </c>
      <c r="B34" s="23" t="s">
        <v>175</v>
      </c>
      <c r="C34" s="22">
        <f ca="1">$D$10-TODAY()</f>
        <v>102</v>
      </c>
      <c r="D34" s="30">
        <f ca="1">$D$12</f>
        <v>0</v>
      </c>
      <c r="E34" s="30">
        <f ca="1">$D$12+$D$8</f>
        <v>1</v>
      </c>
      <c r="F34" s="33">
        <f>$D$8</f>
        <v>1</v>
      </c>
      <c r="G34" s="26">
        <f ca="1">IFERROR(L29-L30,0)</f>
        <v>0</v>
      </c>
      <c r="H34" s="26">
        <f ca="1">IFERROR(F34-G34,0)</f>
        <v>1</v>
      </c>
      <c r="I34" s="29">
        <f ca="1">IFERROR(G34/F34,0)</f>
        <v>0</v>
      </c>
      <c r="J34" s="29">
        <f ca="1">IFERROR((I29-H29)/L29,1)</f>
        <v>1</v>
      </c>
      <c r="K34" s="29">
        <f ca="1">IFERROR((D34-$E$4)/$E$4,0)</f>
        <v>0</v>
      </c>
      <c r="L34" s="29">
        <f ca="1">IFERROR(1-ABS(K29),0)</f>
        <v>1</v>
      </c>
      <c r="M34" s="26">
        <f ca="1">L34*G34-(1-L34)*H34</f>
        <v>0</v>
      </c>
      <c r="N34" s="31">
        <f ca="1">IFERROR(M34/H34,0)</f>
        <v>0</v>
      </c>
      <c r="O34" s="23" t="str">
        <f ca="1">IF(NOT(AND(C34&gt;=Settings!$B$14,C34&lt;=Settings!$B$15)),"WAIT - DTE",IF(NOT(AND(ABS(K29)&gt;=Settings!$B$12,ABS(K29)&lt;=Settings!$B$13)),"WAIT - DELTA",IF(NOT($F$4&gt;=Settings!$B$8),"WAIT - IVR",IF(NOT(G34&gt;=Settings!$B$10),"WAIT - CREDIT",IF(NOT(I34&gt;=Settings!$B$9),"WAIT - C/W",IF(NOT(AND(J34&lt;=Settings!$B$11,H29&gt;0,I29&gt;0,H30&gt;0,I30&gt;0)),"WAIT - LIQ",IF(NOT(K34&gt;=Settings!$B$19),"WAIT - BUFFER","GO")))))))</f>
        <v>WAIT - DELTA</v>
      </c>
      <c r="P34" s="31">
        <f ca="1">IF(O34="GO",N34,-1000000000)</f>
        <v>-1000000000</v>
      </c>
    </row>
    <row r="36" spans="1:16" ht="15" customHeight="1" x14ac:dyDescent="0.2">
      <c r="A36" s="6" t="s">
        <v>179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6" ht="32" x14ac:dyDescent="0.2">
      <c r="A37" s="19" t="s">
        <v>180</v>
      </c>
      <c r="B37" s="19" t="s">
        <v>181</v>
      </c>
      <c r="C37" s="19" t="s">
        <v>182</v>
      </c>
      <c r="D37" s="19" t="s">
        <v>79</v>
      </c>
      <c r="E37" s="19" t="s">
        <v>113</v>
      </c>
      <c r="F37" s="19" t="s">
        <v>114</v>
      </c>
      <c r="G37" s="19" t="s">
        <v>96</v>
      </c>
      <c r="H37" s="19" t="s">
        <v>97</v>
      </c>
      <c r="I37" s="19" t="s">
        <v>115</v>
      </c>
      <c r="J37" s="19" t="s">
        <v>116</v>
      </c>
      <c r="K37" s="19" t="s">
        <v>99</v>
      </c>
      <c r="L37" s="19" t="s">
        <v>117</v>
      </c>
    </row>
    <row r="38" spans="1:16" ht="16" x14ac:dyDescent="0.2">
      <c r="A38" s="23" t="str">
        <f ca="1">INDEX($A$22:$P$34, IF(P22=MAX(P22,P23,P33,P34),22,IF(P23=MAX(P22,P23,P33,P34),23,IF(P33=MAX(P22,P23,P33,P34),33,34)))-21, 1)</f>
        <v>BullPut</v>
      </c>
      <c r="B38" s="23" t="str">
        <f ca="1">INDEX($A$22:$P$34, IF(P22=MAX(P22,P23,P33,P34),22,IF(P23=MAX(P22,P23,P33,P34),23,IF(P33=MAX(P22,P23,P33,P34),33,34)))-21, 2)</f>
        <v>Front</v>
      </c>
      <c r="C38" s="25">
        <f ca="1">IF(INDEX($A$22:$P$34, IF(P22=MAX(P22,P23,P33,P34),22,IF(P23=MAX(P22,P23,P33,P34),23,IF(P33=MAX(P22,P23,P33,P34),33,34)))-21, 2)="Front",$D$9,$D$10)</f>
        <v>46220</v>
      </c>
      <c r="D38" s="22">
        <f ca="1">INDEX($A$22:$P$34, IF(P22=MAX(P22,P23,P33,P34),22,IF(P23=MAX(P22,P23,P33,P34),23,IF(P33=MAX(P22,P23,P33,P34),33,34)))-21, 3)</f>
        <v>67</v>
      </c>
      <c r="E38" s="30">
        <f ca="1">INDEX($A$22:$P$34, IF(P22=MAX(P22,P23,P33,P34),22,IF(P23=MAX(P22,P23,P33,P34),23,IF(P33=MAX(P22,P23,P33,P34),33,34)))-21, 4)</f>
        <v>0</v>
      </c>
      <c r="F38" s="30">
        <f ca="1">INDEX($A$22:$P$34, IF(P22=MAX(P22,P23,P33,P34),22,IF(P23=MAX(P22,P23,P33,P34),23,IF(P33=MAX(P22,P23,P33,P34),33,34)))-21, 5)</f>
        <v>-1</v>
      </c>
      <c r="G38" s="26">
        <f ca="1">INDEX($A$22:$P$34, IF(P22=MAX(P22,P23,P33,P34),22,IF(P23=MAX(P22,P23,P33,P34),23,IF(P33=MAX(P22,P23,P33,P34),33,34)))-21, 7)</f>
        <v>0</v>
      </c>
      <c r="H38" s="26">
        <f ca="1">INDEX($A$22:$P$34, IF(P22=MAX(P22,P23,P33,P34),22,IF(P23=MAX(P22,P23,P33,P34),23,IF(P33=MAX(P22,P23,P33,P34),33,34)))-21, 8)</f>
        <v>1</v>
      </c>
      <c r="I38" s="29">
        <f ca="1">INDEX($A$22:$P$34, IF(P22=MAX(P22,P23,P33,P34),22,IF(P23=MAX(P22,P23,P33,P34),23,IF(P33=MAX(P22,P23,P33,P34),33,34)))-21, 12)</f>
        <v>1</v>
      </c>
      <c r="J38" s="31">
        <f ca="1">INDEX($A$22:$P$34, IF(P22=MAX(P22,P23,P33,P34),22,IF(P23=MAX(P22,P23,P33,P34),23,IF(P33=MAX(P22,P23,P33,P34),33,34)))-21, 14)</f>
        <v>0</v>
      </c>
      <c r="K38" s="23" t="str">
        <f ca="1">INDEX($A$22:$P$34, IF(P22=MAX(P22,P23,P33,P34),22,IF(P23=MAX(P22,P23,P33,P34),23,IF(P33=MAX(P22,P23,P33,P34),33,34)))-21, 15)</f>
        <v>WAIT - DELTA</v>
      </c>
      <c r="L38" s="31">
        <f ca="1">MAX(P22,P23,P33,P34)</f>
        <v>-1000000000</v>
      </c>
    </row>
  </sheetData>
  <mergeCells count="5">
    <mergeCell ref="A1:L1"/>
    <mergeCell ref="A6:L6"/>
    <mergeCell ref="A14:L14"/>
    <mergeCell ref="A25:L25"/>
    <mergeCell ref="A36:L36"/>
  </mergeCells>
  <conditionalFormatting sqref="K38">
    <cfRule type="expression" dxfId="47" priority="6">
      <formula>K38="GO"</formula>
    </cfRule>
    <cfRule type="expression" dxfId="46" priority="7">
      <formula>LEFT(K38,4)="WAIT"</formula>
    </cfRule>
  </conditionalFormatting>
  <conditionalFormatting sqref="O22:O23">
    <cfRule type="expression" dxfId="45" priority="2">
      <formula>O22="GO"</formula>
    </cfRule>
    <cfRule type="expression" dxfId="44" priority="3">
      <formula>LEFT(O22,4)="WAIT"</formula>
    </cfRule>
  </conditionalFormatting>
  <conditionalFormatting sqref="O33:O34">
    <cfRule type="expression" dxfId="43" priority="4">
      <formula>O33="GO"</formula>
    </cfRule>
    <cfRule type="expression" dxfId="42" priority="5">
      <formula>LEFT(O33,4)="WAIT"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38"/>
  <sheetViews>
    <sheetView showGridLines="0" zoomScaleNormal="100" workbookViewId="0">
      <pane ySplit="2" topLeftCell="A3" activePane="bottomLeft" state="frozen"/>
      <selection pane="bottomLeft"/>
    </sheetView>
  </sheetViews>
  <sheetFormatPr baseColWidth="10" defaultColWidth="8.6640625" defaultRowHeight="15" x14ac:dyDescent="0.2"/>
  <cols>
    <col min="1" max="2" width="11" customWidth="1"/>
    <col min="3" max="3" width="8" customWidth="1"/>
    <col min="4" max="4" width="10" customWidth="1"/>
    <col min="5" max="5" width="12" customWidth="1"/>
    <col min="6" max="6" width="32" customWidth="1"/>
    <col min="7" max="10" width="10" customWidth="1"/>
    <col min="11" max="11" width="13" customWidth="1"/>
    <col min="12" max="12" width="10" customWidth="1"/>
  </cols>
  <sheetData>
    <row r="1" spans="1:12" ht="25.5" customHeight="1" x14ac:dyDescent="0.2">
      <c r="A1" s="6" t="s">
        <v>199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3" spans="1:12" ht="16" x14ac:dyDescent="0.2">
      <c r="A3" s="19" t="s">
        <v>135</v>
      </c>
      <c r="B3" s="19" t="s">
        <v>136</v>
      </c>
      <c r="C3" s="19" t="s">
        <v>137</v>
      </c>
      <c r="D3" s="19" t="s">
        <v>138</v>
      </c>
      <c r="E3" s="19" t="s">
        <v>139</v>
      </c>
      <c r="F3" s="19" t="s">
        <v>140</v>
      </c>
    </row>
    <row r="4" spans="1:12" ht="32" x14ac:dyDescent="0.2">
      <c r="A4" s="32" t="s">
        <v>127</v>
      </c>
      <c r="B4" s="32" t="s">
        <v>200</v>
      </c>
      <c r="C4" s="23" t="str">
        <f>C$3</f>
        <v>PX_LAST</v>
      </c>
      <c r="D4" s="23" t="str">
        <f>D$3</f>
        <v>IVOL_RANK</v>
      </c>
      <c r="E4" s="30">
        <f ca="1">IFERROR(bdp(B4,C4),0)</f>
        <v>0</v>
      </c>
      <c r="F4" s="22">
        <f ca="1">IFERROR(bdp(B4,D4),0)</f>
        <v>0</v>
      </c>
    </row>
    <row r="6" spans="1:12" ht="15" customHeight="1" x14ac:dyDescent="0.2">
      <c r="A6" s="6" t="s">
        <v>142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2" ht="16" x14ac:dyDescent="0.2">
      <c r="A7" s="19" t="s">
        <v>143</v>
      </c>
      <c r="B7" s="19" t="s">
        <v>144</v>
      </c>
      <c r="C7" s="19" t="s">
        <v>145</v>
      </c>
      <c r="D7" s="19" t="s">
        <v>146</v>
      </c>
    </row>
    <row r="8" spans="1:12" ht="16" x14ac:dyDescent="0.2">
      <c r="A8" s="20" t="s">
        <v>147</v>
      </c>
      <c r="B8" s="33">
        <v>1</v>
      </c>
      <c r="C8" s="34"/>
      <c r="D8" s="33">
        <f>IF(C8="",B8,C8)</f>
        <v>1</v>
      </c>
    </row>
    <row r="9" spans="1:12" ht="32" x14ac:dyDescent="0.2">
      <c r="A9" s="20" t="s">
        <v>148</v>
      </c>
      <c r="B9" s="25">
        <f ca="1">Calendar!$B$11</f>
        <v>46220</v>
      </c>
      <c r="C9" s="35"/>
      <c r="D9" s="25">
        <f ca="1">IF(C9="",B9,C9)</f>
        <v>46220</v>
      </c>
    </row>
    <row r="10" spans="1:12" ht="32" x14ac:dyDescent="0.2">
      <c r="A10" s="20" t="s">
        <v>149</v>
      </c>
      <c r="B10" s="25">
        <f ca="1">Calendar!$B$12</f>
        <v>46255</v>
      </c>
      <c r="C10" s="35"/>
      <c r="D10" s="25">
        <f ca="1">IF(C10="",B10,C10)</f>
        <v>46255</v>
      </c>
    </row>
    <row r="11" spans="1:12" ht="32" x14ac:dyDescent="0.2">
      <c r="A11" s="20" t="s">
        <v>150</v>
      </c>
      <c r="B11" s="30">
        <f ca="1">IF($E$4=0,0,FLOOR($E$4*(1-0.04)/$D$8,1)*$D$8)</f>
        <v>0</v>
      </c>
      <c r="C11" s="36"/>
      <c r="D11" s="30">
        <f ca="1">IF(C11="",B11,C11)</f>
        <v>0</v>
      </c>
    </row>
    <row r="12" spans="1:12" ht="32" x14ac:dyDescent="0.2">
      <c r="A12" s="20" t="s">
        <v>151</v>
      </c>
      <c r="B12" s="30">
        <f ca="1">IF($E$4=0,0,CEILING($E$4*(1+0.04)/$D$8,1)*$D$8)</f>
        <v>0</v>
      </c>
      <c r="C12" s="36"/>
      <c r="D12" s="30">
        <f ca="1">IF(C12="",B12,C12)</f>
        <v>0</v>
      </c>
    </row>
    <row r="14" spans="1:12" ht="21.75" customHeight="1" x14ac:dyDescent="0.2">
      <c r="A14" s="6" t="s">
        <v>152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12" ht="16" x14ac:dyDescent="0.2">
      <c r="A15" s="19" t="s">
        <v>93</v>
      </c>
      <c r="B15" s="19" t="s">
        <v>153</v>
      </c>
      <c r="C15" s="19" t="s">
        <v>154</v>
      </c>
      <c r="D15" s="19" t="s">
        <v>155</v>
      </c>
      <c r="E15" s="19" t="s">
        <v>156</v>
      </c>
      <c r="F15" s="19" t="s">
        <v>136</v>
      </c>
      <c r="G15" s="19" t="s">
        <v>137</v>
      </c>
      <c r="H15" s="19" t="s">
        <v>157</v>
      </c>
      <c r="I15" s="19" t="s">
        <v>158</v>
      </c>
      <c r="J15" s="19" t="s">
        <v>159</v>
      </c>
      <c r="K15" s="19" t="s">
        <v>160</v>
      </c>
      <c r="L15" s="19" t="s">
        <v>161</v>
      </c>
    </row>
    <row r="16" spans="1:12" ht="16" x14ac:dyDescent="0.2">
      <c r="A16" s="23" t="s">
        <v>162</v>
      </c>
      <c r="B16" s="23" t="s">
        <v>163</v>
      </c>
      <c r="C16" s="23" t="s">
        <v>164</v>
      </c>
      <c r="D16" s="30">
        <f ca="1">$D$11</f>
        <v>0</v>
      </c>
      <c r="E16" s="25">
        <f ca="1">$D$9</f>
        <v>46220</v>
      </c>
      <c r="F16" s="23" t="str">
        <f ca="1">"XLU"&amp;" US "&amp;TEXT(E16,"mm/dd/yy")&amp;" "&amp;"P"&amp;IF(D16=INT(D16),INT(D16),D16)&amp;" Equity"</f>
        <v>XLU US 07/17/26 P0 Equity</v>
      </c>
      <c r="G16" s="26">
        <f ca="1">IFERROR(bdp($F16, G$15), 0)</f>
        <v>0</v>
      </c>
      <c r="H16" s="26">
        <f ca="1">IFERROR(bdp($F16, H$15), 0)</f>
        <v>0</v>
      </c>
      <c r="I16" s="26">
        <f ca="1">IFERROR(bdp($F16, I$15), 0)</f>
        <v>0</v>
      </c>
      <c r="J16" s="29">
        <f ca="1">IFERROR(bdp($F16, J$15), 0)</f>
        <v>0</v>
      </c>
      <c r="K16" s="31">
        <f ca="1">IFERROR(bdp($F16, K$15), 0)</f>
        <v>0</v>
      </c>
      <c r="L16" s="26">
        <f ca="1">IFERROR((H16+I16)/2, 0)</f>
        <v>0</v>
      </c>
    </row>
    <row r="17" spans="1:16" ht="16" x14ac:dyDescent="0.2">
      <c r="A17" s="23" t="s">
        <v>162</v>
      </c>
      <c r="B17" s="23" t="s">
        <v>165</v>
      </c>
      <c r="C17" s="23" t="s">
        <v>164</v>
      </c>
      <c r="D17" s="30">
        <f ca="1">$D$11-$D$8</f>
        <v>-1</v>
      </c>
      <c r="E17" s="25">
        <f ca="1">$D$9</f>
        <v>46220</v>
      </c>
      <c r="F17" s="23" t="str">
        <f ca="1">"XLU"&amp;" US "&amp;TEXT(E17,"mm/dd/yy")&amp;" "&amp;"P"&amp;IF(D17=INT(D17),INT(D17),D17)&amp;" Equity"</f>
        <v>XLU US 07/17/26 P-1 Equity</v>
      </c>
      <c r="G17" s="26">
        <f ca="1">IFERROR(bdp($F17, G$15), 0)</f>
        <v>0</v>
      </c>
      <c r="H17" s="26">
        <f ca="1">IFERROR(bdp($F17, H$15), 0)</f>
        <v>0</v>
      </c>
      <c r="I17" s="26">
        <f ca="1">IFERROR(bdp($F17, I$15), 0)</f>
        <v>0</v>
      </c>
      <c r="J17" s="29">
        <f ca="1">IFERROR(bdp($F17, J$15), 0)</f>
        <v>0</v>
      </c>
      <c r="K17" s="31">
        <f ca="1">IFERROR(bdp($F17, K$15), 0)</f>
        <v>0</v>
      </c>
      <c r="L17" s="26">
        <f ca="1">IFERROR((H17+I17)/2, 0)</f>
        <v>0</v>
      </c>
    </row>
    <row r="18" spans="1:16" ht="16" x14ac:dyDescent="0.2">
      <c r="A18" s="23" t="s">
        <v>162</v>
      </c>
      <c r="B18" s="23" t="s">
        <v>166</v>
      </c>
      <c r="C18" s="23" t="s">
        <v>164</v>
      </c>
      <c r="D18" s="30">
        <f ca="1">$D$11</f>
        <v>0</v>
      </c>
      <c r="E18" s="25">
        <f ca="1">$D$10</f>
        <v>46255</v>
      </c>
      <c r="F18" s="23" t="str">
        <f ca="1">"XLU"&amp;" US "&amp;TEXT(E18,"mm/dd/yy")&amp;" "&amp;"P"&amp;IF(D18=INT(D18),INT(D18),D18)&amp;" Equity"</f>
        <v>XLU US 08/21/26 P0 Equity</v>
      </c>
      <c r="G18" s="26">
        <f ca="1">IFERROR(bdp($F18, G$15), 0)</f>
        <v>0</v>
      </c>
      <c r="H18" s="26">
        <f ca="1">IFERROR(bdp($F18, H$15), 0)</f>
        <v>0</v>
      </c>
      <c r="I18" s="26">
        <f ca="1">IFERROR(bdp($F18, I$15), 0)</f>
        <v>0</v>
      </c>
      <c r="J18" s="29">
        <f ca="1">IFERROR(bdp($F18, J$15), 0)</f>
        <v>0</v>
      </c>
      <c r="K18" s="31">
        <f ca="1">IFERROR(bdp($F18, K$15), 0)</f>
        <v>0</v>
      </c>
      <c r="L18" s="26">
        <f ca="1">IFERROR((H18+I18)/2, 0)</f>
        <v>0</v>
      </c>
    </row>
    <row r="19" spans="1:16" ht="16" x14ac:dyDescent="0.2">
      <c r="A19" s="23" t="s">
        <v>162</v>
      </c>
      <c r="B19" s="23" t="s">
        <v>167</v>
      </c>
      <c r="C19" s="23" t="s">
        <v>164</v>
      </c>
      <c r="D19" s="30">
        <f ca="1">$D$11-$D$8</f>
        <v>-1</v>
      </c>
      <c r="E19" s="25">
        <f ca="1">$D$10</f>
        <v>46255</v>
      </c>
      <c r="F19" s="23" t="str">
        <f ca="1">"XLU"&amp;" US "&amp;TEXT(E19,"mm/dd/yy")&amp;" "&amp;"P"&amp;IF(D19=INT(D19),INT(D19),D19)&amp;" Equity"</f>
        <v>XLU US 08/21/26 P-1 Equity</v>
      </c>
      <c r="G19" s="26">
        <f ca="1">IFERROR(bdp($F19, G$15), 0)</f>
        <v>0</v>
      </c>
      <c r="H19" s="26">
        <f ca="1">IFERROR(bdp($F19, H$15), 0)</f>
        <v>0</v>
      </c>
      <c r="I19" s="26">
        <f ca="1">IFERROR(bdp($F19, I$15), 0)</f>
        <v>0</v>
      </c>
      <c r="J19" s="29">
        <f ca="1">IFERROR(bdp($F19, J$15), 0)</f>
        <v>0</v>
      </c>
      <c r="K19" s="31">
        <f ca="1">IFERROR(bdp($F19, K$15), 0)</f>
        <v>0</v>
      </c>
      <c r="L19" s="26">
        <f ca="1">IFERROR((H19+I19)/2, 0)</f>
        <v>0</v>
      </c>
    </row>
    <row r="21" spans="1:16" ht="16" x14ac:dyDescent="0.2">
      <c r="A21" s="19" t="s">
        <v>93</v>
      </c>
      <c r="B21" s="19" t="s">
        <v>168</v>
      </c>
      <c r="C21" s="19" t="s">
        <v>79</v>
      </c>
      <c r="D21" s="19" t="s">
        <v>113</v>
      </c>
      <c r="E21" s="19" t="s">
        <v>114</v>
      </c>
      <c r="F21" s="19" t="s">
        <v>169</v>
      </c>
      <c r="G21" s="19" t="s">
        <v>96</v>
      </c>
      <c r="H21" s="19" t="s">
        <v>97</v>
      </c>
      <c r="I21" s="19" t="s">
        <v>170</v>
      </c>
      <c r="J21" s="19" t="s">
        <v>171</v>
      </c>
      <c r="K21" s="19" t="s">
        <v>172</v>
      </c>
      <c r="L21" s="19" t="s">
        <v>115</v>
      </c>
      <c r="M21" s="19" t="s">
        <v>173</v>
      </c>
      <c r="N21" s="19" t="s">
        <v>116</v>
      </c>
      <c r="O21" s="19" t="s">
        <v>99</v>
      </c>
      <c r="P21" s="19" t="s">
        <v>117</v>
      </c>
    </row>
    <row r="22" spans="1:16" ht="32" x14ac:dyDescent="0.2">
      <c r="A22" s="23" t="s">
        <v>162</v>
      </c>
      <c r="B22" s="23" t="s">
        <v>174</v>
      </c>
      <c r="C22" s="22">
        <f ca="1">$D$9-TODAY()</f>
        <v>67</v>
      </c>
      <c r="D22" s="30">
        <f ca="1">$D$11</f>
        <v>0</v>
      </c>
      <c r="E22" s="30">
        <f ca="1">$D$11-$D$8</f>
        <v>-1</v>
      </c>
      <c r="F22" s="33">
        <f>$D$8</f>
        <v>1</v>
      </c>
      <c r="G22" s="26">
        <f ca="1">IFERROR(L16-L17,0)</f>
        <v>0</v>
      </c>
      <c r="H22" s="26">
        <f ca="1">IFERROR(F22-G22,0)</f>
        <v>1</v>
      </c>
      <c r="I22" s="29">
        <f ca="1">IFERROR(G22/F22,0)</f>
        <v>0</v>
      </c>
      <c r="J22" s="29">
        <f ca="1">IFERROR((I16-H16)/L16,1)</f>
        <v>1</v>
      </c>
      <c r="K22" s="29">
        <f ca="1">IFERROR(($E$4-D22)/$E$4,0)</f>
        <v>0</v>
      </c>
      <c r="L22" s="29">
        <f ca="1">IFERROR(1-ABS(K16),0)</f>
        <v>1</v>
      </c>
      <c r="M22" s="26">
        <f ca="1">L22*G22-(1-L22)*H22</f>
        <v>0</v>
      </c>
      <c r="N22" s="31">
        <f ca="1">IFERROR(M22/H22,0)</f>
        <v>0</v>
      </c>
      <c r="O22" s="23" t="str">
        <f ca="1">IF(NOT(AND(C22&gt;=Settings!$B$14,C22&lt;=Settings!$B$15)),"WAIT - DTE",IF(NOT(AND(ABS(K16)&gt;=Settings!$B$12,ABS(K16)&lt;=Settings!$B$13)),"WAIT - DELTA",IF(NOT($F$4&gt;=Settings!$B$8),"WAIT - IVR",IF(NOT(G22&gt;=Settings!$B$10),"WAIT - CREDIT",IF(NOT(I22&gt;=Settings!$B$9),"WAIT - C/W",IF(NOT(AND(J22&lt;=Settings!$B$11,H16&gt;0,I16&gt;0,H17&gt;0,I17&gt;0)),"WAIT - LIQ",IF(NOT(K22&gt;=Settings!$B$19),"WAIT - BUFFER","GO")))))))</f>
        <v>WAIT - DELTA</v>
      </c>
      <c r="P22" s="31">
        <f ca="1">IF(O22="GO",N22,-1000000000)</f>
        <v>-1000000000</v>
      </c>
    </row>
    <row r="23" spans="1:16" ht="32" x14ac:dyDescent="0.2">
      <c r="A23" s="23" t="s">
        <v>162</v>
      </c>
      <c r="B23" s="23" t="s">
        <v>175</v>
      </c>
      <c r="C23" s="22">
        <f ca="1">$D$10-TODAY()</f>
        <v>102</v>
      </c>
      <c r="D23" s="30">
        <f ca="1">$D$11</f>
        <v>0</v>
      </c>
      <c r="E23" s="30">
        <f ca="1">$D$11-$D$8</f>
        <v>-1</v>
      </c>
      <c r="F23" s="33">
        <f>$D$8</f>
        <v>1</v>
      </c>
      <c r="G23" s="26">
        <f ca="1">IFERROR(L18-L19,0)</f>
        <v>0</v>
      </c>
      <c r="H23" s="26">
        <f ca="1">IFERROR(F23-G23,0)</f>
        <v>1</v>
      </c>
      <c r="I23" s="29">
        <f ca="1">IFERROR(G23/F23,0)</f>
        <v>0</v>
      </c>
      <c r="J23" s="29">
        <f ca="1">IFERROR((I18-H18)/L18,1)</f>
        <v>1</v>
      </c>
      <c r="K23" s="29">
        <f ca="1">IFERROR(($E$4-D23)/$E$4,0)</f>
        <v>0</v>
      </c>
      <c r="L23" s="29">
        <f ca="1">IFERROR(1-ABS(K18),0)</f>
        <v>1</v>
      </c>
      <c r="M23" s="26">
        <f ca="1">L23*G23-(1-L23)*H23</f>
        <v>0</v>
      </c>
      <c r="N23" s="31">
        <f ca="1">IFERROR(M23/H23,0)</f>
        <v>0</v>
      </c>
      <c r="O23" s="23" t="str">
        <f ca="1">IF(NOT(AND(C23&gt;=Settings!$B$14,C23&lt;=Settings!$B$15)),"WAIT - DTE",IF(NOT(AND(ABS(K18)&gt;=Settings!$B$12,ABS(K18)&lt;=Settings!$B$13)),"WAIT - DELTA",IF(NOT($F$4&gt;=Settings!$B$8),"WAIT - IVR",IF(NOT(G23&gt;=Settings!$B$10),"WAIT - CREDIT",IF(NOT(I23&gt;=Settings!$B$9),"WAIT - C/W",IF(NOT(AND(J23&lt;=Settings!$B$11,H18&gt;0,I18&gt;0,H19&gt;0,I19&gt;0)),"WAIT - LIQ",IF(NOT(K23&gt;=Settings!$B$19),"WAIT - BUFFER","GO")))))))</f>
        <v>WAIT - DELTA</v>
      </c>
      <c r="P23" s="31">
        <f ca="1">IF(O23="GO",N23,-1000000000)</f>
        <v>-1000000000</v>
      </c>
    </row>
    <row r="25" spans="1:16" ht="21.75" customHeight="1" x14ac:dyDescent="0.2">
      <c r="A25" s="6" t="s">
        <v>176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6" ht="16" x14ac:dyDescent="0.2">
      <c r="A26" s="19" t="s">
        <v>93</v>
      </c>
      <c r="B26" s="19" t="s">
        <v>153</v>
      </c>
      <c r="C26" s="19" t="s">
        <v>154</v>
      </c>
      <c r="D26" s="19" t="s">
        <v>155</v>
      </c>
      <c r="E26" s="19" t="s">
        <v>156</v>
      </c>
      <c r="F26" s="19" t="s">
        <v>136</v>
      </c>
      <c r="G26" s="19" t="s">
        <v>137</v>
      </c>
      <c r="H26" s="19" t="s">
        <v>157</v>
      </c>
      <c r="I26" s="19" t="s">
        <v>158</v>
      </c>
      <c r="J26" s="19" t="s">
        <v>159</v>
      </c>
      <c r="K26" s="19" t="s">
        <v>160</v>
      </c>
      <c r="L26" s="19" t="s">
        <v>161</v>
      </c>
    </row>
    <row r="27" spans="1:16" ht="16" x14ac:dyDescent="0.2">
      <c r="A27" s="23" t="s">
        <v>177</v>
      </c>
      <c r="B27" s="23" t="s">
        <v>163</v>
      </c>
      <c r="C27" s="23" t="s">
        <v>178</v>
      </c>
      <c r="D27" s="30">
        <f ca="1">$D$12</f>
        <v>0</v>
      </c>
      <c r="E27" s="25">
        <f ca="1">$D$9</f>
        <v>46220</v>
      </c>
      <c r="F27" s="23" t="str">
        <f ca="1">"XLU"&amp;" US "&amp;TEXT(E27,"mm/dd/yy")&amp;" "&amp;"C"&amp;IF(D27=INT(D27),INT(D27),D27)&amp;" Equity"</f>
        <v>XLU US 07/17/26 C0 Equity</v>
      </c>
      <c r="G27" s="26">
        <f ca="1">IFERROR(bdp($F27, G$26), 0)</f>
        <v>0</v>
      </c>
      <c r="H27" s="26">
        <f ca="1">IFERROR(bdp($F27, H$26), 0)</f>
        <v>0</v>
      </c>
      <c r="I27" s="26">
        <f ca="1">IFERROR(bdp($F27, I$26), 0)</f>
        <v>0</v>
      </c>
      <c r="J27" s="29">
        <f ca="1">IFERROR(bdp($F27, J$26), 0)</f>
        <v>0</v>
      </c>
      <c r="K27" s="31">
        <f ca="1">IFERROR(bdp($F27, K$26), 0)</f>
        <v>0</v>
      </c>
      <c r="L27" s="26">
        <f ca="1">IFERROR((H27+I27)/2, 0)</f>
        <v>0</v>
      </c>
    </row>
    <row r="28" spans="1:16" ht="16" x14ac:dyDescent="0.2">
      <c r="A28" s="23" t="s">
        <v>177</v>
      </c>
      <c r="B28" s="23" t="s">
        <v>165</v>
      </c>
      <c r="C28" s="23" t="s">
        <v>178</v>
      </c>
      <c r="D28" s="30">
        <f ca="1">$D$12+$D$8</f>
        <v>1</v>
      </c>
      <c r="E28" s="25">
        <f ca="1">$D$9</f>
        <v>46220</v>
      </c>
      <c r="F28" s="23" t="str">
        <f ca="1">"XLU"&amp;" US "&amp;TEXT(E28,"mm/dd/yy")&amp;" "&amp;"C"&amp;IF(D28=INT(D28),INT(D28),D28)&amp;" Equity"</f>
        <v>XLU US 07/17/26 C1 Equity</v>
      </c>
      <c r="G28" s="26">
        <f ca="1">IFERROR(bdp($F28, G$26), 0)</f>
        <v>0</v>
      </c>
      <c r="H28" s="26">
        <f ca="1">IFERROR(bdp($F28, H$26), 0)</f>
        <v>0</v>
      </c>
      <c r="I28" s="26">
        <f ca="1">IFERROR(bdp($F28, I$26), 0)</f>
        <v>0</v>
      </c>
      <c r="J28" s="29">
        <f ca="1">IFERROR(bdp($F28, J$26), 0)</f>
        <v>0</v>
      </c>
      <c r="K28" s="31">
        <f ca="1">IFERROR(bdp($F28, K$26), 0)</f>
        <v>0</v>
      </c>
      <c r="L28" s="26">
        <f ca="1">IFERROR((H28+I28)/2, 0)</f>
        <v>0</v>
      </c>
    </row>
    <row r="29" spans="1:16" ht="16" x14ac:dyDescent="0.2">
      <c r="A29" s="23" t="s">
        <v>177</v>
      </c>
      <c r="B29" s="23" t="s">
        <v>166</v>
      </c>
      <c r="C29" s="23" t="s">
        <v>178</v>
      </c>
      <c r="D29" s="30">
        <f ca="1">$D$12</f>
        <v>0</v>
      </c>
      <c r="E29" s="25">
        <f ca="1">$D$10</f>
        <v>46255</v>
      </c>
      <c r="F29" s="23" t="str">
        <f ca="1">"XLU"&amp;" US "&amp;TEXT(E29,"mm/dd/yy")&amp;" "&amp;"C"&amp;IF(D29=INT(D29),INT(D29),D29)&amp;" Equity"</f>
        <v>XLU US 08/21/26 C0 Equity</v>
      </c>
      <c r="G29" s="26">
        <f ca="1">IFERROR(bdp($F29, G$26), 0)</f>
        <v>0</v>
      </c>
      <c r="H29" s="26">
        <f ca="1">IFERROR(bdp($F29, H$26), 0)</f>
        <v>0</v>
      </c>
      <c r="I29" s="26">
        <f ca="1">IFERROR(bdp($F29, I$26), 0)</f>
        <v>0</v>
      </c>
      <c r="J29" s="29">
        <f ca="1">IFERROR(bdp($F29, J$26), 0)</f>
        <v>0</v>
      </c>
      <c r="K29" s="31">
        <f ca="1">IFERROR(bdp($F29, K$26), 0)</f>
        <v>0</v>
      </c>
      <c r="L29" s="26">
        <f ca="1">IFERROR((H29+I29)/2, 0)</f>
        <v>0</v>
      </c>
    </row>
    <row r="30" spans="1:16" ht="16" x14ac:dyDescent="0.2">
      <c r="A30" s="23" t="s">
        <v>177</v>
      </c>
      <c r="B30" s="23" t="s">
        <v>167</v>
      </c>
      <c r="C30" s="23" t="s">
        <v>178</v>
      </c>
      <c r="D30" s="30">
        <f ca="1">$D$12+$D$8</f>
        <v>1</v>
      </c>
      <c r="E30" s="25">
        <f ca="1">$D$10</f>
        <v>46255</v>
      </c>
      <c r="F30" s="23" t="str">
        <f ca="1">"XLU"&amp;" US "&amp;TEXT(E30,"mm/dd/yy")&amp;" "&amp;"C"&amp;IF(D30=INT(D30),INT(D30),D30)&amp;" Equity"</f>
        <v>XLU US 08/21/26 C1 Equity</v>
      </c>
      <c r="G30" s="26">
        <f ca="1">IFERROR(bdp($F30, G$26), 0)</f>
        <v>0</v>
      </c>
      <c r="H30" s="26">
        <f ca="1">IFERROR(bdp($F30, H$26), 0)</f>
        <v>0</v>
      </c>
      <c r="I30" s="26">
        <f ca="1">IFERROR(bdp($F30, I$26), 0)</f>
        <v>0</v>
      </c>
      <c r="J30" s="29">
        <f ca="1">IFERROR(bdp($F30, J$26), 0)</f>
        <v>0</v>
      </c>
      <c r="K30" s="31">
        <f ca="1">IFERROR(bdp($F30, K$26), 0)</f>
        <v>0</v>
      </c>
      <c r="L30" s="26">
        <f ca="1">IFERROR((H30+I30)/2, 0)</f>
        <v>0</v>
      </c>
    </row>
    <row r="32" spans="1:16" ht="16" x14ac:dyDescent="0.2">
      <c r="A32" s="19" t="s">
        <v>93</v>
      </c>
      <c r="B32" s="19" t="s">
        <v>168</v>
      </c>
      <c r="C32" s="19" t="s">
        <v>79</v>
      </c>
      <c r="D32" s="19" t="s">
        <v>113</v>
      </c>
      <c r="E32" s="19" t="s">
        <v>114</v>
      </c>
      <c r="F32" s="19" t="s">
        <v>169</v>
      </c>
      <c r="G32" s="19" t="s">
        <v>96</v>
      </c>
      <c r="H32" s="19" t="s">
        <v>97</v>
      </c>
      <c r="I32" s="19" t="s">
        <v>170</v>
      </c>
      <c r="J32" s="19" t="s">
        <v>171</v>
      </c>
      <c r="K32" s="19" t="s">
        <v>172</v>
      </c>
      <c r="L32" s="19" t="s">
        <v>115</v>
      </c>
      <c r="M32" s="19" t="s">
        <v>173</v>
      </c>
      <c r="N32" s="19" t="s">
        <v>116</v>
      </c>
      <c r="O32" s="19" t="s">
        <v>99</v>
      </c>
      <c r="P32" s="19" t="s">
        <v>117</v>
      </c>
    </row>
    <row r="33" spans="1:16" ht="32" x14ac:dyDescent="0.2">
      <c r="A33" s="23" t="s">
        <v>177</v>
      </c>
      <c r="B33" s="23" t="s">
        <v>174</v>
      </c>
      <c r="C33" s="22">
        <f ca="1">$D$9-TODAY()</f>
        <v>67</v>
      </c>
      <c r="D33" s="30">
        <f ca="1">$D$12</f>
        <v>0</v>
      </c>
      <c r="E33" s="30">
        <f ca="1">$D$12+$D$8</f>
        <v>1</v>
      </c>
      <c r="F33" s="33">
        <f>$D$8</f>
        <v>1</v>
      </c>
      <c r="G33" s="26">
        <f ca="1">IFERROR(L27-L28,0)</f>
        <v>0</v>
      </c>
      <c r="H33" s="26">
        <f ca="1">IFERROR(F33-G33,0)</f>
        <v>1</v>
      </c>
      <c r="I33" s="29">
        <f ca="1">IFERROR(G33/F33,0)</f>
        <v>0</v>
      </c>
      <c r="J33" s="29">
        <f ca="1">IFERROR((I27-H27)/L27,1)</f>
        <v>1</v>
      </c>
      <c r="K33" s="29">
        <f ca="1">IFERROR((D33-$E$4)/$E$4,0)</f>
        <v>0</v>
      </c>
      <c r="L33" s="29">
        <f ca="1">IFERROR(1-ABS(K27),0)</f>
        <v>1</v>
      </c>
      <c r="M33" s="26">
        <f ca="1">L33*G33-(1-L33)*H33</f>
        <v>0</v>
      </c>
      <c r="N33" s="31">
        <f ca="1">IFERROR(M33/H33,0)</f>
        <v>0</v>
      </c>
      <c r="O33" s="23" t="str">
        <f ca="1">IF(NOT(AND(C33&gt;=Settings!$B$14,C33&lt;=Settings!$B$15)),"WAIT - DTE",IF(NOT(AND(ABS(K27)&gt;=Settings!$B$12,ABS(K27)&lt;=Settings!$B$13)),"WAIT - DELTA",IF(NOT($F$4&gt;=Settings!$B$8),"WAIT - IVR",IF(NOT(G33&gt;=Settings!$B$10),"WAIT - CREDIT",IF(NOT(I33&gt;=Settings!$B$9),"WAIT - C/W",IF(NOT(AND(J33&lt;=Settings!$B$11,H27&gt;0,I27&gt;0,H28&gt;0,I28&gt;0)),"WAIT - LIQ",IF(NOT(K33&gt;=Settings!$B$19),"WAIT - BUFFER","GO")))))))</f>
        <v>WAIT - DELTA</v>
      </c>
      <c r="P33" s="31">
        <f ca="1">IF(O33="GO",N33,-1000000000)</f>
        <v>-1000000000</v>
      </c>
    </row>
    <row r="34" spans="1:16" ht="32" x14ac:dyDescent="0.2">
      <c r="A34" s="23" t="s">
        <v>177</v>
      </c>
      <c r="B34" s="23" t="s">
        <v>175</v>
      </c>
      <c r="C34" s="22">
        <f ca="1">$D$10-TODAY()</f>
        <v>102</v>
      </c>
      <c r="D34" s="30">
        <f ca="1">$D$12</f>
        <v>0</v>
      </c>
      <c r="E34" s="30">
        <f ca="1">$D$12+$D$8</f>
        <v>1</v>
      </c>
      <c r="F34" s="33">
        <f>$D$8</f>
        <v>1</v>
      </c>
      <c r="G34" s="26">
        <f ca="1">IFERROR(L29-L30,0)</f>
        <v>0</v>
      </c>
      <c r="H34" s="26">
        <f ca="1">IFERROR(F34-G34,0)</f>
        <v>1</v>
      </c>
      <c r="I34" s="29">
        <f ca="1">IFERROR(G34/F34,0)</f>
        <v>0</v>
      </c>
      <c r="J34" s="29">
        <f ca="1">IFERROR((I29-H29)/L29,1)</f>
        <v>1</v>
      </c>
      <c r="K34" s="29">
        <f ca="1">IFERROR((D34-$E$4)/$E$4,0)</f>
        <v>0</v>
      </c>
      <c r="L34" s="29">
        <f ca="1">IFERROR(1-ABS(K29),0)</f>
        <v>1</v>
      </c>
      <c r="M34" s="26">
        <f ca="1">L34*G34-(1-L34)*H34</f>
        <v>0</v>
      </c>
      <c r="N34" s="31">
        <f ca="1">IFERROR(M34/H34,0)</f>
        <v>0</v>
      </c>
      <c r="O34" s="23" t="str">
        <f ca="1">IF(NOT(AND(C34&gt;=Settings!$B$14,C34&lt;=Settings!$B$15)),"WAIT - DTE",IF(NOT(AND(ABS(K29)&gt;=Settings!$B$12,ABS(K29)&lt;=Settings!$B$13)),"WAIT - DELTA",IF(NOT($F$4&gt;=Settings!$B$8),"WAIT - IVR",IF(NOT(G34&gt;=Settings!$B$10),"WAIT - CREDIT",IF(NOT(I34&gt;=Settings!$B$9),"WAIT - C/W",IF(NOT(AND(J34&lt;=Settings!$B$11,H29&gt;0,I29&gt;0,H30&gt;0,I30&gt;0)),"WAIT - LIQ",IF(NOT(K34&gt;=Settings!$B$19),"WAIT - BUFFER","GO")))))))</f>
        <v>WAIT - DELTA</v>
      </c>
      <c r="P34" s="31">
        <f ca="1">IF(O34="GO",N34,-1000000000)</f>
        <v>-1000000000</v>
      </c>
    </row>
    <row r="36" spans="1:16" ht="15" customHeight="1" x14ac:dyDescent="0.2">
      <c r="A36" s="6" t="s">
        <v>179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6" ht="32" x14ac:dyDescent="0.2">
      <c r="A37" s="19" t="s">
        <v>180</v>
      </c>
      <c r="B37" s="19" t="s">
        <v>181</v>
      </c>
      <c r="C37" s="19" t="s">
        <v>182</v>
      </c>
      <c r="D37" s="19" t="s">
        <v>79</v>
      </c>
      <c r="E37" s="19" t="s">
        <v>113</v>
      </c>
      <c r="F37" s="19" t="s">
        <v>114</v>
      </c>
      <c r="G37" s="19" t="s">
        <v>96</v>
      </c>
      <c r="H37" s="19" t="s">
        <v>97</v>
      </c>
      <c r="I37" s="19" t="s">
        <v>115</v>
      </c>
      <c r="J37" s="19" t="s">
        <v>116</v>
      </c>
      <c r="K37" s="19" t="s">
        <v>99</v>
      </c>
      <c r="L37" s="19" t="s">
        <v>117</v>
      </c>
    </row>
    <row r="38" spans="1:16" ht="16" x14ac:dyDescent="0.2">
      <c r="A38" s="23" t="str">
        <f ca="1">INDEX($A$22:$P$34, IF(P22=MAX(P22,P23,P33,P34),22,IF(P23=MAX(P22,P23,P33,P34),23,IF(P33=MAX(P22,P23,P33,P34),33,34)))-21, 1)</f>
        <v>BullPut</v>
      </c>
      <c r="B38" s="23" t="str">
        <f ca="1">INDEX($A$22:$P$34, IF(P22=MAX(P22,P23,P33,P34),22,IF(P23=MAX(P22,P23,P33,P34),23,IF(P33=MAX(P22,P23,P33,P34),33,34)))-21, 2)</f>
        <v>Front</v>
      </c>
      <c r="C38" s="25">
        <f ca="1">IF(INDEX($A$22:$P$34, IF(P22=MAX(P22,P23,P33,P34),22,IF(P23=MAX(P22,P23,P33,P34),23,IF(P33=MAX(P22,P23,P33,P34),33,34)))-21, 2)="Front",$D$9,$D$10)</f>
        <v>46220</v>
      </c>
      <c r="D38" s="22">
        <f ca="1">INDEX($A$22:$P$34, IF(P22=MAX(P22,P23,P33,P34),22,IF(P23=MAX(P22,P23,P33,P34),23,IF(P33=MAX(P22,P23,P33,P34),33,34)))-21, 3)</f>
        <v>67</v>
      </c>
      <c r="E38" s="30">
        <f ca="1">INDEX($A$22:$P$34, IF(P22=MAX(P22,P23,P33,P34),22,IF(P23=MAX(P22,P23,P33,P34),23,IF(P33=MAX(P22,P23,P33,P34),33,34)))-21, 4)</f>
        <v>0</v>
      </c>
      <c r="F38" s="30">
        <f ca="1">INDEX($A$22:$P$34, IF(P22=MAX(P22,P23,P33,P34),22,IF(P23=MAX(P22,P23,P33,P34),23,IF(P33=MAX(P22,P23,P33,P34),33,34)))-21, 5)</f>
        <v>-1</v>
      </c>
      <c r="G38" s="26">
        <f ca="1">INDEX($A$22:$P$34, IF(P22=MAX(P22,P23,P33,P34),22,IF(P23=MAX(P22,P23,P33,P34),23,IF(P33=MAX(P22,P23,P33,P34),33,34)))-21, 7)</f>
        <v>0</v>
      </c>
      <c r="H38" s="26">
        <f ca="1">INDEX($A$22:$P$34, IF(P22=MAX(P22,P23,P33,P34),22,IF(P23=MAX(P22,P23,P33,P34),23,IF(P33=MAX(P22,P23,P33,P34),33,34)))-21, 8)</f>
        <v>1</v>
      </c>
      <c r="I38" s="29">
        <f ca="1">INDEX($A$22:$P$34, IF(P22=MAX(P22,P23,P33,P34),22,IF(P23=MAX(P22,P23,P33,P34),23,IF(P33=MAX(P22,P23,P33,P34),33,34)))-21, 12)</f>
        <v>1</v>
      </c>
      <c r="J38" s="31">
        <f ca="1">INDEX($A$22:$P$34, IF(P22=MAX(P22,P23,P33,P34),22,IF(P23=MAX(P22,P23,P33,P34),23,IF(P33=MAX(P22,P23,P33,P34),33,34)))-21, 14)</f>
        <v>0</v>
      </c>
      <c r="K38" s="23" t="str">
        <f ca="1">INDEX($A$22:$P$34, IF(P22=MAX(P22,P23,P33,P34),22,IF(P23=MAX(P22,P23,P33,P34),23,IF(P33=MAX(P22,P23,P33,P34),33,34)))-21, 15)</f>
        <v>WAIT - DELTA</v>
      </c>
      <c r="L38" s="31">
        <f ca="1">MAX(P22,P23,P33,P34)</f>
        <v>-1000000000</v>
      </c>
    </row>
  </sheetData>
  <mergeCells count="5">
    <mergeCell ref="A1:L1"/>
    <mergeCell ref="A6:L6"/>
    <mergeCell ref="A14:L14"/>
    <mergeCell ref="A25:L25"/>
    <mergeCell ref="A36:L36"/>
  </mergeCells>
  <conditionalFormatting sqref="K38">
    <cfRule type="expression" dxfId="41" priority="6">
      <formula>K38="GO"</formula>
    </cfRule>
    <cfRule type="expression" dxfId="40" priority="7">
      <formula>LEFT(K38,4)="WAIT"</formula>
    </cfRule>
  </conditionalFormatting>
  <conditionalFormatting sqref="O22:O23">
    <cfRule type="expression" dxfId="39" priority="2">
      <formula>O22="GO"</formula>
    </cfRule>
    <cfRule type="expression" dxfId="38" priority="3">
      <formula>LEFT(O22,4)="WAIT"</formula>
    </cfRule>
  </conditionalFormatting>
  <conditionalFormatting sqref="O33:O34">
    <cfRule type="expression" dxfId="37" priority="4">
      <formula>O33="GO"</formula>
    </cfRule>
    <cfRule type="expression" dxfId="36" priority="5">
      <formula>LEFT(O33,4)="WAIT"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38"/>
  <sheetViews>
    <sheetView showGridLines="0" zoomScaleNormal="100" workbookViewId="0">
      <pane ySplit="2" topLeftCell="A3" activePane="bottomLeft" state="frozen"/>
      <selection pane="bottomLeft"/>
    </sheetView>
  </sheetViews>
  <sheetFormatPr baseColWidth="10" defaultColWidth="8.6640625" defaultRowHeight="15" x14ac:dyDescent="0.2"/>
  <cols>
    <col min="1" max="2" width="11" customWidth="1"/>
    <col min="3" max="3" width="8" customWidth="1"/>
    <col min="4" max="4" width="10" customWidth="1"/>
    <col min="5" max="5" width="12" customWidth="1"/>
    <col min="6" max="6" width="32" customWidth="1"/>
    <col min="7" max="10" width="10" customWidth="1"/>
    <col min="11" max="11" width="13" customWidth="1"/>
    <col min="12" max="12" width="10" customWidth="1"/>
  </cols>
  <sheetData>
    <row r="1" spans="1:12" ht="25.5" customHeight="1" x14ac:dyDescent="0.2">
      <c r="A1" s="6" t="s">
        <v>201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3" spans="1:12" ht="16" x14ac:dyDescent="0.2">
      <c r="A3" s="19" t="s">
        <v>135</v>
      </c>
      <c r="B3" s="19" t="s">
        <v>136</v>
      </c>
      <c r="C3" s="19" t="s">
        <v>137</v>
      </c>
      <c r="D3" s="19" t="s">
        <v>138</v>
      </c>
      <c r="E3" s="19" t="s">
        <v>139</v>
      </c>
      <c r="F3" s="19" t="s">
        <v>140</v>
      </c>
    </row>
    <row r="4" spans="1:12" ht="32" x14ac:dyDescent="0.2">
      <c r="A4" s="32" t="s">
        <v>128</v>
      </c>
      <c r="B4" s="32" t="s">
        <v>202</v>
      </c>
      <c r="C4" s="23" t="str">
        <f>C$3</f>
        <v>PX_LAST</v>
      </c>
      <c r="D4" s="23" t="str">
        <f>D$3</f>
        <v>IVOL_RANK</v>
      </c>
      <c r="E4" s="30">
        <f ca="1">IFERROR(bdp(B4,C4),0)</f>
        <v>0</v>
      </c>
      <c r="F4" s="22">
        <f ca="1">IFERROR(bdp(B4,D4),0)</f>
        <v>0</v>
      </c>
    </row>
    <row r="6" spans="1:12" ht="15" customHeight="1" x14ac:dyDescent="0.2">
      <c r="A6" s="6" t="s">
        <v>142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2" ht="16" x14ac:dyDescent="0.2">
      <c r="A7" s="19" t="s">
        <v>143</v>
      </c>
      <c r="B7" s="19" t="s">
        <v>144</v>
      </c>
      <c r="C7" s="19" t="s">
        <v>145</v>
      </c>
      <c r="D7" s="19" t="s">
        <v>146</v>
      </c>
    </row>
    <row r="8" spans="1:12" ht="16" x14ac:dyDescent="0.2">
      <c r="A8" s="20" t="s">
        <v>147</v>
      </c>
      <c r="B8" s="33">
        <v>2</v>
      </c>
      <c r="C8" s="34"/>
      <c r="D8" s="33">
        <f>IF(C8="",B8,C8)</f>
        <v>2</v>
      </c>
    </row>
    <row r="9" spans="1:12" ht="32" x14ac:dyDescent="0.2">
      <c r="A9" s="20" t="s">
        <v>148</v>
      </c>
      <c r="B9" s="25">
        <f ca="1">Calendar!$B$11</f>
        <v>46220</v>
      </c>
      <c r="C9" s="35"/>
      <c r="D9" s="25">
        <f ca="1">IF(C9="",B9,C9)</f>
        <v>46220</v>
      </c>
    </row>
    <row r="10" spans="1:12" ht="32" x14ac:dyDescent="0.2">
      <c r="A10" s="20" t="s">
        <v>149</v>
      </c>
      <c r="B10" s="25">
        <f ca="1">Calendar!$B$12</f>
        <v>46255</v>
      </c>
      <c r="C10" s="35"/>
      <c r="D10" s="25">
        <f ca="1">IF(C10="",B10,C10)</f>
        <v>46255</v>
      </c>
    </row>
    <row r="11" spans="1:12" ht="32" x14ac:dyDescent="0.2">
      <c r="A11" s="20" t="s">
        <v>150</v>
      </c>
      <c r="B11" s="30">
        <f ca="1">IF($E$4=0,0,FLOOR($E$4*(1-0.05)/$D$8,1)*$D$8)</f>
        <v>0</v>
      </c>
      <c r="C11" s="36"/>
      <c r="D11" s="30">
        <f ca="1">IF(C11="",B11,C11)</f>
        <v>0</v>
      </c>
    </row>
    <row r="12" spans="1:12" ht="32" x14ac:dyDescent="0.2">
      <c r="A12" s="20" t="s">
        <v>151</v>
      </c>
      <c r="B12" s="30">
        <f ca="1">IF($E$4=0,0,CEILING($E$4*(1+0.05)/$D$8,1)*$D$8)</f>
        <v>0</v>
      </c>
      <c r="C12" s="36"/>
      <c r="D12" s="30">
        <f ca="1">IF(C12="",B12,C12)</f>
        <v>0</v>
      </c>
    </row>
    <row r="14" spans="1:12" ht="21.75" customHeight="1" x14ac:dyDescent="0.2">
      <c r="A14" s="6" t="s">
        <v>152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12" ht="16" x14ac:dyDescent="0.2">
      <c r="A15" s="19" t="s">
        <v>93</v>
      </c>
      <c r="B15" s="19" t="s">
        <v>153</v>
      </c>
      <c r="C15" s="19" t="s">
        <v>154</v>
      </c>
      <c r="D15" s="19" t="s">
        <v>155</v>
      </c>
      <c r="E15" s="19" t="s">
        <v>156</v>
      </c>
      <c r="F15" s="19" t="s">
        <v>136</v>
      </c>
      <c r="G15" s="19" t="s">
        <v>137</v>
      </c>
      <c r="H15" s="19" t="s">
        <v>157</v>
      </c>
      <c r="I15" s="19" t="s">
        <v>158</v>
      </c>
      <c r="J15" s="19" t="s">
        <v>159</v>
      </c>
      <c r="K15" s="19" t="s">
        <v>160</v>
      </c>
      <c r="L15" s="19" t="s">
        <v>161</v>
      </c>
    </row>
    <row r="16" spans="1:12" ht="16" x14ac:dyDescent="0.2">
      <c r="A16" s="23" t="s">
        <v>162</v>
      </c>
      <c r="B16" s="23" t="s">
        <v>163</v>
      </c>
      <c r="C16" s="23" t="s">
        <v>164</v>
      </c>
      <c r="D16" s="30">
        <f ca="1">$D$11</f>
        <v>0</v>
      </c>
      <c r="E16" s="25">
        <f ca="1">$D$9</f>
        <v>46220</v>
      </c>
      <c r="F16" s="23" t="str">
        <f ca="1">"XLV"&amp;" US "&amp;TEXT(E16,"mm/dd/yy")&amp;" "&amp;"P"&amp;IF(D16=INT(D16),INT(D16),D16)&amp;" Equity"</f>
        <v>XLV US 07/17/26 P0 Equity</v>
      </c>
      <c r="G16" s="26">
        <f ca="1">IFERROR(bdp($F16, G$15), 0)</f>
        <v>0</v>
      </c>
      <c r="H16" s="26">
        <f ca="1">IFERROR(bdp($F16, H$15), 0)</f>
        <v>0</v>
      </c>
      <c r="I16" s="26">
        <f ca="1">IFERROR(bdp($F16, I$15), 0)</f>
        <v>0</v>
      </c>
      <c r="J16" s="29">
        <f ca="1">IFERROR(bdp($F16, J$15), 0)</f>
        <v>0</v>
      </c>
      <c r="K16" s="31">
        <f ca="1">IFERROR(bdp($F16, K$15), 0)</f>
        <v>0</v>
      </c>
      <c r="L16" s="26">
        <f ca="1">IFERROR((H16+I16)/2, 0)</f>
        <v>0</v>
      </c>
    </row>
    <row r="17" spans="1:16" ht="16" x14ac:dyDescent="0.2">
      <c r="A17" s="23" t="s">
        <v>162</v>
      </c>
      <c r="B17" s="23" t="s">
        <v>165</v>
      </c>
      <c r="C17" s="23" t="s">
        <v>164</v>
      </c>
      <c r="D17" s="30">
        <f ca="1">$D$11-$D$8</f>
        <v>-2</v>
      </c>
      <c r="E17" s="25">
        <f ca="1">$D$9</f>
        <v>46220</v>
      </c>
      <c r="F17" s="23" t="str">
        <f ca="1">"XLV"&amp;" US "&amp;TEXT(E17,"mm/dd/yy")&amp;" "&amp;"P"&amp;IF(D17=INT(D17),INT(D17),D17)&amp;" Equity"</f>
        <v>XLV US 07/17/26 P-2 Equity</v>
      </c>
      <c r="G17" s="26">
        <f ca="1">IFERROR(bdp($F17, G$15), 0)</f>
        <v>0</v>
      </c>
      <c r="H17" s="26">
        <f ca="1">IFERROR(bdp($F17, H$15), 0)</f>
        <v>0</v>
      </c>
      <c r="I17" s="26">
        <f ca="1">IFERROR(bdp($F17, I$15), 0)</f>
        <v>0</v>
      </c>
      <c r="J17" s="29">
        <f ca="1">IFERROR(bdp($F17, J$15), 0)</f>
        <v>0</v>
      </c>
      <c r="K17" s="31">
        <f ca="1">IFERROR(bdp($F17, K$15), 0)</f>
        <v>0</v>
      </c>
      <c r="L17" s="26">
        <f ca="1">IFERROR((H17+I17)/2, 0)</f>
        <v>0</v>
      </c>
    </row>
    <row r="18" spans="1:16" ht="16" x14ac:dyDescent="0.2">
      <c r="A18" s="23" t="s">
        <v>162</v>
      </c>
      <c r="B18" s="23" t="s">
        <v>166</v>
      </c>
      <c r="C18" s="23" t="s">
        <v>164</v>
      </c>
      <c r="D18" s="30">
        <f ca="1">$D$11</f>
        <v>0</v>
      </c>
      <c r="E18" s="25">
        <f ca="1">$D$10</f>
        <v>46255</v>
      </c>
      <c r="F18" s="23" t="str">
        <f ca="1">"XLV"&amp;" US "&amp;TEXT(E18,"mm/dd/yy")&amp;" "&amp;"P"&amp;IF(D18=INT(D18),INT(D18),D18)&amp;" Equity"</f>
        <v>XLV US 08/21/26 P0 Equity</v>
      </c>
      <c r="G18" s="26">
        <f ca="1">IFERROR(bdp($F18, G$15), 0)</f>
        <v>0</v>
      </c>
      <c r="H18" s="26">
        <f ca="1">IFERROR(bdp($F18, H$15), 0)</f>
        <v>0</v>
      </c>
      <c r="I18" s="26">
        <f ca="1">IFERROR(bdp($F18, I$15), 0)</f>
        <v>0</v>
      </c>
      <c r="J18" s="29">
        <f ca="1">IFERROR(bdp($F18, J$15), 0)</f>
        <v>0</v>
      </c>
      <c r="K18" s="31">
        <f ca="1">IFERROR(bdp($F18, K$15), 0)</f>
        <v>0</v>
      </c>
      <c r="L18" s="26">
        <f ca="1">IFERROR((H18+I18)/2, 0)</f>
        <v>0</v>
      </c>
    </row>
    <row r="19" spans="1:16" ht="16" x14ac:dyDescent="0.2">
      <c r="A19" s="23" t="s">
        <v>162</v>
      </c>
      <c r="B19" s="23" t="s">
        <v>167</v>
      </c>
      <c r="C19" s="23" t="s">
        <v>164</v>
      </c>
      <c r="D19" s="30">
        <f ca="1">$D$11-$D$8</f>
        <v>-2</v>
      </c>
      <c r="E19" s="25">
        <f ca="1">$D$10</f>
        <v>46255</v>
      </c>
      <c r="F19" s="23" t="str">
        <f ca="1">"XLV"&amp;" US "&amp;TEXT(E19,"mm/dd/yy")&amp;" "&amp;"P"&amp;IF(D19=INT(D19),INT(D19),D19)&amp;" Equity"</f>
        <v>XLV US 08/21/26 P-2 Equity</v>
      </c>
      <c r="G19" s="26">
        <f ca="1">IFERROR(bdp($F19, G$15), 0)</f>
        <v>0</v>
      </c>
      <c r="H19" s="26">
        <f ca="1">IFERROR(bdp($F19, H$15), 0)</f>
        <v>0</v>
      </c>
      <c r="I19" s="26">
        <f ca="1">IFERROR(bdp($F19, I$15), 0)</f>
        <v>0</v>
      </c>
      <c r="J19" s="29">
        <f ca="1">IFERROR(bdp($F19, J$15), 0)</f>
        <v>0</v>
      </c>
      <c r="K19" s="31">
        <f ca="1">IFERROR(bdp($F19, K$15), 0)</f>
        <v>0</v>
      </c>
      <c r="L19" s="26">
        <f ca="1">IFERROR((H19+I19)/2, 0)</f>
        <v>0</v>
      </c>
    </row>
    <row r="21" spans="1:16" ht="16" x14ac:dyDescent="0.2">
      <c r="A21" s="19" t="s">
        <v>93</v>
      </c>
      <c r="B21" s="19" t="s">
        <v>168</v>
      </c>
      <c r="C21" s="19" t="s">
        <v>79</v>
      </c>
      <c r="D21" s="19" t="s">
        <v>113</v>
      </c>
      <c r="E21" s="19" t="s">
        <v>114</v>
      </c>
      <c r="F21" s="19" t="s">
        <v>169</v>
      </c>
      <c r="G21" s="19" t="s">
        <v>96</v>
      </c>
      <c r="H21" s="19" t="s">
        <v>97</v>
      </c>
      <c r="I21" s="19" t="s">
        <v>170</v>
      </c>
      <c r="J21" s="19" t="s">
        <v>171</v>
      </c>
      <c r="K21" s="19" t="s">
        <v>172</v>
      </c>
      <c r="L21" s="19" t="s">
        <v>115</v>
      </c>
      <c r="M21" s="19" t="s">
        <v>173</v>
      </c>
      <c r="N21" s="19" t="s">
        <v>116</v>
      </c>
      <c r="O21" s="19" t="s">
        <v>99</v>
      </c>
      <c r="P21" s="19" t="s">
        <v>117</v>
      </c>
    </row>
    <row r="22" spans="1:16" ht="32" x14ac:dyDescent="0.2">
      <c r="A22" s="23" t="s">
        <v>162</v>
      </c>
      <c r="B22" s="23" t="s">
        <v>174</v>
      </c>
      <c r="C22" s="22">
        <f ca="1">$D$9-TODAY()</f>
        <v>67</v>
      </c>
      <c r="D22" s="30">
        <f ca="1">$D$11</f>
        <v>0</v>
      </c>
      <c r="E22" s="30">
        <f ca="1">$D$11-$D$8</f>
        <v>-2</v>
      </c>
      <c r="F22" s="33">
        <f>$D$8</f>
        <v>2</v>
      </c>
      <c r="G22" s="26">
        <f ca="1">IFERROR(L16-L17,0)</f>
        <v>0</v>
      </c>
      <c r="H22" s="26">
        <f ca="1">IFERROR(F22-G22,0)</f>
        <v>2</v>
      </c>
      <c r="I22" s="29">
        <f ca="1">IFERROR(G22/F22,0)</f>
        <v>0</v>
      </c>
      <c r="J22" s="29">
        <f ca="1">IFERROR((I16-H16)/L16,1)</f>
        <v>1</v>
      </c>
      <c r="K22" s="29">
        <f ca="1">IFERROR(($E$4-D22)/$E$4,0)</f>
        <v>0</v>
      </c>
      <c r="L22" s="29">
        <f ca="1">IFERROR(1-ABS(K16),0)</f>
        <v>1</v>
      </c>
      <c r="M22" s="26">
        <f ca="1">L22*G22-(1-L22)*H22</f>
        <v>0</v>
      </c>
      <c r="N22" s="31">
        <f ca="1">IFERROR(M22/H22,0)</f>
        <v>0</v>
      </c>
      <c r="O22" s="23" t="str">
        <f ca="1">IF(NOT(AND(C22&gt;=Settings!$B$14,C22&lt;=Settings!$B$15)),"WAIT - DTE",IF(NOT(AND(ABS(K16)&gt;=Settings!$B$12,ABS(K16)&lt;=Settings!$B$13)),"WAIT - DELTA",IF(NOT($F$4&gt;=Settings!$B$8),"WAIT - IVR",IF(NOT(G22&gt;=Settings!$B$10),"WAIT - CREDIT",IF(NOT(I22&gt;=Settings!$B$9),"WAIT - C/W",IF(NOT(AND(J22&lt;=Settings!$B$11,H16&gt;0,I16&gt;0,H17&gt;0,I17&gt;0)),"WAIT - LIQ",IF(NOT(K22&gt;=Settings!$B$19),"WAIT - BUFFER","GO")))))))</f>
        <v>WAIT - DELTA</v>
      </c>
      <c r="P22" s="31">
        <f ca="1">IF(O22="GO",N22,-1000000000)</f>
        <v>-1000000000</v>
      </c>
    </row>
    <row r="23" spans="1:16" ht="32" x14ac:dyDescent="0.2">
      <c r="A23" s="23" t="s">
        <v>162</v>
      </c>
      <c r="B23" s="23" t="s">
        <v>175</v>
      </c>
      <c r="C23" s="22">
        <f ca="1">$D$10-TODAY()</f>
        <v>102</v>
      </c>
      <c r="D23" s="30">
        <f ca="1">$D$11</f>
        <v>0</v>
      </c>
      <c r="E23" s="30">
        <f ca="1">$D$11-$D$8</f>
        <v>-2</v>
      </c>
      <c r="F23" s="33">
        <f>$D$8</f>
        <v>2</v>
      </c>
      <c r="G23" s="26">
        <f ca="1">IFERROR(L18-L19,0)</f>
        <v>0</v>
      </c>
      <c r="H23" s="26">
        <f ca="1">IFERROR(F23-G23,0)</f>
        <v>2</v>
      </c>
      <c r="I23" s="29">
        <f ca="1">IFERROR(G23/F23,0)</f>
        <v>0</v>
      </c>
      <c r="J23" s="29">
        <f ca="1">IFERROR((I18-H18)/L18,1)</f>
        <v>1</v>
      </c>
      <c r="K23" s="29">
        <f ca="1">IFERROR(($E$4-D23)/$E$4,0)</f>
        <v>0</v>
      </c>
      <c r="L23" s="29">
        <f ca="1">IFERROR(1-ABS(K18),0)</f>
        <v>1</v>
      </c>
      <c r="M23" s="26">
        <f ca="1">L23*G23-(1-L23)*H23</f>
        <v>0</v>
      </c>
      <c r="N23" s="31">
        <f ca="1">IFERROR(M23/H23,0)</f>
        <v>0</v>
      </c>
      <c r="O23" s="23" t="str">
        <f ca="1">IF(NOT(AND(C23&gt;=Settings!$B$14,C23&lt;=Settings!$B$15)),"WAIT - DTE",IF(NOT(AND(ABS(K18)&gt;=Settings!$B$12,ABS(K18)&lt;=Settings!$B$13)),"WAIT - DELTA",IF(NOT($F$4&gt;=Settings!$B$8),"WAIT - IVR",IF(NOT(G23&gt;=Settings!$B$10),"WAIT - CREDIT",IF(NOT(I23&gt;=Settings!$B$9),"WAIT - C/W",IF(NOT(AND(J23&lt;=Settings!$B$11,H18&gt;0,I18&gt;0,H19&gt;0,I19&gt;0)),"WAIT - LIQ",IF(NOT(K23&gt;=Settings!$B$19),"WAIT - BUFFER","GO")))))))</f>
        <v>WAIT - DELTA</v>
      </c>
      <c r="P23" s="31">
        <f ca="1">IF(O23="GO",N23,-1000000000)</f>
        <v>-1000000000</v>
      </c>
    </row>
    <row r="25" spans="1:16" ht="21.75" customHeight="1" x14ac:dyDescent="0.2">
      <c r="A25" s="6" t="s">
        <v>176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6" ht="16" x14ac:dyDescent="0.2">
      <c r="A26" s="19" t="s">
        <v>93</v>
      </c>
      <c r="B26" s="19" t="s">
        <v>153</v>
      </c>
      <c r="C26" s="19" t="s">
        <v>154</v>
      </c>
      <c r="D26" s="19" t="s">
        <v>155</v>
      </c>
      <c r="E26" s="19" t="s">
        <v>156</v>
      </c>
      <c r="F26" s="19" t="s">
        <v>136</v>
      </c>
      <c r="G26" s="19" t="s">
        <v>137</v>
      </c>
      <c r="H26" s="19" t="s">
        <v>157</v>
      </c>
      <c r="I26" s="19" t="s">
        <v>158</v>
      </c>
      <c r="J26" s="19" t="s">
        <v>159</v>
      </c>
      <c r="K26" s="19" t="s">
        <v>160</v>
      </c>
      <c r="L26" s="19" t="s">
        <v>161</v>
      </c>
    </row>
    <row r="27" spans="1:16" ht="16" x14ac:dyDescent="0.2">
      <c r="A27" s="23" t="s">
        <v>177</v>
      </c>
      <c r="B27" s="23" t="s">
        <v>163</v>
      </c>
      <c r="C27" s="23" t="s">
        <v>178</v>
      </c>
      <c r="D27" s="30">
        <f ca="1">$D$12</f>
        <v>0</v>
      </c>
      <c r="E27" s="25">
        <f ca="1">$D$9</f>
        <v>46220</v>
      </c>
      <c r="F27" s="23" t="str">
        <f ca="1">"XLV"&amp;" US "&amp;TEXT(E27,"mm/dd/yy")&amp;" "&amp;"C"&amp;IF(D27=INT(D27),INT(D27),D27)&amp;" Equity"</f>
        <v>XLV US 07/17/26 C0 Equity</v>
      </c>
      <c r="G27" s="26">
        <f ca="1">IFERROR(bdp($F27, G$26), 0)</f>
        <v>0</v>
      </c>
      <c r="H27" s="26">
        <f ca="1">IFERROR(bdp($F27, H$26), 0)</f>
        <v>0</v>
      </c>
      <c r="I27" s="26">
        <f ca="1">IFERROR(bdp($F27, I$26), 0)</f>
        <v>0</v>
      </c>
      <c r="J27" s="29">
        <f ca="1">IFERROR(bdp($F27, J$26), 0)</f>
        <v>0</v>
      </c>
      <c r="K27" s="31">
        <f ca="1">IFERROR(bdp($F27, K$26), 0)</f>
        <v>0</v>
      </c>
      <c r="L27" s="26">
        <f ca="1">IFERROR((H27+I27)/2, 0)</f>
        <v>0</v>
      </c>
    </row>
    <row r="28" spans="1:16" ht="16" x14ac:dyDescent="0.2">
      <c r="A28" s="23" t="s">
        <v>177</v>
      </c>
      <c r="B28" s="23" t="s">
        <v>165</v>
      </c>
      <c r="C28" s="23" t="s">
        <v>178</v>
      </c>
      <c r="D28" s="30">
        <f ca="1">$D$12+$D$8</f>
        <v>2</v>
      </c>
      <c r="E28" s="25">
        <f ca="1">$D$9</f>
        <v>46220</v>
      </c>
      <c r="F28" s="23" t="str">
        <f ca="1">"XLV"&amp;" US "&amp;TEXT(E28,"mm/dd/yy")&amp;" "&amp;"C"&amp;IF(D28=INT(D28),INT(D28),D28)&amp;" Equity"</f>
        <v>XLV US 07/17/26 C2 Equity</v>
      </c>
      <c r="G28" s="26">
        <f ca="1">IFERROR(bdp($F28, G$26), 0)</f>
        <v>0</v>
      </c>
      <c r="H28" s="26">
        <f ca="1">IFERROR(bdp($F28, H$26), 0)</f>
        <v>0</v>
      </c>
      <c r="I28" s="26">
        <f ca="1">IFERROR(bdp($F28, I$26), 0)</f>
        <v>0</v>
      </c>
      <c r="J28" s="29">
        <f ca="1">IFERROR(bdp($F28, J$26), 0)</f>
        <v>0</v>
      </c>
      <c r="K28" s="31">
        <f ca="1">IFERROR(bdp($F28, K$26), 0)</f>
        <v>0</v>
      </c>
      <c r="L28" s="26">
        <f ca="1">IFERROR((H28+I28)/2, 0)</f>
        <v>0</v>
      </c>
    </row>
    <row r="29" spans="1:16" ht="16" x14ac:dyDescent="0.2">
      <c r="A29" s="23" t="s">
        <v>177</v>
      </c>
      <c r="B29" s="23" t="s">
        <v>166</v>
      </c>
      <c r="C29" s="23" t="s">
        <v>178</v>
      </c>
      <c r="D29" s="30">
        <f ca="1">$D$12</f>
        <v>0</v>
      </c>
      <c r="E29" s="25">
        <f ca="1">$D$10</f>
        <v>46255</v>
      </c>
      <c r="F29" s="23" t="str">
        <f ca="1">"XLV"&amp;" US "&amp;TEXT(E29,"mm/dd/yy")&amp;" "&amp;"C"&amp;IF(D29=INT(D29),INT(D29),D29)&amp;" Equity"</f>
        <v>XLV US 08/21/26 C0 Equity</v>
      </c>
      <c r="G29" s="26">
        <f ca="1">IFERROR(bdp($F29, G$26), 0)</f>
        <v>0</v>
      </c>
      <c r="H29" s="26">
        <f ca="1">IFERROR(bdp($F29, H$26), 0)</f>
        <v>0</v>
      </c>
      <c r="I29" s="26">
        <f ca="1">IFERROR(bdp($F29, I$26), 0)</f>
        <v>0</v>
      </c>
      <c r="J29" s="29">
        <f ca="1">IFERROR(bdp($F29, J$26), 0)</f>
        <v>0</v>
      </c>
      <c r="K29" s="31">
        <f ca="1">IFERROR(bdp($F29, K$26), 0)</f>
        <v>0</v>
      </c>
      <c r="L29" s="26">
        <f ca="1">IFERROR((H29+I29)/2, 0)</f>
        <v>0</v>
      </c>
    </row>
    <row r="30" spans="1:16" ht="16" x14ac:dyDescent="0.2">
      <c r="A30" s="23" t="s">
        <v>177</v>
      </c>
      <c r="B30" s="23" t="s">
        <v>167</v>
      </c>
      <c r="C30" s="23" t="s">
        <v>178</v>
      </c>
      <c r="D30" s="30">
        <f ca="1">$D$12+$D$8</f>
        <v>2</v>
      </c>
      <c r="E30" s="25">
        <f ca="1">$D$10</f>
        <v>46255</v>
      </c>
      <c r="F30" s="23" t="str">
        <f ca="1">"XLV"&amp;" US "&amp;TEXT(E30,"mm/dd/yy")&amp;" "&amp;"C"&amp;IF(D30=INT(D30),INT(D30),D30)&amp;" Equity"</f>
        <v>XLV US 08/21/26 C2 Equity</v>
      </c>
      <c r="G30" s="26">
        <f ca="1">IFERROR(bdp($F30, G$26), 0)</f>
        <v>0</v>
      </c>
      <c r="H30" s="26">
        <f ca="1">IFERROR(bdp($F30, H$26), 0)</f>
        <v>0</v>
      </c>
      <c r="I30" s="26">
        <f ca="1">IFERROR(bdp($F30, I$26), 0)</f>
        <v>0</v>
      </c>
      <c r="J30" s="29">
        <f ca="1">IFERROR(bdp($F30, J$26), 0)</f>
        <v>0</v>
      </c>
      <c r="K30" s="31">
        <f ca="1">IFERROR(bdp($F30, K$26), 0)</f>
        <v>0</v>
      </c>
      <c r="L30" s="26">
        <f ca="1">IFERROR((H30+I30)/2, 0)</f>
        <v>0</v>
      </c>
    </row>
    <row r="32" spans="1:16" ht="16" x14ac:dyDescent="0.2">
      <c r="A32" s="19" t="s">
        <v>93</v>
      </c>
      <c r="B32" s="19" t="s">
        <v>168</v>
      </c>
      <c r="C32" s="19" t="s">
        <v>79</v>
      </c>
      <c r="D32" s="19" t="s">
        <v>113</v>
      </c>
      <c r="E32" s="19" t="s">
        <v>114</v>
      </c>
      <c r="F32" s="19" t="s">
        <v>169</v>
      </c>
      <c r="G32" s="19" t="s">
        <v>96</v>
      </c>
      <c r="H32" s="19" t="s">
        <v>97</v>
      </c>
      <c r="I32" s="19" t="s">
        <v>170</v>
      </c>
      <c r="J32" s="19" t="s">
        <v>171</v>
      </c>
      <c r="K32" s="19" t="s">
        <v>172</v>
      </c>
      <c r="L32" s="19" t="s">
        <v>115</v>
      </c>
      <c r="M32" s="19" t="s">
        <v>173</v>
      </c>
      <c r="N32" s="19" t="s">
        <v>116</v>
      </c>
      <c r="O32" s="19" t="s">
        <v>99</v>
      </c>
      <c r="P32" s="19" t="s">
        <v>117</v>
      </c>
    </row>
    <row r="33" spans="1:16" ht="32" x14ac:dyDescent="0.2">
      <c r="A33" s="23" t="s">
        <v>177</v>
      </c>
      <c r="B33" s="23" t="s">
        <v>174</v>
      </c>
      <c r="C33" s="22">
        <f ca="1">$D$9-TODAY()</f>
        <v>67</v>
      </c>
      <c r="D33" s="30">
        <f ca="1">$D$12</f>
        <v>0</v>
      </c>
      <c r="E33" s="30">
        <f ca="1">$D$12+$D$8</f>
        <v>2</v>
      </c>
      <c r="F33" s="33">
        <f>$D$8</f>
        <v>2</v>
      </c>
      <c r="G33" s="26">
        <f ca="1">IFERROR(L27-L28,0)</f>
        <v>0</v>
      </c>
      <c r="H33" s="26">
        <f ca="1">IFERROR(F33-G33,0)</f>
        <v>2</v>
      </c>
      <c r="I33" s="29">
        <f ca="1">IFERROR(G33/F33,0)</f>
        <v>0</v>
      </c>
      <c r="J33" s="29">
        <f ca="1">IFERROR((I27-H27)/L27,1)</f>
        <v>1</v>
      </c>
      <c r="K33" s="29">
        <f ca="1">IFERROR((D33-$E$4)/$E$4,0)</f>
        <v>0</v>
      </c>
      <c r="L33" s="29">
        <f ca="1">IFERROR(1-ABS(K27),0)</f>
        <v>1</v>
      </c>
      <c r="M33" s="26">
        <f ca="1">L33*G33-(1-L33)*H33</f>
        <v>0</v>
      </c>
      <c r="N33" s="31">
        <f ca="1">IFERROR(M33/H33,0)</f>
        <v>0</v>
      </c>
      <c r="O33" s="23" t="str">
        <f ca="1">IF(NOT(AND(C33&gt;=Settings!$B$14,C33&lt;=Settings!$B$15)),"WAIT - DTE",IF(NOT(AND(ABS(K27)&gt;=Settings!$B$12,ABS(K27)&lt;=Settings!$B$13)),"WAIT - DELTA",IF(NOT($F$4&gt;=Settings!$B$8),"WAIT - IVR",IF(NOT(G33&gt;=Settings!$B$10),"WAIT - CREDIT",IF(NOT(I33&gt;=Settings!$B$9),"WAIT - C/W",IF(NOT(AND(J33&lt;=Settings!$B$11,H27&gt;0,I27&gt;0,H28&gt;0,I28&gt;0)),"WAIT - LIQ",IF(NOT(K33&gt;=Settings!$B$19),"WAIT - BUFFER","GO")))))))</f>
        <v>WAIT - DELTA</v>
      </c>
      <c r="P33" s="31">
        <f ca="1">IF(O33="GO",N33,-1000000000)</f>
        <v>-1000000000</v>
      </c>
    </row>
    <row r="34" spans="1:16" ht="32" x14ac:dyDescent="0.2">
      <c r="A34" s="23" t="s">
        <v>177</v>
      </c>
      <c r="B34" s="23" t="s">
        <v>175</v>
      </c>
      <c r="C34" s="22">
        <f ca="1">$D$10-TODAY()</f>
        <v>102</v>
      </c>
      <c r="D34" s="30">
        <f ca="1">$D$12</f>
        <v>0</v>
      </c>
      <c r="E34" s="30">
        <f ca="1">$D$12+$D$8</f>
        <v>2</v>
      </c>
      <c r="F34" s="33">
        <f>$D$8</f>
        <v>2</v>
      </c>
      <c r="G34" s="26">
        <f ca="1">IFERROR(L29-L30,0)</f>
        <v>0</v>
      </c>
      <c r="H34" s="26">
        <f ca="1">IFERROR(F34-G34,0)</f>
        <v>2</v>
      </c>
      <c r="I34" s="29">
        <f ca="1">IFERROR(G34/F34,0)</f>
        <v>0</v>
      </c>
      <c r="J34" s="29">
        <f ca="1">IFERROR((I29-H29)/L29,1)</f>
        <v>1</v>
      </c>
      <c r="K34" s="29">
        <f ca="1">IFERROR((D34-$E$4)/$E$4,0)</f>
        <v>0</v>
      </c>
      <c r="L34" s="29">
        <f ca="1">IFERROR(1-ABS(K29),0)</f>
        <v>1</v>
      </c>
      <c r="M34" s="26">
        <f ca="1">L34*G34-(1-L34)*H34</f>
        <v>0</v>
      </c>
      <c r="N34" s="31">
        <f ca="1">IFERROR(M34/H34,0)</f>
        <v>0</v>
      </c>
      <c r="O34" s="23" t="str">
        <f ca="1">IF(NOT(AND(C34&gt;=Settings!$B$14,C34&lt;=Settings!$B$15)),"WAIT - DTE",IF(NOT(AND(ABS(K29)&gt;=Settings!$B$12,ABS(K29)&lt;=Settings!$B$13)),"WAIT - DELTA",IF(NOT($F$4&gt;=Settings!$B$8),"WAIT - IVR",IF(NOT(G34&gt;=Settings!$B$10),"WAIT - CREDIT",IF(NOT(I34&gt;=Settings!$B$9),"WAIT - C/W",IF(NOT(AND(J34&lt;=Settings!$B$11,H29&gt;0,I29&gt;0,H30&gt;0,I30&gt;0)),"WAIT - LIQ",IF(NOT(K34&gt;=Settings!$B$19),"WAIT - BUFFER","GO")))))))</f>
        <v>WAIT - DELTA</v>
      </c>
      <c r="P34" s="31">
        <f ca="1">IF(O34="GO",N34,-1000000000)</f>
        <v>-1000000000</v>
      </c>
    </row>
    <row r="36" spans="1:16" ht="15" customHeight="1" x14ac:dyDescent="0.2">
      <c r="A36" s="6" t="s">
        <v>179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6" ht="32" x14ac:dyDescent="0.2">
      <c r="A37" s="19" t="s">
        <v>180</v>
      </c>
      <c r="B37" s="19" t="s">
        <v>181</v>
      </c>
      <c r="C37" s="19" t="s">
        <v>182</v>
      </c>
      <c r="D37" s="19" t="s">
        <v>79</v>
      </c>
      <c r="E37" s="19" t="s">
        <v>113</v>
      </c>
      <c r="F37" s="19" t="s">
        <v>114</v>
      </c>
      <c r="G37" s="19" t="s">
        <v>96</v>
      </c>
      <c r="H37" s="19" t="s">
        <v>97</v>
      </c>
      <c r="I37" s="19" t="s">
        <v>115</v>
      </c>
      <c r="J37" s="19" t="s">
        <v>116</v>
      </c>
      <c r="K37" s="19" t="s">
        <v>99</v>
      </c>
      <c r="L37" s="19" t="s">
        <v>117</v>
      </c>
    </row>
    <row r="38" spans="1:16" ht="16" x14ac:dyDescent="0.2">
      <c r="A38" s="23" t="str">
        <f ca="1">INDEX($A$22:$P$34, IF(P22=MAX(P22,P23,P33,P34),22,IF(P23=MAX(P22,P23,P33,P34),23,IF(P33=MAX(P22,P23,P33,P34),33,34)))-21, 1)</f>
        <v>BullPut</v>
      </c>
      <c r="B38" s="23" t="str">
        <f ca="1">INDEX($A$22:$P$34, IF(P22=MAX(P22,P23,P33,P34),22,IF(P23=MAX(P22,P23,P33,P34),23,IF(P33=MAX(P22,P23,P33,P34),33,34)))-21, 2)</f>
        <v>Front</v>
      </c>
      <c r="C38" s="25">
        <f ca="1">IF(INDEX($A$22:$P$34, IF(P22=MAX(P22,P23,P33,P34),22,IF(P23=MAX(P22,P23,P33,P34),23,IF(P33=MAX(P22,P23,P33,P34),33,34)))-21, 2)="Front",$D$9,$D$10)</f>
        <v>46220</v>
      </c>
      <c r="D38" s="22">
        <f ca="1">INDEX($A$22:$P$34, IF(P22=MAX(P22,P23,P33,P34),22,IF(P23=MAX(P22,P23,P33,P34),23,IF(P33=MAX(P22,P23,P33,P34),33,34)))-21, 3)</f>
        <v>67</v>
      </c>
      <c r="E38" s="30">
        <f ca="1">INDEX($A$22:$P$34, IF(P22=MAX(P22,P23,P33,P34),22,IF(P23=MAX(P22,P23,P33,P34),23,IF(P33=MAX(P22,P23,P33,P34),33,34)))-21, 4)</f>
        <v>0</v>
      </c>
      <c r="F38" s="30">
        <f ca="1">INDEX($A$22:$P$34, IF(P22=MAX(P22,P23,P33,P34),22,IF(P23=MAX(P22,P23,P33,P34),23,IF(P33=MAX(P22,P23,P33,P34),33,34)))-21, 5)</f>
        <v>-2</v>
      </c>
      <c r="G38" s="26">
        <f ca="1">INDEX($A$22:$P$34, IF(P22=MAX(P22,P23,P33,P34),22,IF(P23=MAX(P22,P23,P33,P34),23,IF(P33=MAX(P22,P23,P33,P34),33,34)))-21, 7)</f>
        <v>0</v>
      </c>
      <c r="H38" s="26">
        <f ca="1">INDEX($A$22:$P$34, IF(P22=MAX(P22,P23,P33,P34),22,IF(P23=MAX(P22,P23,P33,P34),23,IF(P33=MAX(P22,P23,P33,P34),33,34)))-21, 8)</f>
        <v>2</v>
      </c>
      <c r="I38" s="29">
        <f ca="1">INDEX($A$22:$P$34, IF(P22=MAX(P22,P23,P33,P34),22,IF(P23=MAX(P22,P23,P33,P34),23,IF(P33=MAX(P22,P23,P33,P34),33,34)))-21, 12)</f>
        <v>1</v>
      </c>
      <c r="J38" s="31">
        <f ca="1">INDEX($A$22:$P$34, IF(P22=MAX(P22,P23,P33,P34),22,IF(P23=MAX(P22,P23,P33,P34),23,IF(P33=MAX(P22,P23,P33,P34),33,34)))-21, 14)</f>
        <v>0</v>
      </c>
      <c r="K38" s="23" t="str">
        <f ca="1">INDEX($A$22:$P$34, IF(P22=MAX(P22,P23,P33,P34),22,IF(P23=MAX(P22,P23,P33,P34),23,IF(P33=MAX(P22,P23,P33,P34),33,34)))-21, 15)</f>
        <v>WAIT - DELTA</v>
      </c>
      <c r="L38" s="31">
        <f ca="1">MAX(P22,P23,P33,P34)</f>
        <v>-1000000000</v>
      </c>
    </row>
  </sheetData>
  <mergeCells count="5">
    <mergeCell ref="A1:L1"/>
    <mergeCell ref="A6:L6"/>
    <mergeCell ref="A14:L14"/>
    <mergeCell ref="A25:L25"/>
    <mergeCell ref="A36:L36"/>
  </mergeCells>
  <conditionalFormatting sqref="K38">
    <cfRule type="expression" dxfId="35" priority="6">
      <formula>K38="GO"</formula>
    </cfRule>
    <cfRule type="expression" dxfId="34" priority="7">
      <formula>LEFT(K38,4)="WAIT"</formula>
    </cfRule>
  </conditionalFormatting>
  <conditionalFormatting sqref="O22:O23">
    <cfRule type="expression" dxfId="33" priority="2">
      <formula>O22="GO"</formula>
    </cfRule>
    <cfRule type="expression" dxfId="32" priority="3">
      <formula>LEFT(O22,4)="WAIT"</formula>
    </cfRule>
  </conditionalFormatting>
  <conditionalFormatting sqref="O33:O34">
    <cfRule type="expression" dxfId="31" priority="4">
      <formula>O33="GO"</formula>
    </cfRule>
    <cfRule type="expression" dxfId="30" priority="5">
      <formula>LEFT(O33,4)="WAIT"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38"/>
  <sheetViews>
    <sheetView showGridLines="0" zoomScaleNormal="100" workbookViewId="0">
      <pane ySplit="2" topLeftCell="A3" activePane="bottomLeft" state="frozen"/>
      <selection pane="bottomLeft"/>
    </sheetView>
  </sheetViews>
  <sheetFormatPr baseColWidth="10" defaultColWidth="8.6640625" defaultRowHeight="15" x14ac:dyDescent="0.2"/>
  <cols>
    <col min="1" max="2" width="11" customWidth="1"/>
    <col min="3" max="3" width="8" customWidth="1"/>
    <col min="4" max="4" width="10" customWidth="1"/>
    <col min="5" max="5" width="12" customWidth="1"/>
    <col min="6" max="6" width="32" customWidth="1"/>
    <col min="7" max="10" width="10" customWidth="1"/>
    <col min="11" max="11" width="13" customWidth="1"/>
    <col min="12" max="12" width="10" customWidth="1"/>
  </cols>
  <sheetData>
    <row r="1" spans="1:12" ht="25.5" customHeight="1" x14ac:dyDescent="0.2">
      <c r="A1" s="6" t="s">
        <v>203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3" spans="1:12" ht="16" x14ac:dyDescent="0.2">
      <c r="A3" s="19" t="s">
        <v>135</v>
      </c>
      <c r="B3" s="19" t="s">
        <v>136</v>
      </c>
      <c r="C3" s="19" t="s">
        <v>137</v>
      </c>
      <c r="D3" s="19" t="s">
        <v>138</v>
      </c>
      <c r="E3" s="19" t="s">
        <v>139</v>
      </c>
      <c r="F3" s="19" t="s">
        <v>140</v>
      </c>
    </row>
    <row r="4" spans="1:12" ht="32" x14ac:dyDescent="0.2">
      <c r="A4" s="32" t="s">
        <v>129</v>
      </c>
      <c r="B4" s="32" t="s">
        <v>204</v>
      </c>
      <c r="C4" s="23" t="str">
        <f>C$3</f>
        <v>PX_LAST</v>
      </c>
      <c r="D4" s="23" t="str">
        <f>D$3</f>
        <v>IVOL_RANK</v>
      </c>
      <c r="E4" s="30">
        <f ca="1">IFERROR(bdp(B4,C4),0)</f>
        <v>0</v>
      </c>
      <c r="F4" s="22">
        <f ca="1">IFERROR(bdp(B4,D4),0)</f>
        <v>0</v>
      </c>
    </row>
    <row r="6" spans="1:12" ht="15" customHeight="1" x14ac:dyDescent="0.2">
      <c r="A6" s="6" t="s">
        <v>142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2" ht="16" x14ac:dyDescent="0.2">
      <c r="A7" s="19" t="s">
        <v>143</v>
      </c>
      <c r="B7" s="19" t="s">
        <v>144</v>
      </c>
      <c r="C7" s="19" t="s">
        <v>145</v>
      </c>
      <c r="D7" s="19" t="s">
        <v>146</v>
      </c>
    </row>
    <row r="8" spans="1:12" ht="16" x14ac:dyDescent="0.2">
      <c r="A8" s="20" t="s">
        <v>147</v>
      </c>
      <c r="B8" s="33">
        <v>5</v>
      </c>
      <c r="C8" s="34"/>
      <c r="D8" s="33">
        <f>IF(C8="",B8,C8)</f>
        <v>5</v>
      </c>
    </row>
    <row r="9" spans="1:12" ht="32" x14ac:dyDescent="0.2">
      <c r="A9" s="20" t="s">
        <v>148</v>
      </c>
      <c r="B9" s="25">
        <f ca="1">Calendar!$B$11</f>
        <v>46220</v>
      </c>
      <c r="C9" s="35"/>
      <c r="D9" s="25">
        <f ca="1">IF(C9="",B9,C9)</f>
        <v>46220</v>
      </c>
    </row>
    <row r="10" spans="1:12" ht="32" x14ac:dyDescent="0.2">
      <c r="A10" s="20" t="s">
        <v>149</v>
      </c>
      <c r="B10" s="25">
        <f ca="1">Calendar!$B$12</f>
        <v>46255</v>
      </c>
      <c r="C10" s="35"/>
      <c r="D10" s="25">
        <f ca="1">IF(C10="",B10,C10)</f>
        <v>46255</v>
      </c>
    </row>
    <row r="11" spans="1:12" ht="32" x14ac:dyDescent="0.2">
      <c r="A11" s="20" t="s">
        <v>150</v>
      </c>
      <c r="B11" s="30">
        <f ca="1">IF($E$4=0,0,FLOOR($E$4*(1-0.05)/$D$8,1)*$D$8)</f>
        <v>0</v>
      </c>
      <c r="C11" s="36"/>
      <c r="D11" s="30">
        <f ca="1">IF(C11="",B11,C11)</f>
        <v>0</v>
      </c>
    </row>
    <row r="12" spans="1:12" ht="32" x14ac:dyDescent="0.2">
      <c r="A12" s="20" t="s">
        <v>151</v>
      </c>
      <c r="B12" s="30">
        <f ca="1">IF($E$4=0,0,CEILING($E$4*(1+0.05)/$D$8,1)*$D$8)</f>
        <v>0</v>
      </c>
      <c r="C12" s="36"/>
      <c r="D12" s="30">
        <f ca="1">IF(C12="",B12,C12)</f>
        <v>0</v>
      </c>
    </row>
    <row r="14" spans="1:12" ht="21.75" customHeight="1" x14ac:dyDescent="0.2">
      <c r="A14" s="6" t="s">
        <v>152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12" ht="16" x14ac:dyDescent="0.2">
      <c r="A15" s="19" t="s">
        <v>93</v>
      </c>
      <c r="B15" s="19" t="s">
        <v>153</v>
      </c>
      <c r="C15" s="19" t="s">
        <v>154</v>
      </c>
      <c r="D15" s="19" t="s">
        <v>155</v>
      </c>
      <c r="E15" s="19" t="s">
        <v>156</v>
      </c>
      <c r="F15" s="19" t="s">
        <v>136</v>
      </c>
      <c r="G15" s="19" t="s">
        <v>137</v>
      </c>
      <c r="H15" s="19" t="s">
        <v>157</v>
      </c>
      <c r="I15" s="19" t="s">
        <v>158</v>
      </c>
      <c r="J15" s="19" t="s">
        <v>159</v>
      </c>
      <c r="K15" s="19" t="s">
        <v>160</v>
      </c>
      <c r="L15" s="19" t="s">
        <v>161</v>
      </c>
    </row>
    <row r="16" spans="1:12" ht="16" x14ac:dyDescent="0.2">
      <c r="A16" s="23" t="s">
        <v>162</v>
      </c>
      <c r="B16" s="23" t="s">
        <v>163</v>
      </c>
      <c r="C16" s="23" t="s">
        <v>164</v>
      </c>
      <c r="D16" s="30">
        <f ca="1">$D$11</f>
        <v>0</v>
      </c>
      <c r="E16" s="25">
        <f ca="1">$D$9</f>
        <v>46220</v>
      </c>
      <c r="F16" s="23" t="str">
        <f ca="1">"XLY"&amp;" US "&amp;TEXT(E16,"mm/dd/yy")&amp;" "&amp;"P"&amp;IF(D16=INT(D16),INT(D16),D16)&amp;" Equity"</f>
        <v>XLY US 07/17/26 P0 Equity</v>
      </c>
      <c r="G16" s="26">
        <f ca="1">IFERROR(bdp($F16, G$15), 0)</f>
        <v>0</v>
      </c>
      <c r="H16" s="26">
        <f ca="1">IFERROR(bdp($F16, H$15), 0)</f>
        <v>0</v>
      </c>
      <c r="I16" s="26">
        <f ca="1">IFERROR(bdp($F16, I$15), 0)</f>
        <v>0</v>
      </c>
      <c r="J16" s="29">
        <f ca="1">IFERROR(bdp($F16, J$15), 0)</f>
        <v>0</v>
      </c>
      <c r="K16" s="31">
        <f ca="1">IFERROR(bdp($F16, K$15), 0)</f>
        <v>0</v>
      </c>
      <c r="L16" s="26">
        <f ca="1">IFERROR((H16+I16)/2, 0)</f>
        <v>0</v>
      </c>
    </row>
    <row r="17" spans="1:16" ht="16" x14ac:dyDescent="0.2">
      <c r="A17" s="23" t="s">
        <v>162</v>
      </c>
      <c r="B17" s="23" t="s">
        <v>165</v>
      </c>
      <c r="C17" s="23" t="s">
        <v>164</v>
      </c>
      <c r="D17" s="30">
        <f ca="1">$D$11-$D$8</f>
        <v>-5</v>
      </c>
      <c r="E17" s="25">
        <f ca="1">$D$9</f>
        <v>46220</v>
      </c>
      <c r="F17" s="23" t="str">
        <f ca="1">"XLY"&amp;" US "&amp;TEXT(E17,"mm/dd/yy")&amp;" "&amp;"P"&amp;IF(D17=INT(D17),INT(D17),D17)&amp;" Equity"</f>
        <v>XLY US 07/17/26 P-5 Equity</v>
      </c>
      <c r="G17" s="26">
        <f ca="1">IFERROR(bdp($F17, G$15), 0)</f>
        <v>0</v>
      </c>
      <c r="H17" s="26">
        <f ca="1">IFERROR(bdp($F17, H$15), 0)</f>
        <v>0</v>
      </c>
      <c r="I17" s="26">
        <f ca="1">IFERROR(bdp($F17, I$15), 0)</f>
        <v>0</v>
      </c>
      <c r="J17" s="29">
        <f ca="1">IFERROR(bdp($F17, J$15), 0)</f>
        <v>0</v>
      </c>
      <c r="K17" s="31">
        <f ca="1">IFERROR(bdp($F17, K$15), 0)</f>
        <v>0</v>
      </c>
      <c r="L17" s="26">
        <f ca="1">IFERROR((H17+I17)/2, 0)</f>
        <v>0</v>
      </c>
    </row>
    <row r="18" spans="1:16" ht="16" x14ac:dyDescent="0.2">
      <c r="A18" s="23" t="s">
        <v>162</v>
      </c>
      <c r="B18" s="23" t="s">
        <v>166</v>
      </c>
      <c r="C18" s="23" t="s">
        <v>164</v>
      </c>
      <c r="D18" s="30">
        <f ca="1">$D$11</f>
        <v>0</v>
      </c>
      <c r="E18" s="25">
        <f ca="1">$D$10</f>
        <v>46255</v>
      </c>
      <c r="F18" s="23" t="str">
        <f ca="1">"XLY"&amp;" US "&amp;TEXT(E18,"mm/dd/yy")&amp;" "&amp;"P"&amp;IF(D18=INT(D18),INT(D18),D18)&amp;" Equity"</f>
        <v>XLY US 08/21/26 P0 Equity</v>
      </c>
      <c r="G18" s="26">
        <f ca="1">IFERROR(bdp($F18, G$15), 0)</f>
        <v>0</v>
      </c>
      <c r="H18" s="26">
        <f ca="1">IFERROR(bdp($F18, H$15), 0)</f>
        <v>0</v>
      </c>
      <c r="I18" s="26">
        <f ca="1">IFERROR(bdp($F18, I$15), 0)</f>
        <v>0</v>
      </c>
      <c r="J18" s="29">
        <f ca="1">IFERROR(bdp($F18, J$15), 0)</f>
        <v>0</v>
      </c>
      <c r="K18" s="31">
        <f ca="1">IFERROR(bdp($F18, K$15), 0)</f>
        <v>0</v>
      </c>
      <c r="L18" s="26">
        <f ca="1">IFERROR((H18+I18)/2, 0)</f>
        <v>0</v>
      </c>
    </row>
    <row r="19" spans="1:16" ht="16" x14ac:dyDescent="0.2">
      <c r="A19" s="23" t="s">
        <v>162</v>
      </c>
      <c r="B19" s="23" t="s">
        <v>167</v>
      </c>
      <c r="C19" s="23" t="s">
        <v>164</v>
      </c>
      <c r="D19" s="30">
        <f ca="1">$D$11-$D$8</f>
        <v>-5</v>
      </c>
      <c r="E19" s="25">
        <f ca="1">$D$10</f>
        <v>46255</v>
      </c>
      <c r="F19" s="23" t="str">
        <f ca="1">"XLY"&amp;" US "&amp;TEXT(E19,"mm/dd/yy")&amp;" "&amp;"P"&amp;IF(D19=INT(D19),INT(D19),D19)&amp;" Equity"</f>
        <v>XLY US 08/21/26 P-5 Equity</v>
      </c>
      <c r="G19" s="26">
        <f ca="1">IFERROR(bdp($F19, G$15), 0)</f>
        <v>0</v>
      </c>
      <c r="H19" s="26">
        <f ca="1">IFERROR(bdp($F19, H$15), 0)</f>
        <v>0</v>
      </c>
      <c r="I19" s="26">
        <f ca="1">IFERROR(bdp($F19, I$15), 0)</f>
        <v>0</v>
      </c>
      <c r="J19" s="29">
        <f ca="1">IFERROR(bdp($F19, J$15), 0)</f>
        <v>0</v>
      </c>
      <c r="K19" s="31">
        <f ca="1">IFERROR(bdp($F19, K$15), 0)</f>
        <v>0</v>
      </c>
      <c r="L19" s="26">
        <f ca="1">IFERROR((H19+I19)/2, 0)</f>
        <v>0</v>
      </c>
    </row>
    <row r="21" spans="1:16" ht="16" x14ac:dyDescent="0.2">
      <c r="A21" s="19" t="s">
        <v>93</v>
      </c>
      <c r="B21" s="19" t="s">
        <v>168</v>
      </c>
      <c r="C21" s="19" t="s">
        <v>79</v>
      </c>
      <c r="D21" s="19" t="s">
        <v>113</v>
      </c>
      <c r="E21" s="19" t="s">
        <v>114</v>
      </c>
      <c r="F21" s="19" t="s">
        <v>169</v>
      </c>
      <c r="G21" s="19" t="s">
        <v>96</v>
      </c>
      <c r="H21" s="19" t="s">
        <v>97</v>
      </c>
      <c r="I21" s="19" t="s">
        <v>170</v>
      </c>
      <c r="J21" s="19" t="s">
        <v>171</v>
      </c>
      <c r="K21" s="19" t="s">
        <v>172</v>
      </c>
      <c r="L21" s="19" t="s">
        <v>115</v>
      </c>
      <c r="M21" s="19" t="s">
        <v>173</v>
      </c>
      <c r="N21" s="19" t="s">
        <v>116</v>
      </c>
      <c r="O21" s="19" t="s">
        <v>99</v>
      </c>
      <c r="P21" s="19" t="s">
        <v>117</v>
      </c>
    </row>
    <row r="22" spans="1:16" ht="32" x14ac:dyDescent="0.2">
      <c r="A22" s="23" t="s">
        <v>162</v>
      </c>
      <c r="B22" s="23" t="s">
        <v>174</v>
      </c>
      <c r="C22" s="22">
        <f ca="1">$D$9-TODAY()</f>
        <v>67</v>
      </c>
      <c r="D22" s="30">
        <f ca="1">$D$11</f>
        <v>0</v>
      </c>
      <c r="E22" s="30">
        <f ca="1">$D$11-$D$8</f>
        <v>-5</v>
      </c>
      <c r="F22" s="33">
        <f>$D$8</f>
        <v>5</v>
      </c>
      <c r="G22" s="26">
        <f ca="1">IFERROR(L16-L17,0)</f>
        <v>0</v>
      </c>
      <c r="H22" s="26">
        <f ca="1">IFERROR(F22-G22,0)</f>
        <v>5</v>
      </c>
      <c r="I22" s="29">
        <f ca="1">IFERROR(G22/F22,0)</f>
        <v>0</v>
      </c>
      <c r="J22" s="29">
        <f ca="1">IFERROR((I16-H16)/L16,1)</f>
        <v>1</v>
      </c>
      <c r="K22" s="29">
        <f ca="1">IFERROR(($E$4-D22)/$E$4,0)</f>
        <v>0</v>
      </c>
      <c r="L22" s="29">
        <f ca="1">IFERROR(1-ABS(K16),0)</f>
        <v>1</v>
      </c>
      <c r="M22" s="26">
        <f ca="1">L22*G22-(1-L22)*H22</f>
        <v>0</v>
      </c>
      <c r="N22" s="31">
        <f ca="1">IFERROR(M22/H22,0)</f>
        <v>0</v>
      </c>
      <c r="O22" s="23" t="str">
        <f ca="1">IF(NOT(AND(C22&gt;=Settings!$B$14,C22&lt;=Settings!$B$15)),"WAIT - DTE",IF(NOT(AND(ABS(K16)&gt;=Settings!$B$12,ABS(K16)&lt;=Settings!$B$13)),"WAIT - DELTA",IF(NOT($F$4&gt;=Settings!$B$8),"WAIT - IVR",IF(NOT(G22&gt;=Settings!$B$10),"WAIT - CREDIT",IF(NOT(I22&gt;=Settings!$B$9),"WAIT - C/W",IF(NOT(AND(J22&lt;=Settings!$B$11,H16&gt;0,I16&gt;0,H17&gt;0,I17&gt;0)),"WAIT - LIQ",IF(NOT(K22&gt;=Settings!$B$19),"WAIT - BUFFER","GO")))))))</f>
        <v>WAIT - DELTA</v>
      </c>
      <c r="P22" s="31">
        <f ca="1">IF(O22="GO",N22,-1000000000)</f>
        <v>-1000000000</v>
      </c>
    </row>
    <row r="23" spans="1:16" ht="32" x14ac:dyDescent="0.2">
      <c r="A23" s="23" t="s">
        <v>162</v>
      </c>
      <c r="B23" s="23" t="s">
        <v>175</v>
      </c>
      <c r="C23" s="22">
        <f ca="1">$D$10-TODAY()</f>
        <v>102</v>
      </c>
      <c r="D23" s="30">
        <f ca="1">$D$11</f>
        <v>0</v>
      </c>
      <c r="E23" s="30">
        <f ca="1">$D$11-$D$8</f>
        <v>-5</v>
      </c>
      <c r="F23" s="33">
        <f>$D$8</f>
        <v>5</v>
      </c>
      <c r="G23" s="26">
        <f ca="1">IFERROR(L18-L19,0)</f>
        <v>0</v>
      </c>
      <c r="H23" s="26">
        <f ca="1">IFERROR(F23-G23,0)</f>
        <v>5</v>
      </c>
      <c r="I23" s="29">
        <f ca="1">IFERROR(G23/F23,0)</f>
        <v>0</v>
      </c>
      <c r="J23" s="29">
        <f ca="1">IFERROR((I18-H18)/L18,1)</f>
        <v>1</v>
      </c>
      <c r="K23" s="29">
        <f ca="1">IFERROR(($E$4-D23)/$E$4,0)</f>
        <v>0</v>
      </c>
      <c r="L23" s="29">
        <f ca="1">IFERROR(1-ABS(K18),0)</f>
        <v>1</v>
      </c>
      <c r="M23" s="26">
        <f ca="1">L23*G23-(1-L23)*H23</f>
        <v>0</v>
      </c>
      <c r="N23" s="31">
        <f ca="1">IFERROR(M23/H23,0)</f>
        <v>0</v>
      </c>
      <c r="O23" s="23" t="str">
        <f ca="1">IF(NOT(AND(C23&gt;=Settings!$B$14,C23&lt;=Settings!$B$15)),"WAIT - DTE",IF(NOT(AND(ABS(K18)&gt;=Settings!$B$12,ABS(K18)&lt;=Settings!$B$13)),"WAIT - DELTA",IF(NOT($F$4&gt;=Settings!$B$8),"WAIT - IVR",IF(NOT(G23&gt;=Settings!$B$10),"WAIT - CREDIT",IF(NOT(I23&gt;=Settings!$B$9),"WAIT - C/W",IF(NOT(AND(J23&lt;=Settings!$B$11,H18&gt;0,I18&gt;0,H19&gt;0,I19&gt;0)),"WAIT - LIQ",IF(NOT(K23&gt;=Settings!$B$19),"WAIT - BUFFER","GO")))))))</f>
        <v>WAIT - DELTA</v>
      </c>
      <c r="P23" s="31">
        <f ca="1">IF(O23="GO",N23,-1000000000)</f>
        <v>-1000000000</v>
      </c>
    </row>
    <row r="25" spans="1:16" ht="21.75" customHeight="1" x14ac:dyDescent="0.2">
      <c r="A25" s="6" t="s">
        <v>176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6" ht="16" x14ac:dyDescent="0.2">
      <c r="A26" s="19" t="s">
        <v>93</v>
      </c>
      <c r="B26" s="19" t="s">
        <v>153</v>
      </c>
      <c r="C26" s="19" t="s">
        <v>154</v>
      </c>
      <c r="D26" s="19" t="s">
        <v>155</v>
      </c>
      <c r="E26" s="19" t="s">
        <v>156</v>
      </c>
      <c r="F26" s="19" t="s">
        <v>136</v>
      </c>
      <c r="G26" s="19" t="s">
        <v>137</v>
      </c>
      <c r="H26" s="19" t="s">
        <v>157</v>
      </c>
      <c r="I26" s="19" t="s">
        <v>158</v>
      </c>
      <c r="J26" s="19" t="s">
        <v>159</v>
      </c>
      <c r="K26" s="19" t="s">
        <v>160</v>
      </c>
      <c r="L26" s="19" t="s">
        <v>161</v>
      </c>
    </row>
    <row r="27" spans="1:16" ht="16" x14ac:dyDescent="0.2">
      <c r="A27" s="23" t="s">
        <v>177</v>
      </c>
      <c r="B27" s="23" t="s">
        <v>163</v>
      </c>
      <c r="C27" s="23" t="s">
        <v>178</v>
      </c>
      <c r="D27" s="30">
        <f ca="1">$D$12</f>
        <v>0</v>
      </c>
      <c r="E27" s="25">
        <f ca="1">$D$9</f>
        <v>46220</v>
      </c>
      <c r="F27" s="23" t="str">
        <f ca="1">"XLY"&amp;" US "&amp;TEXT(E27,"mm/dd/yy")&amp;" "&amp;"C"&amp;IF(D27=INT(D27),INT(D27),D27)&amp;" Equity"</f>
        <v>XLY US 07/17/26 C0 Equity</v>
      </c>
      <c r="G27" s="26">
        <f ca="1">IFERROR(bdp($F27, G$26), 0)</f>
        <v>0</v>
      </c>
      <c r="H27" s="26">
        <f ca="1">IFERROR(bdp($F27, H$26), 0)</f>
        <v>0</v>
      </c>
      <c r="I27" s="26">
        <f ca="1">IFERROR(bdp($F27, I$26), 0)</f>
        <v>0</v>
      </c>
      <c r="J27" s="29">
        <f ca="1">IFERROR(bdp($F27, J$26), 0)</f>
        <v>0</v>
      </c>
      <c r="K27" s="31">
        <f ca="1">IFERROR(bdp($F27, K$26), 0)</f>
        <v>0</v>
      </c>
      <c r="L27" s="26">
        <f ca="1">IFERROR((H27+I27)/2, 0)</f>
        <v>0</v>
      </c>
    </row>
    <row r="28" spans="1:16" ht="16" x14ac:dyDescent="0.2">
      <c r="A28" s="23" t="s">
        <v>177</v>
      </c>
      <c r="B28" s="23" t="s">
        <v>165</v>
      </c>
      <c r="C28" s="23" t="s">
        <v>178</v>
      </c>
      <c r="D28" s="30">
        <f ca="1">$D$12+$D$8</f>
        <v>5</v>
      </c>
      <c r="E28" s="25">
        <f ca="1">$D$9</f>
        <v>46220</v>
      </c>
      <c r="F28" s="23" t="str">
        <f ca="1">"XLY"&amp;" US "&amp;TEXT(E28,"mm/dd/yy")&amp;" "&amp;"C"&amp;IF(D28=INT(D28),INT(D28),D28)&amp;" Equity"</f>
        <v>XLY US 07/17/26 C5 Equity</v>
      </c>
      <c r="G28" s="26">
        <f ca="1">IFERROR(bdp($F28, G$26), 0)</f>
        <v>0</v>
      </c>
      <c r="H28" s="26">
        <f ca="1">IFERROR(bdp($F28, H$26), 0)</f>
        <v>0</v>
      </c>
      <c r="I28" s="26">
        <f ca="1">IFERROR(bdp($F28, I$26), 0)</f>
        <v>0</v>
      </c>
      <c r="J28" s="29">
        <f ca="1">IFERROR(bdp($F28, J$26), 0)</f>
        <v>0</v>
      </c>
      <c r="K28" s="31">
        <f ca="1">IFERROR(bdp($F28, K$26), 0)</f>
        <v>0</v>
      </c>
      <c r="L28" s="26">
        <f ca="1">IFERROR((H28+I28)/2, 0)</f>
        <v>0</v>
      </c>
    </row>
    <row r="29" spans="1:16" ht="16" x14ac:dyDescent="0.2">
      <c r="A29" s="23" t="s">
        <v>177</v>
      </c>
      <c r="B29" s="23" t="s">
        <v>166</v>
      </c>
      <c r="C29" s="23" t="s">
        <v>178</v>
      </c>
      <c r="D29" s="30">
        <f ca="1">$D$12</f>
        <v>0</v>
      </c>
      <c r="E29" s="25">
        <f ca="1">$D$10</f>
        <v>46255</v>
      </c>
      <c r="F29" s="23" t="str">
        <f ca="1">"XLY"&amp;" US "&amp;TEXT(E29,"mm/dd/yy")&amp;" "&amp;"C"&amp;IF(D29=INT(D29),INT(D29),D29)&amp;" Equity"</f>
        <v>XLY US 08/21/26 C0 Equity</v>
      </c>
      <c r="G29" s="26">
        <f ca="1">IFERROR(bdp($F29, G$26), 0)</f>
        <v>0</v>
      </c>
      <c r="H29" s="26">
        <f ca="1">IFERROR(bdp($F29, H$26), 0)</f>
        <v>0</v>
      </c>
      <c r="I29" s="26">
        <f ca="1">IFERROR(bdp($F29, I$26), 0)</f>
        <v>0</v>
      </c>
      <c r="J29" s="29">
        <f ca="1">IFERROR(bdp($F29, J$26), 0)</f>
        <v>0</v>
      </c>
      <c r="K29" s="31">
        <f ca="1">IFERROR(bdp($F29, K$26), 0)</f>
        <v>0</v>
      </c>
      <c r="L29" s="26">
        <f ca="1">IFERROR((H29+I29)/2, 0)</f>
        <v>0</v>
      </c>
    </row>
    <row r="30" spans="1:16" ht="16" x14ac:dyDescent="0.2">
      <c r="A30" s="23" t="s">
        <v>177</v>
      </c>
      <c r="B30" s="23" t="s">
        <v>167</v>
      </c>
      <c r="C30" s="23" t="s">
        <v>178</v>
      </c>
      <c r="D30" s="30">
        <f ca="1">$D$12+$D$8</f>
        <v>5</v>
      </c>
      <c r="E30" s="25">
        <f ca="1">$D$10</f>
        <v>46255</v>
      </c>
      <c r="F30" s="23" t="str">
        <f ca="1">"XLY"&amp;" US "&amp;TEXT(E30,"mm/dd/yy")&amp;" "&amp;"C"&amp;IF(D30=INT(D30),INT(D30),D30)&amp;" Equity"</f>
        <v>XLY US 08/21/26 C5 Equity</v>
      </c>
      <c r="G30" s="26">
        <f ca="1">IFERROR(bdp($F30, G$26), 0)</f>
        <v>0</v>
      </c>
      <c r="H30" s="26">
        <f ca="1">IFERROR(bdp($F30, H$26), 0)</f>
        <v>0</v>
      </c>
      <c r="I30" s="26">
        <f ca="1">IFERROR(bdp($F30, I$26), 0)</f>
        <v>0</v>
      </c>
      <c r="J30" s="29">
        <f ca="1">IFERROR(bdp($F30, J$26), 0)</f>
        <v>0</v>
      </c>
      <c r="K30" s="31">
        <f ca="1">IFERROR(bdp($F30, K$26), 0)</f>
        <v>0</v>
      </c>
      <c r="L30" s="26">
        <f ca="1">IFERROR((H30+I30)/2, 0)</f>
        <v>0</v>
      </c>
    </row>
    <row r="32" spans="1:16" ht="16" x14ac:dyDescent="0.2">
      <c r="A32" s="19" t="s">
        <v>93</v>
      </c>
      <c r="B32" s="19" t="s">
        <v>168</v>
      </c>
      <c r="C32" s="19" t="s">
        <v>79</v>
      </c>
      <c r="D32" s="19" t="s">
        <v>113</v>
      </c>
      <c r="E32" s="19" t="s">
        <v>114</v>
      </c>
      <c r="F32" s="19" t="s">
        <v>169</v>
      </c>
      <c r="G32" s="19" t="s">
        <v>96</v>
      </c>
      <c r="H32" s="19" t="s">
        <v>97</v>
      </c>
      <c r="I32" s="19" t="s">
        <v>170</v>
      </c>
      <c r="J32" s="19" t="s">
        <v>171</v>
      </c>
      <c r="K32" s="19" t="s">
        <v>172</v>
      </c>
      <c r="L32" s="19" t="s">
        <v>115</v>
      </c>
      <c r="M32" s="19" t="s">
        <v>173</v>
      </c>
      <c r="N32" s="19" t="s">
        <v>116</v>
      </c>
      <c r="O32" s="19" t="s">
        <v>99</v>
      </c>
      <c r="P32" s="19" t="s">
        <v>117</v>
      </c>
    </row>
    <row r="33" spans="1:16" ht="32" x14ac:dyDescent="0.2">
      <c r="A33" s="23" t="s">
        <v>177</v>
      </c>
      <c r="B33" s="23" t="s">
        <v>174</v>
      </c>
      <c r="C33" s="22">
        <f ca="1">$D$9-TODAY()</f>
        <v>67</v>
      </c>
      <c r="D33" s="30">
        <f ca="1">$D$12</f>
        <v>0</v>
      </c>
      <c r="E33" s="30">
        <f ca="1">$D$12+$D$8</f>
        <v>5</v>
      </c>
      <c r="F33" s="33">
        <f>$D$8</f>
        <v>5</v>
      </c>
      <c r="G33" s="26">
        <f ca="1">IFERROR(L27-L28,0)</f>
        <v>0</v>
      </c>
      <c r="H33" s="26">
        <f ca="1">IFERROR(F33-G33,0)</f>
        <v>5</v>
      </c>
      <c r="I33" s="29">
        <f ca="1">IFERROR(G33/F33,0)</f>
        <v>0</v>
      </c>
      <c r="J33" s="29">
        <f ca="1">IFERROR((I27-H27)/L27,1)</f>
        <v>1</v>
      </c>
      <c r="K33" s="29">
        <f ca="1">IFERROR((D33-$E$4)/$E$4,0)</f>
        <v>0</v>
      </c>
      <c r="L33" s="29">
        <f ca="1">IFERROR(1-ABS(K27),0)</f>
        <v>1</v>
      </c>
      <c r="M33" s="26">
        <f ca="1">L33*G33-(1-L33)*H33</f>
        <v>0</v>
      </c>
      <c r="N33" s="31">
        <f ca="1">IFERROR(M33/H33,0)</f>
        <v>0</v>
      </c>
      <c r="O33" s="23" t="str">
        <f ca="1">IF(NOT(AND(C33&gt;=Settings!$B$14,C33&lt;=Settings!$B$15)),"WAIT - DTE",IF(NOT(AND(ABS(K27)&gt;=Settings!$B$12,ABS(K27)&lt;=Settings!$B$13)),"WAIT - DELTA",IF(NOT($F$4&gt;=Settings!$B$8),"WAIT - IVR",IF(NOT(G33&gt;=Settings!$B$10),"WAIT - CREDIT",IF(NOT(I33&gt;=Settings!$B$9),"WAIT - C/W",IF(NOT(AND(J33&lt;=Settings!$B$11,H27&gt;0,I27&gt;0,H28&gt;0,I28&gt;0)),"WAIT - LIQ",IF(NOT(K33&gt;=Settings!$B$19),"WAIT - BUFFER","GO")))))))</f>
        <v>WAIT - DELTA</v>
      </c>
      <c r="P33" s="31">
        <f ca="1">IF(O33="GO",N33,-1000000000)</f>
        <v>-1000000000</v>
      </c>
    </row>
    <row r="34" spans="1:16" ht="32" x14ac:dyDescent="0.2">
      <c r="A34" s="23" t="s">
        <v>177</v>
      </c>
      <c r="B34" s="23" t="s">
        <v>175</v>
      </c>
      <c r="C34" s="22">
        <f ca="1">$D$10-TODAY()</f>
        <v>102</v>
      </c>
      <c r="D34" s="30">
        <f ca="1">$D$12</f>
        <v>0</v>
      </c>
      <c r="E34" s="30">
        <f ca="1">$D$12+$D$8</f>
        <v>5</v>
      </c>
      <c r="F34" s="33">
        <f>$D$8</f>
        <v>5</v>
      </c>
      <c r="G34" s="26">
        <f ca="1">IFERROR(L29-L30,0)</f>
        <v>0</v>
      </c>
      <c r="H34" s="26">
        <f ca="1">IFERROR(F34-G34,0)</f>
        <v>5</v>
      </c>
      <c r="I34" s="29">
        <f ca="1">IFERROR(G34/F34,0)</f>
        <v>0</v>
      </c>
      <c r="J34" s="29">
        <f ca="1">IFERROR((I29-H29)/L29,1)</f>
        <v>1</v>
      </c>
      <c r="K34" s="29">
        <f ca="1">IFERROR((D34-$E$4)/$E$4,0)</f>
        <v>0</v>
      </c>
      <c r="L34" s="29">
        <f ca="1">IFERROR(1-ABS(K29),0)</f>
        <v>1</v>
      </c>
      <c r="M34" s="26">
        <f ca="1">L34*G34-(1-L34)*H34</f>
        <v>0</v>
      </c>
      <c r="N34" s="31">
        <f ca="1">IFERROR(M34/H34,0)</f>
        <v>0</v>
      </c>
      <c r="O34" s="23" t="str">
        <f ca="1">IF(NOT(AND(C34&gt;=Settings!$B$14,C34&lt;=Settings!$B$15)),"WAIT - DTE",IF(NOT(AND(ABS(K29)&gt;=Settings!$B$12,ABS(K29)&lt;=Settings!$B$13)),"WAIT - DELTA",IF(NOT($F$4&gt;=Settings!$B$8),"WAIT - IVR",IF(NOT(G34&gt;=Settings!$B$10),"WAIT - CREDIT",IF(NOT(I34&gt;=Settings!$B$9),"WAIT - C/W",IF(NOT(AND(J34&lt;=Settings!$B$11,H29&gt;0,I29&gt;0,H30&gt;0,I30&gt;0)),"WAIT - LIQ",IF(NOT(K34&gt;=Settings!$B$19),"WAIT - BUFFER","GO")))))))</f>
        <v>WAIT - DELTA</v>
      </c>
      <c r="P34" s="31">
        <f ca="1">IF(O34="GO",N34,-1000000000)</f>
        <v>-1000000000</v>
      </c>
    </row>
    <row r="36" spans="1:16" ht="15" customHeight="1" x14ac:dyDescent="0.2">
      <c r="A36" s="6" t="s">
        <v>179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6" ht="32" x14ac:dyDescent="0.2">
      <c r="A37" s="19" t="s">
        <v>180</v>
      </c>
      <c r="B37" s="19" t="s">
        <v>181</v>
      </c>
      <c r="C37" s="19" t="s">
        <v>182</v>
      </c>
      <c r="D37" s="19" t="s">
        <v>79</v>
      </c>
      <c r="E37" s="19" t="s">
        <v>113</v>
      </c>
      <c r="F37" s="19" t="s">
        <v>114</v>
      </c>
      <c r="G37" s="19" t="s">
        <v>96</v>
      </c>
      <c r="H37" s="19" t="s">
        <v>97</v>
      </c>
      <c r="I37" s="19" t="s">
        <v>115</v>
      </c>
      <c r="J37" s="19" t="s">
        <v>116</v>
      </c>
      <c r="K37" s="19" t="s">
        <v>99</v>
      </c>
      <c r="L37" s="19" t="s">
        <v>117</v>
      </c>
    </row>
    <row r="38" spans="1:16" ht="16" x14ac:dyDescent="0.2">
      <c r="A38" s="23" t="str">
        <f ca="1">INDEX($A$22:$P$34, IF(P22=MAX(P22,P23,P33,P34),22,IF(P23=MAX(P22,P23,P33,P34),23,IF(P33=MAX(P22,P23,P33,P34),33,34)))-21, 1)</f>
        <v>BullPut</v>
      </c>
      <c r="B38" s="23" t="str">
        <f ca="1">INDEX($A$22:$P$34, IF(P22=MAX(P22,P23,P33,P34),22,IF(P23=MAX(P22,P23,P33,P34),23,IF(P33=MAX(P22,P23,P33,P34),33,34)))-21, 2)</f>
        <v>Front</v>
      </c>
      <c r="C38" s="25">
        <f ca="1">IF(INDEX($A$22:$P$34, IF(P22=MAX(P22,P23,P33,P34),22,IF(P23=MAX(P22,P23,P33,P34),23,IF(P33=MAX(P22,P23,P33,P34),33,34)))-21, 2)="Front",$D$9,$D$10)</f>
        <v>46220</v>
      </c>
      <c r="D38" s="22">
        <f ca="1">INDEX($A$22:$P$34, IF(P22=MAX(P22,P23,P33,P34),22,IF(P23=MAX(P22,P23,P33,P34),23,IF(P33=MAX(P22,P23,P33,P34),33,34)))-21, 3)</f>
        <v>67</v>
      </c>
      <c r="E38" s="30">
        <f ca="1">INDEX($A$22:$P$34, IF(P22=MAX(P22,P23,P33,P34),22,IF(P23=MAX(P22,P23,P33,P34),23,IF(P33=MAX(P22,P23,P33,P34),33,34)))-21, 4)</f>
        <v>0</v>
      </c>
      <c r="F38" s="30">
        <f ca="1">INDEX($A$22:$P$34, IF(P22=MAX(P22,P23,P33,P34),22,IF(P23=MAX(P22,P23,P33,P34),23,IF(P33=MAX(P22,P23,P33,P34),33,34)))-21, 5)</f>
        <v>-5</v>
      </c>
      <c r="G38" s="26">
        <f ca="1">INDEX($A$22:$P$34, IF(P22=MAX(P22,P23,P33,P34),22,IF(P23=MAX(P22,P23,P33,P34),23,IF(P33=MAX(P22,P23,P33,P34),33,34)))-21, 7)</f>
        <v>0</v>
      </c>
      <c r="H38" s="26">
        <f ca="1">INDEX($A$22:$P$34, IF(P22=MAX(P22,P23,P33,P34),22,IF(P23=MAX(P22,P23,P33,P34),23,IF(P33=MAX(P22,P23,P33,P34),33,34)))-21, 8)</f>
        <v>5</v>
      </c>
      <c r="I38" s="29">
        <f ca="1">INDEX($A$22:$P$34, IF(P22=MAX(P22,P23,P33,P34),22,IF(P23=MAX(P22,P23,P33,P34),23,IF(P33=MAX(P22,P23,P33,P34),33,34)))-21, 12)</f>
        <v>1</v>
      </c>
      <c r="J38" s="31">
        <f ca="1">INDEX($A$22:$P$34, IF(P22=MAX(P22,P23,P33,P34),22,IF(P23=MAX(P22,P23,P33,P34),23,IF(P33=MAX(P22,P23,P33,P34),33,34)))-21, 14)</f>
        <v>0</v>
      </c>
      <c r="K38" s="23" t="str">
        <f ca="1">INDEX($A$22:$P$34, IF(P22=MAX(P22,P23,P33,P34),22,IF(P23=MAX(P22,P23,P33,P34),23,IF(P33=MAX(P22,P23,P33,P34),33,34)))-21, 15)</f>
        <v>WAIT - DELTA</v>
      </c>
      <c r="L38" s="31">
        <f ca="1">MAX(P22,P23,P33,P34)</f>
        <v>-1000000000</v>
      </c>
    </row>
  </sheetData>
  <mergeCells count="5">
    <mergeCell ref="A1:L1"/>
    <mergeCell ref="A6:L6"/>
    <mergeCell ref="A14:L14"/>
    <mergeCell ref="A25:L25"/>
    <mergeCell ref="A36:L36"/>
  </mergeCells>
  <conditionalFormatting sqref="K38">
    <cfRule type="expression" dxfId="29" priority="6">
      <formula>K38="GO"</formula>
    </cfRule>
    <cfRule type="expression" dxfId="28" priority="7">
      <formula>LEFT(K38,4)="WAIT"</formula>
    </cfRule>
  </conditionalFormatting>
  <conditionalFormatting sqref="O22:O23">
    <cfRule type="expression" dxfId="27" priority="2">
      <formula>O22="GO"</formula>
    </cfRule>
    <cfRule type="expression" dxfId="26" priority="3">
      <formula>LEFT(O22,4)="WAIT"</formula>
    </cfRule>
  </conditionalFormatting>
  <conditionalFormatting sqref="O33:O34">
    <cfRule type="expression" dxfId="25" priority="4">
      <formula>O33="GO"</formula>
    </cfRule>
    <cfRule type="expression" dxfId="24" priority="5">
      <formula>LEFT(O33,4)="WAIT"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38"/>
  <sheetViews>
    <sheetView showGridLines="0" zoomScaleNormal="100" workbookViewId="0">
      <pane ySplit="2" topLeftCell="A3" activePane="bottomLeft" state="frozen"/>
      <selection pane="bottomLeft"/>
    </sheetView>
  </sheetViews>
  <sheetFormatPr baseColWidth="10" defaultColWidth="8.6640625" defaultRowHeight="15" x14ac:dyDescent="0.2"/>
  <cols>
    <col min="1" max="2" width="11" customWidth="1"/>
    <col min="3" max="3" width="8" customWidth="1"/>
    <col min="4" max="4" width="10" customWidth="1"/>
    <col min="5" max="5" width="12" customWidth="1"/>
    <col min="6" max="6" width="32" customWidth="1"/>
    <col min="7" max="10" width="10" customWidth="1"/>
    <col min="11" max="11" width="13" customWidth="1"/>
    <col min="12" max="12" width="10" customWidth="1"/>
  </cols>
  <sheetData>
    <row r="1" spans="1:12" ht="25.5" customHeight="1" x14ac:dyDescent="0.2">
      <c r="A1" s="6" t="s">
        <v>205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3" spans="1:12" ht="16" x14ac:dyDescent="0.2">
      <c r="A3" s="19" t="s">
        <v>135</v>
      </c>
      <c r="B3" s="19" t="s">
        <v>136</v>
      </c>
      <c r="C3" s="19" t="s">
        <v>137</v>
      </c>
      <c r="D3" s="19" t="s">
        <v>138</v>
      </c>
      <c r="E3" s="19" t="s">
        <v>139</v>
      </c>
      <c r="F3" s="19" t="s">
        <v>140</v>
      </c>
    </row>
    <row r="4" spans="1:12" ht="32" x14ac:dyDescent="0.2">
      <c r="A4" s="32" t="s">
        <v>130</v>
      </c>
      <c r="B4" s="32" t="s">
        <v>206</v>
      </c>
      <c r="C4" s="23" t="str">
        <f>C$3</f>
        <v>PX_LAST</v>
      </c>
      <c r="D4" s="23" t="str">
        <f>D$3</f>
        <v>IVOL_RANK</v>
      </c>
      <c r="E4" s="30">
        <f ca="1">IFERROR(bdp(B4,C4),0)</f>
        <v>0</v>
      </c>
      <c r="F4" s="22">
        <f ca="1">IFERROR(bdp(B4,D4),0)</f>
        <v>0</v>
      </c>
    </row>
    <row r="6" spans="1:12" ht="15" customHeight="1" x14ac:dyDescent="0.2">
      <c r="A6" s="6" t="s">
        <v>142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2" ht="16" x14ac:dyDescent="0.2">
      <c r="A7" s="19" t="s">
        <v>143</v>
      </c>
      <c r="B7" s="19" t="s">
        <v>144</v>
      </c>
      <c r="C7" s="19" t="s">
        <v>145</v>
      </c>
      <c r="D7" s="19" t="s">
        <v>146</v>
      </c>
    </row>
    <row r="8" spans="1:12" ht="16" x14ac:dyDescent="0.2">
      <c r="A8" s="20" t="s">
        <v>147</v>
      </c>
      <c r="B8" s="33">
        <v>2</v>
      </c>
      <c r="C8" s="34"/>
      <c r="D8" s="33">
        <f>IF(C8="",B8,C8)</f>
        <v>2</v>
      </c>
    </row>
    <row r="9" spans="1:12" ht="32" x14ac:dyDescent="0.2">
      <c r="A9" s="20" t="s">
        <v>148</v>
      </c>
      <c r="B9" s="25">
        <f ca="1">Calendar!$B$11</f>
        <v>46220</v>
      </c>
      <c r="C9" s="35"/>
      <c r="D9" s="25">
        <f ca="1">IF(C9="",B9,C9)</f>
        <v>46220</v>
      </c>
    </row>
    <row r="10" spans="1:12" ht="32" x14ac:dyDescent="0.2">
      <c r="A10" s="20" t="s">
        <v>149</v>
      </c>
      <c r="B10" s="25">
        <f ca="1">Calendar!$B$12</f>
        <v>46255</v>
      </c>
      <c r="C10" s="35"/>
      <c r="D10" s="25">
        <f ca="1">IF(C10="",B10,C10)</f>
        <v>46255</v>
      </c>
    </row>
    <row r="11" spans="1:12" ht="32" x14ac:dyDescent="0.2">
      <c r="A11" s="20" t="s">
        <v>150</v>
      </c>
      <c r="B11" s="30">
        <f ca="1">IF($E$4=0,0,FLOOR($E$4*(1-0.06)/$D$8,1)*$D$8)</f>
        <v>0</v>
      </c>
      <c r="C11" s="36"/>
      <c r="D11" s="30">
        <f ca="1">IF(C11="",B11,C11)</f>
        <v>0</v>
      </c>
    </row>
    <row r="12" spans="1:12" ht="32" x14ac:dyDescent="0.2">
      <c r="A12" s="20" t="s">
        <v>151</v>
      </c>
      <c r="B12" s="30">
        <f ca="1">IF($E$4=0,0,CEILING($E$4*(1+0.06)/$D$8,1)*$D$8)</f>
        <v>0</v>
      </c>
      <c r="C12" s="36"/>
      <c r="D12" s="30">
        <f ca="1">IF(C12="",B12,C12)</f>
        <v>0</v>
      </c>
    </row>
    <row r="14" spans="1:12" ht="21.75" customHeight="1" x14ac:dyDescent="0.2">
      <c r="A14" s="6" t="s">
        <v>152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12" ht="16" x14ac:dyDescent="0.2">
      <c r="A15" s="19" t="s">
        <v>93</v>
      </c>
      <c r="B15" s="19" t="s">
        <v>153</v>
      </c>
      <c r="C15" s="19" t="s">
        <v>154</v>
      </c>
      <c r="D15" s="19" t="s">
        <v>155</v>
      </c>
      <c r="E15" s="19" t="s">
        <v>156</v>
      </c>
      <c r="F15" s="19" t="s">
        <v>136</v>
      </c>
      <c r="G15" s="19" t="s">
        <v>137</v>
      </c>
      <c r="H15" s="19" t="s">
        <v>157</v>
      </c>
      <c r="I15" s="19" t="s">
        <v>158</v>
      </c>
      <c r="J15" s="19" t="s">
        <v>159</v>
      </c>
      <c r="K15" s="19" t="s">
        <v>160</v>
      </c>
      <c r="L15" s="19" t="s">
        <v>161</v>
      </c>
    </row>
    <row r="16" spans="1:12" ht="16" x14ac:dyDescent="0.2">
      <c r="A16" s="23" t="s">
        <v>162</v>
      </c>
      <c r="B16" s="23" t="s">
        <v>163</v>
      </c>
      <c r="C16" s="23" t="s">
        <v>164</v>
      </c>
      <c r="D16" s="30">
        <f ca="1">$D$11</f>
        <v>0</v>
      </c>
      <c r="E16" s="25">
        <f ca="1">$D$9</f>
        <v>46220</v>
      </c>
      <c r="F16" s="23" t="str">
        <f ca="1">"XOP"&amp;" US "&amp;TEXT(E16,"mm/dd/yy")&amp;" "&amp;"P"&amp;IF(D16=INT(D16),INT(D16),D16)&amp;" Equity"</f>
        <v>XOP US 07/17/26 P0 Equity</v>
      </c>
      <c r="G16" s="26">
        <f ca="1">IFERROR(bdp($F16, G$15), 0)</f>
        <v>0</v>
      </c>
      <c r="H16" s="26">
        <f ca="1">IFERROR(bdp($F16, H$15), 0)</f>
        <v>0</v>
      </c>
      <c r="I16" s="26">
        <f ca="1">IFERROR(bdp($F16, I$15), 0)</f>
        <v>0</v>
      </c>
      <c r="J16" s="29">
        <f ca="1">IFERROR(bdp($F16, J$15), 0)</f>
        <v>0</v>
      </c>
      <c r="K16" s="31">
        <f ca="1">IFERROR(bdp($F16, K$15), 0)</f>
        <v>0</v>
      </c>
      <c r="L16" s="26">
        <f ca="1">IFERROR((H16+I16)/2, 0)</f>
        <v>0</v>
      </c>
    </row>
    <row r="17" spans="1:16" ht="16" x14ac:dyDescent="0.2">
      <c r="A17" s="23" t="s">
        <v>162</v>
      </c>
      <c r="B17" s="23" t="s">
        <v>165</v>
      </c>
      <c r="C17" s="23" t="s">
        <v>164</v>
      </c>
      <c r="D17" s="30">
        <f ca="1">$D$11-$D$8</f>
        <v>-2</v>
      </c>
      <c r="E17" s="25">
        <f ca="1">$D$9</f>
        <v>46220</v>
      </c>
      <c r="F17" s="23" t="str">
        <f ca="1">"XOP"&amp;" US "&amp;TEXT(E17,"mm/dd/yy")&amp;" "&amp;"P"&amp;IF(D17=INT(D17),INT(D17),D17)&amp;" Equity"</f>
        <v>XOP US 07/17/26 P-2 Equity</v>
      </c>
      <c r="G17" s="26">
        <f ca="1">IFERROR(bdp($F17, G$15), 0)</f>
        <v>0</v>
      </c>
      <c r="H17" s="26">
        <f ca="1">IFERROR(bdp($F17, H$15), 0)</f>
        <v>0</v>
      </c>
      <c r="I17" s="26">
        <f ca="1">IFERROR(bdp($F17, I$15), 0)</f>
        <v>0</v>
      </c>
      <c r="J17" s="29">
        <f ca="1">IFERROR(bdp($F17, J$15), 0)</f>
        <v>0</v>
      </c>
      <c r="K17" s="31">
        <f ca="1">IFERROR(bdp($F17, K$15), 0)</f>
        <v>0</v>
      </c>
      <c r="L17" s="26">
        <f ca="1">IFERROR((H17+I17)/2, 0)</f>
        <v>0</v>
      </c>
    </row>
    <row r="18" spans="1:16" ht="16" x14ac:dyDescent="0.2">
      <c r="A18" s="23" t="s">
        <v>162</v>
      </c>
      <c r="B18" s="23" t="s">
        <v>166</v>
      </c>
      <c r="C18" s="23" t="s">
        <v>164</v>
      </c>
      <c r="D18" s="30">
        <f ca="1">$D$11</f>
        <v>0</v>
      </c>
      <c r="E18" s="25">
        <f ca="1">$D$10</f>
        <v>46255</v>
      </c>
      <c r="F18" s="23" t="str">
        <f ca="1">"XOP"&amp;" US "&amp;TEXT(E18,"mm/dd/yy")&amp;" "&amp;"P"&amp;IF(D18=INT(D18),INT(D18),D18)&amp;" Equity"</f>
        <v>XOP US 08/21/26 P0 Equity</v>
      </c>
      <c r="G18" s="26">
        <f ca="1">IFERROR(bdp($F18, G$15), 0)</f>
        <v>0</v>
      </c>
      <c r="H18" s="26">
        <f ca="1">IFERROR(bdp($F18, H$15), 0)</f>
        <v>0</v>
      </c>
      <c r="I18" s="26">
        <f ca="1">IFERROR(bdp($F18, I$15), 0)</f>
        <v>0</v>
      </c>
      <c r="J18" s="29">
        <f ca="1">IFERROR(bdp($F18, J$15), 0)</f>
        <v>0</v>
      </c>
      <c r="K18" s="31">
        <f ca="1">IFERROR(bdp($F18, K$15), 0)</f>
        <v>0</v>
      </c>
      <c r="L18" s="26">
        <f ca="1">IFERROR((H18+I18)/2, 0)</f>
        <v>0</v>
      </c>
    </row>
    <row r="19" spans="1:16" ht="16" x14ac:dyDescent="0.2">
      <c r="A19" s="23" t="s">
        <v>162</v>
      </c>
      <c r="B19" s="23" t="s">
        <v>167</v>
      </c>
      <c r="C19" s="23" t="s">
        <v>164</v>
      </c>
      <c r="D19" s="30">
        <f ca="1">$D$11-$D$8</f>
        <v>-2</v>
      </c>
      <c r="E19" s="25">
        <f ca="1">$D$10</f>
        <v>46255</v>
      </c>
      <c r="F19" s="23" t="str">
        <f ca="1">"XOP"&amp;" US "&amp;TEXT(E19,"mm/dd/yy")&amp;" "&amp;"P"&amp;IF(D19=INT(D19),INT(D19),D19)&amp;" Equity"</f>
        <v>XOP US 08/21/26 P-2 Equity</v>
      </c>
      <c r="G19" s="26">
        <f ca="1">IFERROR(bdp($F19, G$15), 0)</f>
        <v>0</v>
      </c>
      <c r="H19" s="26">
        <f ca="1">IFERROR(bdp($F19, H$15), 0)</f>
        <v>0</v>
      </c>
      <c r="I19" s="26">
        <f ca="1">IFERROR(bdp($F19, I$15), 0)</f>
        <v>0</v>
      </c>
      <c r="J19" s="29">
        <f ca="1">IFERROR(bdp($F19, J$15), 0)</f>
        <v>0</v>
      </c>
      <c r="K19" s="31">
        <f ca="1">IFERROR(bdp($F19, K$15), 0)</f>
        <v>0</v>
      </c>
      <c r="L19" s="26">
        <f ca="1">IFERROR((H19+I19)/2, 0)</f>
        <v>0</v>
      </c>
    </row>
    <row r="21" spans="1:16" ht="16" x14ac:dyDescent="0.2">
      <c r="A21" s="19" t="s">
        <v>93</v>
      </c>
      <c r="B21" s="19" t="s">
        <v>168</v>
      </c>
      <c r="C21" s="19" t="s">
        <v>79</v>
      </c>
      <c r="D21" s="19" t="s">
        <v>113</v>
      </c>
      <c r="E21" s="19" t="s">
        <v>114</v>
      </c>
      <c r="F21" s="19" t="s">
        <v>169</v>
      </c>
      <c r="G21" s="19" t="s">
        <v>96</v>
      </c>
      <c r="H21" s="19" t="s">
        <v>97</v>
      </c>
      <c r="I21" s="19" t="s">
        <v>170</v>
      </c>
      <c r="J21" s="19" t="s">
        <v>171</v>
      </c>
      <c r="K21" s="19" t="s">
        <v>172</v>
      </c>
      <c r="L21" s="19" t="s">
        <v>115</v>
      </c>
      <c r="M21" s="19" t="s">
        <v>173</v>
      </c>
      <c r="N21" s="19" t="s">
        <v>116</v>
      </c>
      <c r="O21" s="19" t="s">
        <v>99</v>
      </c>
      <c r="P21" s="19" t="s">
        <v>117</v>
      </c>
    </row>
    <row r="22" spans="1:16" ht="32" x14ac:dyDescent="0.2">
      <c r="A22" s="23" t="s">
        <v>162</v>
      </c>
      <c r="B22" s="23" t="s">
        <v>174</v>
      </c>
      <c r="C22" s="22">
        <f ca="1">$D$9-TODAY()</f>
        <v>67</v>
      </c>
      <c r="D22" s="30">
        <f ca="1">$D$11</f>
        <v>0</v>
      </c>
      <c r="E22" s="30">
        <f ca="1">$D$11-$D$8</f>
        <v>-2</v>
      </c>
      <c r="F22" s="33">
        <f>$D$8</f>
        <v>2</v>
      </c>
      <c r="G22" s="26">
        <f ca="1">IFERROR(L16-L17,0)</f>
        <v>0</v>
      </c>
      <c r="H22" s="26">
        <f ca="1">IFERROR(F22-G22,0)</f>
        <v>2</v>
      </c>
      <c r="I22" s="29">
        <f ca="1">IFERROR(G22/F22,0)</f>
        <v>0</v>
      </c>
      <c r="J22" s="29">
        <f ca="1">IFERROR((I16-H16)/L16,1)</f>
        <v>1</v>
      </c>
      <c r="K22" s="29">
        <f ca="1">IFERROR(($E$4-D22)/$E$4,0)</f>
        <v>0</v>
      </c>
      <c r="L22" s="29">
        <f ca="1">IFERROR(1-ABS(K16),0)</f>
        <v>1</v>
      </c>
      <c r="M22" s="26">
        <f ca="1">L22*G22-(1-L22)*H22</f>
        <v>0</v>
      </c>
      <c r="N22" s="31">
        <f ca="1">IFERROR(M22/H22,0)</f>
        <v>0</v>
      </c>
      <c r="O22" s="23" t="str">
        <f ca="1">IF(NOT(AND(C22&gt;=Settings!$B$14,C22&lt;=Settings!$B$15)),"WAIT - DTE",IF(NOT(AND(ABS(K16)&gt;=Settings!$B$12,ABS(K16)&lt;=Settings!$B$13)),"WAIT - DELTA",IF(NOT($F$4&gt;=Settings!$B$8),"WAIT - IVR",IF(NOT(G22&gt;=Settings!$B$10),"WAIT - CREDIT",IF(NOT(I22&gt;=Settings!$B$9),"WAIT - C/W",IF(NOT(AND(J22&lt;=Settings!$B$11,H16&gt;0,I16&gt;0,H17&gt;0,I17&gt;0)),"WAIT - LIQ",IF(NOT(K22&gt;=Settings!$B$19),"WAIT - BUFFER","GO")))))))</f>
        <v>WAIT - DELTA</v>
      </c>
      <c r="P22" s="31">
        <f ca="1">IF(O22="GO",N22,-1000000000)</f>
        <v>-1000000000</v>
      </c>
    </row>
    <row r="23" spans="1:16" ht="32" x14ac:dyDescent="0.2">
      <c r="A23" s="23" t="s">
        <v>162</v>
      </c>
      <c r="B23" s="23" t="s">
        <v>175</v>
      </c>
      <c r="C23" s="22">
        <f ca="1">$D$10-TODAY()</f>
        <v>102</v>
      </c>
      <c r="D23" s="30">
        <f ca="1">$D$11</f>
        <v>0</v>
      </c>
      <c r="E23" s="30">
        <f ca="1">$D$11-$D$8</f>
        <v>-2</v>
      </c>
      <c r="F23" s="33">
        <f>$D$8</f>
        <v>2</v>
      </c>
      <c r="G23" s="26">
        <f ca="1">IFERROR(L18-L19,0)</f>
        <v>0</v>
      </c>
      <c r="H23" s="26">
        <f ca="1">IFERROR(F23-G23,0)</f>
        <v>2</v>
      </c>
      <c r="I23" s="29">
        <f ca="1">IFERROR(G23/F23,0)</f>
        <v>0</v>
      </c>
      <c r="J23" s="29">
        <f ca="1">IFERROR((I18-H18)/L18,1)</f>
        <v>1</v>
      </c>
      <c r="K23" s="29">
        <f ca="1">IFERROR(($E$4-D23)/$E$4,0)</f>
        <v>0</v>
      </c>
      <c r="L23" s="29">
        <f ca="1">IFERROR(1-ABS(K18),0)</f>
        <v>1</v>
      </c>
      <c r="M23" s="26">
        <f ca="1">L23*G23-(1-L23)*H23</f>
        <v>0</v>
      </c>
      <c r="N23" s="31">
        <f ca="1">IFERROR(M23/H23,0)</f>
        <v>0</v>
      </c>
      <c r="O23" s="23" t="str">
        <f ca="1">IF(NOT(AND(C23&gt;=Settings!$B$14,C23&lt;=Settings!$B$15)),"WAIT - DTE",IF(NOT(AND(ABS(K18)&gt;=Settings!$B$12,ABS(K18)&lt;=Settings!$B$13)),"WAIT - DELTA",IF(NOT($F$4&gt;=Settings!$B$8),"WAIT - IVR",IF(NOT(G23&gt;=Settings!$B$10),"WAIT - CREDIT",IF(NOT(I23&gt;=Settings!$B$9),"WAIT - C/W",IF(NOT(AND(J23&lt;=Settings!$B$11,H18&gt;0,I18&gt;0,H19&gt;0,I19&gt;0)),"WAIT - LIQ",IF(NOT(K23&gt;=Settings!$B$19),"WAIT - BUFFER","GO")))))))</f>
        <v>WAIT - DELTA</v>
      </c>
      <c r="P23" s="31">
        <f ca="1">IF(O23="GO",N23,-1000000000)</f>
        <v>-1000000000</v>
      </c>
    </row>
    <row r="25" spans="1:16" ht="21.75" customHeight="1" x14ac:dyDescent="0.2">
      <c r="A25" s="6" t="s">
        <v>176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6" ht="16" x14ac:dyDescent="0.2">
      <c r="A26" s="19" t="s">
        <v>93</v>
      </c>
      <c r="B26" s="19" t="s">
        <v>153</v>
      </c>
      <c r="C26" s="19" t="s">
        <v>154</v>
      </c>
      <c r="D26" s="19" t="s">
        <v>155</v>
      </c>
      <c r="E26" s="19" t="s">
        <v>156</v>
      </c>
      <c r="F26" s="19" t="s">
        <v>136</v>
      </c>
      <c r="G26" s="19" t="s">
        <v>137</v>
      </c>
      <c r="H26" s="19" t="s">
        <v>157</v>
      </c>
      <c r="I26" s="19" t="s">
        <v>158</v>
      </c>
      <c r="J26" s="19" t="s">
        <v>159</v>
      </c>
      <c r="K26" s="19" t="s">
        <v>160</v>
      </c>
      <c r="L26" s="19" t="s">
        <v>161</v>
      </c>
    </row>
    <row r="27" spans="1:16" ht="16" x14ac:dyDescent="0.2">
      <c r="A27" s="23" t="s">
        <v>177</v>
      </c>
      <c r="B27" s="23" t="s">
        <v>163</v>
      </c>
      <c r="C27" s="23" t="s">
        <v>178</v>
      </c>
      <c r="D27" s="30">
        <f ca="1">$D$12</f>
        <v>0</v>
      </c>
      <c r="E27" s="25">
        <f ca="1">$D$9</f>
        <v>46220</v>
      </c>
      <c r="F27" s="23" t="str">
        <f ca="1">"XOP"&amp;" US "&amp;TEXT(E27,"mm/dd/yy")&amp;" "&amp;"C"&amp;IF(D27=INT(D27),INT(D27),D27)&amp;" Equity"</f>
        <v>XOP US 07/17/26 C0 Equity</v>
      </c>
      <c r="G27" s="26">
        <f ca="1">IFERROR(bdp($F27, G$26), 0)</f>
        <v>0</v>
      </c>
      <c r="H27" s="26">
        <f ca="1">IFERROR(bdp($F27, H$26), 0)</f>
        <v>0</v>
      </c>
      <c r="I27" s="26">
        <f ca="1">IFERROR(bdp($F27, I$26), 0)</f>
        <v>0</v>
      </c>
      <c r="J27" s="29">
        <f ca="1">IFERROR(bdp($F27, J$26), 0)</f>
        <v>0</v>
      </c>
      <c r="K27" s="31">
        <f ca="1">IFERROR(bdp($F27, K$26), 0)</f>
        <v>0</v>
      </c>
      <c r="L27" s="26">
        <f ca="1">IFERROR((H27+I27)/2, 0)</f>
        <v>0</v>
      </c>
    </row>
    <row r="28" spans="1:16" ht="16" x14ac:dyDescent="0.2">
      <c r="A28" s="23" t="s">
        <v>177</v>
      </c>
      <c r="B28" s="23" t="s">
        <v>165</v>
      </c>
      <c r="C28" s="23" t="s">
        <v>178</v>
      </c>
      <c r="D28" s="30">
        <f ca="1">$D$12+$D$8</f>
        <v>2</v>
      </c>
      <c r="E28" s="25">
        <f ca="1">$D$9</f>
        <v>46220</v>
      </c>
      <c r="F28" s="23" t="str">
        <f ca="1">"XOP"&amp;" US "&amp;TEXT(E28,"mm/dd/yy")&amp;" "&amp;"C"&amp;IF(D28=INT(D28),INT(D28),D28)&amp;" Equity"</f>
        <v>XOP US 07/17/26 C2 Equity</v>
      </c>
      <c r="G28" s="26">
        <f ca="1">IFERROR(bdp($F28, G$26), 0)</f>
        <v>0</v>
      </c>
      <c r="H28" s="26">
        <f ca="1">IFERROR(bdp($F28, H$26), 0)</f>
        <v>0</v>
      </c>
      <c r="I28" s="26">
        <f ca="1">IFERROR(bdp($F28, I$26), 0)</f>
        <v>0</v>
      </c>
      <c r="J28" s="29">
        <f ca="1">IFERROR(bdp($F28, J$26), 0)</f>
        <v>0</v>
      </c>
      <c r="K28" s="31">
        <f ca="1">IFERROR(bdp($F28, K$26), 0)</f>
        <v>0</v>
      </c>
      <c r="L28" s="26">
        <f ca="1">IFERROR((H28+I28)/2, 0)</f>
        <v>0</v>
      </c>
    </row>
    <row r="29" spans="1:16" ht="16" x14ac:dyDescent="0.2">
      <c r="A29" s="23" t="s">
        <v>177</v>
      </c>
      <c r="B29" s="23" t="s">
        <v>166</v>
      </c>
      <c r="C29" s="23" t="s">
        <v>178</v>
      </c>
      <c r="D29" s="30">
        <f ca="1">$D$12</f>
        <v>0</v>
      </c>
      <c r="E29" s="25">
        <f ca="1">$D$10</f>
        <v>46255</v>
      </c>
      <c r="F29" s="23" t="str">
        <f ca="1">"XOP"&amp;" US "&amp;TEXT(E29,"mm/dd/yy")&amp;" "&amp;"C"&amp;IF(D29=INT(D29),INT(D29),D29)&amp;" Equity"</f>
        <v>XOP US 08/21/26 C0 Equity</v>
      </c>
      <c r="G29" s="26">
        <f ca="1">IFERROR(bdp($F29, G$26), 0)</f>
        <v>0</v>
      </c>
      <c r="H29" s="26">
        <f ca="1">IFERROR(bdp($F29, H$26), 0)</f>
        <v>0</v>
      </c>
      <c r="I29" s="26">
        <f ca="1">IFERROR(bdp($F29, I$26), 0)</f>
        <v>0</v>
      </c>
      <c r="J29" s="29">
        <f ca="1">IFERROR(bdp($F29, J$26), 0)</f>
        <v>0</v>
      </c>
      <c r="K29" s="31">
        <f ca="1">IFERROR(bdp($F29, K$26), 0)</f>
        <v>0</v>
      </c>
      <c r="L29" s="26">
        <f ca="1">IFERROR((H29+I29)/2, 0)</f>
        <v>0</v>
      </c>
    </row>
    <row r="30" spans="1:16" ht="16" x14ac:dyDescent="0.2">
      <c r="A30" s="23" t="s">
        <v>177</v>
      </c>
      <c r="B30" s="23" t="s">
        <v>167</v>
      </c>
      <c r="C30" s="23" t="s">
        <v>178</v>
      </c>
      <c r="D30" s="30">
        <f ca="1">$D$12+$D$8</f>
        <v>2</v>
      </c>
      <c r="E30" s="25">
        <f ca="1">$D$10</f>
        <v>46255</v>
      </c>
      <c r="F30" s="23" t="str">
        <f ca="1">"XOP"&amp;" US "&amp;TEXT(E30,"mm/dd/yy")&amp;" "&amp;"C"&amp;IF(D30=INT(D30),INT(D30),D30)&amp;" Equity"</f>
        <v>XOP US 08/21/26 C2 Equity</v>
      </c>
      <c r="G30" s="26">
        <f ca="1">IFERROR(bdp($F30, G$26), 0)</f>
        <v>0</v>
      </c>
      <c r="H30" s="26">
        <f ca="1">IFERROR(bdp($F30, H$26), 0)</f>
        <v>0</v>
      </c>
      <c r="I30" s="26">
        <f ca="1">IFERROR(bdp($F30, I$26), 0)</f>
        <v>0</v>
      </c>
      <c r="J30" s="29">
        <f ca="1">IFERROR(bdp($F30, J$26), 0)</f>
        <v>0</v>
      </c>
      <c r="K30" s="31">
        <f ca="1">IFERROR(bdp($F30, K$26), 0)</f>
        <v>0</v>
      </c>
      <c r="L30" s="26">
        <f ca="1">IFERROR((H30+I30)/2, 0)</f>
        <v>0</v>
      </c>
    </row>
    <row r="32" spans="1:16" ht="16" x14ac:dyDescent="0.2">
      <c r="A32" s="19" t="s">
        <v>93</v>
      </c>
      <c r="B32" s="19" t="s">
        <v>168</v>
      </c>
      <c r="C32" s="19" t="s">
        <v>79</v>
      </c>
      <c r="D32" s="19" t="s">
        <v>113</v>
      </c>
      <c r="E32" s="19" t="s">
        <v>114</v>
      </c>
      <c r="F32" s="19" t="s">
        <v>169</v>
      </c>
      <c r="G32" s="19" t="s">
        <v>96</v>
      </c>
      <c r="H32" s="19" t="s">
        <v>97</v>
      </c>
      <c r="I32" s="19" t="s">
        <v>170</v>
      </c>
      <c r="J32" s="19" t="s">
        <v>171</v>
      </c>
      <c r="K32" s="19" t="s">
        <v>172</v>
      </c>
      <c r="L32" s="19" t="s">
        <v>115</v>
      </c>
      <c r="M32" s="19" t="s">
        <v>173</v>
      </c>
      <c r="N32" s="19" t="s">
        <v>116</v>
      </c>
      <c r="O32" s="19" t="s">
        <v>99</v>
      </c>
      <c r="P32" s="19" t="s">
        <v>117</v>
      </c>
    </row>
    <row r="33" spans="1:16" ht="32" x14ac:dyDescent="0.2">
      <c r="A33" s="23" t="s">
        <v>177</v>
      </c>
      <c r="B33" s="23" t="s">
        <v>174</v>
      </c>
      <c r="C33" s="22">
        <f ca="1">$D$9-TODAY()</f>
        <v>67</v>
      </c>
      <c r="D33" s="30">
        <f ca="1">$D$12</f>
        <v>0</v>
      </c>
      <c r="E33" s="30">
        <f ca="1">$D$12+$D$8</f>
        <v>2</v>
      </c>
      <c r="F33" s="33">
        <f>$D$8</f>
        <v>2</v>
      </c>
      <c r="G33" s="26">
        <f ca="1">IFERROR(L27-L28,0)</f>
        <v>0</v>
      </c>
      <c r="H33" s="26">
        <f ca="1">IFERROR(F33-G33,0)</f>
        <v>2</v>
      </c>
      <c r="I33" s="29">
        <f ca="1">IFERROR(G33/F33,0)</f>
        <v>0</v>
      </c>
      <c r="J33" s="29">
        <f ca="1">IFERROR((I27-H27)/L27,1)</f>
        <v>1</v>
      </c>
      <c r="K33" s="29">
        <f ca="1">IFERROR((D33-$E$4)/$E$4,0)</f>
        <v>0</v>
      </c>
      <c r="L33" s="29">
        <f ca="1">IFERROR(1-ABS(K27),0)</f>
        <v>1</v>
      </c>
      <c r="M33" s="26">
        <f ca="1">L33*G33-(1-L33)*H33</f>
        <v>0</v>
      </c>
      <c r="N33" s="31">
        <f ca="1">IFERROR(M33/H33,0)</f>
        <v>0</v>
      </c>
      <c r="O33" s="23" t="str">
        <f ca="1">IF(NOT(AND(C33&gt;=Settings!$B$14,C33&lt;=Settings!$B$15)),"WAIT - DTE",IF(NOT(AND(ABS(K27)&gt;=Settings!$B$12,ABS(K27)&lt;=Settings!$B$13)),"WAIT - DELTA",IF(NOT($F$4&gt;=Settings!$B$8),"WAIT - IVR",IF(NOT(G33&gt;=Settings!$B$10),"WAIT - CREDIT",IF(NOT(I33&gt;=Settings!$B$9),"WAIT - C/W",IF(NOT(AND(J33&lt;=Settings!$B$11,H27&gt;0,I27&gt;0,H28&gt;0,I28&gt;0)),"WAIT - LIQ",IF(NOT(K33&gt;=Settings!$B$19),"WAIT - BUFFER","GO")))))))</f>
        <v>WAIT - DELTA</v>
      </c>
      <c r="P33" s="31">
        <f ca="1">IF(O33="GO",N33,-1000000000)</f>
        <v>-1000000000</v>
      </c>
    </row>
    <row r="34" spans="1:16" ht="32" x14ac:dyDescent="0.2">
      <c r="A34" s="23" t="s">
        <v>177</v>
      </c>
      <c r="B34" s="23" t="s">
        <v>175</v>
      </c>
      <c r="C34" s="22">
        <f ca="1">$D$10-TODAY()</f>
        <v>102</v>
      </c>
      <c r="D34" s="30">
        <f ca="1">$D$12</f>
        <v>0</v>
      </c>
      <c r="E34" s="30">
        <f ca="1">$D$12+$D$8</f>
        <v>2</v>
      </c>
      <c r="F34" s="33">
        <f>$D$8</f>
        <v>2</v>
      </c>
      <c r="G34" s="26">
        <f ca="1">IFERROR(L29-L30,0)</f>
        <v>0</v>
      </c>
      <c r="H34" s="26">
        <f ca="1">IFERROR(F34-G34,0)</f>
        <v>2</v>
      </c>
      <c r="I34" s="29">
        <f ca="1">IFERROR(G34/F34,0)</f>
        <v>0</v>
      </c>
      <c r="J34" s="29">
        <f ca="1">IFERROR((I29-H29)/L29,1)</f>
        <v>1</v>
      </c>
      <c r="K34" s="29">
        <f ca="1">IFERROR((D34-$E$4)/$E$4,0)</f>
        <v>0</v>
      </c>
      <c r="L34" s="29">
        <f ca="1">IFERROR(1-ABS(K29),0)</f>
        <v>1</v>
      </c>
      <c r="M34" s="26">
        <f ca="1">L34*G34-(1-L34)*H34</f>
        <v>0</v>
      </c>
      <c r="N34" s="31">
        <f ca="1">IFERROR(M34/H34,0)</f>
        <v>0</v>
      </c>
      <c r="O34" s="23" t="str">
        <f ca="1">IF(NOT(AND(C34&gt;=Settings!$B$14,C34&lt;=Settings!$B$15)),"WAIT - DTE",IF(NOT(AND(ABS(K29)&gt;=Settings!$B$12,ABS(K29)&lt;=Settings!$B$13)),"WAIT - DELTA",IF(NOT($F$4&gt;=Settings!$B$8),"WAIT - IVR",IF(NOT(G34&gt;=Settings!$B$10),"WAIT - CREDIT",IF(NOT(I34&gt;=Settings!$B$9),"WAIT - C/W",IF(NOT(AND(J34&lt;=Settings!$B$11,H29&gt;0,I29&gt;0,H30&gt;0,I30&gt;0)),"WAIT - LIQ",IF(NOT(K34&gt;=Settings!$B$19),"WAIT - BUFFER","GO")))))))</f>
        <v>WAIT - DELTA</v>
      </c>
      <c r="P34" s="31">
        <f ca="1">IF(O34="GO",N34,-1000000000)</f>
        <v>-1000000000</v>
      </c>
    </row>
    <row r="36" spans="1:16" ht="15" customHeight="1" x14ac:dyDescent="0.2">
      <c r="A36" s="6" t="s">
        <v>179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6" ht="32" x14ac:dyDescent="0.2">
      <c r="A37" s="19" t="s">
        <v>180</v>
      </c>
      <c r="B37" s="19" t="s">
        <v>181</v>
      </c>
      <c r="C37" s="19" t="s">
        <v>182</v>
      </c>
      <c r="D37" s="19" t="s">
        <v>79</v>
      </c>
      <c r="E37" s="19" t="s">
        <v>113</v>
      </c>
      <c r="F37" s="19" t="s">
        <v>114</v>
      </c>
      <c r="G37" s="19" t="s">
        <v>96</v>
      </c>
      <c r="H37" s="19" t="s">
        <v>97</v>
      </c>
      <c r="I37" s="19" t="s">
        <v>115</v>
      </c>
      <c r="J37" s="19" t="s">
        <v>116</v>
      </c>
      <c r="K37" s="19" t="s">
        <v>99</v>
      </c>
      <c r="L37" s="19" t="s">
        <v>117</v>
      </c>
    </row>
    <row r="38" spans="1:16" ht="16" x14ac:dyDescent="0.2">
      <c r="A38" s="23" t="str">
        <f ca="1">INDEX($A$22:$P$34, IF(P22=MAX(P22,P23,P33,P34),22,IF(P23=MAX(P22,P23,P33,P34),23,IF(P33=MAX(P22,P23,P33,P34),33,34)))-21, 1)</f>
        <v>BullPut</v>
      </c>
      <c r="B38" s="23" t="str">
        <f ca="1">INDEX($A$22:$P$34, IF(P22=MAX(P22,P23,P33,P34),22,IF(P23=MAX(P22,P23,P33,P34),23,IF(P33=MAX(P22,P23,P33,P34),33,34)))-21, 2)</f>
        <v>Front</v>
      </c>
      <c r="C38" s="25">
        <f ca="1">IF(INDEX($A$22:$P$34, IF(P22=MAX(P22,P23,P33,P34),22,IF(P23=MAX(P22,P23,P33,P34),23,IF(P33=MAX(P22,P23,P33,P34),33,34)))-21, 2)="Front",$D$9,$D$10)</f>
        <v>46220</v>
      </c>
      <c r="D38" s="22">
        <f ca="1">INDEX($A$22:$P$34, IF(P22=MAX(P22,P23,P33,P34),22,IF(P23=MAX(P22,P23,P33,P34),23,IF(P33=MAX(P22,P23,P33,P34),33,34)))-21, 3)</f>
        <v>67</v>
      </c>
      <c r="E38" s="30">
        <f ca="1">INDEX($A$22:$P$34, IF(P22=MAX(P22,P23,P33,P34),22,IF(P23=MAX(P22,P23,P33,P34),23,IF(P33=MAX(P22,P23,P33,P34),33,34)))-21, 4)</f>
        <v>0</v>
      </c>
      <c r="F38" s="30">
        <f ca="1">INDEX($A$22:$P$34, IF(P22=MAX(P22,P23,P33,P34),22,IF(P23=MAX(P22,P23,P33,P34),23,IF(P33=MAX(P22,P23,P33,P34),33,34)))-21, 5)</f>
        <v>-2</v>
      </c>
      <c r="G38" s="26">
        <f ca="1">INDEX($A$22:$P$34, IF(P22=MAX(P22,P23,P33,P34),22,IF(P23=MAX(P22,P23,P33,P34),23,IF(P33=MAX(P22,P23,P33,P34),33,34)))-21, 7)</f>
        <v>0</v>
      </c>
      <c r="H38" s="26">
        <f ca="1">INDEX($A$22:$P$34, IF(P22=MAX(P22,P23,P33,P34),22,IF(P23=MAX(P22,P23,P33,P34),23,IF(P33=MAX(P22,P23,P33,P34),33,34)))-21, 8)</f>
        <v>2</v>
      </c>
      <c r="I38" s="29">
        <f ca="1">INDEX($A$22:$P$34, IF(P22=MAX(P22,P23,P33,P34),22,IF(P23=MAX(P22,P23,P33,P34),23,IF(P33=MAX(P22,P23,P33,P34),33,34)))-21, 12)</f>
        <v>1</v>
      </c>
      <c r="J38" s="31">
        <f ca="1">INDEX($A$22:$P$34, IF(P22=MAX(P22,P23,P33,P34),22,IF(P23=MAX(P22,P23,P33,P34),23,IF(P33=MAX(P22,P23,P33,P34),33,34)))-21, 14)</f>
        <v>0</v>
      </c>
      <c r="K38" s="23" t="str">
        <f ca="1">INDEX($A$22:$P$34, IF(P22=MAX(P22,P23,P33,P34),22,IF(P23=MAX(P22,P23,P33,P34),23,IF(P33=MAX(P22,P23,P33,P34),33,34)))-21, 15)</f>
        <v>WAIT - DELTA</v>
      </c>
      <c r="L38" s="31">
        <f ca="1">MAX(P22,P23,P33,P34)</f>
        <v>-1000000000</v>
      </c>
    </row>
  </sheetData>
  <mergeCells count="5">
    <mergeCell ref="A1:L1"/>
    <mergeCell ref="A6:L6"/>
    <mergeCell ref="A14:L14"/>
    <mergeCell ref="A25:L25"/>
    <mergeCell ref="A36:L36"/>
  </mergeCells>
  <conditionalFormatting sqref="K38">
    <cfRule type="expression" dxfId="23" priority="6">
      <formula>K38="GO"</formula>
    </cfRule>
    <cfRule type="expression" dxfId="22" priority="7">
      <formula>LEFT(K38,4)="WAIT"</formula>
    </cfRule>
  </conditionalFormatting>
  <conditionalFormatting sqref="O22:O23">
    <cfRule type="expression" dxfId="21" priority="2">
      <formula>O22="GO"</formula>
    </cfRule>
    <cfRule type="expression" dxfId="20" priority="3">
      <formula>LEFT(O22,4)="WAIT"</formula>
    </cfRule>
  </conditionalFormatting>
  <conditionalFormatting sqref="O33:O34">
    <cfRule type="expression" dxfId="19" priority="4">
      <formula>O33="GO"</formula>
    </cfRule>
    <cfRule type="expression" dxfId="18" priority="5">
      <formula>LEFT(O33,4)="WAIT"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38"/>
  <sheetViews>
    <sheetView showGridLines="0" zoomScaleNormal="100" workbookViewId="0">
      <pane ySplit="2" topLeftCell="A3" activePane="bottomLeft" state="frozen"/>
      <selection pane="bottomLeft"/>
    </sheetView>
  </sheetViews>
  <sheetFormatPr baseColWidth="10" defaultColWidth="8.6640625" defaultRowHeight="15" x14ac:dyDescent="0.2"/>
  <cols>
    <col min="1" max="2" width="11" customWidth="1"/>
    <col min="3" max="3" width="8" customWidth="1"/>
    <col min="4" max="4" width="10" customWidth="1"/>
    <col min="5" max="5" width="12" customWidth="1"/>
    <col min="6" max="6" width="32" customWidth="1"/>
    <col min="7" max="10" width="10" customWidth="1"/>
    <col min="11" max="11" width="13" customWidth="1"/>
    <col min="12" max="12" width="10" customWidth="1"/>
  </cols>
  <sheetData>
    <row r="1" spans="1:12" ht="25.5" customHeight="1" x14ac:dyDescent="0.2">
      <c r="A1" s="6" t="s">
        <v>207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3" spans="1:12" ht="16" x14ac:dyDescent="0.2">
      <c r="A3" s="19" t="s">
        <v>135</v>
      </c>
      <c r="B3" s="19" t="s">
        <v>136</v>
      </c>
      <c r="C3" s="19" t="s">
        <v>137</v>
      </c>
      <c r="D3" s="19" t="s">
        <v>138</v>
      </c>
      <c r="E3" s="19" t="s">
        <v>139</v>
      </c>
      <c r="F3" s="19" t="s">
        <v>140</v>
      </c>
    </row>
    <row r="4" spans="1:12" ht="32" x14ac:dyDescent="0.2">
      <c r="A4" s="32" t="s">
        <v>131</v>
      </c>
      <c r="B4" s="32" t="s">
        <v>208</v>
      </c>
      <c r="C4" s="23" t="str">
        <f>C$3</f>
        <v>PX_LAST</v>
      </c>
      <c r="D4" s="23" t="str">
        <f>D$3</f>
        <v>IVOL_RANK</v>
      </c>
      <c r="E4" s="30">
        <f ca="1">IFERROR(bdp(B4,C4),0)</f>
        <v>0</v>
      </c>
      <c r="F4" s="22">
        <f ca="1">IFERROR(bdp(B4,D4),0)</f>
        <v>0</v>
      </c>
    </row>
    <row r="6" spans="1:12" ht="15" customHeight="1" x14ac:dyDescent="0.2">
      <c r="A6" s="6" t="s">
        <v>142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2" ht="16" x14ac:dyDescent="0.2">
      <c r="A7" s="19" t="s">
        <v>143</v>
      </c>
      <c r="B7" s="19" t="s">
        <v>144</v>
      </c>
      <c r="C7" s="19" t="s">
        <v>145</v>
      </c>
      <c r="D7" s="19" t="s">
        <v>146</v>
      </c>
    </row>
    <row r="8" spans="1:12" ht="16" x14ac:dyDescent="0.2">
      <c r="A8" s="20" t="s">
        <v>147</v>
      </c>
      <c r="B8" s="33">
        <v>5</v>
      </c>
      <c r="C8" s="34"/>
      <c r="D8" s="33">
        <f>IF(C8="",B8,C8)</f>
        <v>5</v>
      </c>
    </row>
    <row r="9" spans="1:12" ht="32" x14ac:dyDescent="0.2">
      <c r="A9" s="20" t="s">
        <v>148</v>
      </c>
      <c r="B9" s="25">
        <f ca="1">Calendar!$B$11</f>
        <v>46220</v>
      </c>
      <c r="C9" s="35"/>
      <c r="D9" s="25">
        <f ca="1">IF(C9="",B9,C9)</f>
        <v>46220</v>
      </c>
    </row>
    <row r="10" spans="1:12" ht="32" x14ac:dyDescent="0.2">
      <c r="A10" s="20" t="s">
        <v>149</v>
      </c>
      <c r="B10" s="25">
        <f ca="1">Calendar!$B$12</f>
        <v>46255</v>
      </c>
      <c r="C10" s="35"/>
      <c r="D10" s="25">
        <f ca="1">IF(C10="",B10,C10)</f>
        <v>46255</v>
      </c>
    </row>
    <row r="11" spans="1:12" ht="32" x14ac:dyDescent="0.2">
      <c r="A11" s="20" t="s">
        <v>150</v>
      </c>
      <c r="B11" s="30">
        <f ca="1">IF($E$4=0,0,FLOOR($E$4*(1-0.05)/$D$8,1)*$D$8)</f>
        <v>0</v>
      </c>
      <c r="C11" s="36"/>
      <c r="D11" s="30">
        <f ca="1">IF(C11="",B11,C11)</f>
        <v>0</v>
      </c>
    </row>
    <row r="12" spans="1:12" ht="32" x14ac:dyDescent="0.2">
      <c r="A12" s="20" t="s">
        <v>151</v>
      </c>
      <c r="B12" s="30">
        <f ca="1">IF($E$4=0,0,CEILING($E$4*(1+0.05)/$D$8,1)*$D$8)</f>
        <v>0</v>
      </c>
      <c r="C12" s="36"/>
      <c r="D12" s="30">
        <f ca="1">IF(C12="",B12,C12)</f>
        <v>0</v>
      </c>
    </row>
    <row r="14" spans="1:12" ht="21.75" customHeight="1" x14ac:dyDescent="0.2">
      <c r="A14" s="6" t="s">
        <v>152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12" ht="16" x14ac:dyDescent="0.2">
      <c r="A15" s="19" t="s">
        <v>93</v>
      </c>
      <c r="B15" s="19" t="s">
        <v>153</v>
      </c>
      <c r="C15" s="19" t="s">
        <v>154</v>
      </c>
      <c r="D15" s="19" t="s">
        <v>155</v>
      </c>
      <c r="E15" s="19" t="s">
        <v>156</v>
      </c>
      <c r="F15" s="19" t="s">
        <v>136</v>
      </c>
      <c r="G15" s="19" t="s">
        <v>137</v>
      </c>
      <c r="H15" s="19" t="s">
        <v>157</v>
      </c>
      <c r="I15" s="19" t="s">
        <v>158</v>
      </c>
      <c r="J15" s="19" t="s">
        <v>159</v>
      </c>
      <c r="K15" s="19" t="s">
        <v>160</v>
      </c>
      <c r="L15" s="19" t="s">
        <v>161</v>
      </c>
    </row>
    <row r="16" spans="1:12" ht="16" x14ac:dyDescent="0.2">
      <c r="A16" s="23" t="s">
        <v>162</v>
      </c>
      <c r="B16" s="23" t="s">
        <v>163</v>
      </c>
      <c r="C16" s="23" t="s">
        <v>164</v>
      </c>
      <c r="D16" s="30">
        <f ca="1">$D$11</f>
        <v>0</v>
      </c>
      <c r="E16" s="25">
        <f ca="1">$D$9</f>
        <v>46220</v>
      </c>
      <c r="F16" s="23" t="str">
        <f ca="1">"GLD"&amp;" US "&amp;TEXT(E16,"mm/dd/yy")&amp;" "&amp;"P"&amp;IF(D16=INT(D16),INT(D16),D16)&amp;" Equity"</f>
        <v>GLD US 07/17/26 P0 Equity</v>
      </c>
      <c r="G16" s="26">
        <f ca="1">IFERROR(bdp($F16, G$15), 0)</f>
        <v>0</v>
      </c>
      <c r="H16" s="26">
        <f ca="1">IFERROR(bdp($F16, H$15), 0)</f>
        <v>0</v>
      </c>
      <c r="I16" s="26">
        <f ca="1">IFERROR(bdp($F16, I$15), 0)</f>
        <v>0</v>
      </c>
      <c r="J16" s="29">
        <f ca="1">IFERROR(bdp($F16, J$15), 0)</f>
        <v>0</v>
      </c>
      <c r="K16" s="31">
        <f ca="1">IFERROR(bdp($F16, K$15), 0)</f>
        <v>0</v>
      </c>
      <c r="L16" s="26">
        <f ca="1">IFERROR((H16+I16)/2, 0)</f>
        <v>0</v>
      </c>
    </row>
    <row r="17" spans="1:16" ht="16" x14ac:dyDescent="0.2">
      <c r="A17" s="23" t="s">
        <v>162</v>
      </c>
      <c r="B17" s="23" t="s">
        <v>165</v>
      </c>
      <c r="C17" s="23" t="s">
        <v>164</v>
      </c>
      <c r="D17" s="30">
        <f ca="1">$D$11-$D$8</f>
        <v>-5</v>
      </c>
      <c r="E17" s="25">
        <f ca="1">$D$9</f>
        <v>46220</v>
      </c>
      <c r="F17" s="23" t="str">
        <f ca="1">"GLD"&amp;" US "&amp;TEXT(E17,"mm/dd/yy")&amp;" "&amp;"P"&amp;IF(D17=INT(D17),INT(D17),D17)&amp;" Equity"</f>
        <v>GLD US 07/17/26 P-5 Equity</v>
      </c>
      <c r="G17" s="26">
        <f ca="1">IFERROR(bdp($F17, G$15), 0)</f>
        <v>0</v>
      </c>
      <c r="H17" s="26">
        <f ca="1">IFERROR(bdp($F17, H$15), 0)</f>
        <v>0</v>
      </c>
      <c r="I17" s="26">
        <f ca="1">IFERROR(bdp($F17, I$15), 0)</f>
        <v>0</v>
      </c>
      <c r="J17" s="29">
        <f ca="1">IFERROR(bdp($F17, J$15), 0)</f>
        <v>0</v>
      </c>
      <c r="K17" s="31">
        <f ca="1">IFERROR(bdp($F17, K$15), 0)</f>
        <v>0</v>
      </c>
      <c r="L17" s="26">
        <f ca="1">IFERROR((H17+I17)/2, 0)</f>
        <v>0</v>
      </c>
    </row>
    <row r="18" spans="1:16" ht="16" x14ac:dyDescent="0.2">
      <c r="A18" s="23" t="s">
        <v>162</v>
      </c>
      <c r="B18" s="23" t="s">
        <v>166</v>
      </c>
      <c r="C18" s="23" t="s">
        <v>164</v>
      </c>
      <c r="D18" s="30">
        <f ca="1">$D$11</f>
        <v>0</v>
      </c>
      <c r="E18" s="25">
        <f ca="1">$D$10</f>
        <v>46255</v>
      </c>
      <c r="F18" s="23" t="str">
        <f ca="1">"GLD"&amp;" US "&amp;TEXT(E18,"mm/dd/yy")&amp;" "&amp;"P"&amp;IF(D18=INT(D18),INT(D18),D18)&amp;" Equity"</f>
        <v>GLD US 08/21/26 P0 Equity</v>
      </c>
      <c r="G18" s="26">
        <f ca="1">IFERROR(bdp($F18, G$15), 0)</f>
        <v>0</v>
      </c>
      <c r="H18" s="26">
        <f ca="1">IFERROR(bdp($F18, H$15), 0)</f>
        <v>0</v>
      </c>
      <c r="I18" s="26">
        <f ca="1">IFERROR(bdp($F18, I$15), 0)</f>
        <v>0</v>
      </c>
      <c r="J18" s="29">
        <f ca="1">IFERROR(bdp($F18, J$15), 0)</f>
        <v>0</v>
      </c>
      <c r="K18" s="31">
        <f ca="1">IFERROR(bdp($F18, K$15), 0)</f>
        <v>0</v>
      </c>
      <c r="L18" s="26">
        <f ca="1">IFERROR((H18+I18)/2, 0)</f>
        <v>0</v>
      </c>
    </row>
    <row r="19" spans="1:16" ht="16" x14ac:dyDescent="0.2">
      <c r="A19" s="23" t="s">
        <v>162</v>
      </c>
      <c r="B19" s="23" t="s">
        <v>167</v>
      </c>
      <c r="C19" s="23" t="s">
        <v>164</v>
      </c>
      <c r="D19" s="30">
        <f ca="1">$D$11-$D$8</f>
        <v>-5</v>
      </c>
      <c r="E19" s="25">
        <f ca="1">$D$10</f>
        <v>46255</v>
      </c>
      <c r="F19" s="23" t="str">
        <f ca="1">"GLD"&amp;" US "&amp;TEXT(E19,"mm/dd/yy")&amp;" "&amp;"P"&amp;IF(D19=INT(D19),INT(D19),D19)&amp;" Equity"</f>
        <v>GLD US 08/21/26 P-5 Equity</v>
      </c>
      <c r="G19" s="26">
        <f ca="1">IFERROR(bdp($F19, G$15), 0)</f>
        <v>0</v>
      </c>
      <c r="H19" s="26">
        <f ca="1">IFERROR(bdp($F19, H$15), 0)</f>
        <v>0</v>
      </c>
      <c r="I19" s="26">
        <f ca="1">IFERROR(bdp($F19, I$15), 0)</f>
        <v>0</v>
      </c>
      <c r="J19" s="29">
        <f ca="1">IFERROR(bdp($F19, J$15), 0)</f>
        <v>0</v>
      </c>
      <c r="K19" s="31">
        <f ca="1">IFERROR(bdp($F19, K$15), 0)</f>
        <v>0</v>
      </c>
      <c r="L19" s="26">
        <f ca="1">IFERROR((H19+I19)/2, 0)</f>
        <v>0</v>
      </c>
    </row>
    <row r="21" spans="1:16" ht="16" x14ac:dyDescent="0.2">
      <c r="A21" s="19" t="s">
        <v>93</v>
      </c>
      <c r="B21" s="19" t="s">
        <v>168</v>
      </c>
      <c r="C21" s="19" t="s">
        <v>79</v>
      </c>
      <c r="D21" s="19" t="s">
        <v>113</v>
      </c>
      <c r="E21" s="19" t="s">
        <v>114</v>
      </c>
      <c r="F21" s="19" t="s">
        <v>169</v>
      </c>
      <c r="G21" s="19" t="s">
        <v>96</v>
      </c>
      <c r="H21" s="19" t="s">
        <v>97</v>
      </c>
      <c r="I21" s="19" t="s">
        <v>170</v>
      </c>
      <c r="J21" s="19" t="s">
        <v>171</v>
      </c>
      <c r="K21" s="19" t="s">
        <v>172</v>
      </c>
      <c r="L21" s="19" t="s">
        <v>115</v>
      </c>
      <c r="M21" s="19" t="s">
        <v>173</v>
      </c>
      <c r="N21" s="19" t="s">
        <v>116</v>
      </c>
      <c r="O21" s="19" t="s">
        <v>99</v>
      </c>
      <c r="P21" s="19" t="s">
        <v>117</v>
      </c>
    </row>
    <row r="22" spans="1:16" ht="32" x14ac:dyDescent="0.2">
      <c r="A22" s="23" t="s">
        <v>162</v>
      </c>
      <c r="B22" s="23" t="s">
        <v>174</v>
      </c>
      <c r="C22" s="22">
        <f ca="1">$D$9-TODAY()</f>
        <v>67</v>
      </c>
      <c r="D22" s="30">
        <f ca="1">$D$11</f>
        <v>0</v>
      </c>
      <c r="E22" s="30">
        <f ca="1">$D$11-$D$8</f>
        <v>-5</v>
      </c>
      <c r="F22" s="33">
        <f>$D$8</f>
        <v>5</v>
      </c>
      <c r="G22" s="26">
        <f ca="1">IFERROR(L16-L17,0)</f>
        <v>0</v>
      </c>
      <c r="H22" s="26">
        <f ca="1">IFERROR(F22-G22,0)</f>
        <v>5</v>
      </c>
      <c r="I22" s="29">
        <f ca="1">IFERROR(G22/F22,0)</f>
        <v>0</v>
      </c>
      <c r="J22" s="29">
        <f ca="1">IFERROR((I16-H16)/L16,1)</f>
        <v>1</v>
      </c>
      <c r="K22" s="29">
        <f ca="1">IFERROR(($E$4-D22)/$E$4,0)</f>
        <v>0</v>
      </c>
      <c r="L22" s="29">
        <f ca="1">IFERROR(1-ABS(K16),0)</f>
        <v>1</v>
      </c>
      <c r="M22" s="26">
        <f ca="1">L22*G22-(1-L22)*H22</f>
        <v>0</v>
      </c>
      <c r="N22" s="31">
        <f ca="1">IFERROR(M22/H22,0)</f>
        <v>0</v>
      </c>
      <c r="O22" s="23" t="str">
        <f ca="1">IF(NOT(AND(C22&gt;=Settings!$B$14,C22&lt;=Settings!$B$15)),"WAIT - DTE",IF(NOT(AND(ABS(K16)&gt;=Settings!$B$12,ABS(K16)&lt;=Settings!$B$13)),"WAIT - DELTA",IF(NOT($F$4&gt;=Settings!$B$8),"WAIT - IVR",IF(NOT(G22&gt;=Settings!$B$10),"WAIT - CREDIT",IF(NOT(I22&gt;=Settings!$B$9),"WAIT - C/W",IF(NOT(AND(J22&lt;=Settings!$B$11,H16&gt;0,I16&gt;0,H17&gt;0,I17&gt;0)),"WAIT - LIQ",IF(NOT(K22&gt;=Settings!$B$19),"WAIT - BUFFER","GO")))))))</f>
        <v>WAIT - DELTA</v>
      </c>
      <c r="P22" s="31">
        <f ca="1">IF(O22="GO",N22,-1000000000)</f>
        <v>-1000000000</v>
      </c>
    </row>
    <row r="23" spans="1:16" ht="32" x14ac:dyDescent="0.2">
      <c r="A23" s="23" t="s">
        <v>162</v>
      </c>
      <c r="B23" s="23" t="s">
        <v>175</v>
      </c>
      <c r="C23" s="22">
        <f ca="1">$D$10-TODAY()</f>
        <v>102</v>
      </c>
      <c r="D23" s="30">
        <f ca="1">$D$11</f>
        <v>0</v>
      </c>
      <c r="E23" s="30">
        <f ca="1">$D$11-$D$8</f>
        <v>-5</v>
      </c>
      <c r="F23" s="33">
        <f>$D$8</f>
        <v>5</v>
      </c>
      <c r="G23" s="26">
        <f ca="1">IFERROR(L18-L19,0)</f>
        <v>0</v>
      </c>
      <c r="H23" s="26">
        <f ca="1">IFERROR(F23-G23,0)</f>
        <v>5</v>
      </c>
      <c r="I23" s="29">
        <f ca="1">IFERROR(G23/F23,0)</f>
        <v>0</v>
      </c>
      <c r="J23" s="29">
        <f ca="1">IFERROR((I18-H18)/L18,1)</f>
        <v>1</v>
      </c>
      <c r="K23" s="29">
        <f ca="1">IFERROR(($E$4-D23)/$E$4,0)</f>
        <v>0</v>
      </c>
      <c r="L23" s="29">
        <f ca="1">IFERROR(1-ABS(K18),0)</f>
        <v>1</v>
      </c>
      <c r="M23" s="26">
        <f ca="1">L23*G23-(1-L23)*H23</f>
        <v>0</v>
      </c>
      <c r="N23" s="31">
        <f ca="1">IFERROR(M23/H23,0)</f>
        <v>0</v>
      </c>
      <c r="O23" s="23" t="str">
        <f ca="1">IF(NOT(AND(C23&gt;=Settings!$B$14,C23&lt;=Settings!$B$15)),"WAIT - DTE",IF(NOT(AND(ABS(K18)&gt;=Settings!$B$12,ABS(K18)&lt;=Settings!$B$13)),"WAIT - DELTA",IF(NOT($F$4&gt;=Settings!$B$8),"WAIT - IVR",IF(NOT(G23&gt;=Settings!$B$10),"WAIT - CREDIT",IF(NOT(I23&gt;=Settings!$B$9),"WAIT - C/W",IF(NOT(AND(J23&lt;=Settings!$B$11,H18&gt;0,I18&gt;0,H19&gt;0,I19&gt;0)),"WAIT - LIQ",IF(NOT(K23&gt;=Settings!$B$19),"WAIT - BUFFER","GO")))))))</f>
        <v>WAIT - DELTA</v>
      </c>
      <c r="P23" s="31">
        <f ca="1">IF(O23="GO",N23,-1000000000)</f>
        <v>-1000000000</v>
      </c>
    </row>
    <row r="25" spans="1:16" ht="21.75" customHeight="1" x14ac:dyDescent="0.2">
      <c r="A25" s="6" t="s">
        <v>176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6" ht="16" x14ac:dyDescent="0.2">
      <c r="A26" s="19" t="s">
        <v>93</v>
      </c>
      <c r="B26" s="19" t="s">
        <v>153</v>
      </c>
      <c r="C26" s="19" t="s">
        <v>154</v>
      </c>
      <c r="D26" s="19" t="s">
        <v>155</v>
      </c>
      <c r="E26" s="19" t="s">
        <v>156</v>
      </c>
      <c r="F26" s="19" t="s">
        <v>136</v>
      </c>
      <c r="G26" s="19" t="s">
        <v>137</v>
      </c>
      <c r="H26" s="19" t="s">
        <v>157</v>
      </c>
      <c r="I26" s="19" t="s">
        <v>158</v>
      </c>
      <c r="J26" s="19" t="s">
        <v>159</v>
      </c>
      <c r="K26" s="19" t="s">
        <v>160</v>
      </c>
      <c r="L26" s="19" t="s">
        <v>161</v>
      </c>
    </row>
    <row r="27" spans="1:16" ht="16" x14ac:dyDescent="0.2">
      <c r="A27" s="23" t="s">
        <v>177</v>
      </c>
      <c r="B27" s="23" t="s">
        <v>163</v>
      </c>
      <c r="C27" s="23" t="s">
        <v>178</v>
      </c>
      <c r="D27" s="30">
        <f ca="1">$D$12</f>
        <v>0</v>
      </c>
      <c r="E27" s="25">
        <f ca="1">$D$9</f>
        <v>46220</v>
      </c>
      <c r="F27" s="23" t="str">
        <f ca="1">"GLD"&amp;" US "&amp;TEXT(E27,"mm/dd/yy")&amp;" "&amp;"C"&amp;IF(D27=INT(D27),INT(D27),D27)&amp;" Equity"</f>
        <v>GLD US 07/17/26 C0 Equity</v>
      </c>
      <c r="G27" s="26">
        <f ca="1">IFERROR(bdp($F27, G$26), 0)</f>
        <v>0</v>
      </c>
      <c r="H27" s="26">
        <f ca="1">IFERROR(bdp($F27, H$26), 0)</f>
        <v>0</v>
      </c>
      <c r="I27" s="26">
        <f ca="1">IFERROR(bdp($F27, I$26), 0)</f>
        <v>0</v>
      </c>
      <c r="J27" s="29">
        <f ca="1">IFERROR(bdp($F27, J$26), 0)</f>
        <v>0</v>
      </c>
      <c r="K27" s="31">
        <f ca="1">IFERROR(bdp($F27, K$26), 0)</f>
        <v>0</v>
      </c>
      <c r="L27" s="26">
        <f ca="1">IFERROR((H27+I27)/2, 0)</f>
        <v>0</v>
      </c>
    </row>
    <row r="28" spans="1:16" ht="16" x14ac:dyDescent="0.2">
      <c r="A28" s="23" t="s">
        <v>177</v>
      </c>
      <c r="B28" s="23" t="s">
        <v>165</v>
      </c>
      <c r="C28" s="23" t="s">
        <v>178</v>
      </c>
      <c r="D28" s="30">
        <f ca="1">$D$12+$D$8</f>
        <v>5</v>
      </c>
      <c r="E28" s="25">
        <f ca="1">$D$9</f>
        <v>46220</v>
      </c>
      <c r="F28" s="23" t="str">
        <f ca="1">"GLD"&amp;" US "&amp;TEXT(E28,"mm/dd/yy")&amp;" "&amp;"C"&amp;IF(D28=INT(D28),INT(D28),D28)&amp;" Equity"</f>
        <v>GLD US 07/17/26 C5 Equity</v>
      </c>
      <c r="G28" s="26">
        <f ca="1">IFERROR(bdp($F28, G$26), 0)</f>
        <v>0</v>
      </c>
      <c r="H28" s="26">
        <f ca="1">IFERROR(bdp($F28, H$26), 0)</f>
        <v>0</v>
      </c>
      <c r="I28" s="26">
        <f ca="1">IFERROR(bdp($F28, I$26), 0)</f>
        <v>0</v>
      </c>
      <c r="J28" s="29">
        <f ca="1">IFERROR(bdp($F28, J$26), 0)</f>
        <v>0</v>
      </c>
      <c r="K28" s="31">
        <f ca="1">IFERROR(bdp($F28, K$26), 0)</f>
        <v>0</v>
      </c>
      <c r="L28" s="26">
        <f ca="1">IFERROR((H28+I28)/2, 0)</f>
        <v>0</v>
      </c>
    </row>
    <row r="29" spans="1:16" ht="16" x14ac:dyDescent="0.2">
      <c r="A29" s="23" t="s">
        <v>177</v>
      </c>
      <c r="B29" s="23" t="s">
        <v>166</v>
      </c>
      <c r="C29" s="23" t="s">
        <v>178</v>
      </c>
      <c r="D29" s="30">
        <f ca="1">$D$12</f>
        <v>0</v>
      </c>
      <c r="E29" s="25">
        <f ca="1">$D$10</f>
        <v>46255</v>
      </c>
      <c r="F29" s="23" t="str">
        <f ca="1">"GLD"&amp;" US "&amp;TEXT(E29,"mm/dd/yy")&amp;" "&amp;"C"&amp;IF(D29=INT(D29),INT(D29),D29)&amp;" Equity"</f>
        <v>GLD US 08/21/26 C0 Equity</v>
      </c>
      <c r="G29" s="26">
        <f ca="1">IFERROR(bdp($F29, G$26), 0)</f>
        <v>0</v>
      </c>
      <c r="H29" s="26">
        <f ca="1">IFERROR(bdp($F29, H$26), 0)</f>
        <v>0</v>
      </c>
      <c r="I29" s="26">
        <f ca="1">IFERROR(bdp($F29, I$26), 0)</f>
        <v>0</v>
      </c>
      <c r="J29" s="29">
        <f ca="1">IFERROR(bdp($F29, J$26), 0)</f>
        <v>0</v>
      </c>
      <c r="K29" s="31">
        <f ca="1">IFERROR(bdp($F29, K$26), 0)</f>
        <v>0</v>
      </c>
      <c r="L29" s="26">
        <f ca="1">IFERROR((H29+I29)/2, 0)</f>
        <v>0</v>
      </c>
    </row>
    <row r="30" spans="1:16" ht="16" x14ac:dyDescent="0.2">
      <c r="A30" s="23" t="s">
        <v>177</v>
      </c>
      <c r="B30" s="23" t="s">
        <v>167</v>
      </c>
      <c r="C30" s="23" t="s">
        <v>178</v>
      </c>
      <c r="D30" s="30">
        <f ca="1">$D$12+$D$8</f>
        <v>5</v>
      </c>
      <c r="E30" s="25">
        <f ca="1">$D$10</f>
        <v>46255</v>
      </c>
      <c r="F30" s="23" t="str">
        <f ca="1">"GLD"&amp;" US "&amp;TEXT(E30,"mm/dd/yy")&amp;" "&amp;"C"&amp;IF(D30=INT(D30),INT(D30),D30)&amp;" Equity"</f>
        <v>GLD US 08/21/26 C5 Equity</v>
      </c>
      <c r="G30" s="26">
        <f ca="1">IFERROR(bdp($F30, G$26), 0)</f>
        <v>0</v>
      </c>
      <c r="H30" s="26">
        <f ca="1">IFERROR(bdp($F30, H$26), 0)</f>
        <v>0</v>
      </c>
      <c r="I30" s="26">
        <f ca="1">IFERROR(bdp($F30, I$26), 0)</f>
        <v>0</v>
      </c>
      <c r="J30" s="29">
        <f ca="1">IFERROR(bdp($F30, J$26), 0)</f>
        <v>0</v>
      </c>
      <c r="K30" s="31">
        <f ca="1">IFERROR(bdp($F30, K$26), 0)</f>
        <v>0</v>
      </c>
      <c r="L30" s="26">
        <f ca="1">IFERROR((H30+I30)/2, 0)</f>
        <v>0</v>
      </c>
    </row>
    <row r="32" spans="1:16" ht="16" x14ac:dyDescent="0.2">
      <c r="A32" s="19" t="s">
        <v>93</v>
      </c>
      <c r="B32" s="19" t="s">
        <v>168</v>
      </c>
      <c r="C32" s="19" t="s">
        <v>79</v>
      </c>
      <c r="D32" s="19" t="s">
        <v>113</v>
      </c>
      <c r="E32" s="19" t="s">
        <v>114</v>
      </c>
      <c r="F32" s="19" t="s">
        <v>169</v>
      </c>
      <c r="G32" s="19" t="s">
        <v>96</v>
      </c>
      <c r="H32" s="19" t="s">
        <v>97</v>
      </c>
      <c r="I32" s="19" t="s">
        <v>170</v>
      </c>
      <c r="J32" s="19" t="s">
        <v>171</v>
      </c>
      <c r="K32" s="19" t="s">
        <v>172</v>
      </c>
      <c r="L32" s="19" t="s">
        <v>115</v>
      </c>
      <c r="M32" s="19" t="s">
        <v>173</v>
      </c>
      <c r="N32" s="19" t="s">
        <v>116</v>
      </c>
      <c r="O32" s="19" t="s">
        <v>99</v>
      </c>
      <c r="P32" s="19" t="s">
        <v>117</v>
      </c>
    </row>
    <row r="33" spans="1:16" ht="32" x14ac:dyDescent="0.2">
      <c r="A33" s="23" t="s">
        <v>177</v>
      </c>
      <c r="B33" s="23" t="s">
        <v>174</v>
      </c>
      <c r="C33" s="22">
        <f ca="1">$D$9-TODAY()</f>
        <v>67</v>
      </c>
      <c r="D33" s="30">
        <f ca="1">$D$12</f>
        <v>0</v>
      </c>
      <c r="E33" s="30">
        <f ca="1">$D$12+$D$8</f>
        <v>5</v>
      </c>
      <c r="F33" s="33">
        <f>$D$8</f>
        <v>5</v>
      </c>
      <c r="G33" s="26">
        <f ca="1">IFERROR(L27-L28,0)</f>
        <v>0</v>
      </c>
      <c r="H33" s="26">
        <f ca="1">IFERROR(F33-G33,0)</f>
        <v>5</v>
      </c>
      <c r="I33" s="29">
        <f ca="1">IFERROR(G33/F33,0)</f>
        <v>0</v>
      </c>
      <c r="J33" s="29">
        <f ca="1">IFERROR((I27-H27)/L27,1)</f>
        <v>1</v>
      </c>
      <c r="K33" s="29">
        <f ca="1">IFERROR((D33-$E$4)/$E$4,0)</f>
        <v>0</v>
      </c>
      <c r="L33" s="29">
        <f ca="1">IFERROR(1-ABS(K27),0)</f>
        <v>1</v>
      </c>
      <c r="M33" s="26">
        <f ca="1">L33*G33-(1-L33)*H33</f>
        <v>0</v>
      </c>
      <c r="N33" s="31">
        <f ca="1">IFERROR(M33/H33,0)</f>
        <v>0</v>
      </c>
      <c r="O33" s="23" t="str">
        <f ca="1">IF(NOT(AND(C33&gt;=Settings!$B$14,C33&lt;=Settings!$B$15)),"WAIT - DTE",IF(NOT(AND(ABS(K27)&gt;=Settings!$B$12,ABS(K27)&lt;=Settings!$B$13)),"WAIT - DELTA",IF(NOT($F$4&gt;=Settings!$B$8),"WAIT - IVR",IF(NOT(G33&gt;=Settings!$B$10),"WAIT - CREDIT",IF(NOT(I33&gt;=Settings!$B$9),"WAIT - C/W",IF(NOT(AND(J33&lt;=Settings!$B$11,H27&gt;0,I27&gt;0,H28&gt;0,I28&gt;0)),"WAIT - LIQ",IF(NOT(K33&gt;=Settings!$B$19),"WAIT - BUFFER","GO")))))))</f>
        <v>WAIT - DELTA</v>
      </c>
      <c r="P33" s="31">
        <f ca="1">IF(O33="GO",N33,-1000000000)</f>
        <v>-1000000000</v>
      </c>
    </row>
    <row r="34" spans="1:16" ht="32" x14ac:dyDescent="0.2">
      <c r="A34" s="23" t="s">
        <v>177</v>
      </c>
      <c r="B34" s="23" t="s">
        <v>175</v>
      </c>
      <c r="C34" s="22">
        <f ca="1">$D$10-TODAY()</f>
        <v>102</v>
      </c>
      <c r="D34" s="30">
        <f ca="1">$D$12</f>
        <v>0</v>
      </c>
      <c r="E34" s="30">
        <f ca="1">$D$12+$D$8</f>
        <v>5</v>
      </c>
      <c r="F34" s="33">
        <f>$D$8</f>
        <v>5</v>
      </c>
      <c r="G34" s="26">
        <f ca="1">IFERROR(L29-L30,0)</f>
        <v>0</v>
      </c>
      <c r="H34" s="26">
        <f ca="1">IFERROR(F34-G34,0)</f>
        <v>5</v>
      </c>
      <c r="I34" s="29">
        <f ca="1">IFERROR(G34/F34,0)</f>
        <v>0</v>
      </c>
      <c r="J34" s="29">
        <f ca="1">IFERROR((I29-H29)/L29,1)</f>
        <v>1</v>
      </c>
      <c r="K34" s="29">
        <f ca="1">IFERROR((D34-$E$4)/$E$4,0)</f>
        <v>0</v>
      </c>
      <c r="L34" s="29">
        <f ca="1">IFERROR(1-ABS(K29),0)</f>
        <v>1</v>
      </c>
      <c r="M34" s="26">
        <f ca="1">L34*G34-(1-L34)*H34</f>
        <v>0</v>
      </c>
      <c r="N34" s="31">
        <f ca="1">IFERROR(M34/H34,0)</f>
        <v>0</v>
      </c>
      <c r="O34" s="23" t="str">
        <f ca="1">IF(NOT(AND(C34&gt;=Settings!$B$14,C34&lt;=Settings!$B$15)),"WAIT - DTE",IF(NOT(AND(ABS(K29)&gt;=Settings!$B$12,ABS(K29)&lt;=Settings!$B$13)),"WAIT - DELTA",IF(NOT($F$4&gt;=Settings!$B$8),"WAIT - IVR",IF(NOT(G34&gt;=Settings!$B$10),"WAIT - CREDIT",IF(NOT(I34&gt;=Settings!$B$9),"WAIT - C/W",IF(NOT(AND(J34&lt;=Settings!$B$11,H29&gt;0,I29&gt;0,H30&gt;0,I30&gt;0)),"WAIT - LIQ",IF(NOT(K34&gt;=Settings!$B$19),"WAIT - BUFFER","GO")))))))</f>
        <v>WAIT - DELTA</v>
      </c>
      <c r="P34" s="31">
        <f ca="1">IF(O34="GO",N34,-1000000000)</f>
        <v>-1000000000</v>
      </c>
    </row>
    <row r="36" spans="1:16" ht="15" customHeight="1" x14ac:dyDescent="0.2">
      <c r="A36" s="6" t="s">
        <v>179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6" ht="32" x14ac:dyDescent="0.2">
      <c r="A37" s="19" t="s">
        <v>180</v>
      </c>
      <c r="B37" s="19" t="s">
        <v>181</v>
      </c>
      <c r="C37" s="19" t="s">
        <v>182</v>
      </c>
      <c r="D37" s="19" t="s">
        <v>79</v>
      </c>
      <c r="E37" s="19" t="s">
        <v>113</v>
      </c>
      <c r="F37" s="19" t="s">
        <v>114</v>
      </c>
      <c r="G37" s="19" t="s">
        <v>96</v>
      </c>
      <c r="H37" s="19" t="s">
        <v>97</v>
      </c>
      <c r="I37" s="19" t="s">
        <v>115</v>
      </c>
      <c r="J37" s="19" t="s">
        <v>116</v>
      </c>
      <c r="K37" s="19" t="s">
        <v>99</v>
      </c>
      <c r="L37" s="19" t="s">
        <v>117</v>
      </c>
    </row>
    <row r="38" spans="1:16" ht="16" x14ac:dyDescent="0.2">
      <c r="A38" s="23" t="str">
        <f ca="1">INDEX($A$22:$P$34, IF(P22=MAX(P22,P23,P33,P34),22,IF(P23=MAX(P22,P23,P33,P34),23,IF(P33=MAX(P22,P23,P33,P34),33,34)))-21, 1)</f>
        <v>BullPut</v>
      </c>
      <c r="B38" s="23" t="str">
        <f ca="1">INDEX($A$22:$P$34, IF(P22=MAX(P22,P23,P33,P34),22,IF(P23=MAX(P22,P23,P33,P34),23,IF(P33=MAX(P22,P23,P33,P34),33,34)))-21, 2)</f>
        <v>Front</v>
      </c>
      <c r="C38" s="25">
        <f ca="1">IF(INDEX($A$22:$P$34, IF(P22=MAX(P22,P23,P33,P34),22,IF(P23=MAX(P22,P23,P33,P34),23,IF(P33=MAX(P22,P23,P33,P34),33,34)))-21, 2)="Front",$D$9,$D$10)</f>
        <v>46220</v>
      </c>
      <c r="D38" s="22">
        <f ca="1">INDEX($A$22:$P$34, IF(P22=MAX(P22,P23,P33,P34),22,IF(P23=MAX(P22,P23,P33,P34),23,IF(P33=MAX(P22,P23,P33,P34),33,34)))-21, 3)</f>
        <v>67</v>
      </c>
      <c r="E38" s="30">
        <f ca="1">INDEX($A$22:$P$34, IF(P22=MAX(P22,P23,P33,P34),22,IF(P23=MAX(P22,P23,P33,P34),23,IF(P33=MAX(P22,P23,P33,P34),33,34)))-21, 4)</f>
        <v>0</v>
      </c>
      <c r="F38" s="30">
        <f ca="1">INDEX($A$22:$P$34, IF(P22=MAX(P22,P23,P33,P34),22,IF(P23=MAX(P22,P23,P33,P34),23,IF(P33=MAX(P22,P23,P33,P34),33,34)))-21, 5)</f>
        <v>-5</v>
      </c>
      <c r="G38" s="26">
        <f ca="1">INDEX($A$22:$P$34, IF(P22=MAX(P22,P23,P33,P34),22,IF(P23=MAX(P22,P23,P33,P34),23,IF(P33=MAX(P22,P23,P33,P34),33,34)))-21, 7)</f>
        <v>0</v>
      </c>
      <c r="H38" s="26">
        <f ca="1">INDEX($A$22:$P$34, IF(P22=MAX(P22,P23,P33,P34),22,IF(P23=MAX(P22,P23,P33,P34),23,IF(P33=MAX(P22,P23,P33,P34),33,34)))-21, 8)</f>
        <v>5</v>
      </c>
      <c r="I38" s="29">
        <f ca="1">INDEX($A$22:$P$34, IF(P22=MAX(P22,P23,P33,P34),22,IF(P23=MAX(P22,P23,P33,P34),23,IF(P33=MAX(P22,P23,P33,P34),33,34)))-21, 12)</f>
        <v>1</v>
      </c>
      <c r="J38" s="31">
        <f ca="1">INDEX($A$22:$P$34, IF(P22=MAX(P22,P23,P33,P34),22,IF(P23=MAX(P22,P23,P33,P34),23,IF(P33=MAX(P22,P23,P33,P34),33,34)))-21, 14)</f>
        <v>0</v>
      </c>
      <c r="K38" s="23" t="str">
        <f ca="1">INDEX($A$22:$P$34, IF(P22=MAX(P22,P23,P33,P34),22,IF(P23=MAX(P22,P23,P33,P34),23,IF(P33=MAX(P22,P23,P33,P34),33,34)))-21, 15)</f>
        <v>WAIT - DELTA</v>
      </c>
      <c r="L38" s="31">
        <f ca="1">MAX(P22,P23,P33,P34)</f>
        <v>-1000000000</v>
      </c>
    </row>
  </sheetData>
  <mergeCells count="5">
    <mergeCell ref="A1:L1"/>
    <mergeCell ref="A6:L6"/>
    <mergeCell ref="A14:L14"/>
    <mergeCell ref="A25:L25"/>
    <mergeCell ref="A36:L36"/>
  </mergeCells>
  <conditionalFormatting sqref="K38">
    <cfRule type="expression" dxfId="17" priority="6">
      <formula>K38="GO"</formula>
    </cfRule>
    <cfRule type="expression" dxfId="16" priority="7">
      <formula>LEFT(K38,4)="WAIT"</formula>
    </cfRule>
  </conditionalFormatting>
  <conditionalFormatting sqref="O22:O23">
    <cfRule type="expression" dxfId="15" priority="2">
      <formula>O22="GO"</formula>
    </cfRule>
    <cfRule type="expression" dxfId="14" priority="3">
      <formula>LEFT(O22,4)="WAIT"</formula>
    </cfRule>
  </conditionalFormatting>
  <conditionalFormatting sqref="O33:O34">
    <cfRule type="expression" dxfId="13" priority="4">
      <formula>O33="GO"</formula>
    </cfRule>
    <cfRule type="expression" dxfId="12" priority="5">
      <formula>LEFT(O33,4)="WAIT"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38"/>
  <sheetViews>
    <sheetView showGridLines="0" zoomScaleNormal="100" workbookViewId="0">
      <pane ySplit="2" topLeftCell="A3" activePane="bottomLeft" state="frozen"/>
      <selection pane="bottomLeft"/>
    </sheetView>
  </sheetViews>
  <sheetFormatPr baseColWidth="10" defaultColWidth="8.6640625" defaultRowHeight="15" x14ac:dyDescent="0.2"/>
  <cols>
    <col min="1" max="2" width="11" customWidth="1"/>
    <col min="3" max="3" width="8" customWidth="1"/>
    <col min="4" max="4" width="10" customWidth="1"/>
    <col min="5" max="5" width="12" customWidth="1"/>
    <col min="6" max="6" width="32" customWidth="1"/>
    <col min="7" max="10" width="10" customWidth="1"/>
    <col min="11" max="11" width="13" customWidth="1"/>
    <col min="12" max="12" width="10" customWidth="1"/>
  </cols>
  <sheetData>
    <row r="1" spans="1:12" ht="25.5" customHeight="1" x14ac:dyDescent="0.2">
      <c r="A1" s="6" t="s">
        <v>209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3" spans="1:12" ht="16" x14ac:dyDescent="0.2">
      <c r="A3" s="19" t="s">
        <v>135</v>
      </c>
      <c r="B3" s="19" t="s">
        <v>136</v>
      </c>
      <c r="C3" s="19" t="s">
        <v>137</v>
      </c>
      <c r="D3" s="19" t="s">
        <v>138</v>
      </c>
      <c r="E3" s="19" t="s">
        <v>139</v>
      </c>
      <c r="F3" s="19" t="s">
        <v>140</v>
      </c>
    </row>
    <row r="4" spans="1:12" ht="32" x14ac:dyDescent="0.2">
      <c r="A4" s="32" t="s">
        <v>132</v>
      </c>
      <c r="B4" s="32" t="s">
        <v>210</v>
      </c>
      <c r="C4" s="23" t="str">
        <f>C$3</f>
        <v>PX_LAST</v>
      </c>
      <c r="D4" s="23" t="str">
        <f>D$3</f>
        <v>IVOL_RANK</v>
      </c>
      <c r="E4" s="30">
        <f ca="1">IFERROR(bdp(B4,C4),0)</f>
        <v>0</v>
      </c>
      <c r="F4" s="22">
        <f ca="1">IFERROR(bdp(B4,D4),0)</f>
        <v>0</v>
      </c>
    </row>
    <row r="6" spans="1:12" ht="15" customHeight="1" x14ac:dyDescent="0.2">
      <c r="A6" s="6" t="s">
        <v>142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2" ht="16" x14ac:dyDescent="0.2">
      <c r="A7" s="19" t="s">
        <v>143</v>
      </c>
      <c r="B7" s="19" t="s">
        <v>144</v>
      </c>
      <c r="C7" s="19" t="s">
        <v>145</v>
      </c>
      <c r="D7" s="19" t="s">
        <v>146</v>
      </c>
    </row>
    <row r="8" spans="1:12" ht="16" x14ac:dyDescent="0.2">
      <c r="A8" s="20" t="s">
        <v>147</v>
      </c>
      <c r="B8" s="33">
        <v>1</v>
      </c>
      <c r="C8" s="34"/>
      <c r="D8" s="33">
        <f>IF(C8="",B8,C8)</f>
        <v>1</v>
      </c>
    </row>
    <row r="9" spans="1:12" ht="32" x14ac:dyDescent="0.2">
      <c r="A9" s="20" t="s">
        <v>148</v>
      </c>
      <c r="B9" s="25">
        <f ca="1">Calendar!$B$11</f>
        <v>46220</v>
      </c>
      <c r="C9" s="35"/>
      <c r="D9" s="25">
        <f ca="1">IF(C9="",B9,C9)</f>
        <v>46220</v>
      </c>
    </row>
    <row r="10" spans="1:12" ht="32" x14ac:dyDescent="0.2">
      <c r="A10" s="20" t="s">
        <v>149</v>
      </c>
      <c r="B10" s="25">
        <f ca="1">Calendar!$B$12</f>
        <v>46255</v>
      </c>
      <c r="C10" s="35"/>
      <c r="D10" s="25">
        <f ca="1">IF(C10="",B10,C10)</f>
        <v>46255</v>
      </c>
    </row>
    <row r="11" spans="1:12" ht="32" x14ac:dyDescent="0.2">
      <c r="A11" s="20" t="s">
        <v>150</v>
      </c>
      <c r="B11" s="30">
        <f ca="1">IF($E$4=0,0,FLOOR($E$4*(1-0.07)/$D$8,1)*$D$8)</f>
        <v>0</v>
      </c>
      <c r="C11" s="36"/>
      <c r="D11" s="30">
        <f ca="1">IF(C11="",B11,C11)</f>
        <v>0</v>
      </c>
    </row>
    <row r="12" spans="1:12" ht="32" x14ac:dyDescent="0.2">
      <c r="A12" s="20" t="s">
        <v>151</v>
      </c>
      <c r="B12" s="30">
        <f ca="1">IF($E$4=0,0,CEILING($E$4*(1+0.07)/$D$8,1)*$D$8)</f>
        <v>0</v>
      </c>
      <c r="C12" s="36"/>
      <c r="D12" s="30">
        <f ca="1">IF(C12="",B12,C12)</f>
        <v>0</v>
      </c>
    </row>
    <row r="14" spans="1:12" ht="21.75" customHeight="1" x14ac:dyDescent="0.2">
      <c r="A14" s="6" t="s">
        <v>152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12" ht="16" x14ac:dyDescent="0.2">
      <c r="A15" s="19" t="s">
        <v>93</v>
      </c>
      <c r="B15" s="19" t="s">
        <v>153</v>
      </c>
      <c r="C15" s="19" t="s">
        <v>154</v>
      </c>
      <c r="D15" s="19" t="s">
        <v>155</v>
      </c>
      <c r="E15" s="19" t="s">
        <v>156</v>
      </c>
      <c r="F15" s="19" t="s">
        <v>136</v>
      </c>
      <c r="G15" s="19" t="s">
        <v>137</v>
      </c>
      <c r="H15" s="19" t="s">
        <v>157</v>
      </c>
      <c r="I15" s="19" t="s">
        <v>158</v>
      </c>
      <c r="J15" s="19" t="s">
        <v>159</v>
      </c>
      <c r="K15" s="19" t="s">
        <v>160</v>
      </c>
      <c r="L15" s="19" t="s">
        <v>161</v>
      </c>
    </row>
    <row r="16" spans="1:12" ht="16" x14ac:dyDescent="0.2">
      <c r="A16" s="23" t="s">
        <v>162</v>
      </c>
      <c r="B16" s="23" t="s">
        <v>163</v>
      </c>
      <c r="C16" s="23" t="s">
        <v>164</v>
      </c>
      <c r="D16" s="30">
        <f ca="1">$D$11</f>
        <v>0</v>
      </c>
      <c r="E16" s="25">
        <f ca="1">$D$9</f>
        <v>46220</v>
      </c>
      <c r="F16" s="23" t="str">
        <f ca="1">"GDX"&amp;" US "&amp;TEXT(E16,"mm/dd/yy")&amp;" "&amp;"P"&amp;IF(D16=INT(D16),INT(D16),D16)&amp;" Equity"</f>
        <v>GDX US 07/17/26 P0 Equity</v>
      </c>
      <c r="G16" s="26">
        <f ca="1">IFERROR(bdp($F16, G$15), 0)</f>
        <v>0</v>
      </c>
      <c r="H16" s="26">
        <f ca="1">IFERROR(bdp($F16, H$15), 0)</f>
        <v>0</v>
      </c>
      <c r="I16" s="26">
        <f ca="1">IFERROR(bdp($F16, I$15), 0)</f>
        <v>0</v>
      </c>
      <c r="J16" s="29">
        <f ca="1">IFERROR(bdp($F16, J$15), 0)</f>
        <v>0</v>
      </c>
      <c r="K16" s="31">
        <f ca="1">IFERROR(bdp($F16, K$15), 0)</f>
        <v>0</v>
      </c>
      <c r="L16" s="26">
        <f ca="1">IFERROR((H16+I16)/2, 0)</f>
        <v>0</v>
      </c>
    </row>
    <row r="17" spans="1:16" ht="16" x14ac:dyDescent="0.2">
      <c r="A17" s="23" t="s">
        <v>162</v>
      </c>
      <c r="B17" s="23" t="s">
        <v>165</v>
      </c>
      <c r="C17" s="23" t="s">
        <v>164</v>
      </c>
      <c r="D17" s="30">
        <f ca="1">$D$11-$D$8</f>
        <v>-1</v>
      </c>
      <c r="E17" s="25">
        <f ca="1">$D$9</f>
        <v>46220</v>
      </c>
      <c r="F17" s="23" t="str">
        <f ca="1">"GDX"&amp;" US "&amp;TEXT(E17,"mm/dd/yy")&amp;" "&amp;"P"&amp;IF(D17=INT(D17),INT(D17),D17)&amp;" Equity"</f>
        <v>GDX US 07/17/26 P-1 Equity</v>
      </c>
      <c r="G17" s="26">
        <f ca="1">IFERROR(bdp($F17, G$15), 0)</f>
        <v>0</v>
      </c>
      <c r="H17" s="26">
        <f ca="1">IFERROR(bdp($F17, H$15), 0)</f>
        <v>0</v>
      </c>
      <c r="I17" s="26">
        <f ca="1">IFERROR(bdp($F17, I$15), 0)</f>
        <v>0</v>
      </c>
      <c r="J17" s="29">
        <f ca="1">IFERROR(bdp($F17, J$15), 0)</f>
        <v>0</v>
      </c>
      <c r="K17" s="31">
        <f ca="1">IFERROR(bdp($F17, K$15), 0)</f>
        <v>0</v>
      </c>
      <c r="L17" s="26">
        <f ca="1">IFERROR((H17+I17)/2, 0)</f>
        <v>0</v>
      </c>
    </row>
    <row r="18" spans="1:16" ht="16" x14ac:dyDescent="0.2">
      <c r="A18" s="23" t="s">
        <v>162</v>
      </c>
      <c r="B18" s="23" t="s">
        <v>166</v>
      </c>
      <c r="C18" s="23" t="s">
        <v>164</v>
      </c>
      <c r="D18" s="30">
        <f ca="1">$D$11</f>
        <v>0</v>
      </c>
      <c r="E18" s="25">
        <f ca="1">$D$10</f>
        <v>46255</v>
      </c>
      <c r="F18" s="23" t="str">
        <f ca="1">"GDX"&amp;" US "&amp;TEXT(E18,"mm/dd/yy")&amp;" "&amp;"P"&amp;IF(D18=INT(D18),INT(D18),D18)&amp;" Equity"</f>
        <v>GDX US 08/21/26 P0 Equity</v>
      </c>
      <c r="G18" s="26">
        <f ca="1">IFERROR(bdp($F18, G$15), 0)</f>
        <v>0</v>
      </c>
      <c r="H18" s="26">
        <f ca="1">IFERROR(bdp($F18, H$15), 0)</f>
        <v>0</v>
      </c>
      <c r="I18" s="26">
        <f ca="1">IFERROR(bdp($F18, I$15), 0)</f>
        <v>0</v>
      </c>
      <c r="J18" s="29">
        <f ca="1">IFERROR(bdp($F18, J$15), 0)</f>
        <v>0</v>
      </c>
      <c r="K18" s="31">
        <f ca="1">IFERROR(bdp($F18, K$15), 0)</f>
        <v>0</v>
      </c>
      <c r="L18" s="26">
        <f ca="1">IFERROR((H18+I18)/2, 0)</f>
        <v>0</v>
      </c>
    </row>
    <row r="19" spans="1:16" ht="16" x14ac:dyDescent="0.2">
      <c r="A19" s="23" t="s">
        <v>162</v>
      </c>
      <c r="B19" s="23" t="s">
        <v>167</v>
      </c>
      <c r="C19" s="23" t="s">
        <v>164</v>
      </c>
      <c r="D19" s="30">
        <f ca="1">$D$11-$D$8</f>
        <v>-1</v>
      </c>
      <c r="E19" s="25">
        <f ca="1">$D$10</f>
        <v>46255</v>
      </c>
      <c r="F19" s="23" t="str">
        <f ca="1">"GDX"&amp;" US "&amp;TEXT(E19,"mm/dd/yy")&amp;" "&amp;"P"&amp;IF(D19=INT(D19),INT(D19),D19)&amp;" Equity"</f>
        <v>GDX US 08/21/26 P-1 Equity</v>
      </c>
      <c r="G19" s="26">
        <f ca="1">IFERROR(bdp($F19, G$15), 0)</f>
        <v>0</v>
      </c>
      <c r="H19" s="26">
        <f ca="1">IFERROR(bdp($F19, H$15), 0)</f>
        <v>0</v>
      </c>
      <c r="I19" s="26">
        <f ca="1">IFERROR(bdp($F19, I$15), 0)</f>
        <v>0</v>
      </c>
      <c r="J19" s="29">
        <f ca="1">IFERROR(bdp($F19, J$15), 0)</f>
        <v>0</v>
      </c>
      <c r="K19" s="31">
        <f ca="1">IFERROR(bdp($F19, K$15), 0)</f>
        <v>0</v>
      </c>
      <c r="L19" s="26">
        <f ca="1">IFERROR((H19+I19)/2, 0)</f>
        <v>0</v>
      </c>
    </row>
    <row r="21" spans="1:16" ht="16" x14ac:dyDescent="0.2">
      <c r="A21" s="19" t="s">
        <v>93</v>
      </c>
      <c r="B21" s="19" t="s">
        <v>168</v>
      </c>
      <c r="C21" s="19" t="s">
        <v>79</v>
      </c>
      <c r="D21" s="19" t="s">
        <v>113</v>
      </c>
      <c r="E21" s="19" t="s">
        <v>114</v>
      </c>
      <c r="F21" s="19" t="s">
        <v>169</v>
      </c>
      <c r="G21" s="19" t="s">
        <v>96</v>
      </c>
      <c r="H21" s="19" t="s">
        <v>97</v>
      </c>
      <c r="I21" s="19" t="s">
        <v>170</v>
      </c>
      <c r="J21" s="19" t="s">
        <v>171</v>
      </c>
      <c r="K21" s="19" t="s">
        <v>172</v>
      </c>
      <c r="L21" s="19" t="s">
        <v>115</v>
      </c>
      <c r="M21" s="19" t="s">
        <v>173</v>
      </c>
      <c r="N21" s="19" t="s">
        <v>116</v>
      </c>
      <c r="O21" s="19" t="s">
        <v>99</v>
      </c>
      <c r="P21" s="19" t="s">
        <v>117</v>
      </c>
    </row>
    <row r="22" spans="1:16" ht="32" x14ac:dyDescent="0.2">
      <c r="A22" s="23" t="s">
        <v>162</v>
      </c>
      <c r="B22" s="23" t="s">
        <v>174</v>
      </c>
      <c r="C22" s="22">
        <f ca="1">$D$9-TODAY()</f>
        <v>67</v>
      </c>
      <c r="D22" s="30">
        <f ca="1">$D$11</f>
        <v>0</v>
      </c>
      <c r="E22" s="30">
        <f ca="1">$D$11-$D$8</f>
        <v>-1</v>
      </c>
      <c r="F22" s="33">
        <f>$D$8</f>
        <v>1</v>
      </c>
      <c r="G22" s="26">
        <f ca="1">IFERROR(L16-L17,0)</f>
        <v>0</v>
      </c>
      <c r="H22" s="26">
        <f ca="1">IFERROR(F22-G22,0)</f>
        <v>1</v>
      </c>
      <c r="I22" s="29">
        <f ca="1">IFERROR(G22/F22,0)</f>
        <v>0</v>
      </c>
      <c r="J22" s="29">
        <f ca="1">IFERROR((I16-H16)/L16,1)</f>
        <v>1</v>
      </c>
      <c r="K22" s="29">
        <f ca="1">IFERROR(($E$4-D22)/$E$4,0)</f>
        <v>0</v>
      </c>
      <c r="L22" s="29">
        <f ca="1">IFERROR(1-ABS(K16),0)</f>
        <v>1</v>
      </c>
      <c r="M22" s="26">
        <f ca="1">L22*G22-(1-L22)*H22</f>
        <v>0</v>
      </c>
      <c r="N22" s="31">
        <f ca="1">IFERROR(M22/H22,0)</f>
        <v>0</v>
      </c>
      <c r="O22" s="23" t="str">
        <f ca="1">IF(NOT(AND(C22&gt;=Settings!$B$14,C22&lt;=Settings!$B$15)),"WAIT - DTE",IF(NOT(AND(ABS(K16)&gt;=Settings!$B$12,ABS(K16)&lt;=Settings!$B$13)),"WAIT - DELTA",IF(NOT($F$4&gt;=Settings!$B$8),"WAIT - IVR",IF(NOT(G22&gt;=Settings!$B$10),"WAIT - CREDIT",IF(NOT(I22&gt;=Settings!$B$9),"WAIT - C/W",IF(NOT(AND(J22&lt;=Settings!$B$11,H16&gt;0,I16&gt;0,H17&gt;0,I17&gt;0)),"WAIT - LIQ",IF(NOT(K22&gt;=Settings!$B$19),"WAIT - BUFFER","GO")))))))</f>
        <v>WAIT - DELTA</v>
      </c>
      <c r="P22" s="31">
        <f ca="1">IF(O22="GO",N22,-1000000000)</f>
        <v>-1000000000</v>
      </c>
    </row>
    <row r="23" spans="1:16" ht="32" x14ac:dyDescent="0.2">
      <c r="A23" s="23" t="s">
        <v>162</v>
      </c>
      <c r="B23" s="23" t="s">
        <v>175</v>
      </c>
      <c r="C23" s="22">
        <f ca="1">$D$10-TODAY()</f>
        <v>102</v>
      </c>
      <c r="D23" s="30">
        <f ca="1">$D$11</f>
        <v>0</v>
      </c>
      <c r="E23" s="30">
        <f ca="1">$D$11-$D$8</f>
        <v>-1</v>
      </c>
      <c r="F23" s="33">
        <f>$D$8</f>
        <v>1</v>
      </c>
      <c r="G23" s="26">
        <f ca="1">IFERROR(L18-L19,0)</f>
        <v>0</v>
      </c>
      <c r="H23" s="26">
        <f ca="1">IFERROR(F23-G23,0)</f>
        <v>1</v>
      </c>
      <c r="I23" s="29">
        <f ca="1">IFERROR(G23/F23,0)</f>
        <v>0</v>
      </c>
      <c r="J23" s="29">
        <f ca="1">IFERROR((I18-H18)/L18,1)</f>
        <v>1</v>
      </c>
      <c r="K23" s="29">
        <f ca="1">IFERROR(($E$4-D23)/$E$4,0)</f>
        <v>0</v>
      </c>
      <c r="L23" s="29">
        <f ca="1">IFERROR(1-ABS(K18),0)</f>
        <v>1</v>
      </c>
      <c r="M23" s="26">
        <f ca="1">L23*G23-(1-L23)*H23</f>
        <v>0</v>
      </c>
      <c r="N23" s="31">
        <f ca="1">IFERROR(M23/H23,0)</f>
        <v>0</v>
      </c>
      <c r="O23" s="23" t="str">
        <f ca="1">IF(NOT(AND(C23&gt;=Settings!$B$14,C23&lt;=Settings!$B$15)),"WAIT - DTE",IF(NOT(AND(ABS(K18)&gt;=Settings!$B$12,ABS(K18)&lt;=Settings!$B$13)),"WAIT - DELTA",IF(NOT($F$4&gt;=Settings!$B$8),"WAIT - IVR",IF(NOT(G23&gt;=Settings!$B$10),"WAIT - CREDIT",IF(NOT(I23&gt;=Settings!$B$9),"WAIT - C/W",IF(NOT(AND(J23&lt;=Settings!$B$11,H18&gt;0,I18&gt;0,H19&gt;0,I19&gt;0)),"WAIT - LIQ",IF(NOT(K23&gt;=Settings!$B$19),"WAIT - BUFFER","GO")))))))</f>
        <v>WAIT - DELTA</v>
      </c>
      <c r="P23" s="31">
        <f ca="1">IF(O23="GO",N23,-1000000000)</f>
        <v>-1000000000</v>
      </c>
    </row>
    <row r="25" spans="1:16" ht="21.75" customHeight="1" x14ac:dyDescent="0.2">
      <c r="A25" s="6" t="s">
        <v>176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6" ht="16" x14ac:dyDescent="0.2">
      <c r="A26" s="19" t="s">
        <v>93</v>
      </c>
      <c r="B26" s="19" t="s">
        <v>153</v>
      </c>
      <c r="C26" s="19" t="s">
        <v>154</v>
      </c>
      <c r="D26" s="19" t="s">
        <v>155</v>
      </c>
      <c r="E26" s="19" t="s">
        <v>156</v>
      </c>
      <c r="F26" s="19" t="s">
        <v>136</v>
      </c>
      <c r="G26" s="19" t="s">
        <v>137</v>
      </c>
      <c r="H26" s="19" t="s">
        <v>157</v>
      </c>
      <c r="I26" s="19" t="s">
        <v>158</v>
      </c>
      <c r="J26" s="19" t="s">
        <v>159</v>
      </c>
      <c r="K26" s="19" t="s">
        <v>160</v>
      </c>
      <c r="L26" s="19" t="s">
        <v>161</v>
      </c>
    </row>
    <row r="27" spans="1:16" ht="16" x14ac:dyDescent="0.2">
      <c r="A27" s="23" t="s">
        <v>177</v>
      </c>
      <c r="B27" s="23" t="s">
        <v>163</v>
      </c>
      <c r="C27" s="23" t="s">
        <v>178</v>
      </c>
      <c r="D27" s="30">
        <f ca="1">$D$12</f>
        <v>0</v>
      </c>
      <c r="E27" s="25">
        <f ca="1">$D$9</f>
        <v>46220</v>
      </c>
      <c r="F27" s="23" t="str">
        <f ca="1">"GDX"&amp;" US "&amp;TEXT(E27,"mm/dd/yy")&amp;" "&amp;"C"&amp;IF(D27=INT(D27),INT(D27),D27)&amp;" Equity"</f>
        <v>GDX US 07/17/26 C0 Equity</v>
      </c>
      <c r="G27" s="26">
        <f ca="1">IFERROR(bdp($F27, G$26), 0)</f>
        <v>0</v>
      </c>
      <c r="H27" s="26">
        <f ca="1">IFERROR(bdp($F27, H$26), 0)</f>
        <v>0</v>
      </c>
      <c r="I27" s="26">
        <f ca="1">IFERROR(bdp($F27, I$26), 0)</f>
        <v>0</v>
      </c>
      <c r="J27" s="29">
        <f ca="1">IFERROR(bdp($F27, J$26), 0)</f>
        <v>0</v>
      </c>
      <c r="K27" s="31">
        <f ca="1">IFERROR(bdp($F27, K$26), 0)</f>
        <v>0</v>
      </c>
      <c r="L27" s="26">
        <f ca="1">IFERROR((H27+I27)/2, 0)</f>
        <v>0</v>
      </c>
    </row>
    <row r="28" spans="1:16" ht="16" x14ac:dyDescent="0.2">
      <c r="A28" s="23" t="s">
        <v>177</v>
      </c>
      <c r="B28" s="23" t="s">
        <v>165</v>
      </c>
      <c r="C28" s="23" t="s">
        <v>178</v>
      </c>
      <c r="D28" s="30">
        <f ca="1">$D$12+$D$8</f>
        <v>1</v>
      </c>
      <c r="E28" s="25">
        <f ca="1">$D$9</f>
        <v>46220</v>
      </c>
      <c r="F28" s="23" t="str">
        <f ca="1">"GDX"&amp;" US "&amp;TEXT(E28,"mm/dd/yy")&amp;" "&amp;"C"&amp;IF(D28=INT(D28),INT(D28),D28)&amp;" Equity"</f>
        <v>GDX US 07/17/26 C1 Equity</v>
      </c>
      <c r="G28" s="26">
        <f ca="1">IFERROR(bdp($F28, G$26), 0)</f>
        <v>0</v>
      </c>
      <c r="H28" s="26">
        <f ca="1">IFERROR(bdp($F28, H$26), 0)</f>
        <v>0</v>
      </c>
      <c r="I28" s="26">
        <f ca="1">IFERROR(bdp($F28, I$26), 0)</f>
        <v>0</v>
      </c>
      <c r="J28" s="29">
        <f ca="1">IFERROR(bdp($F28, J$26), 0)</f>
        <v>0</v>
      </c>
      <c r="K28" s="31">
        <f ca="1">IFERROR(bdp($F28, K$26), 0)</f>
        <v>0</v>
      </c>
      <c r="L28" s="26">
        <f ca="1">IFERROR((H28+I28)/2, 0)</f>
        <v>0</v>
      </c>
    </row>
    <row r="29" spans="1:16" ht="16" x14ac:dyDescent="0.2">
      <c r="A29" s="23" t="s">
        <v>177</v>
      </c>
      <c r="B29" s="23" t="s">
        <v>166</v>
      </c>
      <c r="C29" s="23" t="s">
        <v>178</v>
      </c>
      <c r="D29" s="30">
        <f ca="1">$D$12</f>
        <v>0</v>
      </c>
      <c r="E29" s="25">
        <f ca="1">$D$10</f>
        <v>46255</v>
      </c>
      <c r="F29" s="23" t="str">
        <f ca="1">"GDX"&amp;" US "&amp;TEXT(E29,"mm/dd/yy")&amp;" "&amp;"C"&amp;IF(D29=INT(D29),INT(D29),D29)&amp;" Equity"</f>
        <v>GDX US 08/21/26 C0 Equity</v>
      </c>
      <c r="G29" s="26">
        <f ca="1">IFERROR(bdp($F29, G$26), 0)</f>
        <v>0</v>
      </c>
      <c r="H29" s="26">
        <f ca="1">IFERROR(bdp($F29, H$26), 0)</f>
        <v>0</v>
      </c>
      <c r="I29" s="26">
        <f ca="1">IFERROR(bdp($F29, I$26), 0)</f>
        <v>0</v>
      </c>
      <c r="J29" s="29">
        <f ca="1">IFERROR(bdp($F29, J$26), 0)</f>
        <v>0</v>
      </c>
      <c r="K29" s="31">
        <f ca="1">IFERROR(bdp($F29, K$26), 0)</f>
        <v>0</v>
      </c>
      <c r="L29" s="26">
        <f ca="1">IFERROR((H29+I29)/2, 0)</f>
        <v>0</v>
      </c>
    </row>
    <row r="30" spans="1:16" ht="16" x14ac:dyDescent="0.2">
      <c r="A30" s="23" t="s">
        <v>177</v>
      </c>
      <c r="B30" s="23" t="s">
        <v>167</v>
      </c>
      <c r="C30" s="23" t="s">
        <v>178</v>
      </c>
      <c r="D30" s="30">
        <f ca="1">$D$12+$D$8</f>
        <v>1</v>
      </c>
      <c r="E30" s="25">
        <f ca="1">$D$10</f>
        <v>46255</v>
      </c>
      <c r="F30" s="23" t="str">
        <f ca="1">"GDX"&amp;" US "&amp;TEXT(E30,"mm/dd/yy")&amp;" "&amp;"C"&amp;IF(D30=INT(D30),INT(D30),D30)&amp;" Equity"</f>
        <v>GDX US 08/21/26 C1 Equity</v>
      </c>
      <c r="G30" s="26">
        <f ca="1">IFERROR(bdp($F30, G$26), 0)</f>
        <v>0</v>
      </c>
      <c r="H30" s="26">
        <f ca="1">IFERROR(bdp($F30, H$26), 0)</f>
        <v>0</v>
      </c>
      <c r="I30" s="26">
        <f ca="1">IFERROR(bdp($F30, I$26), 0)</f>
        <v>0</v>
      </c>
      <c r="J30" s="29">
        <f ca="1">IFERROR(bdp($F30, J$26), 0)</f>
        <v>0</v>
      </c>
      <c r="K30" s="31">
        <f ca="1">IFERROR(bdp($F30, K$26), 0)</f>
        <v>0</v>
      </c>
      <c r="L30" s="26">
        <f ca="1">IFERROR((H30+I30)/2, 0)</f>
        <v>0</v>
      </c>
    </row>
    <row r="32" spans="1:16" ht="16" x14ac:dyDescent="0.2">
      <c r="A32" s="19" t="s">
        <v>93</v>
      </c>
      <c r="B32" s="19" t="s">
        <v>168</v>
      </c>
      <c r="C32" s="19" t="s">
        <v>79</v>
      </c>
      <c r="D32" s="19" t="s">
        <v>113</v>
      </c>
      <c r="E32" s="19" t="s">
        <v>114</v>
      </c>
      <c r="F32" s="19" t="s">
        <v>169</v>
      </c>
      <c r="G32" s="19" t="s">
        <v>96</v>
      </c>
      <c r="H32" s="19" t="s">
        <v>97</v>
      </c>
      <c r="I32" s="19" t="s">
        <v>170</v>
      </c>
      <c r="J32" s="19" t="s">
        <v>171</v>
      </c>
      <c r="K32" s="19" t="s">
        <v>172</v>
      </c>
      <c r="L32" s="19" t="s">
        <v>115</v>
      </c>
      <c r="M32" s="19" t="s">
        <v>173</v>
      </c>
      <c r="N32" s="19" t="s">
        <v>116</v>
      </c>
      <c r="O32" s="19" t="s">
        <v>99</v>
      </c>
      <c r="P32" s="19" t="s">
        <v>117</v>
      </c>
    </row>
    <row r="33" spans="1:16" ht="32" x14ac:dyDescent="0.2">
      <c r="A33" s="23" t="s">
        <v>177</v>
      </c>
      <c r="B33" s="23" t="s">
        <v>174</v>
      </c>
      <c r="C33" s="22">
        <f ca="1">$D$9-TODAY()</f>
        <v>67</v>
      </c>
      <c r="D33" s="30">
        <f ca="1">$D$12</f>
        <v>0</v>
      </c>
      <c r="E33" s="30">
        <f ca="1">$D$12+$D$8</f>
        <v>1</v>
      </c>
      <c r="F33" s="33">
        <f>$D$8</f>
        <v>1</v>
      </c>
      <c r="G33" s="26">
        <f ca="1">IFERROR(L27-L28,0)</f>
        <v>0</v>
      </c>
      <c r="H33" s="26">
        <f ca="1">IFERROR(F33-G33,0)</f>
        <v>1</v>
      </c>
      <c r="I33" s="29">
        <f ca="1">IFERROR(G33/F33,0)</f>
        <v>0</v>
      </c>
      <c r="J33" s="29">
        <f ca="1">IFERROR((I27-H27)/L27,1)</f>
        <v>1</v>
      </c>
      <c r="K33" s="29">
        <f ca="1">IFERROR((D33-$E$4)/$E$4,0)</f>
        <v>0</v>
      </c>
      <c r="L33" s="29">
        <f ca="1">IFERROR(1-ABS(K27),0)</f>
        <v>1</v>
      </c>
      <c r="M33" s="26">
        <f ca="1">L33*G33-(1-L33)*H33</f>
        <v>0</v>
      </c>
      <c r="N33" s="31">
        <f ca="1">IFERROR(M33/H33,0)</f>
        <v>0</v>
      </c>
      <c r="O33" s="23" t="str">
        <f ca="1">IF(NOT(AND(C33&gt;=Settings!$B$14,C33&lt;=Settings!$B$15)),"WAIT - DTE",IF(NOT(AND(ABS(K27)&gt;=Settings!$B$12,ABS(K27)&lt;=Settings!$B$13)),"WAIT - DELTA",IF(NOT($F$4&gt;=Settings!$B$8),"WAIT - IVR",IF(NOT(G33&gt;=Settings!$B$10),"WAIT - CREDIT",IF(NOT(I33&gt;=Settings!$B$9),"WAIT - C/W",IF(NOT(AND(J33&lt;=Settings!$B$11,H27&gt;0,I27&gt;0,H28&gt;0,I28&gt;0)),"WAIT - LIQ",IF(NOT(K33&gt;=Settings!$B$19),"WAIT - BUFFER","GO")))))))</f>
        <v>WAIT - DELTA</v>
      </c>
      <c r="P33" s="31">
        <f ca="1">IF(O33="GO",N33,-1000000000)</f>
        <v>-1000000000</v>
      </c>
    </row>
    <row r="34" spans="1:16" ht="32" x14ac:dyDescent="0.2">
      <c r="A34" s="23" t="s">
        <v>177</v>
      </c>
      <c r="B34" s="23" t="s">
        <v>175</v>
      </c>
      <c r="C34" s="22">
        <f ca="1">$D$10-TODAY()</f>
        <v>102</v>
      </c>
      <c r="D34" s="30">
        <f ca="1">$D$12</f>
        <v>0</v>
      </c>
      <c r="E34" s="30">
        <f ca="1">$D$12+$D$8</f>
        <v>1</v>
      </c>
      <c r="F34" s="33">
        <f>$D$8</f>
        <v>1</v>
      </c>
      <c r="G34" s="26">
        <f ca="1">IFERROR(L29-L30,0)</f>
        <v>0</v>
      </c>
      <c r="H34" s="26">
        <f ca="1">IFERROR(F34-G34,0)</f>
        <v>1</v>
      </c>
      <c r="I34" s="29">
        <f ca="1">IFERROR(G34/F34,0)</f>
        <v>0</v>
      </c>
      <c r="J34" s="29">
        <f ca="1">IFERROR((I29-H29)/L29,1)</f>
        <v>1</v>
      </c>
      <c r="K34" s="29">
        <f ca="1">IFERROR((D34-$E$4)/$E$4,0)</f>
        <v>0</v>
      </c>
      <c r="L34" s="29">
        <f ca="1">IFERROR(1-ABS(K29),0)</f>
        <v>1</v>
      </c>
      <c r="M34" s="26">
        <f ca="1">L34*G34-(1-L34)*H34</f>
        <v>0</v>
      </c>
      <c r="N34" s="31">
        <f ca="1">IFERROR(M34/H34,0)</f>
        <v>0</v>
      </c>
      <c r="O34" s="23" t="str">
        <f ca="1">IF(NOT(AND(C34&gt;=Settings!$B$14,C34&lt;=Settings!$B$15)),"WAIT - DTE",IF(NOT(AND(ABS(K29)&gt;=Settings!$B$12,ABS(K29)&lt;=Settings!$B$13)),"WAIT - DELTA",IF(NOT($F$4&gt;=Settings!$B$8),"WAIT - IVR",IF(NOT(G34&gt;=Settings!$B$10),"WAIT - CREDIT",IF(NOT(I34&gt;=Settings!$B$9),"WAIT - C/W",IF(NOT(AND(J34&lt;=Settings!$B$11,H29&gt;0,I29&gt;0,H30&gt;0,I30&gt;0)),"WAIT - LIQ",IF(NOT(K34&gt;=Settings!$B$19),"WAIT - BUFFER","GO")))))))</f>
        <v>WAIT - DELTA</v>
      </c>
      <c r="P34" s="31">
        <f ca="1">IF(O34="GO",N34,-1000000000)</f>
        <v>-1000000000</v>
      </c>
    </row>
    <row r="36" spans="1:16" ht="15" customHeight="1" x14ac:dyDescent="0.2">
      <c r="A36" s="6" t="s">
        <v>179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6" ht="32" x14ac:dyDescent="0.2">
      <c r="A37" s="19" t="s">
        <v>180</v>
      </c>
      <c r="B37" s="19" t="s">
        <v>181</v>
      </c>
      <c r="C37" s="19" t="s">
        <v>182</v>
      </c>
      <c r="D37" s="19" t="s">
        <v>79</v>
      </c>
      <c r="E37" s="19" t="s">
        <v>113</v>
      </c>
      <c r="F37" s="19" t="s">
        <v>114</v>
      </c>
      <c r="G37" s="19" t="s">
        <v>96</v>
      </c>
      <c r="H37" s="19" t="s">
        <v>97</v>
      </c>
      <c r="I37" s="19" t="s">
        <v>115</v>
      </c>
      <c r="J37" s="19" t="s">
        <v>116</v>
      </c>
      <c r="K37" s="19" t="s">
        <v>99</v>
      </c>
      <c r="L37" s="19" t="s">
        <v>117</v>
      </c>
    </row>
    <row r="38" spans="1:16" ht="16" x14ac:dyDescent="0.2">
      <c r="A38" s="23" t="str">
        <f ca="1">INDEX($A$22:$P$34, IF(P22=MAX(P22,P23,P33,P34),22,IF(P23=MAX(P22,P23,P33,P34),23,IF(P33=MAX(P22,P23,P33,P34),33,34)))-21, 1)</f>
        <v>BullPut</v>
      </c>
      <c r="B38" s="23" t="str">
        <f ca="1">INDEX($A$22:$P$34, IF(P22=MAX(P22,P23,P33,P34),22,IF(P23=MAX(P22,P23,P33,P34),23,IF(P33=MAX(P22,P23,P33,P34),33,34)))-21, 2)</f>
        <v>Front</v>
      </c>
      <c r="C38" s="25">
        <f ca="1">IF(INDEX($A$22:$P$34, IF(P22=MAX(P22,P23,P33,P34),22,IF(P23=MAX(P22,P23,P33,P34),23,IF(P33=MAX(P22,P23,P33,P34),33,34)))-21, 2)="Front",$D$9,$D$10)</f>
        <v>46220</v>
      </c>
      <c r="D38" s="22">
        <f ca="1">INDEX($A$22:$P$34, IF(P22=MAX(P22,P23,P33,P34),22,IF(P23=MAX(P22,P23,P33,P34),23,IF(P33=MAX(P22,P23,P33,P34),33,34)))-21, 3)</f>
        <v>67</v>
      </c>
      <c r="E38" s="30">
        <f ca="1">INDEX($A$22:$P$34, IF(P22=MAX(P22,P23,P33,P34),22,IF(P23=MAX(P22,P23,P33,P34),23,IF(P33=MAX(P22,P23,P33,P34),33,34)))-21, 4)</f>
        <v>0</v>
      </c>
      <c r="F38" s="30">
        <f ca="1">INDEX($A$22:$P$34, IF(P22=MAX(P22,P23,P33,P34),22,IF(P23=MAX(P22,P23,P33,P34),23,IF(P33=MAX(P22,P23,P33,P34),33,34)))-21, 5)</f>
        <v>-1</v>
      </c>
      <c r="G38" s="26">
        <f ca="1">INDEX($A$22:$P$34, IF(P22=MAX(P22,P23,P33,P34),22,IF(P23=MAX(P22,P23,P33,P34),23,IF(P33=MAX(P22,P23,P33,P34),33,34)))-21, 7)</f>
        <v>0</v>
      </c>
      <c r="H38" s="26">
        <f ca="1">INDEX($A$22:$P$34, IF(P22=MAX(P22,P23,P33,P34),22,IF(P23=MAX(P22,P23,P33,P34),23,IF(P33=MAX(P22,P23,P33,P34),33,34)))-21, 8)</f>
        <v>1</v>
      </c>
      <c r="I38" s="29">
        <f ca="1">INDEX($A$22:$P$34, IF(P22=MAX(P22,P23,P33,P34),22,IF(P23=MAX(P22,P23,P33,P34),23,IF(P33=MAX(P22,P23,P33,P34),33,34)))-21, 12)</f>
        <v>1</v>
      </c>
      <c r="J38" s="31">
        <f ca="1">INDEX($A$22:$P$34, IF(P22=MAX(P22,P23,P33,P34),22,IF(P23=MAX(P22,P23,P33,P34),23,IF(P33=MAX(P22,P23,P33,P34),33,34)))-21, 14)</f>
        <v>0</v>
      </c>
      <c r="K38" s="23" t="str">
        <f ca="1">INDEX($A$22:$P$34, IF(P22=MAX(P22,P23,P33,P34),22,IF(P23=MAX(P22,P23,P33,P34),23,IF(P33=MAX(P22,P23,P33,P34),33,34)))-21, 15)</f>
        <v>WAIT - DELTA</v>
      </c>
      <c r="L38" s="31">
        <f ca="1">MAX(P22,P23,P33,P34)</f>
        <v>-1000000000</v>
      </c>
    </row>
  </sheetData>
  <mergeCells count="5">
    <mergeCell ref="A1:L1"/>
    <mergeCell ref="A6:L6"/>
    <mergeCell ref="A14:L14"/>
    <mergeCell ref="A25:L25"/>
    <mergeCell ref="A36:L36"/>
  </mergeCells>
  <conditionalFormatting sqref="K38">
    <cfRule type="expression" dxfId="11" priority="6">
      <formula>K38="GO"</formula>
    </cfRule>
    <cfRule type="expression" dxfId="10" priority="7">
      <formula>LEFT(K38,4)="WAIT"</formula>
    </cfRule>
  </conditionalFormatting>
  <conditionalFormatting sqref="O22:O23">
    <cfRule type="expression" dxfId="9" priority="2">
      <formula>O22="GO"</formula>
    </cfRule>
    <cfRule type="expression" dxfId="8" priority="3">
      <formula>LEFT(O22,4)="WAIT"</formula>
    </cfRule>
  </conditionalFormatting>
  <conditionalFormatting sqref="O33:O34">
    <cfRule type="expression" dxfId="7" priority="4">
      <formula>O33="GO"</formula>
    </cfRule>
    <cfRule type="expression" dxfId="6" priority="5">
      <formula>LEFT(O33,4)="WAIT"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38"/>
  <sheetViews>
    <sheetView showGridLines="0" zoomScaleNormal="100" workbookViewId="0">
      <pane ySplit="2" topLeftCell="A3" activePane="bottomLeft" state="frozen"/>
      <selection pane="bottomLeft"/>
    </sheetView>
  </sheetViews>
  <sheetFormatPr baseColWidth="10" defaultColWidth="8.6640625" defaultRowHeight="15" x14ac:dyDescent="0.2"/>
  <cols>
    <col min="1" max="2" width="11" customWidth="1"/>
    <col min="3" max="3" width="8" customWidth="1"/>
    <col min="4" max="4" width="10" customWidth="1"/>
    <col min="5" max="5" width="12" customWidth="1"/>
    <col min="6" max="6" width="32" customWidth="1"/>
    <col min="7" max="10" width="10" customWidth="1"/>
    <col min="11" max="11" width="13" customWidth="1"/>
    <col min="12" max="12" width="10" customWidth="1"/>
  </cols>
  <sheetData>
    <row r="1" spans="1:12" ht="25.5" customHeight="1" x14ac:dyDescent="0.2">
      <c r="A1" s="6" t="s">
        <v>211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3" spans="1:12" ht="16" x14ac:dyDescent="0.2">
      <c r="A3" s="19" t="s">
        <v>135</v>
      </c>
      <c r="B3" s="19" t="s">
        <v>136</v>
      </c>
      <c r="C3" s="19" t="s">
        <v>137</v>
      </c>
      <c r="D3" s="19" t="s">
        <v>138</v>
      </c>
      <c r="E3" s="19" t="s">
        <v>139</v>
      </c>
      <c r="F3" s="19" t="s">
        <v>140</v>
      </c>
    </row>
    <row r="4" spans="1:12" ht="32" x14ac:dyDescent="0.2">
      <c r="A4" s="32" t="s">
        <v>133</v>
      </c>
      <c r="B4" s="32" t="s">
        <v>212</v>
      </c>
      <c r="C4" s="23" t="str">
        <f>C$3</f>
        <v>PX_LAST</v>
      </c>
      <c r="D4" s="23" t="str">
        <f>D$3</f>
        <v>IVOL_RANK</v>
      </c>
      <c r="E4" s="30">
        <f ca="1">IFERROR(bdp(B4,C4),0)</f>
        <v>0</v>
      </c>
      <c r="F4" s="22">
        <f ca="1">IFERROR(bdp(B4,D4),0)</f>
        <v>0</v>
      </c>
    </row>
    <row r="6" spans="1:12" ht="15" customHeight="1" x14ac:dyDescent="0.2">
      <c r="A6" s="6" t="s">
        <v>142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2" ht="16" x14ac:dyDescent="0.2">
      <c r="A7" s="19" t="s">
        <v>143</v>
      </c>
      <c r="B7" s="19" t="s">
        <v>144</v>
      </c>
      <c r="C7" s="19" t="s">
        <v>145</v>
      </c>
      <c r="D7" s="19" t="s">
        <v>146</v>
      </c>
    </row>
    <row r="8" spans="1:12" ht="16" x14ac:dyDescent="0.2">
      <c r="A8" s="20" t="s">
        <v>147</v>
      </c>
      <c r="B8" s="33">
        <v>1</v>
      </c>
      <c r="C8" s="34"/>
      <c r="D8" s="33">
        <f>IF(C8="",B8,C8)</f>
        <v>1</v>
      </c>
    </row>
    <row r="9" spans="1:12" ht="32" x14ac:dyDescent="0.2">
      <c r="A9" s="20" t="s">
        <v>148</v>
      </c>
      <c r="B9" s="25">
        <f ca="1">Calendar!$B$11</f>
        <v>46220</v>
      </c>
      <c r="C9" s="35"/>
      <c r="D9" s="25">
        <f ca="1">IF(C9="",B9,C9)</f>
        <v>46220</v>
      </c>
    </row>
    <row r="10" spans="1:12" ht="32" x14ac:dyDescent="0.2">
      <c r="A10" s="20" t="s">
        <v>149</v>
      </c>
      <c r="B10" s="25">
        <f ca="1">Calendar!$B$12</f>
        <v>46255</v>
      </c>
      <c r="C10" s="35"/>
      <c r="D10" s="25">
        <f ca="1">IF(C10="",B10,C10)</f>
        <v>46255</v>
      </c>
    </row>
    <row r="11" spans="1:12" ht="32" x14ac:dyDescent="0.2">
      <c r="A11" s="20" t="s">
        <v>150</v>
      </c>
      <c r="B11" s="30">
        <f ca="1">IF($E$4=0,0,FLOOR($E$4*(1-0.05)/$D$8,1)*$D$8)</f>
        <v>0</v>
      </c>
      <c r="C11" s="36"/>
      <c r="D11" s="30">
        <f ca="1">IF(C11="",B11,C11)</f>
        <v>0</v>
      </c>
    </row>
    <row r="12" spans="1:12" ht="32" x14ac:dyDescent="0.2">
      <c r="A12" s="20" t="s">
        <v>151</v>
      </c>
      <c r="B12" s="30">
        <f ca="1">IF($E$4=0,0,CEILING($E$4*(1+0.05)/$D$8,1)*$D$8)</f>
        <v>0</v>
      </c>
      <c r="C12" s="36"/>
      <c r="D12" s="30">
        <f ca="1">IF(C12="",B12,C12)</f>
        <v>0</v>
      </c>
    </row>
    <row r="14" spans="1:12" ht="21.75" customHeight="1" x14ac:dyDescent="0.2">
      <c r="A14" s="6" t="s">
        <v>152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12" ht="16" x14ac:dyDescent="0.2">
      <c r="A15" s="19" t="s">
        <v>93</v>
      </c>
      <c r="B15" s="19" t="s">
        <v>153</v>
      </c>
      <c r="C15" s="19" t="s">
        <v>154</v>
      </c>
      <c r="D15" s="19" t="s">
        <v>155</v>
      </c>
      <c r="E15" s="19" t="s">
        <v>156</v>
      </c>
      <c r="F15" s="19" t="s">
        <v>136</v>
      </c>
      <c r="G15" s="19" t="s">
        <v>137</v>
      </c>
      <c r="H15" s="19" t="s">
        <v>157</v>
      </c>
      <c r="I15" s="19" t="s">
        <v>158</v>
      </c>
      <c r="J15" s="19" t="s">
        <v>159</v>
      </c>
      <c r="K15" s="19" t="s">
        <v>160</v>
      </c>
      <c r="L15" s="19" t="s">
        <v>161</v>
      </c>
    </row>
    <row r="16" spans="1:12" ht="16" x14ac:dyDescent="0.2">
      <c r="A16" s="23" t="s">
        <v>162</v>
      </c>
      <c r="B16" s="23" t="s">
        <v>163</v>
      </c>
      <c r="C16" s="23" t="s">
        <v>164</v>
      </c>
      <c r="D16" s="30">
        <f ca="1">$D$11</f>
        <v>0</v>
      </c>
      <c r="E16" s="25">
        <f ca="1">$D$9</f>
        <v>46220</v>
      </c>
      <c r="F16" s="23" t="str">
        <f ca="1">"EEM"&amp;" US "&amp;TEXT(E16,"mm/dd/yy")&amp;" "&amp;"P"&amp;IF(D16=INT(D16),INT(D16),D16)&amp;" Equity"</f>
        <v>EEM US 07/17/26 P0 Equity</v>
      </c>
      <c r="G16" s="26">
        <f ca="1">IFERROR(bdp($F16, G$15), 0)</f>
        <v>0</v>
      </c>
      <c r="H16" s="26">
        <f ca="1">IFERROR(bdp($F16, H$15), 0)</f>
        <v>0</v>
      </c>
      <c r="I16" s="26">
        <f ca="1">IFERROR(bdp($F16, I$15), 0)</f>
        <v>0</v>
      </c>
      <c r="J16" s="29">
        <f ca="1">IFERROR(bdp($F16, J$15), 0)</f>
        <v>0</v>
      </c>
      <c r="K16" s="31">
        <f ca="1">IFERROR(bdp($F16, K$15), 0)</f>
        <v>0</v>
      </c>
      <c r="L16" s="26">
        <f ca="1">IFERROR((H16+I16)/2, 0)</f>
        <v>0</v>
      </c>
    </row>
    <row r="17" spans="1:16" ht="16" x14ac:dyDescent="0.2">
      <c r="A17" s="23" t="s">
        <v>162</v>
      </c>
      <c r="B17" s="23" t="s">
        <v>165</v>
      </c>
      <c r="C17" s="23" t="s">
        <v>164</v>
      </c>
      <c r="D17" s="30">
        <f ca="1">$D$11-$D$8</f>
        <v>-1</v>
      </c>
      <c r="E17" s="25">
        <f ca="1">$D$9</f>
        <v>46220</v>
      </c>
      <c r="F17" s="23" t="str">
        <f ca="1">"EEM"&amp;" US "&amp;TEXT(E17,"mm/dd/yy")&amp;" "&amp;"P"&amp;IF(D17=INT(D17),INT(D17),D17)&amp;" Equity"</f>
        <v>EEM US 07/17/26 P-1 Equity</v>
      </c>
      <c r="G17" s="26">
        <f ca="1">IFERROR(bdp($F17, G$15), 0)</f>
        <v>0</v>
      </c>
      <c r="H17" s="26">
        <f ca="1">IFERROR(bdp($F17, H$15), 0)</f>
        <v>0</v>
      </c>
      <c r="I17" s="26">
        <f ca="1">IFERROR(bdp($F17, I$15), 0)</f>
        <v>0</v>
      </c>
      <c r="J17" s="29">
        <f ca="1">IFERROR(bdp($F17, J$15), 0)</f>
        <v>0</v>
      </c>
      <c r="K17" s="31">
        <f ca="1">IFERROR(bdp($F17, K$15), 0)</f>
        <v>0</v>
      </c>
      <c r="L17" s="26">
        <f ca="1">IFERROR((H17+I17)/2, 0)</f>
        <v>0</v>
      </c>
    </row>
    <row r="18" spans="1:16" ht="16" x14ac:dyDescent="0.2">
      <c r="A18" s="23" t="s">
        <v>162</v>
      </c>
      <c r="B18" s="23" t="s">
        <v>166</v>
      </c>
      <c r="C18" s="23" t="s">
        <v>164</v>
      </c>
      <c r="D18" s="30">
        <f ca="1">$D$11</f>
        <v>0</v>
      </c>
      <c r="E18" s="25">
        <f ca="1">$D$10</f>
        <v>46255</v>
      </c>
      <c r="F18" s="23" t="str">
        <f ca="1">"EEM"&amp;" US "&amp;TEXT(E18,"mm/dd/yy")&amp;" "&amp;"P"&amp;IF(D18=INT(D18),INT(D18),D18)&amp;" Equity"</f>
        <v>EEM US 08/21/26 P0 Equity</v>
      </c>
      <c r="G18" s="26">
        <f ca="1">IFERROR(bdp($F18, G$15), 0)</f>
        <v>0</v>
      </c>
      <c r="H18" s="26">
        <f ca="1">IFERROR(bdp($F18, H$15), 0)</f>
        <v>0</v>
      </c>
      <c r="I18" s="26">
        <f ca="1">IFERROR(bdp($F18, I$15), 0)</f>
        <v>0</v>
      </c>
      <c r="J18" s="29">
        <f ca="1">IFERROR(bdp($F18, J$15), 0)</f>
        <v>0</v>
      </c>
      <c r="K18" s="31">
        <f ca="1">IFERROR(bdp($F18, K$15), 0)</f>
        <v>0</v>
      </c>
      <c r="L18" s="26">
        <f ca="1">IFERROR((H18+I18)/2, 0)</f>
        <v>0</v>
      </c>
    </row>
    <row r="19" spans="1:16" ht="16" x14ac:dyDescent="0.2">
      <c r="A19" s="23" t="s">
        <v>162</v>
      </c>
      <c r="B19" s="23" t="s">
        <v>167</v>
      </c>
      <c r="C19" s="23" t="s">
        <v>164</v>
      </c>
      <c r="D19" s="30">
        <f ca="1">$D$11-$D$8</f>
        <v>-1</v>
      </c>
      <c r="E19" s="25">
        <f ca="1">$D$10</f>
        <v>46255</v>
      </c>
      <c r="F19" s="23" t="str">
        <f ca="1">"EEM"&amp;" US "&amp;TEXT(E19,"mm/dd/yy")&amp;" "&amp;"P"&amp;IF(D19=INT(D19),INT(D19),D19)&amp;" Equity"</f>
        <v>EEM US 08/21/26 P-1 Equity</v>
      </c>
      <c r="G19" s="26">
        <f ca="1">IFERROR(bdp($F19, G$15), 0)</f>
        <v>0</v>
      </c>
      <c r="H19" s="26">
        <f ca="1">IFERROR(bdp($F19, H$15), 0)</f>
        <v>0</v>
      </c>
      <c r="I19" s="26">
        <f ca="1">IFERROR(bdp($F19, I$15), 0)</f>
        <v>0</v>
      </c>
      <c r="J19" s="29">
        <f ca="1">IFERROR(bdp($F19, J$15), 0)</f>
        <v>0</v>
      </c>
      <c r="K19" s="31">
        <f ca="1">IFERROR(bdp($F19, K$15), 0)</f>
        <v>0</v>
      </c>
      <c r="L19" s="26">
        <f ca="1">IFERROR((H19+I19)/2, 0)</f>
        <v>0</v>
      </c>
    </row>
    <row r="21" spans="1:16" ht="16" x14ac:dyDescent="0.2">
      <c r="A21" s="19" t="s">
        <v>93</v>
      </c>
      <c r="B21" s="19" t="s">
        <v>168</v>
      </c>
      <c r="C21" s="19" t="s">
        <v>79</v>
      </c>
      <c r="D21" s="19" t="s">
        <v>113</v>
      </c>
      <c r="E21" s="19" t="s">
        <v>114</v>
      </c>
      <c r="F21" s="19" t="s">
        <v>169</v>
      </c>
      <c r="G21" s="19" t="s">
        <v>96</v>
      </c>
      <c r="H21" s="19" t="s">
        <v>97</v>
      </c>
      <c r="I21" s="19" t="s">
        <v>170</v>
      </c>
      <c r="J21" s="19" t="s">
        <v>171</v>
      </c>
      <c r="K21" s="19" t="s">
        <v>172</v>
      </c>
      <c r="L21" s="19" t="s">
        <v>115</v>
      </c>
      <c r="M21" s="19" t="s">
        <v>173</v>
      </c>
      <c r="N21" s="19" t="s">
        <v>116</v>
      </c>
      <c r="O21" s="19" t="s">
        <v>99</v>
      </c>
      <c r="P21" s="19" t="s">
        <v>117</v>
      </c>
    </row>
    <row r="22" spans="1:16" ht="32" x14ac:dyDescent="0.2">
      <c r="A22" s="23" t="s">
        <v>162</v>
      </c>
      <c r="B22" s="23" t="s">
        <v>174</v>
      </c>
      <c r="C22" s="22">
        <f ca="1">$D$9-TODAY()</f>
        <v>67</v>
      </c>
      <c r="D22" s="30">
        <f ca="1">$D$11</f>
        <v>0</v>
      </c>
      <c r="E22" s="30">
        <f ca="1">$D$11-$D$8</f>
        <v>-1</v>
      </c>
      <c r="F22" s="33">
        <f>$D$8</f>
        <v>1</v>
      </c>
      <c r="G22" s="26">
        <f ca="1">IFERROR(L16-L17,0)</f>
        <v>0</v>
      </c>
      <c r="H22" s="26">
        <f ca="1">IFERROR(F22-G22,0)</f>
        <v>1</v>
      </c>
      <c r="I22" s="29">
        <f ca="1">IFERROR(G22/F22,0)</f>
        <v>0</v>
      </c>
      <c r="J22" s="29">
        <f ca="1">IFERROR((I16-H16)/L16,1)</f>
        <v>1</v>
      </c>
      <c r="K22" s="29">
        <f ca="1">IFERROR(($E$4-D22)/$E$4,0)</f>
        <v>0</v>
      </c>
      <c r="L22" s="29">
        <f ca="1">IFERROR(1-ABS(K16),0)</f>
        <v>1</v>
      </c>
      <c r="M22" s="26">
        <f ca="1">L22*G22-(1-L22)*H22</f>
        <v>0</v>
      </c>
      <c r="N22" s="31">
        <f ca="1">IFERROR(M22/H22,0)</f>
        <v>0</v>
      </c>
      <c r="O22" s="23" t="str">
        <f ca="1">IF(NOT(AND(C22&gt;=Settings!$B$14,C22&lt;=Settings!$B$15)),"WAIT - DTE",IF(NOT(AND(ABS(K16)&gt;=Settings!$B$12,ABS(K16)&lt;=Settings!$B$13)),"WAIT - DELTA",IF(NOT($F$4&gt;=Settings!$B$8),"WAIT - IVR",IF(NOT(G22&gt;=Settings!$B$10),"WAIT - CREDIT",IF(NOT(I22&gt;=Settings!$B$9),"WAIT - C/W",IF(NOT(AND(J22&lt;=Settings!$B$11,H16&gt;0,I16&gt;0,H17&gt;0,I17&gt;0)),"WAIT - LIQ",IF(NOT(K22&gt;=Settings!$B$19),"WAIT - BUFFER","GO")))))))</f>
        <v>WAIT - DELTA</v>
      </c>
      <c r="P22" s="31">
        <f ca="1">IF(O22="GO",N22,-1000000000)</f>
        <v>-1000000000</v>
      </c>
    </row>
    <row r="23" spans="1:16" ht="32" x14ac:dyDescent="0.2">
      <c r="A23" s="23" t="s">
        <v>162</v>
      </c>
      <c r="B23" s="23" t="s">
        <v>175</v>
      </c>
      <c r="C23" s="22">
        <f ca="1">$D$10-TODAY()</f>
        <v>102</v>
      </c>
      <c r="D23" s="30">
        <f ca="1">$D$11</f>
        <v>0</v>
      </c>
      <c r="E23" s="30">
        <f ca="1">$D$11-$D$8</f>
        <v>-1</v>
      </c>
      <c r="F23" s="33">
        <f>$D$8</f>
        <v>1</v>
      </c>
      <c r="G23" s="26">
        <f ca="1">IFERROR(L18-L19,0)</f>
        <v>0</v>
      </c>
      <c r="H23" s="26">
        <f ca="1">IFERROR(F23-G23,0)</f>
        <v>1</v>
      </c>
      <c r="I23" s="29">
        <f ca="1">IFERROR(G23/F23,0)</f>
        <v>0</v>
      </c>
      <c r="J23" s="29">
        <f ca="1">IFERROR((I18-H18)/L18,1)</f>
        <v>1</v>
      </c>
      <c r="K23" s="29">
        <f ca="1">IFERROR(($E$4-D23)/$E$4,0)</f>
        <v>0</v>
      </c>
      <c r="L23" s="29">
        <f ca="1">IFERROR(1-ABS(K18),0)</f>
        <v>1</v>
      </c>
      <c r="M23" s="26">
        <f ca="1">L23*G23-(1-L23)*H23</f>
        <v>0</v>
      </c>
      <c r="N23" s="31">
        <f ca="1">IFERROR(M23/H23,0)</f>
        <v>0</v>
      </c>
      <c r="O23" s="23" t="str">
        <f ca="1">IF(NOT(AND(C23&gt;=Settings!$B$14,C23&lt;=Settings!$B$15)),"WAIT - DTE",IF(NOT(AND(ABS(K18)&gt;=Settings!$B$12,ABS(K18)&lt;=Settings!$B$13)),"WAIT - DELTA",IF(NOT($F$4&gt;=Settings!$B$8),"WAIT - IVR",IF(NOT(G23&gt;=Settings!$B$10),"WAIT - CREDIT",IF(NOT(I23&gt;=Settings!$B$9),"WAIT - C/W",IF(NOT(AND(J23&lt;=Settings!$B$11,H18&gt;0,I18&gt;0,H19&gt;0,I19&gt;0)),"WAIT - LIQ",IF(NOT(K23&gt;=Settings!$B$19),"WAIT - BUFFER","GO")))))))</f>
        <v>WAIT - DELTA</v>
      </c>
      <c r="P23" s="31">
        <f ca="1">IF(O23="GO",N23,-1000000000)</f>
        <v>-1000000000</v>
      </c>
    </row>
    <row r="25" spans="1:16" ht="21.75" customHeight="1" x14ac:dyDescent="0.2">
      <c r="A25" s="6" t="s">
        <v>176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6" ht="16" x14ac:dyDescent="0.2">
      <c r="A26" s="19" t="s">
        <v>93</v>
      </c>
      <c r="B26" s="19" t="s">
        <v>153</v>
      </c>
      <c r="C26" s="19" t="s">
        <v>154</v>
      </c>
      <c r="D26" s="19" t="s">
        <v>155</v>
      </c>
      <c r="E26" s="19" t="s">
        <v>156</v>
      </c>
      <c r="F26" s="19" t="s">
        <v>136</v>
      </c>
      <c r="G26" s="19" t="s">
        <v>137</v>
      </c>
      <c r="H26" s="19" t="s">
        <v>157</v>
      </c>
      <c r="I26" s="19" t="s">
        <v>158</v>
      </c>
      <c r="J26" s="19" t="s">
        <v>159</v>
      </c>
      <c r="K26" s="19" t="s">
        <v>160</v>
      </c>
      <c r="L26" s="19" t="s">
        <v>161</v>
      </c>
    </row>
    <row r="27" spans="1:16" ht="16" x14ac:dyDescent="0.2">
      <c r="A27" s="23" t="s">
        <v>177</v>
      </c>
      <c r="B27" s="23" t="s">
        <v>163</v>
      </c>
      <c r="C27" s="23" t="s">
        <v>178</v>
      </c>
      <c r="D27" s="30">
        <f ca="1">$D$12</f>
        <v>0</v>
      </c>
      <c r="E27" s="25">
        <f ca="1">$D$9</f>
        <v>46220</v>
      </c>
      <c r="F27" s="23" t="str">
        <f ca="1">"EEM"&amp;" US "&amp;TEXT(E27,"mm/dd/yy")&amp;" "&amp;"C"&amp;IF(D27=INT(D27),INT(D27),D27)&amp;" Equity"</f>
        <v>EEM US 07/17/26 C0 Equity</v>
      </c>
      <c r="G27" s="26">
        <f ca="1">IFERROR(bdp($F27, G$26), 0)</f>
        <v>0</v>
      </c>
      <c r="H27" s="26">
        <f ca="1">IFERROR(bdp($F27, H$26), 0)</f>
        <v>0</v>
      </c>
      <c r="I27" s="26">
        <f ca="1">IFERROR(bdp($F27, I$26), 0)</f>
        <v>0</v>
      </c>
      <c r="J27" s="29">
        <f ca="1">IFERROR(bdp($F27, J$26), 0)</f>
        <v>0</v>
      </c>
      <c r="K27" s="31">
        <f ca="1">IFERROR(bdp($F27, K$26), 0)</f>
        <v>0</v>
      </c>
      <c r="L27" s="26">
        <f ca="1">IFERROR((H27+I27)/2, 0)</f>
        <v>0</v>
      </c>
    </row>
    <row r="28" spans="1:16" ht="16" x14ac:dyDescent="0.2">
      <c r="A28" s="23" t="s">
        <v>177</v>
      </c>
      <c r="B28" s="23" t="s">
        <v>165</v>
      </c>
      <c r="C28" s="23" t="s">
        <v>178</v>
      </c>
      <c r="D28" s="30">
        <f ca="1">$D$12+$D$8</f>
        <v>1</v>
      </c>
      <c r="E28" s="25">
        <f ca="1">$D$9</f>
        <v>46220</v>
      </c>
      <c r="F28" s="23" t="str">
        <f ca="1">"EEM"&amp;" US "&amp;TEXT(E28,"mm/dd/yy")&amp;" "&amp;"C"&amp;IF(D28=INT(D28),INT(D28),D28)&amp;" Equity"</f>
        <v>EEM US 07/17/26 C1 Equity</v>
      </c>
      <c r="G28" s="26">
        <f ca="1">IFERROR(bdp($F28, G$26), 0)</f>
        <v>0</v>
      </c>
      <c r="H28" s="26">
        <f ca="1">IFERROR(bdp($F28, H$26), 0)</f>
        <v>0</v>
      </c>
      <c r="I28" s="26">
        <f ca="1">IFERROR(bdp($F28, I$26), 0)</f>
        <v>0</v>
      </c>
      <c r="J28" s="29">
        <f ca="1">IFERROR(bdp($F28, J$26), 0)</f>
        <v>0</v>
      </c>
      <c r="K28" s="31">
        <f ca="1">IFERROR(bdp($F28, K$26), 0)</f>
        <v>0</v>
      </c>
      <c r="L28" s="26">
        <f ca="1">IFERROR((H28+I28)/2, 0)</f>
        <v>0</v>
      </c>
    </row>
    <row r="29" spans="1:16" ht="16" x14ac:dyDescent="0.2">
      <c r="A29" s="23" t="s">
        <v>177</v>
      </c>
      <c r="B29" s="23" t="s">
        <v>166</v>
      </c>
      <c r="C29" s="23" t="s">
        <v>178</v>
      </c>
      <c r="D29" s="30">
        <f ca="1">$D$12</f>
        <v>0</v>
      </c>
      <c r="E29" s="25">
        <f ca="1">$D$10</f>
        <v>46255</v>
      </c>
      <c r="F29" s="23" t="str">
        <f ca="1">"EEM"&amp;" US "&amp;TEXT(E29,"mm/dd/yy")&amp;" "&amp;"C"&amp;IF(D29=INT(D29),INT(D29),D29)&amp;" Equity"</f>
        <v>EEM US 08/21/26 C0 Equity</v>
      </c>
      <c r="G29" s="26">
        <f ca="1">IFERROR(bdp($F29, G$26), 0)</f>
        <v>0</v>
      </c>
      <c r="H29" s="26">
        <f ca="1">IFERROR(bdp($F29, H$26), 0)</f>
        <v>0</v>
      </c>
      <c r="I29" s="26">
        <f ca="1">IFERROR(bdp($F29, I$26), 0)</f>
        <v>0</v>
      </c>
      <c r="J29" s="29">
        <f ca="1">IFERROR(bdp($F29, J$26), 0)</f>
        <v>0</v>
      </c>
      <c r="K29" s="31">
        <f ca="1">IFERROR(bdp($F29, K$26), 0)</f>
        <v>0</v>
      </c>
      <c r="L29" s="26">
        <f ca="1">IFERROR((H29+I29)/2, 0)</f>
        <v>0</v>
      </c>
    </row>
    <row r="30" spans="1:16" ht="16" x14ac:dyDescent="0.2">
      <c r="A30" s="23" t="s">
        <v>177</v>
      </c>
      <c r="B30" s="23" t="s">
        <v>167</v>
      </c>
      <c r="C30" s="23" t="s">
        <v>178</v>
      </c>
      <c r="D30" s="30">
        <f ca="1">$D$12+$D$8</f>
        <v>1</v>
      </c>
      <c r="E30" s="25">
        <f ca="1">$D$10</f>
        <v>46255</v>
      </c>
      <c r="F30" s="23" t="str">
        <f ca="1">"EEM"&amp;" US "&amp;TEXT(E30,"mm/dd/yy")&amp;" "&amp;"C"&amp;IF(D30=INT(D30),INT(D30),D30)&amp;" Equity"</f>
        <v>EEM US 08/21/26 C1 Equity</v>
      </c>
      <c r="G30" s="26">
        <f ca="1">IFERROR(bdp($F30, G$26), 0)</f>
        <v>0</v>
      </c>
      <c r="H30" s="26">
        <f ca="1">IFERROR(bdp($F30, H$26), 0)</f>
        <v>0</v>
      </c>
      <c r="I30" s="26">
        <f ca="1">IFERROR(bdp($F30, I$26), 0)</f>
        <v>0</v>
      </c>
      <c r="J30" s="29">
        <f ca="1">IFERROR(bdp($F30, J$26), 0)</f>
        <v>0</v>
      </c>
      <c r="K30" s="31">
        <f ca="1">IFERROR(bdp($F30, K$26), 0)</f>
        <v>0</v>
      </c>
      <c r="L30" s="26">
        <f ca="1">IFERROR((H30+I30)/2, 0)</f>
        <v>0</v>
      </c>
    </row>
    <row r="32" spans="1:16" ht="16" x14ac:dyDescent="0.2">
      <c r="A32" s="19" t="s">
        <v>93</v>
      </c>
      <c r="B32" s="19" t="s">
        <v>168</v>
      </c>
      <c r="C32" s="19" t="s">
        <v>79</v>
      </c>
      <c r="D32" s="19" t="s">
        <v>113</v>
      </c>
      <c r="E32" s="19" t="s">
        <v>114</v>
      </c>
      <c r="F32" s="19" t="s">
        <v>169</v>
      </c>
      <c r="G32" s="19" t="s">
        <v>96</v>
      </c>
      <c r="H32" s="19" t="s">
        <v>97</v>
      </c>
      <c r="I32" s="19" t="s">
        <v>170</v>
      </c>
      <c r="J32" s="19" t="s">
        <v>171</v>
      </c>
      <c r="K32" s="19" t="s">
        <v>172</v>
      </c>
      <c r="L32" s="19" t="s">
        <v>115</v>
      </c>
      <c r="M32" s="19" t="s">
        <v>173</v>
      </c>
      <c r="N32" s="19" t="s">
        <v>116</v>
      </c>
      <c r="O32" s="19" t="s">
        <v>99</v>
      </c>
      <c r="P32" s="19" t="s">
        <v>117</v>
      </c>
    </row>
    <row r="33" spans="1:16" ht="32" x14ac:dyDescent="0.2">
      <c r="A33" s="23" t="s">
        <v>177</v>
      </c>
      <c r="B33" s="23" t="s">
        <v>174</v>
      </c>
      <c r="C33" s="22">
        <f ca="1">$D$9-TODAY()</f>
        <v>67</v>
      </c>
      <c r="D33" s="30">
        <f ca="1">$D$12</f>
        <v>0</v>
      </c>
      <c r="E33" s="30">
        <f ca="1">$D$12+$D$8</f>
        <v>1</v>
      </c>
      <c r="F33" s="33">
        <f>$D$8</f>
        <v>1</v>
      </c>
      <c r="G33" s="26">
        <f ca="1">IFERROR(L27-L28,0)</f>
        <v>0</v>
      </c>
      <c r="H33" s="26">
        <f ca="1">IFERROR(F33-G33,0)</f>
        <v>1</v>
      </c>
      <c r="I33" s="29">
        <f ca="1">IFERROR(G33/F33,0)</f>
        <v>0</v>
      </c>
      <c r="J33" s="29">
        <f ca="1">IFERROR((I27-H27)/L27,1)</f>
        <v>1</v>
      </c>
      <c r="K33" s="29">
        <f ca="1">IFERROR((D33-$E$4)/$E$4,0)</f>
        <v>0</v>
      </c>
      <c r="L33" s="29">
        <f ca="1">IFERROR(1-ABS(K27),0)</f>
        <v>1</v>
      </c>
      <c r="M33" s="26">
        <f ca="1">L33*G33-(1-L33)*H33</f>
        <v>0</v>
      </c>
      <c r="N33" s="31">
        <f ca="1">IFERROR(M33/H33,0)</f>
        <v>0</v>
      </c>
      <c r="O33" s="23" t="str">
        <f ca="1">IF(NOT(AND(C33&gt;=Settings!$B$14,C33&lt;=Settings!$B$15)),"WAIT - DTE",IF(NOT(AND(ABS(K27)&gt;=Settings!$B$12,ABS(K27)&lt;=Settings!$B$13)),"WAIT - DELTA",IF(NOT($F$4&gt;=Settings!$B$8),"WAIT - IVR",IF(NOT(G33&gt;=Settings!$B$10),"WAIT - CREDIT",IF(NOT(I33&gt;=Settings!$B$9),"WAIT - C/W",IF(NOT(AND(J33&lt;=Settings!$B$11,H27&gt;0,I27&gt;0,H28&gt;0,I28&gt;0)),"WAIT - LIQ",IF(NOT(K33&gt;=Settings!$B$19),"WAIT - BUFFER","GO")))))))</f>
        <v>WAIT - DELTA</v>
      </c>
      <c r="P33" s="31">
        <f ca="1">IF(O33="GO",N33,-1000000000)</f>
        <v>-1000000000</v>
      </c>
    </row>
    <row r="34" spans="1:16" ht="32" x14ac:dyDescent="0.2">
      <c r="A34" s="23" t="s">
        <v>177</v>
      </c>
      <c r="B34" s="23" t="s">
        <v>175</v>
      </c>
      <c r="C34" s="22">
        <f ca="1">$D$10-TODAY()</f>
        <v>102</v>
      </c>
      <c r="D34" s="30">
        <f ca="1">$D$12</f>
        <v>0</v>
      </c>
      <c r="E34" s="30">
        <f ca="1">$D$12+$D$8</f>
        <v>1</v>
      </c>
      <c r="F34" s="33">
        <f>$D$8</f>
        <v>1</v>
      </c>
      <c r="G34" s="26">
        <f ca="1">IFERROR(L29-L30,0)</f>
        <v>0</v>
      </c>
      <c r="H34" s="26">
        <f ca="1">IFERROR(F34-G34,0)</f>
        <v>1</v>
      </c>
      <c r="I34" s="29">
        <f ca="1">IFERROR(G34/F34,0)</f>
        <v>0</v>
      </c>
      <c r="J34" s="29">
        <f ca="1">IFERROR((I29-H29)/L29,1)</f>
        <v>1</v>
      </c>
      <c r="K34" s="29">
        <f ca="1">IFERROR((D34-$E$4)/$E$4,0)</f>
        <v>0</v>
      </c>
      <c r="L34" s="29">
        <f ca="1">IFERROR(1-ABS(K29),0)</f>
        <v>1</v>
      </c>
      <c r="M34" s="26">
        <f ca="1">L34*G34-(1-L34)*H34</f>
        <v>0</v>
      </c>
      <c r="N34" s="31">
        <f ca="1">IFERROR(M34/H34,0)</f>
        <v>0</v>
      </c>
      <c r="O34" s="23" t="str">
        <f ca="1">IF(NOT(AND(C34&gt;=Settings!$B$14,C34&lt;=Settings!$B$15)),"WAIT - DTE",IF(NOT(AND(ABS(K29)&gt;=Settings!$B$12,ABS(K29)&lt;=Settings!$B$13)),"WAIT - DELTA",IF(NOT($F$4&gt;=Settings!$B$8),"WAIT - IVR",IF(NOT(G34&gt;=Settings!$B$10),"WAIT - CREDIT",IF(NOT(I34&gt;=Settings!$B$9),"WAIT - C/W",IF(NOT(AND(J34&lt;=Settings!$B$11,H29&gt;0,I29&gt;0,H30&gt;0,I30&gt;0)),"WAIT - LIQ",IF(NOT(K34&gt;=Settings!$B$19),"WAIT - BUFFER","GO")))))))</f>
        <v>WAIT - DELTA</v>
      </c>
      <c r="P34" s="31">
        <f ca="1">IF(O34="GO",N34,-1000000000)</f>
        <v>-1000000000</v>
      </c>
    </row>
    <row r="36" spans="1:16" ht="15" customHeight="1" x14ac:dyDescent="0.2">
      <c r="A36" s="6" t="s">
        <v>179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6" ht="32" x14ac:dyDescent="0.2">
      <c r="A37" s="19" t="s">
        <v>180</v>
      </c>
      <c r="B37" s="19" t="s">
        <v>181</v>
      </c>
      <c r="C37" s="19" t="s">
        <v>182</v>
      </c>
      <c r="D37" s="19" t="s">
        <v>79</v>
      </c>
      <c r="E37" s="19" t="s">
        <v>113</v>
      </c>
      <c r="F37" s="19" t="s">
        <v>114</v>
      </c>
      <c r="G37" s="19" t="s">
        <v>96</v>
      </c>
      <c r="H37" s="19" t="s">
        <v>97</v>
      </c>
      <c r="I37" s="19" t="s">
        <v>115</v>
      </c>
      <c r="J37" s="19" t="s">
        <v>116</v>
      </c>
      <c r="K37" s="19" t="s">
        <v>99</v>
      </c>
      <c r="L37" s="19" t="s">
        <v>117</v>
      </c>
    </row>
    <row r="38" spans="1:16" ht="16" x14ac:dyDescent="0.2">
      <c r="A38" s="23" t="str">
        <f ca="1">INDEX($A$22:$P$34, IF(P22=MAX(P22,P23,P33,P34),22,IF(P23=MAX(P22,P23,P33,P34),23,IF(P33=MAX(P22,P23,P33,P34),33,34)))-21, 1)</f>
        <v>BullPut</v>
      </c>
      <c r="B38" s="23" t="str">
        <f ca="1">INDEX($A$22:$P$34, IF(P22=MAX(P22,P23,P33,P34),22,IF(P23=MAX(P22,P23,P33,P34),23,IF(P33=MAX(P22,P23,P33,P34),33,34)))-21, 2)</f>
        <v>Front</v>
      </c>
      <c r="C38" s="25">
        <f ca="1">IF(INDEX($A$22:$P$34, IF(P22=MAX(P22,P23,P33,P34),22,IF(P23=MAX(P22,P23,P33,P34),23,IF(P33=MAX(P22,P23,P33,P34),33,34)))-21, 2)="Front",$D$9,$D$10)</f>
        <v>46220</v>
      </c>
      <c r="D38" s="22">
        <f ca="1">INDEX($A$22:$P$34, IF(P22=MAX(P22,P23,P33,P34),22,IF(P23=MAX(P22,P23,P33,P34),23,IF(P33=MAX(P22,P23,P33,P34),33,34)))-21, 3)</f>
        <v>67</v>
      </c>
      <c r="E38" s="30">
        <f ca="1">INDEX($A$22:$P$34, IF(P22=MAX(P22,P23,P33,P34),22,IF(P23=MAX(P22,P23,P33,P34),23,IF(P33=MAX(P22,P23,P33,P34),33,34)))-21, 4)</f>
        <v>0</v>
      </c>
      <c r="F38" s="30">
        <f ca="1">INDEX($A$22:$P$34, IF(P22=MAX(P22,P23,P33,P34),22,IF(P23=MAX(P22,P23,P33,P34),23,IF(P33=MAX(P22,P23,P33,P34),33,34)))-21, 5)</f>
        <v>-1</v>
      </c>
      <c r="G38" s="26">
        <f ca="1">INDEX($A$22:$P$34, IF(P22=MAX(P22,P23,P33,P34),22,IF(P23=MAX(P22,P23,P33,P34),23,IF(P33=MAX(P22,P23,P33,P34),33,34)))-21, 7)</f>
        <v>0</v>
      </c>
      <c r="H38" s="26">
        <f ca="1">INDEX($A$22:$P$34, IF(P22=MAX(P22,P23,P33,P34),22,IF(P23=MAX(P22,P23,P33,P34),23,IF(P33=MAX(P22,P23,P33,P34),33,34)))-21, 8)</f>
        <v>1</v>
      </c>
      <c r="I38" s="29">
        <f ca="1">INDEX($A$22:$P$34, IF(P22=MAX(P22,P23,P33,P34),22,IF(P23=MAX(P22,P23,P33,P34),23,IF(P33=MAX(P22,P23,P33,P34),33,34)))-21, 12)</f>
        <v>1</v>
      </c>
      <c r="J38" s="31">
        <f ca="1">INDEX($A$22:$P$34, IF(P22=MAX(P22,P23,P33,P34),22,IF(P23=MAX(P22,P23,P33,P34),23,IF(P33=MAX(P22,P23,P33,P34),33,34)))-21, 14)</f>
        <v>0</v>
      </c>
      <c r="K38" s="23" t="str">
        <f ca="1">INDEX($A$22:$P$34, IF(P22=MAX(P22,P23,P33,P34),22,IF(P23=MAX(P22,P23,P33,P34),23,IF(P33=MAX(P22,P23,P33,P34),33,34)))-21, 15)</f>
        <v>WAIT - DELTA</v>
      </c>
      <c r="L38" s="31">
        <f ca="1">MAX(P22,P23,P33,P34)</f>
        <v>-1000000000</v>
      </c>
    </row>
  </sheetData>
  <mergeCells count="5">
    <mergeCell ref="A1:L1"/>
    <mergeCell ref="A6:L6"/>
    <mergeCell ref="A14:L14"/>
    <mergeCell ref="A25:L25"/>
    <mergeCell ref="A36:L36"/>
  </mergeCells>
  <conditionalFormatting sqref="K38">
    <cfRule type="expression" dxfId="5" priority="6">
      <formula>K38="GO"</formula>
    </cfRule>
    <cfRule type="expression" dxfId="4" priority="7">
      <formula>LEFT(K38,4)="WAIT"</formula>
    </cfRule>
  </conditionalFormatting>
  <conditionalFormatting sqref="O22:O23">
    <cfRule type="expression" dxfId="3" priority="2">
      <formula>O22="GO"</formula>
    </cfRule>
    <cfRule type="expression" dxfId="2" priority="3">
      <formula>LEFT(O22,4)="WAIT"</formula>
    </cfRule>
  </conditionalFormatting>
  <conditionalFormatting sqref="O33:O34">
    <cfRule type="expression" dxfId="1" priority="4">
      <formula>O33="GO"</formula>
    </cfRule>
    <cfRule type="expression" dxfId="0" priority="5">
      <formula>LEFT(O33,4)="WAIT"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20"/>
  <sheetViews>
    <sheetView showGridLines="0" zoomScaleNormal="100" workbookViewId="0">
      <pane ySplit="2" topLeftCell="A3" activePane="bottomLeft" state="frozen"/>
      <selection pane="bottomLeft"/>
    </sheetView>
  </sheetViews>
  <sheetFormatPr baseColWidth="10" defaultColWidth="8.6640625" defaultRowHeight="15" x14ac:dyDescent="0.2"/>
  <cols>
    <col min="1" max="2" width="11" customWidth="1"/>
    <col min="3" max="3" width="8" customWidth="1"/>
    <col min="4" max="4" width="10" customWidth="1"/>
    <col min="5" max="5" width="12" customWidth="1"/>
    <col min="6" max="6" width="32" customWidth="1"/>
    <col min="7" max="10" width="10" customWidth="1"/>
    <col min="11" max="11" width="13" customWidth="1"/>
    <col min="12" max="12" width="10" customWidth="1"/>
  </cols>
  <sheetData>
    <row r="1" spans="1:12" ht="15" customHeight="1" x14ac:dyDescent="0.2">
      <c r="A1" s="6" t="s">
        <v>213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3" spans="1:12" ht="16" x14ac:dyDescent="0.2">
      <c r="A3" s="19" t="s">
        <v>135</v>
      </c>
      <c r="B3" s="19" t="s">
        <v>136</v>
      </c>
      <c r="C3" s="19" t="s">
        <v>137</v>
      </c>
      <c r="D3" s="19" t="s">
        <v>138</v>
      </c>
      <c r="E3" s="19" t="s">
        <v>139</v>
      </c>
      <c r="F3" s="19" t="s">
        <v>140</v>
      </c>
    </row>
    <row r="4" spans="1:12" ht="32" x14ac:dyDescent="0.2">
      <c r="A4" s="32" t="s">
        <v>102</v>
      </c>
      <c r="B4" s="32" t="s">
        <v>214</v>
      </c>
      <c r="C4" s="23" t="str">
        <f>C$3</f>
        <v>PX_LAST</v>
      </c>
      <c r="D4" s="23" t="str">
        <f>D$3</f>
        <v>IVOL_RANK</v>
      </c>
      <c r="E4" s="30">
        <f ca="1">IFERROR(bdp(B4,C4),0)</f>
        <v>0</v>
      </c>
      <c r="F4" s="22">
        <f ca="1">IFERROR(bdp(B4,D4),0)</f>
        <v>0</v>
      </c>
    </row>
    <row r="6" spans="1:12" ht="15" customHeight="1" x14ac:dyDescent="0.2">
      <c r="A6" s="6" t="s">
        <v>142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2" ht="16" x14ac:dyDescent="0.2">
      <c r="A7" s="19" t="s">
        <v>143</v>
      </c>
      <c r="B7" s="19" t="s">
        <v>144</v>
      </c>
      <c r="C7" s="19" t="s">
        <v>145</v>
      </c>
      <c r="D7" s="19" t="s">
        <v>146</v>
      </c>
    </row>
    <row r="8" spans="1:12" ht="32" x14ac:dyDescent="0.2">
      <c r="A8" s="37" t="s">
        <v>215</v>
      </c>
      <c r="B8" s="25">
        <f ca="1">Calendar!$B$11</f>
        <v>46220</v>
      </c>
      <c r="C8" s="35"/>
      <c r="D8" s="25">
        <f ca="1">IF(C8="",B8,C8)</f>
        <v>46220</v>
      </c>
    </row>
    <row r="9" spans="1:12" ht="32" x14ac:dyDescent="0.2">
      <c r="A9" s="38" t="s">
        <v>216</v>
      </c>
      <c r="B9" s="39">
        <f>Settings!$B$21</f>
        <v>0.3</v>
      </c>
      <c r="C9" s="15"/>
      <c r="D9" s="39">
        <f>IF(C9="",B9,C9)</f>
        <v>0.3</v>
      </c>
    </row>
    <row r="10" spans="1:12" ht="32" x14ac:dyDescent="0.2">
      <c r="A10" s="40" t="s">
        <v>217</v>
      </c>
      <c r="B10" s="30">
        <f ca="1">IF($E$4=0,0,CEILING($E$4*(1+$D$9),1))</f>
        <v>0</v>
      </c>
      <c r="C10" s="36"/>
      <c r="D10" s="30">
        <f ca="1">IF(C10="",B10,C10)</f>
        <v>0</v>
      </c>
    </row>
    <row r="12" spans="1:12" ht="15" customHeight="1" x14ac:dyDescent="0.2">
      <c r="A12" s="6" t="s">
        <v>218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spans="1:12" ht="16" x14ac:dyDescent="0.2">
      <c r="A13" s="19" t="s">
        <v>93</v>
      </c>
      <c r="B13" s="19" t="s">
        <v>153</v>
      </c>
      <c r="C13" s="19" t="s">
        <v>154</v>
      </c>
      <c r="D13" s="19" t="s">
        <v>155</v>
      </c>
      <c r="E13" s="19" t="s">
        <v>156</v>
      </c>
      <c r="F13" s="19" t="s">
        <v>136</v>
      </c>
      <c r="G13" s="19" t="s">
        <v>137</v>
      </c>
      <c r="H13" s="19" t="s">
        <v>157</v>
      </c>
      <c r="I13" s="19" t="s">
        <v>158</v>
      </c>
      <c r="J13" s="19" t="s">
        <v>159</v>
      </c>
      <c r="K13" s="19" t="s">
        <v>160</v>
      </c>
      <c r="L13" s="19" t="s">
        <v>161</v>
      </c>
    </row>
    <row r="14" spans="1:12" ht="16" x14ac:dyDescent="0.2">
      <c r="A14" s="23" t="s">
        <v>103</v>
      </c>
      <c r="B14" s="23" t="s">
        <v>219</v>
      </c>
      <c r="C14" s="23" t="s">
        <v>178</v>
      </c>
      <c r="D14" s="30">
        <f ca="1">$D$10</f>
        <v>0</v>
      </c>
      <c r="E14" s="25">
        <f ca="1">$D$8</f>
        <v>46220</v>
      </c>
      <c r="F14" s="23" t="str">
        <f ca="1">"UVXY"&amp;" US "&amp;TEXT(E14,"mm/dd/yy")&amp;" "&amp;"C"&amp;IF(D14=INT(D14),INT(D14),D14)&amp;" Equity"</f>
        <v>UVXY US 07/17/26 C0 Equity</v>
      </c>
      <c r="G14" s="26">
        <f ca="1">IFERROR(bdp($F14, G$13), 0)</f>
        <v>0</v>
      </c>
      <c r="H14" s="26">
        <f ca="1">IFERROR(bdp($F14, H$13), 0)</f>
        <v>0</v>
      </c>
      <c r="I14" s="26">
        <f ca="1">IFERROR(bdp($F14, I$13), 0)</f>
        <v>0</v>
      </c>
      <c r="J14" s="29">
        <f ca="1">IFERROR(bdp($F14, J$13), 0)</f>
        <v>0</v>
      </c>
      <c r="K14" s="31">
        <f ca="1">IFERROR(bdp($F14, K$13), 0)</f>
        <v>0</v>
      </c>
      <c r="L14" s="26">
        <f ca="1">IFERROR((H14+I14)/2, 0)</f>
        <v>0</v>
      </c>
    </row>
    <row r="16" spans="1:12" ht="15" customHeight="1" x14ac:dyDescent="0.2">
      <c r="A16" s="6" t="s">
        <v>220</v>
      </c>
      <c r="B16" s="6"/>
      <c r="C16" s="6"/>
      <c r="D16" s="6"/>
    </row>
    <row r="17" spans="1:12" ht="23.75" customHeight="1" x14ac:dyDescent="0.2">
      <c r="A17" s="11" t="s">
        <v>221</v>
      </c>
      <c r="B17" s="28">
        <f>Settings!$B$5*Settings!$B$20</f>
        <v>440</v>
      </c>
      <c r="C17" s="1" t="s">
        <v>222</v>
      </c>
      <c r="D17" s="1"/>
      <c r="E17" s="1"/>
      <c r="F17" s="1"/>
      <c r="G17" s="1"/>
      <c r="H17" s="1"/>
      <c r="I17" s="1"/>
      <c r="J17" s="1"/>
      <c r="K17" s="1"/>
      <c r="L17" s="1"/>
    </row>
    <row r="18" spans="1:12" ht="23.75" customHeight="1" x14ac:dyDescent="0.2">
      <c r="A18" s="11" t="s">
        <v>223</v>
      </c>
      <c r="B18" s="22">
        <f ca="1">IFERROR(IF(L14&gt;0,FLOOR(B17/(L14*100),1),0),0)</f>
        <v>0</v>
      </c>
      <c r="C18" s="1" t="s">
        <v>224</v>
      </c>
      <c r="D18" s="1"/>
      <c r="E18" s="1"/>
      <c r="F18" s="1"/>
      <c r="G18" s="1"/>
      <c r="H18" s="1"/>
      <c r="I18" s="1"/>
      <c r="J18" s="1"/>
      <c r="K18" s="1"/>
      <c r="L18" s="1"/>
    </row>
    <row r="19" spans="1:12" ht="23.75" customHeight="1" x14ac:dyDescent="0.2">
      <c r="A19" s="11" t="s">
        <v>225</v>
      </c>
      <c r="B19" s="28">
        <f ca="1">B18*L14*100</f>
        <v>0</v>
      </c>
      <c r="C19" s="1" t="s">
        <v>226</v>
      </c>
      <c r="D19" s="1"/>
      <c r="E19" s="1"/>
      <c r="F19" s="1"/>
      <c r="G19" s="1"/>
      <c r="H19" s="1"/>
      <c r="I19" s="1"/>
      <c r="J19" s="1"/>
      <c r="K19" s="1"/>
      <c r="L19" s="1"/>
    </row>
    <row r="20" spans="1:12" ht="176" x14ac:dyDescent="0.2">
      <c r="A20" s="11" t="s">
        <v>80</v>
      </c>
      <c r="B20" s="23" t="str">
        <f>"In calm months this premium decays — it is the price of insurance. In a vol spike "&amp;"it can 5–10× and cover real book losses."</f>
        <v>In calm months this premium decays — it is the price of insurance. In a vol spike it can 5–10× and cover real book losses.</v>
      </c>
      <c r="C20" s="1"/>
      <c r="D20" s="1"/>
      <c r="E20" s="1"/>
      <c r="F20" s="1"/>
      <c r="G20" s="1"/>
      <c r="H20" s="1"/>
      <c r="I20" s="1"/>
      <c r="J20" s="1"/>
      <c r="K20" s="1"/>
      <c r="L20" s="1"/>
    </row>
  </sheetData>
  <mergeCells count="8">
    <mergeCell ref="C18:L18"/>
    <mergeCell ref="C19:L19"/>
    <mergeCell ref="C20:L20"/>
    <mergeCell ref="A1:L1"/>
    <mergeCell ref="A6:L6"/>
    <mergeCell ref="A12:L12"/>
    <mergeCell ref="A16:D16"/>
    <mergeCell ref="C17:L17"/>
  </mergeCells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59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6640625" defaultRowHeight="15" x14ac:dyDescent="0.2"/>
  <cols>
    <col min="1" max="1" width="11" customWidth="1"/>
    <col min="2" max="2" width="10" customWidth="1"/>
    <col min="3" max="3" width="8" customWidth="1"/>
    <col min="4" max="4" width="12" customWidth="1"/>
    <col min="5" max="6" width="9" customWidth="1"/>
    <col min="7" max="7" width="7" customWidth="1"/>
    <col min="8" max="8" width="9" customWidth="1"/>
    <col min="9" max="9" width="10" customWidth="1"/>
    <col min="10" max="10" width="12" customWidth="1"/>
    <col min="11" max="11" width="11" customWidth="1"/>
    <col min="12" max="12" width="13" customWidth="1"/>
    <col min="13" max="13" width="10" customWidth="1"/>
    <col min="14" max="14" width="12" customWidth="1"/>
    <col min="15" max="15" width="13" customWidth="1"/>
    <col min="16" max="16" width="40" customWidth="1"/>
  </cols>
  <sheetData>
    <row r="1" spans="1:16" ht="15" customHeight="1" x14ac:dyDescent="0.2">
      <c r="A1" s="6" t="s">
        <v>227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3" spans="1:16" ht="32" x14ac:dyDescent="0.2">
      <c r="A3" s="19" t="s">
        <v>228</v>
      </c>
      <c r="B3" s="19" t="s">
        <v>93</v>
      </c>
      <c r="C3" s="19" t="s">
        <v>92</v>
      </c>
      <c r="D3" s="19" t="s">
        <v>156</v>
      </c>
      <c r="E3" s="19" t="s">
        <v>113</v>
      </c>
      <c r="F3" s="19" t="s">
        <v>114</v>
      </c>
      <c r="G3" s="19" t="s">
        <v>169</v>
      </c>
      <c r="H3" s="19" t="s">
        <v>98</v>
      </c>
      <c r="I3" s="19" t="s">
        <v>229</v>
      </c>
      <c r="J3" s="19" t="s">
        <v>230</v>
      </c>
      <c r="K3" s="19" t="s">
        <v>231</v>
      </c>
      <c r="L3" s="19" t="s">
        <v>232</v>
      </c>
      <c r="M3" s="19" t="s">
        <v>233</v>
      </c>
      <c r="N3" s="19" t="s">
        <v>234</v>
      </c>
      <c r="O3" s="19" t="s">
        <v>235</v>
      </c>
      <c r="P3" s="19" t="s">
        <v>236</v>
      </c>
    </row>
    <row r="4" spans="1:16" x14ac:dyDescent="0.2">
      <c r="A4" s="41"/>
      <c r="B4" s="32"/>
      <c r="C4" s="32"/>
      <c r="D4" s="41"/>
      <c r="E4" s="32"/>
      <c r="F4" s="32"/>
      <c r="G4" s="34"/>
      <c r="H4" s="32"/>
      <c r="I4" s="17"/>
      <c r="J4" s="12"/>
      <c r="K4" s="17"/>
      <c r="L4" s="12"/>
      <c r="M4" s="32"/>
      <c r="N4" s="41"/>
      <c r="O4" s="12"/>
      <c r="P4" s="32"/>
    </row>
    <row r="5" spans="1:16" x14ac:dyDescent="0.2">
      <c r="A5" s="41"/>
      <c r="B5" s="32"/>
      <c r="C5" s="32"/>
      <c r="D5" s="41"/>
      <c r="E5" s="32"/>
      <c r="F5" s="32"/>
      <c r="G5" s="34"/>
      <c r="H5" s="32"/>
      <c r="I5" s="17"/>
      <c r="J5" s="12"/>
      <c r="K5" s="17"/>
      <c r="L5" s="12"/>
      <c r="M5" s="32"/>
      <c r="N5" s="41"/>
      <c r="O5" s="12"/>
      <c r="P5" s="32"/>
    </row>
    <row r="6" spans="1:16" x14ac:dyDescent="0.2">
      <c r="A6" s="41"/>
      <c r="B6" s="32"/>
      <c r="C6" s="32"/>
      <c r="D6" s="41"/>
      <c r="E6" s="32"/>
      <c r="F6" s="32"/>
      <c r="G6" s="34"/>
      <c r="H6" s="32"/>
      <c r="I6" s="17"/>
      <c r="J6" s="12"/>
      <c r="K6" s="17"/>
      <c r="L6" s="12"/>
      <c r="M6" s="32"/>
      <c r="N6" s="41"/>
      <c r="O6" s="12"/>
      <c r="P6" s="32"/>
    </row>
    <row r="7" spans="1:16" x14ac:dyDescent="0.2">
      <c r="A7" s="41"/>
      <c r="B7" s="32"/>
      <c r="C7" s="32"/>
      <c r="D7" s="41"/>
      <c r="E7" s="32"/>
      <c r="F7" s="32"/>
      <c r="G7" s="34"/>
      <c r="H7" s="32"/>
      <c r="I7" s="17"/>
      <c r="J7" s="12"/>
      <c r="K7" s="17"/>
      <c r="L7" s="12"/>
      <c r="M7" s="32"/>
      <c r="N7" s="41"/>
      <c r="O7" s="12"/>
      <c r="P7" s="32"/>
    </row>
    <row r="8" spans="1:16" x14ac:dyDescent="0.2">
      <c r="A8" s="41"/>
      <c r="B8" s="32"/>
      <c r="C8" s="32"/>
      <c r="D8" s="41"/>
      <c r="E8" s="32"/>
      <c r="F8" s="32"/>
      <c r="G8" s="34"/>
      <c r="H8" s="32"/>
      <c r="I8" s="17"/>
      <c r="J8" s="12"/>
      <c r="K8" s="17"/>
      <c r="L8" s="12"/>
      <c r="M8" s="32"/>
      <c r="N8" s="41"/>
      <c r="O8" s="12"/>
      <c r="P8" s="32"/>
    </row>
    <row r="9" spans="1:16" x14ac:dyDescent="0.2">
      <c r="A9" s="41"/>
      <c r="B9" s="32"/>
      <c r="C9" s="32"/>
      <c r="D9" s="41"/>
      <c r="E9" s="32"/>
      <c r="F9" s="32"/>
      <c r="G9" s="34"/>
      <c r="H9" s="32"/>
      <c r="I9" s="17"/>
      <c r="J9" s="12"/>
      <c r="K9" s="17"/>
      <c r="L9" s="12"/>
      <c r="M9" s="32"/>
      <c r="N9" s="41"/>
      <c r="O9" s="12"/>
      <c r="P9" s="32"/>
    </row>
    <row r="10" spans="1:16" x14ac:dyDescent="0.2">
      <c r="A10" s="41"/>
      <c r="B10" s="32"/>
      <c r="C10" s="32"/>
      <c r="D10" s="41"/>
      <c r="E10" s="32"/>
      <c r="F10" s="32"/>
      <c r="G10" s="34"/>
      <c r="H10" s="32"/>
      <c r="I10" s="17"/>
      <c r="J10" s="12"/>
      <c r="K10" s="17"/>
      <c r="L10" s="12"/>
      <c r="M10" s="32"/>
      <c r="N10" s="41"/>
      <c r="O10" s="12"/>
      <c r="P10" s="32"/>
    </row>
    <row r="11" spans="1:16" x14ac:dyDescent="0.2">
      <c r="A11" s="41"/>
      <c r="B11" s="32"/>
      <c r="C11" s="32"/>
      <c r="D11" s="41"/>
      <c r="E11" s="32"/>
      <c r="F11" s="32"/>
      <c r="G11" s="34"/>
      <c r="H11" s="32"/>
      <c r="I11" s="17"/>
      <c r="J11" s="12"/>
      <c r="K11" s="17"/>
      <c r="L11" s="12"/>
      <c r="M11" s="32"/>
      <c r="N11" s="41"/>
      <c r="O11" s="12"/>
      <c r="P11" s="32"/>
    </row>
    <row r="12" spans="1:16" x14ac:dyDescent="0.2">
      <c r="A12" s="41"/>
      <c r="B12" s="32"/>
      <c r="C12" s="32"/>
      <c r="D12" s="41"/>
      <c r="E12" s="32"/>
      <c r="F12" s="32"/>
      <c r="G12" s="34"/>
      <c r="H12" s="32"/>
      <c r="I12" s="17"/>
      <c r="J12" s="12"/>
      <c r="K12" s="17"/>
      <c r="L12" s="12"/>
      <c r="M12" s="32"/>
      <c r="N12" s="41"/>
      <c r="O12" s="12"/>
      <c r="P12" s="32"/>
    </row>
    <row r="13" spans="1:16" x14ac:dyDescent="0.2">
      <c r="A13" s="41"/>
      <c r="B13" s="32"/>
      <c r="C13" s="32"/>
      <c r="D13" s="41"/>
      <c r="E13" s="32"/>
      <c r="F13" s="32"/>
      <c r="G13" s="34"/>
      <c r="H13" s="32"/>
      <c r="I13" s="17"/>
      <c r="J13" s="12"/>
      <c r="K13" s="17"/>
      <c r="L13" s="12"/>
      <c r="M13" s="32"/>
      <c r="N13" s="41"/>
      <c r="O13" s="12"/>
      <c r="P13" s="32"/>
    </row>
    <row r="14" spans="1:16" x14ac:dyDescent="0.2">
      <c r="A14" s="41"/>
      <c r="B14" s="32"/>
      <c r="C14" s="32"/>
      <c r="D14" s="41"/>
      <c r="E14" s="32"/>
      <c r="F14" s="32"/>
      <c r="G14" s="34"/>
      <c r="H14" s="32"/>
      <c r="I14" s="17"/>
      <c r="J14" s="12"/>
      <c r="K14" s="17"/>
      <c r="L14" s="12"/>
      <c r="M14" s="32"/>
      <c r="N14" s="41"/>
      <c r="O14" s="12"/>
      <c r="P14" s="32"/>
    </row>
    <row r="15" spans="1:16" x14ac:dyDescent="0.2">
      <c r="A15" s="41"/>
      <c r="B15" s="32"/>
      <c r="C15" s="32"/>
      <c r="D15" s="41"/>
      <c r="E15" s="32"/>
      <c r="F15" s="32"/>
      <c r="G15" s="34"/>
      <c r="H15" s="32"/>
      <c r="I15" s="17"/>
      <c r="J15" s="12"/>
      <c r="K15" s="17"/>
      <c r="L15" s="12"/>
      <c r="M15" s="32"/>
      <c r="N15" s="41"/>
      <c r="O15" s="12"/>
      <c r="P15" s="32"/>
    </row>
    <row r="16" spans="1:16" x14ac:dyDescent="0.2">
      <c r="A16" s="41"/>
      <c r="B16" s="32"/>
      <c r="C16" s="32"/>
      <c r="D16" s="41"/>
      <c r="E16" s="32"/>
      <c r="F16" s="32"/>
      <c r="G16" s="34"/>
      <c r="H16" s="32"/>
      <c r="I16" s="17"/>
      <c r="J16" s="12"/>
      <c r="K16" s="17"/>
      <c r="L16" s="12"/>
      <c r="M16" s="32"/>
      <c r="N16" s="41"/>
      <c r="O16" s="12"/>
      <c r="P16" s="32"/>
    </row>
    <row r="17" spans="1:16" x14ac:dyDescent="0.2">
      <c r="A17" s="41"/>
      <c r="B17" s="32"/>
      <c r="C17" s="32"/>
      <c r="D17" s="41"/>
      <c r="E17" s="32"/>
      <c r="F17" s="32"/>
      <c r="G17" s="34"/>
      <c r="H17" s="32"/>
      <c r="I17" s="17"/>
      <c r="J17" s="12"/>
      <c r="K17" s="17"/>
      <c r="L17" s="12"/>
      <c r="M17" s="32"/>
      <c r="N17" s="41"/>
      <c r="O17" s="12"/>
      <c r="P17" s="32"/>
    </row>
    <row r="18" spans="1:16" x14ac:dyDescent="0.2">
      <c r="A18" s="41"/>
      <c r="B18" s="32"/>
      <c r="C18" s="32"/>
      <c r="D18" s="41"/>
      <c r="E18" s="32"/>
      <c r="F18" s="32"/>
      <c r="G18" s="34"/>
      <c r="H18" s="32"/>
      <c r="I18" s="17"/>
      <c r="J18" s="12"/>
      <c r="K18" s="17"/>
      <c r="L18" s="12"/>
      <c r="M18" s="32"/>
      <c r="N18" s="41"/>
      <c r="O18" s="12"/>
      <c r="P18" s="32"/>
    </row>
    <row r="19" spans="1:16" x14ac:dyDescent="0.2">
      <c r="A19" s="41"/>
      <c r="B19" s="32"/>
      <c r="C19" s="32"/>
      <c r="D19" s="41"/>
      <c r="E19" s="32"/>
      <c r="F19" s="32"/>
      <c r="G19" s="34"/>
      <c r="H19" s="32"/>
      <c r="I19" s="17"/>
      <c r="J19" s="12"/>
      <c r="K19" s="17"/>
      <c r="L19" s="12"/>
      <c r="M19" s="32"/>
      <c r="N19" s="41"/>
      <c r="O19" s="12"/>
      <c r="P19" s="32"/>
    </row>
    <row r="20" spans="1:16" x14ac:dyDescent="0.2">
      <c r="A20" s="41"/>
      <c r="B20" s="32"/>
      <c r="C20" s="32"/>
      <c r="D20" s="41"/>
      <c r="E20" s="32"/>
      <c r="F20" s="32"/>
      <c r="G20" s="34"/>
      <c r="H20" s="32"/>
      <c r="I20" s="17"/>
      <c r="J20" s="12"/>
      <c r="K20" s="17"/>
      <c r="L20" s="12"/>
      <c r="M20" s="32"/>
      <c r="N20" s="41"/>
      <c r="O20" s="12"/>
      <c r="P20" s="32"/>
    </row>
    <row r="21" spans="1:16" x14ac:dyDescent="0.2">
      <c r="A21" s="41"/>
      <c r="B21" s="32"/>
      <c r="C21" s="32"/>
      <c r="D21" s="41"/>
      <c r="E21" s="32"/>
      <c r="F21" s="32"/>
      <c r="G21" s="34"/>
      <c r="H21" s="32"/>
      <c r="I21" s="17"/>
      <c r="J21" s="12"/>
      <c r="K21" s="17"/>
      <c r="L21" s="12"/>
      <c r="M21" s="32"/>
      <c r="N21" s="41"/>
      <c r="O21" s="12"/>
      <c r="P21" s="32"/>
    </row>
    <row r="22" spans="1:16" x14ac:dyDescent="0.2">
      <c r="A22" s="41"/>
      <c r="B22" s="32"/>
      <c r="C22" s="32"/>
      <c r="D22" s="41"/>
      <c r="E22" s="32"/>
      <c r="F22" s="32"/>
      <c r="G22" s="34"/>
      <c r="H22" s="32"/>
      <c r="I22" s="17"/>
      <c r="J22" s="12"/>
      <c r="K22" s="17"/>
      <c r="L22" s="12"/>
      <c r="M22" s="32"/>
      <c r="N22" s="41"/>
      <c r="O22" s="12"/>
      <c r="P22" s="32"/>
    </row>
    <row r="23" spans="1:16" x14ac:dyDescent="0.2">
      <c r="A23" s="41"/>
      <c r="B23" s="32"/>
      <c r="C23" s="32"/>
      <c r="D23" s="41"/>
      <c r="E23" s="32"/>
      <c r="F23" s="32"/>
      <c r="G23" s="34"/>
      <c r="H23" s="32"/>
      <c r="I23" s="17"/>
      <c r="J23" s="12"/>
      <c r="K23" s="17"/>
      <c r="L23" s="12"/>
      <c r="M23" s="32"/>
      <c r="N23" s="41"/>
      <c r="O23" s="12"/>
      <c r="P23" s="32"/>
    </row>
    <row r="24" spans="1:16" x14ac:dyDescent="0.2">
      <c r="A24" s="41"/>
      <c r="B24" s="32"/>
      <c r="C24" s="32"/>
      <c r="D24" s="41"/>
      <c r="E24" s="32"/>
      <c r="F24" s="32"/>
      <c r="G24" s="34"/>
      <c r="H24" s="32"/>
      <c r="I24" s="17"/>
      <c r="J24" s="12"/>
      <c r="K24" s="17"/>
      <c r="L24" s="12"/>
      <c r="M24" s="32"/>
      <c r="N24" s="41"/>
      <c r="O24" s="12"/>
      <c r="P24" s="32"/>
    </row>
    <row r="25" spans="1:16" x14ac:dyDescent="0.2">
      <c r="A25" s="41"/>
      <c r="B25" s="32"/>
      <c r="C25" s="32"/>
      <c r="D25" s="41"/>
      <c r="E25" s="32"/>
      <c r="F25" s="32"/>
      <c r="G25" s="34"/>
      <c r="H25" s="32"/>
      <c r="I25" s="17"/>
      <c r="J25" s="12"/>
      <c r="K25" s="17"/>
      <c r="L25" s="12"/>
      <c r="M25" s="32"/>
      <c r="N25" s="41"/>
      <c r="O25" s="12"/>
      <c r="P25" s="32"/>
    </row>
    <row r="26" spans="1:16" x14ac:dyDescent="0.2">
      <c r="A26" s="41"/>
      <c r="B26" s="32"/>
      <c r="C26" s="32"/>
      <c r="D26" s="41"/>
      <c r="E26" s="32"/>
      <c r="F26" s="32"/>
      <c r="G26" s="34"/>
      <c r="H26" s="32"/>
      <c r="I26" s="17"/>
      <c r="J26" s="12"/>
      <c r="K26" s="17"/>
      <c r="L26" s="12"/>
      <c r="M26" s="32"/>
      <c r="N26" s="41"/>
      <c r="O26" s="12"/>
      <c r="P26" s="32"/>
    </row>
    <row r="27" spans="1:16" x14ac:dyDescent="0.2">
      <c r="A27" s="41"/>
      <c r="B27" s="32"/>
      <c r="C27" s="32"/>
      <c r="D27" s="41"/>
      <c r="E27" s="32"/>
      <c r="F27" s="32"/>
      <c r="G27" s="34"/>
      <c r="H27" s="32"/>
      <c r="I27" s="17"/>
      <c r="J27" s="12"/>
      <c r="K27" s="17"/>
      <c r="L27" s="12"/>
      <c r="M27" s="32"/>
      <c r="N27" s="41"/>
      <c r="O27" s="12"/>
      <c r="P27" s="32"/>
    </row>
    <row r="28" spans="1:16" x14ac:dyDescent="0.2">
      <c r="A28" s="41"/>
      <c r="B28" s="32"/>
      <c r="C28" s="32"/>
      <c r="D28" s="41"/>
      <c r="E28" s="32"/>
      <c r="F28" s="32"/>
      <c r="G28" s="34"/>
      <c r="H28" s="32"/>
      <c r="I28" s="17"/>
      <c r="J28" s="12"/>
      <c r="K28" s="17"/>
      <c r="L28" s="12"/>
      <c r="M28" s="32"/>
      <c r="N28" s="41"/>
      <c r="O28" s="12"/>
      <c r="P28" s="32"/>
    </row>
    <row r="29" spans="1:16" x14ac:dyDescent="0.2">
      <c r="A29" s="41"/>
      <c r="B29" s="32"/>
      <c r="C29" s="32"/>
      <c r="D29" s="41"/>
      <c r="E29" s="32"/>
      <c r="F29" s="32"/>
      <c r="G29" s="34"/>
      <c r="H29" s="32"/>
      <c r="I29" s="17"/>
      <c r="J29" s="12"/>
      <c r="K29" s="17"/>
      <c r="L29" s="12"/>
      <c r="M29" s="32"/>
      <c r="N29" s="41"/>
      <c r="O29" s="12"/>
      <c r="P29" s="32"/>
    </row>
    <row r="30" spans="1:16" x14ac:dyDescent="0.2">
      <c r="A30" s="41"/>
      <c r="B30" s="32"/>
      <c r="C30" s="32"/>
      <c r="D30" s="41"/>
      <c r="E30" s="32"/>
      <c r="F30" s="32"/>
      <c r="G30" s="34"/>
      <c r="H30" s="32"/>
      <c r="I30" s="17"/>
      <c r="J30" s="12"/>
      <c r="K30" s="17"/>
      <c r="L30" s="12"/>
      <c r="M30" s="32"/>
      <c r="N30" s="41"/>
      <c r="O30" s="12"/>
      <c r="P30" s="32"/>
    </row>
    <row r="31" spans="1:16" x14ac:dyDescent="0.2">
      <c r="A31" s="41"/>
      <c r="B31" s="32"/>
      <c r="C31" s="32"/>
      <c r="D31" s="41"/>
      <c r="E31" s="32"/>
      <c r="F31" s="32"/>
      <c r="G31" s="34"/>
      <c r="H31" s="32"/>
      <c r="I31" s="17"/>
      <c r="J31" s="12"/>
      <c r="K31" s="17"/>
      <c r="L31" s="12"/>
      <c r="M31" s="32"/>
      <c r="N31" s="41"/>
      <c r="O31" s="12"/>
      <c r="P31" s="32"/>
    </row>
    <row r="32" spans="1:16" x14ac:dyDescent="0.2">
      <c r="A32" s="41"/>
      <c r="B32" s="32"/>
      <c r="C32" s="32"/>
      <c r="D32" s="41"/>
      <c r="E32" s="32"/>
      <c r="F32" s="32"/>
      <c r="G32" s="34"/>
      <c r="H32" s="32"/>
      <c r="I32" s="17"/>
      <c r="J32" s="12"/>
      <c r="K32" s="17"/>
      <c r="L32" s="12"/>
      <c r="M32" s="32"/>
      <c r="N32" s="41"/>
      <c r="O32" s="12"/>
      <c r="P32" s="32"/>
    </row>
    <row r="33" spans="1:16" x14ac:dyDescent="0.2">
      <c r="A33" s="41"/>
      <c r="B33" s="32"/>
      <c r="C33" s="32"/>
      <c r="D33" s="41"/>
      <c r="E33" s="32"/>
      <c r="F33" s="32"/>
      <c r="G33" s="34"/>
      <c r="H33" s="32"/>
      <c r="I33" s="17"/>
      <c r="J33" s="12"/>
      <c r="K33" s="17"/>
      <c r="L33" s="12"/>
      <c r="M33" s="32"/>
      <c r="N33" s="41"/>
      <c r="O33" s="12"/>
      <c r="P33" s="32"/>
    </row>
    <row r="34" spans="1:16" x14ac:dyDescent="0.2">
      <c r="A34" s="41"/>
      <c r="B34" s="32"/>
      <c r="C34" s="32"/>
      <c r="D34" s="41"/>
      <c r="E34" s="32"/>
      <c r="F34" s="32"/>
      <c r="G34" s="34"/>
      <c r="H34" s="32"/>
      <c r="I34" s="17"/>
      <c r="J34" s="12"/>
      <c r="K34" s="17"/>
      <c r="L34" s="12"/>
      <c r="M34" s="32"/>
      <c r="N34" s="41"/>
      <c r="O34" s="12"/>
      <c r="P34" s="32"/>
    </row>
    <row r="35" spans="1:16" x14ac:dyDescent="0.2">
      <c r="A35" s="41"/>
      <c r="B35" s="32"/>
      <c r="C35" s="32"/>
      <c r="D35" s="41"/>
      <c r="E35" s="32"/>
      <c r="F35" s="32"/>
      <c r="G35" s="34"/>
      <c r="H35" s="32"/>
      <c r="I35" s="17"/>
      <c r="J35" s="12"/>
      <c r="K35" s="17"/>
      <c r="L35" s="12"/>
      <c r="M35" s="32"/>
      <c r="N35" s="41"/>
      <c r="O35" s="12"/>
      <c r="P35" s="32"/>
    </row>
    <row r="36" spans="1:16" x14ac:dyDescent="0.2">
      <c r="A36" s="41"/>
      <c r="B36" s="32"/>
      <c r="C36" s="32"/>
      <c r="D36" s="41"/>
      <c r="E36" s="32"/>
      <c r="F36" s="32"/>
      <c r="G36" s="34"/>
      <c r="H36" s="32"/>
      <c r="I36" s="17"/>
      <c r="J36" s="12"/>
      <c r="K36" s="17"/>
      <c r="L36" s="12"/>
      <c r="M36" s="32"/>
      <c r="N36" s="41"/>
      <c r="O36" s="12"/>
      <c r="P36" s="32"/>
    </row>
    <row r="37" spans="1:16" x14ac:dyDescent="0.2">
      <c r="A37" s="41"/>
      <c r="B37" s="32"/>
      <c r="C37" s="32"/>
      <c r="D37" s="41"/>
      <c r="E37" s="32"/>
      <c r="F37" s="32"/>
      <c r="G37" s="34"/>
      <c r="H37" s="32"/>
      <c r="I37" s="17"/>
      <c r="J37" s="12"/>
      <c r="K37" s="17"/>
      <c r="L37" s="12"/>
      <c r="M37" s="32"/>
      <c r="N37" s="41"/>
      <c r="O37" s="12"/>
      <c r="P37" s="32"/>
    </row>
    <row r="38" spans="1:16" x14ac:dyDescent="0.2">
      <c r="A38" s="41"/>
      <c r="B38" s="32"/>
      <c r="C38" s="32"/>
      <c r="D38" s="41"/>
      <c r="E38" s="32"/>
      <c r="F38" s="32"/>
      <c r="G38" s="34"/>
      <c r="H38" s="32"/>
      <c r="I38" s="17"/>
      <c r="J38" s="12"/>
      <c r="K38" s="17"/>
      <c r="L38" s="12"/>
      <c r="M38" s="32"/>
      <c r="N38" s="41"/>
      <c r="O38" s="12"/>
      <c r="P38" s="32"/>
    </row>
    <row r="39" spans="1:16" x14ac:dyDescent="0.2">
      <c r="A39" s="41"/>
      <c r="B39" s="32"/>
      <c r="C39" s="32"/>
      <c r="D39" s="41"/>
      <c r="E39" s="32"/>
      <c r="F39" s="32"/>
      <c r="G39" s="34"/>
      <c r="H39" s="32"/>
      <c r="I39" s="17"/>
      <c r="J39" s="12"/>
      <c r="K39" s="17"/>
      <c r="L39" s="12"/>
      <c r="M39" s="32"/>
      <c r="N39" s="41"/>
      <c r="O39" s="12"/>
      <c r="P39" s="32"/>
    </row>
    <row r="40" spans="1:16" x14ac:dyDescent="0.2">
      <c r="A40" s="41"/>
      <c r="B40" s="32"/>
      <c r="C40" s="32"/>
      <c r="D40" s="41"/>
      <c r="E40" s="32"/>
      <c r="F40" s="32"/>
      <c r="G40" s="34"/>
      <c r="H40" s="32"/>
      <c r="I40" s="17"/>
      <c r="J40" s="12"/>
      <c r="K40" s="17"/>
      <c r="L40" s="12"/>
      <c r="M40" s="32"/>
      <c r="N40" s="41"/>
      <c r="O40" s="12"/>
      <c r="P40" s="32"/>
    </row>
    <row r="41" spans="1:16" x14ac:dyDescent="0.2">
      <c r="A41" s="41"/>
      <c r="B41" s="32"/>
      <c r="C41" s="32"/>
      <c r="D41" s="41"/>
      <c r="E41" s="32"/>
      <c r="F41" s="32"/>
      <c r="G41" s="34"/>
      <c r="H41" s="32"/>
      <c r="I41" s="17"/>
      <c r="J41" s="12"/>
      <c r="K41" s="17"/>
      <c r="L41" s="12"/>
      <c r="M41" s="32"/>
      <c r="N41" s="41"/>
      <c r="O41" s="12"/>
      <c r="P41" s="32"/>
    </row>
    <row r="42" spans="1:16" x14ac:dyDescent="0.2">
      <c r="A42" s="41"/>
      <c r="B42" s="32"/>
      <c r="C42" s="32"/>
      <c r="D42" s="41"/>
      <c r="E42" s="32"/>
      <c r="F42" s="32"/>
      <c r="G42" s="34"/>
      <c r="H42" s="32"/>
      <c r="I42" s="17"/>
      <c r="J42" s="12"/>
      <c r="K42" s="17"/>
      <c r="L42" s="12"/>
      <c r="M42" s="32"/>
      <c r="N42" s="41"/>
      <c r="O42" s="12"/>
      <c r="P42" s="32"/>
    </row>
    <row r="43" spans="1:16" x14ac:dyDescent="0.2">
      <c r="A43" s="41"/>
      <c r="B43" s="32"/>
      <c r="C43" s="32"/>
      <c r="D43" s="41"/>
      <c r="E43" s="32"/>
      <c r="F43" s="32"/>
      <c r="G43" s="34"/>
      <c r="H43" s="32"/>
      <c r="I43" s="17"/>
      <c r="J43" s="12"/>
      <c r="K43" s="17"/>
      <c r="L43" s="12"/>
      <c r="M43" s="32"/>
      <c r="N43" s="41"/>
      <c r="O43" s="12"/>
      <c r="P43" s="32"/>
    </row>
    <row r="44" spans="1:16" x14ac:dyDescent="0.2">
      <c r="A44" s="41"/>
      <c r="B44" s="32"/>
      <c r="C44" s="32"/>
      <c r="D44" s="41"/>
      <c r="E44" s="32"/>
      <c r="F44" s="32"/>
      <c r="G44" s="34"/>
      <c r="H44" s="32"/>
      <c r="I44" s="17"/>
      <c r="J44" s="12"/>
      <c r="K44" s="17"/>
      <c r="L44" s="12"/>
      <c r="M44" s="32"/>
      <c r="N44" s="41"/>
      <c r="O44" s="12"/>
      <c r="P44" s="32"/>
    </row>
    <row r="45" spans="1:16" x14ac:dyDescent="0.2">
      <c r="A45" s="41"/>
      <c r="B45" s="32"/>
      <c r="C45" s="32"/>
      <c r="D45" s="41"/>
      <c r="E45" s="32"/>
      <c r="F45" s="32"/>
      <c r="G45" s="34"/>
      <c r="H45" s="32"/>
      <c r="I45" s="17"/>
      <c r="J45" s="12"/>
      <c r="K45" s="17"/>
      <c r="L45" s="12"/>
      <c r="M45" s="32"/>
      <c r="N45" s="41"/>
      <c r="O45" s="12"/>
      <c r="P45" s="32"/>
    </row>
    <row r="46" spans="1:16" x14ac:dyDescent="0.2">
      <c r="A46" s="41"/>
      <c r="B46" s="32"/>
      <c r="C46" s="32"/>
      <c r="D46" s="41"/>
      <c r="E46" s="32"/>
      <c r="F46" s="32"/>
      <c r="G46" s="34"/>
      <c r="H46" s="32"/>
      <c r="I46" s="17"/>
      <c r="J46" s="12"/>
      <c r="K46" s="17"/>
      <c r="L46" s="12"/>
      <c r="M46" s="32"/>
      <c r="N46" s="41"/>
      <c r="O46" s="12"/>
      <c r="P46" s="32"/>
    </row>
    <row r="47" spans="1:16" x14ac:dyDescent="0.2">
      <c r="A47" s="41"/>
      <c r="B47" s="32"/>
      <c r="C47" s="32"/>
      <c r="D47" s="41"/>
      <c r="E47" s="32"/>
      <c r="F47" s="32"/>
      <c r="G47" s="34"/>
      <c r="H47" s="32"/>
      <c r="I47" s="17"/>
      <c r="J47" s="12"/>
      <c r="K47" s="17"/>
      <c r="L47" s="12"/>
      <c r="M47" s="32"/>
      <c r="N47" s="41"/>
      <c r="O47" s="12"/>
      <c r="P47" s="32"/>
    </row>
    <row r="48" spans="1:16" x14ac:dyDescent="0.2">
      <c r="A48" s="41"/>
      <c r="B48" s="32"/>
      <c r="C48" s="32"/>
      <c r="D48" s="41"/>
      <c r="E48" s="32"/>
      <c r="F48" s="32"/>
      <c r="G48" s="34"/>
      <c r="H48" s="32"/>
      <c r="I48" s="17"/>
      <c r="J48" s="12"/>
      <c r="K48" s="17"/>
      <c r="L48" s="12"/>
      <c r="M48" s="32"/>
      <c r="N48" s="41"/>
      <c r="O48" s="12"/>
      <c r="P48" s="32"/>
    </row>
    <row r="49" spans="1:16" x14ac:dyDescent="0.2">
      <c r="A49" s="41"/>
      <c r="B49" s="32"/>
      <c r="C49" s="32"/>
      <c r="D49" s="41"/>
      <c r="E49" s="32"/>
      <c r="F49" s="32"/>
      <c r="G49" s="34"/>
      <c r="H49" s="32"/>
      <c r="I49" s="17"/>
      <c r="J49" s="12"/>
      <c r="K49" s="17"/>
      <c r="L49" s="12"/>
      <c r="M49" s="32"/>
      <c r="N49" s="41"/>
      <c r="O49" s="12"/>
      <c r="P49" s="32"/>
    </row>
    <row r="50" spans="1:16" x14ac:dyDescent="0.2">
      <c r="A50" s="41"/>
      <c r="B50" s="32"/>
      <c r="C50" s="32"/>
      <c r="D50" s="41"/>
      <c r="E50" s="32"/>
      <c r="F50" s="32"/>
      <c r="G50" s="34"/>
      <c r="H50" s="32"/>
      <c r="I50" s="17"/>
      <c r="J50" s="12"/>
      <c r="K50" s="17"/>
      <c r="L50" s="12"/>
      <c r="M50" s="32"/>
      <c r="N50" s="41"/>
      <c r="O50" s="12"/>
      <c r="P50" s="32"/>
    </row>
    <row r="51" spans="1:16" x14ac:dyDescent="0.2">
      <c r="A51" s="41"/>
      <c r="B51" s="32"/>
      <c r="C51" s="32"/>
      <c r="D51" s="41"/>
      <c r="E51" s="32"/>
      <c r="F51" s="32"/>
      <c r="G51" s="34"/>
      <c r="H51" s="32"/>
      <c r="I51" s="17"/>
      <c r="J51" s="12"/>
      <c r="K51" s="17"/>
      <c r="L51" s="12"/>
      <c r="M51" s="32"/>
      <c r="N51" s="41"/>
      <c r="O51" s="12"/>
      <c r="P51" s="32"/>
    </row>
    <row r="52" spans="1:16" x14ac:dyDescent="0.2">
      <c r="A52" s="41"/>
      <c r="B52" s="32"/>
      <c r="C52" s="32"/>
      <c r="D52" s="41"/>
      <c r="E52" s="32"/>
      <c r="F52" s="32"/>
      <c r="G52" s="34"/>
      <c r="H52" s="32"/>
      <c r="I52" s="17"/>
      <c r="J52" s="12"/>
      <c r="K52" s="17"/>
      <c r="L52" s="12"/>
      <c r="M52" s="32"/>
      <c r="N52" s="41"/>
      <c r="O52" s="12"/>
      <c r="P52" s="32"/>
    </row>
    <row r="53" spans="1:16" x14ac:dyDescent="0.2">
      <c r="A53" s="41"/>
      <c r="B53" s="32"/>
      <c r="C53" s="32"/>
      <c r="D53" s="41"/>
      <c r="E53" s="32"/>
      <c r="F53" s="32"/>
      <c r="G53" s="34"/>
      <c r="H53" s="32"/>
      <c r="I53" s="17"/>
      <c r="J53" s="12"/>
      <c r="K53" s="17"/>
      <c r="L53" s="12"/>
      <c r="M53" s="32"/>
      <c r="N53" s="41"/>
      <c r="O53" s="12"/>
      <c r="P53" s="32"/>
    </row>
    <row r="54" spans="1:16" x14ac:dyDescent="0.2">
      <c r="A54" s="41"/>
      <c r="B54" s="32"/>
      <c r="C54" s="32"/>
      <c r="D54" s="41"/>
      <c r="E54" s="32"/>
      <c r="F54" s="32"/>
      <c r="G54" s="34"/>
      <c r="H54" s="32"/>
      <c r="I54" s="17"/>
      <c r="J54" s="12"/>
      <c r="K54" s="17"/>
      <c r="L54" s="12"/>
      <c r="M54" s="32"/>
      <c r="N54" s="41"/>
      <c r="O54" s="12"/>
      <c r="P54" s="32"/>
    </row>
    <row r="55" spans="1:16" x14ac:dyDescent="0.2">
      <c r="A55" s="41"/>
      <c r="B55" s="32"/>
      <c r="C55" s="32"/>
      <c r="D55" s="41"/>
      <c r="E55" s="32"/>
      <c r="F55" s="32"/>
      <c r="G55" s="34"/>
      <c r="H55" s="32"/>
      <c r="I55" s="17"/>
      <c r="J55" s="12"/>
      <c r="K55" s="17"/>
      <c r="L55" s="12"/>
      <c r="M55" s="32"/>
      <c r="N55" s="41"/>
      <c r="O55" s="12"/>
      <c r="P55" s="32"/>
    </row>
    <row r="56" spans="1:16" x14ac:dyDescent="0.2">
      <c r="A56" s="41"/>
      <c r="B56" s="32"/>
      <c r="C56" s="32"/>
      <c r="D56" s="41"/>
      <c r="E56" s="32"/>
      <c r="F56" s="32"/>
      <c r="G56" s="34"/>
      <c r="H56" s="32"/>
      <c r="I56" s="17"/>
      <c r="J56" s="12"/>
      <c r="K56" s="17"/>
      <c r="L56" s="12"/>
      <c r="M56" s="32"/>
      <c r="N56" s="41"/>
      <c r="O56" s="12"/>
      <c r="P56" s="32"/>
    </row>
    <row r="57" spans="1:16" x14ac:dyDescent="0.2">
      <c r="A57" s="41"/>
      <c r="B57" s="32"/>
      <c r="C57" s="32"/>
      <c r="D57" s="41"/>
      <c r="E57" s="32"/>
      <c r="F57" s="32"/>
      <c r="G57" s="34"/>
      <c r="H57" s="32"/>
      <c r="I57" s="17"/>
      <c r="J57" s="12"/>
      <c r="K57" s="17"/>
      <c r="L57" s="12"/>
      <c r="M57" s="32"/>
      <c r="N57" s="41"/>
      <c r="O57" s="12"/>
      <c r="P57" s="32"/>
    </row>
    <row r="58" spans="1:16" x14ac:dyDescent="0.2">
      <c r="A58" s="41"/>
      <c r="B58" s="32"/>
      <c r="C58" s="32"/>
      <c r="D58" s="41"/>
      <c r="E58" s="32"/>
      <c r="F58" s="32"/>
      <c r="G58" s="34"/>
      <c r="H58" s="32"/>
      <c r="I58" s="17"/>
      <c r="J58" s="12"/>
      <c r="K58" s="17"/>
      <c r="L58" s="12"/>
      <c r="M58" s="32"/>
      <c r="N58" s="41"/>
      <c r="O58" s="12"/>
      <c r="P58" s="32"/>
    </row>
    <row r="59" spans="1:16" x14ac:dyDescent="0.2">
      <c r="A59" s="41"/>
      <c r="B59" s="32"/>
      <c r="C59" s="32"/>
      <c r="D59" s="41"/>
      <c r="E59" s="32"/>
      <c r="F59" s="32"/>
      <c r="G59" s="34"/>
      <c r="H59" s="32"/>
      <c r="I59" s="17"/>
      <c r="J59" s="12"/>
      <c r="K59" s="17"/>
      <c r="L59" s="12"/>
      <c r="M59" s="32"/>
      <c r="N59" s="41"/>
      <c r="O59" s="12"/>
      <c r="P59" s="32"/>
    </row>
  </sheetData>
  <mergeCells count="1">
    <mergeCell ref="A1:P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README</vt:lpstr>
      <vt:lpstr>Settings</vt:lpstr>
      <vt:lpstr>Calendar</vt:lpstr>
      <vt:lpstr>BestNow</vt:lpstr>
      <vt:lpstr>SPY</vt:lpstr>
      <vt:lpstr>XLB</vt:lpstr>
      <vt:lpstr>XLC</vt:lpstr>
      <vt:lpstr>XLE</vt:lpstr>
      <vt:lpstr>XLF</vt:lpstr>
      <vt:lpstr>XLI</vt:lpstr>
      <vt:lpstr>XLK</vt:lpstr>
      <vt:lpstr>XLP</vt:lpstr>
      <vt:lpstr>XLRE</vt:lpstr>
      <vt:lpstr>XLU</vt:lpstr>
      <vt:lpstr>XLV</vt:lpstr>
      <vt:lpstr>XLY</vt:lpstr>
      <vt:lpstr>XOP</vt:lpstr>
      <vt:lpstr>GLD</vt:lpstr>
      <vt:lpstr>GDX</vt:lpstr>
      <vt:lpstr>EEM</vt:lpstr>
      <vt:lpstr>UVXY</vt:lpstr>
      <vt:lpstr>PositionLog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Alberto Rojas</cp:lastModifiedBy>
  <cp:revision>0</cp:revision>
  <dcterms:created xsi:type="dcterms:W3CDTF">2026-05-11T20:28:52Z</dcterms:created>
  <dcterms:modified xsi:type="dcterms:W3CDTF">2026-05-11T20:34:23Z</dcterms:modified>
  <dc:language>en-US</dc:language>
</cp:coreProperties>
</file>