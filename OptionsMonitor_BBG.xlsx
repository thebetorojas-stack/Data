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Settings" sheetId="2" state="visible" r:id="rId4"/>
    <sheet name="Calendar" sheetId="3" state="visible" r:id="rId5"/>
    <sheet name="Monitor" sheetId="4" state="visible" r:id="rId6"/>
    <sheet name="Position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<sst xmlns="http://schemas.openxmlformats.org/spreadsheetml/2006/main" count="304" uniqueCount="180">
  <si>
    <t xml:space="preserve">BBG OPTIONS ANALYZER — single Monitor tab</t>
  </si>
  <si>
    <t xml:space="preserve">HOW IT WORKS</t>
  </si>
  <si>
    <t xml:space="preserve">Type any ticker in Monitor!B2 (e.g., SPY, QQQ, XLF, GLD, EEM). Press F9. The Monitor rebuilds: spot, IV Rank, all option tickers, 8 bull-put spreads, 8 bear-call spreads. Then sort and pick.</t>
  </si>
  <si>
    <t xml:space="preserve">WHAT YOU SEE FOR EACH TICKER</t>
  </si>
  <si>
    <t xml:space="preserve">2 expirations (Front and Back, from Calendar — overridable per-ticker by typing a date in B7 or B8).</t>
  </si>
  <si>
    <t xml:space="preserve">4 widths per direction: 2-strike, 3-strike, 4-strike, 5-strike (width = strike-count × strike-increment).</t>
  </si>
  <si>
    <t xml:space="preserve">That's 2 × 4 = 8 bull-put spreads + 8 bear-call spreads = 16 candidates per ticker.</t>
  </si>
  <si>
    <t xml:space="preserve">Each row has credit, max loss, POP, EV/MaxLoss, all 7 gates, and an EntrySignal column (GO / WAIT-reason).</t>
  </si>
  <si>
    <t xml:space="preserve">HOW TO CHANGE TICKER OR PARAMETERS</t>
  </si>
  <si>
    <t xml:space="preserve">Cell B2 (Ticker) — type a new ticker symbol. Everything below recomputes.</t>
  </si>
  <si>
    <t xml:space="preserve">Cell B7 (Front Exp) — type any date to override the Calendar default.</t>
  </si>
  <si>
    <t xml:space="preserve">Cell B8 (Back Exp)  — same.</t>
  </si>
  <si>
    <t xml:space="preserve">Cell B9 (Strike Increment) — type the option-chain strike spacing (e.g., 1 for GDX, 5 for SPY/QQQ).</t>
  </si>
  <si>
    <t xml:space="preserve">Cell B10 (BP Short K) — type a custom short-put strike. Default = 5% OTM rounded to nearest increment.</t>
  </si>
  <si>
    <t xml:space="preserve">Cell B11 (BC Short K) — same for short-call strike.</t>
  </si>
  <si>
    <t xml:space="preserve">TRANSPARENCY</t>
  </si>
  <si>
    <t xml:space="preserve">Every constructed BBG option ticker is shown in column F of the BDP blocks. The BDP field names live as text in row 14 (BP) and row 37 (BC) — cells J14, J37 hold VOL_MEAN. Edit those cells to change the field (e.g., to OPT_DELTA_BID or IVOL_MEAN) and every row updates.</t>
  </si>
  <si>
    <t xml:space="preserve">HONEST RISK NOTE</t>
  </si>
  <si>
    <t xml:space="preserve">Credit spreads have a defined max loss that gets realized in full on a bad day. GO means structural gates pass — not a guarantee. The wider the spread, the more credit but also more max loss — the EV/MaxLoss column tells you which width is actually best for your money. Always close at 50% TP and cut at 2× credit. Not investment advice.</t>
  </si>
  <si>
    <t xml:space="preserve">SETTINGS — edit blue cells</t>
  </si>
  <si>
    <t xml:space="preserve">Account equity ($)</t>
  </si>
  <si>
    <t xml:space="preserve">Used by ¼-Kelly sizing.</t>
  </si>
  <si>
    <t xml:space="preserve">Trades per month target</t>
  </si>
  <si>
    <t xml:space="preserve">2–4 short-premium spreads + 1 hedge.</t>
  </si>
  <si>
    <t xml:space="preserve">Book risk cap ($)</t>
  </si>
  <si>
    <t xml:space="preserve">Total max loss across all open spreads.</t>
  </si>
  <si>
    <t xml:space="preserve">Max book as % of account</t>
  </si>
  <si>
    <t xml:space="preserve">Hard cap on book vs equity.</t>
  </si>
  <si>
    <t xml:space="preserve">Kelly fraction</t>
  </si>
  <si>
    <t xml:space="preserve">¼ Kelly. Don't go above 0.50.</t>
  </si>
  <si>
    <t xml:space="preserve">Min IV Rank to enter</t>
  </si>
  <si>
    <t xml:space="preserve">Don't sell premium when IV is cheap.</t>
  </si>
  <si>
    <t xml:space="preserve">Min credit/width ratio</t>
  </si>
  <si>
    <t xml:space="preserve">Skip thin trades.</t>
  </si>
  <si>
    <t xml:space="preserve">Min credit ($)</t>
  </si>
  <si>
    <t xml:space="preserve">Skip if mid credit below this.</t>
  </si>
  <si>
    <t xml:space="preserve">Max bid-ask % of mid</t>
  </si>
  <si>
    <t xml:space="preserve">Liquidity gate.</t>
  </si>
  <si>
    <t xml:space="preserve">Short-strike |delta| min</t>
  </si>
  <si>
    <t xml:space="preserve">Lower delta band for short strike.</t>
  </si>
  <si>
    <t xml:space="preserve">Short-strike |delta| max</t>
  </si>
  <si>
    <t xml:space="preserve">Upper delta band for short strike.</t>
  </si>
  <si>
    <t xml:space="preserve">Entry DTE — minimum</t>
  </si>
  <si>
    <t xml:space="preserve">Don't open inside this floor.</t>
  </si>
  <si>
    <t xml:space="preserve">Entry DTE — maximum</t>
  </si>
  <si>
    <t xml:space="preserve">Don't open beyond this cap.</t>
  </si>
  <si>
    <t xml:space="preserve">Mandatory exit DTE</t>
  </si>
  <si>
    <t xml:space="preserve">Hard close (UBS 30-day hold rule).</t>
  </si>
  <si>
    <t xml:space="preserve">Take-profit (% of credit)</t>
  </si>
  <si>
    <t xml:space="preserve">Close at 50% of credit.</t>
  </si>
  <si>
    <t xml:space="preserve">Stop-loss × credit</t>
  </si>
  <si>
    <t xml:space="preserve">Cut when spread value reaches this × credit.</t>
  </si>
  <si>
    <t xml:space="preserve">Min strike buffer (% of spot)</t>
  </si>
  <si>
    <t xml:space="preserve">Skip if short strike within X% of spot.</t>
  </si>
  <si>
    <t xml:space="preserve">Default BP/BC OTM %</t>
  </si>
  <si>
    <t xml:space="preserve">Default short-strike position vs spot.</t>
  </si>
  <si>
    <t xml:space="preserve">Hedge budget — % of book risk</t>
  </si>
  <si>
    <t xml:space="preserve">Cash for UVXY long calls.</t>
  </si>
  <si>
    <t xml:space="preserve">UVXY OTM %</t>
  </si>
  <si>
    <t xml:space="preserve">UVXY hedge call strike = spot × (1+this).</t>
  </si>
  <si>
    <t xml:space="preserve">Front expiration offset (months)</t>
  </si>
  <si>
    <t xml:space="preserve">Months from today to the FRONT 3rd-Friday.</t>
  </si>
  <si>
    <t xml:space="preserve">Back expiration offset (months)</t>
  </si>
  <si>
    <t xml:space="preserve">Months from today to the BACK 3rd-Friday.</t>
  </si>
  <si>
    <t xml:space="preserve">CALENDAR — third Fridays roll forward from TODAY()</t>
  </si>
  <si>
    <t xml:space="preserve">Label</t>
  </si>
  <si>
    <t xml:space="preserve">Third_Friday</t>
  </si>
  <si>
    <t xml:space="preserve">DTE</t>
  </si>
  <si>
    <t xml:space="preserve">Note</t>
  </si>
  <si>
    <t xml:space="preserve">Today + 1 months → 3rd Fri</t>
  </si>
  <si>
    <t xml:space="preserve">Today + 2 months → 3rd Fri</t>
  </si>
  <si>
    <t xml:space="preserve">Today + 3 months → 3rd Fri</t>
  </si>
  <si>
    <t xml:space="preserve">Today + 4 months → 3rd Fri</t>
  </si>
  <si>
    <t xml:space="preserve">Today + 5 months → 3rd Fri</t>
  </si>
  <si>
    <t xml:space="preserve">SELECTED EXPIRATIONS (default on Monitor; can be overridden)</t>
  </si>
  <si>
    <t xml:space="preserve">Front_Exp (3rd Fri at +Front_Offset months)</t>
  </si>
  <si>
    <t xml:space="preserve">Back_Exp (3rd Fri at +Back_Offset months)</t>
  </si>
  <si>
    <t xml:space="preserve">MONITOR — type a ticker in B2; everything below rebuilds</t>
  </si>
  <si>
    <t xml:space="preserve">Ticker (TYPE HERE):</t>
  </si>
  <si>
    <t xml:space="preserve">SPY</t>
  </si>
  <si>
    <t xml:space="preserve">Any underlying with deep options. Examples: SPY, QQQ, XLF, GDX, GLD, EEM, XOP, TLT, IWM.</t>
  </si>
  <si>
    <t xml:space="preserve">BBG ticker (auto):</t>
  </si>
  <si>
    <t xml:space="preserve">Constructed Bloomberg security string.</t>
  </si>
  <si>
    <t xml:space="preserve">Spot ($):</t>
  </si>
  <si>
    <t xml:space="preserve">Live price via BDP.</t>
  </si>
  <si>
    <t xml:space="preserve">IV Rank:</t>
  </si>
  <si>
    <t xml:space="preserve">IV percentile vs 1Y range.</t>
  </si>
  <si>
    <t xml:space="preserve">Default OTM %:</t>
  </si>
  <si>
    <t xml:space="preserve">Used to compute the default short strikes below. Adjust in Settings.</t>
  </si>
  <si>
    <t xml:space="preserve">Front Exp:</t>
  </si>
  <si>
    <t xml:space="preserve">Default = Calendar Front. Type any date here to override.</t>
  </si>
  <si>
    <t xml:space="preserve">Back Exp:</t>
  </si>
  <si>
    <t xml:space="preserve">Default = Calendar Back. Type any date to override.</t>
  </si>
  <si>
    <t xml:space="preserve">Strike increment ($):</t>
  </si>
  <si>
    <t xml:space="preserve">Auto: $1 if spot&lt;$100 else $5. Override if BBG chain uses different spacing.</t>
  </si>
  <si>
    <t xml:space="preserve">BP Short Strike ($):</t>
  </si>
  <si>
    <t xml:space="preserve">Default = spot × (1−OTM%) rounded to increment. Override by typing a number.</t>
  </si>
  <si>
    <t xml:space="preserve">BC Short Strike ($):</t>
  </si>
  <si>
    <t xml:space="preserve">Default = spot × (1+OTM%) rounded to increment. Override by typing a number.</t>
  </si>
  <si>
    <t xml:space="preserve">Spread widths to test ($):</t>
  </si>
  <si>
    <t xml:space="preserve">Type any 4 dollar widths. Width 1 is the leftmost spread you'll see for each expiration. E.g., $5 = sell 540 / buy 535 on SPY.</t>
  </si>
  <si>
    <t xml:space="preserve">BULL PUT — short put + long lower put (4 widths × 2 expirations)</t>
  </si>
  <si>
    <t xml:space="preserve">Strategy</t>
  </si>
  <si>
    <t xml:space="preserve">Leg</t>
  </si>
  <si>
    <t xml:space="preserve">Type</t>
  </si>
  <si>
    <t xml:space="preserve">Strike</t>
  </si>
  <si>
    <t xml:space="preserve">Expiration</t>
  </si>
  <si>
    <t xml:space="preserve">BBG_Ticker</t>
  </si>
  <si>
    <t xml:space="preserve">PX_LAST</t>
  </si>
  <si>
    <t xml:space="preserve">BID</t>
  </si>
  <si>
    <t xml:space="preserve">ASK</t>
  </si>
  <si>
    <t xml:space="preserve">VOL_MEAN</t>
  </si>
  <si>
    <t xml:space="preserve">DELTA_MID_RT</t>
  </si>
  <si>
    <t xml:space="preserve">Mid</t>
  </si>
  <si>
    <t xml:space="preserve">BullPut</t>
  </si>
  <si>
    <t xml:space="preserve">Front Short</t>
  </si>
  <si>
    <t xml:space="preserve">P</t>
  </si>
  <si>
    <t xml:space="preserve">Front Long (W1)</t>
  </si>
  <si>
    <t xml:space="preserve">Front Long (W2)</t>
  </si>
  <si>
    <t xml:space="preserve">Front Long (W3)</t>
  </si>
  <si>
    <t xml:space="preserve">Front Long (W4)</t>
  </si>
  <si>
    <t xml:space="preserve">Back Short</t>
  </si>
  <si>
    <t xml:space="preserve">Back Long (W1)</t>
  </si>
  <si>
    <t xml:space="preserve">Back Long (W2)</t>
  </si>
  <si>
    <t xml:space="preserve">Back Long (W3)</t>
  </si>
  <si>
    <t xml:space="preserve">Back Long (W4)</t>
  </si>
  <si>
    <t xml:space="preserve">Exp_Label</t>
  </si>
  <si>
    <t xml:space="preserve">Width(strikes)</t>
  </si>
  <si>
    <t xml:space="preserve">Width($)</t>
  </si>
  <si>
    <t xml:space="preserve">Short_K</t>
  </si>
  <si>
    <t xml:space="preserve">Long_K</t>
  </si>
  <si>
    <t xml:space="preserve">Credit</t>
  </si>
  <si>
    <t xml:space="preserve">MaxLoss</t>
  </si>
  <si>
    <t xml:space="preserve">C/W</t>
  </si>
  <si>
    <t xml:space="preserve">BidAsk%</t>
  </si>
  <si>
    <t xml:space="preserve">Buffer%</t>
  </si>
  <si>
    <t xml:space="preserve">POP</t>
  </si>
  <si>
    <t xml:space="preserve">EV</t>
  </si>
  <si>
    <t xml:space="preserve">EV/Max</t>
  </si>
  <si>
    <t xml:space="preserve">Signal</t>
  </si>
  <si>
    <t xml:space="preserve">Score</t>
  </si>
  <si>
    <t xml:space="preserve">Front</t>
  </si>
  <si>
    <t xml:space="preserve">Back</t>
  </si>
  <si>
    <t xml:space="preserve">BEAR CALL — short call + long higher call (4 widths × 2 expirations)</t>
  </si>
  <si>
    <t xml:space="preserve">BearCall</t>
  </si>
  <si>
    <t xml:space="preserve">C</t>
  </si>
  <si>
    <t xml:space="preserve">BEST OF 16 — top spread on this ticker right now</t>
  </si>
  <si>
    <t xml:space="preserve">Contracts</t>
  </si>
  <si>
    <t xml:space="preserve">Total_Credit</t>
  </si>
  <si>
    <t xml:space="preserve">Total_MaxLoss</t>
  </si>
  <si>
    <t xml:space="preserve">TP_$</t>
  </si>
  <si>
    <t xml:space="preserve">SL_$</t>
  </si>
  <si>
    <t xml:space="preserve">Action:</t>
  </si>
  <si>
    <t xml:space="preserve">UVXY HEDGE — sized to ParHedgePct × book risk</t>
  </si>
  <si>
    <t xml:space="preserve">UVXY BBG ticker:</t>
  </si>
  <si>
    <t xml:space="preserve">Hedge instrument.</t>
  </si>
  <si>
    <t xml:space="preserve">UVXY spot:</t>
  </si>
  <si>
    <t xml:space="preserve">Live UVXY price.</t>
  </si>
  <si>
    <t xml:space="preserve">Hedge strike ($):</t>
  </si>
  <si>
    <t xml:space="preserve">Spot × (1+OTM%), rounded up to $1.</t>
  </si>
  <si>
    <t xml:space="preserve">Hedge expiration:</t>
  </si>
  <si>
    <t xml:space="preserve">Defaults to Front expiration (B7).</t>
  </si>
  <si>
    <t xml:space="preserve">Call BBG ticker:</t>
  </si>
  <si>
    <t xml:space="preserve">Constructed UVXY call security.</t>
  </si>
  <si>
    <t xml:space="preserve">Call mid ($):</t>
  </si>
  <si>
    <t xml:space="preserve">Mid of UVXY call BID/ASK.</t>
  </si>
  <si>
    <t xml:space="preserve">Contracts to buy:</t>
  </si>
  <si>
    <t xml:space="preserve">Hedge budget ÷ (mid×100). Budget = Settings!$B$21 × book cap.</t>
  </si>
  <si>
    <t xml:space="preserve">Total cost ($):</t>
  </si>
  <si>
    <t xml:space="preserve">Confirm ≈ hedge budget.</t>
  </si>
  <si>
    <t xml:space="preserve">POSITION LOG — Status: Open / Closed.</t>
  </si>
  <si>
    <t xml:space="preserve">Open_Date</t>
  </si>
  <si>
    <t xml:space="preserve">Ticker</t>
  </si>
  <si>
    <t xml:space="preserve">Width</t>
  </si>
  <si>
    <t xml:space="preserve">Credit_per</t>
  </si>
  <si>
    <t xml:space="preserve">Max_Loss_per</t>
  </si>
  <si>
    <t xml:space="preserve">Status</t>
  </si>
  <si>
    <t xml:space="preserve">Close_Date</t>
  </si>
  <si>
    <t xml:space="preserve">Realized_PnL</t>
  </si>
  <si>
    <t xml:space="preserve">Notes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</si>
</sst>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0"/>
    <numFmt numFmtId="167" formatCode="0%"/>
    <numFmt numFmtId="168" formatCode="0.00"/>
    <numFmt numFmtId="169" formatCode="\$0.00"/>
    <numFmt numFmtId="170" formatCode="0.0"/>
    <numFmt numFmtId="171" formatCode="m/d/yyyy\ ddd"/>
    <numFmt numFmtId="172" formatCode="@"/>
    <numFmt numFmtId="173" formatCode="\$#,##0.00"/>
    <numFmt numFmtId="174" formatCode="m/d/yyyy"/>
    <numFmt numFmtId="175" formatCode="\$0"/>
    <numFmt numFmtId="176" formatCode="0.0%"/>
    <numFmt numFmtId="177" formatCode="0.000"/>
    <numFmt numFmtId="178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21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18" hidden="false" customHeight="true" outlineLevel="0" collapsed="false">
      <c r="A4" s="2" t="s">
        <v>2</v>
      </c>
    </row>
    <row r="5" customFormat="false" ht="18" hidden="false" customHeight="true" outlineLevel="0" collapsed="false">
      <c r="A5" s="2"/>
    </row>
    <row r="6" customFormat="false" ht="21.75" hidden="false" customHeight="true" outlineLevel="0" collapsed="false">
      <c r="A6" s="3" t="s">
        <v>3</v>
      </c>
    </row>
    <row r="7" customFormat="false" ht="18" hidden="false" customHeight="true" outlineLevel="0" collapsed="false">
      <c r="A7" s="2" t="s">
        <v>4</v>
      </c>
    </row>
    <row r="8" customFormat="false" ht="18" hidden="false" customHeight="true" outlineLevel="0" collapsed="false">
      <c r="A8" s="2" t="s">
        <v>5</v>
      </c>
    </row>
    <row r="9" customFormat="false" ht="18" hidden="false" customHeight="true" outlineLevel="0" collapsed="false">
      <c r="A9" s="2" t="s">
        <v>6</v>
      </c>
    </row>
    <row r="10" customFormat="false" ht="18" hidden="false" customHeight="true" outlineLevel="0" collapsed="false">
      <c r="A10" s="2" t="s">
        <v>7</v>
      </c>
    </row>
    <row r="11" customFormat="false" ht="18" hidden="false" customHeight="true" outlineLevel="0" collapsed="false">
      <c r="A11" s="2"/>
    </row>
    <row r="12" customFormat="false" ht="21.75" hidden="false" customHeight="true" outlineLevel="0" collapsed="false">
      <c r="A12" s="3" t="s">
        <v>8</v>
      </c>
    </row>
    <row r="13" customFormat="false" ht="18" hidden="false" customHeight="true" outlineLevel="0" collapsed="false">
      <c r="A13" s="2" t="s">
        <v>9</v>
      </c>
    </row>
    <row r="14" customFormat="false" ht="18" hidden="false" customHeight="true" outlineLevel="0" collapsed="false">
      <c r="A14" s="2" t="s">
        <v>10</v>
      </c>
    </row>
    <row r="15" customFormat="false" ht="18" hidden="false" customHeight="true" outlineLevel="0" collapsed="false">
      <c r="A15" s="2" t="s">
        <v>11</v>
      </c>
    </row>
    <row r="16" customFormat="false" ht="18" hidden="false" customHeight="true" outlineLevel="0" collapsed="false">
      <c r="A16" s="2" t="s">
        <v>12</v>
      </c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14</v>
      </c>
    </row>
    <row r="19" customFormat="false" ht="18" hidden="false" customHeight="true" outlineLevel="0" collapsed="false">
      <c r="A19" s="2"/>
    </row>
    <row r="20" customFormat="false" ht="21.75" hidden="false" customHeight="true" outlineLevel="0" collapsed="false">
      <c r="A20" s="3" t="s">
        <v>15</v>
      </c>
    </row>
    <row r="21" customFormat="false" ht="18" hidden="false" customHeight="true" outlineLevel="0" collapsed="false">
      <c r="A21" s="2" t="s">
        <v>16</v>
      </c>
    </row>
    <row r="22" customFormat="false" ht="18" hidden="false" customHeight="true" outlineLevel="0" collapsed="false">
      <c r="A22" s="2"/>
    </row>
    <row r="23" customFormat="false" ht="21.75" hidden="false" customHeight="true" outlineLevel="0" collapsed="false">
      <c r="A23" s="4" t="s">
        <v>17</v>
      </c>
    </row>
    <row r="24" customFormat="false" ht="18" hidden="false" customHeight="true" outlineLevel="0" collapsed="false">
      <c r="A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true" outlineLevel="0" collapsed="false">
      <c r="A1" s="5" t="s">
        <v>19</v>
      </c>
      <c r="B1" s="5"/>
      <c r="C1" s="5"/>
    </row>
    <row r="3" customFormat="false" ht="15" hidden="false" customHeight="false" outlineLevel="0" collapsed="false">
      <c r="A3" s="6" t="s">
        <v>20</v>
      </c>
      <c r="B3" s="7" t="n">
        <v>50000</v>
      </c>
      <c r="C3" s="8" t="s">
        <v>21</v>
      </c>
    </row>
    <row r="4" customFormat="false" ht="15" hidden="false" customHeight="false" outlineLevel="0" collapsed="false">
      <c r="A4" s="6" t="s">
        <v>22</v>
      </c>
      <c r="B4" s="9" t="n">
        <v>3</v>
      </c>
      <c r="C4" s="8" t="s">
        <v>23</v>
      </c>
    </row>
    <row r="5" customFormat="false" ht="15" hidden="false" customHeight="false" outlineLevel="0" collapsed="false">
      <c r="A5" s="6" t="s">
        <v>24</v>
      </c>
      <c r="B5" s="7" t="n">
        <v>5500</v>
      </c>
      <c r="C5" s="8" t="s">
        <v>25</v>
      </c>
    </row>
    <row r="6" customFormat="false" ht="15" hidden="false" customHeight="false" outlineLevel="0" collapsed="false">
      <c r="A6" s="6" t="s">
        <v>26</v>
      </c>
      <c r="B6" s="10" t="n">
        <v>0.12</v>
      </c>
      <c r="C6" s="8" t="s">
        <v>27</v>
      </c>
    </row>
    <row r="7" customFormat="false" ht="15" hidden="false" customHeight="false" outlineLevel="0" collapsed="false">
      <c r="A7" s="6" t="s">
        <v>28</v>
      </c>
      <c r="B7" s="11" t="n">
        <v>0.25</v>
      </c>
      <c r="C7" s="8" t="s">
        <v>29</v>
      </c>
    </row>
    <row r="8" customFormat="false" ht="15" hidden="false" customHeight="false" outlineLevel="0" collapsed="false">
      <c r="A8" s="6" t="s">
        <v>30</v>
      </c>
      <c r="B8" s="9" t="n">
        <v>30</v>
      </c>
      <c r="C8" s="8" t="s">
        <v>31</v>
      </c>
    </row>
    <row r="9" customFormat="false" ht="15" hidden="false" customHeight="false" outlineLevel="0" collapsed="false">
      <c r="A9" s="6" t="s">
        <v>32</v>
      </c>
      <c r="B9" s="10" t="n">
        <v>0.1</v>
      </c>
      <c r="C9" s="8" t="s">
        <v>33</v>
      </c>
    </row>
    <row r="10" customFormat="false" ht="15" hidden="false" customHeight="false" outlineLevel="0" collapsed="false">
      <c r="A10" s="6" t="s">
        <v>34</v>
      </c>
      <c r="B10" s="12" t="n">
        <v>0.3</v>
      </c>
      <c r="C10" s="8" t="s">
        <v>35</v>
      </c>
    </row>
    <row r="11" customFormat="false" ht="15" hidden="false" customHeight="false" outlineLevel="0" collapsed="false">
      <c r="A11" s="6" t="s">
        <v>36</v>
      </c>
      <c r="B11" s="10" t="n">
        <v>0.1</v>
      </c>
      <c r="C11" s="8" t="s">
        <v>37</v>
      </c>
    </row>
    <row r="12" customFormat="false" ht="15" hidden="false" customHeight="false" outlineLevel="0" collapsed="false">
      <c r="A12" s="6" t="s">
        <v>38</v>
      </c>
      <c r="B12" s="11" t="n">
        <v>0.15</v>
      </c>
      <c r="C12" s="8" t="s">
        <v>39</v>
      </c>
    </row>
    <row r="13" customFormat="false" ht="15" hidden="false" customHeight="false" outlineLevel="0" collapsed="false">
      <c r="A13" s="6" t="s">
        <v>40</v>
      </c>
      <c r="B13" s="11" t="n">
        <v>0.25</v>
      </c>
      <c r="C13" s="8" t="s">
        <v>41</v>
      </c>
    </row>
    <row r="14" customFormat="false" ht="15" hidden="false" customHeight="false" outlineLevel="0" collapsed="false">
      <c r="A14" s="6" t="s">
        <v>42</v>
      </c>
      <c r="B14" s="9" t="n">
        <v>60</v>
      </c>
      <c r="C14" s="8" t="s">
        <v>43</v>
      </c>
    </row>
    <row r="15" customFormat="false" ht="15" hidden="false" customHeight="false" outlineLevel="0" collapsed="false">
      <c r="A15" s="6" t="s">
        <v>44</v>
      </c>
      <c r="B15" s="9" t="n">
        <v>120</v>
      </c>
      <c r="C15" s="8" t="s">
        <v>45</v>
      </c>
    </row>
    <row r="16" customFormat="false" ht="15" hidden="false" customHeight="false" outlineLevel="0" collapsed="false">
      <c r="A16" s="6" t="s">
        <v>46</v>
      </c>
      <c r="B16" s="9" t="n">
        <v>60</v>
      </c>
      <c r="C16" s="8" t="s">
        <v>47</v>
      </c>
    </row>
    <row r="17" customFormat="false" ht="15" hidden="false" customHeight="false" outlineLevel="0" collapsed="false">
      <c r="A17" s="6" t="s">
        <v>48</v>
      </c>
      <c r="B17" s="10" t="n">
        <v>0.5</v>
      </c>
      <c r="C17" s="8" t="s">
        <v>49</v>
      </c>
    </row>
    <row r="18" customFormat="false" ht="15" hidden="false" customHeight="false" outlineLevel="0" collapsed="false">
      <c r="A18" s="6" t="s">
        <v>50</v>
      </c>
      <c r="B18" s="13" t="n">
        <v>2</v>
      </c>
      <c r="C18" s="8" t="s">
        <v>51</v>
      </c>
    </row>
    <row r="19" customFormat="false" ht="15" hidden="false" customHeight="false" outlineLevel="0" collapsed="false">
      <c r="A19" s="6" t="s">
        <v>52</v>
      </c>
      <c r="B19" s="10" t="n">
        <v>0.03</v>
      </c>
      <c r="C19" s="8" t="s">
        <v>53</v>
      </c>
    </row>
    <row r="20" customFormat="false" ht="15" hidden="false" customHeight="false" outlineLevel="0" collapsed="false">
      <c r="A20" s="6" t="s">
        <v>54</v>
      </c>
      <c r="B20" s="10" t="n">
        <v>0.05</v>
      </c>
      <c r="C20" s="8" t="s">
        <v>55</v>
      </c>
    </row>
    <row r="21" customFormat="false" ht="15" hidden="false" customHeight="false" outlineLevel="0" collapsed="false">
      <c r="A21" s="6" t="s">
        <v>56</v>
      </c>
      <c r="B21" s="10" t="n">
        <v>0.08</v>
      </c>
      <c r="C21" s="8" t="s">
        <v>57</v>
      </c>
    </row>
    <row r="22" customFormat="false" ht="15" hidden="false" customHeight="false" outlineLevel="0" collapsed="false">
      <c r="A22" s="6" t="s">
        <v>58</v>
      </c>
      <c r="B22" s="10" t="n">
        <v>0.3</v>
      </c>
      <c r="C22" s="8" t="s">
        <v>59</v>
      </c>
    </row>
    <row r="23" customFormat="false" ht="15" hidden="false" customHeight="false" outlineLevel="0" collapsed="false">
      <c r="A23" s="6" t="s">
        <v>60</v>
      </c>
      <c r="B23" s="9" t="n">
        <v>2</v>
      </c>
      <c r="C23" s="8" t="s">
        <v>61</v>
      </c>
    </row>
    <row r="24" customFormat="false" ht="15" hidden="false" customHeight="false" outlineLevel="0" collapsed="false">
      <c r="A24" s="6" t="s">
        <v>62</v>
      </c>
      <c r="B24" s="9" t="n">
        <v>3</v>
      </c>
      <c r="C24" s="8" t="s">
        <v>63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22"/>
  </cols>
  <sheetData>
    <row r="1" customFormat="false" ht="15" hidden="false" customHeight="true" outlineLevel="0" collapsed="false">
      <c r="A1" s="5" t="s">
        <v>64</v>
      </c>
      <c r="B1" s="5"/>
      <c r="C1" s="5"/>
      <c r="D1" s="5"/>
    </row>
    <row r="3" customFormat="false" ht="15" hidden="false" customHeight="false" outlineLevel="0" collapsed="false">
      <c r="A3" s="14" t="s">
        <v>65</v>
      </c>
      <c r="B3" s="14" t="s">
        <v>66</v>
      </c>
      <c r="C3" s="14" t="s">
        <v>67</v>
      </c>
      <c r="D3" s="14" t="s">
        <v>68</v>
      </c>
    </row>
    <row r="4" customFormat="false" ht="23.85" hidden="false" customHeight="false" outlineLevel="0" collapsed="false">
      <c r="A4" s="15" t="s">
        <v>69</v>
      </c>
      <c r="B4" s="16" t="n">
        <f aca="true">DATE(YEAR(EDATE(TODAY(),1)),MONTH(EDATE(TODAY(),1)),1)+MOD(5-WEEKDAY(DATE(YEAR(EDATE(TODAY(),1)),MONTH(EDATE(TODAY(),1)),1),2)+7,7)+14</f>
        <v>46192</v>
      </c>
      <c r="C4" s="17" t="n">
        <f aca="true">B4-TODAY()</f>
        <v>39</v>
      </c>
      <c r="D4" s="18" t="str">
        <f aca="false">IF(AND(C4&gt;=Settings!$B$14,C4&lt;=Settings!$B$15),"in 60-120 window","outside window")</f>
        <v>outside window</v>
      </c>
    </row>
    <row r="5" customFormat="false" ht="23.85" hidden="false" customHeight="false" outlineLevel="0" collapsed="false">
      <c r="A5" s="15" t="s">
        <v>70</v>
      </c>
      <c r="B5" s="16" t="n">
        <f aca="true">DATE(YEAR(EDATE(TODAY(),2)),MONTH(EDATE(TODAY(),2)),1)+MOD(5-WEEKDAY(DATE(YEAR(EDATE(TODAY(),2)),MONTH(EDATE(TODAY(),2)),1),2)+7,7)+14</f>
        <v>46220</v>
      </c>
      <c r="C5" s="17" t="n">
        <f aca="true">B5-TODAY()</f>
        <v>67</v>
      </c>
      <c r="D5" s="18" t="str">
        <f aca="false">IF(AND(C5&gt;=Settings!$B$14,C5&lt;=Settings!$B$15),"in 60-120 window","outside window")</f>
        <v>in 60-120 window</v>
      </c>
    </row>
    <row r="6" customFormat="false" ht="23.85" hidden="false" customHeight="false" outlineLevel="0" collapsed="false">
      <c r="A6" s="15" t="s">
        <v>71</v>
      </c>
      <c r="B6" s="16" t="n">
        <f aca="true">DATE(YEAR(EDATE(TODAY(),3)),MONTH(EDATE(TODAY(),3)),1)+MOD(5-WEEKDAY(DATE(YEAR(EDATE(TODAY(),3)),MONTH(EDATE(TODAY(),3)),1),2)+7,7)+14</f>
        <v>46255</v>
      </c>
      <c r="C6" s="17" t="n">
        <f aca="true">B6-TODAY()</f>
        <v>102</v>
      </c>
      <c r="D6" s="18" t="str">
        <f aca="false">IF(AND(C6&gt;=Settings!$B$14,C6&lt;=Settings!$B$15),"in 60-120 window","outside window")</f>
        <v>in 60-120 window</v>
      </c>
    </row>
    <row r="7" customFormat="false" ht="23.85" hidden="false" customHeight="false" outlineLevel="0" collapsed="false">
      <c r="A7" s="15" t="s">
        <v>72</v>
      </c>
      <c r="B7" s="16" t="n">
        <f aca="true">DATE(YEAR(EDATE(TODAY(),4)),MONTH(EDATE(TODAY(),4)),1)+MOD(5-WEEKDAY(DATE(YEAR(EDATE(TODAY(),4)),MONTH(EDATE(TODAY(),4)),1),2)+7,7)+14</f>
        <v>46283</v>
      </c>
      <c r="C7" s="17" t="n">
        <f aca="true">B7-TODAY()</f>
        <v>130</v>
      </c>
      <c r="D7" s="18" t="str">
        <f aca="false">IF(AND(C7&gt;=Settings!$B$14,C7&lt;=Settings!$B$15),"in 60-120 window","outside window")</f>
        <v>outside window</v>
      </c>
    </row>
    <row r="8" customFormat="false" ht="23.85" hidden="false" customHeight="false" outlineLevel="0" collapsed="false">
      <c r="A8" s="15" t="s">
        <v>73</v>
      </c>
      <c r="B8" s="16" t="n">
        <f aca="true">DATE(YEAR(EDATE(TODAY(),5)),MONTH(EDATE(TODAY(),5)),1)+MOD(5-WEEKDAY(DATE(YEAR(EDATE(TODAY(),5)),MONTH(EDATE(TODAY(),5)),1),2)+7,7)+14</f>
        <v>46311</v>
      </c>
      <c r="C8" s="17" t="n">
        <f aca="true">B8-TODAY()</f>
        <v>158</v>
      </c>
      <c r="D8" s="18" t="str">
        <f aca="false">IF(AND(C8&gt;=Settings!$B$14,C8&lt;=Settings!$B$15),"in 60-120 window","outside window")</f>
        <v>outside window</v>
      </c>
    </row>
    <row r="10" customFormat="false" ht="15" hidden="false" customHeight="true" outlineLevel="0" collapsed="false">
      <c r="A10" s="5" t="s">
        <v>74</v>
      </c>
      <c r="B10" s="5"/>
      <c r="C10" s="5"/>
      <c r="D10" s="5"/>
    </row>
    <row r="11" customFormat="false" ht="23.85" hidden="false" customHeight="false" outlineLevel="0" collapsed="false">
      <c r="A11" s="15" t="s">
        <v>75</v>
      </c>
      <c r="B11" s="16" t="n">
        <f aca="true">DATE(YEAR(EDATE(TODAY(),Settings!$B$23)),MONTH(EDATE(TODAY(),Settings!$B$23)),1)+MOD(5-WEEKDAY(DATE(YEAR(EDATE(TODAY(),Settings!$B$23)),MONTH(EDATE(TODAY(),Settings!$B$23)),1),2)+7,7)+14</f>
        <v>46220</v>
      </c>
      <c r="C11" s="17" t="n">
        <f aca="true">B11-TODAY()</f>
        <v>67</v>
      </c>
    </row>
    <row r="12" customFormat="false" ht="23.85" hidden="false" customHeight="false" outlineLevel="0" collapsed="false">
      <c r="A12" s="15" t="s">
        <v>76</v>
      </c>
      <c r="B12" s="16" t="n">
        <f aca="true">DATE(YEAR(EDATE(TODAY(),Settings!$B$24)),MONTH(EDATE(TODAY(),Settings!$B$24)),1)+MOD(5-WEEKDAY(DATE(YEAR(EDATE(TODAY(),Settings!$B$24)),MONTH(EDATE(TODAY(),Settings!$B$24)),1),2)+7,7)+14</f>
        <v>46255</v>
      </c>
      <c r="C12" s="17" t="n">
        <f aca="true">B12-TODAY()</f>
        <v>102</v>
      </c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0"/>
  </cols>
  <sheetData>
    <row r="1" customFormat="false" ht="25.5" hidden="false" customHeight="true" outlineLevel="0" collapsed="false">
      <c r="A1" s="5" t="s">
        <v>77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customFormat="false" ht="23.85" hidden="false" customHeight="true" outlineLevel="0" collapsed="false">
      <c r="A2" s="6" t="s">
        <v>78</v>
      </c>
      <c r="B2" s="19" t="s">
        <v>79</v>
      </c>
      <c r="C2" s="8" t="s">
        <v>80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23.85" hidden="false" customHeight="true" outlineLevel="0" collapsed="false">
      <c r="A3" s="6" t="s">
        <v>81</v>
      </c>
      <c r="B3" s="18" t="str">
        <f aca="false">UPPER(B2)&amp;" US Equity"</f>
        <v>SPY US Equity</v>
      </c>
      <c r="C3" s="8" t="s">
        <v>82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15" hidden="false" customHeight="true" outlineLevel="0" collapsed="false">
      <c r="A4" s="6" t="s">
        <v>83</v>
      </c>
      <c r="B4" s="20" t="n">
        <f aca="false">IFERROR(bdp(B3,"PX_LAST"),0)</f>
        <v>0</v>
      </c>
      <c r="C4" s="8" t="s">
        <v>84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15" hidden="false" customHeight="true" outlineLevel="0" collapsed="false">
      <c r="A5" s="6" t="s">
        <v>85</v>
      </c>
      <c r="B5" s="17" t="n">
        <f aca="false">IFERROR(bdp(B3,"IVOL_RANK"),0)</f>
        <v>0</v>
      </c>
      <c r="C5" s="8" t="s">
        <v>86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23.85" hidden="false" customHeight="true" outlineLevel="0" collapsed="false">
      <c r="A6" s="6" t="s">
        <v>87</v>
      </c>
      <c r="B6" s="21" t="n">
        <f aca="false">Settings!$B$20</f>
        <v>0.05</v>
      </c>
      <c r="C6" s="8" t="s">
        <v>88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customFormat="false" ht="15" hidden="false" customHeight="true" outlineLevel="0" collapsed="false">
      <c r="A7" s="6" t="s">
        <v>89</v>
      </c>
      <c r="B7" s="22" t="n">
        <f aca="false">Calendar!$B$11</f>
        <v>46220</v>
      </c>
      <c r="C7" s="8" t="s">
        <v>90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customFormat="false" ht="15" hidden="false" customHeight="true" outlineLevel="0" collapsed="false">
      <c r="A8" s="6" t="s">
        <v>91</v>
      </c>
      <c r="B8" s="22" t="n">
        <f aca="false">Calendar!$B$12</f>
        <v>46255</v>
      </c>
      <c r="C8" s="8" t="s">
        <v>92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customFormat="false" ht="23.85" hidden="false" customHeight="true" outlineLevel="0" collapsed="false">
      <c r="A9" s="6" t="s">
        <v>93</v>
      </c>
      <c r="B9" s="23" t="n">
        <f aca="false">IF(B4&lt;100,1,5)</f>
        <v>1</v>
      </c>
      <c r="C9" s="8" t="s">
        <v>94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customFormat="false" ht="23.85" hidden="false" customHeight="true" outlineLevel="0" collapsed="false">
      <c r="A10" s="6" t="s">
        <v>95</v>
      </c>
      <c r="B10" s="20" t="n">
        <f aca="false">IF(B4=0,0,FLOOR(B4*(1-B6)/B9,1)*B9)</f>
        <v>0</v>
      </c>
      <c r="C10" s="8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customFormat="false" ht="23.85" hidden="false" customHeight="true" outlineLevel="0" collapsed="false">
      <c r="A11" s="6" t="s">
        <v>97</v>
      </c>
      <c r="B11" s="20" t="n">
        <f aca="false">IF(B4=0,0,CEILING(B4*(1+B6)/B9,1)*B9)</f>
        <v>0</v>
      </c>
      <c r="C11" s="8" t="s">
        <v>98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customFormat="false" ht="23.85" hidden="false" customHeight="true" outlineLevel="0" collapsed="false">
      <c r="A12" s="6" t="s">
        <v>99</v>
      </c>
      <c r="B12" s="24" t="n">
        <v>5</v>
      </c>
      <c r="C12" s="24" t="n">
        <v>10</v>
      </c>
      <c r="D12" s="24" t="n">
        <v>15</v>
      </c>
      <c r="E12" s="24" t="n">
        <v>20</v>
      </c>
      <c r="F12" s="8" t="s">
        <v>100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customFormat="false" ht="15" hidden="false" customHeight="true" outlineLevel="0" collapsed="false">
      <c r="A13" s="5" t="s">
        <v>101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customFormat="false" ht="23.85" hidden="false" customHeight="false" outlineLevel="0" collapsed="false">
      <c r="A14" s="14" t="s">
        <v>102</v>
      </c>
      <c r="B14" s="14" t="s">
        <v>103</v>
      </c>
      <c r="C14" s="14" t="s">
        <v>104</v>
      </c>
      <c r="D14" s="14" t="s">
        <v>105</v>
      </c>
      <c r="E14" s="14" t="s">
        <v>106</v>
      </c>
      <c r="F14" s="14" t="s">
        <v>107</v>
      </c>
      <c r="G14" s="14" t="s">
        <v>108</v>
      </c>
      <c r="H14" s="14" t="s">
        <v>109</v>
      </c>
      <c r="I14" s="14" t="s">
        <v>110</v>
      </c>
      <c r="J14" s="14" t="s">
        <v>111</v>
      </c>
      <c r="K14" s="14" t="s">
        <v>112</v>
      </c>
      <c r="L14" s="14" t="s">
        <v>113</v>
      </c>
    </row>
    <row r="15" customFormat="false" ht="23.85" hidden="false" customHeight="false" outlineLevel="0" collapsed="false">
      <c r="A15" s="18" t="s">
        <v>114</v>
      </c>
      <c r="B15" s="18" t="s">
        <v>115</v>
      </c>
      <c r="C15" s="18" t="s">
        <v>116</v>
      </c>
      <c r="D15" s="20" t="n">
        <f aca="false">$B$10</f>
        <v>0</v>
      </c>
      <c r="E15" s="22" t="n">
        <f aca="false">$B$7</f>
        <v>46220</v>
      </c>
      <c r="F15" s="18" t="str">
        <f aca="false">UPPER($B$2)&amp;" US "&amp;TEXT(E15,"mm/dd/yy")&amp;" "&amp;"P"&amp;IF(D15=INT(D15),INT(D15),D15)&amp;" Equity"</f>
        <v>SPY US 07/17/26 P0 Equity</v>
      </c>
      <c r="G15" s="25" t="n">
        <f aca="false">IFERROR(bdp($F15, G$14), 0)</f>
        <v>0</v>
      </c>
      <c r="H15" s="25" t="n">
        <f aca="false">IFERROR(bdp($F15, H$14), 0)</f>
        <v>0</v>
      </c>
      <c r="I15" s="25" t="n">
        <f aca="false">IFERROR(bdp($F15, I$14), 0)</f>
        <v>0</v>
      </c>
      <c r="J15" s="26" t="n">
        <f aca="false">IFERROR(bdp($F15, J$14), 0)</f>
        <v>0</v>
      </c>
      <c r="K15" s="27" t="n">
        <f aca="false">IFERROR(bdp($F15, K$14), 0)</f>
        <v>0</v>
      </c>
      <c r="L15" s="25" t="n">
        <f aca="false">IFERROR((H15+I15)/2, 0)</f>
        <v>0</v>
      </c>
    </row>
    <row r="16" customFormat="false" ht="23.85" hidden="false" customHeight="false" outlineLevel="0" collapsed="false">
      <c r="A16" s="18" t="s">
        <v>114</v>
      </c>
      <c r="B16" s="18" t="s">
        <v>117</v>
      </c>
      <c r="C16" s="18" t="s">
        <v>116</v>
      </c>
      <c r="D16" s="20" t="n">
        <f aca="false">$B$10-$B$12</f>
        <v>-5</v>
      </c>
      <c r="E16" s="22" t="n">
        <f aca="false">$B$7</f>
        <v>46220</v>
      </c>
      <c r="F16" s="18" t="str">
        <f aca="false">UPPER($B$2)&amp;" US "&amp;TEXT(E16,"mm/dd/yy")&amp;" "&amp;"P"&amp;IF(D16=INT(D16),INT(D16),D16)&amp;" Equity"</f>
        <v>SPY US 07/17/26 P-5 Equity</v>
      </c>
      <c r="G16" s="25" t="n">
        <f aca="false">IFERROR(bdp($F16, G$14), 0)</f>
        <v>0</v>
      </c>
      <c r="H16" s="25" t="n">
        <f aca="false">IFERROR(bdp($F16, H$14), 0)</f>
        <v>0</v>
      </c>
      <c r="I16" s="25" t="n">
        <f aca="false">IFERROR(bdp($F16, I$14), 0)</f>
        <v>0</v>
      </c>
      <c r="J16" s="26" t="n">
        <f aca="false">IFERROR(bdp($F16, J$14), 0)</f>
        <v>0</v>
      </c>
      <c r="K16" s="27" t="n">
        <f aca="false">IFERROR(bdp($F16, K$14), 0)</f>
        <v>0</v>
      </c>
      <c r="L16" s="25" t="n">
        <f aca="false">IFERROR((H16+I16)/2, 0)</f>
        <v>0</v>
      </c>
    </row>
    <row r="17" customFormat="false" ht="23.85" hidden="false" customHeight="false" outlineLevel="0" collapsed="false">
      <c r="A17" s="18" t="s">
        <v>114</v>
      </c>
      <c r="B17" s="18" t="s">
        <v>118</v>
      </c>
      <c r="C17" s="18" t="s">
        <v>116</v>
      </c>
      <c r="D17" s="20" t="n">
        <f aca="false">$B$10-$C$12</f>
        <v>-10</v>
      </c>
      <c r="E17" s="22" t="n">
        <f aca="false">$B$7</f>
        <v>46220</v>
      </c>
      <c r="F17" s="18" t="str">
        <f aca="false">UPPER($B$2)&amp;" US "&amp;TEXT(E17,"mm/dd/yy")&amp;" "&amp;"P"&amp;IF(D17=INT(D17),INT(D17),D17)&amp;" Equity"</f>
        <v>SPY US 07/17/26 P-10 Equity</v>
      </c>
      <c r="G17" s="25" t="n">
        <f aca="false">IFERROR(bdp($F17, G$14), 0)</f>
        <v>0</v>
      </c>
      <c r="H17" s="25" t="n">
        <f aca="false">IFERROR(bdp($F17, H$14), 0)</f>
        <v>0</v>
      </c>
      <c r="I17" s="25" t="n">
        <f aca="false">IFERROR(bdp($F17, I$14), 0)</f>
        <v>0</v>
      </c>
      <c r="J17" s="26" t="n">
        <f aca="false">IFERROR(bdp($F17, J$14), 0)</f>
        <v>0</v>
      </c>
      <c r="K17" s="27" t="n">
        <f aca="false">IFERROR(bdp($F17, K$14), 0)</f>
        <v>0</v>
      </c>
      <c r="L17" s="25" t="n">
        <f aca="false">IFERROR((H17+I17)/2, 0)</f>
        <v>0</v>
      </c>
    </row>
    <row r="18" customFormat="false" ht="23.85" hidden="false" customHeight="false" outlineLevel="0" collapsed="false">
      <c r="A18" s="18" t="s">
        <v>114</v>
      </c>
      <c r="B18" s="18" t="s">
        <v>119</v>
      </c>
      <c r="C18" s="18" t="s">
        <v>116</v>
      </c>
      <c r="D18" s="20" t="n">
        <f aca="false">$B$10-$D$12</f>
        <v>-15</v>
      </c>
      <c r="E18" s="22" t="n">
        <f aca="false">$B$7</f>
        <v>46220</v>
      </c>
      <c r="F18" s="18" t="str">
        <f aca="false">UPPER($B$2)&amp;" US "&amp;TEXT(E18,"mm/dd/yy")&amp;" "&amp;"P"&amp;IF(D18=INT(D18),INT(D18),D18)&amp;" Equity"</f>
        <v>SPY US 07/17/26 P-15 Equity</v>
      </c>
      <c r="G18" s="25" t="n">
        <f aca="false">IFERROR(bdp($F18, G$14), 0)</f>
        <v>0</v>
      </c>
      <c r="H18" s="25" t="n">
        <f aca="false">IFERROR(bdp($F18, H$14), 0)</f>
        <v>0</v>
      </c>
      <c r="I18" s="25" t="n">
        <f aca="false">IFERROR(bdp($F18, I$14), 0)</f>
        <v>0</v>
      </c>
      <c r="J18" s="26" t="n">
        <f aca="false">IFERROR(bdp($F18, J$14), 0)</f>
        <v>0</v>
      </c>
      <c r="K18" s="27" t="n">
        <f aca="false">IFERROR(bdp($F18, K$14), 0)</f>
        <v>0</v>
      </c>
      <c r="L18" s="25" t="n">
        <f aca="false">IFERROR((H18+I18)/2, 0)</f>
        <v>0</v>
      </c>
    </row>
    <row r="19" customFormat="false" ht="23.85" hidden="false" customHeight="false" outlineLevel="0" collapsed="false">
      <c r="A19" s="18" t="s">
        <v>114</v>
      </c>
      <c r="B19" s="18" t="s">
        <v>120</v>
      </c>
      <c r="C19" s="18" t="s">
        <v>116</v>
      </c>
      <c r="D19" s="20" t="n">
        <f aca="false">$B$10-$E$12</f>
        <v>-20</v>
      </c>
      <c r="E19" s="22" t="n">
        <f aca="false">$B$7</f>
        <v>46220</v>
      </c>
      <c r="F19" s="18" t="str">
        <f aca="false">UPPER($B$2)&amp;" US "&amp;TEXT(E19,"mm/dd/yy")&amp;" "&amp;"P"&amp;IF(D19=INT(D19),INT(D19),D19)&amp;" Equity"</f>
        <v>SPY US 07/17/26 P-20 Equity</v>
      </c>
      <c r="G19" s="25" t="n">
        <f aca="false">IFERROR(bdp($F19, G$14), 0)</f>
        <v>0</v>
      </c>
      <c r="H19" s="25" t="n">
        <f aca="false">IFERROR(bdp($F19, H$14), 0)</f>
        <v>0</v>
      </c>
      <c r="I19" s="25" t="n">
        <f aca="false">IFERROR(bdp($F19, I$14), 0)</f>
        <v>0</v>
      </c>
      <c r="J19" s="26" t="n">
        <f aca="false">IFERROR(bdp($F19, J$14), 0)</f>
        <v>0</v>
      </c>
      <c r="K19" s="27" t="n">
        <f aca="false">IFERROR(bdp($F19, K$14), 0)</f>
        <v>0</v>
      </c>
      <c r="L19" s="25" t="n">
        <f aca="false">IFERROR((H19+I19)/2, 0)</f>
        <v>0</v>
      </c>
    </row>
    <row r="20" customFormat="false" ht="23.85" hidden="false" customHeight="false" outlineLevel="0" collapsed="false">
      <c r="A20" s="18" t="s">
        <v>114</v>
      </c>
      <c r="B20" s="18" t="s">
        <v>121</v>
      </c>
      <c r="C20" s="18" t="s">
        <v>116</v>
      </c>
      <c r="D20" s="20" t="n">
        <f aca="false">$B$10</f>
        <v>0</v>
      </c>
      <c r="E20" s="22" t="n">
        <f aca="false">$B$8</f>
        <v>46255</v>
      </c>
      <c r="F20" s="18" t="str">
        <f aca="false">UPPER($B$2)&amp;" US "&amp;TEXT(E20,"mm/dd/yy")&amp;" "&amp;"P"&amp;IF(D20=INT(D20),INT(D20),D20)&amp;" Equity"</f>
        <v>SPY US 08/21/26 P0 Equity</v>
      </c>
      <c r="G20" s="25" t="n">
        <f aca="false">IFERROR(bdp($F20, G$14), 0)</f>
        <v>0</v>
      </c>
      <c r="H20" s="25" t="n">
        <f aca="false">IFERROR(bdp($F20, H$14), 0)</f>
        <v>0</v>
      </c>
      <c r="I20" s="25" t="n">
        <f aca="false">IFERROR(bdp($F20, I$14), 0)</f>
        <v>0</v>
      </c>
      <c r="J20" s="26" t="n">
        <f aca="false">IFERROR(bdp($F20, J$14), 0)</f>
        <v>0</v>
      </c>
      <c r="K20" s="27" t="n">
        <f aca="false">IFERROR(bdp($F20, K$14), 0)</f>
        <v>0</v>
      </c>
      <c r="L20" s="25" t="n">
        <f aca="false">IFERROR((H20+I20)/2, 0)</f>
        <v>0</v>
      </c>
    </row>
    <row r="21" customFormat="false" ht="23.85" hidden="false" customHeight="false" outlineLevel="0" collapsed="false">
      <c r="A21" s="18" t="s">
        <v>114</v>
      </c>
      <c r="B21" s="18" t="s">
        <v>122</v>
      </c>
      <c r="C21" s="18" t="s">
        <v>116</v>
      </c>
      <c r="D21" s="20" t="n">
        <f aca="false">$B$10-$B$12</f>
        <v>-5</v>
      </c>
      <c r="E21" s="22" t="n">
        <f aca="false">$B$8</f>
        <v>46255</v>
      </c>
      <c r="F21" s="18" t="str">
        <f aca="false">UPPER($B$2)&amp;" US "&amp;TEXT(E21,"mm/dd/yy")&amp;" "&amp;"P"&amp;IF(D21=INT(D21),INT(D21),D21)&amp;" Equity"</f>
        <v>SPY US 08/21/26 P-5 Equity</v>
      </c>
      <c r="G21" s="25" t="n">
        <f aca="false">IFERROR(bdp($F21, G$14), 0)</f>
        <v>0</v>
      </c>
      <c r="H21" s="25" t="n">
        <f aca="false">IFERROR(bdp($F21, H$14), 0)</f>
        <v>0</v>
      </c>
      <c r="I21" s="25" t="n">
        <f aca="false">IFERROR(bdp($F21, I$14), 0)</f>
        <v>0</v>
      </c>
      <c r="J21" s="26" t="n">
        <f aca="false">IFERROR(bdp($F21, J$14), 0)</f>
        <v>0</v>
      </c>
      <c r="K21" s="27" t="n">
        <f aca="false">IFERROR(bdp($F21, K$14), 0)</f>
        <v>0</v>
      </c>
      <c r="L21" s="25" t="n">
        <f aca="false">IFERROR((H21+I21)/2, 0)</f>
        <v>0</v>
      </c>
    </row>
    <row r="22" customFormat="false" ht="23.85" hidden="false" customHeight="false" outlineLevel="0" collapsed="false">
      <c r="A22" s="18" t="s">
        <v>114</v>
      </c>
      <c r="B22" s="18" t="s">
        <v>123</v>
      </c>
      <c r="C22" s="18" t="s">
        <v>116</v>
      </c>
      <c r="D22" s="20" t="n">
        <f aca="false">$B$10-$C$12</f>
        <v>-10</v>
      </c>
      <c r="E22" s="22" t="n">
        <f aca="false">$B$8</f>
        <v>46255</v>
      </c>
      <c r="F22" s="18" t="str">
        <f aca="false">UPPER($B$2)&amp;" US "&amp;TEXT(E22,"mm/dd/yy")&amp;" "&amp;"P"&amp;IF(D22=INT(D22),INT(D22),D22)&amp;" Equity"</f>
        <v>SPY US 08/21/26 P-10 Equity</v>
      </c>
      <c r="G22" s="25" t="n">
        <f aca="false">IFERROR(bdp($F22, G$14), 0)</f>
        <v>0</v>
      </c>
      <c r="H22" s="25" t="n">
        <f aca="false">IFERROR(bdp($F22, H$14), 0)</f>
        <v>0</v>
      </c>
      <c r="I22" s="25" t="n">
        <f aca="false">IFERROR(bdp($F22, I$14), 0)</f>
        <v>0</v>
      </c>
      <c r="J22" s="26" t="n">
        <f aca="false">IFERROR(bdp($F22, J$14), 0)</f>
        <v>0</v>
      </c>
      <c r="K22" s="27" t="n">
        <f aca="false">IFERROR(bdp($F22, K$14), 0)</f>
        <v>0</v>
      </c>
      <c r="L22" s="25" t="n">
        <f aca="false">IFERROR((H22+I22)/2, 0)</f>
        <v>0</v>
      </c>
    </row>
    <row r="23" customFormat="false" ht="23.85" hidden="false" customHeight="false" outlineLevel="0" collapsed="false">
      <c r="A23" s="18" t="s">
        <v>114</v>
      </c>
      <c r="B23" s="18" t="s">
        <v>124</v>
      </c>
      <c r="C23" s="18" t="s">
        <v>116</v>
      </c>
      <c r="D23" s="20" t="n">
        <f aca="false">$B$10-$D$12</f>
        <v>-15</v>
      </c>
      <c r="E23" s="22" t="n">
        <f aca="false">$B$8</f>
        <v>46255</v>
      </c>
      <c r="F23" s="18" t="str">
        <f aca="false">UPPER($B$2)&amp;" US "&amp;TEXT(E23,"mm/dd/yy")&amp;" "&amp;"P"&amp;IF(D23=INT(D23),INT(D23),D23)&amp;" Equity"</f>
        <v>SPY US 08/21/26 P-15 Equity</v>
      </c>
      <c r="G23" s="25" t="n">
        <f aca="false">IFERROR(bdp($F23, G$14), 0)</f>
        <v>0</v>
      </c>
      <c r="H23" s="25" t="n">
        <f aca="false">IFERROR(bdp($F23, H$14), 0)</f>
        <v>0</v>
      </c>
      <c r="I23" s="25" t="n">
        <f aca="false">IFERROR(bdp($F23, I$14), 0)</f>
        <v>0</v>
      </c>
      <c r="J23" s="26" t="n">
        <f aca="false">IFERROR(bdp($F23, J$14), 0)</f>
        <v>0</v>
      </c>
      <c r="K23" s="27" t="n">
        <f aca="false">IFERROR(bdp($F23, K$14), 0)</f>
        <v>0</v>
      </c>
      <c r="L23" s="25" t="n">
        <f aca="false">IFERROR((H23+I23)/2, 0)</f>
        <v>0</v>
      </c>
    </row>
    <row r="24" customFormat="false" ht="23.85" hidden="false" customHeight="false" outlineLevel="0" collapsed="false">
      <c r="A24" s="18" t="s">
        <v>114</v>
      </c>
      <c r="B24" s="18" t="s">
        <v>125</v>
      </c>
      <c r="C24" s="18" t="s">
        <v>116</v>
      </c>
      <c r="D24" s="20" t="n">
        <f aca="false">$B$10-$E$12</f>
        <v>-20</v>
      </c>
      <c r="E24" s="22" t="n">
        <f aca="false">$B$8</f>
        <v>46255</v>
      </c>
      <c r="F24" s="18" t="str">
        <f aca="false">UPPER($B$2)&amp;" US "&amp;TEXT(E24,"mm/dd/yy")&amp;" "&amp;"P"&amp;IF(D24=INT(D24),INT(D24),D24)&amp;" Equity"</f>
        <v>SPY US 08/21/26 P-20 Equity</v>
      </c>
      <c r="G24" s="25" t="n">
        <f aca="false">IFERROR(bdp($F24, G$14), 0)</f>
        <v>0</v>
      </c>
      <c r="H24" s="25" t="n">
        <f aca="false">IFERROR(bdp($F24, H$14), 0)</f>
        <v>0</v>
      </c>
      <c r="I24" s="25" t="n">
        <f aca="false">IFERROR(bdp($F24, I$14), 0)</f>
        <v>0</v>
      </c>
      <c r="J24" s="26" t="n">
        <f aca="false">IFERROR(bdp($F24, J$14), 0)</f>
        <v>0</v>
      </c>
      <c r="K24" s="27" t="n">
        <f aca="false">IFERROR(bdp($F24, K$14), 0)</f>
        <v>0</v>
      </c>
      <c r="L24" s="25" t="n">
        <f aca="false">IFERROR((H24+I24)/2, 0)</f>
        <v>0</v>
      </c>
    </row>
    <row r="26" customFormat="false" ht="23.85" hidden="false" customHeight="false" outlineLevel="0" collapsed="false">
      <c r="A26" s="14" t="s">
        <v>102</v>
      </c>
      <c r="B26" s="14" t="s">
        <v>126</v>
      </c>
      <c r="C26" s="14" t="s">
        <v>127</v>
      </c>
      <c r="D26" s="14" t="s">
        <v>128</v>
      </c>
      <c r="E26" s="14" t="s">
        <v>129</v>
      </c>
      <c r="F26" s="14" t="s">
        <v>130</v>
      </c>
      <c r="G26" s="14" t="s">
        <v>131</v>
      </c>
      <c r="H26" s="14" t="s">
        <v>132</v>
      </c>
      <c r="I26" s="14" t="s">
        <v>133</v>
      </c>
      <c r="J26" s="14" t="s">
        <v>134</v>
      </c>
      <c r="K26" s="14" t="s">
        <v>135</v>
      </c>
      <c r="L26" s="14" t="s">
        <v>136</v>
      </c>
      <c r="M26" s="14" t="s">
        <v>137</v>
      </c>
      <c r="N26" s="14" t="s">
        <v>138</v>
      </c>
      <c r="O26" s="14" t="s">
        <v>139</v>
      </c>
      <c r="P26" s="14" t="s">
        <v>140</v>
      </c>
    </row>
    <row r="27" customFormat="false" ht="23.85" hidden="false" customHeight="false" outlineLevel="0" collapsed="false">
      <c r="A27" s="18" t="s">
        <v>114</v>
      </c>
      <c r="B27" s="18" t="s">
        <v>141</v>
      </c>
      <c r="C27" s="17" t="n">
        <f aca="false">IFERROR($B$12/$B$9,0)</f>
        <v>5</v>
      </c>
      <c r="D27" s="23" t="n">
        <f aca="false">$B$12</f>
        <v>5</v>
      </c>
      <c r="E27" s="20" t="n">
        <f aca="false">D15</f>
        <v>0</v>
      </c>
      <c r="F27" s="20" t="n">
        <f aca="false">D16</f>
        <v>-5</v>
      </c>
      <c r="G27" s="25" t="n">
        <f aca="false">IFERROR(L15-L16,0)</f>
        <v>0</v>
      </c>
      <c r="H27" s="25" t="n">
        <f aca="false">IFERROR(D27-G27,0)</f>
        <v>5</v>
      </c>
      <c r="I27" s="26" t="n">
        <f aca="false">IFERROR(G27/D27,0)</f>
        <v>0</v>
      </c>
      <c r="J27" s="26" t="n">
        <f aca="false">IFERROR((I15-H15)/L15,1)</f>
        <v>1</v>
      </c>
      <c r="K27" s="26" t="n">
        <f aca="false">IFERROR(($B$4-E27)/$B$4,0)</f>
        <v>0</v>
      </c>
      <c r="L27" s="26" t="n">
        <f aca="false">IFERROR(1-ABS(K15),0)</f>
        <v>1</v>
      </c>
      <c r="M27" s="25" t="n">
        <f aca="false">L27*G27-(1-L27)*H27</f>
        <v>0</v>
      </c>
      <c r="N27" s="27" t="n">
        <f aca="false">IFERROR(M27/H27,0)</f>
        <v>0</v>
      </c>
      <c r="O27" s="18" t="str">
        <f aca="true">IF(NOT(AND($B$7-TODAY()&gt;=Settings!$B$14,$B$7-TODAY()&lt;=Settings!$B$15)),"WAIT - DTE",IF(NOT(AND(ABS(K15)&gt;=Settings!$B$12,ABS(K15)&lt;=Settings!$B$13)),"WAIT - DELTA",IF(NOT($B$5&gt;=Settings!$B$8),"WAIT - IVR",IF(NOT(G27&gt;=Settings!$B$10),"WAIT - CREDIT",IF(NOT(I27&gt;=Settings!$B$9),"WAIT - C/W",IF(NOT(AND(J27&lt;=Settings!$B$11,H15&gt;0,I15&gt;0,H16&gt;0,I16&gt;0)),"WAIT - LIQ",IF(NOT(K27&gt;=Settings!$B$19),"WAIT - BUFFER","GO")))))))</f>
        <v>WAIT - DELTA</v>
      </c>
      <c r="P27" s="27" t="n">
        <f aca="false">IF(O27="GO",N27,-1000000000)</f>
        <v>-1000000000</v>
      </c>
    </row>
    <row r="28" customFormat="false" ht="23.85" hidden="false" customHeight="false" outlineLevel="0" collapsed="false">
      <c r="A28" s="18" t="s">
        <v>114</v>
      </c>
      <c r="B28" s="18" t="s">
        <v>141</v>
      </c>
      <c r="C28" s="17" t="n">
        <f aca="false">IFERROR($C$12/$B$9,0)</f>
        <v>10</v>
      </c>
      <c r="D28" s="23" t="n">
        <f aca="false">$C$12</f>
        <v>10</v>
      </c>
      <c r="E28" s="20" t="n">
        <f aca="false">D15</f>
        <v>0</v>
      </c>
      <c r="F28" s="20" t="n">
        <f aca="false">D17</f>
        <v>-10</v>
      </c>
      <c r="G28" s="25" t="n">
        <f aca="false">IFERROR(L15-L17,0)</f>
        <v>0</v>
      </c>
      <c r="H28" s="25" t="n">
        <f aca="false">IFERROR(D28-G28,0)</f>
        <v>10</v>
      </c>
      <c r="I28" s="26" t="n">
        <f aca="false">IFERROR(G28/D28,0)</f>
        <v>0</v>
      </c>
      <c r="J28" s="26" t="n">
        <f aca="false">IFERROR((I15-H15)/L15,1)</f>
        <v>1</v>
      </c>
      <c r="K28" s="26" t="n">
        <f aca="false">IFERROR(($B$4-E28)/$B$4,0)</f>
        <v>0</v>
      </c>
      <c r="L28" s="26" t="n">
        <f aca="false">IFERROR(1-ABS(K15),0)</f>
        <v>1</v>
      </c>
      <c r="M28" s="25" t="n">
        <f aca="false">L28*G28-(1-L28)*H28</f>
        <v>0</v>
      </c>
      <c r="N28" s="27" t="n">
        <f aca="false">IFERROR(M28/H28,0)</f>
        <v>0</v>
      </c>
      <c r="O28" s="18" t="str">
        <f aca="true">IF(NOT(AND($B$7-TODAY()&gt;=Settings!$B$14,$B$7-TODAY()&lt;=Settings!$B$15)),"WAIT - DTE",IF(NOT(AND(ABS(K15)&gt;=Settings!$B$12,ABS(K15)&lt;=Settings!$B$13)),"WAIT - DELTA",IF(NOT($B$5&gt;=Settings!$B$8),"WAIT - IVR",IF(NOT(G28&gt;=Settings!$B$10),"WAIT - CREDIT",IF(NOT(I28&gt;=Settings!$B$9),"WAIT - C/W",IF(NOT(AND(J28&lt;=Settings!$B$11,H15&gt;0,I15&gt;0,H17&gt;0,I17&gt;0)),"WAIT - LIQ",IF(NOT(K28&gt;=Settings!$B$19),"WAIT - BUFFER","GO")))))))</f>
        <v>WAIT - DELTA</v>
      </c>
      <c r="P28" s="27" t="n">
        <f aca="false">IF(O28="GO",N28,-1000000000)</f>
        <v>-1000000000</v>
      </c>
    </row>
    <row r="29" customFormat="false" ht="23.85" hidden="false" customHeight="false" outlineLevel="0" collapsed="false">
      <c r="A29" s="18" t="s">
        <v>114</v>
      </c>
      <c r="B29" s="18" t="s">
        <v>141</v>
      </c>
      <c r="C29" s="17" t="n">
        <f aca="false">IFERROR($D$12/$B$9,0)</f>
        <v>15</v>
      </c>
      <c r="D29" s="23" t="n">
        <f aca="false">$D$12</f>
        <v>15</v>
      </c>
      <c r="E29" s="20" t="n">
        <f aca="false">D15</f>
        <v>0</v>
      </c>
      <c r="F29" s="20" t="n">
        <f aca="false">D18</f>
        <v>-15</v>
      </c>
      <c r="G29" s="25" t="n">
        <f aca="false">IFERROR(L15-L18,0)</f>
        <v>0</v>
      </c>
      <c r="H29" s="25" t="n">
        <f aca="false">IFERROR(D29-G29,0)</f>
        <v>15</v>
      </c>
      <c r="I29" s="26" t="n">
        <f aca="false">IFERROR(G29/D29,0)</f>
        <v>0</v>
      </c>
      <c r="J29" s="26" t="n">
        <f aca="false">IFERROR((I15-H15)/L15,1)</f>
        <v>1</v>
      </c>
      <c r="K29" s="26" t="n">
        <f aca="false">IFERROR(($B$4-E29)/$B$4,0)</f>
        <v>0</v>
      </c>
      <c r="L29" s="26" t="n">
        <f aca="false">IFERROR(1-ABS(K15),0)</f>
        <v>1</v>
      </c>
      <c r="M29" s="25" t="n">
        <f aca="false">L29*G29-(1-L29)*H29</f>
        <v>0</v>
      </c>
      <c r="N29" s="27" t="n">
        <f aca="false">IFERROR(M29/H29,0)</f>
        <v>0</v>
      </c>
      <c r="O29" s="18" t="str">
        <f aca="true">IF(NOT(AND($B$7-TODAY()&gt;=Settings!$B$14,$B$7-TODAY()&lt;=Settings!$B$15)),"WAIT - DTE",IF(NOT(AND(ABS(K15)&gt;=Settings!$B$12,ABS(K15)&lt;=Settings!$B$13)),"WAIT - DELTA",IF(NOT($B$5&gt;=Settings!$B$8),"WAIT - IVR",IF(NOT(G29&gt;=Settings!$B$10),"WAIT - CREDIT",IF(NOT(I29&gt;=Settings!$B$9),"WAIT - C/W",IF(NOT(AND(J29&lt;=Settings!$B$11,H15&gt;0,I15&gt;0,H18&gt;0,I18&gt;0)),"WAIT - LIQ",IF(NOT(K29&gt;=Settings!$B$19),"WAIT - BUFFER","GO")))))))</f>
        <v>WAIT - DELTA</v>
      </c>
      <c r="P29" s="27" t="n">
        <f aca="false">IF(O29="GO",N29,-1000000000)</f>
        <v>-1000000000</v>
      </c>
    </row>
    <row r="30" customFormat="false" ht="23.85" hidden="false" customHeight="false" outlineLevel="0" collapsed="false">
      <c r="A30" s="18" t="s">
        <v>114</v>
      </c>
      <c r="B30" s="18" t="s">
        <v>141</v>
      </c>
      <c r="C30" s="17" t="n">
        <f aca="false">IFERROR($E$12/$B$9,0)</f>
        <v>20</v>
      </c>
      <c r="D30" s="23" t="n">
        <f aca="false">$E$12</f>
        <v>20</v>
      </c>
      <c r="E30" s="20" t="n">
        <f aca="false">D15</f>
        <v>0</v>
      </c>
      <c r="F30" s="20" t="n">
        <f aca="false">D19</f>
        <v>-20</v>
      </c>
      <c r="G30" s="25" t="n">
        <f aca="false">IFERROR(L15-L19,0)</f>
        <v>0</v>
      </c>
      <c r="H30" s="25" t="n">
        <f aca="false">IFERROR(D30-G30,0)</f>
        <v>20</v>
      </c>
      <c r="I30" s="26" t="n">
        <f aca="false">IFERROR(G30/D30,0)</f>
        <v>0</v>
      </c>
      <c r="J30" s="26" t="n">
        <f aca="false">IFERROR((I15-H15)/L15,1)</f>
        <v>1</v>
      </c>
      <c r="K30" s="26" t="n">
        <f aca="false">IFERROR(($B$4-E30)/$B$4,0)</f>
        <v>0</v>
      </c>
      <c r="L30" s="26" t="n">
        <f aca="false">IFERROR(1-ABS(K15),0)</f>
        <v>1</v>
      </c>
      <c r="M30" s="25" t="n">
        <f aca="false">L30*G30-(1-L30)*H30</f>
        <v>0</v>
      </c>
      <c r="N30" s="27" t="n">
        <f aca="false">IFERROR(M30/H30,0)</f>
        <v>0</v>
      </c>
      <c r="O30" s="18" t="str">
        <f aca="true">IF(NOT(AND($B$7-TODAY()&gt;=Settings!$B$14,$B$7-TODAY()&lt;=Settings!$B$15)),"WAIT - DTE",IF(NOT(AND(ABS(K15)&gt;=Settings!$B$12,ABS(K15)&lt;=Settings!$B$13)),"WAIT - DELTA",IF(NOT($B$5&gt;=Settings!$B$8),"WAIT - IVR",IF(NOT(G30&gt;=Settings!$B$10),"WAIT - CREDIT",IF(NOT(I30&gt;=Settings!$B$9),"WAIT - C/W",IF(NOT(AND(J30&lt;=Settings!$B$11,H15&gt;0,I15&gt;0,H19&gt;0,I19&gt;0)),"WAIT - LIQ",IF(NOT(K30&gt;=Settings!$B$19),"WAIT - BUFFER","GO")))))))</f>
        <v>WAIT - DELTA</v>
      </c>
      <c r="P30" s="27" t="n">
        <f aca="false">IF(O30="GO",N30,-1000000000)</f>
        <v>-1000000000</v>
      </c>
    </row>
    <row r="31" customFormat="false" ht="23.85" hidden="false" customHeight="false" outlineLevel="0" collapsed="false">
      <c r="A31" s="18" t="s">
        <v>114</v>
      </c>
      <c r="B31" s="18" t="s">
        <v>142</v>
      </c>
      <c r="C31" s="17" t="n">
        <f aca="false">IFERROR($B$12/$B$9,0)</f>
        <v>5</v>
      </c>
      <c r="D31" s="23" t="n">
        <f aca="false">$B$12</f>
        <v>5</v>
      </c>
      <c r="E31" s="20" t="n">
        <f aca="false">D20</f>
        <v>0</v>
      </c>
      <c r="F31" s="20" t="n">
        <f aca="false">D21</f>
        <v>-5</v>
      </c>
      <c r="G31" s="25" t="n">
        <f aca="false">IFERROR(L20-L21,0)</f>
        <v>0</v>
      </c>
      <c r="H31" s="25" t="n">
        <f aca="false">IFERROR(D31-G31,0)</f>
        <v>5</v>
      </c>
      <c r="I31" s="26" t="n">
        <f aca="false">IFERROR(G31/D31,0)</f>
        <v>0</v>
      </c>
      <c r="J31" s="26" t="n">
        <f aca="false">IFERROR((I20-H20)/L20,1)</f>
        <v>1</v>
      </c>
      <c r="K31" s="26" t="n">
        <f aca="false">IFERROR(($B$4-E31)/$B$4,0)</f>
        <v>0</v>
      </c>
      <c r="L31" s="26" t="n">
        <f aca="false">IFERROR(1-ABS(K20),0)</f>
        <v>1</v>
      </c>
      <c r="M31" s="25" t="n">
        <f aca="false">L31*G31-(1-L31)*H31</f>
        <v>0</v>
      </c>
      <c r="N31" s="27" t="n">
        <f aca="false">IFERROR(M31/H31,0)</f>
        <v>0</v>
      </c>
      <c r="O31" s="18" t="str">
        <f aca="true">IF(NOT(AND($B$8-TODAY()&gt;=Settings!$B$14,$B$8-TODAY()&lt;=Settings!$B$15)),"WAIT - DTE",IF(NOT(AND(ABS(K20)&gt;=Settings!$B$12,ABS(K20)&lt;=Settings!$B$13)),"WAIT - DELTA",IF(NOT($B$5&gt;=Settings!$B$8),"WAIT - IVR",IF(NOT(G31&gt;=Settings!$B$10),"WAIT - CREDIT",IF(NOT(I31&gt;=Settings!$B$9),"WAIT - C/W",IF(NOT(AND(J31&lt;=Settings!$B$11,H20&gt;0,I20&gt;0,H21&gt;0,I21&gt;0)),"WAIT - LIQ",IF(NOT(K31&gt;=Settings!$B$19),"WAIT - BUFFER","GO")))))))</f>
        <v>WAIT - DELTA</v>
      </c>
      <c r="P31" s="27" t="n">
        <f aca="false">IF(O31="GO",N31,-1000000000)</f>
        <v>-1000000000</v>
      </c>
    </row>
    <row r="32" customFormat="false" ht="23.85" hidden="false" customHeight="false" outlineLevel="0" collapsed="false">
      <c r="A32" s="18" t="s">
        <v>114</v>
      </c>
      <c r="B32" s="18" t="s">
        <v>142</v>
      </c>
      <c r="C32" s="17" t="n">
        <f aca="false">IFERROR($C$12/$B$9,0)</f>
        <v>10</v>
      </c>
      <c r="D32" s="23" t="n">
        <f aca="false">$C$12</f>
        <v>10</v>
      </c>
      <c r="E32" s="20" t="n">
        <f aca="false">D20</f>
        <v>0</v>
      </c>
      <c r="F32" s="20" t="n">
        <f aca="false">D22</f>
        <v>-10</v>
      </c>
      <c r="G32" s="25" t="n">
        <f aca="false">IFERROR(L20-L22,0)</f>
        <v>0</v>
      </c>
      <c r="H32" s="25" t="n">
        <f aca="false">IFERROR(D32-G32,0)</f>
        <v>10</v>
      </c>
      <c r="I32" s="26" t="n">
        <f aca="false">IFERROR(G32/D32,0)</f>
        <v>0</v>
      </c>
      <c r="J32" s="26" t="n">
        <f aca="false">IFERROR((I20-H20)/L20,1)</f>
        <v>1</v>
      </c>
      <c r="K32" s="26" t="n">
        <f aca="false">IFERROR(($B$4-E32)/$B$4,0)</f>
        <v>0</v>
      </c>
      <c r="L32" s="26" t="n">
        <f aca="false">IFERROR(1-ABS(K20),0)</f>
        <v>1</v>
      </c>
      <c r="M32" s="25" t="n">
        <f aca="false">L32*G32-(1-L32)*H32</f>
        <v>0</v>
      </c>
      <c r="N32" s="27" t="n">
        <f aca="false">IFERROR(M32/H32,0)</f>
        <v>0</v>
      </c>
      <c r="O32" s="18" t="str">
        <f aca="true">IF(NOT(AND($B$8-TODAY()&gt;=Settings!$B$14,$B$8-TODAY()&lt;=Settings!$B$15)),"WAIT - DTE",IF(NOT(AND(ABS(K20)&gt;=Settings!$B$12,ABS(K20)&lt;=Settings!$B$13)),"WAIT - DELTA",IF(NOT($B$5&gt;=Settings!$B$8),"WAIT - IVR",IF(NOT(G32&gt;=Settings!$B$10),"WAIT - CREDIT",IF(NOT(I32&gt;=Settings!$B$9),"WAIT - C/W",IF(NOT(AND(J32&lt;=Settings!$B$11,H20&gt;0,I20&gt;0,H22&gt;0,I22&gt;0)),"WAIT - LIQ",IF(NOT(K32&gt;=Settings!$B$19),"WAIT - BUFFER","GO")))))))</f>
        <v>WAIT - DELTA</v>
      </c>
      <c r="P32" s="27" t="n">
        <f aca="false">IF(O32="GO",N32,-1000000000)</f>
        <v>-1000000000</v>
      </c>
    </row>
    <row r="33" customFormat="false" ht="23.85" hidden="false" customHeight="false" outlineLevel="0" collapsed="false">
      <c r="A33" s="18" t="s">
        <v>114</v>
      </c>
      <c r="B33" s="18" t="s">
        <v>142</v>
      </c>
      <c r="C33" s="17" t="n">
        <f aca="false">IFERROR($D$12/$B$9,0)</f>
        <v>15</v>
      </c>
      <c r="D33" s="23" t="n">
        <f aca="false">$D$12</f>
        <v>15</v>
      </c>
      <c r="E33" s="20" t="n">
        <f aca="false">D20</f>
        <v>0</v>
      </c>
      <c r="F33" s="20" t="n">
        <f aca="false">D23</f>
        <v>-15</v>
      </c>
      <c r="G33" s="25" t="n">
        <f aca="false">IFERROR(L20-L23,0)</f>
        <v>0</v>
      </c>
      <c r="H33" s="25" t="n">
        <f aca="false">IFERROR(D33-G33,0)</f>
        <v>15</v>
      </c>
      <c r="I33" s="26" t="n">
        <f aca="false">IFERROR(G33/D33,0)</f>
        <v>0</v>
      </c>
      <c r="J33" s="26" t="n">
        <f aca="false">IFERROR((I20-H20)/L20,1)</f>
        <v>1</v>
      </c>
      <c r="K33" s="26" t="n">
        <f aca="false">IFERROR(($B$4-E33)/$B$4,0)</f>
        <v>0</v>
      </c>
      <c r="L33" s="26" t="n">
        <f aca="false">IFERROR(1-ABS(K20),0)</f>
        <v>1</v>
      </c>
      <c r="M33" s="25" t="n">
        <f aca="false">L33*G33-(1-L33)*H33</f>
        <v>0</v>
      </c>
      <c r="N33" s="27" t="n">
        <f aca="false">IFERROR(M33/H33,0)</f>
        <v>0</v>
      </c>
      <c r="O33" s="18" t="str">
        <f aca="true">IF(NOT(AND($B$8-TODAY()&gt;=Settings!$B$14,$B$8-TODAY()&lt;=Settings!$B$15)),"WAIT - DTE",IF(NOT(AND(ABS(K20)&gt;=Settings!$B$12,ABS(K20)&lt;=Settings!$B$13)),"WAIT - DELTA",IF(NOT($B$5&gt;=Settings!$B$8),"WAIT - IVR",IF(NOT(G33&gt;=Settings!$B$10),"WAIT - CREDIT",IF(NOT(I33&gt;=Settings!$B$9),"WAIT - C/W",IF(NOT(AND(J33&lt;=Settings!$B$11,H20&gt;0,I20&gt;0,H23&gt;0,I23&gt;0)),"WAIT - LIQ",IF(NOT(K33&gt;=Settings!$B$19),"WAIT - BUFFER","GO")))))))</f>
        <v>WAIT - DELTA</v>
      </c>
      <c r="P33" s="27" t="n">
        <f aca="false">IF(O33="GO",N33,-1000000000)</f>
        <v>-1000000000</v>
      </c>
    </row>
    <row r="34" customFormat="false" ht="23.85" hidden="false" customHeight="false" outlineLevel="0" collapsed="false">
      <c r="A34" s="18" t="s">
        <v>114</v>
      </c>
      <c r="B34" s="18" t="s">
        <v>142</v>
      </c>
      <c r="C34" s="17" t="n">
        <f aca="false">IFERROR($E$12/$B$9,0)</f>
        <v>20</v>
      </c>
      <c r="D34" s="23" t="n">
        <f aca="false">$E$12</f>
        <v>20</v>
      </c>
      <c r="E34" s="20" t="n">
        <f aca="false">D20</f>
        <v>0</v>
      </c>
      <c r="F34" s="20" t="n">
        <f aca="false">D24</f>
        <v>-20</v>
      </c>
      <c r="G34" s="25" t="n">
        <f aca="false">IFERROR(L20-L24,0)</f>
        <v>0</v>
      </c>
      <c r="H34" s="25" t="n">
        <f aca="false">IFERROR(D34-G34,0)</f>
        <v>20</v>
      </c>
      <c r="I34" s="26" t="n">
        <f aca="false">IFERROR(G34/D34,0)</f>
        <v>0</v>
      </c>
      <c r="J34" s="26" t="n">
        <f aca="false">IFERROR((I20-H20)/L20,1)</f>
        <v>1</v>
      </c>
      <c r="K34" s="26" t="n">
        <f aca="false">IFERROR(($B$4-E34)/$B$4,0)</f>
        <v>0</v>
      </c>
      <c r="L34" s="26" t="n">
        <f aca="false">IFERROR(1-ABS(K20),0)</f>
        <v>1</v>
      </c>
      <c r="M34" s="25" t="n">
        <f aca="false">L34*G34-(1-L34)*H34</f>
        <v>0</v>
      </c>
      <c r="N34" s="27" t="n">
        <f aca="false">IFERROR(M34/H34,0)</f>
        <v>0</v>
      </c>
      <c r="O34" s="18" t="str">
        <f aca="true">IF(NOT(AND($B$8-TODAY()&gt;=Settings!$B$14,$B$8-TODAY()&lt;=Settings!$B$15)),"WAIT - DTE",IF(NOT(AND(ABS(K20)&gt;=Settings!$B$12,ABS(K20)&lt;=Settings!$B$13)),"WAIT - DELTA",IF(NOT($B$5&gt;=Settings!$B$8),"WAIT - IVR",IF(NOT(G34&gt;=Settings!$B$10),"WAIT - CREDIT",IF(NOT(I34&gt;=Settings!$B$9),"WAIT - C/W",IF(NOT(AND(J34&lt;=Settings!$B$11,H20&gt;0,I20&gt;0,H24&gt;0,I24&gt;0)),"WAIT - LIQ",IF(NOT(K34&gt;=Settings!$B$19),"WAIT - BUFFER","GO")))))))</f>
        <v>WAIT - DELTA</v>
      </c>
      <c r="P34" s="27" t="n">
        <f aca="false">IF(O34="GO",N34,-1000000000)</f>
        <v>-1000000000</v>
      </c>
    </row>
    <row r="36" customFormat="false" ht="15" hidden="false" customHeight="true" outlineLevel="0" collapsed="false">
      <c r="A36" s="5" t="s">
        <v>143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customFormat="false" ht="23.85" hidden="false" customHeight="false" outlineLevel="0" collapsed="false">
      <c r="A37" s="14" t="s">
        <v>102</v>
      </c>
      <c r="B37" s="14" t="s">
        <v>103</v>
      </c>
      <c r="C37" s="14" t="s">
        <v>104</v>
      </c>
      <c r="D37" s="14" t="s">
        <v>105</v>
      </c>
      <c r="E37" s="14" t="s">
        <v>106</v>
      </c>
      <c r="F37" s="14" t="s">
        <v>107</v>
      </c>
      <c r="G37" s="14" t="s">
        <v>108</v>
      </c>
      <c r="H37" s="14" t="s">
        <v>109</v>
      </c>
      <c r="I37" s="14" t="s">
        <v>110</v>
      </c>
      <c r="J37" s="14" t="s">
        <v>111</v>
      </c>
      <c r="K37" s="14" t="s">
        <v>112</v>
      </c>
      <c r="L37" s="14" t="s">
        <v>113</v>
      </c>
    </row>
    <row r="38" customFormat="false" ht="23.85" hidden="false" customHeight="false" outlineLevel="0" collapsed="false">
      <c r="A38" s="18" t="s">
        <v>144</v>
      </c>
      <c r="B38" s="18" t="s">
        <v>115</v>
      </c>
      <c r="C38" s="18" t="s">
        <v>145</v>
      </c>
      <c r="D38" s="20" t="n">
        <f aca="false">$B$11</f>
        <v>0</v>
      </c>
      <c r="E38" s="22" t="n">
        <f aca="false">$B$7</f>
        <v>46220</v>
      </c>
      <c r="F38" s="18" t="str">
        <f aca="false">UPPER($B$2)&amp;" US "&amp;TEXT(E38,"mm/dd/yy")&amp;" "&amp;"C"&amp;IF(D38=INT(D38),INT(D38),D38)&amp;" Equity"</f>
        <v>SPY US 07/17/26 C0 Equity</v>
      </c>
      <c r="G38" s="25" t="n">
        <f aca="false">IFERROR(bdp($F38, G$37), 0)</f>
        <v>0</v>
      </c>
      <c r="H38" s="25" t="n">
        <f aca="false">IFERROR(bdp($F38, H$37), 0)</f>
        <v>0</v>
      </c>
      <c r="I38" s="25" t="n">
        <f aca="false">IFERROR(bdp($F38, I$37), 0)</f>
        <v>0</v>
      </c>
      <c r="J38" s="26" t="n">
        <f aca="false">IFERROR(bdp($F38, J$37), 0)</f>
        <v>0</v>
      </c>
      <c r="K38" s="27" t="n">
        <f aca="false">IFERROR(bdp($F38, K$37), 0)</f>
        <v>0</v>
      </c>
      <c r="L38" s="25" t="n">
        <f aca="false">IFERROR((H38+I38)/2, 0)</f>
        <v>0</v>
      </c>
    </row>
    <row r="39" customFormat="false" ht="23.85" hidden="false" customHeight="false" outlineLevel="0" collapsed="false">
      <c r="A39" s="18" t="s">
        <v>144</v>
      </c>
      <c r="B39" s="18" t="s">
        <v>117</v>
      </c>
      <c r="C39" s="18" t="s">
        <v>145</v>
      </c>
      <c r="D39" s="20" t="n">
        <f aca="false">$B$11+$B$12</f>
        <v>5</v>
      </c>
      <c r="E39" s="22" t="n">
        <f aca="false">$B$7</f>
        <v>46220</v>
      </c>
      <c r="F39" s="18" t="str">
        <f aca="false">UPPER($B$2)&amp;" US "&amp;TEXT(E39,"mm/dd/yy")&amp;" "&amp;"C"&amp;IF(D39=INT(D39),INT(D39),D39)&amp;" Equity"</f>
        <v>SPY US 07/17/26 C5 Equity</v>
      </c>
      <c r="G39" s="25" t="n">
        <f aca="false">IFERROR(bdp($F39, G$37), 0)</f>
        <v>0</v>
      </c>
      <c r="H39" s="25" t="n">
        <f aca="false">IFERROR(bdp($F39, H$37), 0)</f>
        <v>0</v>
      </c>
      <c r="I39" s="25" t="n">
        <f aca="false">IFERROR(bdp($F39, I$37), 0)</f>
        <v>0</v>
      </c>
      <c r="J39" s="26" t="n">
        <f aca="false">IFERROR(bdp($F39, J$37), 0)</f>
        <v>0</v>
      </c>
      <c r="K39" s="27" t="n">
        <f aca="false">IFERROR(bdp($F39, K$37), 0)</f>
        <v>0</v>
      </c>
      <c r="L39" s="25" t="n">
        <f aca="false">IFERROR((H39+I39)/2, 0)</f>
        <v>0</v>
      </c>
    </row>
    <row r="40" customFormat="false" ht="23.85" hidden="false" customHeight="false" outlineLevel="0" collapsed="false">
      <c r="A40" s="18" t="s">
        <v>144</v>
      </c>
      <c r="B40" s="18" t="s">
        <v>118</v>
      </c>
      <c r="C40" s="18" t="s">
        <v>145</v>
      </c>
      <c r="D40" s="20" t="n">
        <f aca="false">$B$11+$C$12</f>
        <v>10</v>
      </c>
      <c r="E40" s="22" t="n">
        <f aca="false">$B$7</f>
        <v>46220</v>
      </c>
      <c r="F40" s="18" t="str">
        <f aca="false">UPPER($B$2)&amp;" US "&amp;TEXT(E40,"mm/dd/yy")&amp;" "&amp;"C"&amp;IF(D40=INT(D40),INT(D40),D40)&amp;" Equity"</f>
        <v>SPY US 07/17/26 C10 Equity</v>
      </c>
      <c r="G40" s="25" t="n">
        <f aca="false">IFERROR(bdp($F40, G$37), 0)</f>
        <v>0</v>
      </c>
      <c r="H40" s="25" t="n">
        <f aca="false">IFERROR(bdp($F40, H$37), 0)</f>
        <v>0</v>
      </c>
      <c r="I40" s="25" t="n">
        <f aca="false">IFERROR(bdp($F40, I$37), 0)</f>
        <v>0</v>
      </c>
      <c r="J40" s="26" t="n">
        <f aca="false">IFERROR(bdp($F40, J$37), 0)</f>
        <v>0</v>
      </c>
      <c r="K40" s="27" t="n">
        <f aca="false">IFERROR(bdp($F40, K$37), 0)</f>
        <v>0</v>
      </c>
      <c r="L40" s="25" t="n">
        <f aca="false">IFERROR((H40+I40)/2, 0)</f>
        <v>0</v>
      </c>
    </row>
    <row r="41" customFormat="false" ht="23.85" hidden="false" customHeight="false" outlineLevel="0" collapsed="false">
      <c r="A41" s="18" t="s">
        <v>144</v>
      </c>
      <c r="B41" s="18" t="s">
        <v>119</v>
      </c>
      <c r="C41" s="18" t="s">
        <v>145</v>
      </c>
      <c r="D41" s="20" t="n">
        <f aca="false">$B$11+$D$12</f>
        <v>15</v>
      </c>
      <c r="E41" s="22" t="n">
        <f aca="false">$B$7</f>
        <v>46220</v>
      </c>
      <c r="F41" s="18" t="str">
        <f aca="false">UPPER($B$2)&amp;" US "&amp;TEXT(E41,"mm/dd/yy")&amp;" "&amp;"C"&amp;IF(D41=INT(D41),INT(D41),D41)&amp;" Equity"</f>
        <v>SPY US 07/17/26 C15 Equity</v>
      </c>
      <c r="G41" s="25" t="n">
        <f aca="false">IFERROR(bdp($F41, G$37), 0)</f>
        <v>0</v>
      </c>
      <c r="H41" s="25" t="n">
        <f aca="false">IFERROR(bdp($F41, H$37), 0)</f>
        <v>0</v>
      </c>
      <c r="I41" s="25" t="n">
        <f aca="false">IFERROR(bdp($F41, I$37), 0)</f>
        <v>0</v>
      </c>
      <c r="J41" s="26" t="n">
        <f aca="false">IFERROR(bdp($F41, J$37), 0)</f>
        <v>0</v>
      </c>
      <c r="K41" s="27" t="n">
        <f aca="false">IFERROR(bdp($F41, K$37), 0)</f>
        <v>0</v>
      </c>
      <c r="L41" s="25" t="n">
        <f aca="false">IFERROR((H41+I41)/2, 0)</f>
        <v>0</v>
      </c>
    </row>
    <row r="42" customFormat="false" ht="23.85" hidden="false" customHeight="false" outlineLevel="0" collapsed="false">
      <c r="A42" s="18" t="s">
        <v>144</v>
      </c>
      <c r="B42" s="18" t="s">
        <v>120</v>
      </c>
      <c r="C42" s="18" t="s">
        <v>145</v>
      </c>
      <c r="D42" s="20" t="n">
        <f aca="false">$B$11+$E$12</f>
        <v>20</v>
      </c>
      <c r="E42" s="22" t="n">
        <f aca="false">$B$7</f>
        <v>46220</v>
      </c>
      <c r="F42" s="18" t="str">
        <f aca="false">UPPER($B$2)&amp;" US "&amp;TEXT(E42,"mm/dd/yy")&amp;" "&amp;"C"&amp;IF(D42=INT(D42),INT(D42),D42)&amp;" Equity"</f>
        <v>SPY US 07/17/26 C20 Equity</v>
      </c>
      <c r="G42" s="25" t="n">
        <f aca="false">IFERROR(bdp($F42, G$37), 0)</f>
        <v>0</v>
      </c>
      <c r="H42" s="25" t="n">
        <f aca="false">IFERROR(bdp($F42, H$37), 0)</f>
        <v>0</v>
      </c>
      <c r="I42" s="25" t="n">
        <f aca="false">IFERROR(bdp($F42, I$37), 0)</f>
        <v>0</v>
      </c>
      <c r="J42" s="26" t="n">
        <f aca="false">IFERROR(bdp($F42, J$37), 0)</f>
        <v>0</v>
      </c>
      <c r="K42" s="27" t="n">
        <f aca="false">IFERROR(bdp($F42, K$37), 0)</f>
        <v>0</v>
      </c>
      <c r="L42" s="25" t="n">
        <f aca="false">IFERROR((H42+I42)/2, 0)</f>
        <v>0</v>
      </c>
    </row>
    <row r="43" customFormat="false" ht="23.85" hidden="false" customHeight="false" outlineLevel="0" collapsed="false">
      <c r="A43" s="18" t="s">
        <v>144</v>
      </c>
      <c r="B43" s="18" t="s">
        <v>121</v>
      </c>
      <c r="C43" s="18" t="s">
        <v>145</v>
      </c>
      <c r="D43" s="20" t="n">
        <f aca="false">$B$11</f>
        <v>0</v>
      </c>
      <c r="E43" s="22" t="n">
        <f aca="false">$B$8</f>
        <v>46255</v>
      </c>
      <c r="F43" s="18" t="str">
        <f aca="false">UPPER($B$2)&amp;" US "&amp;TEXT(E43,"mm/dd/yy")&amp;" "&amp;"C"&amp;IF(D43=INT(D43),INT(D43),D43)&amp;" Equity"</f>
        <v>SPY US 08/21/26 C0 Equity</v>
      </c>
      <c r="G43" s="25" t="n">
        <f aca="false">IFERROR(bdp($F43, G$37), 0)</f>
        <v>0</v>
      </c>
      <c r="H43" s="25" t="n">
        <f aca="false">IFERROR(bdp($F43, H$37), 0)</f>
        <v>0</v>
      </c>
      <c r="I43" s="25" t="n">
        <f aca="false">IFERROR(bdp($F43, I$37), 0)</f>
        <v>0</v>
      </c>
      <c r="J43" s="26" t="n">
        <f aca="false">IFERROR(bdp($F43, J$37), 0)</f>
        <v>0</v>
      </c>
      <c r="K43" s="27" t="n">
        <f aca="false">IFERROR(bdp($F43, K$37), 0)</f>
        <v>0</v>
      </c>
      <c r="L43" s="25" t="n">
        <f aca="false">IFERROR((H43+I43)/2, 0)</f>
        <v>0</v>
      </c>
    </row>
    <row r="44" customFormat="false" ht="23.85" hidden="false" customHeight="false" outlineLevel="0" collapsed="false">
      <c r="A44" s="18" t="s">
        <v>144</v>
      </c>
      <c r="B44" s="18" t="s">
        <v>122</v>
      </c>
      <c r="C44" s="18" t="s">
        <v>145</v>
      </c>
      <c r="D44" s="20" t="n">
        <f aca="false">$B$11+$B$12</f>
        <v>5</v>
      </c>
      <c r="E44" s="22" t="n">
        <f aca="false">$B$8</f>
        <v>46255</v>
      </c>
      <c r="F44" s="18" t="str">
        <f aca="false">UPPER($B$2)&amp;" US "&amp;TEXT(E44,"mm/dd/yy")&amp;" "&amp;"C"&amp;IF(D44=INT(D44),INT(D44),D44)&amp;" Equity"</f>
        <v>SPY US 08/21/26 C5 Equity</v>
      </c>
      <c r="G44" s="25" t="n">
        <f aca="false">IFERROR(bdp($F44, G$37), 0)</f>
        <v>0</v>
      </c>
      <c r="H44" s="25" t="n">
        <f aca="false">IFERROR(bdp($F44, H$37), 0)</f>
        <v>0</v>
      </c>
      <c r="I44" s="25" t="n">
        <f aca="false">IFERROR(bdp($F44, I$37), 0)</f>
        <v>0</v>
      </c>
      <c r="J44" s="26" t="n">
        <f aca="false">IFERROR(bdp($F44, J$37), 0)</f>
        <v>0</v>
      </c>
      <c r="K44" s="27" t="n">
        <f aca="false">IFERROR(bdp($F44, K$37), 0)</f>
        <v>0</v>
      </c>
      <c r="L44" s="25" t="n">
        <f aca="false">IFERROR((H44+I44)/2, 0)</f>
        <v>0</v>
      </c>
    </row>
    <row r="45" customFormat="false" ht="23.85" hidden="false" customHeight="false" outlineLevel="0" collapsed="false">
      <c r="A45" s="18" t="s">
        <v>144</v>
      </c>
      <c r="B45" s="18" t="s">
        <v>123</v>
      </c>
      <c r="C45" s="18" t="s">
        <v>145</v>
      </c>
      <c r="D45" s="20" t="n">
        <f aca="false">$B$11+$C$12</f>
        <v>10</v>
      </c>
      <c r="E45" s="22" t="n">
        <f aca="false">$B$8</f>
        <v>46255</v>
      </c>
      <c r="F45" s="18" t="str">
        <f aca="false">UPPER($B$2)&amp;" US "&amp;TEXT(E45,"mm/dd/yy")&amp;" "&amp;"C"&amp;IF(D45=INT(D45),INT(D45),D45)&amp;" Equity"</f>
        <v>SPY US 08/21/26 C10 Equity</v>
      </c>
      <c r="G45" s="25" t="n">
        <f aca="false">IFERROR(bdp($F45, G$37), 0)</f>
        <v>0</v>
      </c>
      <c r="H45" s="25" t="n">
        <f aca="false">IFERROR(bdp($F45, H$37), 0)</f>
        <v>0</v>
      </c>
      <c r="I45" s="25" t="n">
        <f aca="false">IFERROR(bdp($F45, I$37), 0)</f>
        <v>0</v>
      </c>
      <c r="J45" s="26" t="n">
        <f aca="false">IFERROR(bdp($F45, J$37), 0)</f>
        <v>0</v>
      </c>
      <c r="K45" s="27" t="n">
        <f aca="false">IFERROR(bdp($F45, K$37), 0)</f>
        <v>0</v>
      </c>
      <c r="L45" s="25" t="n">
        <f aca="false">IFERROR((H45+I45)/2, 0)</f>
        <v>0</v>
      </c>
    </row>
    <row r="46" customFormat="false" ht="23.85" hidden="false" customHeight="false" outlineLevel="0" collapsed="false">
      <c r="A46" s="18" t="s">
        <v>144</v>
      </c>
      <c r="B46" s="18" t="s">
        <v>124</v>
      </c>
      <c r="C46" s="18" t="s">
        <v>145</v>
      </c>
      <c r="D46" s="20" t="n">
        <f aca="false">$B$11+$D$12</f>
        <v>15</v>
      </c>
      <c r="E46" s="22" t="n">
        <f aca="false">$B$8</f>
        <v>46255</v>
      </c>
      <c r="F46" s="18" t="str">
        <f aca="false">UPPER($B$2)&amp;" US "&amp;TEXT(E46,"mm/dd/yy")&amp;" "&amp;"C"&amp;IF(D46=INT(D46),INT(D46),D46)&amp;" Equity"</f>
        <v>SPY US 08/21/26 C15 Equity</v>
      </c>
      <c r="G46" s="25" t="n">
        <f aca="false">IFERROR(bdp($F46, G$37), 0)</f>
        <v>0</v>
      </c>
      <c r="H46" s="25" t="n">
        <f aca="false">IFERROR(bdp($F46, H$37), 0)</f>
        <v>0</v>
      </c>
      <c r="I46" s="25" t="n">
        <f aca="false">IFERROR(bdp($F46, I$37), 0)</f>
        <v>0</v>
      </c>
      <c r="J46" s="26" t="n">
        <f aca="false">IFERROR(bdp($F46, J$37), 0)</f>
        <v>0</v>
      </c>
      <c r="K46" s="27" t="n">
        <f aca="false">IFERROR(bdp($F46, K$37), 0)</f>
        <v>0</v>
      </c>
      <c r="L46" s="25" t="n">
        <f aca="false">IFERROR((H46+I46)/2, 0)</f>
        <v>0</v>
      </c>
    </row>
    <row r="47" customFormat="false" ht="23.85" hidden="false" customHeight="false" outlineLevel="0" collapsed="false">
      <c r="A47" s="18" t="s">
        <v>144</v>
      </c>
      <c r="B47" s="18" t="s">
        <v>125</v>
      </c>
      <c r="C47" s="18" t="s">
        <v>145</v>
      </c>
      <c r="D47" s="20" t="n">
        <f aca="false">$B$11+$E$12</f>
        <v>20</v>
      </c>
      <c r="E47" s="22" t="n">
        <f aca="false">$B$8</f>
        <v>46255</v>
      </c>
      <c r="F47" s="18" t="str">
        <f aca="false">UPPER($B$2)&amp;" US "&amp;TEXT(E47,"mm/dd/yy")&amp;" "&amp;"C"&amp;IF(D47=INT(D47),INT(D47),D47)&amp;" Equity"</f>
        <v>SPY US 08/21/26 C20 Equity</v>
      </c>
      <c r="G47" s="25" t="n">
        <f aca="false">IFERROR(bdp($F47, G$37), 0)</f>
        <v>0</v>
      </c>
      <c r="H47" s="25" t="n">
        <f aca="false">IFERROR(bdp($F47, H$37), 0)</f>
        <v>0</v>
      </c>
      <c r="I47" s="25" t="n">
        <f aca="false">IFERROR(bdp($F47, I$37), 0)</f>
        <v>0</v>
      </c>
      <c r="J47" s="26" t="n">
        <f aca="false">IFERROR(bdp($F47, J$37), 0)</f>
        <v>0</v>
      </c>
      <c r="K47" s="27" t="n">
        <f aca="false">IFERROR(bdp($F47, K$37), 0)</f>
        <v>0</v>
      </c>
      <c r="L47" s="25" t="n">
        <f aca="false">IFERROR((H47+I47)/2, 0)</f>
        <v>0</v>
      </c>
    </row>
    <row r="49" customFormat="false" ht="23.85" hidden="false" customHeight="false" outlineLevel="0" collapsed="false">
      <c r="A49" s="14" t="s">
        <v>102</v>
      </c>
      <c r="B49" s="14" t="s">
        <v>126</v>
      </c>
      <c r="C49" s="14" t="s">
        <v>127</v>
      </c>
      <c r="D49" s="14" t="s">
        <v>128</v>
      </c>
      <c r="E49" s="14" t="s">
        <v>129</v>
      </c>
      <c r="F49" s="14" t="s">
        <v>130</v>
      </c>
      <c r="G49" s="14" t="s">
        <v>131</v>
      </c>
      <c r="H49" s="14" t="s">
        <v>132</v>
      </c>
      <c r="I49" s="14" t="s">
        <v>133</v>
      </c>
      <c r="J49" s="14" t="s">
        <v>134</v>
      </c>
      <c r="K49" s="14" t="s">
        <v>135</v>
      </c>
      <c r="L49" s="14" t="s">
        <v>136</v>
      </c>
      <c r="M49" s="14" t="s">
        <v>137</v>
      </c>
      <c r="N49" s="14" t="s">
        <v>138</v>
      </c>
      <c r="O49" s="14" t="s">
        <v>139</v>
      </c>
      <c r="P49" s="14" t="s">
        <v>140</v>
      </c>
    </row>
    <row r="50" customFormat="false" ht="23.85" hidden="false" customHeight="false" outlineLevel="0" collapsed="false">
      <c r="A50" s="18" t="s">
        <v>144</v>
      </c>
      <c r="B50" s="18" t="s">
        <v>141</v>
      </c>
      <c r="C50" s="17" t="n">
        <f aca="false">IFERROR($B$12/$B$9,0)</f>
        <v>5</v>
      </c>
      <c r="D50" s="23" t="n">
        <f aca="false">$B$12</f>
        <v>5</v>
      </c>
      <c r="E50" s="20" t="n">
        <f aca="false">D38</f>
        <v>0</v>
      </c>
      <c r="F50" s="20" t="n">
        <f aca="false">D39</f>
        <v>5</v>
      </c>
      <c r="G50" s="25" t="n">
        <f aca="false">IFERROR(L38-L39,0)</f>
        <v>0</v>
      </c>
      <c r="H50" s="25" t="n">
        <f aca="false">IFERROR(D50-G50,0)</f>
        <v>5</v>
      </c>
      <c r="I50" s="26" t="n">
        <f aca="false">IFERROR(G50/D50,0)</f>
        <v>0</v>
      </c>
      <c r="J50" s="26" t="n">
        <f aca="false">IFERROR((I38-H38)/L38,1)</f>
        <v>1</v>
      </c>
      <c r="K50" s="26" t="n">
        <f aca="false">IFERROR((E50-$B$4)/$B$4,0)</f>
        <v>0</v>
      </c>
      <c r="L50" s="26" t="n">
        <f aca="false">IFERROR(1-ABS(K38),0)</f>
        <v>1</v>
      </c>
      <c r="M50" s="25" t="n">
        <f aca="false">L50*G50-(1-L50)*H50</f>
        <v>0</v>
      </c>
      <c r="N50" s="27" t="n">
        <f aca="false">IFERROR(M50/H50,0)</f>
        <v>0</v>
      </c>
      <c r="O50" s="18" t="str">
        <f aca="true">IF(NOT(AND($B$7-TODAY()&gt;=Settings!$B$14,$B$7-TODAY()&lt;=Settings!$B$15)),"WAIT - DTE",IF(NOT(AND(ABS(K38)&gt;=Settings!$B$12,ABS(K38)&lt;=Settings!$B$13)),"WAIT - DELTA",IF(NOT($B$5&gt;=Settings!$B$8),"WAIT - IVR",IF(NOT(G50&gt;=Settings!$B$10),"WAIT - CREDIT",IF(NOT(I50&gt;=Settings!$B$9),"WAIT - C/W",IF(NOT(AND(J50&lt;=Settings!$B$11,H38&gt;0,I38&gt;0,H39&gt;0,I39&gt;0)),"WAIT - LIQ",IF(NOT(K50&gt;=Settings!$B$19),"WAIT - BUFFER","GO")))))))</f>
        <v>WAIT - DELTA</v>
      </c>
      <c r="P50" s="27" t="n">
        <f aca="false">IF(O50="GO",N50,-1000000000)</f>
        <v>-1000000000</v>
      </c>
    </row>
    <row r="51" customFormat="false" ht="23.85" hidden="false" customHeight="false" outlineLevel="0" collapsed="false">
      <c r="A51" s="18" t="s">
        <v>144</v>
      </c>
      <c r="B51" s="18" t="s">
        <v>141</v>
      </c>
      <c r="C51" s="17" t="n">
        <f aca="false">IFERROR($C$12/$B$9,0)</f>
        <v>10</v>
      </c>
      <c r="D51" s="23" t="n">
        <f aca="false">$C$12</f>
        <v>10</v>
      </c>
      <c r="E51" s="20" t="n">
        <f aca="false">D38</f>
        <v>0</v>
      </c>
      <c r="F51" s="20" t="n">
        <f aca="false">D40</f>
        <v>10</v>
      </c>
      <c r="G51" s="25" t="n">
        <f aca="false">IFERROR(L38-L40,0)</f>
        <v>0</v>
      </c>
      <c r="H51" s="25" t="n">
        <f aca="false">IFERROR(D51-G51,0)</f>
        <v>10</v>
      </c>
      <c r="I51" s="26" t="n">
        <f aca="false">IFERROR(G51/D51,0)</f>
        <v>0</v>
      </c>
      <c r="J51" s="26" t="n">
        <f aca="false">IFERROR((I38-H38)/L38,1)</f>
        <v>1</v>
      </c>
      <c r="K51" s="26" t="n">
        <f aca="false">IFERROR((E51-$B$4)/$B$4,0)</f>
        <v>0</v>
      </c>
      <c r="L51" s="26" t="n">
        <f aca="false">IFERROR(1-ABS(K38),0)</f>
        <v>1</v>
      </c>
      <c r="M51" s="25" t="n">
        <f aca="false">L51*G51-(1-L51)*H51</f>
        <v>0</v>
      </c>
      <c r="N51" s="27" t="n">
        <f aca="false">IFERROR(M51/H51,0)</f>
        <v>0</v>
      </c>
      <c r="O51" s="18" t="str">
        <f aca="true">IF(NOT(AND($B$7-TODAY()&gt;=Settings!$B$14,$B$7-TODAY()&lt;=Settings!$B$15)),"WAIT - DTE",IF(NOT(AND(ABS(K38)&gt;=Settings!$B$12,ABS(K38)&lt;=Settings!$B$13)),"WAIT - DELTA",IF(NOT($B$5&gt;=Settings!$B$8),"WAIT - IVR",IF(NOT(G51&gt;=Settings!$B$10),"WAIT - CREDIT",IF(NOT(I51&gt;=Settings!$B$9),"WAIT - C/W",IF(NOT(AND(J51&lt;=Settings!$B$11,H38&gt;0,I38&gt;0,H40&gt;0,I40&gt;0)),"WAIT - LIQ",IF(NOT(K51&gt;=Settings!$B$19),"WAIT - BUFFER","GO")))))))</f>
        <v>WAIT - DELTA</v>
      </c>
      <c r="P51" s="27" t="n">
        <f aca="false">IF(O51="GO",N51,-1000000000)</f>
        <v>-1000000000</v>
      </c>
    </row>
    <row r="52" customFormat="false" ht="23.85" hidden="false" customHeight="false" outlineLevel="0" collapsed="false">
      <c r="A52" s="18" t="s">
        <v>144</v>
      </c>
      <c r="B52" s="18" t="s">
        <v>141</v>
      </c>
      <c r="C52" s="17" t="n">
        <f aca="false">IFERROR($D$12/$B$9,0)</f>
        <v>15</v>
      </c>
      <c r="D52" s="23" t="n">
        <f aca="false">$D$12</f>
        <v>15</v>
      </c>
      <c r="E52" s="20" t="n">
        <f aca="false">D38</f>
        <v>0</v>
      </c>
      <c r="F52" s="20" t="n">
        <f aca="false">D41</f>
        <v>15</v>
      </c>
      <c r="G52" s="25" t="n">
        <f aca="false">IFERROR(L38-L41,0)</f>
        <v>0</v>
      </c>
      <c r="H52" s="25" t="n">
        <f aca="false">IFERROR(D52-G52,0)</f>
        <v>15</v>
      </c>
      <c r="I52" s="26" t="n">
        <f aca="false">IFERROR(G52/D52,0)</f>
        <v>0</v>
      </c>
      <c r="J52" s="26" t="n">
        <f aca="false">IFERROR((I38-H38)/L38,1)</f>
        <v>1</v>
      </c>
      <c r="K52" s="26" t="n">
        <f aca="false">IFERROR((E52-$B$4)/$B$4,0)</f>
        <v>0</v>
      </c>
      <c r="L52" s="26" t="n">
        <f aca="false">IFERROR(1-ABS(K38),0)</f>
        <v>1</v>
      </c>
      <c r="M52" s="25" t="n">
        <f aca="false">L52*G52-(1-L52)*H52</f>
        <v>0</v>
      </c>
      <c r="N52" s="27" t="n">
        <f aca="false">IFERROR(M52/H52,0)</f>
        <v>0</v>
      </c>
      <c r="O52" s="18" t="str">
        <f aca="true">IF(NOT(AND($B$7-TODAY()&gt;=Settings!$B$14,$B$7-TODAY()&lt;=Settings!$B$15)),"WAIT - DTE",IF(NOT(AND(ABS(K38)&gt;=Settings!$B$12,ABS(K38)&lt;=Settings!$B$13)),"WAIT - DELTA",IF(NOT($B$5&gt;=Settings!$B$8),"WAIT - IVR",IF(NOT(G52&gt;=Settings!$B$10),"WAIT - CREDIT",IF(NOT(I52&gt;=Settings!$B$9),"WAIT - C/W",IF(NOT(AND(J52&lt;=Settings!$B$11,H38&gt;0,I38&gt;0,H41&gt;0,I41&gt;0)),"WAIT - LIQ",IF(NOT(K52&gt;=Settings!$B$19),"WAIT - BUFFER","GO")))))))</f>
        <v>WAIT - DELTA</v>
      </c>
      <c r="P52" s="27" t="n">
        <f aca="false">IF(O52="GO",N52,-1000000000)</f>
        <v>-1000000000</v>
      </c>
    </row>
    <row r="53" customFormat="false" ht="23.85" hidden="false" customHeight="false" outlineLevel="0" collapsed="false">
      <c r="A53" s="18" t="s">
        <v>144</v>
      </c>
      <c r="B53" s="18" t="s">
        <v>141</v>
      </c>
      <c r="C53" s="17" t="n">
        <f aca="false">IFERROR($E$12/$B$9,0)</f>
        <v>20</v>
      </c>
      <c r="D53" s="23" t="n">
        <f aca="false">$E$12</f>
        <v>20</v>
      </c>
      <c r="E53" s="20" t="n">
        <f aca="false">D38</f>
        <v>0</v>
      </c>
      <c r="F53" s="20" t="n">
        <f aca="false">D42</f>
        <v>20</v>
      </c>
      <c r="G53" s="25" t="n">
        <f aca="false">IFERROR(L38-L42,0)</f>
        <v>0</v>
      </c>
      <c r="H53" s="25" t="n">
        <f aca="false">IFERROR(D53-G53,0)</f>
        <v>20</v>
      </c>
      <c r="I53" s="26" t="n">
        <f aca="false">IFERROR(G53/D53,0)</f>
        <v>0</v>
      </c>
      <c r="J53" s="26" t="n">
        <f aca="false">IFERROR((I38-H38)/L38,1)</f>
        <v>1</v>
      </c>
      <c r="K53" s="26" t="n">
        <f aca="false">IFERROR((E53-$B$4)/$B$4,0)</f>
        <v>0</v>
      </c>
      <c r="L53" s="26" t="n">
        <f aca="false">IFERROR(1-ABS(K38),0)</f>
        <v>1</v>
      </c>
      <c r="M53" s="25" t="n">
        <f aca="false">L53*G53-(1-L53)*H53</f>
        <v>0</v>
      </c>
      <c r="N53" s="27" t="n">
        <f aca="false">IFERROR(M53/H53,0)</f>
        <v>0</v>
      </c>
      <c r="O53" s="18" t="str">
        <f aca="true">IF(NOT(AND($B$7-TODAY()&gt;=Settings!$B$14,$B$7-TODAY()&lt;=Settings!$B$15)),"WAIT - DTE",IF(NOT(AND(ABS(K38)&gt;=Settings!$B$12,ABS(K38)&lt;=Settings!$B$13)),"WAIT - DELTA",IF(NOT($B$5&gt;=Settings!$B$8),"WAIT - IVR",IF(NOT(G53&gt;=Settings!$B$10),"WAIT - CREDIT",IF(NOT(I53&gt;=Settings!$B$9),"WAIT - C/W",IF(NOT(AND(J53&lt;=Settings!$B$11,H38&gt;0,I38&gt;0,H42&gt;0,I42&gt;0)),"WAIT - LIQ",IF(NOT(K53&gt;=Settings!$B$19),"WAIT - BUFFER","GO")))))))</f>
        <v>WAIT - DELTA</v>
      </c>
      <c r="P53" s="27" t="n">
        <f aca="false">IF(O53="GO",N53,-1000000000)</f>
        <v>-1000000000</v>
      </c>
    </row>
    <row r="54" customFormat="false" ht="23.85" hidden="false" customHeight="false" outlineLevel="0" collapsed="false">
      <c r="A54" s="18" t="s">
        <v>144</v>
      </c>
      <c r="B54" s="18" t="s">
        <v>142</v>
      </c>
      <c r="C54" s="17" t="n">
        <f aca="false">IFERROR($B$12/$B$9,0)</f>
        <v>5</v>
      </c>
      <c r="D54" s="23" t="n">
        <f aca="false">$B$12</f>
        <v>5</v>
      </c>
      <c r="E54" s="20" t="n">
        <f aca="false">D43</f>
        <v>0</v>
      </c>
      <c r="F54" s="20" t="n">
        <f aca="false">D44</f>
        <v>5</v>
      </c>
      <c r="G54" s="25" t="n">
        <f aca="false">IFERROR(L43-L44,0)</f>
        <v>0</v>
      </c>
      <c r="H54" s="25" t="n">
        <f aca="false">IFERROR(D54-G54,0)</f>
        <v>5</v>
      </c>
      <c r="I54" s="26" t="n">
        <f aca="false">IFERROR(G54/D54,0)</f>
        <v>0</v>
      </c>
      <c r="J54" s="26" t="n">
        <f aca="false">IFERROR((I43-H43)/L43,1)</f>
        <v>1</v>
      </c>
      <c r="K54" s="26" t="n">
        <f aca="false">IFERROR((E54-$B$4)/$B$4,0)</f>
        <v>0</v>
      </c>
      <c r="L54" s="26" t="n">
        <f aca="false">IFERROR(1-ABS(K43),0)</f>
        <v>1</v>
      </c>
      <c r="M54" s="25" t="n">
        <f aca="false">L54*G54-(1-L54)*H54</f>
        <v>0</v>
      </c>
      <c r="N54" s="27" t="n">
        <f aca="false">IFERROR(M54/H54,0)</f>
        <v>0</v>
      </c>
      <c r="O54" s="18" t="str">
        <f aca="true">IF(NOT(AND($B$8-TODAY()&gt;=Settings!$B$14,$B$8-TODAY()&lt;=Settings!$B$15)),"WAIT - DTE",IF(NOT(AND(ABS(K43)&gt;=Settings!$B$12,ABS(K43)&lt;=Settings!$B$13)),"WAIT - DELTA",IF(NOT($B$5&gt;=Settings!$B$8),"WAIT - IVR",IF(NOT(G54&gt;=Settings!$B$10),"WAIT - CREDIT",IF(NOT(I54&gt;=Settings!$B$9),"WAIT - C/W",IF(NOT(AND(J54&lt;=Settings!$B$11,H43&gt;0,I43&gt;0,H44&gt;0,I44&gt;0)),"WAIT - LIQ",IF(NOT(K54&gt;=Settings!$B$19),"WAIT - BUFFER","GO")))))))</f>
        <v>WAIT - DELTA</v>
      </c>
      <c r="P54" s="27" t="n">
        <f aca="false">IF(O54="GO",N54,-1000000000)</f>
        <v>-1000000000</v>
      </c>
    </row>
    <row r="55" customFormat="false" ht="23.85" hidden="false" customHeight="false" outlineLevel="0" collapsed="false">
      <c r="A55" s="18" t="s">
        <v>144</v>
      </c>
      <c r="B55" s="18" t="s">
        <v>142</v>
      </c>
      <c r="C55" s="17" t="n">
        <f aca="false">IFERROR($C$12/$B$9,0)</f>
        <v>10</v>
      </c>
      <c r="D55" s="23" t="n">
        <f aca="false">$C$12</f>
        <v>10</v>
      </c>
      <c r="E55" s="20" t="n">
        <f aca="false">D43</f>
        <v>0</v>
      </c>
      <c r="F55" s="20" t="n">
        <f aca="false">D45</f>
        <v>10</v>
      </c>
      <c r="G55" s="25" t="n">
        <f aca="false">IFERROR(L43-L45,0)</f>
        <v>0</v>
      </c>
      <c r="H55" s="25" t="n">
        <f aca="false">IFERROR(D55-G55,0)</f>
        <v>10</v>
      </c>
      <c r="I55" s="26" t="n">
        <f aca="false">IFERROR(G55/D55,0)</f>
        <v>0</v>
      </c>
      <c r="J55" s="26" t="n">
        <f aca="false">IFERROR((I43-H43)/L43,1)</f>
        <v>1</v>
      </c>
      <c r="K55" s="26" t="n">
        <f aca="false">IFERROR((E55-$B$4)/$B$4,0)</f>
        <v>0</v>
      </c>
      <c r="L55" s="26" t="n">
        <f aca="false">IFERROR(1-ABS(K43),0)</f>
        <v>1</v>
      </c>
      <c r="M55" s="25" t="n">
        <f aca="false">L55*G55-(1-L55)*H55</f>
        <v>0</v>
      </c>
      <c r="N55" s="27" t="n">
        <f aca="false">IFERROR(M55/H55,0)</f>
        <v>0</v>
      </c>
      <c r="O55" s="18" t="str">
        <f aca="true">IF(NOT(AND($B$8-TODAY()&gt;=Settings!$B$14,$B$8-TODAY()&lt;=Settings!$B$15)),"WAIT - DTE",IF(NOT(AND(ABS(K43)&gt;=Settings!$B$12,ABS(K43)&lt;=Settings!$B$13)),"WAIT - DELTA",IF(NOT($B$5&gt;=Settings!$B$8),"WAIT - IVR",IF(NOT(G55&gt;=Settings!$B$10),"WAIT - CREDIT",IF(NOT(I55&gt;=Settings!$B$9),"WAIT - C/W",IF(NOT(AND(J55&lt;=Settings!$B$11,H43&gt;0,I43&gt;0,H45&gt;0,I45&gt;0)),"WAIT - LIQ",IF(NOT(K55&gt;=Settings!$B$19),"WAIT - BUFFER","GO")))))))</f>
        <v>WAIT - DELTA</v>
      </c>
      <c r="P55" s="27" t="n">
        <f aca="false">IF(O55="GO",N55,-1000000000)</f>
        <v>-1000000000</v>
      </c>
    </row>
    <row r="56" customFormat="false" ht="23.85" hidden="false" customHeight="false" outlineLevel="0" collapsed="false">
      <c r="A56" s="18" t="s">
        <v>144</v>
      </c>
      <c r="B56" s="18" t="s">
        <v>142</v>
      </c>
      <c r="C56" s="17" t="n">
        <f aca="false">IFERROR($D$12/$B$9,0)</f>
        <v>15</v>
      </c>
      <c r="D56" s="23" t="n">
        <f aca="false">$D$12</f>
        <v>15</v>
      </c>
      <c r="E56" s="20" t="n">
        <f aca="false">D43</f>
        <v>0</v>
      </c>
      <c r="F56" s="20" t="n">
        <f aca="false">D46</f>
        <v>15</v>
      </c>
      <c r="G56" s="25" t="n">
        <f aca="false">IFERROR(L43-L46,0)</f>
        <v>0</v>
      </c>
      <c r="H56" s="25" t="n">
        <f aca="false">IFERROR(D56-G56,0)</f>
        <v>15</v>
      </c>
      <c r="I56" s="26" t="n">
        <f aca="false">IFERROR(G56/D56,0)</f>
        <v>0</v>
      </c>
      <c r="J56" s="26" t="n">
        <f aca="false">IFERROR((I43-H43)/L43,1)</f>
        <v>1</v>
      </c>
      <c r="K56" s="26" t="n">
        <f aca="false">IFERROR((E56-$B$4)/$B$4,0)</f>
        <v>0</v>
      </c>
      <c r="L56" s="26" t="n">
        <f aca="false">IFERROR(1-ABS(K43),0)</f>
        <v>1</v>
      </c>
      <c r="M56" s="25" t="n">
        <f aca="false">L56*G56-(1-L56)*H56</f>
        <v>0</v>
      </c>
      <c r="N56" s="27" t="n">
        <f aca="false">IFERROR(M56/H56,0)</f>
        <v>0</v>
      </c>
      <c r="O56" s="18" t="str">
        <f aca="true">IF(NOT(AND($B$8-TODAY()&gt;=Settings!$B$14,$B$8-TODAY()&lt;=Settings!$B$15)),"WAIT - DTE",IF(NOT(AND(ABS(K43)&gt;=Settings!$B$12,ABS(K43)&lt;=Settings!$B$13)),"WAIT - DELTA",IF(NOT($B$5&gt;=Settings!$B$8),"WAIT - IVR",IF(NOT(G56&gt;=Settings!$B$10),"WAIT - CREDIT",IF(NOT(I56&gt;=Settings!$B$9),"WAIT - C/W",IF(NOT(AND(J56&lt;=Settings!$B$11,H43&gt;0,I43&gt;0,H46&gt;0,I46&gt;0)),"WAIT - LIQ",IF(NOT(K56&gt;=Settings!$B$19),"WAIT - BUFFER","GO")))))))</f>
        <v>WAIT - DELTA</v>
      </c>
      <c r="P56" s="27" t="n">
        <f aca="false">IF(O56="GO",N56,-1000000000)</f>
        <v>-1000000000</v>
      </c>
    </row>
    <row r="57" customFormat="false" ht="23.85" hidden="false" customHeight="false" outlineLevel="0" collapsed="false">
      <c r="A57" s="18" t="s">
        <v>144</v>
      </c>
      <c r="B57" s="18" t="s">
        <v>142</v>
      </c>
      <c r="C57" s="17" t="n">
        <f aca="false">IFERROR($E$12/$B$9,0)</f>
        <v>20</v>
      </c>
      <c r="D57" s="23" t="n">
        <f aca="false">$E$12</f>
        <v>20</v>
      </c>
      <c r="E57" s="20" t="n">
        <f aca="false">D43</f>
        <v>0</v>
      </c>
      <c r="F57" s="20" t="n">
        <f aca="false">D47</f>
        <v>20</v>
      </c>
      <c r="G57" s="25" t="n">
        <f aca="false">IFERROR(L43-L47,0)</f>
        <v>0</v>
      </c>
      <c r="H57" s="25" t="n">
        <f aca="false">IFERROR(D57-G57,0)</f>
        <v>20</v>
      </c>
      <c r="I57" s="26" t="n">
        <f aca="false">IFERROR(G57/D57,0)</f>
        <v>0</v>
      </c>
      <c r="J57" s="26" t="n">
        <f aca="false">IFERROR((I43-H43)/L43,1)</f>
        <v>1</v>
      </c>
      <c r="K57" s="26" t="n">
        <f aca="false">IFERROR((E57-$B$4)/$B$4,0)</f>
        <v>0</v>
      </c>
      <c r="L57" s="26" t="n">
        <f aca="false">IFERROR(1-ABS(K43),0)</f>
        <v>1</v>
      </c>
      <c r="M57" s="25" t="n">
        <f aca="false">L57*G57-(1-L57)*H57</f>
        <v>0</v>
      </c>
      <c r="N57" s="27" t="n">
        <f aca="false">IFERROR(M57/H57,0)</f>
        <v>0</v>
      </c>
      <c r="O57" s="18" t="str">
        <f aca="true">IF(NOT(AND($B$8-TODAY()&gt;=Settings!$B$14,$B$8-TODAY()&lt;=Settings!$B$15)),"WAIT - DTE",IF(NOT(AND(ABS(K43)&gt;=Settings!$B$12,ABS(K43)&lt;=Settings!$B$13)),"WAIT - DELTA",IF(NOT($B$5&gt;=Settings!$B$8),"WAIT - IVR",IF(NOT(G57&gt;=Settings!$B$10),"WAIT - CREDIT",IF(NOT(I57&gt;=Settings!$B$9),"WAIT - C/W",IF(NOT(AND(J57&lt;=Settings!$B$11,H43&gt;0,I43&gt;0,H47&gt;0,I47&gt;0)),"WAIT - LIQ",IF(NOT(K57&gt;=Settings!$B$19),"WAIT - BUFFER","GO")))))))</f>
        <v>WAIT - DELTA</v>
      </c>
      <c r="P57" s="27" t="n">
        <f aca="false">IF(O57="GO",N57,-1000000000)</f>
        <v>-1000000000</v>
      </c>
    </row>
    <row r="59" customFormat="false" ht="15" hidden="false" customHeight="true" outlineLevel="0" collapsed="false">
      <c r="A59" s="5" t="s">
        <v>146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customFormat="false" ht="23.85" hidden="false" customHeight="false" outlineLevel="0" collapsed="false">
      <c r="A60" s="14" t="s">
        <v>102</v>
      </c>
      <c r="B60" s="14" t="s">
        <v>126</v>
      </c>
      <c r="C60" s="14" t="s">
        <v>127</v>
      </c>
      <c r="D60" s="14" t="s">
        <v>128</v>
      </c>
      <c r="E60" s="14" t="s">
        <v>129</v>
      </c>
      <c r="F60" s="14" t="s">
        <v>130</v>
      </c>
      <c r="G60" s="14" t="s">
        <v>131</v>
      </c>
      <c r="H60" s="14" t="s">
        <v>132</v>
      </c>
      <c r="I60" s="14" t="s">
        <v>136</v>
      </c>
      <c r="J60" s="14" t="s">
        <v>138</v>
      </c>
      <c r="K60" s="14" t="s">
        <v>139</v>
      </c>
      <c r="L60" s="14" t="s">
        <v>140</v>
      </c>
      <c r="M60" s="14"/>
      <c r="N60" s="14" t="s">
        <v>147</v>
      </c>
      <c r="O60" s="14" t="s">
        <v>148</v>
      </c>
      <c r="P60" s="14" t="s">
        <v>149</v>
      </c>
      <c r="Q60" s="14" t="s">
        <v>150</v>
      </c>
      <c r="R60" s="14" t="s">
        <v>151</v>
      </c>
    </row>
    <row r="61" customFormat="false" ht="15" hidden="false" customHeight="false" outlineLevel="0" collapsed="false">
      <c r="A61" s="18" t="str">
        <f aca="false">IF(P27=MAX(P27:P34,P50:P57),A27,IF(P28=MAX(P27:P34,P50:P57),A28,IF(P29=MAX(P27:P34,P50:P57),A29,IF(P30=MAX(P27:P34,P50:P57),A30,IF(P31=MAX(P27:P34,P50:P57),A31,IF(P32=MAX(P27:P34,P50:P57),A32,IF(P33=MAX(P27:P34,P50:P57),A33,IF(P34=MAX(P27:P34,P50:P57),A34,IF(P50=MAX(P27:P34,P50:P57),A50,IF(P51=MAX(P27:P34,P50:P57),A51,IF(P52=MAX(P27:P34,P50:P57),A52,IF(P53=MAX(P27:P34,P50:P57),A53,IF(P54=MAX(P27:P34,P50:P57),A54,IF(P55=MAX(P27:P34,P50:P57),A55,IF(P56=MAX(P27:P34,P50:P57),A56,IF(P57=MAX(P27:P34,P50:P57),A57,"—"))))))))))))))))</f>
        <v>BullPut</v>
      </c>
      <c r="B61" s="18" t="str">
        <f aca="false">IF(P27=MAX(P27:P34,P50:P57),B27,IF(P28=MAX(P27:P34,P50:P57),B28,IF(P29=MAX(P27:P34,P50:P57),B29,IF(P30=MAX(P27:P34,P50:P57),B30,IF(P31=MAX(P27:P34,P50:P57),B31,IF(P32=MAX(P27:P34,P50:P57),B32,IF(P33=MAX(P27:P34,P50:P57),B33,IF(P34=MAX(P27:P34,P50:P57),B34,IF(P50=MAX(P27:P34,P50:P57),B50,IF(P51=MAX(P27:P34,P50:P57),B51,IF(P52=MAX(P27:P34,P50:P57),B52,IF(P53=MAX(P27:P34,P50:P57),B53,IF(P54=MAX(P27:P34,P50:P57),B54,IF(P55=MAX(P27:P34,P50:P57),B55,IF(P56=MAX(P27:P34,P50:P57),B56,IF(P57=MAX(P27:P34,P50:P57),B57,"—"))))))))))))))))</f>
        <v>Front</v>
      </c>
      <c r="C61" s="17" t="n">
        <f aca="false">IF(P27=MAX(P27:P34,P50:P57),C27,IF(P28=MAX(P27:P34,P50:P57),C28,IF(P29=MAX(P27:P34,P50:P57),C29,IF(P30=MAX(P27:P34,P50:P57),C30,IF(P31=MAX(P27:P34,P50:P57),C31,IF(P32=MAX(P27:P34,P50:P57),C32,IF(P33=MAX(P27:P34,P50:P57),C33,IF(P34=MAX(P27:P34,P50:P57),C34,IF(P50=MAX(P27:P34,P50:P57),C50,IF(P51=MAX(P27:P34,P50:P57),C51,IF(P52=MAX(P27:P34,P50:P57),C52,IF(P53=MAX(P27:P34,P50:P57),C53,IF(P54=MAX(P27:P34,P50:P57),C54,IF(P55=MAX(P27:P34,P50:P57),C55,IF(P56=MAX(P27:P34,P50:P57),C56,IF(P57=MAX(P27:P34,P50:P57),C57,"—"))))))))))))))))</f>
        <v>5</v>
      </c>
      <c r="D61" s="23" t="n">
        <f aca="false">IF(P27=MAX(P27:P34,P50:P57),D27,IF(P28=MAX(P27:P34,P50:P57),D28,IF(P29=MAX(P27:P34,P50:P57),D29,IF(P30=MAX(P27:P34,P50:P57),D30,IF(P31=MAX(P27:P34,P50:P57),D31,IF(P32=MAX(P27:P34,P50:P57),D32,IF(P33=MAX(P27:P34,P50:P57),D33,IF(P34=MAX(P27:P34,P50:P57),D34,IF(P50=MAX(P27:P34,P50:P57),D50,IF(P51=MAX(P27:P34,P50:P57),D51,IF(P52=MAX(P27:P34,P50:P57),D52,IF(P53=MAX(P27:P34,P50:P57),D53,IF(P54=MAX(P27:P34,P50:P57),D54,IF(P55=MAX(P27:P34,P50:P57),D55,IF(P56=MAX(P27:P34,P50:P57),D56,IF(P57=MAX(P27:P34,P50:P57),D57,"—"))))))))))))))))</f>
        <v>5</v>
      </c>
      <c r="E61" s="20" t="n">
        <f aca="false">IF(P27=MAX(P27:P34,P50:P57),E27,IF(P28=MAX(P27:P34,P50:P57),E28,IF(P29=MAX(P27:P34,P50:P57),E29,IF(P30=MAX(P27:P34,P50:P57),E30,IF(P31=MAX(P27:P34,P50:P57),E31,IF(P32=MAX(P27:P34,P50:P57),E32,IF(P33=MAX(P27:P34,P50:P57),E33,IF(P34=MAX(P27:P34,P50:P57),E34,IF(P50=MAX(P27:P34,P50:P57),E50,IF(P51=MAX(P27:P34,P50:P57),E51,IF(P52=MAX(P27:P34,P50:P57),E52,IF(P53=MAX(P27:P34,P50:P57),E53,IF(P54=MAX(P27:P34,P50:P57),E54,IF(P55=MAX(P27:P34,P50:P57),E55,IF(P56=MAX(P27:P34,P50:P57),E56,IF(P57=MAX(P27:P34,P50:P57),E57,"—"))))))))))))))))</f>
        <v>0</v>
      </c>
      <c r="F61" s="20" t="n">
        <f aca="false">IF(P27=MAX(P27:P34,P50:P57),F27,IF(P28=MAX(P27:P34,P50:P57),F28,IF(P29=MAX(P27:P34,P50:P57),F29,IF(P30=MAX(P27:P34,P50:P57),F30,IF(P31=MAX(P27:P34,P50:P57),F31,IF(P32=MAX(P27:P34,P50:P57),F32,IF(P33=MAX(P27:P34,P50:P57),F33,IF(P34=MAX(P27:P34,P50:P57),F34,IF(P50=MAX(P27:P34,P50:P57),F50,IF(P51=MAX(P27:P34,P50:P57),F51,IF(P52=MAX(P27:P34,P50:P57),F52,IF(P53=MAX(P27:P34,P50:P57),F53,IF(P54=MAX(P27:P34,P50:P57),F54,IF(P55=MAX(P27:P34,P50:P57),F55,IF(P56=MAX(P27:P34,P50:P57),F56,IF(P57=MAX(P27:P34,P50:P57),F57,"—"))))))))))))))))</f>
        <v>-5</v>
      </c>
      <c r="G61" s="25" t="n">
        <f aca="false">IF(P27=MAX(P27:P34,P50:P57),G27,IF(P28=MAX(P27:P34,P50:P57),G28,IF(P29=MAX(P27:P34,P50:P57),G29,IF(P30=MAX(P27:P34,P50:P57),G30,IF(P31=MAX(P27:P34,P50:P57),G31,IF(P32=MAX(P27:P34,P50:P57),G32,IF(P33=MAX(P27:P34,P50:P57),G33,IF(P34=MAX(P27:P34,P50:P57),G34,IF(P50=MAX(P27:P34,P50:P57),G50,IF(P51=MAX(P27:P34,P50:P57),G51,IF(P52=MAX(P27:P34,P50:P57),G52,IF(P53=MAX(P27:P34,P50:P57),G53,IF(P54=MAX(P27:P34,P50:P57),G54,IF(P55=MAX(P27:P34,P50:P57),G55,IF(P56=MAX(P27:P34,P50:P57),G56,IF(P57=MAX(P27:P34,P50:P57),G57,"—"))))))))))))))))</f>
        <v>0</v>
      </c>
      <c r="H61" s="25" t="n">
        <f aca="false">IF(P27=MAX(P27:P34,P50:P57),H27,IF(P28=MAX(P27:P34,P50:P57),H28,IF(P29=MAX(P27:P34,P50:P57),H29,IF(P30=MAX(P27:P34,P50:P57),H30,IF(P31=MAX(P27:P34,P50:P57),H31,IF(P32=MAX(P27:P34,P50:P57),H32,IF(P33=MAX(P27:P34,P50:P57),H33,IF(P34=MAX(P27:P34,P50:P57),H34,IF(P50=MAX(P27:P34,P50:P57),H50,IF(P51=MAX(P27:P34,P50:P57),H51,IF(P52=MAX(P27:P34,P50:P57),H52,IF(P53=MAX(P27:P34,P50:P57),H53,IF(P54=MAX(P27:P34,P50:P57),H54,IF(P55=MAX(P27:P34,P50:P57),H55,IF(P56=MAX(P27:P34,P50:P57),H56,IF(P57=MAX(P27:P34,P50:P57),H57,"—"))))))))))))))))</f>
        <v>5</v>
      </c>
      <c r="I61" s="26" t="n">
        <f aca="false">IF(P27=MAX(P27:P34,P50:P57),L27,IF(P28=MAX(P27:P34,P50:P57),L28,IF(P29=MAX(P27:P34,P50:P57),L29,IF(P30=MAX(P27:P34,P50:P57),L30,IF(P31=MAX(P27:P34,P50:P57),L31,IF(P32=MAX(P27:P34,P50:P57),L32,IF(P33=MAX(P27:P34,P50:P57),L33,IF(P34=MAX(P27:P34,P50:P57),L34,IF(P50=MAX(P27:P34,P50:P57),L50,IF(P51=MAX(P27:P34,P50:P57),L51,IF(P52=MAX(P27:P34,P50:P57),L52,IF(P53=MAX(P27:P34,P50:P57),L53,IF(P54=MAX(P27:P34,P50:P57),L54,IF(P55=MAX(P27:P34,P50:P57),L55,IF(P56=MAX(P27:P34,P50:P57),L56,IF(P57=MAX(P27:P34,P50:P57),L57,"—"))))))))))))))))</f>
        <v>1</v>
      </c>
      <c r="J61" s="27" t="n">
        <f aca="false">IF(P27=MAX(P27:P34,P50:P57),N27,IF(P28=MAX(P27:P34,P50:P57),N28,IF(P29=MAX(P27:P34,P50:P57),N29,IF(P30=MAX(P27:P34,P50:P57),N30,IF(P31=MAX(P27:P34,P50:P57),N31,IF(P32=MAX(P27:P34,P50:P57),N32,IF(P33=MAX(P27:P34,P50:P57),N33,IF(P34=MAX(P27:P34,P50:P57),N34,IF(P50=MAX(P27:P34,P50:P57),N50,IF(P51=MAX(P27:P34,P50:P57),N51,IF(P52=MAX(P27:P34,P50:P57),N52,IF(P53=MAX(P27:P34,P50:P57),N53,IF(P54=MAX(P27:P34,P50:P57),N54,IF(P55=MAX(P27:P34,P50:P57),N55,IF(P56=MAX(P27:P34,P50:P57),N56,IF(P57=MAX(P27:P34,P50:P57),N57,"—"))))))))))))))))</f>
        <v>0</v>
      </c>
      <c r="K61" s="18" t="str">
        <f aca="false">IF(P27=MAX(P27:P34,P50:P57),O27,IF(P28=MAX(P27:P34,P50:P57),O28,IF(P29=MAX(P27:P34,P50:P57),O29,IF(P30=MAX(P27:P34,P50:P57),O30,IF(P31=MAX(P27:P34,P50:P57),O31,IF(P32=MAX(P27:P34,P50:P57),O32,IF(P33=MAX(P27:P34,P50:P57),O33,IF(P34=MAX(P27:P34,P50:P57),O34,IF(P50=MAX(P27:P34,P50:P57),O50,IF(P51=MAX(P27:P34,P50:P57),O51,IF(P52=MAX(P27:P34,P50:P57),O52,IF(P53=MAX(P27:P34,P50:P57),O53,IF(P54=MAX(P27:P34,P50:P57),O54,IF(P55=MAX(P27:P34,P50:P57),O55,IF(P56=MAX(P27:P34,P50:P57),O56,IF(P57=MAX(P27:P34,P50:P57),O57,"—"))))))))))))))))</f>
        <v>WAIT - DELTA</v>
      </c>
      <c r="L61" s="27" t="n">
        <f aca="false">MAX(P27:P34,P50:P57)</f>
        <v>-1000000000</v>
      </c>
      <c r="M61" s="18"/>
      <c r="N61" s="17" t="n">
        <f aca="false">IFERROR(IFERROR(IF(H61&gt;0,FLOOR(MIN(MIN(Settings!$B$5,Settings!$B$6*Settings!$B$3)/Settings!$B$4,IFERROR(MAX(0,I61-(1-I61)/(G61/H61))*Settings!$B$7*Settings!$B$3,0))/(H61*100),1),0),0),0)</f>
        <v>0</v>
      </c>
      <c r="O61" s="28" t="n">
        <f aca="false">IFERROR(N61*G61*100,0)</f>
        <v>0</v>
      </c>
      <c r="P61" s="28" t="n">
        <f aca="false">IFERROR(N61*H61*100,0)</f>
        <v>0</v>
      </c>
      <c r="Q61" s="28" t="n">
        <f aca="false">IFERROR(N61*G61*100*Settings!$B$17,0)</f>
        <v>0</v>
      </c>
      <c r="R61" s="28" t="n">
        <f aca="false">IFERROR(N61*G61*Settings!$B$18*100,0)</f>
        <v>0</v>
      </c>
    </row>
    <row r="62" customFormat="false" ht="31.5" hidden="false" customHeight="true" outlineLevel="0" collapsed="false">
      <c r="A62" s="6" t="s">
        <v>152</v>
      </c>
      <c r="B62" s="29" t="str">
        <f aca="false">IF(K61="GO","SELL "&amp;TEXT(N61,"0")&amp;" "&amp;UPPER(B2)&amp;" "&amp;A61&amp;" "&amp;TEXT(E61,"$0")&amp;"/"&amp;TEXT(F61,"$0")&amp;" exp "&amp;TEXT(IF(B61="Front",B7,IF(B61="Back",B8,B7)),"m/d")&amp;".  Collect "&amp;TEXT(O61,"$#,##0")&amp;".  Max loss "&amp;TEXT(P61,"$#,##0")&amp;".",IF(OR(K61="—",K61=""),"No data yet — type a ticker in B2 and refresh BBG.","Best of 16 here, but "&amp;K61&amp;". Tighten Settings or wait for the gate to clear."))</f>
        <v>Best of 16 here, but WAIT - DELTA. Tighten Settings or wait for the gate to clear.</v>
      </c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</row>
    <row r="64" customFormat="false" ht="15" hidden="false" customHeight="true" outlineLevel="0" collapsed="false">
      <c r="A64" s="5" t="s">
        <v>153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customFormat="false" ht="23.85" hidden="false" customHeight="true" outlineLevel="0" collapsed="false">
      <c r="A65" s="6" t="s">
        <v>154</v>
      </c>
      <c r="B65" s="30" t="str">
        <f aca="false">"UVXY US Equity"</f>
        <v>UVXY US Equity</v>
      </c>
      <c r="C65" s="8" t="s">
        <v>155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customFormat="false" ht="15" hidden="false" customHeight="true" outlineLevel="0" collapsed="false">
      <c r="A66" s="6" t="s">
        <v>156</v>
      </c>
      <c r="B66" s="25" t="n">
        <f aca="false">IFERROR(bdp(B65,"PX_LAST"),0)</f>
        <v>0</v>
      </c>
      <c r="C66" s="8" t="s">
        <v>157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customFormat="false" ht="23.85" hidden="false" customHeight="true" outlineLevel="0" collapsed="false">
      <c r="A67" s="6" t="s">
        <v>158</v>
      </c>
      <c r="B67" s="23" t="n">
        <f aca="false">IFERROR(CEILING(B66*(1+Settings!$B$22),1),0)</f>
        <v>0</v>
      </c>
      <c r="C67" s="8" t="s">
        <v>159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customFormat="false" ht="23.85" hidden="false" customHeight="true" outlineLevel="0" collapsed="false">
      <c r="A68" s="6" t="s">
        <v>160</v>
      </c>
      <c r="B68" s="22" t="n">
        <f aca="false">B7</f>
        <v>46220</v>
      </c>
      <c r="C68" s="8" t="s">
        <v>161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customFormat="false" ht="35.05" hidden="false" customHeight="true" outlineLevel="0" collapsed="false">
      <c r="A69" s="6" t="s">
        <v>162</v>
      </c>
      <c r="B69" s="30" t="str">
        <f aca="false">"UVXY US "&amp;TEXT(B68,"mm/dd/yy")&amp;" C"&amp;IF(B67=INT(B67),INT(B67),B67)&amp;" Equity"</f>
        <v>UVXY US 07/17/26 C0 Equity</v>
      </c>
      <c r="C69" s="8" t="s">
        <v>163</v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customFormat="false" ht="15" hidden="false" customHeight="true" outlineLevel="0" collapsed="false">
      <c r="A70" s="6" t="s">
        <v>164</v>
      </c>
      <c r="B70" s="25" t="n">
        <f aca="false">IFERROR((bdp(B69,"BID")+bdp(B69,"ASK"))/2,0)</f>
        <v>0</v>
      </c>
      <c r="C70" s="8" t="s">
        <v>165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customFormat="false" ht="23.85" hidden="false" customHeight="true" outlineLevel="0" collapsed="false">
      <c r="A71" s="6" t="s">
        <v>166</v>
      </c>
      <c r="B71" s="17" t="n">
        <f aca="false">IFERROR(IF(B70&gt;0,FLOOR(MIN(Settings!$B$5,Settings!$B$6*Settings!$B$3)*Settings!$B$21/(B70*100),1),0),0)</f>
        <v>0</v>
      </c>
      <c r="C71" s="8" t="s">
        <v>167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customFormat="false" ht="15" hidden="false" customHeight="true" outlineLevel="0" collapsed="false">
      <c r="A72" s="6" t="s">
        <v>168</v>
      </c>
      <c r="B72" s="28" t="n">
        <f aca="false">B71*B70*100</f>
        <v>0</v>
      </c>
      <c r="C72" s="8" t="s">
        <v>169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</sheetData>
  <mergeCells count="25">
    <mergeCell ref="A1:R1"/>
    <mergeCell ref="C2:R2"/>
    <mergeCell ref="C3:R3"/>
    <mergeCell ref="C4:R4"/>
    <mergeCell ref="C5:R5"/>
    <mergeCell ref="C6:R6"/>
    <mergeCell ref="C7:R7"/>
    <mergeCell ref="C8:R8"/>
    <mergeCell ref="C9:R9"/>
    <mergeCell ref="C10:R10"/>
    <mergeCell ref="C11:R11"/>
    <mergeCell ref="F12:R12"/>
    <mergeCell ref="A13:R13"/>
    <mergeCell ref="A36:R36"/>
    <mergeCell ref="A59:R59"/>
    <mergeCell ref="B62:R62"/>
    <mergeCell ref="A64:R64"/>
    <mergeCell ref="C65:R65"/>
    <mergeCell ref="C66:R66"/>
    <mergeCell ref="C67:R67"/>
    <mergeCell ref="C68:R68"/>
    <mergeCell ref="C69:R69"/>
    <mergeCell ref="C70:R70"/>
    <mergeCell ref="C71:R71"/>
    <mergeCell ref="C72:R72"/>
  </mergeCells>
  <conditionalFormatting sqref="O27:O34">
    <cfRule type="expression" priority="2" aboveAverage="0" equalAverage="0" bottom="0" percent="0" rank="0" text="" dxfId="0">
      <formula>O27="GO"</formula>
    </cfRule>
    <cfRule type="expression" priority="3" aboveAverage="0" equalAverage="0" bottom="0" percent="0" rank="0" text="" dxfId="1">
      <formula>LEFT(O27,4)="WAIT"</formula>
    </cfRule>
  </conditionalFormatting>
  <conditionalFormatting sqref="O50:O57">
    <cfRule type="expression" priority="4" aboveAverage="0" equalAverage="0" bottom="0" percent="0" rank="0" text="" dxfId="0">
      <formula>O50="GO"</formula>
    </cfRule>
    <cfRule type="expression" priority="5" aboveAverage="0" equalAverage="0" bottom="0" percent="0" rank="0" text="" dxfId="1">
      <formula>LEFT(O50,4)="WAIT"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40"/>
  </cols>
  <sheetData>
    <row r="1" customFormat="false" ht="15" hidden="false" customHeight="true" outlineLevel="0" collapsed="false">
      <c r="A1" s="5" t="s">
        <v>170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23.85" hidden="false" customHeight="false" outlineLevel="0" collapsed="false">
      <c r="A3" s="14" t="s">
        <v>171</v>
      </c>
      <c r="B3" s="14" t="s">
        <v>102</v>
      </c>
      <c r="C3" s="14" t="s">
        <v>172</v>
      </c>
      <c r="D3" s="14" t="s">
        <v>106</v>
      </c>
      <c r="E3" s="14" t="s">
        <v>129</v>
      </c>
      <c r="F3" s="14" t="s">
        <v>130</v>
      </c>
      <c r="G3" s="14" t="s">
        <v>173</v>
      </c>
      <c r="H3" s="14" t="s">
        <v>147</v>
      </c>
      <c r="I3" s="14" t="s">
        <v>174</v>
      </c>
      <c r="J3" s="14" t="s">
        <v>148</v>
      </c>
      <c r="K3" s="14" t="s">
        <v>175</v>
      </c>
      <c r="L3" s="14" t="s">
        <v>149</v>
      </c>
      <c r="M3" s="14" t="s">
        <v>176</v>
      </c>
      <c r="N3" s="14" t="s">
        <v>177</v>
      </c>
      <c r="O3" s="14" t="s">
        <v>178</v>
      </c>
      <c r="P3" s="14" t="s">
        <v>179</v>
      </c>
    </row>
    <row r="4" customFormat="false" ht="15" hidden="false" customHeight="false" outlineLevel="0" collapsed="false">
      <c r="A4" s="31"/>
      <c r="B4" s="32"/>
      <c r="C4" s="32"/>
      <c r="D4" s="31"/>
      <c r="E4" s="32"/>
      <c r="F4" s="32"/>
      <c r="G4" s="24"/>
      <c r="H4" s="32"/>
      <c r="I4" s="12"/>
      <c r="J4" s="7"/>
      <c r="K4" s="12"/>
      <c r="L4" s="7"/>
      <c r="M4" s="32"/>
      <c r="N4" s="31"/>
      <c r="O4" s="7"/>
      <c r="P4" s="32"/>
    </row>
    <row r="5" customFormat="false" ht="15" hidden="false" customHeight="false" outlineLevel="0" collapsed="false">
      <c r="A5" s="31"/>
      <c r="B5" s="32"/>
      <c r="C5" s="32"/>
      <c r="D5" s="31"/>
      <c r="E5" s="32"/>
      <c r="F5" s="32"/>
      <c r="G5" s="24"/>
      <c r="H5" s="32"/>
      <c r="I5" s="12"/>
      <c r="J5" s="7"/>
      <c r="K5" s="12"/>
      <c r="L5" s="7"/>
      <c r="M5" s="32"/>
      <c r="N5" s="31"/>
      <c r="O5" s="7"/>
      <c r="P5" s="32"/>
    </row>
    <row r="6" customFormat="false" ht="15" hidden="false" customHeight="false" outlineLevel="0" collapsed="false">
      <c r="A6" s="31"/>
      <c r="B6" s="32"/>
      <c r="C6" s="32"/>
      <c r="D6" s="31"/>
      <c r="E6" s="32"/>
      <c r="F6" s="32"/>
      <c r="G6" s="24"/>
      <c r="H6" s="32"/>
      <c r="I6" s="12"/>
      <c r="J6" s="7"/>
      <c r="K6" s="12"/>
      <c r="L6" s="7"/>
      <c r="M6" s="32"/>
      <c r="N6" s="31"/>
      <c r="O6" s="7"/>
      <c r="P6" s="32"/>
    </row>
    <row r="7" customFormat="false" ht="15" hidden="false" customHeight="false" outlineLevel="0" collapsed="false">
      <c r="A7" s="31"/>
      <c r="B7" s="32"/>
      <c r="C7" s="32"/>
      <c r="D7" s="31"/>
      <c r="E7" s="32"/>
      <c r="F7" s="32"/>
      <c r="G7" s="24"/>
      <c r="H7" s="32"/>
      <c r="I7" s="12"/>
      <c r="J7" s="7"/>
      <c r="K7" s="12"/>
      <c r="L7" s="7"/>
      <c r="M7" s="32"/>
      <c r="N7" s="31"/>
      <c r="O7" s="7"/>
      <c r="P7" s="32"/>
    </row>
    <row r="8" customFormat="false" ht="15" hidden="false" customHeight="false" outlineLevel="0" collapsed="false">
      <c r="A8" s="31"/>
      <c r="B8" s="32"/>
      <c r="C8" s="32"/>
      <c r="D8" s="31"/>
      <c r="E8" s="32"/>
      <c r="F8" s="32"/>
      <c r="G8" s="24"/>
      <c r="H8" s="32"/>
      <c r="I8" s="12"/>
      <c r="J8" s="7"/>
      <c r="K8" s="12"/>
      <c r="L8" s="7"/>
      <c r="M8" s="32"/>
      <c r="N8" s="31"/>
      <c r="O8" s="7"/>
      <c r="P8" s="32"/>
    </row>
    <row r="9" customFormat="false" ht="15" hidden="false" customHeight="false" outlineLevel="0" collapsed="false">
      <c r="A9" s="31"/>
      <c r="B9" s="32"/>
      <c r="C9" s="32"/>
      <c r="D9" s="31"/>
      <c r="E9" s="32"/>
      <c r="F9" s="32"/>
      <c r="G9" s="24"/>
      <c r="H9" s="32"/>
      <c r="I9" s="12"/>
      <c r="J9" s="7"/>
      <c r="K9" s="12"/>
      <c r="L9" s="7"/>
      <c r="M9" s="32"/>
      <c r="N9" s="31"/>
      <c r="O9" s="7"/>
      <c r="P9" s="32"/>
    </row>
    <row r="10" customFormat="false" ht="15" hidden="false" customHeight="false" outlineLevel="0" collapsed="false">
      <c r="A10" s="31"/>
      <c r="B10" s="32"/>
      <c r="C10" s="32"/>
      <c r="D10" s="31"/>
      <c r="E10" s="32"/>
      <c r="F10" s="32"/>
      <c r="G10" s="24"/>
      <c r="H10" s="32"/>
      <c r="I10" s="12"/>
      <c r="J10" s="7"/>
      <c r="K10" s="12"/>
      <c r="L10" s="7"/>
      <c r="M10" s="32"/>
      <c r="N10" s="31"/>
      <c r="O10" s="7"/>
      <c r="P10" s="32"/>
    </row>
    <row r="11" customFormat="false" ht="15" hidden="false" customHeight="false" outlineLevel="0" collapsed="false">
      <c r="A11" s="31"/>
      <c r="B11" s="32"/>
      <c r="C11" s="32"/>
      <c r="D11" s="31"/>
      <c r="E11" s="32"/>
      <c r="F11" s="32"/>
      <c r="G11" s="24"/>
      <c r="H11" s="32"/>
      <c r="I11" s="12"/>
      <c r="J11" s="7"/>
      <c r="K11" s="12"/>
      <c r="L11" s="7"/>
      <c r="M11" s="32"/>
      <c r="N11" s="31"/>
      <c r="O11" s="7"/>
      <c r="P11" s="32"/>
    </row>
    <row r="12" customFormat="false" ht="15" hidden="false" customHeight="false" outlineLevel="0" collapsed="false">
      <c r="A12" s="31"/>
      <c r="B12" s="32"/>
      <c r="C12" s="32"/>
      <c r="D12" s="31"/>
      <c r="E12" s="32"/>
      <c r="F12" s="32"/>
      <c r="G12" s="24"/>
      <c r="H12" s="32"/>
      <c r="I12" s="12"/>
      <c r="J12" s="7"/>
      <c r="K12" s="12"/>
      <c r="L12" s="7"/>
      <c r="M12" s="32"/>
      <c r="N12" s="31"/>
      <c r="O12" s="7"/>
      <c r="P12" s="32"/>
    </row>
    <row r="13" customFormat="false" ht="15" hidden="false" customHeight="false" outlineLevel="0" collapsed="false">
      <c r="A13" s="31"/>
      <c r="B13" s="32"/>
      <c r="C13" s="32"/>
      <c r="D13" s="31"/>
      <c r="E13" s="32"/>
      <c r="F13" s="32"/>
      <c r="G13" s="24"/>
      <c r="H13" s="32"/>
      <c r="I13" s="12"/>
      <c r="J13" s="7"/>
      <c r="K13" s="12"/>
      <c r="L13" s="7"/>
      <c r="M13" s="32"/>
      <c r="N13" s="31"/>
      <c r="O13" s="7"/>
      <c r="P13" s="32"/>
    </row>
    <row r="14" customFormat="false" ht="15" hidden="false" customHeight="false" outlineLevel="0" collapsed="false">
      <c r="A14" s="31"/>
      <c r="B14" s="32"/>
      <c r="C14" s="32"/>
      <c r="D14" s="31"/>
      <c r="E14" s="32"/>
      <c r="F14" s="32"/>
      <c r="G14" s="24"/>
      <c r="H14" s="32"/>
      <c r="I14" s="12"/>
      <c r="J14" s="7"/>
      <c r="K14" s="12"/>
      <c r="L14" s="7"/>
      <c r="M14" s="32"/>
      <c r="N14" s="31"/>
      <c r="O14" s="7"/>
      <c r="P14" s="32"/>
    </row>
    <row r="15" customFormat="false" ht="15" hidden="false" customHeight="false" outlineLevel="0" collapsed="false">
      <c r="A15" s="31"/>
      <c r="B15" s="32"/>
      <c r="C15" s="32"/>
      <c r="D15" s="31"/>
      <c r="E15" s="32"/>
      <c r="F15" s="32"/>
      <c r="G15" s="24"/>
      <c r="H15" s="32"/>
      <c r="I15" s="12"/>
      <c r="J15" s="7"/>
      <c r="K15" s="12"/>
      <c r="L15" s="7"/>
      <c r="M15" s="32"/>
      <c r="N15" s="31"/>
      <c r="O15" s="7"/>
      <c r="P15" s="32"/>
    </row>
    <row r="16" customFormat="false" ht="15" hidden="false" customHeight="false" outlineLevel="0" collapsed="false">
      <c r="A16" s="31"/>
      <c r="B16" s="32"/>
      <c r="C16" s="32"/>
      <c r="D16" s="31"/>
      <c r="E16" s="32"/>
      <c r="F16" s="32"/>
      <c r="G16" s="24"/>
      <c r="H16" s="32"/>
      <c r="I16" s="12"/>
      <c r="J16" s="7"/>
      <c r="K16" s="12"/>
      <c r="L16" s="7"/>
      <c r="M16" s="32"/>
      <c r="N16" s="31"/>
      <c r="O16" s="7"/>
      <c r="P16" s="32"/>
    </row>
    <row r="17" customFormat="false" ht="15" hidden="false" customHeight="false" outlineLevel="0" collapsed="false">
      <c r="A17" s="31"/>
      <c r="B17" s="32"/>
      <c r="C17" s="32"/>
      <c r="D17" s="31"/>
      <c r="E17" s="32"/>
      <c r="F17" s="32"/>
      <c r="G17" s="24"/>
      <c r="H17" s="32"/>
      <c r="I17" s="12"/>
      <c r="J17" s="7"/>
      <c r="K17" s="12"/>
      <c r="L17" s="7"/>
      <c r="M17" s="32"/>
      <c r="N17" s="31"/>
      <c r="O17" s="7"/>
      <c r="P17" s="32"/>
    </row>
    <row r="18" customFormat="false" ht="15" hidden="false" customHeight="false" outlineLevel="0" collapsed="false">
      <c r="A18" s="31"/>
      <c r="B18" s="32"/>
      <c r="C18" s="32"/>
      <c r="D18" s="31"/>
      <c r="E18" s="32"/>
      <c r="F18" s="32"/>
      <c r="G18" s="24"/>
      <c r="H18" s="32"/>
      <c r="I18" s="12"/>
      <c r="J18" s="7"/>
      <c r="K18" s="12"/>
      <c r="L18" s="7"/>
      <c r="M18" s="32"/>
      <c r="N18" s="31"/>
      <c r="O18" s="7"/>
      <c r="P18" s="32"/>
    </row>
    <row r="19" customFormat="false" ht="15" hidden="false" customHeight="false" outlineLevel="0" collapsed="false">
      <c r="A19" s="31"/>
      <c r="B19" s="32"/>
      <c r="C19" s="32"/>
      <c r="D19" s="31"/>
      <c r="E19" s="32"/>
      <c r="F19" s="32"/>
      <c r="G19" s="24"/>
      <c r="H19" s="32"/>
      <c r="I19" s="12"/>
      <c r="J19" s="7"/>
      <c r="K19" s="12"/>
      <c r="L19" s="7"/>
      <c r="M19" s="32"/>
      <c r="N19" s="31"/>
      <c r="O19" s="7"/>
      <c r="P19" s="32"/>
    </row>
    <row r="20" customFormat="false" ht="15" hidden="false" customHeight="false" outlineLevel="0" collapsed="false">
      <c r="A20" s="31"/>
      <c r="B20" s="32"/>
      <c r="C20" s="32"/>
      <c r="D20" s="31"/>
      <c r="E20" s="32"/>
      <c r="F20" s="32"/>
      <c r="G20" s="24"/>
      <c r="H20" s="32"/>
      <c r="I20" s="12"/>
      <c r="J20" s="7"/>
      <c r="K20" s="12"/>
      <c r="L20" s="7"/>
      <c r="M20" s="32"/>
      <c r="N20" s="31"/>
      <c r="O20" s="7"/>
      <c r="P20" s="32"/>
    </row>
    <row r="21" customFormat="false" ht="15" hidden="false" customHeight="false" outlineLevel="0" collapsed="false">
      <c r="A21" s="31"/>
      <c r="B21" s="32"/>
      <c r="C21" s="32"/>
      <c r="D21" s="31"/>
      <c r="E21" s="32"/>
      <c r="F21" s="32"/>
      <c r="G21" s="24"/>
      <c r="H21" s="32"/>
      <c r="I21" s="12"/>
      <c r="J21" s="7"/>
      <c r="K21" s="12"/>
      <c r="L21" s="7"/>
      <c r="M21" s="32"/>
      <c r="N21" s="31"/>
      <c r="O21" s="7"/>
      <c r="P21" s="32"/>
    </row>
    <row r="22" customFormat="false" ht="15" hidden="false" customHeight="false" outlineLevel="0" collapsed="false">
      <c r="A22" s="31"/>
      <c r="B22" s="32"/>
      <c r="C22" s="32"/>
      <c r="D22" s="31"/>
      <c r="E22" s="32"/>
      <c r="F22" s="32"/>
      <c r="G22" s="24"/>
      <c r="H22" s="32"/>
      <c r="I22" s="12"/>
      <c r="J22" s="7"/>
      <c r="K22" s="12"/>
      <c r="L22" s="7"/>
      <c r="M22" s="32"/>
      <c r="N22" s="31"/>
      <c r="O22" s="7"/>
      <c r="P22" s="32"/>
    </row>
    <row r="23" customFormat="false" ht="15" hidden="false" customHeight="false" outlineLevel="0" collapsed="false">
      <c r="A23" s="31"/>
      <c r="B23" s="32"/>
      <c r="C23" s="32"/>
      <c r="D23" s="31"/>
      <c r="E23" s="32"/>
      <c r="F23" s="32"/>
      <c r="G23" s="24"/>
      <c r="H23" s="32"/>
      <c r="I23" s="12"/>
      <c r="J23" s="7"/>
      <c r="K23" s="12"/>
      <c r="L23" s="7"/>
      <c r="M23" s="32"/>
      <c r="N23" s="31"/>
      <c r="O23" s="7"/>
      <c r="P23" s="32"/>
    </row>
    <row r="24" customFormat="false" ht="15" hidden="false" customHeight="false" outlineLevel="0" collapsed="false">
      <c r="A24" s="31"/>
      <c r="B24" s="32"/>
      <c r="C24" s="32"/>
      <c r="D24" s="31"/>
      <c r="E24" s="32"/>
      <c r="F24" s="32"/>
      <c r="G24" s="24"/>
      <c r="H24" s="32"/>
      <c r="I24" s="12"/>
      <c r="J24" s="7"/>
      <c r="K24" s="12"/>
      <c r="L24" s="7"/>
      <c r="M24" s="32"/>
      <c r="N24" s="31"/>
      <c r="O24" s="7"/>
      <c r="P24" s="32"/>
    </row>
    <row r="25" customFormat="false" ht="15" hidden="false" customHeight="false" outlineLevel="0" collapsed="false">
      <c r="A25" s="31"/>
      <c r="B25" s="32"/>
      <c r="C25" s="32"/>
      <c r="D25" s="31"/>
      <c r="E25" s="32"/>
      <c r="F25" s="32"/>
      <c r="G25" s="24"/>
      <c r="H25" s="32"/>
      <c r="I25" s="12"/>
      <c r="J25" s="7"/>
      <c r="K25" s="12"/>
      <c r="L25" s="7"/>
      <c r="M25" s="32"/>
      <c r="N25" s="31"/>
      <c r="O25" s="7"/>
      <c r="P25" s="32"/>
    </row>
    <row r="26" customFormat="false" ht="15" hidden="false" customHeight="false" outlineLevel="0" collapsed="false">
      <c r="A26" s="31"/>
      <c r="B26" s="32"/>
      <c r="C26" s="32"/>
      <c r="D26" s="31"/>
      <c r="E26" s="32"/>
      <c r="F26" s="32"/>
      <c r="G26" s="24"/>
      <c r="H26" s="32"/>
      <c r="I26" s="12"/>
      <c r="J26" s="7"/>
      <c r="K26" s="12"/>
      <c r="L26" s="7"/>
      <c r="M26" s="32"/>
      <c r="N26" s="31"/>
      <c r="O26" s="7"/>
      <c r="P26" s="32"/>
    </row>
    <row r="27" customFormat="false" ht="15" hidden="false" customHeight="false" outlineLevel="0" collapsed="false">
      <c r="A27" s="31"/>
      <c r="B27" s="32"/>
      <c r="C27" s="32"/>
      <c r="D27" s="31"/>
      <c r="E27" s="32"/>
      <c r="F27" s="32"/>
      <c r="G27" s="24"/>
      <c r="H27" s="32"/>
      <c r="I27" s="12"/>
      <c r="J27" s="7"/>
      <c r="K27" s="12"/>
      <c r="L27" s="7"/>
      <c r="M27" s="32"/>
      <c r="N27" s="31"/>
      <c r="O27" s="7"/>
      <c r="P27" s="32"/>
    </row>
    <row r="28" customFormat="false" ht="15" hidden="false" customHeight="false" outlineLevel="0" collapsed="false">
      <c r="A28" s="31"/>
      <c r="B28" s="32"/>
      <c r="C28" s="32"/>
      <c r="D28" s="31"/>
      <c r="E28" s="32"/>
      <c r="F28" s="32"/>
      <c r="G28" s="24"/>
      <c r="H28" s="32"/>
      <c r="I28" s="12"/>
      <c r="J28" s="7"/>
      <c r="K28" s="12"/>
      <c r="L28" s="7"/>
      <c r="M28" s="32"/>
      <c r="N28" s="31"/>
      <c r="O28" s="7"/>
      <c r="P28" s="32"/>
    </row>
    <row r="29" customFormat="false" ht="15" hidden="false" customHeight="false" outlineLevel="0" collapsed="false">
      <c r="A29" s="31"/>
      <c r="B29" s="32"/>
      <c r="C29" s="32"/>
      <c r="D29" s="31"/>
      <c r="E29" s="32"/>
      <c r="F29" s="32"/>
      <c r="G29" s="24"/>
      <c r="H29" s="32"/>
      <c r="I29" s="12"/>
      <c r="J29" s="7"/>
      <c r="K29" s="12"/>
      <c r="L29" s="7"/>
      <c r="M29" s="32"/>
      <c r="N29" s="31"/>
      <c r="O29" s="7"/>
      <c r="P29" s="32"/>
    </row>
    <row r="30" customFormat="false" ht="15" hidden="false" customHeight="false" outlineLevel="0" collapsed="false">
      <c r="A30" s="31"/>
      <c r="B30" s="32"/>
      <c r="C30" s="32"/>
      <c r="D30" s="31"/>
      <c r="E30" s="32"/>
      <c r="F30" s="32"/>
      <c r="G30" s="24"/>
      <c r="H30" s="32"/>
      <c r="I30" s="12"/>
      <c r="J30" s="7"/>
      <c r="K30" s="12"/>
      <c r="L30" s="7"/>
      <c r="M30" s="32"/>
      <c r="N30" s="31"/>
      <c r="O30" s="7"/>
      <c r="P30" s="32"/>
    </row>
    <row r="31" customFormat="false" ht="15" hidden="false" customHeight="false" outlineLevel="0" collapsed="false">
      <c r="A31" s="31"/>
      <c r="B31" s="32"/>
      <c r="C31" s="32"/>
      <c r="D31" s="31"/>
      <c r="E31" s="32"/>
      <c r="F31" s="32"/>
      <c r="G31" s="24"/>
      <c r="H31" s="32"/>
      <c r="I31" s="12"/>
      <c r="J31" s="7"/>
      <c r="K31" s="12"/>
      <c r="L31" s="7"/>
      <c r="M31" s="32"/>
      <c r="N31" s="31"/>
      <c r="O31" s="7"/>
      <c r="P31" s="32"/>
    </row>
    <row r="32" customFormat="false" ht="15" hidden="false" customHeight="false" outlineLevel="0" collapsed="false">
      <c r="A32" s="31"/>
      <c r="B32" s="32"/>
      <c r="C32" s="32"/>
      <c r="D32" s="31"/>
      <c r="E32" s="32"/>
      <c r="F32" s="32"/>
      <c r="G32" s="24"/>
      <c r="H32" s="32"/>
      <c r="I32" s="12"/>
      <c r="J32" s="7"/>
      <c r="K32" s="12"/>
      <c r="L32" s="7"/>
      <c r="M32" s="32"/>
      <c r="N32" s="31"/>
      <c r="O32" s="7"/>
      <c r="P32" s="32"/>
    </row>
    <row r="33" customFormat="false" ht="15" hidden="false" customHeight="false" outlineLevel="0" collapsed="false">
      <c r="A33" s="31"/>
      <c r="B33" s="32"/>
      <c r="C33" s="32"/>
      <c r="D33" s="31"/>
      <c r="E33" s="32"/>
      <c r="F33" s="32"/>
      <c r="G33" s="24"/>
      <c r="H33" s="32"/>
      <c r="I33" s="12"/>
      <c r="J33" s="7"/>
      <c r="K33" s="12"/>
      <c r="L33" s="7"/>
      <c r="M33" s="32"/>
      <c r="N33" s="31"/>
      <c r="O33" s="7"/>
      <c r="P33" s="32"/>
    </row>
    <row r="34" customFormat="false" ht="15" hidden="false" customHeight="false" outlineLevel="0" collapsed="false">
      <c r="A34" s="31"/>
      <c r="B34" s="32"/>
      <c r="C34" s="32"/>
      <c r="D34" s="31"/>
      <c r="E34" s="32"/>
      <c r="F34" s="32"/>
      <c r="G34" s="24"/>
      <c r="H34" s="32"/>
      <c r="I34" s="12"/>
      <c r="J34" s="7"/>
      <c r="K34" s="12"/>
      <c r="L34" s="7"/>
      <c r="M34" s="32"/>
      <c r="N34" s="31"/>
      <c r="O34" s="7"/>
      <c r="P34" s="32"/>
    </row>
    <row r="35" customFormat="false" ht="15" hidden="false" customHeight="false" outlineLevel="0" collapsed="false">
      <c r="A35" s="31"/>
      <c r="B35" s="32"/>
      <c r="C35" s="32"/>
      <c r="D35" s="31"/>
      <c r="E35" s="32"/>
      <c r="F35" s="32"/>
      <c r="G35" s="24"/>
      <c r="H35" s="32"/>
      <c r="I35" s="12"/>
      <c r="J35" s="7"/>
      <c r="K35" s="12"/>
      <c r="L35" s="7"/>
      <c r="M35" s="32"/>
      <c r="N35" s="31"/>
      <c r="O35" s="7"/>
      <c r="P35" s="32"/>
    </row>
    <row r="36" customFormat="false" ht="15" hidden="false" customHeight="false" outlineLevel="0" collapsed="false">
      <c r="A36" s="31"/>
      <c r="B36" s="32"/>
      <c r="C36" s="32"/>
      <c r="D36" s="31"/>
      <c r="E36" s="32"/>
      <c r="F36" s="32"/>
      <c r="G36" s="24"/>
      <c r="H36" s="32"/>
      <c r="I36" s="12"/>
      <c r="J36" s="7"/>
      <c r="K36" s="12"/>
      <c r="L36" s="7"/>
      <c r="M36" s="32"/>
      <c r="N36" s="31"/>
      <c r="O36" s="7"/>
      <c r="P36" s="32"/>
    </row>
    <row r="37" customFormat="false" ht="15" hidden="false" customHeight="false" outlineLevel="0" collapsed="false">
      <c r="A37" s="31"/>
      <c r="B37" s="32"/>
      <c r="C37" s="32"/>
      <c r="D37" s="31"/>
      <c r="E37" s="32"/>
      <c r="F37" s="32"/>
      <c r="G37" s="24"/>
      <c r="H37" s="32"/>
      <c r="I37" s="12"/>
      <c r="J37" s="7"/>
      <c r="K37" s="12"/>
      <c r="L37" s="7"/>
      <c r="M37" s="32"/>
      <c r="N37" s="31"/>
      <c r="O37" s="7"/>
      <c r="P37" s="32"/>
    </row>
    <row r="38" customFormat="false" ht="15" hidden="false" customHeight="false" outlineLevel="0" collapsed="false">
      <c r="A38" s="31"/>
      <c r="B38" s="32"/>
      <c r="C38" s="32"/>
      <c r="D38" s="31"/>
      <c r="E38" s="32"/>
      <c r="F38" s="32"/>
      <c r="G38" s="24"/>
      <c r="H38" s="32"/>
      <c r="I38" s="12"/>
      <c r="J38" s="7"/>
      <c r="K38" s="12"/>
      <c r="L38" s="7"/>
      <c r="M38" s="32"/>
      <c r="N38" s="31"/>
      <c r="O38" s="7"/>
      <c r="P38" s="32"/>
    </row>
    <row r="39" customFormat="false" ht="15" hidden="false" customHeight="false" outlineLevel="0" collapsed="false">
      <c r="A39" s="31"/>
      <c r="B39" s="32"/>
      <c r="C39" s="32"/>
      <c r="D39" s="31"/>
      <c r="E39" s="32"/>
      <c r="F39" s="32"/>
      <c r="G39" s="24"/>
      <c r="H39" s="32"/>
      <c r="I39" s="12"/>
      <c r="J39" s="7"/>
      <c r="K39" s="12"/>
      <c r="L39" s="7"/>
      <c r="M39" s="32"/>
      <c r="N39" s="31"/>
      <c r="O39" s="7"/>
      <c r="P39" s="32"/>
    </row>
    <row r="40" customFormat="false" ht="15" hidden="false" customHeight="false" outlineLevel="0" collapsed="false">
      <c r="A40" s="31"/>
      <c r="B40" s="32"/>
      <c r="C40" s="32"/>
      <c r="D40" s="31"/>
      <c r="E40" s="32"/>
      <c r="F40" s="32"/>
      <c r="G40" s="24"/>
      <c r="H40" s="32"/>
      <c r="I40" s="12"/>
      <c r="J40" s="7"/>
      <c r="K40" s="12"/>
      <c r="L40" s="7"/>
      <c r="M40" s="32"/>
      <c r="N40" s="31"/>
      <c r="O40" s="7"/>
      <c r="P40" s="32"/>
    </row>
    <row r="41" customFormat="false" ht="15" hidden="false" customHeight="false" outlineLevel="0" collapsed="false">
      <c r="A41" s="31"/>
      <c r="B41" s="32"/>
      <c r="C41" s="32"/>
      <c r="D41" s="31"/>
      <c r="E41" s="32"/>
      <c r="F41" s="32"/>
      <c r="G41" s="24"/>
      <c r="H41" s="32"/>
      <c r="I41" s="12"/>
      <c r="J41" s="7"/>
      <c r="K41" s="12"/>
      <c r="L41" s="7"/>
      <c r="M41" s="32"/>
      <c r="N41" s="31"/>
      <c r="O41" s="7"/>
      <c r="P41" s="32"/>
    </row>
    <row r="42" customFormat="false" ht="15" hidden="false" customHeight="false" outlineLevel="0" collapsed="false">
      <c r="A42" s="31"/>
      <c r="B42" s="32"/>
      <c r="C42" s="32"/>
      <c r="D42" s="31"/>
      <c r="E42" s="32"/>
      <c r="F42" s="32"/>
      <c r="G42" s="24"/>
      <c r="H42" s="32"/>
      <c r="I42" s="12"/>
      <c r="J42" s="7"/>
      <c r="K42" s="12"/>
      <c r="L42" s="7"/>
      <c r="M42" s="32"/>
      <c r="N42" s="31"/>
      <c r="O42" s="7"/>
      <c r="P42" s="32"/>
    </row>
    <row r="43" customFormat="false" ht="15" hidden="false" customHeight="false" outlineLevel="0" collapsed="false">
      <c r="A43" s="31"/>
      <c r="B43" s="32"/>
      <c r="C43" s="32"/>
      <c r="D43" s="31"/>
      <c r="E43" s="32"/>
      <c r="F43" s="32"/>
      <c r="G43" s="24"/>
      <c r="H43" s="32"/>
      <c r="I43" s="12"/>
      <c r="J43" s="7"/>
      <c r="K43" s="12"/>
      <c r="L43" s="7"/>
      <c r="M43" s="32"/>
      <c r="N43" s="31"/>
      <c r="O43" s="7"/>
      <c r="P43" s="32"/>
    </row>
    <row r="44" customFormat="false" ht="15" hidden="false" customHeight="false" outlineLevel="0" collapsed="false">
      <c r="A44" s="31"/>
      <c r="B44" s="32"/>
      <c r="C44" s="32"/>
      <c r="D44" s="31"/>
      <c r="E44" s="32"/>
      <c r="F44" s="32"/>
      <c r="G44" s="24"/>
      <c r="H44" s="32"/>
      <c r="I44" s="12"/>
      <c r="J44" s="7"/>
      <c r="K44" s="12"/>
      <c r="L44" s="7"/>
      <c r="M44" s="32"/>
      <c r="N44" s="31"/>
      <c r="O44" s="7"/>
      <c r="P44" s="32"/>
    </row>
    <row r="45" customFormat="false" ht="15" hidden="false" customHeight="false" outlineLevel="0" collapsed="false">
      <c r="A45" s="31"/>
      <c r="B45" s="32"/>
      <c r="C45" s="32"/>
      <c r="D45" s="31"/>
      <c r="E45" s="32"/>
      <c r="F45" s="32"/>
      <c r="G45" s="24"/>
      <c r="H45" s="32"/>
      <c r="I45" s="12"/>
      <c r="J45" s="7"/>
      <c r="K45" s="12"/>
      <c r="L45" s="7"/>
      <c r="M45" s="32"/>
      <c r="N45" s="31"/>
      <c r="O45" s="7"/>
      <c r="P45" s="32"/>
    </row>
    <row r="46" customFormat="false" ht="15" hidden="false" customHeight="false" outlineLevel="0" collapsed="false">
      <c r="A46" s="31"/>
      <c r="B46" s="32"/>
      <c r="C46" s="32"/>
      <c r="D46" s="31"/>
      <c r="E46" s="32"/>
      <c r="F46" s="32"/>
      <c r="G46" s="24"/>
      <c r="H46" s="32"/>
      <c r="I46" s="12"/>
      <c r="J46" s="7"/>
      <c r="K46" s="12"/>
      <c r="L46" s="7"/>
      <c r="M46" s="32"/>
      <c r="N46" s="31"/>
      <c r="O46" s="7"/>
      <c r="P46" s="32"/>
    </row>
    <row r="47" customFormat="false" ht="15" hidden="false" customHeight="false" outlineLevel="0" collapsed="false">
      <c r="A47" s="31"/>
      <c r="B47" s="32"/>
      <c r="C47" s="32"/>
      <c r="D47" s="31"/>
      <c r="E47" s="32"/>
      <c r="F47" s="32"/>
      <c r="G47" s="24"/>
      <c r="H47" s="32"/>
      <c r="I47" s="12"/>
      <c r="J47" s="7"/>
      <c r="K47" s="12"/>
      <c r="L47" s="7"/>
      <c r="M47" s="32"/>
      <c r="N47" s="31"/>
      <c r="O47" s="7"/>
      <c r="P47" s="32"/>
    </row>
    <row r="48" customFormat="false" ht="15" hidden="false" customHeight="false" outlineLevel="0" collapsed="false">
      <c r="A48" s="31"/>
      <c r="B48" s="32"/>
      <c r="C48" s="32"/>
      <c r="D48" s="31"/>
      <c r="E48" s="32"/>
      <c r="F48" s="32"/>
      <c r="G48" s="24"/>
      <c r="H48" s="32"/>
      <c r="I48" s="12"/>
      <c r="J48" s="7"/>
      <c r="K48" s="12"/>
      <c r="L48" s="7"/>
      <c r="M48" s="32"/>
      <c r="N48" s="31"/>
      <c r="O48" s="7"/>
      <c r="P48" s="32"/>
    </row>
    <row r="49" customFormat="false" ht="15" hidden="false" customHeight="false" outlineLevel="0" collapsed="false">
      <c r="A49" s="31"/>
      <c r="B49" s="32"/>
      <c r="C49" s="32"/>
      <c r="D49" s="31"/>
      <c r="E49" s="32"/>
      <c r="F49" s="32"/>
      <c r="G49" s="24"/>
      <c r="H49" s="32"/>
      <c r="I49" s="12"/>
      <c r="J49" s="7"/>
      <c r="K49" s="12"/>
      <c r="L49" s="7"/>
      <c r="M49" s="32"/>
      <c r="N49" s="31"/>
      <c r="O49" s="7"/>
      <c r="P49" s="32"/>
    </row>
    <row r="50" customFormat="false" ht="15" hidden="false" customHeight="false" outlineLevel="0" collapsed="false">
      <c r="A50" s="31"/>
      <c r="B50" s="32"/>
      <c r="C50" s="32"/>
      <c r="D50" s="31"/>
      <c r="E50" s="32"/>
      <c r="F50" s="32"/>
      <c r="G50" s="24"/>
      <c r="H50" s="32"/>
      <c r="I50" s="12"/>
      <c r="J50" s="7"/>
      <c r="K50" s="12"/>
      <c r="L50" s="7"/>
      <c r="M50" s="32"/>
      <c r="N50" s="31"/>
      <c r="O50" s="7"/>
      <c r="P50" s="32"/>
    </row>
    <row r="51" customFormat="false" ht="15" hidden="false" customHeight="false" outlineLevel="0" collapsed="false">
      <c r="A51" s="31"/>
      <c r="B51" s="32"/>
      <c r="C51" s="32"/>
      <c r="D51" s="31"/>
      <c r="E51" s="32"/>
      <c r="F51" s="32"/>
      <c r="G51" s="24"/>
      <c r="H51" s="32"/>
      <c r="I51" s="12"/>
      <c r="J51" s="7"/>
      <c r="K51" s="12"/>
      <c r="L51" s="7"/>
      <c r="M51" s="32"/>
      <c r="N51" s="31"/>
      <c r="O51" s="7"/>
      <c r="P51" s="32"/>
    </row>
    <row r="52" customFormat="false" ht="15" hidden="false" customHeight="false" outlineLevel="0" collapsed="false">
      <c r="A52" s="31"/>
      <c r="B52" s="32"/>
      <c r="C52" s="32"/>
      <c r="D52" s="31"/>
      <c r="E52" s="32"/>
      <c r="F52" s="32"/>
      <c r="G52" s="24"/>
      <c r="H52" s="32"/>
      <c r="I52" s="12"/>
      <c r="J52" s="7"/>
      <c r="K52" s="12"/>
      <c r="L52" s="7"/>
      <c r="M52" s="32"/>
      <c r="N52" s="31"/>
      <c r="O52" s="7"/>
      <c r="P52" s="32"/>
    </row>
    <row r="53" customFormat="false" ht="15" hidden="false" customHeight="false" outlineLevel="0" collapsed="false">
      <c r="A53" s="31"/>
      <c r="B53" s="32"/>
      <c r="C53" s="32"/>
      <c r="D53" s="31"/>
      <c r="E53" s="32"/>
      <c r="F53" s="32"/>
      <c r="G53" s="24"/>
      <c r="H53" s="32"/>
      <c r="I53" s="12"/>
      <c r="J53" s="7"/>
      <c r="K53" s="12"/>
      <c r="L53" s="7"/>
      <c r="M53" s="32"/>
      <c r="N53" s="31"/>
      <c r="O53" s="7"/>
      <c r="P53" s="32"/>
    </row>
    <row r="54" customFormat="false" ht="15" hidden="false" customHeight="false" outlineLevel="0" collapsed="false">
      <c r="A54" s="31"/>
      <c r="B54" s="32"/>
      <c r="C54" s="32"/>
      <c r="D54" s="31"/>
      <c r="E54" s="32"/>
      <c r="F54" s="32"/>
      <c r="G54" s="24"/>
      <c r="H54" s="32"/>
      <c r="I54" s="12"/>
      <c r="J54" s="7"/>
      <c r="K54" s="12"/>
      <c r="L54" s="7"/>
      <c r="M54" s="32"/>
      <c r="N54" s="31"/>
      <c r="O54" s="7"/>
      <c r="P54" s="32"/>
    </row>
    <row r="55" customFormat="false" ht="15" hidden="false" customHeight="false" outlineLevel="0" collapsed="false">
      <c r="A55" s="31"/>
      <c r="B55" s="32"/>
      <c r="C55" s="32"/>
      <c r="D55" s="31"/>
      <c r="E55" s="32"/>
      <c r="F55" s="32"/>
      <c r="G55" s="24"/>
      <c r="H55" s="32"/>
      <c r="I55" s="12"/>
      <c r="J55" s="7"/>
      <c r="K55" s="12"/>
      <c r="L55" s="7"/>
      <c r="M55" s="32"/>
      <c r="N55" s="31"/>
      <c r="O55" s="7"/>
      <c r="P55" s="32"/>
    </row>
    <row r="56" customFormat="false" ht="15" hidden="false" customHeight="false" outlineLevel="0" collapsed="false">
      <c r="A56" s="31"/>
      <c r="B56" s="32"/>
      <c r="C56" s="32"/>
      <c r="D56" s="31"/>
      <c r="E56" s="32"/>
      <c r="F56" s="32"/>
      <c r="G56" s="24"/>
      <c r="H56" s="32"/>
      <c r="I56" s="12"/>
      <c r="J56" s="7"/>
      <c r="K56" s="12"/>
      <c r="L56" s="7"/>
      <c r="M56" s="32"/>
      <c r="N56" s="31"/>
      <c r="O56" s="7"/>
      <c r="P56" s="32"/>
    </row>
    <row r="57" customFormat="false" ht="15" hidden="false" customHeight="false" outlineLevel="0" collapsed="false">
      <c r="A57" s="31"/>
      <c r="B57" s="32"/>
      <c r="C57" s="32"/>
      <c r="D57" s="31"/>
      <c r="E57" s="32"/>
      <c r="F57" s="32"/>
      <c r="G57" s="24"/>
      <c r="H57" s="32"/>
      <c r="I57" s="12"/>
      <c r="J57" s="7"/>
      <c r="K57" s="12"/>
      <c r="L57" s="7"/>
      <c r="M57" s="32"/>
      <c r="N57" s="31"/>
      <c r="O57" s="7"/>
      <c r="P57" s="32"/>
    </row>
    <row r="58" customFormat="false" ht="15" hidden="false" customHeight="false" outlineLevel="0" collapsed="false">
      <c r="A58" s="31"/>
      <c r="B58" s="32"/>
      <c r="C58" s="32"/>
      <c r="D58" s="31"/>
      <c r="E58" s="32"/>
      <c r="F58" s="32"/>
      <c r="G58" s="24"/>
      <c r="H58" s="32"/>
      <c r="I58" s="12"/>
      <c r="J58" s="7"/>
      <c r="K58" s="12"/>
      <c r="L58" s="7"/>
      <c r="M58" s="32"/>
      <c r="N58" s="31"/>
      <c r="O58" s="7"/>
      <c r="P58" s="32"/>
    </row>
    <row r="59" customFormat="false" ht="15" hidden="false" customHeight="false" outlineLevel="0" collapsed="false">
      <c r="A59" s="31"/>
      <c r="B59" s="32"/>
      <c r="C59" s="32"/>
      <c r="D59" s="31"/>
      <c r="E59" s="32"/>
      <c r="F59" s="32"/>
      <c r="G59" s="24"/>
      <c r="H59" s="32"/>
      <c r="I59" s="12"/>
      <c r="J59" s="7"/>
      <c r="K59" s="12"/>
      <c r="L59" s="7"/>
      <c r="M59" s="32"/>
      <c r="N59" s="31"/>
      <c r="O59" s="7"/>
      <c r="P59" s="32"/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2026-05-11T21:26:31Z</dcterms:created>
  <dc:creator>openpyxl</dc:creator>
  <dc:description/>
  <dc:language>en-US</dc:language>
  <cp:lastModifiedBy/>
  <dcterms:modified xsi:type="dcterms:W3CDTF">2026-05-11T21:26:31Z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