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1 What the deficit is" sheetId="2" state="visible" r:id="rId2"/>
    <sheet xmlns:r="http://schemas.openxmlformats.org/officeDocument/2006/relationships" name="Ch2 Equity vs debt" sheetId="3" state="visible" r:id="rId3"/>
    <sheet xmlns:r="http://schemas.openxmlformats.org/officeDocument/2006/relationships" name="Ch3 Buffer - balance sheet" sheetId="4" state="visible" r:id="rId4"/>
    <sheet xmlns:r="http://schemas.openxmlformats.org/officeDocument/2006/relationships" name="Ch4 Buffer - flow" sheetId="5" state="visible" r:id="rId5"/>
    <sheet xmlns:r="http://schemas.openxmlformats.org/officeDocument/2006/relationships" name="Ch5 What is owed in USD"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FFFFFF"/>
      <sz val="14"/>
    </font>
    <font>
      <name val="Arial"/>
      <i val="1"/>
      <color rgb="006B6B6B"/>
      <sz val="9"/>
    </font>
    <font>
      <name val="Arial"/>
      <b val="1"/>
      <color rgb="001F3B63"/>
      <sz val="11"/>
    </font>
    <font>
      <name val="Arial"/>
      <b val="1"/>
      <color rgb="001A1A1A"/>
      <sz val="9"/>
    </font>
    <font>
      <name val="Arial"/>
      <color rgb="001A1A1A"/>
      <sz val="9"/>
    </font>
    <font>
      <name val="Arial"/>
      <color rgb="000000FF"/>
      <sz val="9"/>
    </font>
    <font>
      <name val="Arial"/>
      <b val="1"/>
      <color rgb="000000FF"/>
      <sz val="9"/>
    </font>
    <font>
      <name val="Arial"/>
      <i val="1"/>
      <color rgb="006B6B6B"/>
      <sz val="8"/>
    </font>
    <font>
      <name val="Arial"/>
      <b val="1"/>
      <color rgb="001F3B63"/>
      <sz val="9"/>
    </font>
  </fonts>
  <fills count="4">
    <fill>
      <patternFill/>
    </fill>
    <fill>
      <patternFill patternType="gray125"/>
    </fill>
    <fill>
      <patternFill patternType="solid">
        <fgColor rgb="001F3B63"/>
      </patternFill>
    </fill>
    <fill>
      <patternFill patternType="solid">
        <fgColor rgb="00F2F4F7"/>
      </patternFill>
    </fill>
  </fills>
  <borders count="2">
    <border>
      <left/>
      <right/>
      <top/>
      <bottom/>
      <diagonal/>
    </border>
    <border>
      <bottom style="thin">
        <color rgb="001F3B63"/>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4" fillId="3" borderId="1" applyAlignment="1" pivotButton="0" quotePrefix="0" xfId="0">
      <alignment horizontal="center" vertical="center" wrapText="1"/>
    </xf>
    <xf numFmtId="164" fontId="6" fillId="0" borderId="0" pivotButton="0" quotePrefix="0" xfId="0"/>
    <xf numFmtId="164" fontId="7" fillId="0" borderId="0" pivotButton="0" quotePrefix="0" xfId="0"/>
    <xf numFmtId="164" fontId="5" fillId="0" borderId="0" pivotButton="0" quotePrefix="0" xfId="0"/>
    <xf numFmtId="0" fontId="8" fillId="0" borderId="0" pivotButton="0" quotePrefix="0" xfId="0"/>
    <xf numFmtId="165" fontId="5" fillId="0" borderId="0" pivotButton="0" quotePrefix="0" xfId="0"/>
    <xf numFmtId="164" fontId="9" fillId="0" borderId="0" pivotButton="0" quotePrefix="0" xfId="0"/>
    <xf numFmtId="165" fontId="4" fillId="0" borderId="0" pivotButton="0" quotePrefix="0" xfId="0"/>
    <xf numFmtId="0" fontId="4" fillId="3" borderId="1" applyAlignment="1" pivotButton="0" quotePrefix="0" xfId="0">
      <alignment horizontal="center" vertical="center"/>
    </xf>
    <xf numFmtId="165"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Current account by component (US$ mn)</a:t>
            </a:r>
          </a:p>
        </rich>
      </tx>
    </title>
    <plotArea>
      <barChart>
        <barDir val="col"/>
        <grouping val="stacked"/>
        <ser>
          <idx val="0"/>
          <order val="0"/>
          <tx>
            <strRef>
              <f>'Ch1 What the deficit is'!C6</f>
            </strRef>
          </tx>
          <spPr>
            <a:solidFill xmlns:a="http://schemas.openxmlformats.org/drawingml/2006/main">
              <a:srgbClr val="4F9D69"/>
            </a:solidFill>
            <a:ln xmlns:a="http://schemas.openxmlformats.org/drawingml/2006/main">
              <a:noFill/>
              <a:prstDash val="solid"/>
            </a:ln>
          </spPr>
          <cat>
            <numRef>
              <f>'Ch1 What the deficit is'!$B$7:$B$10</f>
            </numRef>
          </cat>
          <val>
            <numRef>
              <f>'Ch1 What the deficit is'!$C$7:$C$10</f>
            </numRef>
          </val>
        </ser>
        <ser>
          <idx val="1"/>
          <order val="1"/>
          <tx>
            <strRef>
              <f>'Ch1 What the deficit is'!D6</f>
            </strRef>
          </tx>
          <spPr>
            <a:solidFill xmlns:a="http://schemas.openxmlformats.org/drawingml/2006/main">
              <a:srgbClr val="E8A33D"/>
            </a:solidFill>
            <a:ln xmlns:a="http://schemas.openxmlformats.org/drawingml/2006/main">
              <a:noFill/>
              <a:prstDash val="solid"/>
            </a:ln>
          </spPr>
          <cat>
            <numRef>
              <f>'Ch1 What the deficit is'!$B$7:$B$10</f>
            </numRef>
          </cat>
          <val>
            <numRef>
              <f>'Ch1 What the deficit is'!$D$7:$D$10</f>
            </numRef>
          </val>
        </ser>
        <ser>
          <idx val="2"/>
          <order val="2"/>
          <tx>
            <strRef>
              <f>'Ch1 What the deficit is'!E6</f>
            </strRef>
          </tx>
          <spPr>
            <a:solidFill xmlns:a="http://schemas.openxmlformats.org/drawingml/2006/main">
              <a:srgbClr val="D1495B"/>
            </a:solidFill>
            <a:ln xmlns:a="http://schemas.openxmlformats.org/drawingml/2006/main">
              <a:noFill/>
              <a:prstDash val="solid"/>
            </a:ln>
          </spPr>
          <cat>
            <numRef>
              <f>'Ch1 What the deficit is'!$B$7:$B$10</f>
            </numRef>
          </cat>
          <val>
            <numRef>
              <f>'Ch1 What the deficit is'!$E$7:$E$10</f>
            </numRef>
          </val>
        </ser>
        <ser>
          <idx val="3"/>
          <order val="3"/>
          <tx>
            <strRef>
              <f>'Ch1 What the deficit is'!F6</f>
            </strRef>
          </tx>
          <spPr>
            <a:solidFill xmlns:a="http://schemas.openxmlformats.org/drawingml/2006/main">
              <a:srgbClr val="8AA0B8"/>
            </a:solidFill>
            <a:ln xmlns:a="http://schemas.openxmlformats.org/drawingml/2006/main">
              <a:noFill/>
              <a:prstDash val="solid"/>
            </a:ln>
          </spPr>
          <cat>
            <numRef>
              <f>'Ch1 What the deficit is'!$B$7:$B$10</f>
            </numRef>
          </cat>
          <val>
            <numRef>
              <f>'Ch1 What the deficit is'!$F$7:$F$10</f>
            </numRef>
          </val>
        </ser>
        <gapWidth val="60"/>
        <overlap val="100"/>
        <axId val="10"/>
        <axId val="100"/>
      </barChart>
      <lineChart>
        <grouping val="standard"/>
        <ser>
          <idx val="4"/>
          <order val="4"/>
          <tx>
            <strRef>
              <f>'Ch1 What the deficit is'!G6</f>
            </strRef>
          </tx>
          <spPr>
            <a:ln xmlns:a="http://schemas.openxmlformats.org/drawingml/2006/main" w="32000">
              <a:solidFill>
                <a:srgbClr val="1A1A1A"/>
              </a:solidFill>
              <a:prstDash val="solid"/>
            </a:ln>
          </spPr>
          <marker>
            <symbol val="none"/>
            <spPr>
              <a:ln xmlns:a="http://schemas.openxmlformats.org/drawingml/2006/main">
                <a:prstDash val="solid"/>
              </a:ln>
            </spPr>
          </marker>
          <val>
            <numRef>
              <f>'Ch1 What the deficit is'!$G$7:$G$10</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External liabilities by instrument, Dec-2024 (US$ mn)</a:t>
            </a:r>
          </a:p>
        </rich>
      </tx>
    </title>
    <plotArea>
      <barChart>
        <barDir val="col"/>
        <grouping val="clustered"/>
        <ser>
          <idx val="0"/>
          <order val="0"/>
          <tx>
            <v>US$ mn</v>
          </tx>
          <spPr>
            <a:solidFill xmlns:a="http://schemas.openxmlformats.org/drawingml/2006/main">
              <a:srgbClr val="2F5C8F"/>
            </a:solidFill>
            <a:ln xmlns:a="http://schemas.openxmlformats.org/drawingml/2006/main">
              <a:noFill/>
              <a:prstDash val="solid"/>
            </a:ln>
          </spPr>
          <cat>
            <numRef>
              <f>'Ch2 Equity vs debt'!$B$7:$B$10</f>
            </numRef>
          </cat>
          <val>
            <numRef>
              <f>'Ch2 Equity vs debt'!$C$7:$C$10</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Change in net IIP during 2024, by driver (US$ mn)</a:t>
            </a:r>
          </a:p>
        </rich>
      </tx>
    </title>
    <plotArea>
      <barChart>
        <barDir val="col"/>
        <grouping val="clustered"/>
        <ser>
          <idx val="0"/>
          <order val="0"/>
          <tx>
            <v>Total net IIP</v>
          </tx>
          <spPr>
            <a:solidFill xmlns:a="http://schemas.openxmlformats.org/drawingml/2006/main">
              <a:srgbClr val="2F5C8F"/>
            </a:solidFill>
            <a:ln xmlns:a="http://schemas.openxmlformats.org/drawingml/2006/main">
              <a:noFill/>
              <a:prstDash val="solid"/>
            </a:ln>
          </spPr>
          <cat>
            <numRef>
              <f>'Ch3 Buffer - balance sheet'!$B$8:$B$11</f>
            </numRef>
          </cat>
          <val>
            <numRef>
              <f>'Ch3 Buffer - balance sheet'!$C$8:$C$11</f>
            </numRef>
          </val>
        </ser>
        <ser>
          <idx val="1"/>
          <order val="1"/>
          <tx>
            <v>of which direct investment</v>
          </tx>
          <spPr>
            <a:solidFill xmlns:a="http://schemas.openxmlformats.org/drawingml/2006/main">
              <a:srgbClr val="E8A33D"/>
            </a:solidFill>
            <a:ln xmlns:a="http://schemas.openxmlformats.org/drawingml/2006/main">
              <a:noFill/>
              <a:prstDash val="solid"/>
            </a:ln>
          </spPr>
          <cat>
            <numRef>
              <f>'Ch3 Buffer - balance sheet'!$B$8:$B$11</f>
            </numRef>
          </cat>
          <val>
            <numRef>
              <f>'Ch3 Buffer - balance sheet'!$D$8:$D$11</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Current account, rolling four quarters (% of GDP)</a:t>
            </a:r>
          </a:p>
        </rich>
      </tx>
    </title>
    <plotArea>
      <lineChart>
        <grouping val="standard"/>
        <ser>
          <idx val="0"/>
          <order val="0"/>
          <tx>
            <strRef>
              <f>'Ch4 Buffer - flow'!C6</f>
            </strRef>
          </tx>
          <spPr>
            <a:ln xmlns:a="http://schemas.openxmlformats.org/drawingml/2006/main" w="30000">
              <a:solidFill>
                <a:srgbClr val="D1495B"/>
              </a:solidFill>
              <a:prstDash val="solid"/>
            </a:ln>
          </spPr>
          <marker>
            <symbol val="none"/>
            <spPr>
              <a:ln xmlns:a="http://schemas.openxmlformats.org/drawingml/2006/main">
                <a:prstDash val="solid"/>
              </a:ln>
            </spPr>
          </marker>
          <cat>
            <numRef>
              <f>'Ch4 Buffer - flow'!$B$7:$B$18</f>
            </numRef>
          </cat>
          <val>
            <numRef>
              <f>'Ch4 Buffer - flow'!$C$7:$C$18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0%" sourceLinked="0"/>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International reserves (US$ mn)</a:t>
            </a:r>
          </a:p>
        </rich>
      </tx>
    </title>
    <plotArea>
      <barChart>
        <barDir val="col"/>
        <grouping val="clustered"/>
        <ser>
          <idx val="0"/>
          <order val="0"/>
          <tx>
            <strRef>
              <f>'Ch4 Buffer - flow'!D6</f>
            </strRef>
          </tx>
          <spPr>
            <a:solidFill xmlns:a="http://schemas.openxmlformats.org/drawingml/2006/main">
              <a:srgbClr val="3E8E8C"/>
            </a:solidFill>
            <a:ln xmlns:a="http://schemas.openxmlformats.org/drawingml/2006/main">
              <a:noFill/>
              <a:prstDash val="solid"/>
            </a:ln>
          </spPr>
          <cat>
            <numRef>
              <f>'Ch4 Buffer - flow'!$B$7:$B$14</f>
            </numRef>
          </cat>
          <val>
            <numRef>
              <f>'Ch4 Buffer - flow'!$D$7:$D$14</f>
            </numRef>
          </val>
        </ser>
        <gapWidth val="50"/>
        <axId val="10"/>
        <axId val="100"/>
      </barChart>
      <catAx>
        <axId val="10"/>
        <scaling>
          <orientation val="minMax"/>
        </scaling>
        <axPos val="l"/>
        <majorTickMark val="none"/>
        <minorTickMark val="none"/>
        <crossAx val="100"/>
        <lblOffset val="100"/>
      </catAx>
      <valAx>
        <axId val="100"/>
        <scaling>
          <orientation val="minMax"/>
          <min val="30000"/>
        </scaling>
        <axPos val="l"/>
        <majorGridlines/>
        <numFmt formatCode="#,##0" sourceLinked="0"/>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Currency composition (share)</a:t>
            </a:r>
          </a:p>
        </rich>
      </tx>
    </title>
    <plotArea>
      <barChart>
        <barDir val="col"/>
        <grouping val="clustered"/>
        <ser>
          <idx val="0"/>
          <order val="0"/>
          <tx>
            <v>Share</v>
          </tx>
          <spPr>
            <a:solidFill xmlns:a="http://schemas.openxmlformats.org/drawingml/2006/main">
              <a:srgbClr val="2F5C8F"/>
            </a:solidFill>
            <a:ln xmlns:a="http://schemas.openxmlformats.org/drawingml/2006/main">
              <a:noFill/>
              <a:prstDash val="solid"/>
            </a:ln>
          </spPr>
          <cat>
            <numRef>
              <f>'Ch5 What is owed in USD'!$B$7:$B$13</f>
            </numRef>
          </cat>
          <val>
            <numRef>
              <f>'Ch5 What is owed in USD'!$C$7:$C$13</f>
            </numRef>
          </val>
        </ser>
        <gapWidth val="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5.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9</col>
      <colOff>0</colOff>
      <row>4</row>
      <rowOff>0</rowOff>
    </from>
    <ext cx="1008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4</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4</row>
      <rowOff>0</rowOff>
    </from>
    <ext cx="93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6</col>
      <colOff>0</colOff>
      <row>4</row>
      <rowOff>0</rowOff>
    </from>
    <ext cx="100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27</row>
      <rowOff>0</rowOff>
    </from>
    <ext cx="1008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7</col>
      <colOff>0</colOff>
      <row>4</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1F3B63"/>
    <outlinePr summaryBelow="1" summaryRight="1"/>
    <pageSetUpPr/>
  </sheetPr>
  <dimension ref="B2:D19"/>
  <sheetViews>
    <sheetView showGridLines="0" workbookViewId="0">
      <selection activeCell="A1" sqref="A1"/>
    </sheetView>
  </sheetViews>
  <sheetFormatPr baseColWidth="8" defaultRowHeight="15"/>
  <cols>
    <col width="2" customWidth="1" min="1" max="1"/>
    <col width="38" customWidth="1" min="2" max="2"/>
    <col width="2" customWidth="1" min="3" max="3"/>
    <col width="118" customWidth="1" min="4" max="4"/>
  </cols>
  <sheetData>
    <row r="2" ht="26" customHeight="1">
      <c r="B2" s="1" t="inlineStr">
        <is>
          <t>Chile — the current account is not the variable a USD sovereign holder should watch</t>
        </is>
      </c>
    </row>
    <row r="3">
      <c r="B3" s="2" t="inlineStr">
        <is>
          <t>Five charts. Blue cells are hardcoded source inputs; black cells are formulas.</t>
        </is>
      </c>
    </row>
    <row r="6">
      <c r="B6" s="3" t="inlineStr">
        <is>
          <t>The argument</t>
        </is>
      </c>
    </row>
    <row r="7">
      <c r="B7" s="4" t="inlineStr">
        <is>
          <t>1. It is not a trade deficit</t>
        </is>
      </c>
      <c r="D7" s="5" t="inlineStr">
        <is>
          <t>Chile runs a large and growing goods surplus (+US$21.0bn in 2024). The entire current account deficit is the income line — US$17.0bn of profit accruing to foreign owners of Chilean assets, mostly copper mines. A goods deficit is a claim on future FX. A profit accrual is a claim on profits that already exist.</t>
        </is>
      </c>
    </row>
    <row r="8">
      <c r="B8" s="4" t="inlineStr">
        <is>
          <t>2. The claim is equity, not debt</t>
        </is>
      </c>
      <c r="D8" s="5" t="inlineStr">
        <is>
          <t>54% of Chile's external liabilities are direct investment equity (US$285.8bn of US$525.0bn). Equity pays only when there are profits, cannot default, and cannot accelerate. It is also the line that falls in dollar terms when the peso falls, because it is booked in pesos on the subsidiaries' balance sheets.</t>
        </is>
      </c>
    </row>
    <row r="9">
      <c r="B9" s="4" t="inlineStr">
        <is>
          <t>3. Much of it never crosses the FX market</t>
        </is>
      </c>
      <c r="D9" s="5" t="inlineStr">
        <is>
          <t>FDI income accrued to foreign investors was US$19.8bn in 2024, but US$12.5bn came straight back in as FDI inflow — largely reinvested earnings. The current account is charged the full accrual; the FX market sees the difference. This is the mirror image of the Argentine case, where the income leak is a cash outflow financed from borrowed reserves.</t>
        </is>
      </c>
    </row>
    <row r="10">
      <c r="B10" s="4" t="inlineStr">
        <is>
          <t>4. The peso is the shock absorber, on the balance sheet</t>
        </is>
      </c>
      <c r="D10" s="5" t="inlineStr">
        <is>
          <t>In 2024 Chile ran a current account deficit — transactions worsened the net IIP by US$7.1bn — and the net IIP still IMPROVED by US$6.3bn, because peso depreciation cut the dollar value of FDI liabilities by US$8.5bn. A weaker currency shrinks Chile's external liability stock. In a dollarised-liability sovereign it does the opposite. That is the whole distinction.</t>
        </is>
      </c>
    </row>
    <row r="11">
      <c r="B11" s="4" t="inlineStr">
        <is>
          <t>5. And on the flow</t>
        </is>
      </c>
      <c r="D11" s="5" t="inlineStr">
        <is>
          <t>The 2022 deficit of US$26.7bn (about 8.7% of GDP) fell to 1.5% of GDP within eight quarters and 1.2% in 2025. Reserves rose over the same period, from US$39.3bn to US$44.4bn. No reserve drain, no capital controls, no policy break. A free float clears the external account at a price.</t>
        </is>
      </c>
    </row>
    <row r="12">
      <c r="B12" s="4" t="inlineStr">
        <is>
          <t>6. What the sovereign actually owes in dollars</t>
        </is>
      </c>
      <c r="D12" s="5" t="inlineStr">
        <is>
          <t>Foreign-currency liabilities were 34.2% of central government gross debt at end-2025, 32.1% after hedges. Amortisations falling due 2026-2030 are 76% in pesos or UF. The sovereign's hard-currency obligation is a minority of a moderate debt stock, and the copper-linked share of fiscal revenue is itself dollar-indexed.</t>
        </is>
      </c>
    </row>
    <row r="13">
      <c r="B13" s="5" t="inlineStr"/>
      <c r="D13" s="5" t="inlineStr"/>
    </row>
    <row r="14">
      <c r="B14" s="3" t="inlineStr">
        <is>
          <t>Where the argument would break</t>
        </is>
      </c>
    </row>
    <row r="15">
      <c r="B15" s="4" t="inlineStr">
        <is>
          <t>The honest counter</t>
        </is>
      </c>
      <c r="D15" s="5" t="inlineStr">
        <is>
          <t>The current account would matter if the financing mix shifted from FDI equity to external debt, if the income deficit turned into cash remittances rather than reinvestment, or if the float stopped being credible. Watch the FDI share of the financial account and the reinvested-earnings share of FDI income, not the headline current account number.</t>
        </is>
      </c>
    </row>
    <row r="16">
      <c r="B16" s="5" t="inlineStr"/>
      <c r="D16" s="5" t="inlineStr"/>
    </row>
    <row r="17">
      <c r="B17" s="3" t="inlineStr">
        <is>
          <t>Sources</t>
        </is>
      </c>
    </row>
    <row r="18">
      <c r="B18" s="4" t="inlineStr">
        <is>
          <t>Balance of payments, IIP, external debt</t>
        </is>
      </c>
      <c r="D18" s="5" t="inlineStr">
        <is>
          <t>Banco Central de Chile, 'Balanza de Pagos, Posicion de Inversion Internacional y Deuda Externa', Anuario 2024; quarterly releases Q1 and Q2 2025; Cuentas Nacionales year 2025 (published 18-Mar-2026).</t>
        </is>
      </c>
    </row>
    <row r="19">
      <c r="B19" s="4" t="inlineStr">
        <is>
          <t>Government debt currency mix</t>
        </is>
      </c>
      <c r="D19" s="5" t="inlineStr">
        <is>
          <t>Ministerio de Hacienda / Dipres, 'Informe de Estadisticas de la Deuda Publica', Dec-2025 and Mar-2026 editions.</t>
        </is>
      </c>
    </row>
  </sheetData>
  <pageMargins left="0.75" right="0.75" top="1" bottom="1" header="0.5" footer="0.5"/>
</worksheet>
</file>

<file path=xl/worksheets/sheet2.xml><?xml version="1.0" encoding="utf-8"?>
<worksheet xmlns="http://schemas.openxmlformats.org/spreadsheetml/2006/main">
  <sheetPr>
    <tabColor rgb="001F3B63"/>
    <outlinePr summaryBelow="1" summaryRight="1"/>
    <pageSetUpPr/>
  </sheetPr>
  <dimension ref="B2:H15"/>
  <sheetViews>
    <sheetView showGridLines="0" workbookViewId="0">
      <selection activeCell="A1" sqref="A1"/>
    </sheetView>
  </sheetViews>
  <sheetFormatPr baseColWidth="8" defaultRowHeight="15"/>
  <cols>
    <col width="2" customWidth="1" min="1" max="1"/>
    <col width="10" customWidth="1" min="2" max="2"/>
    <col width="12" customWidth="1" min="3" max="3"/>
    <col width="12" customWidth="1" min="4" max="4"/>
    <col width="14" customWidth="1" min="5" max="5"/>
    <col width="12" customWidth="1" min="6" max="6"/>
    <col width="13" customWidth="1" min="7" max="7"/>
    <col width="14" customWidth="1" min="8" max="8"/>
  </cols>
  <sheetData>
    <row r="2" ht="26" customHeight="1">
      <c r="B2" s="1" t="inlineStr">
        <is>
          <t>There is no trade deficit — there is a profit accrual</t>
        </is>
      </c>
    </row>
    <row r="3">
      <c r="B3" s="2" t="inlineStr">
        <is>
          <t>Current account by component, US$ millions. The goods surplus is large and rising; the deficit is the income paid to the foreign owners of the capital stock.</t>
        </is>
      </c>
    </row>
    <row r="6" ht="30" customHeight="1">
      <c r="B6" s="6" t="inlineStr">
        <is>
          <t>Year</t>
        </is>
      </c>
      <c r="C6" s="6" t="inlineStr">
        <is>
          <t>Goods</t>
        </is>
      </c>
      <c r="D6" s="6" t="inlineStr">
        <is>
          <t>Services</t>
        </is>
      </c>
      <c r="E6" s="6" t="inlineStr">
        <is>
          <t>Primary income
(renta)</t>
        </is>
      </c>
      <c r="F6" s="6" t="inlineStr">
        <is>
          <t>Secondary
income</t>
        </is>
      </c>
      <c r="G6" s="6" t="inlineStr">
        <is>
          <t>Current
account</t>
        </is>
      </c>
      <c r="H6" s="6" t="inlineStr">
        <is>
          <t>of which: FDI
income, net</t>
        </is>
      </c>
    </row>
    <row r="7">
      <c r="B7" s="4" t="inlineStr">
        <is>
          <t>2022</t>
        </is>
      </c>
      <c r="C7" s="7" t="n">
        <v>3570</v>
      </c>
      <c r="D7" s="7" t="n">
        <v>-15460</v>
      </c>
      <c r="E7" s="7" t="n">
        <v>-14677</v>
      </c>
      <c r="F7" s="7" t="n">
        <v>-90</v>
      </c>
      <c r="G7" s="8" t="n">
        <v>-26656</v>
      </c>
    </row>
    <row r="8">
      <c r="B8" s="4" t="inlineStr">
        <is>
          <t>2023</t>
        </is>
      </c>
      <c r="C8" s="7" t="n">
        <v>13809</v>
      </c>
      <c r="D8" s="7" t="n">
        <v>-10635</v>
      </c>
      <c r="E8" s="7" t="n">
        <v>-14408</v>
      </c>
      <c r="F8" s="7" t="n">
        <v>737</v>
      </c>
      <c r="G8" s="8" t="n">
        <v>-10497</v>
      </c>
    </row>
    <row r="9">
      <c r="B9" s="4" t="inlineStr">
        <is>
          <t>2024</t>
        </is>
      </c>
      <c r="C9" s="7" t="n">
        <v>21033</v>
      </c>
      <c r="D9" s="7" t="n">
        <v>-9149</v>
      </c>
      <c r="E9" s="7" t="n">
        <v>-17000</v>
      </c>
      <c r="F9" s="7" t="n">
        <v>264</v>
      </c>
      <c r="G9" s="8" t="n">
        <v>-4853</v>
      </c>
      <c r="H9" s="7" t="n">
        <v>-13851</v>
      </c>
    </row>
    <row r="10">
      <c r="B10" s="4" t="inlineStr">
        <is>
          <t>2025</t>
        </is>
      </c>
      <c r="G10" s="8" t="n">
        <v>-4349</v>
      </c>
    </row>
    <row r="12">
      <c r="B12" s="4" t="inlineStr">
        <is>
          <t>Check: components sum to the total</t>
        </is>
      </c>
      <c r="C12" s="9">
        <f>SUM(C7:F7)-G7</f>
        <v/>
      </c>
      <c r="D12" s="9">
        <f>SUM(C8:F8)-G8</f>
        <v/>
      </c>
      <c r="E12" s="9">
        <f>SUM(C9:F9)-G9</f>
        <v/>
      </c>
    </row>
    <row r="14">
      <c r="B14" s="10" t="inlineStr">
        <is>
          <t>2025 components are not yet in the annual yearbook; the total is from the Cuentas Nacionales release of March 2026 (US$4,349mn, 1.2% of GDP). 2022 and 2023 are the revised vintages published in the 2024 yearbook.</t>
        </is>
      </c>
    </row>
    <row r="15">
      <c r="B15" s="10" t="inlineStr">
        <is>
          <t>The 2022 blowout was a services shock, not a trade shock: freight costs peaked at US$350 per imported tonne against a US$100-130 historical range, and the services deficit hit US$15.5bn. It has since halved. Source: Banco Central de Chile, Anuario Balanza de Pagos 2024.</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F3B63"/>
    <outlinePr summaryBelow="1" summaryRight="1"/>
    <pageSetUpPr/>
  </sheetPr>
  <dimension ref="B2:E26"/>
  <sheetViews>
    <sheetView showGridLines="0" workbookViewId="0">
      <selection activeCell="A1" sqref="A1"/>
    </sheetView>
  </sheetViews>
  <sheetFormatPr baseColWidth="8" defaultRowHeight="15"/>
  <cols>
    <col width="2" customWidth="1" min="1" max="1"/>
    <col width="30" customWidth="1" min="2" max="2"/>
    <col width="14" customWidth="1" min="3" max="3"/>
    <col width="12" customWidth="1" min="4" max="4"/>
    <col width="52" customWidth="1" min="5" max="5"/>
  </cols>
  <sheetData>
    <row r="2" ht="26" customHeight="1">
      <c r="B2" s="1" t="inlineStr">
        <is>
          <t>Most of what Chile owes the world is equity</t>
        </is>
      </c>
    </row>
    <row r="3">
      <c r="B3" s="2" t="inlineStr">
        <is>
          <t>International investment position, liabilities by instrument, December 2024, US$ millions. Equity cannot default, cannot accelerate, and revalues down when the peso falls.</t>
        </is>
      </c>
    </row>
    <row r="6" ht="28" customHeight="1">
      <c r="B6" s="6" t="inlineStr">
        <is>
          <t>Instrument</t>
        </is>
      </c>
      <c r="C6" s="6" t="inlineStr">
        <is>
          <t>US$ mn</t>
        </is>
      </c>
      <c r="D6" s="6" t="inlineStr">
        <is>
          <t>Share of
liabilities</t>
        </is>
      </c>
    </row>
    <row r="7">
      <c r="B7" s="5" t="inlineStr">
        <is>
          <t>Direct investment (equity + related debt)</t>
        </is>
      </c>
      <c r="C7" s="7" t="n">
        <v>285790</v>
      </c>
      <c r="D7" s="11">
        <f>C7/$C$11</f>
        <v/>
      </c>
    </row>
    <row r="8">
      <c r="B8" s="5" t="inlineStr">
        <is>
          <t>Portfolio investment</t>
        </is>
      </c>
      <c r="C8" s="7" t="n">
        <v>132982</v>
      </c>
      <c r="D8" s="11">
        <f>C8/$C$11</f>
        <v/>
      </c>
    </row>
    <row r="9">
      <c r="B9" s="5" t="inlineStr">
        <is>
          <t>Other investment (loans, deposits, trade credit)</t>
        </is>
      </c>
      <c r="C9" s="7" t="n">
        <v>79980</v>
      </c>
      <c r="D9" s="11">
        <f>C9/$C$11</f>
        <v/>
      </c>
    </row>
    <row r="10">
      <c r="B10" s="5" t="inlineStr">
        <is>
          <t>Financial derivatives</t>
        </is>
      </c>
      <c r="C10" s="7" t="n">
        <v>26198</v>
      </c>
      <c r="D10" s="11">
        <f>C10/$C$11</f>
        <v/>
      </c>
    </row>
    <row r="11">
      <c r="B11" s="4" t="inlineStr">
        <is>
          <t>Total external liabilities</t>
        </is>
      </c>
      <c r="C11" s="12">
        <f>SUM(C7:C10)</f>
        <v/>
      </c>
      <c r="D11" s="13">
        <f>C11/$C$11</f>
        <v/>
      </c>
    </row>
    <row r="14">
      <c r="B14" s="3" t="inlineStr">
        <is>
          <t>Memo — the debt part, and who owes it</t>
        </is>
      </c>
    </row>
    <row r="15">
      <c r="B15" s="14" t="inlineStr">
        <is>
          <t>Line</t>
        </is>
      </c>
      <c r="C15" s="14" t="inlineStr">
        <is>
          <t>US$ mn</t>
        </is>
      </c>
      <c r="E15" s="14" t="inlineStr">
        <is>
          <t>Note</t>
        </is>
      </c>
    </row>
    <row r="16">
      <c r="B16" s="4" t="inlineStr">
        <is>
          <t>External debt, total</t>
        </is>
      </c>
      <c r="C16" s="7" t="n">
        <v>244965</v>
      </c>
      <c r="E16" s="10" t="inlineStr">
        <is>
          <t>78.0% of GDP</t>
        </is>
      </c>
    </row>
    <row r="17">
      <c r="B17" s="5" t="inlineStr">
        <is>
          <t xml:space="preserve">  of which public sector</t>
        </is>
      </c>
      <c r="C17" s="7" t="n">
        <v>81695</v>
      </c>
      <c r="E17" s="10" t="inlineStr">
        <is>
          <t>includes central bank and public enterprises</t>
        </is>
      </c>
    </row>
    <row r="18">
      <c r="B18" s="5" t="inlineStr">
        <is>
          <t xml:space="preserve">  of which private sector</t>
        </is>
      </c>
      <c r="C18" s="7" t="n">
        <v>163270</v>
      </c>
      <c r="E18" s="10" t="inlineStr"/>
    </row>
    <row r="19">
      <c r="B19" s="4" t="inlineStr">
        <is>
          <t>External assets, total</t>
        </is>
      </c>
      <c r="C19" s="7" t="n">
        <v>468325</v>
      </c>
      <c r="E19" s="10" t="inlineStr">
        <is>
          <t>against US$525.0bn of liabilities</t>
        </is>
      </c>
    </row>
    <row r="20">
      <c r="B20" s="5" t="inlineStr">
        <is>
          <t xml:space="preserve">  of which pension funds</t>
        </is>
      </c>
      <c r="C20" s="7" t="n">
        <v>97795</v>
      </c>
      <c r="E20" s="10" t="inlineStr">
        <is>
          <t>2023 figure; the largest single external asset pool</t>
        </is>
      </c>
    </row>
    <row r="21">
      <c r="B21" s="5" t="inlineStr">
        <is>
          <t xml:space="preserve">  of which central bank reserves</t>
        </is>
      </c>
      <c r="C21" s="7" t="n">
        <v>44421</v>
      </c>
      <c r="E21" s="10" t="inlineStr">
        <is>
          <t>end-2024</t>
        </is>
      </c>
    </row>
    <row r="22">
      <c r="B22" s="4" t="inlineStr">
        <is>
          <t>Net international investment position</t>
        </is>
      </c>
      <c r="C22" s="7" t="n">
        <v>-56625</v>
      </c>
      <c r="E22" s="10" t="inlineStr">
        <is>
          <t>-18.0% of GDP</t>
        </is>
      </c>
    </row>
    <row r="25">
      <c r="B25" s="10" t="inlineStr">
        <is>
          <t>Source: Banco Central de Chile, Anuario Balanza de Pagos 2024, tables 1 and 2. External debt by currency: 82.4% US dollars, 7.0% euros, 6.0% Chilean pesos.</t>
        </is>
      </c>
    </row>
    <row r="26">
      <c r="B26" s="10" t="inlineStr">
        <is>
          <t>The point for a dollar bondholder: a net IIP of -18% of GDP, more than half of it in equity form, on an economy whose residents hold US$468bn of external assets. The country is not short dollars in any structural sense; the deficit is a distribution of profits, not a funding gap.</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1F3B63"/>
    <outlinePr summaryBelow="1" summaryRight="1"/>
    <pageSetUpPr/>
  </sheetPr>
  <dimension ref="B2:D17"/>
  <sheetViews>
    <sheetView showGridLines="0" workbookViewId="0">
      <selection activeCell="A1" sqref="A1"/>
    </sheetView>
  </sheetViews>
  <sheetFormatPr baseColWidth="8" defaultRowHeight="15"/>
  <cols>
    <col width="2" customWidth="1" min="1" max="1"/>
    <col width="26" customWidth="1" min="2" max="2"/>
    <col width="15" customWidth="1" min="3" max="3"/>
    <col width="16" customWidth="1" min="4" max="4"/>
  </cols>
  <sheetData>
    <row r="2" ht="26" customHeight="1">
      <c r="B2" s="1" t="inlineStr">
        <is>
          <t>The peso is the buffer: a deficit year in which the external position improved</t>
        </is>
      </c>
    </row>
    <row r="3">
      <c r="B3" s="2" t="inlineStr">
        <is>
          <t>Change in the net international investment position during 2024, US$ millions. Transactions are the current account deficit. Everything else is revaluation.</t>
        </is>
      </c>
    </row>
    <row r="6" ht="28" customHeight="1">
      <c r="B6" s="6" t="inlineStr">
        <is>
          <t>Component</t>
        </is>
      </c>
      <c r="C6" s="6" t="inlineStr">
        <is>
          <t>Total net IIP</t>
        </is>
      </c>
      <c r="D6" s="6" t="inlineStr">
        <is>
          <t>of which: direct
investment</t>
        </is>
      </c>
    </row>
    <row r="7">
      <c r="B7" s="4" t="inlineStr">
        <is>
          <t>Opening position, Dec-2023</t>
        </is>
      </c>
      <c r="C7" s="7" t="n">
        <v>-62927</v>
      </c>
      <c r="D7" s="7" t="n">
        <v>-122617</v>
      </c>
    </row>
    <row r="8">
      <c r="B8" s="5" t="inlineStr">
        <is>
          <t>Transactions (the CA deficit)</t>
        </is>
      </c>
      <c r="C8" s="7" t="n">
        <v>-7104</v>
      </c>
      <c r="D8" s="7" t="n">
        <v>-8930</v>
      </c>
    </row>
    <row r="9">
      <c r="B9" s="5" t="inlineStr">
        <is>
          <t>Price revaluation</t>
        </is>
      </c>
      <c r="C9" s="7" t="n">
        <v>4686</v>
      </c>
      <c r="D9" s="7" t="n">
        <v>-1288</v>
      </c>
    </row>
    <row r="10">
      <c r="B10" s="5" t="inlineStr">
        <is>
          <t>Exchange rate revaluation</t>
        </is>
      </c>
      <c r="C10" s="7" t="n">
        <v>8333</v>
      </c>
      <c r="D10" s="7" t="n">
        <v>8489</v>
      </c>
    </row>
    <row r="11">
      <c r="B11" s="5" t="inlineStr">
        <is>
          <t>Other adjustments</t>
        </is>
      </c>
      <c r="C11" s="7" t="n">
        <v>388</v>
      </c>
      <c r="D11" s="7" t="n">
        <v>388</v>
      </c>
    </row>
    <row r="12">
      <c r="B12" s="4" t="inlineStr">
        <is>
          <t>Closing position, Dec-2024</t>
        </is>
      </c>
      <c r="C12" s="12">
        <f>SUM(C7:C11)</f>
        <v/>
      </c>
      <c r="D12" s="12">
        <f>SUM(D7:D11)</f>
        <v/>
      </c>
    </row>
    <row r="13">
      <c r="B13" s="4" t="inlineStr">
        <is>
          <t>Net change over the year</t>
        </is>
      </c>
      <c r="C13" s="12">
        <f>C12-C7</f>
        <v/>
      </c>
      <c r="D13" s="12">
        <f>D12-D7</f>
        <v/>
      </c>
    </row>
    <row r="15">
      <c r="B15" s="10" t="inlineStr">
        <is>
          <t>Read the second row against the fourth. The current account deficit added US$7.1bn to Chile's net external liabilities. Peso depreciation subtracted US$8.3bn from them — US$8.5bn of that on direct investment alone, because foreign-owned subsidiaries carry their equity in pesos. The net position ended the year US$6.3bn BETTER despite a full year of current account deficits.</t>
        </is>
      </c>
    </row>
    <row r="16">
      <c r="B16" s="10" t="inlineStr">
        <is>
          <t>This is the mechanical reason current account deficits do not compound into external vulnerability in Chile, and the reason a peso sell-off is not a solvency event for the sovereign's dollar debt. The liability stock is denominated in the currency that is falling.</t>
        </is>
      </c>
    </row>
    <row r="17">
      <c r="B17" s="10" t="inlineStr">
        <is>
          <t>Source: Banco Central de Chile, Anuario Balanza de Pagos 2024, table 2.</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3B63"/>
    <outlinePr summaryBelow="1" summaryRight="1"/>
    <pageSetUpPr/>
  </sheetPr>
  <dimension ref="B2:D22"/>
  <sheetViews>
    <sheetView showGridLines="0" workbookViewId="0">
      <selection activeCell="A1" sqref="A1"/>
    </sheetView>
  </sheetViews>
  <sheetFormatPr baseColWidth="8" defaultRowHeight="15"/>
  <cols>
    <col width="2" customWidth="1" min="1" max="1"/>
    <col width="11" customWidth="1" min="2" max="2"/>
    <col width="12" customWidth="1" min="3" max="3"/>
    <col width="13" customWidth="1" min="4" max="4"/>
  </cols>
  <sheetData>
    <row r="2" ht="26" customHeight="1">
      <c r="B2" s="1" t="inlineStr">
        <is>
          <t>An 8.7% deficit cleared in eight quarters, and reserves went up</t>
        </is>
      </c>
    </row>
    <row r="3">
      <c r="B3" s="2" t="inlineStr">
        <is>
          <t>Current account, rolling four quarters, % of GDP; and the stock of international reserves, US$ millions.</t>
        </is>
      </c>
    </row>
    <row r="6" ht="28" customHeight="1">
      <c r="B6" s="6" t="inlineStr">
        <is>
          <t>Quarter</t>
        </is>
      </c>
      <c r="C6" s="6" t="inlineStr">
        <is>
          <t>CA, 12m
% of GDP</t>
        </is>
      </c>
      <c r="D6" s="6" t="inlineStr">
        <is>
          <t>Reserves,
US$ mn</t>
        </is>
      </c>
    </row>
    <row r="7">
      <c r="B7" s="4" t="inlineStr">
        <is>
          <t>1Q 2023</t>
        </is>
      </c>
      <c r="C7" s="15" t="n">
        <v>-0.068</v>
      </c>
      <c r="D7" s="7" t="n">
        <v>39304</v>
      </c>
    </row>
    <row r="8">
      <c r="B8" s="4" t="inlineStr">
        <is>
          <t>2Q 2023</t>
        </is>
      </c>
      <c r="C8" s="15" t="n">
        <v>-0.049</v>
      </c>
      <c r="D8" s="7" t="n">
        <v>39497</v>
      </c>
    </row>
    <row r="9">
      <c r="B9" s="4" t="inlineStr">
        <is>
          <t>3Q 2023</t>
        </is>
      </c>
      <c r="C9" s="15" t="n">
        <v>-0.04</v>
      </c>
      <c r="D9" s="7" t="n">
        <v>41402</v>
      </c>
    </row>
    <row r="10">
      <c r="B10" s="4" t="inlineStr">
        <is>
          <t>4Q 2023</t>
        </is>
      </c>
      <c r="C10" s="15" t="n">
        <v>-0.032</v>
      </c>
      <c r="D10" s="7" t="n">
        <v>46353</v>
      </c>
    </row>
    <row r="11">
      <c r="B11" s="4" t="inlineStr">
        <is>
          <t>1Q 2024</t>
        </is>
      </c>
      <c r="C11" s="15" t="n">
        <v>-0.03</v>
      </c>
      <c r="D11" s="7" t="n">
        <v>45716</v>
      </c>
    </row>
    <row r="12">
      <c r="B12" s="4" t="inlineStr">
        <is>
          <t>2Q 2024</t>
        </is>
      </c>
      <c r="C12" s="15" t="n">
        <v>-0.027</v>
      </c>
      <c r="D12" s="7" t="n">
        <v>44063</v>
      </c>
    </row>
    <row r="13">
      <c r="B13" s="4" t="inlineStr">
        <is>
          <t>3Q 2024</t>
        </is>
      </c>
      <c r="C13" s="15" t="n">
        <v>-0.017</v>
      </c>
      <c r="D13" s="7" t="n">
        <v>45629</v>
      </c>
    </row>
    <row r="14">
      <c r="B14" s="4" t="inlineStr">
        <is>
          <t>4Q 2024</t>
        </is>
      </c>
      <c r="C14" s="15" t="n">
        <v>-0.015</v>
      </c>
      <c r="D14" s="7" t="n">
        <v>44421</v>
      </c>
    </row>
    <row r="15">
      <c r="B15" s="4" t="inlineStr">
        <is>
          <t>1Q 2025</t>
        </is>
      </c>
      <c r="C15" s="15" t="n">
        <v>-0.016</v>
      </c>
    </row>
    <row r="16">
      <c r="B16" s="4" t="inlineStr">
        <is>
          <t>2Q 2025</t>
        </is>
      </c>
      <c r="C16" s="15" t="n">
        <v>-0.022</v>
      </c>
    </row>
    <row r="17">
      <c r="B17" s="4" t="inlineStr">
        <is>
          <t>4Q 2025</t>
        </is>
      </c>
      <c r="C17" s="15" t="n">
        <v>-0.012</v>
      </c>
    </row>
    <row r="18">
      <c r="B18" s="4" t="inlineStr">
        <is>
          <t>1Q 2026</t>
        </is>
      </c>
      <c r="C18" s="15" t="n">
        <v>-0.019</v>
      </c>
    </row>
    <row r="20">
      <c r="B20" s="10" t="inlineStr">
        <is>
          <t>Starting point: the 2022 deficit was US$26,656mn, about 8.7% of GDP — the widest since the early 1980s. By 4Q-2024 it was 1.5% of GDP and the 2025 full year came in at 1.2% (US$4,349mn). Over the whole adjustment reserves ROSE, from US$39.3bn to US$44.4bn. There was no intervention programme forcing the correction and no reserve loss financing it: the real exchange rate did the work, compressing imports and outbound tourism while the goods surplus tripled from US$3.6bn to US$21.0bn.</t>
        </is>
      </c>
    </row>
    <row r="21">
      <c r="B21" s="10" t="inlineStr">
        <is>
          <t>4Q-2025 shown is the full-year 2025 figure from the Cuentas Nacionales release; 1Q-2026 is external saving of 1.9% of GDP on the same definition. Reserves after 4Q-2024 not carried here — extend from the BCCh series.</t>
        </is>
      </c>
    </row>
    <row r="22">
      <c r="B22" s="10" t="inlineStr">
        <is>
          <t>Sources: Banco Central de Chile, Anuario Balanza de Pagos 2024 (quarterly 12-month ratios and reserve stocks); quarterly BoP releases 1Q and 2Q 2025; Cuentas Nacionales cuarto trimestre 2025.</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3B63"/>
    <outlinePr summaryBelow="1" summaryRight="1"/>
    <pageSetUpPr/>
  </sheetPr>
  <dimension ref="B2:E16"/>
  <sheetViews>
    <sheetView showGridLines="0" workbookViewId="0">
      <selection activeCell="A1" sqref="A1"/>
    </sheetView>
  </sheetViews>
  <sheetFormatPr baseColWidth="8" defaultRowHeight="15"/>
  <cols>
    <col width="2" customWidth="1" min="1" max="1"/>
    <col width="34" customWidth="1" min="2" max="2"/>
    <col width="12" customWidth="1" min="3" max="3"/>
    <col width="56" customWidth="1" min="5" max="5"/>
  </cols>
  <sheetData>
    <row r="2" ht="26" customHeight="1">
      <c r="B2" s="1" t="inlineStr">
        <is>
          <t>The sovereign's dollar obligation is a minority of a moderate debt stock</t>
        </is>
      </c>
    </row>
    <row r="3">
      <c r="B3" s="2" t="inlineStr">
        <is>
          <t>Central government gross debt by currency, and the currency split of scheduled amortisations.</t>
        </is>
      </c>
    </row>
    <row r="6">
      <c r="B6" s="14" t="inlineStr">
        <is>
          <t>Measure</t>
        </is>
      </c>
      <c r="C6" s="14" t="inlineStr">
        <is>
          <t>Share</t>
        </is>
      </c>
      <c r="E6" s="14" t="inlineStr">
        <is>
          <t>Note</t>
        </is>
      </c>
    </row>
    <row r="7">
      <c r="B7" s="4" t="inlineStr">
        <is>
          <t>FX-denominated, gross</t>
        </is>
      </c>
      <c r="C7" s="15" t="n">
        <v>0.342</v>
      </c>
      <c r="E7" s="10" t="inlineStr">
        <is>
          <t>End-2025, share of central government gross debt</t>
        </is>
      </c>
    </row>
    <row r="8">
      <c r="B8" s="4" t="inlineStr">
        <is>
          <t>FX-denominated, after hedges</t>
        </is>
      </c>
      <c r="C8" s="15" t="n">
        <v>0.321</v>
      </c>
      <c r="E8" s="10" t="inlineStr">
        <is>
          <t>Same date, net of contracted currency hedges</t>
        </is>
      </c>
    </row>
    <row r="9">
      <c r="B9" s="4" t="inlineStr">
        <is>
          <t>Local currency (CLP + UF)</t>
        </is>
      </c>
      <c r="C9" s="15" t="n">
        <v>0.658</v>
      </c>
      <c r="E9" s="10" t="inlineStr">
        <is>
          <t>Complement of the gross figure</t>
        </is>
      </c>
    </row>
    <row r="10">
      <c r="B10" s="4" t="inlineStr">
        <is>
          <t>Amortisations 2026-30: local currency</t>
        </is>
      </c>
      <c r="C10" s="15" t="n">
        <v>0.76</v>
      </c>
      <c r="E10" s="10" t="inlineStr">
        <is>
          <t>Average share of scheduled amortisations</t>
        </is>
      </c>
    </row>
    <row r="11">
      <c r="B11" s="4" t="inlineStr">
        <is>
          <t>Amortisations 2026-30: FX</t>
        </is>
      </c>
      <c r="C11" s="15" t="n">
        <v>0.24</v>
      </c>
      <c r="E11" s="10" t="inlineStr"/>
    </row>
    <row r="12">
      <c r="B12" s="4" t="inlineStr">
        <is>
          <t>Amortisations post-2030: local currency</t>
        </is>
      </c>
      <c r="C12" s="15" t="n">
        <v>0.588</v>
      </c>
      <c r="E12" s="10" t="inlineStr">
        <is>
          <t>29.0% UF-indexed plus 29.8% nominal pesos</t>
        </is>
      </c>
    </row>
    <row r="13">
      <c r="B13" s="4" t="inlineStr">
        <is>
          <t>Amortisations post-2030: FX</t>
        </is>
      </c>
      <c r="C13" s="15" t="n">
        <v>0.412</v>
      </c>
      <c r="E13" s="10" t="inlineStr"/>
    </row>
    <row r="15">
      <c r="B15" s="10" t="inlineStr">
        <is>
          <t>Source: Ministerio de Hacienda, Informe de Estadisticas de la Deuda Publica, December 2025 and March 2026 editions.</t>
        </is>
      </c>
    </row>
    <row r="16">
      <c r="B16" s="10" t="inlineStr">
        <is>
          <t>Put the pieces together. Two thirds of the sovereign's debt is in its own currency. Three quarters of what it must repay over the next five years is in its own currency. The dollar quarter is serviced out of a fiscal revenue base whose copper component is itself dollar-linked, sitting behind US$44bn of reserves and a goods surplus of US$21bn. The current account deficit is a measure of how profitable foreign-owned Chilean assets are. It is not a measure of the sovereign's capacity to pay dollars.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2026-08-14T13:15:17Z</dcterms:created>
  <dcterms:modified xmlns:dcterms="http://purl.org/dc/terms/" xmlns:xsi="http://www.w3.org/2001/XMLSchema-instance" xsi:type="dcterms:W3CDTF">2026-08-14T13:15:17Z</dcterms:modified>
</cp:coreProperties>
</file>