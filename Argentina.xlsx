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onthly" sheetId="2" state="visible" r:id="rId2"/>
    <sheet xmlns:r="http://schemas.openxmlformats.org/officeDocument/2006/relationships" name="Quarterly" sheetId="3" state="visible" r:id="rId3"/>
    <sheet xmlns:r="http://schemas.openxmlformats.org/officeDocument/2006/relationships" name="Annual" sheetId="4" state="visible" r:id="rId4"/>
    <sheet xmlns:r="http://schemas.openxmlformats.org/officeDocument/2006/relationships" name="Credit" sheetId="5" state="visible" r:id="rId5"/>
    <sheet xmlns:r="http://schemas.openxmlformats.org/officeDocument/2006/relationships" name="Markets" sheetId="6" state="visible" r:id="rId6"/>
    <sheet xmlns:r="http://schemas.openxmlformats.org/officeDocument/2006/relationships" name="Tickers" sheetId="7" state="visible" r:id="rId7"/>
  </sheets>
  <definedNames>
    <definedName name="_xlnm._FilterDatabase" localSheetId="6" hidden="1">'Tickers'!$A$1:$F$28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9"/>
      <sz val="18"/>
    </font>
    <font>
      <name val="Calibri"/>
      <i val="1"/>
      <color rgb="00595959"/>
      <sz val="10"/>
    </font>
    <font>
      <name val="Calibri"/>
      <b val="1"/>
      <sz val="12"/>
    </font>
    <font>
      <name val="Calibri"/>
      <sz val="10"/>
    </font>
    <font>
      <name val="Calibri"/>
      <b val="1"/>
      <color rgb="001F4E79"/>
      <sz val="16"/>
    </font>
    <font>
      <name val="Calibri"/>
      <b val="1"/>
      <color rgb="00FFFFFF"/>
      <sz val="11"/>
    </font>
  </fonts>
  <fills count="4">
    <fill>
      <patternFill/>
    </fill>
    <fill>
      <patternFill patternType="gray125"/>
    </fill>
    <fill>
      <patternFill patternType="solid">
        <fgColor rgb="00D9E1F2"/>
      </patternFill>
    </fill>
    <fill>
      <patternFill patternType="solid">
        <fgColor rgb="001F4E79"/>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0" pivotButton="0" quotePrefix="0" xfId="0"/>
    <xf numFmtId="0" fontId="4" fillId="0" borderId="0" applyAlignment="1" pivotButton="0" quotePrefix="0" xfId="0">
      <alignment vertical="top" wrapText="1"/>
    </xf>
    <xf numFmtId="0" fontId="5" fillId="0" borderId="0" applyAlignment="1" pivotButton="0" quotePrefix="0" xfId="0">
      <alignment vertical="center"/>
    </xf>
    <xf numFmtId="0" fontId="6"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CPI national YoY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'Monthly'!$A$5:$A$255</f>
            </numRef>
          </cat>
          <val>
            <numRef>
              <f>'Monthly'!$B$5:$B$255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CPI national MoM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'Monthly'!$D$5:$D$255</f>
            </numRef>
          </cat>
          <val>
            <numRef>
              <f>'Monthly'!$E$5:$E$255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CPI core YoY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'Monthly'!$G$5:$G$255</f>
            </numRef>
          </cat>
          <val>
            <numRef>
              <f>'Monthly'!$H$5:$H$255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EMAE activity YoY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'Monthly'!$J$5:$J$255</f>
            </numRef>
          </cat>
          <val>
            <numRef>
              <f>'Monthly'!$K$5:$K$255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Industrial prod IPI YoY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'Monthly'!$M$5:$M$255</f>
            </numRef>
          </cat>
          <val>
            <numRef>
              <f>'Monthly'!$N$5:$N$255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a:pPr>
            <a:r>
              <a:t>BCRA reserves (USD bn)</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'Monthly'!$P$5:$P$255</f>
            </numRef>
          </cat>
          <val>
            <numRef>
              <f>'Monthly'!$Q$5:$Q$255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 sourceLinked="0"/>
        <majorTickMark val="none"/>
        <minorTickMark val="none"/>
        <crossAx val="10"/>
      </valAx>
    </plotArea>
    <plotVisOnly val="1"/>
    <dispBlanksAs val="gap"/>
  </chart>
</chartSpace>
</file>

<file path=xl/charts/chart7.xml><?xml version="1.0" encoding="utf-8"?>
<chartSpace xmlns="http://schemas.openxmlformats.org/drawingml/2006/chart">
  <style val="2"/>
  <chart>
    <title>
      <tx>
        <rich>
          <a:bodyPr xmlns:a="http://schemas.openxmlformats.org/drawingml/2006/main"/>
          <a:p xmlns:a="http://schemas.openxmlformats.org/drawingml/2006/main">
            <a:pPr>
              <a:defRPr/>
            </a:pPr>
            <a:r>
              <a:t>Trade balance (USD mn)</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'Monthly'!$S$5:$S$255</f>
            </numRef>
          </cat>
          <val>
            <numRef>
              <f>'Monthly'!$T$5:$T$255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 sourceLinked="0"/>
        <majorTickMark val="none"/>
        <minorTickMark val="none"/>
        <crossAx val="10"/>
      </valAx>
    </plotArea>
    <plotVisOnly val="1"/>
    <dispBlanksAs val="gap"/>
  </chart>
</chartSpace>
</file>

<file path=xl/charts/chart8.xml><?xml version="1.0" encoding="utf-8"?>
<chartSpace xmlns="http://schemas.openxmlformats.org/drawingml/2006/chart">
  <style val="2"/>
  <chart>
    <title>
      <tx>
        <rich>
          <a:bodyPr xmlns:a="http://schemas.openxmlformats.org/drawingml/2006/main"/>
          <a:p xmlns:a="http://schemas.openxmlformats.org/drawingml/2006/main">
            <a:pPr>
              <a:defRPr/>
            </a:pPr>
            <a:r>
              <a:t>Policy rate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'Monthly'!$V$5:$V$255</f>
            </numRef>
          </cat>
          <val>
            <numRef>
              <f>'Monthly'!$W$5:$W$255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9.xml><?xml version="1.0" encoding="utf-8"?>
<chartSpace xmlns="http://schemas.openxmlformats.org/drawingml/2006/chart">
  <style val="2"/>
  <chart>
    <title>
      <tx>
        <rich>
          <a:bodyPr xmlns:a="http://schemas.openxmlformats.org/drawingml/2006/main"/>
          <a:p xmlns:a="http://schemas.openxmlformats.org/drawingml/2006/main">
            <a:pPr>
              <a:defRPr/>
            </a:pPr>
            <a:r>
              <a:t>Tesoro primary balance</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'Monthly'!$Y$5:$Y$255</f>
            </numRef>
          </cat>
          <val>
            <numRef>
              <f>'Monthly'!$Z$5:$Z$255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 sourceLinked="0"/>
        <majorTickMark val="none"/>
        <minorTickMark val="none"/>
        <crossAx val="10"/>
      </valAx>
    </plotArea>
    <plotVisOnly val="1"/>
    <dispBlanksAs val="gap"/>
  </chart>
</chartSpace>
</file>

<file path=xl/charts/chart10.xml><?xml version="1.0" encoding="utf-8"?>
<chartSpace xmlns="http://schemas.openxmlformats.org/drawingml/2006/chart">
  <style val="2"/>
  <chart>
    <title>
      <tx>
        <rich>
          <a:bodyPr xmlns:a="http://schemas.openxmlformats.org/drawingml/2006/main"/>
          <a:p xmlns:a="http://schemas.openxmlformats.org/drawingml/2006/main">
            <a:pPr>
              <a:defRPr/>
            </a:pPr>
            <a:r>
              <a:t>Real GDP YoY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'Quarterly'!$A$5:$A$95</f>
            </numRef>
          </cat>
          <val>
            <numRef>
              <f>'Quarterly'!$B$5:$B$95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11.xml><?xml version="1.0" encoding="utf-8"?>
<chartSpace xmlns="http://schemas.openxmlformats.org/drawingml/2006/chart">
  <style val="2"/>
  <chart>
    <title>
      <tx>
        <rich>
          <a:bodyPr xmlns:a="http://schemas.openxmlformats.org/drawingml/2006/main"/>
          <a:p xmlns:a="http://schemas.openxmlformats.org/drawingml/2006/main">
            <a:pPr>
              <a:defRPr/>
            </a:pPr>
            <a:r>
              <a:t>GDP QoQ saar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'Quarterly'!$D$5:$D$95</f>
            </numRef>
          </cat>
          <val>
            <numRef>
              <f>'Quarterly'!$E$5:$E$95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12.xml><?xml version="1.0" encoding="utf-8"?>
<chartSpace xmlns="http://schemas.openxmlformats.org/drawingml/2006/chart">
  <style val="2"/>
  <chart>
    <title>
      <tx>
        <rich>
          <a:bodyPr xmlns:a="http://schemas.openxmlformats.org/drawingml/2006/main"/>
          <a:p xmlns:a="http://schemas.openxmlformats.org/drawingml/2006/main">
            <a:pPr>
              <a:defRPr/>
            </a:pPr>
            <a:r>
              <a:t>Current account % GDP</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'Quarterly'!$G$5:$G$95</f>
            </numRef>
          </cat>
          <val>
            <numRef>
              <f>'Quarterly'!$H$5:$H$95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13.xml><?xml version="1.0" encoding="utf-8"?>
<chartSpace xmlns="http://schemas.openxmlformats.org/drawingml/2006/chart">
  <style val="2"/>
  <chart>
    <title>
      <tx>
        <rich>
          <a:bodyPr xmlns:a="http://schemas.openxmlformats.org/drawingml/2006/main"/>
          <a:p xmlns:a="http://schemas.openxmlformats.org/drawingml/2006/main">
            <a:pPr>
              <a:defRPr/>
            </a:pPr>
            <a:r>
              <a:t>Private consumption YoY</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'Quarterly'!$J$5:$J$95</f>
            </numRef>
          </cat>
          <val>
            <numRef>
              <f>'Quarterly'!$K$5:$K$95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14.xml><?xml version="1.0" encoding="utf-8"?>
<chartSpace xmlns="http://schemas.openxmlformats.org/drawingml/2006/chart">
  <style val="2"/>
  <chart>
    <title>
      <tx>
        <rich>
          <a:bodyPr xmlns:a="http://schemas.openxmlformats.org/drawingml/2006/main"/>
          <a:p xmlns:a="http://schemas.openxmlformats.org/drawingml/2006/main">
            <a:pPr>
              <a:defRPr/>
            </a:pPr>
            <a:r>
              <a:t>GDP per capita USD</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'Annual'!$A$5:$A$40</f>
            </numRef>
          </cat>
          <val>
            <numRef>
              <f>'Annual'!$B$5:$B$40</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 sourceLinked="0"/>
        <majorTickMark val="none"/>
        <minorTickMark val="none"/>
        <crossAx val="10"/>
      </valAx>
    </plotArea>
    <plotVisOnly val="1"/>
    <dispBlanksAs val="gap"/>
  </chart>
</chartSpace>
</file>

<file path=xl/charts/chart15.xml><?xml version="1.0" encoding="utf-8"?>
<chartSpace xmlns="http://schemas.openxmlformats.org/drawingml/2006/chart">
  <style val="2"/>
  <chart>
    <title>
      <tx>
        <rich>
          <a:bodyPr xmlns:a="http://schemas.openxmlformats.org/drawingml/2006/main"/>
          <a:p xmlns:a="http://schemas.openxmlformats.org/drawingml/2006/main">
            <a:pPr>
              <a:defRPr/>
            </a:pPr>
            <a:r>
              <a:t>Public debt % GDP</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'Annual'!$D$5:$D$40</f>
            </numRef>
          </cat>
          <val>
            <numRef>
              <f>'Annual'!$E$5:$E$40</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16.xml><?xml version="1.0" encoding="utf-8"?>
<chartSpace xmlns="http://schemas.openxmlformats.org/drawingml/2006/chart">
  <style val="2"/>
  <chart>
    <title>
      <tx>
        <rich>
          <a:bodyPr xmlns:a="http://schemas.openxmlformats.org/drawingml/2006/main"/>
          <a:p xmlns:a="http://schemas.openxmlformats.org/drawingml/2006/main">
            <a:pPr>
              <a:defRPr/>
            </a:pPr>
            <a:r>
              <a:t>External debt % GDP</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'Annual'!$G$5:$G$40</f>
            </numRef>
          </cat>
          <val>
            <numRef>
              <f>'Annual'!$H$5:$H$40</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17.xml><?xml version="1.0" encoding="utf-8"?>
<chartSpace xmlns="http://schemas.openxmlformats.org/drawingml/2006/chart">
  <style val="2"/>
  <chart>
    <title>
      <tx>
        <rich>
          <a:bodyPr xmlns:a="http://schemas.openxmlformats.org/drawingml/2006/main"/>
          <a:p xmlns:a="http://schemas.openxmlformats.org/drawingml/2006/main">
            <a:pPr>
              <a:defRPr/>
            </a:pPr>
            <a:r>
              <a:t>EMBI Argentina spread (bps)</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'Credit'!$A$5:$A$2205</f>
            </numRef>
          </cat>
          <val>
            <numRef>
              <f>'Credit'!$B$5:$B$2205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quot; bps&quot;" sourceLinked="0"/>
        <majorTickMark val="none"/>
        <minorTickMark val="none"/>
        <crossAx val="10"/>
      </valAx>
    </plotArea>
    <plotVisOnly val="1"/>
    <dispBlanksAs val="gap"/>
  </chart>
</chartSpace>
</file>

<file path=xl/charts/chart18.xml><?xml version="1.0" encoding="utf-8"?>
<chartSpace xmlns="http://schemas.openxmlformats.org/drawingml/2006/chart">
  <style val="2"/>
  <chart>
    <title>
      <tx>
        <rich>
          <a:bodyPr xmlns:a="http://schemas.openxmlformats.org/drawingml/2006/main"/>
          <a:p xmlns:a="http://schemas.openxmlformats.org/drawingml/2006/main">
            <a:pPr>
              <a:defRPr/>
            </a:pPr>
            <a:r>
              <a:t>CEMBI Argentina spread (bps)</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'Credit'!$D$5:$D$2205</f>
            </numRef>
          </cat>
          <val>
            <numRef>
              <f>'Credit'!$E$5:$E$2205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quot; bps&quot;" sourceLinked="0"/>
        <majorTickMark val="none"/>
        <minorTickMark val="none"/>
        <crossAx val="10"/>
      </valAx>
    </plotArea>
    <plotVisOnly val="1"/>
    <dispBlanksAs val="gap"/>
  </chart>
</chartSpace>
</file>

<file path=xl/charts/chart19.xml><?xml version="1.0" encoding="utf-8"?>
<chartSpace xmlns="http://schemas.openxmlformats.org/drawingml/2006/chart">
  <style val="2"/>
  <chart>
    <title>
      <tx>
        <rich>
          <a:bodyPr xmlns:a="http://schemas.openxmlformats.org/drawingml/2006/main"/>
          <a:p xmlns:a="http://schemas.openxmlformats.org/drawingml/2006/main">
            <a:pPr>
              <a:defRPr/>
            </a:pPr>
            <a:r>
              <a:t>EMBI Argentina total return</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'Credit'!$G$5:$G$2205</f>
            </numRef>
          </cat>
          <val>
            <numRef>
              <f>'Credit'!$H$5:$H$2205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 sourceLinked="0"/>
        <majorTickMark val="none"/>
        <minorTickMark val="none"/>
        <crossAx val="10"/>
      </valAx>
    </plotArea>
    <plotVisOnly val="1"/>
    <dispBlanksAs val="gap"/>
  </chart>
</chartSpace>
</file>

<file path=xl/charts/chart20.xml><?xml version="1.0" encoding="utf-8"?>
<chartSpace xmlns="http://schemas.openxmlformats.org/drawingml/2006/chart">
  <style val="2"/>
  <chart>
    <title>
      <tx>
        <rich>
          <a:bodyPr xmlns:a="http://schemas.openxmlformats.org/drawingml/2006/main"/>
          <a:p xmlns:a="http://schemas.openxmlformats.org/drawingml/2006/main">
            <a:pPr>
              <a:defRPr/>
            </a:pPr>
            <a:r>
              <a:t>GD30 yield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'Credit'!$J$5:$J$2205</f>
            </numRef>
          </cat>
          <val>
            <numRef>
              <f>'Credit'!$K$5:$K$2205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21.xml><?xml version="1.0" encoding="utf-8"?>
<chartSpace xmlns="http://schemas.openxmlformats.org/drawingml/2006/chart">
  <style val="2"/>
  <chart>
    <title>
      <tx>
        <rich>
          <a:bodyPr xmlns:a="http://schemas.openxmlformats.org/drawingml/2006/main"/>
          <a:p xmlns:a="http://schemas.openxmlformats.org/drawingml/2006/main">
            <a:pPr>
              <a:defRPr/>
            </a:pPr>
            <a:r>
              <a:t>GD35 yield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'Credit'!$M$5:$M$2205</f>
            </numRef>
          </cat>
          <val>
            <numRef>
              <f>'Credit'!$N$5:$N$2205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22.xml><?xml version="1.0" encoding="utf-8"?>
<chartSpace xmlns="http://schemas.openxmlformats.org/drawingml/2006/chart">
  <style val="2"/>
  <chart>
    <title>
      <tx>
        <rich>
          <a:bodyPr xmlns:a="http://schemas.openxmlformats.org/drawingml/2006/main"/>
          <a:p xmlns:a="http://schemas.openxmlformats.org/drawingml/2006/main">
            <a:pPr>
              <a:defRPr/>
            </a:pPr>
            <a:r>
              <a:t>GD41 yield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'Credit'!$P$5:$P$2205</f>
            </numRef>
          </cat>
          <val>
            <numRef>
              <f>'Credit'!$Q$5:$Q$2205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23.xml><?xml version="1.0" encoding="utf-8"?>
<chartSpace xmlns="http://schemas.openxmlformats.org/drawingml/2006/chart">
  <style val="2"/>
  <chart>
    <title>
      <tx>
        <rich>
          <a:bodyPr xmlns:a="http://schemas.openxmlformats.org/drawingml/2006/main"/>
          <a:p xmlns:a="http://schemas.openxmlformats.org/drawingml/2006/main">
            <a:pPr>
              <a:defRPr/>
            </a:pPr>
            <a:r>
              <a:t>USD/ARS official</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'Markets'!$A$5:$A$2205</f>
            </numRef>
          </cat>
          <val>
            <numRef>
              <f>'Markets'!$B$5:$B$2205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 sourceLinked="0"/>
        <majorTickMark val="none"/>
        <minorTickMark val="none"/>
        <crossAx val="10"/>
      </valAx>
    </plotArea>
    <plotVisOnly val="1"/>
    <dispBlanksAs val="gap"/>
  </chart>
</chartSpace>
</file>

<file path=xl/charts/chart24.xml><?xml version="1.0" encoding="utf-8"?>
<chartSpace xmlns="http://schemas.openxmlformats.org/drawingml/2006/chart">
  <style val="2"/>
  <chart>
    <title>
      <tx>
        <rich>
          <a:bodyPr xmlns:a="http://schemas.openxmlformats.org/drawingml/2006/main"/>
          <a:p xmlns:a="http://schemas.openxmlformats.org/drawingml/2006/main">
            <a:pPr>
              <a:defRPr/>
            </a:pPr>
            <a:r>
              <a:t>USD/ARS MEP</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'Markets'!$D$5:$D$2205</f>
            </numRef>
          </cat>
          <val>
            <numRef>
              <f>'Markets'!$E$5:$E$2205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 sourceLinked="0"/>
        <majorTickMark val="none"/>
        <minorTickMark val="none"/>
        <crossAx val="10"/>
      </valAx>
    </plotArea>
    <plotVisOnly val="1"/>
    <dispBlanksAs val="gap"/>
  </chart>
</chartSpace>
</file>

<file path=xl/charts/chart25.xml><?xml version="1.0" encoding="utf-8"?>
<chartSpace xmlns="http://schemas.openxmlformats.org/drawingml/2006/chart">
  <style val="2"/>
  <chart>
    <title>
      <tx>
        <rich>
          <a:bodyPr xmlns:a="http://schemas.openxmlformats.org/drawingml/2006/main"/>
          <a:p xmlns:a="http://schemas.openxmlformats.org/drawingml/2006/main">
            <a:pPr>
              <a:defRPr/>
            </a:pPr>
            <a:r>
              <a:t>USD/ARS CCL</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'Markets'!$G$5:$G$2205</f>
            </numRef>
          </cat>
          <val>
            <numRef>
              <f>'Markets'!$H$5:$H$2205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 sourceLinked="0"/>
        <majorTickMark val="none"/>
        <minorTickMark val="none"/>
        <crossAx val="10"/>
      </valAx>
    </plotArea>
    <plotVisOnly val="1"/>
    <dispBlanksAs val="gap"/>
  </chart>
</chartSpace>
</file>

<file path=xl/charts/chart26.xml><?xml version="1.0" encoding="utf-8"?>
<chartSpace xmlns="http://schemas.openxmlformats.org/drawingml/2006/chart">
  <style val="2"/>
  <chart>
    <title>
      <tx>
        <rich>
          <a:bodyPr xmlns:a="http://schemas.openxmlformats.org/drawingml/2006/main"/>
          <a:p xmlns:a="http://schemas.openxmlformats.org/drawingml/2006/main">
            <a:pPr>
              <a:defRPr/>
            </a:pPr>
            <a:r>
              <a:t>Merval</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'Markets'!$J$5:$J$2205</f>
            </numRef>
          </cat>
          <val>
            <numRef>
              <f>'Markets'!$K$5:$K$2205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 sourceLinked="0"/>
        <majorTickMark val="none"/>
        <minorTickMark val="none"/>
        <crossAx val="10"/>
      </valAx>
    </plotArea>
    <plotVisOnly val="1"/>
    <dispBlanksAs val="gap"/>
  </chart>
</chartSpace>
</file>

<file path=xl/charts/chart27.xml><?xml version="1.0" encoding="utf-8"?>
<chartSpace xmlns="http://schemas.openxmlformats.org/drawingml/2006/chart">
  <style val="2"/>
  <chart>
    <title>
      <tx>
        <rich>
          <a:bodyPr xmlns:a="http://schemas.openxmlformats.org/drawingml/2006/main"/>
          <a:p xmlns:a="http://schemas.openxmlformats.org/drawingml/2006/main">
            <a:pPr>
              <a:defRPr/>
            </a:pPr>
            <a:r>
              <a:t>Soybean CBOT</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'Markets'!$M$5:$M$2205</f>
            </numRef>
          </cat>
          <val>
            <numRef>
              <f>'Markets'!$N$5:$N$2205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s>
</file>

<file path=xl/drawings/_rels/drawing2.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s>
</file>

<file path=xl/drawings/_rels/drawing3.xml.rels><Relationships xmlns="http://schemas.openxmlformats.org/package/2006/relationships"><Relationship Type="http://schemas.openxmlformats.org/officeDocument/2006/relationships/chart" Target="/xl/charts/chart14.xml" Id="rId1"/><Relationship Type="http://schemas.openxmlformats.org/officeDocument/2006/relationships/chart" Target="/xl/charts/chart15.xml" Id="rId2"/><Relationship Type="http://schemas.openxmlformats.org/officeDocument/2006/relationships/chart" Target="/xl/charts/chart16.xml" Id="rId3"/></Relationships>
</file>

<file path=xl/drawings/_rels/drawing4.xml.rels><Relationships xmlns="http://schemas.openxmlformats.org/package/2006/relationships"><Relationship Type="http://schemas.openxmlformats.org/officeDocument/2006/relationships/chart" Target="/xl/charts/chart17.xml" Id="rId1"/><Relationship Type="http://schemas.openxmlformats.org/officeDocument/2006/relationships/chart" Target="/xl/charts/chart18.xml" Id="rId2"/><Relationship Type="http://schemas.openxmlformats.org/officeDocument/2006/relationships/chart" Target="/xl/charts/chart19.xml" Id="rId3"/><Relationship Type="http://schemas.openxmlformats.org/officeDocument/2006/relationships/chart" Target="/xl/charts/chart20.xml" Id="rId4"/><Relationship Type="http://schemas.openxmlformats.org/officeDocument/2006/relationships/chart" Target="/xl/charts/chart21.xml" Id="rId5"/><Relationship Type="http://schemas.openxmlformats.org/officeDocument/2006/relationships/chart" Target="/xl/charts/chart22.xml" Id="rId6"/></Relationships>
</file>

<file path=xl/drawings/_rels/drawing5.xml.rels><Relationships xmlns="http://schemas.openxmlformats.org/package/2006/relationships"><Relationship Type="http://schemas.openxmlformats.org/officeDocument/2006/relationships/chart" Target="/xl/charts/chart23.xml" Id="rId1"/><Relationship Type="http://schemas.openxmlformats.org/officeDocument/2006/relationships/chart" Target="/xl/charts/chart24.xml" Id="rId2"/><Relationship Type="http://schemas.openxmlformats.org/officeDocument/2006/relationships/chart" Target="/xl/charts/chart25.xml" Id="rId3"/><Relationship Type="http://schemas.openxmlformats.org/officeDocument/2006/relationships/chart" Target="/xl/charts/chart26.xml" Id="rId4"/><Relationship Type="http://schemas.openxmlformats.org/officeDocument/2006/relationships/chart" Target="/xl/charts/chart27.xml" Id="rId5"/></Relationships>
</file>

<file path=xl/drawings/drawing1.xml><?xml version="1.0" encoding="utf-8"?>
<wsDr xmlns="http://schemas.openxmlformats.org/drawingml/2006/spreadsheetDrawing">
  <oneCellAnchor>
    <from>
      <col>0</col>
      <colOff>0</colOff>
      <row>258</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258</row>
      <rowOff>0</rowOff>
    </from>
    <ext cx="50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274</row>
      <rowOff>0</rowOff>
    </from>
    <ext cx="504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274</row>
      <rowOff>0</rowOff>
    </from>
    <ext cx="504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290</row>
      <rowOff>0</rowOff>
    </from>
    <ext cx="5040000" cy="25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8</col>
      <colOff>0</colOff>
      <row>290</row>
      <rowOff>0</rowOff>
    </from>
    <ext cx="5040000" cy="252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0</col>
      <colOff>0</colOff>
      <row>306</row>
      <rowOff>0</rowOff>
    </from>
    <ext cx="5040000" cy="252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8</col>
      <colOff>0</colOff>
      <row>306</row>
      <rowOff>0</rowOff>
    </from>
    <ext cx="5040000" cy="252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0</col>
      <colOff>0</colOff>
      <row>322</row>
      <rowOff>0</rowOff>
    </from>
    <ext cx="5040000" cy="252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wsDr>
</file>

<file path=xl/drawings/drawing2.xml><?xml version="1.0" encoding="utf-8"?>
<wsDr xmlns="http://schemas.openxmlformats.org/drawingml/2006/spreadsheetDrawing">
  <oneCellAnchor>
    <from>
      <col>0</col>
      <colOff>0</colOff>
      <row>98</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98</row>
      <rowOff>0</rowOff>
    </from>
    <ext cx="50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114</row>
      <rowOff>0</rowOff>
    </from>
    <ext cx="504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114</row>
      <rowOff>0</rowOff>
    </from>
    <ext cx="504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3.xml><?xml version="1.0" encoding="utf-8"?>
<wsDr xmlns="http://schemas.openxmlformats.org/drawingml/2006/spreadsheetDrawing">
  <oneCellAnchor>
    <from>
      <col>0</col>
      <colOff>0</colOff>
      <row>43</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43</row>
      <rowOff>0</rowOff>
    </from>
    <ext cx="50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59</row>
      <rowOff>0</rowOff>
    </from>
    <ext cx="504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xml><?xml version="1.0" encoding="utf-8"?>
<wsDr xmlns="http://schemas.openxmlformats.org/drawingml/2006/spreadsheetDrawing">
  <oneCellAnchor>
    <from>
      <col>0</col>
      <colOff>0</colOff>
      <row>2208</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2208</row>
      <rowOff>0</rowOff>
    </from>
    <ext cx="50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2224</row>
      <rowOff>0</rowOff>
    </from>
    <ext cx="504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2224</row>
      <rowOff>0</rowOff>
    </from>
    <ext cx="504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2240</row>
      <rowOff>0</rowOff>
    </from>
    <ext cx="5040000" cy="25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8</col>
      <colOff>0</colOff>
      <row>2240</row>
      <rowOff>0</rowOff>
    </from>
    <ext cx="5040000" cy="252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drawings/drawing5.xml><?xml version="1.0" encoding="utf-8"?>
<wsDr xmlns="http://schemas.openxmlformats.org/drawingml/2006/spreadsheetDrawing">
  <oneCellAnchor>
    <from>
      <col>0</col>
      <colOff>0</colOff>
      <row>2208</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2208</row>
      <rowOff>0</rowOff>
    </from>
    <ext cx="50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2224</row>
      <rowOff>0</rowOff>
    </from>
    <ext cx="504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2224</row>
      <rowOff>0</rowOff>
    </from>
    <ext cx="504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2240</row>
      <rowOff>0</rowOff>
    </from>
    <ext cx="5040000" cy="25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B2:B21"/>
  <sheetViews>
    <sheetView showGridLines="0" workbookViewId="0">
      <selection activeCell="A1" sqref="A1"/>
    </sheetView>
  </sheetViews>
  <sheetFormatPr baseColWidth="8" defaultRowHeight="15"/>
  <cols>
    <col width="3" customWidth="1" min="1" max="1"/>
    <col width="88" customWidth="1" min="2" max="2"/>
    <col width="3" customWidth="1" min="3" max="3"/>
    <col width="18" customWidth="1" min="4" max="4"/>
    <col width="18" customWidth="1" min="5" max="5"/>
    <col width="18" customWidth="1" min="6" max="6"/>
    <col width="18" customWidth="1" min="7" max="7"/>
    <col width="3" customWidth="1" min="8" max="8"/>
  </cols>
  <sheetData>
    <row r="2">
      <c r="B2" s="1" t="inlineStr">
        <is>
          <t>Argentina — Macro &amp; Hard-Currency Credit</t>
        </is>
      </c>
    </row>
    <row r="3">
      <c r="B3" s="2" t="inlineStr">
        <is>
          <t>Self-updating workbook driven by Bloomberg BDH formulas</t>
        </is>
      </c>
    </row>
    <row r="5">
      <c r="B5" s="3" t="inlineStr">
        <is>
          <t>How it works</t>
        </is>
      </c>
    </row>
    <row r="6" ht="50" customHeight="1">
      <c r="B6" s="4" t="inlineStr">
        <is>
          <t>Every series on every tab is a single =BDH(...) formula that pulls the time series directly from Bloomberg. Charts reference those cells, so refreshing the formulas refreshes the charts.</t>
        </is>
      </c>
    </row>
    <row r="8">
      <c r="B8" s="3" t="inlineStr">
        <is>
          <t>To refresh</t>
        </is>
      </c>
    </row>
    <row r="9" ht="50" customHeight="1">
      <c r="B9" s="4" t="inlineStr">
        <is>
          <t>1) Make sure Bloomberg Terminal is open and you're logged in.  2) On the Bloomberg toolbar in the Excel ribbon, click 'Refresh Workbook' (or press F9). The data and charts update in place.</t>
        </is>
      </c>
    </row>
    <row r="11">
      <c r="B11" s="3" t="inlineStr">
        <is>
          <t>Tabs</t>
        </is>
      </c>
    </row>
    <row r="12" ht="50" customHeight="1">
      <c r="B12" s="4" t="inlineStr">
        <is>
          <t>Monthly · Quarterly · Annual · Credit · Markets — each one self-contained, with the data block at the top and a 2-column chart grid below it.</t>
        </is>
      </c>
    </row>
    <row r="14">
      <c r="B14" s="3" t="inlineStr">
        <is>
          <t>Editing tickers</t>
        </is>
      </c>
    </row>
    <row r="15" ht="50" customHeight="1">
      <c r="B15" s="4" t="inlineStr">
        <is>
          <t>Open the 'Tickers' tab. Each series has its own row showing the current ticker. If a series is showing #N/A or the wrong number, replace the ticker on that row, then refresh — that's the only change needed.</t>
        </is>
      </c>
    </row>
    <row r="17">
      <c r="B17" s="3" t="inlineStr">
        <is>
          <t>Looking up tickers in Bloomberg</t>
        </is>
      </c>
    </row>
    <row r="18" ht="50" customHeight="1">
      <c r="B18" s="4" t="inlineStr">
        <is>
          <t>ECO &lt;GO&gt;, then country, gives the official tickers for macro indicators. SECF &lt;GO&gt; finds securities by name. Once you have the right ticker, paste it into the Tickers tab.</t>
        </is>
      </c>
    </row>
    <row r="20">
      <c r="B20" s="3" t="inlineStr">
        <is>
          <t>Caveats</t>
        </is>
      </c>
    </row>
    <row r="21" ht="50" customHeight="1">
      <c r="B21" s="4" t="inlineStr">
        <is>
          <t>Argentina CPI has structural breaks pre-2017 (INDEC suspension); levels are still valid post-2017. For Argentina FX, Bloomberg reports official, MEP, CCL separately — see Markets tab. Charts are native Excel objects so they survive emailing the workbook to clients (no Bloomberg required on the receiving end — they see the last values you refreshed).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
  <sheetViews>
    <sheetView showGridLines="0" workbookViewId="0">
      <selection activeCell="A1" sqref="A1"/>
    </sheetView>
  </sheetViews>
  <sheetFormatPr baseColWidth="8" defaultRowHeight="15"/>
  <cols>
    <col width="13" customWidth="1" min="1" max="1"/>
    <col width="13" customWidth="1" min="2" max="2"/>
    <col width="13" customWidth="1" min="4" max="4"/>
    <col width="13" customWidth="1" min="5" max="5"/>
    <col width="13" customWidth="1" min="7" max="7"/>
    <col width="13" customWidth="1" min="8" max="8"/>
    <col width="13" customWidth="1" min="10" max="10"/>
    <col width="13" customWidth="1" min="11" max="11"/>
    <col width="13" customWidth="1" min="13" max="13"/>
    <col width="13" customWidth="1" min="14" max="14"/>
    <col width="13" customWidth="1" min="16" max="16"/>
    <col width="13" customWidth="1" min="17" max="17"/>
    <col width="13" customWidth="1" min="19" max="19"/>
    <col width="13" customWidth="1" min="20" max="20"/>
    <col width="13" customWidth="1" min="22" max="22"/>
    <col width="13" customWidth="1" min="23" max="23"/>
    <col width="13" customWidth="1" min="25" max="25"/>
    <col width="13" customWidth="1" min="26" max="26"/>
  </cols>
  <sheetData>
    <row r="1">
      <c r="A1" s="5" t="inlineStr">
        <is>
          <t>Argentina — Monthly</t>
        </is>
      </c>
    </row>
    <row r="2">
      <c r="A2" s="2" t="inlineStr">
        <is>
          <t>Refresh: Bloomberg toolbar → Refresh Workbook    (or press F9). Edit tickers on the 'Tickers' tab.</t>
        </is>
      </c>
    </row>
    <row r="3">
      <c r="A3" s="2" t="inlineStr">
        <is>
          <t>Latest readings</t>
        </is>
      </c>
    </row>
    <row r="4">
      <c r="A4" s="6" t="inlineStr">
        <is>
          <t>CPI national YoY (%)</t>
        </is>
      </c>
      <c r="D4" s="6" t="inlineStr">
        <is>
          <t>CPI national MoM (%)</t>
        </is>
      </c>
      <c r="G4" s="6" t="inlineStr">
        <is>
          <t>CPI core YoY (%)</t>
        </is>
      </c>
      <c r="J4" s="6" t="inlineStr">
        <is>
          <t>EMAE activity YoY (%)</t>
        </is>
      </c>
      <c r="M4" s="6" t="inlineStr">
        <is>
          <t>Industrial prod IPI YoY (%)</t>
        </is>
      </c>
      <c r="P4" s="6" t="inlineStr">
        <is>
          <t>BCRA reserves (USD bn)</t>
        </is>
      </c>
      <c r="S4" s="6" t="inlineStr">
        <is>
          <t>Trade balance (USD mn)</t>
        </is>
      </c>
      <c r="V4" s="6" t="inlineStr">
        <is>
          <t>Policy rate (%)</t>
        </is>
      </c>
      <c r="Y4" s="6" t="inlineStr">
        <is>
          <t>Tesoro primary balance</t>
        </is>
      </c>
    </row>
    <row r="5">
      <c r="A5">
        <f>BDH("ARCPNYAY Index","PX_LAST","1/1/2010",TODAY(),"Per","M")</f>
        <v/>
      </c>
      <c r="D5">
        <f>BDH("ARCPNYAM Index","PX_LAST","1/1/2010",TODAY(),"Per","M")</f>
        <v/>
      </c>
      <c r="G5">
        <f>BDH("ARCPCRYY Index","PX_LAST","1/1/2010",TODAY(),"Per","M")</f>
        <v/>
      </c>
      <c r="J5">
        <f>BDH("ARGAYOY Index","PX_LAST","1/1/2010",TODAY(),"Per","M")</f>
        <v/>
      </c>
      <c r="M5">
        <f>BDH("ARIPIYOY Index","PX_LAST","1/1/2010",TODAY(),"Per","M")</f>
        <v/>
      </c>
      <c r="P5">
        <f>BDH("ARGRESVS Index","PX_LAST","1/1/2010",TODAY(),"Per","M")</f>
        <v/>
      </c>
      <c r="S5">
        <f>BDH("ARTBTOTL Index","PX_LAST","1/1/2010",TODAY(),"Per","M")</f>
        <v/>
      </c>
      <c r="V5">
        <f>BDH("APDR1T Index","PX_LAST","1/1/2010",TODAY(),"Per","M")</f>
        <v/>
      </c>
      <c r="Y5">
        <f>BDH("ARFISPRI Index","PX_LAST","1/1/2010",TODAY(),"Per","M")</f>
        <v/>
      </c>
    </row>
  </sheetData>
  <mergeCells count="11">
    <mergeCell ref="A4:B4"/>
    <mergeCell ref="G4:H4"/>
    <mergeCell ref="P4:Q4"/>
    <mergeCell ref="J4:K4"/>
    <mergeCell ref="V4:W4"/>
    <mergeCell ref="Y4:Z4"/>
    <mergeCell ref="M4:N4"/>
    <mergeCell ref="A1:F1"/>
    <mergeCell ref="D4:E4"/>
    <mergeCell ref="A2:M2"/>
    <mergeCell ref="S4:T4"/>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5"/>
  <sheetViews>
    <sheetView showGridLines="0" workbookViewId="0">
      <selection activeCell="A1" sqref="A1"/>
    </sheetView>
  </sheetViews>
  <sheetFormatPr baseColWidth="8" defaultRowHeight="15"/>
  <cols>
    <col width="13" customWidth="1" min="1" max="1"/>
    <col width="13" customWidth="1" min="2" max="2"/>
    <col width="13" customWidth="1" min="4" max="4"/>
    <col width="13" customWidth="1" min="5" max="5"/>
    <col width="13" customWidth="1" min="7" max="7"/>
    <col width="13" customWidth="1" min="8" max="8"/>
    <col width="13" customWidth="1" min="10" max="10"/>
    <col width="13" customWidth="1" min="11" max="11"/>
  </cols>
  <sheetData>
    <row r="1">
      <c r="A1" s="5" t="inlineStr">
        <is>
          <t>Argentina — Quarterly</t>
        </is>
      </c>
    </row>
    <row r="2">
      <c r="A2" s="2" t="inlineStr">
        <is>
          <t>Refresh: Bloomberg toolbar → Refresh Workbook    (or press F9). Edit tickers on the 'Tickers' tab.</t>
        </is>
      </c>
    </row>
    <row r="3">
      <c r="A3" s="2" t="inlineStr">
        <is>
          <t>Latest readings</t>
        </is>
      </c>
    </row>
    <row r="4">
      <c r="A4" s="6" t="inlineStr">
        <is>
          <t>Real GDP YoY (%)</t>
        </is>
      </c>
      <c r="D4" s="6" t="inlineStr">
        <is>
          <t>GDP QoQ saar (%)</t>
        </is>
      </c>
      <c r="G4" s="6" t="inlineStr">
        <is>
          <t>Current account % GDP</t>
        </is>
      </c>
      <c r="J4" s="6" t="inlineStr">
        <is>
          <t>Private consumption YoY</t>
        </is>
      </c>
    </row>
    <row r="5">
      <c r="A5">
        <f>BDH("ARGDPY Index","PX_LAST","1/1/2005",TODAY(),"Per","Q")</f>
        <v/>
      </c>
      <c r="D5">
        <f>BDH("ARGDPSAR Index","PX_LAST","1/1/2005",TODAY(),"Per","Q")</f>
        <v/>
      </c>
      <c r="G5">
        <f>BDH("ARCAGDP Index","PX_LAST","1/1/2005",TODAY(),"Per","Q")</f>
        <v/>
      </c>
      <c r="J5">
        <f>BDH("ARPCYOY Index","PX_LAST","1/1/2005",TODAY(),"Per","Q")</f>
        <v/>
      </c>
    </row>
  </sheetData>
  <mergeCells count="6">
    <mergeCell ref="A4:B4"/>
    <mergeCell ref="G4:H4"/>
    <mergeCell ref="J4:K4"/>
    <mergeCell ref="A1:F1"/>
    <mergeCell ref="D4:E4"/>
    <mergeCell ref="A2:M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5"/>
  <sheetViews>
    <sheetView showGridLines="0" workbookViewId="0">
      <selection activeCell="A1" sqref="A1"/>
    </sheetView>
  </sheetViews>
  <sheetFormatPr baseColWidth="8" defaultRowHeight="15"/>
  <cols>
    <col width="13" customWidth="1" min="1" max="1"/>
    <col width="13" customWidth="1" min="2" max="2"/>
    <col width="13" customWidth="1" min="4" max="4"/>
    <col width="13" customWidth="1" min="5" max="5"/>
    <col width="13" customWidth="1" min="7" max="7"/>
    <col width="13" customWidth="1" min="8" max="8"/>
  </cols>
  <sheetData>
    <row r="1">
      <c r="A1" s="5" t="inlineStr">
        <is>
          <t>Argentina — Annual</t>
        </is>
      </c>
    </row>
    <row r="2">
      <c r="A2" s="2" t="inlineStr">
        <is>
          <t>Refresh: Bloomberg toolbar → Refresh Workbook    (or press F9). Edit tickers on the 'Tickers' tab.</t>
        </is>
      </c>
    </row>
    <row r="3">
      <c r="A3" s="2" t="inlineStr">
        <is>
          <t>Latest readings</t>
        </is>
      </c>
    </row>
    <row r="4">
      <c r="A4" s="6" t="inlineStr">
        <is>
          <t>GDP per capita USD</t>
        </is>
      </c>
      <c r="D4" s="6" t="inlineStr">
        <is>
          <t>Public debt % GDP</t>
        </is>
      </c>
      <c r="G4" s="6" t="inlineStr">
        <is>
          <t>External debt % GDP</t>
        </is>
      </c>
    </row>
    <row r="5">
      <c r="A5">
        <f>BDH("ARGDPPC Index","PX_LAST","1/1/2000",TODAY(),"Per","A")</f>
        <v/>
      </c>
      <c r="D5">
        <f>BDH("ARGDDEBT Index","PX_LAST","1/1/2000",TODAY(),"Per","A")</f>
        <v/>
      </c>
      <c r="G5">
        <f>BDH("AREXTDB Index","PX_LAST","1/1/2000",TODAY(),"Per","A")</f>
        <v/>
      </c>
    </row>
  </sheetData>
  <mergeCells count="5">
    <mergeCell ref="A4:B4"/>
    <mergeCell ref="G4:H4"/>
    <mergeCell ref="A1:F1"/>
    <mergeCell ref="D4:E4"/>
    <mergeCell ref="A2:M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Q5"/>
  <sheetViews>
    <sheetView showGridLines="0" workbookViewId="0">
      <selection activeCell="A1" sqref="A1"/>
    </sheetView>
  </sheetViews>
  <sheetFormatPr baseColWidth="8" defaultRowHeight="15"/>
  <cols>
    <col width="13" customWidth="1" min="1" max="1"/>
    <col width="13" customWidth="1" min="2" max="2"/>
    <col width="13" customWidth="1" min="4" max="4"/>
    <col width="13" customWidth="1" min="5" max="5"/>
    <col width="13" customWidth="1" min="7" max="7"/>
    <col width="13" customWidth="1" min="8" max="8"/>
    <col width="13" customWidth="1" min="10" max="10"/>
    <col width="13" customWidth="1" min="11" max="11"/>
    <col width="13" customWidth="1" min="13" max="13"/>
    <col width="13" customWidth="1" min="14" max="14"/>
    <col width="13" customWidth="1" min="16" max="16"/>
    <col width="13" customWidth="1" min="17" max="17"/>
  </cols>
  <sheetData>
    <row r="1">
      <c r="A1" s="5" t="inlineStr">
        <is>
          <t>Argentina — Credit</t>
        </is>
      </c>
    </row>
    <row r="2">
      <c r="A2" s="2" t="inlineStr">
        <is>
          <t>Refresh: Bloomberg toolbar → Refresh Workbook    (or press F9). Edit tickers on the 'Tickers' tab.</t>
        </is>
      </c>
    </row>
    <row r="3">
      <c r="A3" s="2" t="inlineStr">
        <is>
          <t>Latest readings</t>
        </is>
      </c>
    </row>
    <row r="4">
      <c r="A4" s="6" t="inlineStr">
        <is>
          <t>EMBI Argentina spread (bps)</t>
        </is>
      </c>
      <c r="D4" s="6" t="inlineStr">
        <is>
          <t>CEMBI Argentina spread (bps)</t>
        </is>
      </c>
      <c r="G4" s="6" t="inlineStr">
        <is>
          <t>EMBI Argentina total return</t>
        </is>
      </c>
      <c r="J4" s="6" t="inlineStr">
        <is>
          <t>GD30 yield (%)</t>
        </is>
      </c>
      <c r="M4" s="6" t="inlineStr">
        <is>
          <t>GD35 yield (%)</t>
        </is>
      </c>
      <c r="P4" s="6" t="inlineStr">
        <is>
          <t>GD41 yield (%)</t>
        </is>
      </c>
    </row>
    <row r="5">
      <c r="A5">
        <f>BDH("JPSSARGE Index","PX_LAST","1/1/2018",TODAY())</f>
        <v/>
      </c>
      <c r="D5">
        <f>BDH("JBCDARGE Index","PX_LAST","1/1/2018",TODAY())</f>
        <v/>
      </c>
      <c r="G5">
        <f>BDH("JPMEARGE Index","PX_LAST","1/1/2018",TODAY())</f>
        <v/>
      </c>
      <c r="J5">
        <f>BDH("GD30 Corp","YLD_YTM_MID","1/1/2018",TODAY())</f>
        <v/>
      </c>
      <c r="M5">
        <f>BDH("GD35 Corp","YLD_YTM_MID","1/1/2018",TODAY())</f>
        <v/>
      </c>
      <c r="P5">
        <f>BDH("GD41 Corp","YLD_YTM_MID","1/1/2018",TODAY())</f>
        <v/>
      </c>
    </row>
  </sheetData>
  <mergeCells count="8">
    <mergeCell ref="A4:B4"/>
    <mergeCell ref="G4:H4"/>
    <mergeCell ref="P4:Q4"/>
    <mergeCell ref="J4:K4"/>
    <mergeCell ref="M4:N4"/>
    <mergeCell ref="A1:F1"/>
    <mergeCell ref="D4:E4"/>
    <mergeCell ref="A2:M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N5"/>
  <sheetViews>
    <sheetView showGridLines="0" workbookViewId="0">
      <selection activeCell="A1" sqref="A1"/>
    </sheetView>
  </sheetViews>
  <sheetFormatPr baseColWidth="8" defaultRowHeight="15"/>
  <cols>
    <col width="13" customWidth="1" min="1" max="1"/>
    <col width="13" customWidth="1" min="2" max="2"/>
    <col width="13" customWidth="1" min="4" max="4"/>
    <col width="13" customWidth="1" min="5" max="5"/>
    <col width="13" customWidth="1" min="7" max="7"/>
    <col width="13" customWidth="1" min="8" max="8"/>
    <col width="13" customWidth="1" min="10" max="10"/>
    <col width="13" customWidth="1" min="11" max="11"/>
    <col width="13" customWidth="1" min="13" max="13"/>
    <col width="13" customWidth="1" min="14" max="14"/>
  </cols>
  <sheetData>
    <row r="1">
      <c r="A1" s="5" t="inlineStr">
        <is>
          <t>Argentina — Markets</t>
        </is>
      </c>
    </row>
    <row r="2">
      <c r="A2" s="2" t="inlineStr">
        <is>
          <t>Refresh: Bloomberg toolbar → Refresh Workbook    (or press F9). Edit tickers on the 'Tickers' tab.</t>
        </is>
      </c>
    </row>
    <row r="3">
      <c r="A3" s="2" t="inlineStr">
        <is>
          <t>Latest readings</t>
        </is>
      </c>
    </row>
    <row r="4">
      <c r="A4" s="6" t="inlineStr">
        <is>
          <t>USD/ARS official</t>
        </is>
      </c>
      <c r="D4" s="6" t="inlineStr">
        <is>
          <t>USD/ARS MEP</t>
        </is>
      </c>
      <c r="G4" s="6" t="inlineStr">
        <is>
          <t>USD/ARS CCL</t>
        </is>
      </c>
      <c r="J4" s="6" t="inlineStr">
        <is>
          <t>Merval</t>
        </is>
      </c>
      <c r="M4" s="6" t="inlineStr">
        <is>
          <t>Soybean CBOT</t>
        </is>
      </c>
    </row>
    <row r="5">
      <c r="A5">
        <f>BDH("USDARS Curncy","PX_LAST","1/1/2018",TODAY())</f>
        <v/>
      </c>
      <c r="D5">
        <f>BDH("ARSMEP Curncy","PX_LAST","1/1/2018",TODAY())</f>
        <v/>
      </c>
      <c r="G5">
        <f>BDH("ARSCCL Curncy","PX_LAST","1/1/2018",TODAY())</f>
        <v/>
      </c>
      <c r="J5">
        <f>BDH("MERVAL Index","PX_LAST","1/1/2018",TODAY())</f>
        <v/>
      </c>
      <c r="M5">
        <f>BDH("S 1 Comdty","PX_LAST","1/1/2018",TODAY())</f>
        <v/>
      </c>
    </row>
  </sheetData>
  <mergeCells count="7">
    <mergeCell ref="A4:B4"/>
    <mergeCell ref="G4:H4"/>
    <mergeCell ref="J4:K4"/>
    <mergeCell ref="M4:N4"/>
    <mergeCell ref="A1:F1"/>
    <mergeCell ref="D4:E4"/>
    <mergeCell ref="A2:M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28"/>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30" customWidth="1" min="3" max="3"/>
    <col width="14" customWidth="1" min="4" max="4"/>
    <col width="10" customWidth="1" min="5" max="5"/>
    <col width="10" customWidth="1" min="6" max="6"/>
  </cols>
  <sheetData>
    <row r="1">
      <c r="A1" s="6" t="inlineStr">
        <is>
          <t>Tab</t>
        </is>
      </c>
      <c r="B1" s="6" t="inlineStr">
        <is>
          <t>Label</t>
        </is>
      </c>
      <c r="C1" s="6" t="inlineStr">
        <is>
          <t>Ticker</t>
        </is>
      </c>
      <c r="D1" s="6" t="inlineStr">
        <is>
          <t>Field</t>
        </is>
      </c>
      <c r="E1" s="6" t="inlineStr">
        <is>
          <t>Frequency</t>
        </is>
      </c>
      <c r="F1" s="6" t="inlineStr">
        <is>
          <t>Units</t>
        </is>
      </c>
    </row>
    <row r="2">
      <c r="A2" t="inlineStr">
        <is>
          <t>Monthly</t>
        </is>
      </c>
      <c r="B2" t="inlineStr">
        <is>
          <t>CPI national YoY (%)</t>
        </is>
      </c>
      <c r="C2" t="inlineStr">
        <is>
          <t>ARCPNYAY Index</t>
        </is>
      </c>
      <c r="D2" t="inlineStr">
        <is>
          <t>PX_LAST</t>
        </is>
      </c>
      <c r="E2" t="inlineStr">
        <is>
          <t>M</t>
        </is>
      </c>
      <c r="F2" t="inlineStr">
        <is>
          <t>%</t>
        </is>
      </c>
    </row>
    <row r="3">
      <c r="A3" t="inlineStr">
        <is>
          <t>Monthly</t>
        </is>
      </c>
      <c r="B3" t="inlineStr">
        <is>
          <t>CPI national MoM (%)</t>
        </is>
      </c>
      <c r="C3" t="inlineStr">
        <is>
          <t>ARCPNYAM Index</t>
        </is>
      </c>
      <c r="D3" t="inlineStr">
        <is>
          <t>PX_LAST</t>
        </is>
      </c>
      <c r="E3" t="inlineStr">
        <is>
          <t>M</t>
        </is>
      </c>
      <c r="F3" t="inlineStr">
        <is>
          <t>%</t>
        </is>
      </c>
    </row>
    <row r="4">
      <c r="A4" t="inlineStr">
        <is>
          <t>Monthly</t>
        </is>
      </c>
      <c r="B4" t="inlineStr">
        <is>
          <t>CPI core YoY (%)</t>
        </is>
      </c>
      <c r="C4" t="inlineStr">
        <is>
          <t>ARCPCRYY Index</t>
        </is>
      </c>
      <c r="D4" t="inlineStr">
        <is>
          <t>PX_LAST</t>
        </is>
      </c>
      <c r="E4" t="inlineStr">
        <is>
          <t>M</t>
        </is>
      </c>
      <c r="F4" t="inlineStr">
        <is>
          <t>%</t>
        </is>
      </c>
    </row>
    <row r="5">
      <c r="A5" t="inlineStr">
        <is>
          <t>Monthly</t>
        </is>
      </c>
      <c r="B5" t="inlineStr">
        <is>
          <t>EMAE activity YoY (%)</t>
        </is>
      </c>
      <c r="C5" t="inlineStr">
        <is>
          <t>ARGAYOY Index</t>
        </is>
      </c>
      <c r="D5" t="inlineStr">
        <is>
          <t>PX_LAST</t>
        </is>
      </c>
      <c r="E5" t="inlineStr">
        <is>
          <t>M</t>
        </is>
      </c>
      <c r="F5" t="inlineStr">
        <is>
          <t>%</t>
        </is>
      </c>
    </row>
    <row r="6">
      <c r="A6" t="inlineStr">
        <is>
          <t>Monthly</t>
        </is>
      </c>
      <c r="B6" t="inlineStr">
        <is>
          <t>Industrial prod IPI YoY (%)</t>
        </is>
      </c>
      <c r="C6" t="inlineStr">
        <is>
          <t>ARIPIYOY Index</t>
        </is>
      </c>
      <c r="D6" t="inlineStr">
        <is>
          <t>PX_LAST</t>
        </is>
      </c>
      <c r="E6" t="inlineStr">
        <is>
          <t>M</t>
        </is>
      </c>
      <c r="F6" t="inlineStr">
        <is>
          <t>%</t>
        </is>
      </c>
    </row>
    <row r="7">
      <c r="A7" t="inlineStr">
        <is>
          <t>Monthly</t>
        </is>
      </c>
      <c r="B7" t="inlineStr">
        <is>
          <t>BCRA reserves (USD bn)</t>
        </is>
      </c>
      <c r="C7" t="inlineStr">
        <is>
          <t>ARGRESVS Index</t>
        </is>
      </c>
      <c r="D7" t="inlineStr">
        <is>
          <t>PX_LAST</t>
        </is>
      </c>
      <c r="E7" t="inlineStr">
        <is>
          <t>M</t>
        </is>
      </c>
      <c r="F7" t="inlineStr">
        <is>
          <t>USDbn</t>
        </is>
      </c>
    </row>
    <row r="8">
      <c r="A8" t="inlineStr">
        <is>
          <t>Monthly</t>
        </is>
      </c>
      <c r="B8" t="inlineStr">
        <is>
          <t>Trade balance (USD mn)</t>
        </is>
      </c>
      <c r="C8" t="inlineStr">
        <is>
          <t>ARTBTOTL Index</t>
        </is>
      </c>
      <c r="D8" t="inlineStr">
        <is>
          <t>PX_LAST</t>
        </is>
      </c>
      <c r="E8" t="inlineStr">
        <is>
          <t>M</t>
        </is>
      </c>
      <c r="F8" t="inlineStr">
        <is>
          <t>USDmn</t>
        </is>
      </c>
    </row>
    <row r="9">
      <c r="A9" t="inlineStr">
        <is>
          <t>Monthly</t>
        </is>
      </c>
      <c r="B9" t="inlineStr">
        <is>
          <t>Policy rate (%)</t>
        </is>
      </c>
      <c r="C9" t="inlineStr">
        <is>
          <t>APDR1T Index</t>
        </is>
      </c>
      <c r="D9" t="inlineStr">
        <is>
          <t>PX_LAST</t>
        </is>
      </c>
      <c r="E9" t="inlineStr">
        <is>
          <t>M</t>
        </is>
      </c>
      <c r="F9" t="inlineStr">
        <is>
          <t>%</t>
        </is>
      </c>
    </row>
    <row r="10">
      <c r="A10" t="inlineStr">
        <is>
          <t>Monthly</t>
        </is>
      </c>
      <c r="B10" t="inlineStr">
        <is>
          <t>Tesoro primary balance</t>
        </is>
      </c>
      <c r="C10" t="inlineStr">
        <is>
          <t>ARFISPRI Index</t>
        </is>
      </c>
      <c r="D10" t="inlineStr">
        <is>
          <t>PX_LAST</t>
        </is>
      </c>
      <c r="E10" t="inlineStr">
        <is>
          <t>M</t>
        </is>
      </c>
      <c r="F10" t="inlineStr">
        <is>
          <t>ARSbn</t>
        </is>
      </c>
    </row>
    <row r="11">
      <c r="A11" t="inlineStr">
        <is>
          <t>Quarterly</t>
        </is>
      </c>
      <c r="B11" t="inlineStr">
        <is>
          <t>Real GDP YoY (%)</t>
        </is>
      </c>
      <c r="C11" t="inlineStr">
        <is>
          <t>ARGDPY Index</t>
        </is>
      </c>
      <c r="D11" t="inlineStr">
        <is>
          <t>PX_LAST</t>
        </is>
      </c>
      <c r="E11" t="inlineStr">
        <is>
          <t>Q</t>
        </is>
      </c>
      <c r="F11" t="inlineStr">
        <is>
          <t>%</t>
        </is>
      </c>
    </row>
    <row r="12">
      <c r="A12" t="inlineStr">
        <is>
          <t>Quarterly</t>
        </is>
      </c>
      <c r="B12" t="inlineStr">
        <is>
          <t>GDP QoQ saar (%)</t>
        </is>
      </c>
      <c r="C12" t="inlineStr">
        <is>
          <t>ARGDPSAR Index</t>
        </is>
      </c>
      <c r="D12" t="inlineStr">
        <is>
          <t>PX_LAST</t>
        </is>
      </c>
      <c r="E12" t="inlineStr">
        <is>
          <t>Q</t>
        </is>
      </c>
      <c r="F12" t="inlineStr">
        <is>
          <t>%</t>
        </is>
      </c>
    </row>
    <row r="13">
      <c r="A13" t="inlineStr">
        <is>
          <t>Quarterly</t>
        </is>
      </c>
      <c r="B13" t="inlineStr">
        <is>
          <t>Current account % GDP</t>
        </is>
      </c>
      <c r="C13" t="inlineStr">
        <is>
          <t>ARCAGDP Index</t>
        </is>
      </c>
      <c r="D13" t="inlineStr">
        <is>
          <t>PX_LAST</t>
        </is>
      </c>
      <c r="E13" t="inlineStr">
        <is>
          <t>Q</t>
        </is>
      </c>
      <c r="F13" t="inlineStr">
        <is>
          <t>%</t>
        </is>
      </c>
    </row>
    <row r="14">
      <c r="A14" t="inlineStr">
        <is>
          <t>Quarterly</t>
        </is>
      </c>
      <c r="B14" t="inlineStr">
        <is>
          <t>Private consumption YoY</t>
        </is>
      </c>
      <c r="C14" t="inlineStr">
        <is>
          <t>ARPCYOY Index</t>
        </is>
      </c>
      <c r="D14" t="inlineStr">
        <is>
          <t>PX_LAST</t>
        </is>
      </c>
      <c r="E14" t="inlineStr">
        <is>
          <t>Q</t>
        </is>
      </c>
      <c r="F14" t="inlineStr">
        <is>
          <t>%</t>
        </is>
      </c>
    </row>
    <row r="15">
      <c r="A15" t="inlineStr">
        <is>
          <t>Annual</t>
        </is>
      </c>
      <c r="B15" t="inlineStr">
        <is>
          <t>GDP per capita USD</t>
        </is>
      </c>
      <c r="C15" t="inlineStr">
        <is>
          <t>ARGDPPC Index</t>
        </is>
      </c>
      <c r="D15" t="inlineStr">
        <is>
          <t>PX_LAST</t>
        </is>
      </c>
      <c r="E15" t="inlineStr">
        <is>
          <t>A</t>
        </is>
      </c>
      <c r="F15" t="inlineStr">
        <is>
          <t>USD</t>
        </is>
      </c>
    </row>
    <row r="16">
      <c r="A16" t="inlineStr">
        <is>
          <t>Annual</t>
        </is>
      </c>
      <c r="B16" t="inlineStr">
        <is>
          <t>Public debt % GDP</t>
        </is>
      </c>
      <c r="C16" t="inlineStr">
        <is>
          <t>ARGDDEBT Index</t>
        </is>
      </c>
      <c r="D16" t="inlineStr">
        <is>
          <t>PX_LAST</t>
        </is>
      </c>
      <c r="E16" t="inlineStr">
        <is>
          <t>A</t>
        </is>
      </c>
      <c r="F16" t="inlineStr">
        <is>
          <t>%</t>
        </is>
      </c>
    </row>
    <row r="17">
      <c r="A17" t="inlineStr">
        <is>
          <t>Annual</t>
        </is>
      </c>
      <c r="B17" t="inlineStr">
        <is>
          <t>External debt % GDP</t>
        </is>
      </c>
      <c r="C17" t="inlineStr">
        <is>
          <t>AREXTDB Index</t>
        </is>
      </c>
      <c r="D17" t="inlineStr">
        <is>
          <t>PX_LAST</t>
        </is>
      </c>
      <c r="E17" t="inlineStr">
        <is>
          <t>A</t>
        </is>
      </c>
      <c r="F17" t="inlineStr">
        <is>
          <t>%</t>
        </is>
      </c>
    </row>
    <row r="18">
      <c r="A18" t="inlineStr">
        <is>
          <t>Credit</t>
        </is>
      </c>
      <c r="B18" t="inlineStr">
        <is>
          <t>EMBI Argentina spread (bps)</t>
        </is>
      </c>
      <c r="C18" t="inlineStr">
        <is>
          <t>JPSSARGE Index</t>
        </is>
      </c>
      <c r="D18" t="inlineStr">
        <is>
          <t>PX_LAST</t>
        </is>
      </c>
      <c r="E18" t="inlineStr">
        <is>
          <t>D</t>
        </is>
      </c>
      <c r="F18" t="inlineStr">
        <is>
          <t>bps</t>
        </is>
      </c>
    </row>
    <row r="19">
      <c r="A19" t="inlineStr">
        <is>
          <t>Credit</t>
        </is>
      </c>
      <c r="B19" t="inlineStr">
        <is>
          <t>CEMBI Argentina spread (bps)</t>
        </is>
      </c>
      <c r="C19" t="inlineStr">
        <is>
          <t>JBCDARGE Index</t>
        </is>
      </c>
      <c r="D19" t="inlineStr">
        <is>
          <t>PX_LAST</t>
        </is>
      </c>
      <c r="E19" t="inlineStr">
        <is>
          <t>D</t>
        </is>
      </c>
      <c r="F19" t="inlineStr">
        <is>
          <t>bps</t>
        </is>
      </c>
    </row>
    <row r="20">
      <c r="A20" t="inlineStr">
        <is>
          <t>Credit</t>
        </is>
      </c>
      <c r="B20" t="inlineStr">
        <is>
          <t>EMBI Argentina total return</t>
        </is>
      </c>
      <c r="C20" t="inlineStr">
        <is>
          <t>JPMEARGE Index</t>
        </is>
      </c>
      <c r="D20" t="inlineStr">
        <is>
          <t>PX_LAST</t>
        </is>
      </c>
      <c r="E20" t="inlineStr">
        <is>
          <t>D</t>
        </is>
      </c>
      <c r="F20" t="inlineStr">
        <is>
          <t>idx</t>
        </is>
      </c>
    </row>
    <row r="21">
      <c r="A21" t="inlineStr">
        <is>
          <t>Credit</t>
        </is>
      </c>
      <c r="B21" t="inlineStr">
        <is>
          <t>GD30 yield (%)</t>
        </is>
      </c>
      <c r="C21" t="inlineStr">
        <is>
          <t>GD30 Corp</t>
        </is>
      </c>
      <c r="D21" t="inlineStr">
        <is>
          <t>YLD_YTM_MID</t>
        </is>
      </c>
      <c r="E21" t="inlineStr">
        <is>
          <t>D</t>
        </is>
      </c>
      <c r="F21" t="inlineStr">
        <is>
          <t>%</t>
        </is>
      </c>
    </row>
    <row r="22">
      <c r="A22" t="inlineStr">
        <is>
          <t>Credit</t>
        </is>
      </c>
      <c r="B22" t="inlineStr">
        <is>
          <t>GD35 yield (%)</t>
        </is>
      </c>
      <c r="C22" t="inlineStr">
        <is>
          <t>GD35 Corp</t>
        </is>
      </c>
      <c r="D22" t="inlineStr">
        <is>
          <t>YLD_YTM_MID</t>
        </is>
      </c>
      <c r="E22" t="inlineStr">
        <is>
          <t>D</t>
        </is>
      </c>
      <c r="F22" t="inlineStr">
        <is>
          <t>%</t>
        </is>
      </c>
    </row>
    <row r="23">
      <c r="A23" t="inlineStr">
        <is>
          <t>Credit</t>
        </is>
      </c>
      <c r="B23" t="inlineStr">
        <is>
          <t>GD41 yield (%)</t>
        </is>
      </c>
      <c r="C23" t="inlineStr">
        <is>
          <t>GD41 Corp</t>
        </is>
      </c>
      <c r="D23" t="inlineStr">
        <is>
          <t>YLD_YTM_MID</t>
        </is>
      </c>
      <c r="E23" t="inlineStr">
        <is>
          <t>D</t>
        </is>
      </c>
      <c r="F23" t="inlineStr">
        <is>
          <t>%</t>
        </is>
      </c>
    </row>
    <row r="24">
      <c r="A24" t="inlineStr">
        <is>
          <t>Markets</t>
        </is>
      </c>
      <c r="B24" t="inlineStr">
        <is>
          <t>USD/ARS official</t>
        </is>
      </c>
      <c r="C24" t="inlineStr">
        <is>
          <t>USDARS Curncy</t>
        </is>
      </c>
      <c r="D24" t="inlineStr">
        <is>
          <t>PX_LAST</t>
        </is>
      </c>
      <c r="E24" t="inlineStr">
        <is>
          <t>D</t>
        </is>
      </c>
      <c r="F24" t="inlineStr">
        <is>
          <t>ARS</t>
        </is>
      </c>
    </row>
    <row r="25">
      <c r="A25" t="inlineStr">
        <is>
          <t>Markets</t>
        </is>
      </c>
      <c r="B25" t="inlineStr">
        <is>
          <t>USD/ARS MEP</t>
        </is>
      </c>
      <c r="C25" t="inlineStr">
        <is>
          <t>ARSMEP Curncy</t>
        </is>
      </c>
      <c r="D25" t="inlineStr">
        <is>
          <t>PX_LAST</t>
        </is>
      </c>
      <c r="E25" t="inlineStr">
        <is>
          <t>D</t>
        </is>
      </c>
      <c r="F25" t="inlineStr">
        <is>
          <t>ARS</t>
        </is>
      </c>
    </row>
    <row r="26">
      <c r="A26" t="inlineStr">
        <is>
          <t>Markets</t>
        </is>
      </c>
      <c r="B26" t="inlineStr">
        <is>
          <t>USD/ARS CCL</t>
        </is>
      </c>
      <c r="C26" t="inlineStr">
        <is>
          <t>ARSCCL Curncy</t>
        </is>
      </c>
      <c r="D26" t="inlineStr">
        <is>
          <t>PX_LAST</t>
        </is>
      </c>
      <c r="E26" t="inlineStr">
        <is>
          <t>D</t>
        </is>
      </c>
      <c r="F26" t="inlineStr">
        <is>
          <t>ARS</t>
        </is>
      </c>
    </row>
    <row r="27">
      <c r="A27" t="inlineStr">
        <is>
          <t>Markets</t>
        </is>
      </c>
      <c r="B27" t="inlineStr">
        <is>
          <t>Merval</t>
        </is>
      </c>
      <c r="C27" t="inlineStr">
        <is>
          <t>MERVAL Index</t>
        </is>
      </c>
      <c r="D27" t="inlineStr">
        <is>
          <t>PX_LAST</t>
        </is>
      </c>
      <c r="E27" t="inlineStr">
        <is>
          <t>D</t>
        </is>
      </c>
      <c r="F27" t="inlineStr">
        <is>
          <t>idx</t>
        </is>
      </c>
    </row>
    <row r="28">
      <c r="A28" t="inlineStr">
        <is>
          <t>Markets</t>
        </is>
      </c>
      <c r="B28" t="inlineStr">
        <is>
          <t>Soybean CBOT</t>
        </is>
      </c>
      <c r="C28" t="inlineStr">
        <is>
          <t>S 1 Comdty</t>
        </is>
      </c>
      <c r="D28" t="inlineStr">
        <is>
          <t>PX_LAST</t>
        </is>
      </c>
      <c r="E28" t="inlineStr">
        <is>
          <t>D</t>
        </is>
      </c>
      <c r="F28" t="inlineStr">
        <is>
          <t>USD</t>
        </is>
      </c>
    </row>
  </sheetData>
  <autoFilter ref="A1:F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2026-04-26T13:41:20Z</dcterms:created>
  <dcterms:modified xmlns:dcterms="http://purl.org/dc/terms/" xmlns:xsi="http://www.w3.org/2001/XMLSchema-instance" xsi:type="dcterms:W3CDTF">2026-04-26T13:41:20Z</dcterms:modified>
</cp:coreProperties>
</file>