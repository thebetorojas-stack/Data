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in panel" sheetId="2" state="visible" r:id="rId4"/>
    <sheet name="Cross-house" sheetId="3" state="visible" r:id="rId5"/>
    <sheet name="Milei trend" sheetId="4" state="visible" r:id="rId6"/>
    <sheet name="Vote scenarios" sheetId="5" state="visible" r:id="rId7"/>
    <sheet name="Buenos Air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<sst xmlns="http://schemas.openxmlformats.org/spreadsheetml/2006/main" count="224" uniqueCount="163">
  <si>
    <t xml:space="preserve">Argentina 2027 — Milei approval and the net image of his contenders</t>
  </si>
  <si>
    <t xml:space="preserve">Polling to early August 2026. Net image = positive less negative, in percentage points.</t>
  </si>
  <si>
    <t xml:space="preserve">HOW TO USE THIS</t>
  </si>
  <si>
    <t xml:space="preserve">Never mix houses</t>
  </si>
  <si>
    <t xml:space="preserve">Argentine pollsters disagree enormously. In the SAME month of July 2026 Milei's net image reads -13.8 with one house and -27.6 with another. Both are on this sheet, kept apart. Compare a figure to other figures from the SAME poll, or compare one house to itself over time. Never take a number from one house and a number from another and compute a gap.</t>
  </si>
  <si>
    <t xml:space="preserve">Image is not approval</t>
  </si>
  <si>
    <t xml:space="preserve">'Image' asks whether you view a person favourably. 'Gestion approval' asks whether you approve of the government's performance. They are different questions with different levels. Both are here, labelled.</t>
  </si>
  <si>
    <t xml:space="preserve">Net image is not vote</t>
  </si>
  <si>
    <t xml:space="preserve">A candidate can carry a terrible net image and still win, because elections are relative. That is the single most important fact in this file: EVERY major figure is net negative. The question is not who is liked, it is who is least disliked.</t>
  </si>
  <si>
    <t xml:space="preserve">Ceilings matter more than floors</t>
  </si>
  <si>
    <t xml:space="preserve">Several houses now report 'would never vote for' figures. Milei's is around 51-57%. That is a harder constraint than his approval rating and is the number to watch.</t>
  </si>
  <si>
    <t xml:space="preserve">What's on each tab</t>
  </si>
  <si>
    <t xml:space="preserve">Main panel</t>
  </si>
  <si>
    <t xml:space="preserve">Reale Dalla Torre, late July 2026, the most complete single-house read: positive, negative and net for seven figures, plus approval and electoral potential. Use this for cross-candidate comparison.</t>
  </si>
  <si>
    <t xml:space="preserve">Cross-house</t>
  </si>
  <si>
    <t xml:space="preserve">Milei and Kicillof as measured by every house that published recently. Shows the spread.</t>
  </si>
  <si>
    <t xml:space="preserve">Milei trend</t>
  </si>
  <si>
    <t xml:space="preserve">Approval over 2026 from a single house for comparability, plus the Di Tella confidence index.</t>
  </si>
  <si>
    <t xml:space="preserve">Vote scenarios</t>
  </si>
  <si>
    <t xml:space="preserve">First round and runoff from two houses, with floors and ceilings.</t>
  </si>
  <si>
    <t xml:space="preserve">Buenos Aires</t>
  </si>
  <si>
    <t xml:space="preserve">The province on its own. It is a quarter of the electorate and behaves very differently.</t>
  </si>
  <si>
    <t xml:space="preserve">Caveat on the candidate set</t>
  </si>
  <si>
    <t xml:space="preserve">Cristina Kirchner carries a perpetual disqualification from public office. Her inclusion reflects political weight, not confirmed eligibility. Pollsters running Milei-versus-Kicillof runoffs state explicitly that a candidate refresh inside Peronism would change both the runoff result and the differentials. Treat all of this as a snapshot, not a forecast.</t>
  </si>
  <si>
    <t xml:space="preserve">Net image — Reale Dalla Torre, fielded 24-28 July 2026, n = 1,162, national</t>
  </si>
  <si>
    <t xml:space="preserve">Single house, single field period. This is the tab for comparing candidates against each other.</t>
  </si>
  <si>
    <t xml:space="preserve">Figure</t>
  </si>
  <si>
    <t xml:space="preserve">Alignment</t>
  </si>
  <si>
    <t xml:space="preserve">Positive
image %</t>
  </si>
  <si>
    <t xml:space="preserve">Negative
image %</t>
  </si>
  <si>
    <t xml:space="preserve">NET
(calculated)</t>
  </si>
  <si>
    <t xml:space="preserve">Net as
reported</t>
  </si>
  <si>
    <t xml:space="preserve">Check</t>
  </si>
  <si>
    <t xml:space="preserve">Electoral
potential %</t>
  </si>
  <si>
    <t xml:space="preserve">Would never
vote %</t>
  </si>
  <si>
    <t xml:space="preserve">Javier Milei</t>
  </si>
  <si>
    <t xml:space="preserve">LLA — incumbent</t>
  </si>
  <si>
    <t xml:space="preserve">Victoria Villarruel</t>
  </si>
  <si>
    <t xml:space="preserve">LLA — VP, estranged</t>
  </si>
  <si>
    <t xml:space="preserve">Cristina Kirchner</t>
  </si>
  <si>
    <t xml:space="preserve">Kirchnerismo / PJ</t>
  </si>
  <si>
    <t xml:space="preserve">Axel Kicillof</t>
  </si>
  <si>
    <t xml:space="preserve">Fuerza Patria / MDF</t>
  </si>
  <si>
    <t xml:space="preserve">Patricia Bullrich</t>
  </si>
  <si>
    <t xml:space="preserve">LLA — senator</t>
  </si>
  <si>
    <t xml:space="preserve">Myriam Bregman</t>
  </si>
  <si>
    <t xml:space="preserve">FIT — left</t>
  </si>
  <si>
    <t xml:space="preserve">Mauricio Macri</t>
  </si>
  <si>
    <t xml:space="preserve">PRO</t>
  </si>
  <si>
    <t xml:space="preserve">Spread, best to worst (pp)</t>
  </si>
  <si>
    <t xml:space="preserve">Government performance, same poll</t>
  </si>
  <si>
    <t xml:space="preserve">Approve</t>
  </si>
  <si>
    <t xml:space="preserve">Disapprove</t>
  </si>
  <si>
    <t xml:space="preserve">Net approval</t>
  </si>
  <si>
    <t xml:space="preserve">Approval interrupted two consecutive months of deterioration but stays capped near a third. Note it is 19pp below Milei's personal positive image — people rate the man above the government.</t>
  </si>
  <si>
    <t xml:space="preserve">Villarruel carries the lowest disapproval in the field at 46.9%. If she ran separately she would split the libertarian vote.</t>
  </si>
  <si>
    <t xml:space="preserve">The same two men, measured by different houses</t>
  </si>
  <si>
    <t xml:space="preserve">This tab exists to show you the spread. It is not a series — do not draw a line through it.</t>
  </si>
  <si>
    <t xml:space="preserve">Pollster</t>
  </si>
  <si>
    <t xml:space="preserve">Field date</t>
  </si>
  <si>
    <t xml:space="preserve">Positive %</t>
  </si>
  <si>
    <t xml:space="preserve">Negative %</t>
  </si>
  <si>
    <t xml:space="preserve">NET</t>
  </si>
  <si>
    <t xml:space="preserve">Note</t>
  </si>
  <si>
    <t xml:space="preserve">Reale Dalla Torre</t>
  </si>
  <si>
    <t xml:space="preserve">24-28 Jul 2026</t>
  </si>
  <si>
    <t xml:space="preserve">image</t>
  </si>
  <si>
    <t xml:space="preserve">Zentrix Monitor</t>
  </si>
  <si>
    <t xml:space="preserve">Jul 2026</t>
  </si>
  <si>
    <t xml:space="preserve">image; worst figure in their survey</t>
  </si>
  <si>
    <t xml:space="preserve">Poll average</t>
  </si>
  <si>
    <t xml:space="preserve">average of several houses</t>
  </si>
  <si>
    <t xml:space="preserve">Opina Argentina</t>
  </si>
  <si>
    <t xml:space="preserve">Jun 2026</t>
  </si>
  <si>
    <t xml:space="preserve">best-rated national figure in their read</t>
  </si>
  <si>
    <t xml:space="preserve">Milei's July net image is -13.8 in one house and -27.6 in another. That 14-point gap is house effect, not movement. It is why every chart in this file is single-house.</t>
  </si>
  <si>
    <t xml:space="preserve">Note the inversion: Reale Dalla Torre has Milei ahead of Kicillof on net image; Zentrix has Kicillof ahead of Milei. Which house you pick decides the story.</t>
  </si>
  <si>
    <t xml:space="preserve">Milei approval through 2026</t>
  </si>
  <si>
    <t xml:space="preserve">Two separate series, kept apart. Latam Pulse is approval of the government; the ICG is a confidence index.</t>
  </si>
  <si>
    <t xml:space="preserve">A | Latam Pulse (AtlasIntel for Bloomberg) — % approve / disapprove</t>
  </si>
  <si>
    <t xml:space="preserve">Month</t>
  </si>
  <si>
    <t xml:space="preserve">Approve %</t>
  </si>
  <si>
    <t xml:space="preserve">Disapprove %</t>
  </si>
  <si>
    <t xml:space="preserve">Net</t>
  </si>
  <si>
    <t xml:space="preserve">Basis</t>
  </si>
  <si>
    <t xml:space="preserve">Feb-26</t>
  </si>
  <si>
    <t xml:space="preserve">Implied from reported m/m moves — indicative</t>
  </si>
  <si>
    <t xml:space="preserve">Mar-26</t>
  </si>
  <si>
    <t xml:space="preserve">Published</t>
  </si>
  <si>
    <t xml:space="preserve">Apr-26</t>
  </si>
  <si>
    <t xml:space="preserve">Implied — disapproval peak</t>
  </si>
  <si>
    <t xml:space="preserve">May-26</t>
  </si>
  <si>
    <t xml:space="preserve">Jun-26</t>
  </si>
  <si>
    <t xml:space="preserve">Published, approve only</t>
  </si>
  <si>
    <t xml:space="preserve">B | Reale Dalla Torre — government performance approval</t>
  </si>
  <si>
    <t xml:space="preserve">Jul-26</t>
  </si>
  <si>
    <t xml:space="preserve">C | Di Tella confidence index (ICG) — index points, not percent</t>
  </si>
  <si>
    <t xml:space="preserve">Scale 0-5. Historically the best single predictor of incumbent electoral outcomes in Argentina.</t>
  </si>
  <si>
    <t xml:space="preserve">Metric</t>
  </si>
  <si>
    <t xml:space="preserve">Value</t>
  </si>
  <si>
    <t xml:space="preserve">Unit</t>
  </si>
  <si>
    <t xml:space="preserve">ICG level, Jul-2026 — series low</t>
  </si>
  <si>
    <t xml:space="preserve">index pts</t>
  </si>
  <si>
    <t xml:space="preserve">Change vs Jun-2026</t>
  </si>
  <si>
    <t xml:space="preserve">%</t>
  </si>
  <si>
    <t xml:space="preserve">Change year to date</t>
  </si>
  <si>
    <t xml:space="preserve">Greater Buenos Aires, Jul-2026</t>
  </si>
  <si>
    <t xml:space="preserve">CABA, Jul-2026</t>
  </si>
  <si>
    <t xml:space="preserve">Interior, Jul-2026</t>
  </si>
  <si>
    <t xml:space="preserve">Aged 18-29, Jul-2026</t>
  </si>
  <si>
    <t xml:space="preserve">The regional split is the important part: Greater Buenos Aires, the industrial belt, is deteriorating roughly twice as fast as the resource-producing interior.</t>
  </si>
  <si>
    <t xml:space="preserve">Voting intention</t>
  </si>
  <si>
    <t xml:space="preserve">Two houses, four months apart, with opposite conclusions. Both shown.</t>
  </si>
  <si>
    <t xml:space="preserve">A | Reale Dalla Torre, July 2026 — first round</t>
  </si>
  <si>
    <t xml:space="preserve">B | Delfos, 15-19 May 2026, n = 2,689</t>
  </si>
  <si>
    <t xml:space="preserve">Candidate</t>
  </si>
  <si>
    <t xml:space="preserve">Scen. 1</t>
  </si>
  <si>
    <t xml:space="preserve">Scen. 2</t>
  </si>
  <si>
    <t xml:space="preserve">Scen. 3 (full field)</t>
  </si>
  <si>
    <t xml:space="preserve">A 'new space' candidate</t>
  </si>
  <si>
    <t xml:space="preserve">Blank vote</t>
  </si>
  <si>
    <t xml:space="preserve">Juan Schiaretti</t>
  </si>
  <si>
    <t xml:space="preserve">Sergio Massa</t>
  </si>
  <si>
    <t xml:space="preserve">Juan Grabois</t>
  </si>
  <si>
    <t xml:space="preserve">Margin, Kicillof less Milei (pp)</t>
  </si>
  <si>
    <t xml:space="preserve">Sergio Unac</t>
  </si>
  <si>
    <t xml:space="preserve">Delfos also reports Milei's runoff deficit at more than twelve points, and a Net Promoter Score on the Milei vote of -43 in May, the worst since they began measuring it.</t>
  </si>
  <si>
    <t xml:space="preserve">Runoff: Milei</t>
  </si>
  <si>
    <t xml:space="preserve">Runoff: Kicillof</t>
  </si>
  <si>
    <t xml:space="preserve">Margin (pp)</t>
  </si>
  <si>
    <t xml:space="preserve">C | Floors and ceilings — the binding constraint</t>
  </si>
  <si>
    <t xml:space="preserve">Would definitely vote %</t>
  </si>
  <si>
    <t xml:space="preserve">Ceiling / potential %</t>
  </si>
  <si>
    <t xml:space="preserve">Would NEVER vote %</t>
  </si>
  <si>
    <t xml:space="preserve">Source</t>
  </si>
  <si>
    <t xml:space="preserve">Reale Dalla Torre, Jul-26</t>
  </si>
  <si>
    <t xml:space="preserve">Zentrix, Jul-26</t>
  </si>
  <si>
    <t xml:space="preserve">Reale Dalla Torre / Zentrix</t>
  </si>
  <si>
    <t xml:space="preserve">This is the table that matters most. Both leading candidates have more than half the electorate saying they would never vote for them. High floors, rigid ceilings — the 2027 race is a contest of rejection, not of enthusiasm.</t>
  </si>
  <si>
    <t xml:space="preserve">Buenos Aires province on its own — May 2026</t>
  </si>
  <si>
    <t xml:space="preserve">A quarter of the national electorate, and it behaves nothing like the national average.</t>
  </si>
  <si>
    <t xml:space="preserve">Karina Milei</t>
  </si>
  <si>
    <t xml:space="preserve">Mood</t>
  </si>
  <si>
    <t xml:space="preserve">Say provincial situation is bad or very bad %</t>
  </si>
  <si>
    <t xml:space="preserve">Express hope about the future %</t>
  </si>
  <si>
    <t xml:space="preserve">Report predominantly negative emotions %</t>
  </si>
  <si>
    <t xml:space="preserve">Kicillof is the only figure in the country with a positive net image anywhere, and it is here. Milei is at -32 in the province against roughly -14 to -28 nationally. This is the industrial belt, and it is also where the Di Tella confidence index is falling fastest.</t>
  </si>
  <si>
    <t xml:space="preserve">Sources and field details</t>
  </si>
  <si>
    <t xml:space="preserve">National survey fielded 24-28 July 2026, n = 1,162. Reported by Perfil and MDZ. The most complete single-house panel available; used for the Main panel tab.</t>
  </si>
  <si>
    <t xml:space="preserve">Zentrix</t>
  </si>
  <si>
    <t xml:space="preserve">Monitor de Opinion Publica, July 2026. Reported by iProfesional.</t>
  </si>
  <si>
    <t xml:space="preserve">Delfos</t>
  </si>
  <si>
    <t xml:space="preserve">National survey fielded 15-19 May 2026, n = 2,689, margin of error +/- 1.9%. Reported by El Destape.</t>
  </si>
  <si>
    <t xml:space="preserve">June 2026, reported by Perfil.</t>
  </si>
  <si>
    <t xml:space="preserve">Latam Pulse</t>
  </si>
  <si>
    <t xml:space="preserve">AtlasIntel for Bloomberg News, monthly 2026 releases.</t>
  </si>
  <si>
    <t xml:space="preserve">Di Tella ICG</t>
  </si>
  <si>
    <t xml:space="preserve">Universidad Torcuato Di Tella, Indice de Confianza en el Gobierno, July 2026.</t>
  </si>
  <si>
    <t xml:space="preserve">Buenos Aires panel</t>
  </si>
  <si>
    <t xml:space="preserve">Provincial survey, May 2026, reported by InfoPlatense.</t>
  </si>
  <si>
    <t xml:space="preserve">Cited by Filo News, July 2026, as the average negative image across measurements.</t>
  </si>
  <si>
    <t xml:space="preserve">Prepared</t>
  </si>
  <si>
    <t xml:space="preserve">4 August 2026. Polling is a snapshot; refresh before using in a dated note.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</si>
</sst>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;\-"/>
    <numFmt numFmtId="166" formatCode="\+0.0;\-0.0;\-"/>
    <numFmt numFmtId="167" formatCode="0.0"/>
    <numFmt numFmtId="168" formatCode="#,##0.00;\(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1F3B63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sz val="8"/>
      <color rgb="FF6B6B6B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6B6B6B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B63"/>
        <bgColor rgb="FF2F5C8F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B6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C00000"/>
        <sz val="9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D1495B"/>
      <rgbColor rgb="FFF2F4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F3B63"/>
      <rgbColor rgb="FF4F9D69"/>
      <rgbColor rgb="FF003300"/>
      <rgbColor rgb="FF333300"/>
      <rgbColor rgb="FF993300"/>
      <rgbColor rgb="FF993366"/>
      <rgbColor rgb="FF2F5C8F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image, July 2026 (pp)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'Main panel'!G7</c:f>
              <c:strCache>
                <c:ptCount val="1"/>
                <c:pt idx="0">
                  <c:v>Net as
reported</c:v>
                </c:pt>
              </c:strCache>
            </c:strRef>
          </c:tx>
          <c:spPr>
            <a:solidFill>
              <a:srgbClr val="2f5c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'Main panel'!$B$8:$B$14</c:f>
              <c:strCache>
                <c:ptCount val="7"/>
                <c:pt idx="0">
                  <c:v>Javier Milei</c:v>
                </c:pt>
                <c:pt idx="1">
                  <c:v>Victoria Villarruel</c:v>
                </c:pt>
                <c:pt idx="2">
                  <c:v>Cristina Kirchner</c:v>
                </c:pt>
                <c:pt idx="3">
                  <c:v>Axel Kicillof</c:v>
                </c:pt>
                <c:pt idx="4">
                  <c:v>Patricia Bullrich</c:v>
                </c:pt>
                <c:pt idx="5">
                  <c:v>Myriam Bregman</c:v>
                </c:pt>
                <c:pt idx="6">
                  <c:v>Mauricio Macri</c:v>
                </c:pt>
              </c:strCache>
            </c:strRef>
          </c:cat>
          <c:val>
            <c:numRef>
              <c:f>'Main panel'!$G$8:$G$14</c:f>
              <c:numCache>
                <c:formatCode>\+0.0;\-0.0;\-</c:formatCode>
                <c:ptCount val="7"/>
                <c:pt idx="0">
                  <c:v>-13.8</c:v>
                </c:pt>
                <c:pt idx="1">
                  <c:v>-16.1</c:v>
                </c:pt>
                <c:pt idx="2">
                  <c:v>-23.4</c:v>
                </c:pt>
                <c:pt idx="3">
                  <c:v>-26</c:v>
                </c:pt>
                <c:pt idx="6">
                  <c:v>-44.8</c:v>
                </c:pt>
              </c:numCache>
            </c:numRef>
          </c:val>
        </c:ser>
        <c:gapWidth val="150"/>
        <c:overlap val="0"/>
        <c:axId val="14809852"/>
        <c:axId val="84313625"/>
      </c:barChart>
      <c:catAx>
        <c:axId val="148098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13625"/>
        <c:crosses val="autoZero"/>
        <c:auto val="1"/>
        <c:lblAlgn val="ctr"/>
        <c:lblOffset val="100"/>
        <c:noMultiLvlLbl val="0"/>
      </c:catAx>
      <c:valAx>
        <c:axId val="84313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098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Milei approval vs disapproval, 2026 (Latam Pulse)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'Milei trend'!C7</c:f>
              <c:strCache>
                <c:ptCount val="1"/>
                <c:pt idx="0">
                  <c:v>Approve %</c:v>
                </c:pt>
              </c:strCache>
            </c:strRef>
          </c:tx>
          <c:spPr>
            <a:solidFill>
              <a:srgbClr val="4f9d69"/>
            </a:solidFill>
            <a:ln w="28080">
              <a:solidFill>
                <a:srgbClr val="4f9d6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'Milei trend'!$B$8:$B$12</c:f>
              <c:strCache>
                <c:ptCount val="5"/>
                <c:pt idx="0">
                  <c:v>Feb-26</c:v>
                </c:pt>
                <c:pt idx="1">
                  <c:v>Mar-26</c:v>
                </c:pt>
                <c:pt idx="2">
                  <c:v>Apr-26</c:v>
                </c:pt>
                <c:pt idx="3">
                  <c:v>May-26</c:v>
                </c:pt>
                <c:pt idx="4">
                  <c:v>Jun-26</c:v>
                </c:pt>
              </c:strCache>
            </c:strRef>
          </c:cat>
          <c:val>
            <c:numRef>
              <c:f>'Milei trend'!$C$8:$C$12</c:f>
              <c:numCache>
                <c:formatCode>#,##0.0;\(#,##0.0\);\-</c:formatCode>
                <c:ptCount val="5"/>
                <c:pt idx="0">
                  <c:v>41.4</c:v>
                </c:pt>
                <c:pt idx="1">
                  <c:v>36.4</c:v>
                </c:pt>
                <c:pt idx="2">
                  <c:v>36</c:v>
                </c:pt>
                <c:pt idx="3">
                  <c:v>40</c:v>
                </c:pt>
                <c:pt idx="4">
                  <c:v>39.7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'Milei trend'!D7</c:f>
              <c:strCache>
                <c:ptCount val="1"/>
                <c:pt idx="0">
                  <c:v>Disapprove %</c:v>
                </c:pt>
              </c:strCache>
            </c:strRef>
          </c:tx>
          <c:spPr>
            <a:solidFill>
              <a:srgbClr val="d1495b"/>
            </a:solidFill>
            <a:ln w="2808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'Milei trend'!$B$8:$B$12</c:f>
              <c:strCache>
                <c:ptCount val="5"/>
                <c:pt idx="0">
                  <c:v>Feb-26</c:v>
                </c:pt>
                <c:pt idx="1">
                  <c:v>Mar-26</c:v>
                </c:pt>
                <c:pt idx="2">
                  <c:v>Apr-26</c:v>
                </c:pt>
                <c:pt idx="3">
                  <c:v>May-26</c:v>
                </c:pt>
                <c:pt idx="4">
                  <c:v>Jun-26</c:v>
                </c:pt>
              </c:strCache>
            </c:strRef>
          </c:cat>
          <c:val>
            <c:numRef>
              <c:f>'Milei trend'!$D$8:$D$12</c:f>
              <c:numCache>
                <c:formatCode>#,##0.0;\(#,##0.0\);\-</c:formatCode>
                <c:ptCount val="5"/>
                <c:pt idx="0">
                  <c:v>56</c:v>
                </c:pt>
                <c:pt idx="1">
                  <c:v>62</c:v>
                </c:pt>
                <c:pt idx="2">
                  <c:v>63</c:v>
                </c:pt>
                <c:pt idx="3">
                  <c:v>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875525"/>
        <c:axId val="71335261"/>
      </c:lineChart>
      <c:catAx>
        <c:axId val="138755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35261"/>
        <c:crosses val="autoZero"/>
        <c:auto val="1"/>
        <c:lblAlgn val="ctr"/>
        <c:lblOffset val="100"/>
        <c:noMultiLvlLbl val="0"/>
      </c:catAx>
      <c:valAx>
        <c:axId val="71335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755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image in Buenos Aires province (pp)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'Buenos Aires'!E7</c:f>
              <c:strCache>
                <c:ptCount val="1"/>
                <c:pt idx="0">
                  <c:v>NET</c:v>
                </c:pt>
              </c:strCache>
            </c:strRef>
          </c:tx>
          <c:spPr>
            <a:solidFill>
              <a:srgbClr val="d149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'Buenos Aires'!$B$8:$B$14</c:f>
              <c:strCache>
                <c:ptCount val="7"/>
                <c:pt idx="0">
                  <c:v>Axel Kicillof</c:v>
                </c:pt>
                <c:pt idx="1">
                  <c:v>Cristina Kirchner</c:v>
                </c:pt>
                <c:pt idx="2">
                  <c:v>Sergio Massa</c:v>
                </c:pt>
                <c:pt idx="3">
                  <c:v>Javier Milei</c:v>
                </c:pt>
                <c:pt idx="4">
                  <c:v>Mauricio Macri</c:v>
                </c:pt>
                <c:pt idx="5">
                  <c:v>Victoria Villarruel</c:v>
                </c:pt>
                <c:pt idx="6">
                  <c:v>Karina Milei</c:v>
                </c:pt>
              </c:strCache>
            </c:strRef>
          </c:cat>
          <c:val>
            <c:numRef>
              <c:f>'Buenos Aires'!$E$8:$E$14</c:f>
              <c:numCache>
                <c:formatCode>\+0.0;\-0.0;\-</c:formatCode>
                <c:ptCount val="7"/>
                <c:pt idx="0">
                  <c:v>4</c:v>
                </c:pt>
                <c:pt idx="1">
                  <c:v>-4</c:v>
                </c:pt>
                <c:pt idx="2">
                  <c:v>-22</c:v>
                </c:pt>
                <c:pt idx="3">
                  <c:v>-32</c:v>
                </c:pt>
                <c:pt idx="4">
                  <c:v>-42</c:v>
                </c:pt>
                <c:pt idx="5">
                  <c:v>-42</c:v>
                </c:pt>
                <c:pt idx="6">
                  <c:v>-60</c:v>
                </c:pt>
              </c:numCache>
            </c:numRef>
          </c:val>
        </c:ser>
        <c:gapWidth val="150"/>
        <c:overlap val="0"/>
        <c:axId val="70567250"/>
        <c:axId val="47902109"/>
      </c:barChart>
      <c:catAx>
        <c:axId val="70567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02109"/>
        <c:crosses val="autoZero"/>
        <c:auto val="1"/>
        <c:lblAlgn val="ctr"/>
        <c:lblOffset val="100"/>
        <c:noMultiLvlLbl val="0"/>
      </c:catAx>
      <c:valAx>
        <c:axId val="47902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67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</xdr:row>
      <xdr:rowOff>0</xdr:rowOff>
    </xdr:from>
    <xdr:to>
      <xdr:col>26</xdr:col>
      <xdr:colOff>186840</xdr:colOff>
      <xdr:row>25</xdr:row>
      <xdr:rowOff>81000</xdr:rowOff>
    </xdr:to>
    <xdr:graphicFrame>
      <xdr:nvGraphicFramePr>
        <xdr:cNvPr id="0" name="Chart 1"/>
        <xdr:cNvGraphicFramePr/>
      </xdr:nvGraphicFramePr>
      <xdr:xfrm>
        <a:off x="10197360" y="89532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22</xdr:col>
      <xdr:colOff>186840</xdr:colOff>
      <xdr:row>22</xdr:row>
      <xdr:rowOff>414360</xdr:rowOff>
    </xdr:to>
    <xdr:graphicFrame>
      <xdr:nvGraphicFramePr>
        <xdr:cNvPr id="1" name="Chart 1"/>
        <xdr:cNvGraphicFramePr/>
      </xdr:nvGraphicFramePr>
      <xdr:xfrm>
        <a:off x="9563040" y="89532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22</xdr:col>
      <xdr:colOff>187200</xdr:colOff>
      <xdr:row>25</xdr:row>
      <xdr:rowOff>81000</xdr:rowOff>
    </xdr:to>
    <xdr:graphicFrame>
      <xdr:nvGraphicFramePr>
        <xdr:cNvPr id="2" name="Chart 1"/>
        <xdr:cNvGraphicFramePr/>
      </xdr:nvGraphicFramePr>
      <xdr:xfrm>
        <a:off x="5734080" y="89532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04"/>
  </cols>
  <sheetData>
    <row r="2" customFormat="false" ht="25.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3.5" hidden="false" customHeight="true" outlineLevel="0" collapsed="false">
      <c r="B6" s="4" t="s">
        <v>3</v>
      </c>
      <c r="C6" s="5" t="s">
        <v>4</v>
      </c>
    </row>
    <row r="7" customFormat="false" ht="33" hidden="false" customHeight="true" outlineLevel="0" collapsed="false">
      <c r="B7" s="4" t="s">
        <v>5</v>
      </c>
      <c r="C7" s="5" t="s">
        <v>6</v>
      </c>
    </row>
    <row r="8" customFormat="false" ht="33" hidden="false" customHeight="true" outlineLevel="0" collapsed="false">
      <c r="B8" s="4" t="s">
        <v>7</v>
      </c>
      <c r="C8" s="5" t="s">
        <v>8</v>
      </c>
    </row>
    <row r="9" customFormat="false" ht="21.75" hidden="false" customHeight="tru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3" t="s">
        <v>11</v>
      </c>
    </row>
    <row r="12" customFormat="false" ht="21.75" hidden="false" customHeight="true" outlineLevel="0" collapsed="false">
      <c r="B12" s="4" t="s">
        <v>12</v>
      </c>
      <c r="C12" s="5" t="s">
        <v>13</v>
      </c>
    </row>
    <row r="13" customFormat="false" ht="12" hidden="false" customHeight="true" outlineLevel="0" collapsed="false">
      <c r="B13" s="4" t="s">
        <v>14</v>
      </c>
      <c r="C13" s="5" t="s">
        <v>15</v>
      </c>
    </row>
    <row r="14" customFormat="false" ht="12" hidden="false" customHeight="true" outlineLevel="0" collapsed="false">
      <c r="B14" s="4" t="s">
        <v>16</v>
      </c>
      <c r="C14" s="5" t="s">
        <v>17</v>
      </c>
    </row>
    <row r="15" customFormat="false" ht="12" hidden="false" customHeight="true" outlineLevel="0" collapsed="false">
      <c r="B15" s="4" t="s">
        <v>18</v>
      </c>
      <c r="C15" s="5" t="s">
        <v>19</v>
      </c>
    </row>
    <row r="16" customFormat="false" ht="12" hidden="false" customHeight="true" outlineLevel="0" collapsed="false">
      <c r="B16" s="4" t="s">
        <v>20</v>
      </c>
      <c r="C16" s="5" t="s">
        <v>21</v>
      </c>
    </row>
    <row r="17" customFormat="false" ht="15" hidden="false" customHeight="false" outlineLevel="0" collapsed="false">
      <c r="B17" s="3"/>
    </row>
    <row r="18" customFormat="false" ht="43.5" hidden="false" customHeight="true" outlineLevel="0" collapsed="false">
      <c r="B18" s="4" t="s">
        <v>22</v>
      </c>
      <c r="C18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7" min="4" style="0" width="12"/>
    <col collapsed="false" customWidth="true" hidden="false" outlineLevel="0" max="8" min="8" style="0" width="10"/>
    <col collapsed="false" customWidth="true" hidden="false" outlineLevel="0" max="10" min="9" style="0" width="13"/>
  </cols>
  <sheetData>
    <row r="2" customFormat="false" ht="25.5" hidden="false" customHeight="true" outlineLevel="0" collapsed="false">
      <c r="B2" s="1" t="s">
        <v>24</v>
      </c>
    </row>
    <row r="3" customFormat="false" ht="15" hidden="false" customHeight="false" outlineLevel="0" collapsed="false">
      <c r="B3" s="2" t="s">
        <v>25</v>
      </c>
    </row>
    <row r="7" customFormat="false" ht="33.75" hidden="false" customHeight="true" outlineLevel="0" collapsed="false">
      <c r="B7" s="6" t="s">
        <v>26</v>
      </c>
      <c r="C7" s="6" t="s">
        <v>27</v>
      </c>
      <c r="D7" s="6" t="s">
        <v>28</v>
      </c>
      <c r="E7" s="6" t="s">
        <v>29</v>
      </c>
      <c r="F7" s="6" t="s">
        <v>30</v>
      </c>
      <c r="G7" s="6" t="s">
        <v>31</v>
      </c>
      <c r="H7" s="6" t="s">
        <v>32</v>
      </c>
      <c r="I7" s="6" t="s">
        <v>33</v>
      </c>
      <c r="J7" s="6" t="s">
        <v>34</v>
      </c>
    </row>
    <row r="8" customFormat="false" ht="15" hidden="false" customHeight="false" outlineLevel="0" collapsed="false">
      <c r="B8" s="4" t="s">
        <v>35</v>
      </c>
      <c r="C8" s="7" t="s">
        <v>36</v>
      </c>
      <c r="D8" s="8" t="n">
        <v>39.3</v>
      </c>
      <c r="E8" s="8" t="n">
        <v>53.1</v>
      </c>
      <c r="F8" s="9" t="n">
        <f aca="false">IF(AND(ISNUMBER(D8),ISNUMBER(E8)),D8-E8,"n/p")</f>
        <v>-13.8</v>
      </c>
      <c r="G8" s="10" t="n">
        <v>-13.8</v>
      </c>
      <c r="H8" s="11" t="str">
        <f aca="false">IF(ISNUMBER(F8),IF(ROUND(F8-G8,1)=0,"ok","CHECK"),"split n/p")</f>
        <v>ok</v>
      </c>
      <c r="I8" s="8" t="n">
        <v>42.6</v>
      </c>
      <c r="J8" s="8" t="n">
        <v>51.5</v>
      </c>
    </row>
    <row r="9" customFormat="false" ht="15" hidden="false" customHeight="false" outlineLevel="0" collapsed="false">
      <c r="B9" s="12" t="s">
        <v>37</v>
      </c>
      <c r="C9" s="7" t="s">
        <v>38</v>
      </c>
      <c r="D9" s="8" t="n">
        <v>30</v>
      </c>
      <c r="E9" s="8" t="n">
        <v>46.1</v>
      </c>
      <c r="F9" s="9" t="n">
        <f aca="false">IF(AND(ISNUMBER(D9),ISNUMBER(E9)),D9-E9,"n/p")</f>
        <v>-16.1</v>
      </c>
      <c r="G9" s="10" t="n">
        <v>-16.1</v>
      </c>
      <c r="H9" s="11" t="str">
        <f aca="false">IF(ISNUMBER(F9),IF(ROUND(F9-G9,1)=0,"ok","CHECK"),"split n/p")</f>
        <v>ok</v>
      </c>
      <c r="I9" s="8" t="n">
        <v>33.5</v>
      </c>
    </row>
    <row r="10" customFormat="false" ht="15" hidden="false" customHeight="false" outlineLevel="0" collapsed="false">
      <c r="B10" s="12" t="s">
        <v>39</v>
      </c>
      <c r="C10" s="7" t="s">
        <v>40</v>
      </c>
      <c r="D10" s="8" t="n">
        <v>33.8</v>
      </c>
      <c r="E10" s="8" t="n">
        <v>57.2</v>
      </c>
      <c r="F10" s="9" t="n">
        <f aca="false">IF(AND(ISNUMBER(D10),ISNUMBER(E10)),D10-E10,"n/p")</f>
        <v>-23.4</v>
      </c>
      <c r="G10" s="10" t="n">
        <v>-23.4</v>
      </c>
      <c r="H10" s="11" t="str">
        <f aca="false">IF(ISNUMBER(F10),IF(ROUND(F10-G10,1)=0,"ok","CHECK"),"split n/p")</f>
        <v>ok</v>
      </c>
    </row>
    <row r="11" customFormat="false" ht="15" hidden="false" customHeight="false" outlineLevel="0" collapsed="false">
      <c r="B11" s="12" t="s">
        <v>41</v>
      </c>
      <c r="C11" s="7" t="s">
        <v>42</v>
      </c>
      <c r="D11" s="8" t="n">
        <v>29.5</v>
      </c>
      <c r="E11" s="8" t="n">
        <v>55.5</v>
      </c>
      <c r="F11" s="9" t="n">
        <f aca="false">IF(AND(ISNUMBER(D11),ISNUMBER(E11)),D11-E11,"n/p")</f>
        <v>-26</v>
      </c>
      <c r="G11" s="10" t="n">
        <v>-26</v>
      </c>
      <c r="H11" s="11" t="str">
        <f aca="false">IF(ISNUMBER(F11),IF(ROUND(F11-G11,1)=0,"ok","CHECK"),"split n/p")</f>
        <v>ok</v>
      </c>
      <c r="I11" s="8" t="n">
        <v>33.2</v>
      </c>
    </row>
    <row r="12" customFormat="false" ht="15" hidden="false" customHeight="false" outlineLevel="0" collapsed="false">
      <c r="B12" s="12" t="s">
        <v>43</v>
      </c>
      <c r="C12" s="7" t="s">
        <v>44</v>
      </c>
      <c r="D12" s="8" t="n">
        <v>31.2</v>
      </c>
      <c r="F12" s="9" t="str">
        <f aca="false">IF(AND(ISNUMBER(D12),ISNUMBER(E12)),D12-E12,"n/p")</f>
        <v>n/p</v>
      </c>
    </row>
    <row r="13" customFormat="false" ht="15" hidden="false" customHeight="false" outlineLevel="0" collapsed="false">
      <c r="B13" s="12" t="s">
        <v>45</v>
      </c>
      <c r="C13" s="7" t="s">
        <v>46</v>
      </c>
      <c r="D13" s="8" t="n">
        <v>23.5</v>
      </c>
      <c r="F13" s="9" t="str">
        <f aca="false">IF(AND(ISNUMBER(D13),ISNUMBER(E13)),D13-E13,"n/p")</f>
        <v>n/p</v>
      </c>
      <c r="I13" s="8" t="n">
        <v>28.4</v>
      </c>
    </row>
    <row r="14" customFormat="false" ht="15" hidden="false" customHeight="false" outlineLevel="0" collapsed="false">
      <c r="B14" s="12" t="s">
        <v>47</v>
      </c>
      <c r="C14" s="7" t="s">
        <v>48</v>
      </c>
      <c r="D14" s="8" t="n">
        <v>21.6</v>
      </c>
      <c r="E14" s="8" t="n">
        <v>66.4</v>
      </c>
      <c r="F14" s="9" t="n">
        <f aca="false">IF(AND(ISNUMBER(D14),ISNUMBER(E14)),D14-E14,"n/p")</f>
        <v>-44.8</v>
      </c>
      <c r="G14" s="10" t="n">
        <v>-44.8</v>
      </c>
      <c r="H14" s="11" t="str">
        <f aca="false">IF(ISNUMBER(F14),IF(ROUND(F14-G14,1)=0,"ok","CHECK"),"split n/p")</f>
        <v>ok</v>
      </c>
      <c r="I14" s="8" t="n">
        <v>27.1</v>
      </c>
    </row>
    <row r="16" customFormat="false" ht="15" hidden="false" customHeight="false" outlineLevel="0" collapsed="false">
      <c r="B16" s="4" t="s">
        <v>49</v>
      </c>
      <c r="G16" s="13" t="n">
        <f aca="false">MAX(G8:G14)-MIN(G8:G14)</f>
        <v>31</v>
      </c>
    </row>
    <row r="18" customFormat="false" ht="15" hidden="false" customHeight="false" outlineLevel="0" collapsed="false">
      <c r="B18" s="3" t="s">
        <v>50</v>
      </c>
    </row>
    <row r="19" customFormat="false" ht="15" hidden="false" customHeight="false" outlineLevel="0" collapsed="false">
      <c r="B19" s="12" t="s">
        <v>51</v>
      </c>
      <c r="D19" s="8" t="n">
        <v>32.6</v>
      </c>
    </row>
    <row r="20" customFormat="false" ht="15" hidden="false" customHeight="false" outlineLevel="0" collapsed="false">
      <c r="B20" s="12" t="s">
        <v>52</v>
      </c>
      <c r="D20" s="8" t="n">
        <v>54.4</v>
      </c>
    </row>
    <row r="21" customFormat="false" ht="15" hidden="false" customHeight="false" outlineLevel="0" collapsed="false">
      <c r="B21" s="4" t="s">
        <v>53</v>
      </c>
      <c r="D21" s="14" t="n">
        <f aca="false">D19-D20</f>
        <v>-21.8</v>
      </c>
    </row>
    <row r="23" customFormat="false" ht="15" hidden="false" customHeight="false" outlineLevel="0" collapsed="false">
      <c r="B23" s="15" t="s">
        <v>54</v>
      </c>
    </row>
    <row r="24" customFormat="false" ht="15" hidden="false" customHeight="false" outlineLevel="0" collapsed="false">
      <c r="B24" s="15" t="s">
        <v>55</v>
      </c>
    </row>
  </sheetData>
  <conditionalFormatting sqref="F8:G1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40"/>
  </cols>
  <sheetData>
    <row r="2" customFormat="false" ht="25.5" hidden="false" customHeight="true" outlineLevel="0" collapsed="false">
      <c r="B2" s="1" t="s">
        <v>56</v>
      </c>
    </row>
    <row r="3" customFormat="false" ht="15" hidden="false" customHeight="false" outlineLevel="0" collapsed="false">
      <c r="B3" s="2" t="s">
        <v>57</v>
      </c>
    </row>
    <row r="7" customFormat="false" ht="33.75" hidden="false" customHeight="true" outlineLevel="0" collapsed="false">
      <c r="B7" s="6" t="s">
        <v>58</v>
      </c>
      <c r="C7" s="6" t="s">
        <v>59</v>
      </c>
      <c r="D7" s="6" t="s">
        <v>26</v>
      </c>
      <c r="E7" s="6" t="s">
        <v>60</v>
      </c>
      <c r="F7" s="6" t="s">
        <v>61</v>
      </c>
      <c r="G7" s="6" t="s">
        <v>62</v>
      </c>
      <c r="H7" s="6" t="s">
        <v>63</v>
      </c>
    </row>
    <row r="8" customFormat="false" ht="15" hidden="false" customHeight="false" outlineLevel="0" collapsed="false">
      <c r="B8" s="12" t="s">
        <v>64</v>
      </c>
      <c r="C8" s="7" t="s">
        <v>65</v>
      </c>
      <c r="D8" s="12" t="s">
        <v>35</v>
      </c>
      <c r="E8" s="8" t="n">
        <v>39.3</v>
      </c>
      <c r="F8" s="8" t="n">
        <v>53.1</v>
      </c>
      <c r="G8" s="9" t="n">
        <f aca="false">IF(AND(ISNUMBER(E8),ISNUMBER(F8)),E8-F8,"n/p")</f>
        <v>-13.8</v>
      </c>
      <c r="H8" s="15" t="s">
        <v>66</v>
      </c>
    </row>
    <row r="9" customFormat="false" ht="15" hidden="false" customHeight="false" outlineLevel="0" collapsed="false">
      <c r="B9" s="12" t="s">
        <v>67</v>
      </c>
      <c r="C9" s="7" t="s">
        <v>68</v>
      </c>
      <c r="D9" s="12" t="s">
        <v>35</v>
      </c>
      <c r="E9" s="8" t="n">
        <v>30.9</v>
      </c>
      <c r="F9" s="8" t="n">
        <v>58.5</v>
      </c>
      <c r="G9" s="9" t="n">
        <f aca="false">IF(AND(ISNUMBER(E9),ISNUMBER(F9)),E9-F9,"n/p")</f>
        <v>-27.6</v>
      </c>
      <c r="H9" s="15" t="s">
        <v>69</v>
      </c>
    </row>
    <row r="10" customFormat="false" ht="15" hidden="false" customHeight="false" outlineLevel="0" collapsed="false">
      <c r="B10" s="12" t="s">
        <v>70</v>
      </c>
      <c r="C10" s="7" t="s">
        <v>68</v>
      </c>
      <c r="D10" s="12" t="s">
        <v>35</v>
      </c>
      <c r="F10" s="8" t="n">
        <v>52</v>
      </c>
      <c r="G10" s="9" t="str">
        <f aca="false">IF(AND(ISNUMBER(E10),ISNUMBER(F10)),E10-F10,"n/p")</f>
        <v>n/p</v>
      </c>
      <c r="H10" s="15" t="s">
        <v>71</v>
      </c>
    </row>
    <row r="11" customFormat="false" ht="15" hidden="false" customHeight="false" outlineLevel="0" collapsed="false">
      <c r="B11" s="12" t="s">
        <v>64</v>
      </c>
      <c r="C11" s="7" t="s">
        <v>65</v>
      </c>
      <c r="D11" s="12" t="s">
        <v>41</v>
      </c>
      <c r="E11" s="8" t="n">
        <v>29.5</v>
      </c>
      <c r="F11" s="8" t="n">
        <v>55.5</v>
      </c>
      <c r="G11" s="9" t="n">
        <f aca="false">IF(AND(ISNUMBER(E11),ISNUMBER(F11)),E11-F11,"n/p")</f>
        <v>-26</v>
      </c>
      <c r="H11" s="15" t="s">
        <v>66</v>
      </c>
    </row>
    <row r="12" customFormat="false" ht="15" hidden="false" customHeight="false" outlineLevel="0" collapsed="false">
      <c r="B12" s="12" t="s">
        <v>67</v>
      </c>
      <c r="C12" s="7" t="s">
        <v>68</v>
      </c>
      <c r="D12" s="12" t="s">
        <v>41</v>
      </c>
      <c r="E12" s="8" t="n">
        <v>35.4</v>
      </c>
      <c r="F12" s="8" t="n">
        <v>51.5</v>
      </c>
      <c r="G12" s="9" t="n">
        <f aca="false">IF(AND(ISNUMBER(E12),ISNUMBER(F12)),E12-F12,"n/p")</f>
        <v>-16.1</v>
      </c>
      <c r="H12" s="15" t="s">
        <v>66</v>
      </c>
    </row>
    <row r="13" customFormat="false" ht="15" hidden="false" customHeight="false" outlineLevel="0" collapsed="false">
      <c r="B13" s="12" t="s">
        <v>72</v>
      </c>
      <c r="C13" s="7" t="s">
        <v>73</v>
      </c>
      <c r="D13" s="12" t="s">
        <v>41</v>
      </c>
      <c r="E13" s="8" t="n">
        <v>44</v>
      </c>
      <c r="F13" s="8" t="n">
        <v>52</v>
      </c>
      <c r="G13" s="9" t="n">
        <f aca="false">IF(AND(ISNUMBER(E13),ISNUMBER(F13)),E13-F13,"n/p")</f>
        <v>-8</v>
      </c>
      <c r="H13" s="15" t="s">
        <v>74</v>
      </c>
    </row>
    <row r="14" customFormat="false" ht="15" hidden="false" customHeight="false" outlineLevel="0" collapsed="false">
      <c r="B14" s="12" t="s">
        <v>70</v>
      </c>
      <c r="C14" s="7" t="s">
        <v>68</v>
      </c>
      <c r="D14" s="12" t="s">
        <v>41</v>
      </c>
      <c r="F14" s="8" t="n">
        <v>52</v>
      </c>
      <c r="G14" s="9" t="str">
        <f aca="false">IF(AND(ISNUMBER(E14),ISNUMBER(F14)),E14-F14,"n/p")</f>
        <v>n/p</v>
      </c>
      <c r="H14" s="15" t="s">
        <v>71</v>
      </c>
    </row>
    <row r="16" customFormat="false" ht="15" hidden="false" customHeight="false" outlineLevel="0" collapsed="false">
      <c r="B16" s="15" t="s">
        <v>75</v>
      </c>
    </row>
    <row r="17" customFormat="false" ht="15" hidden="false" customHeight="false" outlineLevel="0" collapsed="false">
      <c r="B17" s="15" t="s">
        <v>76</v>
      </c>
    </row>
  </sheetData>
  <conditionalFormatting sqref="G8:G1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52"/>
  </cols>
  <sheetData>
    <row r="2" customFormat="false" ht="25.5" hidden="false" customHeight="true" outlineLevel="0" collapsed="false">
      <c r="B2" s="1" t="s">
        <v>77</v>
      </c>
    </row>
    <row r="3" customFormat="false" ht="15" hidden="false" customHeight="false" outlineLevel="0" collapsed="false">
      <c r="B3" s="2" t="s">
        <v>78</v>
      </c>
    </row>
    <row r="5" customFormat="false" ht="15" hidden="false" customHeight="false" outlineLevel="0" collapsed="false">
      <c r="B5" s="3" t="s">
        <v>79</v>
      </c>
    </row>
    <row r="7" customFormat="false" ht="33.75" hidden="false" customHeight="true" outlineLevel="0" collapsed="false">
      <c r="B7" s="6" t="s">
        <v>80</v>
      </c>
      <c r="C7" s="6" t="s">
        <v>81</v>
      </c>
      <c r="D7" s="6" t="s">
        <v>82</v>
      </c>
      <c r="E7" s="6" t="s">
        <v>83</v>
      </c>
      <c r="F7" s="6" t="s">
        <v>84</v>
      </c>
    </row>
    <row r="8" customFormat="false" ht="15" hidden="false" customHeight="false" outlineLevel="0" collapsed="false">
      <c r="B8" s="12" t="s">
        <v>85</v>
      </c>
      <c r="C8" s="8" t="n">
        <v>41.4</v>
      </c>
      <c r="D8" s="8" t="n">
        <v>56</v>
      </c>
      <c r="E8" s="9" t="n">
        <f aca="false">IF(AND(ISNUMBER(C8),ISNUMBER(D8)),C8-D8,"n/p")</f>
        <v>-14.6</v>
      </c>
      <c r="F8" s="15" t="s">
        <v>86</v>
      </c>
    </row>
    <row r="9" customFormat="false" ht="15" hidden="false" customHeight="false" outlineLevel="0" collapsed="false">
      <c r="B9" s="12" t="s">
        <v>87</v>
      </c>
      <c r="C9" s="8" t="n">
        <v>36.4</v>
      </c>
      <c r="D9" s="8" t="n">
        <v>62</v>
      </c>
      <c r="E9" s="9" t="n">
        <f aca="false">IF(AND(ISNUMBER(C9),ISNUMBER(D9)),C9-D9,"n/p")</f>
        <v>-25.6</v>
      </c>
      <c r="F9" s="15" t="s">
        <v>88</v>
      </c>
    </row>
    <row r="10" customFormat="false" ht="15" hidden="false" customHeight="false" outlineLevel="0" collapsed="false">
      <c r="B10" s="12" t="s">
        <v>89</v>
      </c>
      <c r="C10" s="8" t="n">
        <v>36</v>
      </c>
      <c r="D10" s="8" t="n">
        <v>63</v>
      </c>
      <c r="E10" s="9" t="n">
        <f aca="false">IF(AND(ISNUMBER(C10),ISNUMBER(D10)),C10-D10,"n/p")</f>
        <v>-27</v>
      </c>
      <c r="F10" s="15" t="s">
        <v>90</v>
      </c>
    </row>
    <row r="11" customFormat="false" ht="15" hidden="false" customHeight="false" outlineLevel="0" collapsed="false">
      <c r="B11" s="12" t="s">
        <v>91</v>
      </c>
      <c r="C11" s="8" t="n">
        <v>40</v>
      </c>
      <c r="D11" s="8" t="n">
        <v>58</v>
      </c>
      <c r="E11" s="9" t="n">
        <f aca="false">IF(AND(ISNUMBER(C11),ISNUMBER(D11)),C11-D11,"n/p")</f>
        <v>-18</v>
      </c>
      <c r="F11" s="15" t="s">
        <v>88</v>
      </c>
    </row>
    <row r="12" customFormat="false" ht="15" hidden="false" customHeight="false" outlineLevel="0" collapsed="false">
      <c r="B12" s="12" t="s">
        <v>92</v>
      </c>
      <c r="C12" s="8" t="n">
        <v>39.7</v>
      </c>
      <c r="E12" s="9" t="str">
        <f aca="false">IF(AND(ISNUMBER(C12),ISNUMBER(D12)),C12-D12,"n/p")</f>
        <v>n/p</v>
      </c>
      <c r="F12" s="15" t="s">
        <v>93</v>
      </c>
    </row>
    <row r="15" customFormat="false" ht="15" hidden="false" customHeight="false" outlineLevel="0" collapsed="false">
      <c r="B15" s="3" t="s">
        <v>94</v>
      </c>
    </row>
    <row r="16" customFormat="false" ht="33.75" hidden="false" customHeight="true" outlineLevel="0" collapsed="false">
      <c r="B16" s="6" t="s">
        <v>80</v>
      </c>
      <c r="C16" s="6" t="s">
        <v>81</v>
      </c>
      <c r="D16" s="6" t="s">
        <v>82</v>
      </c>
      <c r="E16" s="6" t="s">
        <v>83</v>
      </c>
    </row>
    <row r="17" customFormat="false" ht="15" hidden="false" customHeight="false" outlineLevel="0" collapsed="false">
      <c r="B17" s="12" t="s">
        <v>92</v>
      </c>
      <c r="C17" s="8" t="n">
        <v>30.7</v>
      </c>
      <c r="D17" s="8" t="n">
        <v>54.5</v>
      </c>
      <c r="E17" s="9" t="n">
        <f aca="false">C17-D17</f>
        <v>-23.8</v>
      </c>
    </row>
    <row r="18" customFormat="false" ht="15" hidden="false" customHeight="false" outlineLevel="0" collapsed="false">
      <c r="B18" s="12" t="s">
        <v>95</v>
      </c>
      <c r="C18" s="8" t="n">
        <v>32.6</v>
      </c>
      <c r="D18" s="8" t="n">
        <v>54.4</v>
      </c>
      <c r="E18" s="9" t="n">
        <f aca="false">C18-D18</f>
        <v>-21.8</v>
      </c>
    </row>
    <row r="21" customFormat="false" ht="15" hidden="false" customHeight="false" outlineLevel="0" collapsed="false">
      <c r="B21" s="3" t="s">
        <v>96</v>
      </c>
    </row>
    <row r="22" customFormat="false" ht="15" hidden="false" customHeight="false" outlineLevel="0" collapsed="false">
      <c r="B22" s="15" t="s">
        <v>97</v>
      </c>
    </row>
    <row r="23" customFormat="false" ht="33.75" hidden="false" customHeight="true" outlineLevel="0" collapsed="false">
      <c r="B23" s="6" t="s">
        <v>98</v>
      </c>
      <c r="C23" s="6" t="s">
        <v>99</v>
      </c>
      <c r="D23" s="6" t="s">
        <v>100</v>
      </c>
    </row>
    <row r="24" customFormat="false" ht="15" hidden="false" customHeight="false" outlineLevel="0" collapsed="false">
      <c r="B24" s="12" t="s">
        <v>101</v>
      </c>
      <c r="C24" s="16" t="n">
        <v>1.94</v>
      </c>
      <c r="D24" s="7" t="s">
        <v>102</v>
      </c>
    </row>
    <row r="25" customFormat="false" ht="15" hidden="false" customHeight="false" outlineLevel="0" collapsed="false">
      <c r="B25" s="12" t="s">
        <v>103</v>
      </c>
      <c r="C25" s="16" t="n">
        <v>-6.5</v>
      </c>
      <c r="D25" s="7" t="s">
        <v>104</v>
      </c>
    </row>
    <row r="26" customFormat="false" ht="15" hidden="false" customHeight="false" outlineLevel="0" collapsed="false">
      <c r="B26" s="12" t="s">
        <v>105</v>
      </c>
      <c r="C26" s="16" t="n">
        <v>-21.5</v>
      </c>
      <c r="D26" s="7" t="s">
        <v>104</v>
      </c>
    </row>
    <row r="27" customFormat="false" ht="15" hidden="false" customHeight="false" outlineLevel="0" collapsed="false">
      <c r="B27" s="12" t="s">
        <v>106</v>
      </c>
      <c r="C27" s="16" t="n">
        <v>1.63</v>
      </c>
      <c r="D27" s="7" t="s">
        <v>102</v>
      </c>
    </row>
    <row r="28" customFormat="false" ht="15" hidden="false" customHeight="false" outlineLevel="0" collapsed="false">
      <c r="B28" s="12" t="s">
        <v>107</v>
      </c>
      <c r="C28" s="16" t="n">
        <v>1.92</v>
      </c>
      <c r="D28" s="7" t="s">
        <v>102</v>
      </c>
    </row>
    <row r="29" customFormat="false" ht="15" hidden="false" customHeight="false" outlineLevel="0" collapsed="false">
      <c r="B29" s="12" t="s">
        <v>108</v>
      </c>
      <c r="C29" s="16" t="n">
        <v>2.09</v>
      </c>
      <c r="D29" s="7" t="s">
        <v>102</v>
      </c>
    </row>
    <row r="30" customFormat="false" ht="15" hidden="false" customHeight="false" outlineLevel="0" collapsed="false">
      <c r="B30" s="12" t="s">
        <v>109</v>
      </c>
      <c r="C30" s="16" t="n">
        <v>1.68</v>
      </c>
      <c r="D30" s="7" t="s">
        <v>102</v>
      </c>
    </row>
    <row r="32" customFormat="false" ht="15" hidden="false" customHeight="false" outlineLevel="0" collapsed="false">
      <c r="B32" s="15" t="s">
        <v>110</v>
      </c>
    </row>
  </sheetData>
  <conditionalFormatting sqref="E8:E12">
    <cfRule type="cellIs" priority="2" operator="lessThan" aboveAverage="0" equalAverage="0" bottom="0" percent="0" rank="0" text="" dxfId="0">
      <formula>0</formula>
    </cfRule>
  </conditionalFormatting>
  <conditionalFormatting sqref="E17:E18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5" min="3" style="0" width="18"/>
    <col collapsed="false" customWidth="true" hidden="false" outlineLevel="0" max="6" min="6" style="0" width="22"/>
  </cols>
  <sheetData>
    <row r="2" customFormat="false" ht="25.5" hidden="false" customHeight="true" outlineLevel="0" collapsed="false">
      <c r="B2" s="1" t="s">
        <v>111</v>
      </c>
    </row>
    <row r="3" customFormat="false" ht="15" hidden="false" customHeight="false" outlineLevel="0" collapsed="false">
      <c r="B3" s="2" t="s">
        <v>112</v>
      </c>
    </row>
    <row r="5" customFormat="false" ht="15" hidden="false" customHeight="false" outlineLevel="0" collapsed="false">
      <c r="B5" s="3" t="s">
        <v>113</v>
      </c>
      <c r="F5" s="3" t="s">
        <v>114</v>
      </c>
    </row>
    <row r="6" customFormat="false" ht="33.75" hidden="false" customHeight="true" outlineLevel="0" collapsed="false">
      <c r="B6" s="6" t="s">
        <v>115</v>
      </c>
      <c r="C6" s="6" t="s">
        <v>116</v>
      </c>
      <c r="D6" s="6" t="s">
        <v>117</v>
      </c>
      <c r="E6" s="6" t="s">
        <v>118</v>
      </c>
    </row>
    <row r="7" customFormat="false" ht="15" hidden="false" customHeight="false" outlineLevel="0" collapsed="false">
      <c r="B7" s="12" t="s">
        <v>35</v>
      </c>
      <c r="C7" s="8" t="n">
        <v>29.3</v>
      </c>
      <c r="F7" s="12" t="s">
        <v>41</v>
      </c>
      <c r="G7" s="8" t="n">
        <v>36.2</v>
      </c>
      <c r="H7" s="8" t="n">
        <v>36.6</v>
      </c>
      <c r="I7" s="8" t="n">
        <v>35.5</v>
      </c>
    </row>
    <row r="8" customFormat="false" ht="15" hidden="false" customHeight="false" outlineLevel="0" collapsed="false">
      <c r="B8" s="12" t="s">
        <v>41</v>
      </c>
      <c r="C8" s="8" t="n">
        <v>17.2</v>
      </c>
      <c r="F8" s="12" t="s">
        <v>35</v>
      </c>
      <c r="G8" s="8" t="n">
        <v>31.4</v>
      </c>
      <c r="H8" s="8" t="n">
        <v>29.2</v>
      </c>
      <c r="I8" s="8" t="n">
        <v>28.7</v>
      </c>
    </row>
    <row r="9" customFormat="false" ht="15" hidden="false" customHeight="false" outlineLevel="0" collapsed="false">
      <c r="B9" s="12" t="s">
        <v>119</v>
      </c>
      <c r="C9" s="8" t="n">
        <v>10.4</v>
      </c>
      <c r="F9" s="12" t="s">
        <v>45</v>
      </c>
      <c r="G9" s="8" t="n">
        <v>9.4</v>
      </c>
      <c r="H9" s="8" t="n">
        <v>9.4</v>
      </c>
      <c r="I9" s="8" t="n">
        <v>9.1</v>
      </c>
    </row>
    <row r="10" customFormat="false" ht="15" hidden="false" customHeight="false" outlineLevel="0" collapsed="false">
      <c r="B10" s="12" t="s">
        <v>120</v>
      </c>
      <c r="C10" s="8" t="n">
        <v>12.5</v>
      </c>
      <c r="F10" s="12" t="s">
        <v>47</v>
      </c>
      <c r="H10" s="8" t="n">
        <v>9.6</v>
      </c>
      <c r="I10" s="8" t="n">
        <v>8.8</v>
      </c>
    </row>
    <row r="11" customFormat="false" ht="15" hidden="false" customHeight="false" outlineLevel="0" collapsed="false">
      <c r="B11" s="12" t="s">
        <v>45</v>
      </c>
      <c r="C11" s="8" t="n">
        <v>6.5</v>
      </c>
      <c r="F11" s="12" t="s">
        <v>37</v>
      </c>
      <c r="I11" s="8" t="n">
        <v>3.7</v>
      </c>
    </row>
    <row r="12" customFormat="false" ht="15" hidden="false" customHeight="false" outlineLevel="0" collapsed="false">
      <c r="B12" s="12" t="s">
        <v>37</v>
      </c>
      <c r="C12" s="8" t="n">
        <v>6.1</v>
      </c>
      <c r="F12" s="12" t="s">
        <v>121</v>
      </c>
      <c r="G12" s="8" t="n">
        <v>3.9</v>
      </c>
      <c r="I12" s="8" t="n">
        <v>2.7</v>
      </c>
    </row>
    <row r="13" customFormat="false" ht="15" hidden="false" customHeight="false" outlineLevel="0" collapsed="false">
      <c r="B13" s="12" t="s">
        <v>122</v>
      </c>
      <c r="C13" s="8" t="n">
        <v>4.4</v>
      </c>
    </row>
    <row r="14" customFormat="false" ht="15" hidden="false" customHeight="false" outlineLevel="0" collapsed="false">
      <c r="B14" s="12" t="s">
        <v>123</v>
      </c>
      <c r="C14" s="8" t="n">
        <v>1.3</v>
      </c>
      <c r="F14" s="4" t="s">
        <v>124</v>
      </c>
      <c r="G14" s="14" t="n">
        <f aca="false">G7-G8</f>
        <v>4.8</v>
      </c>
      <c r="H14" s="14" t="n">
        <f aca="false">H7-H8</f>
        <v>7.4</v>
      </c>
      <c r="I14" s="14" t="n">
        <f aca="false">I7-I8</f>
        <v>6.8</v>
      </c>
    </row>
    <row r="15" customFormat="false" ht="15" hidden="false" customHeight="false" outlineLevel="0" collapsed="false">
      <c r="B15" s="12" t="s">
        <v>125</v>
      </c>
      <c r="C15" s="8" t="n">
        <v>0.9</v>
      </c>
    </row>
    <row r="16" customFormat="false" ht="15" hidden="false" customHeight="false" outlineLevel="0" collapsed="false">
      <c r="F16" s="15" t="s">
        <v>126</v>
      </c>
    </row>
    <row r="17" customFormat="false" ht="15" hidden="false" customHeight="false" outlineLevel="0" collapsed="false">
      <c r="B17" s="4" t="s">
        <v>127</v>
      </c>
      <c r="C17" s="8" t="n">
        <v>37.7</v>
      </c>
    </row>
    <row r="18" customFormat="false" ht="15" hidden="false" customHeight="false" outlineLevel="0" collapsed="false">
      <c r="B18" s="4" t="s">
        <v>128</v>
      </c>
      <c r="C18" s="8" t="n">
        <v>33.7</v>
      </c>
    </row>
    <row r="19" customFormat="false" ht="15" hidden="false" customHeight="false" outlineLevel="0" collapsed="false">
      <c r="B19" s="4" t="s">
        <v>129</v>
      </c>
      <c r="C19" s="14" t="n">
        <f aca="false">C17-C18</f>
        <v>4</v>
      </c>
    </row>
    <row r="22" customFormat="false" ht="15" hidden="false" customHeight="false" outlineLevel="0" collapsed="false">
      <c r="B22" s="3" t="s">
        <v>130</v>
      </c>
    </row>
    <row r="23" customFormat="false" ht="33.75" hidden="false" customHeight="true" outlineLevel="0" collapsed="false">
      <c r="B23" s="6" t="s">
        <v>26</v>
      </c>
      <c r="C23" s="6" t="s">
        <v>131</v>
      </c>
      <c r="D23" s="6" t="s">
        <v>132</v>
      </c>
      <c r="E23" s="6" t="s">
        <v>133</v>
      </c>
      <c r="F23" s="6" t="s">
        <v>134</v>
      </c>
    </row>
    <row r="24" customFormat="false" ht="15" hidden="false" customHeight="false" outlineLevel="0" collapsed="false">
      <c r="B24" s="12" t="s">
        <v>35</v>
      </c>
      <c r="C24" s="8" t="n">
        <v>25.6</v>
      </c>
      <c r="D24" s="8" t="n">
        <v>42.6</v>
      </c>
      <c r="E24" s="8" t="n">
        <v>51.5</v>
      </c>
      <c r="F24" s="15" t="s">
        <v>135</v>
      </c>
    </row>
    <row r="25" customFormat="false" ht="15" hidden="false" customHeight="false" outlineLevel="0" collapsed="false">
      <c r="B25" s="12" t="s">
        <v>35</v>
      </c>
      <c r="C25" s="8" t="n">
        <v>24</v>
      </c>
      <c r="E25" s="8" t="n">
        <v>57</v>
      </c>
      <c r="F25" s="15" t="s">
        <v>136</v>
      </c>
    </row>
    <row r="26" customFormat="false" ht="15" hidden="false" customHeight="false" outlineLevel="0" collapsed="false">
      <c r="B26" s="12" t="s">
        <v>41</v>
      </c>
      <c r="C26" s="8" t="n">
        <v>19.5</v>
      </c>
      <c r="D26" s="8" t="n">
        <v>33.2</v>
      </c>
      <c r="E26" s="8" t="n">
        <v>50.7</v>
      </c>
      <c r="F26" s="15" t="s">
        <v>137</v>
      </c>
    </row>
    <row r="27" customFormat="false" ht="15" hidden="false" customHeight="false" outlineLevel="0" collapsed="false">
      <c r="B27" s="12" t="s">
        <v>37</v>
      </c>
      <c r="D27" s="8" t="n">
        <v>33.5</v>
      </c>
      <c r="F27" s="15" t="s">
        <v>135</v>
      </c>
    </row>
    <row r="28" customFormat="false" ht="15" hidden="false" customHeight="false" outlineLevel="0" collapsed="false">
      <c r="B28" s="12" t="s">
        <v>45</v>
      </c>
      <c r="D28" s="8" t="n">
        <v>28.4</v>
      </c>
      <c r="F28" s="15" t="s">
        <v>135</v>
      </c>
    </row>
    <row r="29" customFormat="false" ht="15" hidden="false" customHeight="false" outlineLevel="0" collapsed="false">
      <c r="B29" s="12" t="s">
        <v>47</v>
      </c>
      <c r="D29" s="8" t="n">
        <v>27.1</v>
      </c>
      <c r="F29" s="15" t="s">
        <v>135</v>
      </c>
    </row>
    <row r="31" customFormat="false" ht="15" hidden="false" customHeight="false" outlineLevel="0" collapsed="false">
      <c r="B31" s="1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3"/>
    <col collapsed="false" customWidth="true" hidden="false" outlineLevel="0" max="5" min="5" style="0" width="12"/>
  </cols>
  <sheetData>
    <row r="2" customFormat="false" ht="25.5" hidden="false" customHeight="true" outlineLevel="0" collapsed="false">
      <c r="B2" s="1" t="s">
        <v>139</v>
      </c>
    </row>
    <row r="3" customFormat="false" ht="15" hidden="false" customHeight="false" outlineLevel="0" collapsed="false">
      <c r="B3" s="2" t="s">
        <v>140</v>
      </c>
    </row>
    <row r="7" customFormat="false" ht="33.75" hidden="false" customHeight="true" outlineLevel="0" collapsed="false">
      <c r="B7" s="6" t="s">
        <v>26</v>
      </c>
      <c r="C7" s="6" t="s">
        <v>60</v>
      </c>
      <c r="D7" s="6" t="s">
        <v>61</v>
      </c>
      <c r="E7" s="6" t="s">
        <v>62</v>
      </c>
    </row>
    <row r="8" customFormat="false" ht="15" hidden="false" customHeight="false" outlineLevel="0" collapsed="false">
      <c r="B8" s="12" t="s">
        <v>41</v>
      </c>
      <c r="C8" s="8" t="n">
        <v>51</v>
      </c>
      <c r="D8" s="8" t="n">
        <v>47</v>
      </c>
      <c r="E8" s="14" t="n">
        <f aca="false">C8-D8</f>
        <v>4</v>
      </c>
    </row>
    <row r="9" customFormat="false" ht="15" hidden="false" customHeight="false" outlineLevel="0" collapsed="false">
      <c r="B9" s="12" t="s">
        <v>39</v>
      </c>
      <c r="C9" s="8" t="n">
        <v>47</v>
      </c>
      <c r="D9" s="8" t="n">
        <v>51</v>
      </c>
      <c r="E9" s="14" t="n">
        <f aca="false">C9-D9</f>
        <v>-4</v>
      </c>
    </row>
    <row r="10" customFormat="false" ht="15" hidden="false" customHeight="false" outlineLevel="0" collapsed="false">
      <c r="B10" s="12" t="s">
        <v>122</v>
      </c>
      <c r="C10" s="8" t="n">
        <v>37</v>
      </c>
      <c r="D10" s="8" t="n">
        <v>59</v>
      </c>
      <c r="E10" s="14" t="n">
        <f aca="false">C10-D10</f>
        <v>-22</v>
      </c>
    </row>
    <row r="11" customFormat="false" ht="15" hidden="false" customHeight="false" outlineLevel="0" collapsed="false">
      <c r="B11" s="12" t="s">
        <v>35</v>
      </c>
      <c r="C11" s="8" t="n">
        <v>33</v>
      </c>
      <c r="D11" s="8" t="n">
        <v>65</v>
      </c>
      <c r="E11" s="14" t="n">
        <f aca="false">C11-D11</f>
        <v>-32</v>
      </c>
    </row>
    <row r="12" customFormat="false" ht="15" hidden="false" customHeight="false" outlineLevel="0" collapsed="false">
      <c r="B12" s="12" t="s">
        <v>47</v>
      </c>
      <c r="C12" s="8" t="n">
        <v>28</v>
      </c>
      <c r="D12" s="8" t="n">
        <v>70</v>
      </c>
      <c r="E12" s="14" t="n">
        <f aca="false">C12-D12</f>
        <v>-42</v>
      </c>
    </row>
    <row r="13" customFormat="false" ht="15" hidden="false" customHeight="false" outlineLevel="0" collapsed="false">
      <c r="B13" s="12" t="s">
        <v>37</v>
      </c>
      <c r="C13" s="8" t="n">
        <v>25</v>
      </c>
      <c r="D13" s="8" t="n">
        <v>67</v>
      </c>
      <c r="E13" s="14" t="n">
        <f aca="false">C13-D13</f>
        <v>-42</v>
      </c>
    </row>
    <row r="14" customFormat="false" ht="15" hidden="false" customHeight="false" outlineLevel="0" collapsed="false">
      <c r="B14" s="12" t="s">
        <v>141</v>
      </c>
      <c r="C14" s="8" t="n">
        <v>17</v>
      </c>
      <c r="D14" s="8" t="n">
        <v>77</v>
      </c>
      <c r="E14" s="14" t="n">
        <f aca="false">C14-D14</f>
        <v>-60</v>
      </c>
    </row>
    <row r="16" customFormat="false" ht="15" hidden="false" customHeight="false" outlineLevel="0" collapsed="false">
      <c r="B16" s="3" t="s">
        <v>142</v>
      </c>
    </row>
    <row r="17" customFormat="false" ht="15" hidden="false" customHeight="false" outlineLevel="0" collapsed="false">
      <c r="B17" s="12" t="s">
        <v>143</v>
      </c>
      <c r="E17" s="8" t="n">
        <v>61</v>
      </c>
    </row>
    <row r="18" customFormat="false" ht="15" hidden="false" customHeight="false" outlineLevel="0" collapsed="false">
      <c r="B18" s="12" t="s">
        <v>144</v>
      </c>
      <c r="E18" s="8" t="n">
        <v>29</v>
      </c>
    </row>
    <row r="19" customFormat="false" ht="15" hidden="false" customHeight="false" outlineLevel="0" collapsed="false">
      <c r="B19" s="12" t="s">
        <v>145</v>
      </c>
      <c r="E19" s="8" t="n">
        <v>54</v>
      </c>
    </row>
    <row r="21" customFormat="false" ht="15" hidden="false" customHeight="false" outlineLevel="0" collapsed="false">
      <c r="B21" s="15" t="s">
        <v>146</v>
      </c>
    </row>
  </sheetData>
  <conditionalFormatting sqref="E8:E1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6"/>
  </cols>
  <sheetData>
    <row r="2" customFormat="false" ht="25.5" hidden="false" customHeight="true" outlineLevel="0" collapsed="false">
      <c r="B2" s="1" t="s">
        <v>147</v>
      </c>
    </row>
    <row r="4" customFormat="false" ht="21.75" hidden="false" customHeight="true" outlineLevel="0" collapsed="false">
      <c r="B4" s="4" t="s">
        <v>64</v>
      </c>
      <c r="C4" s="5" t="s">
        <v>148</v>
      </c>
    </row>
    <row r="5" customFormat="false" ht="12" hidden="false" customHeight="true" outlineLevel="0" collapsed="false">
      <c r="B5" s="4" t="s">
        <v>149</v>
      </c>
      <c r="C5" s="5" t="s">
        <v>150</v>
      </c>
    </row>
    <row r="6" customFormat="false" ht="21.75" hidden="false" customHeight="true" outlineLevel="0" collapsed="false">
      <c r="B6" s="4" t="s">
        <v>151</v>
      </c>
      <c r="C6" s="5" t="s">
        <v>152</v>
      </c>
    </row>
    <row r="7" customFormat="false" ht="12" hidden="false" customHeight="true" outlineLevel="0" collapsed="false">
      <c r="B7" s="4" t="s">
        <v>72</v>
      </c>
      <c r="C7" s="5" t="s">
        <v>153</v>
      </c>
    </row>
    <row r="8" customFormat="false" ht="12" hidden="false" customHeight="true" outlineLevel="0" collapsed="false">
      <c r="B8" s="4" t="s">
        <v>154</v>
      </c>
      <c r="C8" s="5" t="s">
        <v>155</v>
      </c>
    </row>
    <row r="9" customFormat="false" ht="12" hidden="false" customHeight="true" outlineLevel="0" collapsed="false">
      <c r="B9" s="4" t="s">
        <v>156</v>
      </c>
      <c r="C9" s="5" t="s">
        <v>157</v>
      </c>
    </row>
    <row r="10" customFormat="false" ht="12" hidden="false" customHeight="true" outlineLevel="0" collapsed="false">
      <c r="B10" s="4" t="s">
        <v>158</v>
      </c>
      <c r="C10" s="5" t="s">
        <v>159</v>
      </c>
    </row>
    <row r="11" customFormat="false" ht="12" hidden="false" customHeight="true" outlineLevel="0" collapsed="false">
      <c r="B11" s="4" t="s">
        <v>70</v>
      </c>
      <c r="C11" s="5" t="s">
        <v>160</v>
      </c>
    </row>
    <row r="13" customFormat="false" ht="12" hidden="false" customHeight="true" outlineLevel="0" collapsed="false">
      <c r="B13" s="4" t="s">
        <v>161</v>
      </c>
      <c r="C13" s="5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2026-08-04T19:13:46Z</dcterms:created>
  <dc:creator>openpyxl</dc:creator>
  <dc:description/>
  <dc:language>en-US</dc:language>
  <cp:lastModifiedBy/>
  <dcterms:modified xsi:type="dcterms:W3CDTF">2026-08-04T19:13:51Z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